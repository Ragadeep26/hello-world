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F:\baon\dim\"/>
    </mc:Choice>
  </mc:AlternateContent>
  <bookViews>
    <workbookView xWindow="-15" yWindow="-15" windowWidth="7650" windowHeight="9120" firstSheet="12" activeTab="12"/>
  </bookViews>
  <sheets>
    <sheet name="LA" sheetId="17" r:id="rId1"/>
    <sheet name="Info" sheetId="16" r:id="rId2"/>
    <sheet name="StB88-K" sheetId="2" r:id="rId3"/>
    <sheet name="StB88-Ka" sheetId="5" state="hidden" r:id="rId4"/>
    <sheet name="StB88-R" sheetId="3" state="hidden" r:id="rId5"/>
    <sheet name="StB01-K" sheetId="11" state="hidden" r:id="rId6"/>
    <sheet name="StB01-Ka" sheetId="12" state="hidden" r:id="rId7"/>
    <sheet name="StB01-R" sheetId="13" state="hidden" r:id="rId8"/>
    <sheet name="StB08-K" sheetId="7" state="hidden" r:id="rId9"/>
    <sheet name="StB08-Ka" sheetId="19" state="hidden" r:id="rId10"/>
    <sheet name="StB08-R" sheetId="18" state="hidden" r:id="rId11"/>
    <sheet name="StB-Werte" sheetId="23" state="hidden" r:id="rId12"/>
    <sheet name="StB-K" sheetId="20" r:id="rId13"/>
    <sheet name="StB-Ks" sheetId="21" r:id="rId14"/>
    <sheet name="StB-R" sheetId="22" r:id="rId15"/>
    <sheet name="StB08-Test" sheetId="6" state="hidden" r:id="rId16"/>
  </sheets>
  <functionGroups builtInGroupCount="18"/>
  <externalReferences>
    <externalReference r:id="rId17"/>
  </externalReferences>
  <definedNames>
    <definedName name="_xlnm.Print_Area" localSheetId="8">'StB08-K'!$A:$H</definedName>
    <definedName name="_xlnm.Print_Area" localSheetId="9">'StB08-Ka'!$A:$H</definedName>
    <definedName name="_xlnm.Print_Area" localSheetId="12">'StB-K'!$A:$H</definedName>
    <definedName name="_xlnm.Print_Area" localSheetId="13">'StB-Ks'!$A:$H</definedName>
    <definedName name="_xlnm.Print_Area" localSheetId="14">'StB-R'!$A:$H</definedName>
    <definedName name="_xlnm.Print_Area" localSheetId="11">'StB-Werte'!$A:$H</definedName>
  </definedNames>
  <calcPr calcId="162913"/>
</workbook>
</file>

<file path=xl/calcChain.xml><?xml version="1.0" encoding="utf-8"?>
<calcChain xmlns="http://schemas.openxmlformats.org/spreadsheetml/2006/main">
  <c r="I164" i="23" l="1"/>
  <c r="I163" i="23"/>
  <c r="I162" i="23"/>
  <c r="I161" i="23"/>
  <c r="X156" i="23"/>
  <c r="X155" i="23"/>
  <c r="X154" i="23"/>
  <c r="X153" i="23"/>
  <c r="P151" i="23"/>
  <c r="P150" i="23"/>
  <c r="P149" i="23"/>
  <c r="P148" i="23"/>
  <c r="H151" i="23"/>
  <c r="H150" i="23"/>
  <c r="H149" i="23"/>
  <c r="H148" i="23"/>
  <c r="E103" i="23" l="1"/>
  <c r="E103" i="22" s="1"/>
  <c r="E102" i="23"/>
  <c r="E102" i="22" s="1"/>
  <c r="D103" i="23"/>
  <c r="D103" i="21" s="1"/>
  <c r="D102" i="23"/>
  <c r="D102" i="22" s="1"/>
  <c r="F51" i="23"/>
  <c r="A51" i="23"/>
  <c r="D102" i="20" l="1"/>
  <c r="D102" i="21"/>
  <c r="D103" i="20"/>
  <c r="D103" i="22"/>
  <c r="E102" i="20"/>
  <c r="E102" i="21"/>
  <c r="E103" i="20"/>
  <c r="E103" i="21"/>
  <c r="F51" i="20"/>
  <c r="F51" i="21"/>
  <c r="F51" i="22"/>
  <c r="H107" i="23" l="1"/>
  <c r="H106" i="23"/>
  <c r="H105" i="23"/>
  <c r="H104" i="23"/>
  <c r="G107" i="23"/>
  <c r="G106" i="23"/>
  <c r="G105" i="23"/>
  <c r="G104" i="23"/>
  <c r="G105" i="22" l="1"/>
  <c r="G105" i="21"/>
  <c r="G105" i="20"/>
  <c r="G104" i="22"/>
  <c r="G104" i="20"/>
  <c r="G104" i="21"/>
  <c r="G106" i="22"/>
  <c r="G106" i="21"/>
  <c r="G106" i="20"/>
  <c r="H104" i="20"/>
  <c r="H104" i="22"/>
  <c r="H104" i="21"/>
  <c r="H106" i="20"/>
  <c r="H106" i="22"/>
  <c r="H106" i="21"/>
  <c r="G107" i="22"/>
  <c r="G107" i="21"/>
  <c r="G107" i="20"/>
  <c r="H105" i="22"/>
  <c r="H105" i="21"/>
  <c r="H105" i="20"/>
  <c r="H107" i="22"/>
  <c r="H107" i="21"/>
  <c r="H107" i="20"/>
  <c r="BA118" i="23"/>
  <c r="BA117" i="23"/>
  <c r="BA116" i="23"/>
  <c r="BA115" i="23"/>
  <c r="BA114" i="23"/>
  <c r="BA113" i="23"/>
  <c r="BA112" i="23"/>
  <c r="BA111" i="23"/>
  <c r="BA110" i="23"/>
  <c r="F159" i="22" l="1"/>
  <c r="E159" i="22"/>
  <c r="D159" i="22"/>
  <c r="C159" i="22"/>
  <c r="F158" i="22"/>
  <c r="E158" i="22"/>
  <c r="D158" i="22" s="1"/>
  <c r="C158" i="22"/>
  <c r="G157" i="22"/>
  <c r="F157" i="22"/>
  <c r="E157" i="22"/>
  <c r="D157" i="22"/>
  <c r="C157" i="22"/>
  <c r="G156" i="22"/>
  <c r="F156" i="22"/>
  <c r="E156" i="22"/>
  <c r="D156" i="22"/>
  <c r="C156" i="22"/>
  <c r="G155" i="22"/>
  <c r="F155" i="22"/>
  <c r="E155" i="22"/>
  <c r="D155" i="22" s="1"/>
  <c r="C155" i="22"/>
  <c r="G154" i="22"/>
  <c r="F154" i="22"/>
  <c r="C154" i="22"/>
  <c r="Y151" i="22"/>
  <c r="X151" i="22"/>
  <c r="W151" i="22"/>
  <c r="V151" i="22"/>
  <c r="U151" i="22"/>
  <c r="Y150" i="22"/>
  <c r="X150" i="22"/>
  <c r="W150" i="22"/>
  <c r="V150" i="22" s="1"/>
  <c r="U150" i="22"/>
  <c r="Y149" i="22"/>
  <c r="X149" i="22"/>
  <c r="W149" i="22"/>
  <c r="V149" i="22"/>
  <c r="U149" i="22"/>
  <c r="Y148" i="22"/>
  <c r="X148" i="22"/>
  <c r="W148" i="22"/>
  <c r="V148" i="22" s="1"/>
  <c r="U148" i="22"/>
  <c r="Y147" i="22"/>
  <c r="X147" i="22"/>
  <c r="W147" i="22"/>
  <c r="V147" i="22"/>
  <c r="U147" i="22"/>
  <c r="Y146" i="22"/>
  <c r="X146" i="22"/>
  <c r="W146" i="22"/>
  <c r="V146" i="22"/>
  <c r="U146" i="22"/>
  <c r="P146" i="22"/>
  <c r="O146" i="22"/>
  <c r="N146" i="22"/>
  <c r="M146" i="22"/>
  <c r="I146" i="22"/>
  <c r="H146" i="22"/>
  <c r="G146" i="22"/>
  <c r="F146" i="22" s="1"/>
  <c r="E146" i="22"/>
  <c r="Y145" i="22"/>
  <c r="X145" i="22"/>
  <c r="W145" i="22"/>
  <c r="V145" i="22" s="1"/>
  <c r="U145" i="22"/>
  <c r="Q145" i="22"/>
  <c r="P145" i="22"/>
  <c r="O145" i="22"/>
  <c r="N145" i="22"/>
  <c r="M145" i="22"/>
  <c r="I145" i="22"/>
  <c r="H145" i="22"/>
  <c r="G145" i="22"/>
  <c r="F145" i="22" s="1"/>
  <c r="E145" i="22"/>
  <c r="Y144" i="22"/>
  <c r="X144" i="22"/>
  <c r="W144" i="22"/>
  <c r="V144" i="22" s="1"/>
  <c r="U144" i="22"/>
  <c r="Q144" i="22"/>
  <c r="P144" i="22"/>
  <c r="O144" i="22"/>
  <c r="N144" i="22"/>
  <c r="M144" i="22"/>
  <c r="I144" i="22"/>
  <c r="H144" i="22"/>
  <c r="G144" i="22"/>
  <c r="F144" i="22"/>
  <c r="E144" i="22"/>
  <c r="Y143" i="22"/>
  <c r="X143" i="22"/>
  <c r="W143" i="22"/>
  <c r="V143" i="22" s="1"/>
  <c r="U143" i="22"/>
  <c r="Q143" i="22"/>
  <c r="P143" i="22"/>
  <c r="O143" i="22"/>
  <c r="N143" i="22" s="1"/>
  <c r="M143" i="22"/>
  <c r="I143" i="22"/>
  <c r="H143" i="22"/>
  <c r="G143" i="22"/>
  <c r="F143" i="22" s="1"/>
  <c r="E143" i="22"/>
  <c r="Y142" i="22"/>
  <c r="X142" i="22"/>
  <c r="W142" i="22"/>
  <c r="V142" i="22"/>
  <c r="U142" i="22"/>
  <c r="Q142" i="22"/>
  <c r="P142" i="22"/>
  <c r="O142" i="22"/>
  <c r="N142" i="22" s="1"/>
  <c r="M142" i="22"/>
  <c r="I142" i="22"/>
  <c r="H142" i="22"/>
  <c r="G142" i="22"/>
  <c r="F142" i="22" s="1"/>
  <c r="E142" i="22"/>
  <c r="Y141" i="22"/>
  <c r="X141" i="22"/>
  <c r="W141" i="22"/>
  <c r="V141" i="22"/>
  <c r="U141" i="22"/>
  <c r="Q141" i="22"/>
  <c r="P141" i="22"/>
  <c r="O141" i="22"/>
  <c r="N141" i="22" s="1"/>
  <c r="M141" i="22"/>
  <c r="I141" i="22"/>
  <c r="H141" i="22"/>
  <c r="G141" i="22"/>
  <c r="F141" i="22"/>
  <c r="E141" i="22"/>
  <c r="Y140" i="22"/>
  <c r="X140" i="22"/>
  <c r="W140" i="22"/>
  <c r="V140" i="22" s="1"/>
  <c r="U140" i="22"/>
  <c r="Q140" i="22"/>
  <c r="P140" i="22"/>
  <c r="O140" i="22"/>
  <c r="N140" i="22" s="1"/>
  <c r="M140" i="22"/>
  <c r="I140" i="22"/>
  <c r="H140" i="22"/>
  <c r="G140" i="22"/>
  <c r="F140" i="22"/>
  <c r="E140" i="22"/>
  <c r="Y139" i="22"/>
  <c r="X139" i="22"/>
  <c r="W139" i="22"/>
  <c r="V139" i="22" s="1"/>
  <c r="U139" i="22"/>
  <c r="Q139" i="22"/>
  <c r="P139" i="22"/>
  <c r="O139" i="22"/>
  <c r="N139" i="22" s="1"/>
  <c r="M139" i="22"/>
  <c r="I139" i="22"/>
  <c r="H139" i="22"/>
  <c r="G139" i="22"/>
  <c r="F139" i="22" s="1"/>
  <c r="E139" i="22"/>
  <c r="AO136" i="22"/>
  <c r="AN136" i="22"/>
  <c r="AM136" i="22"/>
  <c r="AL136" i="22"/>
  <c r="AK136" i="22"/>
  <c r="AJ136" i="22"/>
  <c r="AG136" i="22"/>
  <c r="AF136" i="22"/>
  <c r="AE136" i="22"/>
  <c r="AD136" i="22"/>
  <c r="AC136" i="22"/>
  <c r="AA136" i="22"/>
  <c r="Z136" i="22"/>
  <c r="Y136" i="22"/>
  <c r="X136" i="22"/>
  <c r="W136" i="22"/>
  <c r="V136" i="22"/>
  <c r="S136" i="22"/>
  <c r="O136" i="22" s="1"/>
  <c r="R136" i="22"/>
  <c r="Q136" i="22"/>
  <c r="E136" i="22"/>
  <c r="D136" i="22"/>
  <c r="C136" i="22"/>
  <c r="B136" i="22"/>
  <c r="AN135" i="22"/>
  <c r="AM135" i="22"/>
  <c r="AL135" i="22"/>
  <c r="AK135" i="22"/>
  <c r="AJ135" i="22"/>
  <c r="AG135" i="22"/>
  <c r="AF135" i="22"/>
  <c r="AE135" i="22"/>
  <c r="AD135" i="22"/>
  <c r="AC135" i="22"/>
  <c r="Z135" i="22"/>
  <c r="V135" i="22" s="1"/>
  <c r="Y135" i="22"/>
  <c r="X135" i="22"/>
  <c r="S135" i="22"/>
  <c r="O135" i="22" s="1"/>
  <c r="R135" i="22"/>
  <c r="Q135" i="22"/>
  <c r="E135" i="22"/>
  <c r="D135" i="22"/>
  <c r="C135" i="22"/>
  <c r="B135" i="22"/>
  <c r="AN134" i="22"/>
  <c r="AM134" i="22"/>
  <c r="AL134" i="22"/>
  <c r="AK134" i="22"/>
  <c r="AJ134" i="22"/>
  <c r="AG134" i="22"/>
  <c r="AF134" i="22"/>
  <c r="AE134" i="22"/>
  <c r="AD134" i="22"/>
  <c r="AC134" i="22"/>
  <c r="AA134" i="22"/>
  <c r="Z134" i="22"/>
  <c r="Y134" i="22"/>
  <c r="X134" i="22"/>
  <c r="W134" i="22"/>
  <c r="V134" i="22"/>
  <c r="S134" i="22"/>
  <c r="O134" i="22" s="1"/>
  <c r="R134" i="22"/>
  <c r="Q134" i="22"/>
  <c r="E134" i="22"/>
  <c r="D134" i="22"/>
  <c r="C134" i="22"/>
  <c r="B134" i="22"/>
  <c r="AN133" i="22"/>
  <c r="AM133" i="22"/>
  <c r="AL133" i="22"/>
  <c r="AK133" i="22"/>
  <c r="AJ133" i="22"/>
  <c r="AG133" i="22"/>
  <c r="AF133" i="22"/>
  <c r="AE133" i="22"/>
  <c r="AD133" i="22"/>
  <c r="AC133" i="22"/>
  <c r="Z133" i="22"/>
  <c r="V133" i="22" s="1"/>
  <c r="Y133" i="22"/>
  <c r="X133" i="22"/>
  <c r="S133" i="22"/>
  <c r="O133" i="22" s="1"/>
  <c r="R133" i="22"/>
  <c r="Q133" i="22"/>
  <c r="E133" i="22"/>
  <c r="D133" i="22"/>
  <c r="C133" i="22"/>
  <c r="B133" i="22"/>
  <c r="W124" i="22"/>
  <c r="D124" i="22"/>
  <c r="C124" i="22"/>
  <c r="T123" i="22"/>
  <c r="S123" i="22"/>
  <c r="O123" i="22" s="1"/>
  <c r="B123" i="22"/>
  <c r="AG122" i="22"/>
  <c r="AF122" i="22"/>
  <c r="AE122" i="22"/>
  <c r="AD122" i="22"/>
  <c r="AC122" i="22"/>
  <c r="Z122" i="22"/>
  <c r="Y122" i="22"/>
  <c r="X122" i="22"/>
  <c r="W122" i="22"/>
  <c r="V122" i="22"/>
  <c r="S122" i="22"/>
  <c r="R122" i="22"/>
  <c r="Q122" i="22"/>
  <c r="P122" i="22"/>
  <c r="O122" i="22"/>
  <c r="L122" i="22"/>
  <c r="K122" i="22"/>
  <c r="J122" i="22"/>
  <c r="I122" i="22"/>
  <c r="H122" i="22"/>
  <c r="E122" i="22"/>
  <c r="D122" i="22"/>
  <c r="C122" i="22"/>
  <c r="B122" i="22"/>
  <c r="A122" i="22"/>
  <c r="AG121" i="22"/>
  <c r="AF121" i="22"/>
  <c r="AE121" i="22"/>
  <c r="AD121" i="22"/>
  <c r="AC121" i="22"/>
  <c r="Z121" i="22"/>
  <c r="Y121" i="22"/>
  <c r="X121" i="22"/>
  <c r="W121" i="22"/>
  <c r="V121" i="22"/>
  <c r="S121" i="22"/>
  <c r="R121" i="22"/>
  <c r="Q121" i="22"/>
  <c r="P121" i="22"/>
  <c r="O121" i="22"/>
  <c r="L121" i="22"/>
  <c r="K121" i="22"/>
  <c r="J121" i="22"/>
  <c r="I121" i="22"/>
  <c r="H121" i="22"/>
  <c r="E121" i="22"/>
  <c r="A121" i="22" s="1"/>
  <c r="D121" i="22"/>
  <c r="C121" i="22"/>
  <c r="B121" i="22"/>
  <c r="BJ118" i="22"/>
  <c r="BI118" i="22"/>
  <c r="BE118" i="22" s="1"/>
  <c r="BH118" i="22"/>
  <c r="BG118" i="22"/>
  <c r="BC118" i="22"/>
  <c r="BB118" i="22"/>
  <c r="BA118" i="22"/>
  <c r="AZ118" i="22"/>
  <c r="AX118" i="22"/>
  <c r="AV118" i="22"/>
  <c r="AU118" i="22"/>
  <c r="AT118" i="22"/>
  <c r="AS118" i="22"/>
  <c r="AQ118" i="22"/>
  <c r="AO118" i="22"/>
  <c r="AN118" i="22"/>
  <c r="AM118" i="22"/>
  <c r="AL118" i="22"/>
  <c r="AK118" i="22"/>
  <c r="AJ118" i="22"/>
  <c r="AG118" i="22"/>
  <c r="AC118" i="22" s="1"/>
  <c r="AF118" i="22"/>
  <c r="AE118" i="22"/>
  <c r="Z118" i="22"/>
  <c r="V118" i="22" s="1"/>
  <c r="Y118" i="22"/>
  <c r="X118" i="22"/>
  <c r="S118" i="22"/>
  <c r="Q118" i="22"/>
  <c r="O118" i="22"/>
  <c r="L118" i="22"/>
  <c r="K118" i="22"/>
  <c r="J118" i="22"/>
  <c r="H118" i="22"/>
  <c r="E118" i="22"/>
  <c r="D118" i="22"/>
  <c r="C118" i="22"/>
  <c r="A118" i="22"/>
  <c r="BJ117" i="22"/>
  <c r="BI117" i="22"/>
  <c r="BE117" i="22" s="1"/>
  <c r="BH117" i="22"/>
  <c r="BG117" i="22"/>
  <c r="BC117" i="22"/>
  <c r="BB117" i="22"/>
  <c r="BA117" i="22"/>
  <c r="AZ117" i="22"/>
  <c r="AX117" i="22"/>
  <c r="AV117" i="22"/>
  <c r="AU117" i="22"/>
  <c r="AQ117" i="22" s="1"/>
  <c r="AT117" i="22"/>
  <c r="AS117" i="22"/>
  <c r="AN117" i="22"/>
  <c r="AJ117" i="22" s="1"/>
  <c r="AM117" i="22"/>
  <c r="AL117" i="22"/>
  <c r="AG117" i="22"/>
  <c r="AC117" i="22" s="1"/>
  <c r="AF117" i="22"/>
  <c r="AE117" i="22"/>
  <c r="Z117" i="22"/>
  <c r="V117" i="22" s="1"/>
  <c r="Y117" i="22"/>
  <c r="X117" i="22"/>
  <c r="S117" i="22"/>
  <c r="O117" i="22" s="1"/>
  <c r="Q117" i="22"/>
  <c r="L117" i="22"/>
  <c r="K117" i="22"/>
  <c r="J117" i="22"/>
  <c r="H117" i="22"/>
  <c r="E117" i="22"/>
  <c r="A117" i="22" s="1"/>
  <c r="D117" i="22"/>
  <c r="C117" i="22"/>
  <c r="BJ116" i="22"/>
  <c r="BI116" i="22"/>
  <c r="BE116" i="22" s="1"/>
  <c r="BH116" i="22"/>
  <c r="BG116" i="22"/>
  <c r="BC116" i="22"/>
  <c r="BB116" i="22"/>
  <c r="BA116" i="22"/>
  <c r="AZ116" i="22"/>
  <c r="AX116" i="22"/>
  <c r="AV116" i="22"/>
  <c r="AU116" i="22"/>
  <c r="AQ116" i="22" s="1"/>
  <c r="AT116" i="22"/>
  <c r="AS116" i="22"/>
  <c r="AN116" i="22"/>
  <c r="AJ116" i="22" s="1"/>
  <c r="AM116" i="22"/>
  <c r="AL116" i="22"/>
  <c r="AG116" i="22"/>
  <c r="AC116" i="22" s="1"/>
  <c r="AF116" i="22"/>
  <c r="AE116" i="22"/>
  <c r="Z116" i="22"/>
  <c r="V116" i="22" s="1"/>
  <c r="Y116" i="22"/>
  <c r="X116" i="22"/>
  <c r="S116" i="22"/>
  <c r="O116" i="22" s="1"/>
  <c r="Q116" i="22"/>
  <c r="M116" i="22"/>
  <c r="L116" i="22"/>
  <c r="K116" i="22"/>
  <c r="J116" i="22"/>
  <c r="I116" i="22"/>
  <c r="H116" i="22"/>
  <c r="E116" i="22"/>
  <c r="A116" i="22" s="1"/>
  <c r="D116" i="22"/>
  <c r="C116" i="22"/>
  <c r="BJ115" i="22"/>
  <c r="BI115" i="22"/>
  <c r="BE115" i="22" s="1"/>
  <c r="BH115" i="22"/>
  <c r="BG115" i="22"/>
  <c r="BC115" i="22"/>
  <c r="BB115" i="22"/>
  <c r="BA115" i="22"/>
  <c r="AZ115" i="22"/>
  <c r="AX115" i="22"/>
  <c r="AV115" i="22"/>
  <c r="AU115" i="22"/>
  <c r="AQ115" i="22" s="1"/>
  <c r="AT115" i="22"/>
  <c r="AS115" i="22"/>
  <c r="AN115" i="22"/>
  <c r="AJ115" i="22" s="1"/>
  <c r="AM115" i="22"/>
  <c r="AL115" i="22"/>
  <c r="AG115" i="22"/>
  <c r="AF115" i="22"/>
  <c r="AE115" i="22"/>
  <c r="AD115" i="22"/>
  <c r="AC115" i="22"/>
  <c r="Z115" i="22"/>
  <c r="Y115" i="22"/>
  <c r="X115" i="22"/>
  <c r="V115" i="22"/>
  <c r="S115" i="22"/>
  <c r="O115" i="22" s="1"/>
  <c r="Q115" i="22"/>
  <c r="P115" i="22"/>
  <c r="L115" i="22"/>
  <c r="H115" i="22" s="1"/>
  <c r="K115" i="22"/>
  <c r="J115" i="22"/>
  <c r="E115" i="22"/>
  <c r="A115" i="22" s="1"/>
  <c r="D115" i="22"/>
  <c r="C115" i="22"/>
  <c r="BJ114" i="22"/>
  <c r="BI114" i="22"/>
  <c r="BH114" i="22"/>
  <c r="BG114" i="22"/>
  <c r="BF114" i="22"/>
  <c r="BE114" i="22"/>
  <c r="BC114" i="22"/>
  <c r="BB114" i="22"/>
  <c r="BA114" i="22"/>
  <c r="AZ114" i="22"/>
  <c r="AY114" i="22"/>
  <c r="AX114" i="22"/>
  <c r="AV114" i="22"/>
  <c r="AU114" i="22"/>
  <c r="AT114" i="22"/>
  <c r="AS114" i="22"/>
  <c r="AR114" i="22"/>
  <c r="AQ114" i="22"/>
  <c r="AN114" i="22"/>
  <c r="AM114" i="22"/>
  <c r="AL114" i="22"/>
  <c r="AK114" i="22"/>
  <c r="AJ114" i="22"/>
  <c r="AG114" i="22"/>
  <c r="AF114" i="22"/>
  <c r="AE114" i="22"/>
  <c r="AD114" i="22"/>
  <c r="AC114" i="22"/>
  <c r="Z114" i="22"/>
  <c r="Y114" i="22"/>
  <c r="X114" i="22"/>
  <c r="W114" i="22"/>
  <c r="V114" i="22"/>
  <c r="S114" i="22"/>
  <c r="Q114" i="22"/>
  <c r="O114" i="22"/>
  <c r="L114" i="22"/>
  <c r="K114" i="22"/>
  <c r="J114" i="22"/>
  <c r="I114" i="22"/>
  <c r="H114" i="22"/>
  <c r="E114" i="22"/>
  <c r="D114" i="22"/>
  <c r="C114" i="22"/>
  <c r="B114" i="22"/>
  <c r="A114" i="22"/>
  <c r="BJ113" i="22"/>
  <c r="BI113" i="22"/>
  <c r="BH113" i="22"/>
  <c r="BG113" i="22"/>
  <c r="BF113" i="22"/>
  <c r="BE113" i="22"/>
  <c r="BC113" i="22"/>
  <c r="BB113" i="22"/>
  <c r="BA113" i="22"/>
  <c r="AZ113" i="22"/>
  <c r="AY113" i="22"/>
  <c r="AX113" i="22"/>
  <c r="AV113" i="22"/>
  <c r="AU113" i="22"/>
  <c r="AT113" i="22"/>
  <c r="AS113" i="22"/>
  <c r="AR113" i="22"/>
  <c r="AQ113" i="22"/>
  <c r="AN113" i="22"/>
  <c r="AM113" i="22"/>
  <c r="AL113" i="22"/>
  <c r="AK113" i="22"/>
  <c r="AJ113" i="22"/>
  <c r="AG113" i="22"/>
  <c r="AF113" i="22"/>
  <c r="AE113" i="22"/>
  <c r="AD113" i="22"/>
  <c r="AC113" i="22"/>
  <c r="Z113" i="22"/>
  <c r="Y113" i="22"/>
  <c r="X113" i="22"/>
  <c r="W113" i="22"/>
  <c r="V113" i="22"/>
  <c r="S113" i="22"/>
  <c r="Q113" i="22"/>
  <c r="O113" i="22"/>
  <c r="L113" i="22"/>
  <c r="K113" i="22"/>
  <c r="J113" i="22"/>
  <c r="I113" i="22"/>
  <c r="H113" i="22"/>
  <c r="E113" i="22"/>
  <c r="D113" i="22"/>
  <c r="C113" i="22"/>
  <c r="B113" i="22"/>
  <c r="A113" i="22"/>
  <c r="BJ112" i="22"/>
  <c r="BI112" i="22"/>
  <c r="BH112" i="22"/>
  <c r="BG112" i="22"/>
  <c r="BF112" i="22"/>
  <c r="BE112" i="22"/>
  <c r="BC112" i="22"/>
  <c r="BB112" i="22"/>
  <c r="BA112" i="22"/>
  <c r="AZ112" i="22"/>
  <c r="AY112" i="22"/>
  <c r="AX112" i="22"/>
  <c r="AV112" i="22"/>
  <c r="AU112" i="22"/>
  <c r="AT112" i="22"/>
  <c r="AS112" i="22"/>
  <c r="AR112" i="22"/>
  <c r="AQ112" i="22"/>
  <c r="AN112" i="22"/>
  <c r="AM112" i="22"/>
  <c r="AL112" i="22"/>
  <c r="AK112" i="22"/>
  <c r="AJ112" i="22"/>
  <c r="AG112" i="22"/>
  <c r="AF112" i="22"/>
  <c r="AE112" i="22"/>
  <c r="AD112" i="22"/>
  <c r="AC112" i="22"/>
  <c r="Z112" i="22"/>
  <c r="Y112" i="22"/>
  <c r="X112" i="22"/>
  <c r="W112" i="22"/>
  <c r="V112" i="22"/>
  <c r="S112" i="22"/>
  <c r="O112" i="22" s="1"/>
  <c r="R112" i="22"/>
  <c r="Q112" i="22"/>
  <c r="L112" i="22"/>
  <c r="K112" i="22"/>
  <c r="J112" i="22"/>
  <c r="I112" i="22"/>
  <c r="H112" i="22"/>
  <c r="E112" i="22"/>
  <c r="D112" i="22"/>
  <c r="C112" i="22"/>
  <c r="B112" i="22"/>
  <c r="A112" i="22"/>
  <c r="BJ111" i="22"/>
  <c r="BI111" i="22"/>
  <c r="BH111" i="22"/>
  <c r="BG111" i="22"/>
  <c r="BF111" i="22"/>
  <c r="BE111" i="22"/>
  <c r="BC111" i="22"/>
  <c r="BB111" i="22"/>
  <c r="BA111" i="22"/>
  <c r="AZ111" i="22"/>
  <c r="AY111" i="22"/>
  <c r="AX111" i="22"/>
  <c r="AV111" i="22"/>
  <c r="AU111" i="22"/>
  <c r="AT111" i="22"/>
  <c r="AS111" i="22"/>
  <c r="AR111" i="22"/>
  <c r="AQ111" i="22"/>
  <c r="AN111" i="22"/>
  <c r="AM111" i="22"/>
  <c r="AL111" i="22"/>
  <c r="AK111" i="22"/>
  <c r="AJ111" i="22"/>
  <c r="AG111" i="22"/>
  <c r="AF111" i="22"/>
  <c r="AE111" i="22"/>
  <c r="AD111" i="22"/>
  <c r="AC111" i="22"/>
  <c r="Z111" i="22"/>
  <c r="Y111" i="22"/>
  <c r="X111" i="22"/>
  <c r="W111" i="22"/>
  <c r="V111" i="22"/>
  <c r="S111" i="22"/>
  <c r="Q111" i="22"/>
  <c r="P111" i="22"/>
  <c r="O111" i="22"/>
  <c r="L111" i="22"/>
  <c r="K111" i="22"/>
  <c r="J111" i="22"/>
  <c r="I111" i="22"/>
  <c r="H111" i="22"/>
  <c r="E111" i="22"/>
  <c r="A111" i="22" s="1"/>
  <c r="D111" i="22"/>
  <c r="C111" i="22"/>
  <c r="B111" i="22"/>
  <c r="BJ110" i="22"/>
  <c r="BI110" i="22"/>
  <c r="BH110" i="22"/>
  <c r="BG110" i="22"/>
  <c r="BF110" i="22"/>
  <c r="BE110" i="22"/>
  <c r="BC110" i="22"/>
  <c r="BB110" i="22"/>
  <c r="BA110" i="22"/>
  <c r="AZ110" i="22"/>
  <c r="AY110" i="22"/>
  <c r="AX110" i="22"/>
  <c r="AV110" i="22"/>
  <c r="AU110" i="22"/>
  <c r="AT110" i="22"/>
  <c r="AS110" i="22"/>
  <c r="AR110" i="22"/>
  <c r="AQ110" i="22"/>
  <c r="AN110" i="22"/>
  <c r="AM110" i="22"/>
  <c r="AL110" i="22"/>
  <c r="AK110" i="22"/>
  <c r="AJ110" i="22"/>
  <c r="AG110" i="22"/>
  <c r="AF110" i="22"/>
  <c r="AE110" i="22"/>
  <c r="AD110" i="22"/>
  <c r="AC110" i="22"/>
  <c r="Z110" i="22"/>
  <c r="Y110" i="22"/>
  <c r="X110" i="22"/>
  <c r="W110" i="22"/>
  <c r="V110" i="22"/>
  <c r="S110" i="22"/>
  <c r="O110" i="22" s="1"/>
  <c r="Q110" i="22"/>
  <c r="P110" i="22"/>
  <c r="L110" i="22"/>
  <c r="K110" i="22"/>
  <c r="J110" i="22"/>
  <c r="I110" i="22"/>
  <c r="H110" i="22"/>
  <c r="F110" i="22"/>
  <c r="E110" i="22"/>
  <c r="A110" i="22" s="1"/>
  <c r="D110" i="22"/>
  <c r="C110" i="22"/>
  <c r="B110" i="22"/>
  <c r="M91" i="22"/>
  <c r="F159" i="21"/>
  <c r="D159" i="21" s="1"/>
  <c r="E159" i="21"/>
  <c r="C159" i="21"/>
  <c r="F158" i="21"/>
  <c r="D158" i="21" s="1"/>
  <c r="E158" i="21"/>
  <c r="C158" i="21"/>
  <c r="G157" i="21"/>
  <c r="F157" i="21"/>
  <c r="D157" i="21" s="1"/>
  <c r="E157" i="21"/>
  <c r="C157" i="21"/>
  <c r="G156" i="21"/>
  <c r="F156" i="21"/>
  <c r="D156" i="21" s="1"/>
  <c r="E156" i="21"/>
  <c r="C156" i="21"/>
  <c r="G155" i="21"/>
  <c r="F155" i="21"/>
  <c r="D155" i="21" s="1"/>
  <c r="E155" i="21"/>
  <c r="C155" i="21"/>
  <c r="G154" i="21"/>
  <c r="F154" i="21"/>
  <c r="D154" i="21" s="1"/>
  <c r="C154" i="21"/>
  <c r="Y151" i="21"/>
  <c r="X151" i="21"/>
  <c r="W151" i="21"/>
  <c r="V151" i="21"/>
  <c r="U151" i="21"/>
  <c r="Y150" i="21"/>
  <c r="X150" i="21"/>
  <c r="W150" i="21"/>
  <c r="V150" i="21"/>
  <c r="U150" i="21"/>
  <c r="Y149" i="21"/>
  <c r="X149" i="21"/>
  <c r="V149" i="21" s="1"/>
  <c r="W149" i="21"/>
  <c r="U149" i="21"/>
  <c r="Y148" i="21"/>
  <c r="X148" i="21"/>
  <c r="V148" i="21" s="1"/>
  <c r="W148" i="21"/>
  <c r="U148" i="21"/>
  <c r="Y147" i="21"/>
  <c r="X147" i="21"/>
  <c r="V147" i="21" s="1"/>
  <c r="W147" i="21"/>
  <c r="U147" i="21"/>
  <c r="Y146" i="21"/>
  <c r="X146" i="21"/>
  <c r="V146" i="21" s="1"/>
  <c r="W146" i="21"/>
  <c r="U146" i="21"/>
  <c r="P146" i="21"/>
  <c r="N146" i="21" s="1"/>
  <c r="O146" i="21"/>
  <c r="M146" i="21"/>
  <c r="I146" i="21"/>
  <c r="H146" i="21"/>
  <c r="F146" i="21" s="1"/>
  <c r="G146" i="21"/>
  <c r="E146" i="21"/>
  <c r="Y145" i="21"/>
  <c r="X145" i="21"/>
  <c r="V145" i="21" s="1"/>
  <c r="W145" i="21"/>
  <c r="U145" i="21"/>
  <c r="Q145" i="21"/>
  <c r="P145" i="21"/>
  <c r="N145" i="21" s="1"/>
  <c r="O145" i="21"/>
  <c r="M145" i="21"/>
  <c r="I145" i="21"/>
  <c r="H145" i="21"/>
  <c r="F145" i="21" s="1"/>
  <c r="G145" i="21"/>
  <c r="E145" i="21"/>
  <c r="Y144" i="21"/>
  <c r="X144" i="21"/>
  <c r="V144" i="21" s="1"/>
  <c r="W144" i="21"/>
  <c r="U144" i="21"/>
  <c r="Q144" i="21"/>
  <c r="P144" i="21"/>
  <c r="O144" i="21"/>
  <c r="N144" i="21"/>
  <c r="M144" i="21"/>
  <c r="I144" i="21"/>
  <c r="H144" i="21"/>
  <c r="G144" i="21"/>
  <c r="F144" i="21"/>
  <c r="E144" i="21"/>
  <c r="Y143" i="21"/>
  <c r="X143" i="21"/>
  <c r="V143" i="21" s="1"/>
  <c r="W143" i="21"/>
  <c r="U143" i="21"/>
  <c r="Q143" i="21"/>
  <c r="P143" i="21"/>
  <c r="N143" i="21" s="1"/>
  <c r="O143" i="21"/>
  <c r="M143" i="21"/>
  <c r="I143" i="21"/>
  <c r="H143" i="21"/>
  <c r="F143" i="21" s="1"/>
  <c r="G143" i="21"/>
  <c r="E143" i="21"/>
  <c r="Y142" i="21"/>
  <c r="X142" i="21"/>
  <c r="V142" i="21" s="1"/>
  <c r="W142" i="21"/>
  <c r="U142" i="21"/>
  <c r="Q142" i="21"/>
  <c r="P142" i="21"/>
  <c r="N142" i="21" s="1"/>
  <c r="O142" i="21"/>
  <c r="M142" i="21"/>
  <c r="I142" i="21"/>
  <c r="H142" i="21"/>
  <c r="F142" i="21" s="1"/>
  <c r="G142" i="21"/>
  <c r="E142" i="21"/>
  <c r="Y141" i="21"/>
  <c r="X141" i="21"/>
  <c r="W141" i="21"/>
  <c r="V141" i="21"/>
  <c r="U141" i="21"/>
  <c r="Q141" i="21"/>
  <c r="P141" i="21"/>
  <c r="O141" i="21"/>
  <c r="N141" i="21"/>
  <c r="M141" i="21"/>
  <c r="I141" i="21"/>
  <c r="H141" i="21"/>
  <c r="F141" i="21" s="1"/>
  <c r="G141" i="21"/>
  <c r="E141" i="21"/>
  <c r="Y140" i="21"/>
  <c r="X140" i="21"/>
  <c r="V140" i="21" s="1"/>
  <c r="W140" i="21"/>
  <c r="U140" i="21"/>
  <c r="Q140" i="21"/>
  <c r="P140" i="21"/>
  <c r="N140" i="21" s="1"/>
  <c r="O140" i="21"/>
  <c r="M140" i="21"/>
  <c r="I140" i="21"/>
  <c r="H140" i="21"/>
  <c r="F140" i="21" s="1"/>
  <c r="G140" i="21"/>
  <c r="E140" i="21"/>
  <c r="Y139" i="21"/>
  <c r="X139" i="21"/>
  <c r="V139" i="21" s="1"/>
  <c r="W139" i="21"/>
  <c r="U139" i="21"/>
  <c r="Q139" i="21"/>
  <c r="P139" i="21"/>
  <c r="N139" i="21" s="1"/>
  <c r="O139" i="21"/>
  <c r="M139" i="21"/>
  <c r="I139" i="21"/>
  <c r="H139" i="21"/>
  <c r="G139" i="21"/>
  <c r="F139" i="21"/>
  <c r="E139" i="21"/>
  <c r="AN136" i="21"/>
  <c r="AM136" i="21"/>
  <c r="AL136" i="21"/>
  <c r="AK136" i="21"/>
  <c r="AJ136" i="21"/>
  <c r="AG136" i="21"/>
  <c r="AF136" i="21"/>
  <c r="AE136" i="21"/>
  <c r="AD136" i="21"/>
  <c r="AC136" i="21"/>
  <c r="Z136" i="21"/>
  <c r="V136" i="21" s="1"/>
  <c r="Y136" i="21"/>
  <c r="X136" i="21"/>
  <c r="S136" i="21"/>
  <c r="R136" i="21"/>
  <c r="Q136" i="21"/>
  <c r="P136" i="21"/>
  <c r="O136" i="21"/>
  <c r="E136" i="21"/>
  <c r="D136" i="21"/>
  <c r="C136" i="21"/>
  <c r="B136" i="21"/>
  <c r="AN135" i="21"/>
  <c r="AM135" i="21"/>
  <c r="AL135" i="21"/>
  <c r="AK135" i="21"/>
  <c r="AJ135" i="21"/>
  <c r="AG135" i="21"/>
  <c r="AF135" i="21"/>
  <c r="AE135" i="21"/>
  <c r="AD135" i="21"/>
  <c r="AC135" i="21"/>
  <c r="Z135" i="21"/>
  <c r="Y135" i="21"/>
  <c r="X135" i="21"/>
  <c r="V135" i="21"/>
  <c r="S135" i="21"/>
  <c r="R135" i="21"/>
  <c r="Q135" i="21"/>
  <c r="O135" i="21"/>
  <c r="M135" i="21"/>
  <c r="E135" i="21"/>
  <c r="D135" i="21"/>
  <c r="C135" i="21"/>
  <c r="B135" i="21"/>
  <c r="AN134" i="21"/>
  <c r="AM134" i="21"/>
  <c r="AL134" i="21"/>
  <c r="AK134" i="21"/>
  <c r="AJ134" i="21"/>
  <c r="AG134" i="21"/>
  <c r="AF134" i="21"/>
  <c r="AE134" i="21"/>
  <c r="AD134" i="21"/>
  <c r="AC134" i="21"/>
  <c r="Z134" i="21"/>
  <c r="V134" i="21" s="1"/>
  <c r="Y134" i="21"/>
  <c r="X134" i="21"/>
  <c r="T134" i="21"/>
  <c r="S134" i="21"/>
  <c r="R134" i="21"/>
  <c r="Q134" i="21"/>
  <c r="P134" i="21"/>
  <c r="O134" i="21"/>
  <c r="E134" i="21"/>
  <c r="D134" i="21"/>
  <c r="C134" i="21"/>
  <c r="B134" i="21"/>
  <c r="AN133" i="21"/>
  <c r="AM133" i="21"/>
  <c r="AL133" i="21"/>
  <c r="AK133" i="21"/>
  <c r="AJ133" i="21"/>
  <c r="AG133" i="21"/>
  <c r="AF133" i="21"/>
  <c r="AE133" i="21"/>
  <c r="AD133" i="21"/>
  <c r="AC133" i="21"/>
  <c r="Z133" i="21"/>
  <c r="V133" i="21" s="1"/>
  <c r="Y133" i="21"/>
  <c r="X133" i="21"/>
  <c r="S133" i="21"/>
  <c r="O133" i="21" s="1"/>
  <c r="R133" i="21"/>
  <c r="Q133" i="21"/>
  <c r="F133" i="21"/>
  <c r="E133" i="21"/>
  <c r="D133" i="21"/>
  <c r="C133" i="21"/>
  <c r="B133" i="21"/>
  <c r="S127" i="21"/>
  <c r="O127" i="21" s="1"/>
  <c r="R127" i="21"/>
  <c r="AF124" i="21"/>
  <c r="W124" i="21"/>
  <c r="M124" i="21"/>
  <c r="D124" i="21"/>
  <c r="AD123" i="21"/>
  <c r="T123" i="21"/>
  <c r="K123" i="21"/>
  <c r="B123" i="21"/>
  <c r="AG122" i="21"/>
  <c r="AF122" i="21"/>
  <c r="AE122" i="21"/>
  <c r="AD122" i="21"/>
  <c r="AC122" i="21"/>
  <c r="Z122" i="21"/>
  <c r="Y122" i="21"/>
  <c r="X122" i="21"/>
  <c r="W122" i="21"/>
  <c r="V122" i="21"/>
  <c r="S122" i="21"/>
  <c r="R122" i="21"/>
  <c r="Q122" i="21"/>
  <c r="P122" i="21"/>
  <c r="O122" i="21"/>
  <c r="L122" i="21"/>
  <c r="K122" i="21"/>
  <c r="J122" i="21"/>
  <c r="I122" i="21"/>
  <c r="H122" i="21"/>
  <c r="E122" i="21"/>
  <c r="A122" i="21" s="1"/>
  <c r="D122" i="21"/>
  <c r="C122" i="21"/>
  <c r="B122" i="21"/>
  <c r="AH121" i="21"/>
  <c r="AG121" i="21"/>
  <c r="AF121" i="21"/>
  <c r="AE121" i="21"/>
  <c r="AD121" i="21"/>
  <c r="AC121" i="21"/>
  <c r="Z121" i="21"/>
  <c r="Y121" i="21"/>
  <c r="X121" i="21"/>
  <c r="W121" i="21"/>
  <c r="V121" i="21"/>
  <c r="T121" i="21"/>
  <c r="S121" i="21"/>
  <c r="R121" i="21"/>
  <c r="Q121" i="21"/>
  <c r="P121" i="21"/>
  <c r="O121" i="21"/>
  <c r="L121" i="21"/>
  <c r="K121" i="21"/>
  <c r="J121" i="21"/>
  <c r="I121" i="21"/>
  <c r="H121" i="21"/>
  <c r="E121" i="21"/>
  <c r="D121" i="21"/>
  <c r="C121" i="21"/>
  <c r="B121" i="21"/>
  <c r="A121" i="21"/>
  <c r="BJ118" i="21"/>
  <c r="BI118" i="21"/>
  <c r="BH118" i="21"/>
  <c r="BG118" i="21"/>
  <c r="BE118" i="21"/>
  <c r="BC118" i="21"/>
  <c r="BB118" i="21"/>
  <c r="BA118" i="21"/>
  <c r="AZ118" i="21"/>
  <c r="AX118" i="21"/>
  <c r="AV118" i="21"/>
  <c r="AU118" i="21"/>
  <c r="AQ118" i="21" s="1"/>
  <c r="AT118" i="21"/>
  <c r="AS118" i="21"/>
  <c r="AO118" i="21"/>
  <c r="AN118" i="21"/>
  <c r="AM118" i="21"/>
  <c r="AL118" i="21"/>
  <c r="AK118" i="21"/>
  <c r="AJ118" i="21"/>
  <c r="AG118" i="21"/>
  <c r="AC118" i="21" s="1"/>
  <c r="AF118" i="21"/>
  <c r="AE118" i="21"/>
  <c r="Z118" i="21"/>
  <c r="Y118" i="21"/>
  <c r="X118" i="21"/>
  <c r="V118" i="21"/>
  <c r="S118" i="21"/>
  <c r="O118" i="21" s="1"/>
  <c r="Q118" i="21"/>
  <c r="M118" i="21"/>
  <c r="L118" i="21"/>
  <c r="K118" i="21"/>
  <c r="J118" i="21"/>
  <c r="I118" i="21"/>
  <c r="H118" i="21"/>
  <c r="E118" i="21"/>
  <c r="A118" i="21" s="1"/>
  <c r="D118" i="21"/>
  <c r="C118" i="21"/>
  <c r="BJ117" i="21"/>
  <c r="BI117" i="21"/>
  <c r="BH117" i="21"/>
  <c r="BG117" i="21"/>
  <c r="BE117" i="21"/>
  <c r="BC117" i="21"/>
  <c r="BB117" i="21"/>
  <c r="AX117" i="21" s="1"/>
  <c r="BA117" i="21"/>
  <c r="AZ117" i="21"/>
  <c r="AV117" i="21"/>
  <c r="AU117" i="21"/>
  <c r="AT117" i="21"/>
  <c r="AS117" i="21"/>
  <c r="AQ117" i="21"/>
  <c r="AN117" i="21"/>
  <c r="AJ117" i="21" s="1"/>
  <c r="AM117" i="21"/>
  <c r="AL117" i="21"/>
  <c r="AG117" i="21"/>
  <c r="AF117" i="21"/>
  <c r="AE117" i="21"/>
  <c r="AD117" i="21"/>
  <c r="AC117" i="21"/>
  <c r="Z117" i="21"/>
  <c r="Y117" i="21"/>
  <c r="X117" i="21"/>
  <c r="V117" i="21"/>
  <c r="S117" i="21"/>
  <c r="O117" i="21" s="1"/>
  <c r="Q117" i="21"/>
  <c r="P117" i="21"/>
  <c r="L117" i="21"/>
  <c r="H117" i="21" s="1"/>
  <c r="K117" i="21"/>
  <c r="J117" i="21"/>
  <c r="E117" i="21"/>
  <c r="A117" i="21" s="1"/>
  <c r="D117" i="21"/>
  <c r="C117" i="21"/>
  <c r="BJ116" i="21"/>
  <c r="BI116" i="21"/>
  <c r="BE116" i="21" s="1"/>
  <c r="BH116" i="21"/>
  <c r="BG116" i="21"/>
  <c r="BC116" i="21"/>
  <c r="BB116" i="21"/>
  <c r="AX116" i="21" s="1"/>
  <c r="BA116" i="21"/>
  <c r="AZ116" i="21"/>
  <c r="AV116" i="21"/>
  <c r="AU116" i="21"/>
  <c r="AQ116" i="21" s="1"/>
  <c r="AT116" i="21"/>
  <c r="AS116" i="21"/>
  <c r="AO116" i="21"/>
  <c r="AN116" i="21"/>
  <c r="AM116" i="21"/>
  <c r="AL116" i="21"/>
  <c r="AK116" i="21"/>
  <c r="AJ116" i="21"/>
  <c r="AG116" i="21"/>
  <c r="AF116" i="21"/>
  <c r="AE116" i="21"/>
  <c r="AC116" i="21"/>
  <c r="Z116" i="21"/>
  <c r="Y116" i="21"/>
  <c r="X116" i="21"/>
  <c r="V116" i="21"/>
  <c r="S116" i="21"/>
  <c r="R116" i="21"/>
  <c r="Q116" i="21"/>
  <c r="O116" i="21"/>
  <c r="M116" i="21"/>
  <c r="L116" i="21"/>
  <c r="K116" i="21"/>
  <c r="J116" i="21"/>
  <c r="I116" i="21"/>
  <c r="H116" i="21"/>
  <c r="E116" i="21"/>
  <c r="A116" i="21" s="1"/>
  <c r="D116" i="21"/>
  <c r="C116" i="21"/>
  <c r="BJ115" i="21"/>
  <c r="BI115" i="21"/>
  <c r="BH115" i="21"/>
  <c r="BG115" i="21"/>
  <c r="BE115" i="21"/>
  <c r="BC115" i="21"/>
  <c r="BB115" i="21"/>
  <c r="BA115" i="21"/>
  <c r="AZ115" i="21"/>
  <c r="AX115" i="21"/>
  <c r="AV115" i="21"/>
  <c r="AU115" i="21"/>
  <c r="AT115" i="21"/>
  <c r="AS115" i="21"/>
  <c r="AQ115" i="21"/>
  <c r="AN115" i="21"/>
  <c r="AM115" i="21"/>
  <c r="AL115" i="21"/>
  <c r="AJ115" i="21"/>
  <c r="AG115" i="21"/>
  <c r="AF115" i="21"/>
  <c r="AE115" i="21"/>
  <c r="AD115" i="21"/>
  <c r="AC115" i="21"/>
  <c r="Z115" i="21"/>
  <c r="V115" i="21" s="1"/>
  <c r="Y115" i="21"/>
  <c r="X115" i="21"/>
  <c r="T115" i="21"/>
  <c r="S115" i="21"/>
  <c r="O115" i="21" s="1"/>
  <c r="Q115" i="21"/>
  <c r="L115" i="21"/>
  <c r="H115" i="21" s="1"/>
  <c r="K115" i="21"/>
  <c r="J115" i="21"/>
  <c r="E115" i="21"/>
  <c r="A115" i="21" s="1"/>
  <c r="D115" i="21"/>
  <c r="C115" i="21"/>
  <c r="B115" i="21"/>
  <c r="BJ114" i="21"/>
  <c r="BI114" i="21"/>
  <c r="BH114" i="21"/>
  <c r="BG114" i="21"/>
  <c r="BF114" i="21"/>
  <c r="BE114" i="21"/>
  <c r="BC114" i="21"/>
  <c r="BB114" i="21"/>
  <c r="BA114" i="21"/>
  <c r="AZ114" i="21"/>
  <c r="AY114" i="21"/>
  <c r="AX114" i="21"/>
  <c r="AV114" i="21"/>
  <c r="AU114" i="21"/>
  <c r="AT114" i="21"/>
  <c r="AS114" i="21"/>
  <c r="AR114" i="21"/>
  <c r="AQ114" i="21"/>
  <c r="AO114" i="21"/>
  <c r="AN114" i="21"/>
  <c r="AJ114" i="21" s="1"/>
  <c r="AM114" i="21"/>
  <c r="AL114" i="21"/>
  <c r="AK114" i="21"/>
  <c r="AG114" i="21"/>
  <c r="AF114" i="21"/>
  <c r="AE114" i="21"/>
  <c r="AD114" i="21"/>
  <c r="AC114" i="21"/>
  <c r="Z114" i="21"/>
  <c r="Y114" i="21"/>
  <c r="X114" i="21"/>
  <c r="W114" i="21"/>
  <c r="V114" i="21"/>
  <c r="S114" i="21"/>
  <c r="Q114" i="21"/>
  <c r="P114" i="21"/>
  <c r="O114" i="21"/>
  <c r="L114" i="21"/>
  <c r="K114" i="21"/>
  <c r="J114" i="21"/>
  <c r="I114" i="21"/>
  <c r="H114" i="21"/>
  <c r="F114" i="21"/>
  <c r="E114" i="21"/>
  <c r="D114" i="21"/>
  <c r="C114" i="21"/>
  <c r="B114" i="21"/>
  <c r="A114" i="21"/>
  <c r="BJ113" i="21"/>
  <c r="BI113" i="21"/>
  <c r="BH113" i="21"/>
  <c r="BG113" i="21"/>
  <c r="BF113" i="21"/>
  <c r="BE113" i="21"/>
  <c r="BC113" i="21"/>
  <c r="BB113" i="21"/>
  <c r="BA113" i="21"/>
  <c r="AZ113" i="21"/>
  <c r="AY113" i="21"/>
  <c r="AX113" i="21"/>
  <c r="AV113" i="21"/>
  <c r="AU113" i="21"/>
  <c r="AT113" i="21"/>
  <c r="AS113" i="21"/>
  <c r="AR113" i="21"/>
  <c r="AQ113" i="21"/>
  <c r="AO113" i="21"/>
  <c r="AN113" i="21"/>
  <c r="AM113" i="21"/>
  <c r="AL113" i="21"/>
  <c r="AK113" i="21"/>
  <c r="AJ113" i="21"/>
  <c r="AG113" i="21"/>
  <c r="AF113" i="21"/>
  <c r="AE113" i="21"/>
  <c r="AD113" i="21"/>
  <c r="AC113" i="21"/>
  <c r="AA113" i="21"/>
  <c r="Z113" i="21"/>
  <c r="Y113" i="21"/>
  <c r="X113" i="21"/>
  <c r="W113" i="21"/>
  <c r="V113" i="21"/>
  <c r="S113" i="21"/>
  <c r="Q113" i="21"/>
  <c r="O113" i="21"/>
  <c r="M113" i="21"/>
  <c r="L113" i="21"/>
  <c r="K113" i="21"/>
  <c r="J113" i="21"/>
  <c r="I113" i="21"/>
  <c r="H113" i="21"/>
  <c r="E113" i="21"/>
  <c r="D113" i="21"/>
  <c r="C113" i="21"/>
  <c r="B113" i="21"/>
  <c r="A113" i="21"/>
  <c r="BJ112" i="21"/>
  <c r="BI112" i="21"/>
  <c r="BH112" i="21"/>
  <c r="BG112" i="21"/>
  <c r="BF112" i="21"/>
  <c r="BE112" i="21"/>
  <c r="BC112" i="21"/>
  <c r="BB112" i="21"/>
  <c r="BA112" i="21"/>
  <c r="AZ112" i="21"/>
  <c r="AY112" i="21"/>
  <c r="AX112" i="21"/>
  <c r="AV112" i="21"/>
  <c r="AU112" i="21"/>
  <c r="AT112" i="21"/>
  <c r="AS112" i="21"/>
  <c r="AR112" i="21"/>
  <c r="AQ112" i="21"/>
  <c r="AN112" i="21"/>
  <c r="AM112" i="21"/>
  <c r="AL112" i="21"/>
  <c r="AK112" i="21"/>
  <c r="AJ112" i="21"/>
  <c r="AG112" i="21"/>
  <c r="AF112" i="21"/>
  <c r="AE112" i="21"/>
  <c r="AD112" i="21"/>
  <c r="AC112" i="21"/>
  <c r="Z112" i="21"/>
  <c r="Y112" i="21"/>
  <c r="X112" i="21"/>
  <c r="W112" i="21"/>
  <c r="V112" i="21"/>
  <c r="S112" i="21"/>
  <c r="R112" i="21"/>
  <c r="Q112" i="21"/>
  <c r="P112" i="21"/>
  <c r="O112" i="21"/>
  <c r="L112" i="21"/>
  <c r="K112" i="21"/>
  <c r="J112" i="21"/>
  <c r="I112" i="21"/>
  <c r="H112" i="21"/>
  <c r="F112" i="21"/>
  <c r="E112" i="21"/>
  <c r="D112" i="21"/>
  <c r="C112" i="21"/>
  <c r="B112" i="21"/>
  <c r="A112" i="21"/>
  <c r="BJ111" i="21"/>
  <c r="BI111" i="21"/>
  <c r="BH111" i="21"/>
  <c r="BG111" i="21"/>
  <c r="BF111" i="21"/>
  <c r="BE111" i="21"/>
  <c r="BC111" i="21"/>
  <c r="BB111" i="21"/>
  <c r="BA111" i="21"/>
  <c r="AZ111" i="21"/>
  <c r="AY111" i="21"/>
  <c r="AX111" i="21"/>
  <c r="AV111" i="21"/>
  <c r="AU111" i="21"/>
  <c r="AT111" i="21"/>
  <c r="AS111" i="21"/>
  <c r="AR111" i="21"/>
  <c r="AQ111" i="21"/>
  <c r="AO111" i="21"/>
  <c r="AN111" i="21"/>
  <c r="AM111" i="21"/>
  <c r="AL111" i="21"/>
  <c r="AK111" i="21"/>
  <c r="AJ111" i="21"/>
  <c r="AG111" i="21"/>
  <c r="AF111" i="21"/>
  <c r="AE111" i="21"/>
  <c r="AD111" i="21"/>
  <c r="AC111" i="21"/>
  <c r="AA111" i="21"/>
  <c r="Z111" i="21"/>
  <c r="Y111" i="21"/>
  <c r="X111" i="21"/>
  <c r="W111" i="21"/>
  <c r="V111" i="21"/>
  <c r="S111" i="21"/>
  <c r="R111" i="21"/>
  <c r="Q111" i="21"/>
  <c r="O111" i="21"/>
  <c r="M111" i="21"/>
  <c r="L111" i="21"/>
  <c r="K111" i="21"/>
  <c r="J111" i="21"/>
  <c r="I111" i="21"/>
  <c r="H111" i="21"/>
  <c r="E111" i="21"/>
  <c r="D111" i="21"/>
  <c r="C111" i="21"/>
  <c r="B111" i="21"/>
  <c r="A111" i="21"/>
  <c r="BJ110" i="21"/>
  <c r="BI110" i="21"/>
  <c r="BH110" i="21"/>
  <c r="BG110" i="21"/>
  <c r="BF110" i="21"/>
  <c r="BE110" i="21"/>
  <c r="BC110" i="21"/>
  <c r="BB110" i="21"/>
  <c r="BA110" i="21"/>
  <c r="AZ110" i="21"/>
  <c r="AY110" i="21"/>
  <c r="AX110" i="21"/>
  <c r="AV110" i="21"/>
  <c r="AU110" i="21"/>
  <c r="AT110" i="21"/>
  <c r="AS110" i="21"/>
  <c r="AR110" i="21"/>
  <c r="AQ110" i="21"/>
  <c r="AN110" i="21"/>
  <c r="AM110" i="21"/>
  <c r="AL110" i="21"/>
  <c r="AK110" i="21"/>
  <c r="AJ110" i="21"/>
  <c r="AG110" i="21"/>
  <c r="AF110" i="21"/>
  <c r="AE110" i="21"/>
  <c r="AD110" i="21"/>
  <c r="AC110" i="21"/>
  <c r="Z110" i="21"/>
  <c r="Y110" i="21"/>
  <c r="X110" i="21"/>
  <c r="W110" i="21"/>
  <c r="V110" i="21"/>
  <c r="S110" i="21"/>
  <c r="Q110" i="21"/>
  <c r="P110" i="21"/>
  <c r="O110" i="21"/>
  <c r="L110" i="21"/>
  <c r="K110" i="21"/>
  <c r="J110" i="21"/>
  <c r="I110" i="21"/>
  <c r="H110" i="21"/>
  <c r="F110" i="21"/>
  <c r="E110" i="21"/>
  <c r="D110" i="21"/>
  <c r="C110" i="21"/>
  <c r="B110" i="21"/>
  <c r="A110" i="21"/>
  <c r="M96" i="21"/>
  <c r="M92" i="21"/>
  <c r="M88" i="21"/>
  <c r="R118" i="23"/>
  <c r="R118" i="22" s="1"/>
  <c r="R117" i="23"/>
  <c r="R116" i="23"/>
  <c r="R116" i="22" s="1"/>
  <c r="R115" i="23"/>
  <c r="R115" i="22" s="1"/>
  <c r="R114" i="23"/>
  <c r="R114" i="21" s="1"/>
  <c r="R113" i="23"/>
  <c r="R113" i="22" s="1"/>
  <c r="R112" i="23"/>
  <c r="R111" i="23"/>
  <c r="R111" i="22" s="1"/>
  <c r="R110" i="23"/>
  <c r="R110" i="22" s="1"/>
  <c r="Y151" i="20"/>
  <c r="X151" i="20"/>
  <c r="W151" i="20"/>
  <c r="Y150" i="20"/>
  <c r="X150" i="20"/>
  <c r="W150" i="20"/>
  <c r="Y149" i="20"/>
  <c r="X149" i="20"/>
  <c r="W149" i="20"/>
  <c r="Y148" i="20"/>
  <c r="X148" i="20"/>
  <c r="W148" i="20"/>
  <c r="Y147" i="20"/>
  <c r="X147" i="20"/>
  <c r="W147" i="20"/>
  <c r="Y146" i="20"/>
  <c r="X146" i="20"/>
  <c r="W146" i="20"/>
  <c r="Y145" i="20"/>
  <c r="X145" i="20"/>
  <c r="W145" i="20"/>
  <c r="Y144" i="20"/>
  <c r="X144" i="20"/>
  <c r="W144" i="20"/>
  <c r="Y143" i="20"/>
  <c r="X143" i="20"/>
  <c r="W143" i="20"/>
  <c r="Y142" i="20"/>
  <c r="X142" i="20"/>
  <c r="W142" i="20"/>
  <c r="Y141" i="20"/>
  <c r="X141" i="20"/>
  <c r="W141" i="20"/>
  <c r="Y140" i="20"/>
  <c r="X140" i="20"/>
  <c r="W140" i="20"/>
  <c r="Y139" i="20"/>
  <c r="X139" i="20"/>
  <c r="W139" i="20"/>
  <c r="U151" i="20"/>
  <c r="U150" i="20"/>
  <c r="U149" i="20"/>
  <c r="U148" i="20"/>
  <c r="U147" i="20"/>
  <c r="U146" i="20"/>
  <c r="U145" i="20"/>
  <c r="U144" i="20"/>
  <c r="U143" i="20"/>
  <c r="U142" i="20"/>
  <c r="U141" i="20"/>
  <c r="U140" i="20"/>
  <c r="U139" i="20"/>
  <c r="Q146" i="20"/>
  <c r="P146" i="20"/>
  <c r="O146" i="20"/>
  <c r="Q145" i="20"/>
  <c r="P145" i="20"/>
  <c r="O145" i="20"/>
  <c r="Q144" i="20"/>
  <c r="P144" i="20"/>
  <c r="O144" i="20"/>
  <c r="Q143" i="20"/>
  <c r="P143" i="20"/>
  <c r="O143" i="20"/>
  <c r="Q142" i="20"/>
  <c r="P142" i="20"/>
  <c r="O142" i="20"/>
  <c r="Q141" i="20"/>
  <c r="P141" i="20"/>
  <c r="O141" i="20"/>
  <c r="Q140" i="20"/>
  <c r="P140" i="20"/>
  <c r="O140" i="20"/>
  <c r="Q139" i="20"/>
  <c r="P139" i="20"/>
  <c r="O139" i="20"/>
  <c r="M146" i="20"/>
  <c r="M145" i="20"/>
  <c r="M144" i="20"/>
  <c r="M143" i="20"/>
  <c r="M142" i="20"/>
  <c r="M141" i="20"/>
  <c r="M140" i="20"/>
  <c r="M139" i="20"/>
  <c r="BJ118" i="20"/>
  <c r="BI118" i="20"/>
  <c r="BH118" i="20"/>
  <c r="BG118" i="20"/>
  <c r="BF118" i="20"/>
  <c r="BJ117" i="20"/>
  <c r="BI117" i="20"/>
  <c r="BH117" i="20"/>
  <c r="BG117" i="20"/>
  <c r="BJ116" i="20"/>
  <c r="BI116" i="20"/>
  <c r="BH116" i="20"/>
  <c r="BG116" i="20"/>
  <c r="BJ115" i="20"/>
  <c r="BI115" i="20"/>
  <c r="BH115" i="20"/>
  <c r="BG115" i="20"/>
  <c r="BJ114" i="20"/>
  <c r="BI114" i="20"/>
  <c r="BH114" i="20"/>
  <c r="BG114" i="20"/>
  <c r="BF114" i="20"/>
  <c r="BJ113" i="20"/>
  <c r="BI113" i="20"/>
  <c r="BH113" i="20"/>
  <c r="BG113" i="20"/>
  <c r="BF113" i="20"/>
  <c r="BJ112" i="20"/>
  <c r="BI112" i="20"/>
  <c r="BH112" i="20"/>
  <c r="BG112" i="20"/>
  <c r="BF112" i="20"/>
  <c r="BJ111" i="20"/>
  <c r="BI111" i="20"/>
  <c r="BH111" i="20"/>
  <c r="BG111" i="20"/>
  <c r="BF111" i="20"/>
  <c r="BJ110" i="20"/>
  <c r="BI110" i="20"/>
  <c r="BH110" i="20"/>
  <c r="BG110" i="20"/>
  <c r="BF110" i="20"/>
  <c r="BC118" i="20"/>
  <c r="BB118" i="20"/>
  <c r="BA118" i="20"/>
  <c r="AZ118" i="20"/>
  <c r="BC117" i="20"/>
  <c r="BB117" i="20"/>
  <c r="BA117" i="20"/>
  <c r="AZ117" i="20"/>
  <c r="BC116" i="20"/>
  <c r="BB116" i="20"/>
  <c r="BA116" i="20"/>
  <c r="AZ116" i="20"/>
  <c r="AY116" i="20"/>
  <c r="BC115" i="20"/>
  <c r="BB115" i="20"/>
  <c r="BA115" i="20"/>
  <c r="AZ115" i="20"/>
  <c r="AY115" i="20"/>
  <c r="BC114" i="20"/>
  <c r="BB114" i="20"/>
  <c r="BA114" i="20"/>
  <c r="AZ114" i="20"/>
  <c r="AY114" i="20"/>
  <c r="BC113" i="20"/>
  <c r="BB113" i="20"/>
  <c r="BA113" i="20"/>
  <c r="AZ113" i="20"/>
  <c r="AY113" i="20"/>
  <c r="BC112" i="20"/>
  <c r="BB112" i="20"/>
  <c r="BA112" i="20"/>
  <c r="AZ112" i="20"/>
  <c r="AY112" i="20"/>
  <c r="BC111" i="20"/>
  <c r="BB111" i="20"/>
  <c r="BA111" i="20"/>
  <c r="AZ111" i="20"/>
  <c r="AY111" i="20"/>
  <c r="BC110" i="20"/>
  <c r="BB110" i="20"/>
  <c r="BA110" i="20"/>
  <c r="AZ110" i="20"/>
  <c r="AY110" i="20"/>
  <c r="AV118" i="20"/>
  <c r="AU118" i="20"/>
  <c r="AT118" i="20"/>
  <c r="AS118" i="20"/>
  <c r="AV117" i="20"/>
  <c r="AU117" i="20"/>
  <c r="AT117" i="20"/>
  <c r="AS117" i="20"/>
  <c r="AV116" i="20"/>
  <c r="AU116" i="20"/>
  <c r="AT116" i="20"/>
  <c r="AS116" i="20"/>
  <c r="AR116" i="20"/>
  <c r="AV115" i="20"/>
  <c r="AU115" i="20"/>
  <c r="AT115" i="20"/>
  <c r="AS115" i="20"/>
  <c r="AV114" i="20"/>
  <c r="AU114" i="20"/>
  <c r="AT114" i="20"/>
  <c r="AS114" i="20"/>
  <c r="AR114" i="20"/>
  <c r="AV113" i="20"/>
  <c r="AU113" i="20"/>
  <c r="AT113" i="20"/>
  <c r="AS113" i="20"/>
  <c r="AR113" i="20"/>
  <c r="AV112" i="20"/>
  <c r="AU112" i="20"/>
  <c r="AT112" i="20"/>
  <c r="AS112" i="20"/>
  <c r="AR112" i="20"/>
  <c r="AV111" i="20"/>
  <c r="AU111" i="20"/>
  <c r="AT111" i="20"/>
  <c r="AS111" i="20"/>
  <c r="AR111" i="20"/>
  <c r="AV110" i="20"/>
  <c r="AU110" i="20"/>
  <c r="AT110" i="20"/>
  <c r="AS110" i="20"/>
  <c r="AR110" i="20"/>
  <c r="AO136" i="20"/>
  <c r="AN136" i="20"/>
  <c r="AM136" i="20"/>
  <c r="AL136" i="20"/>
  <c r="AK136" i="20"/>
  <c r="AO135" i="20"/>
  <c r="AN135" i="20"/>
  <c r="AM135" i="20"/>
  <c r="AL135" i="20"/>
  <c r="AK135" i="20"/>
  <c r="AN134" i="20"/>
  <c r="AM134" i="20"/>
  <c r="AL134" i="20"/>
  <c r="AK134" i="20"/>
  <c r="AN133" i="20"/>
  <c r="AM133" i="20"/>
  <c r="AL133" i="20"/>
  <c r="AK133" i="20"/>
  <c r="AO118" i="20"/>
  <c r="AN118" i="20"/>
  <c r="AM118" i="20"/>
  <c r="AL118" i="20"/>
  <c r="AK118" i="20"/>
  <c r="AO117" i="20"/>
  <c r="AN117" i="20"/>
  <c r="AM117" i="20"/>
  <c r="AL117" i="20"/>
  <c r="AK117" i="20"/>
  <c r="AN116" i="20"/>
  <c r="AM116" i="20"/>
  <c r="AL116" i="20"/>
  <c r="AN115" i="20"/>
  <c r="AM115" i="20"/>
  <c r="AL115" i="20"/>
  <c r="AO114" i="20"/>
  <c r="AN114" i="20"/>
  <c r="AM114" i="20"/>
  <c r="AL114" i="20"/>
  <c r="AK114" i="20"/>
  <c r="AO113" i="20"/>
  <c r="AN113" i="20"/>
  <c r="AM113" i="20"/>
  <c r="AL113" i="20"/>
  <c r="AK113" i="20"/>
  <c r="AN112" i="20"/>
  <c r="AM112" i="20"/>
  <c r="AL112" i="20"/>
  <c r="AK112" i="20"/>
  <c r="AN111" i="20"/>
  <c r="AM111" i="20"/>
  <c r="AL111" i="20"/>
  <c r="AK111" i="20"/>
  <c r="AO110" i="20"/>
  <c r="AN110" i="20"/>
  <c r="AM110" i="20"/>
  <c r="AL110" i="20"/>
  <c r="AK110" i="20"/>
  <c r="AH136" i="20"/>
  <c r="AG136" i="20"/>
  <c r="AF136" i="20"/>
  <c r="AE136" i="20"/>
  <c r="AD136" i="20"/>
  <c r="AG135" i="20"/>
  <c r="AF135" i="20"/>
  <c r="AE135" i="20"/>
  <c r="AD135" i="20"/>
  <c r="AG134" i="20"/>
  <c r="AF134" i="20"/>
  <c r="AE134" i="20"/>
  <c r="AD134" i="20"/>
  <c r="AG133" i="20"/>
  <c r="AF133" i="20"/>
  <c r="AE133" i="20"/>
  <c r="AD133" i="20"/>
  <c r="AH124" i="20"/>
  <c r="AE124" i="20"/>
  <c r="AD124" i="20"/>
  <c r="AG122" i="20"/>
  <c r="AF122" i="20"/>
  <c r="AE122" i="20"/>
  <c r="AD122" i="20"/>
  <c r="AH121" i="20"/>
  <c r="AG121" i="20"/>
  <c r="AF121" i="20"/>
  <c r="AE121" i="20"/>
  <c r="AD121" i="20"/>
  <c r="AG118" i="20"/>
  <c r="AF118" i="20"/>
  <c r="AE118" i="20"/>
  <c r="AD118" i="20"/>
  <c r="AG117" i="20"/>
  <c r="AF117" i="20"/>
  <c r="AE117" i="20"/>
  <c r="AG116" i="20"/>
  <c r="AF116" i="20"/>
  <c r="AE116" i="20"/>
  <c r="AG115" i="20"/>
  <c r="AF115" i="20"/>
  <c r="AE115" i="20"/>
  <c r="AD115" i="20"/>
  <c r="AG114" i="20"/>
  <c r="AF114" i="20"/>
  <c r="AE114" i="20"/>
  <c r="AD114" i="20"/>
  <c r="AG113" i="20"/>
  <c r="AF113" i="20"/>
  <c r="AE113" i="20"/>
  <c r="AD113" i="20"/>
  <c r="AG112" i="20"/>
  <c r="AF112" i="20"/>
  <c r="AE112" i="20"/>
  <c r="AD112" i="20"/>
  <c r="AG111" i="20"/>
  <c r="AF111" i="20"/>
  <c r="AE111" i="20"/>
  <c r="AD111" i="20"/>
  <c r="AG110" i="20"/>
  <c r="AF110" i="20"/>
  <c r="AE110" i="20"/>
  <c r="AD110" i="20"/>
  <c r="Z136" i="20"/>
  <c r="Y136" i="20"/>
  <c r="X136" i="20"/>
  <c r="Z135" i="20"/>
  <c r="Y135" i="20"/>
  <c r="X135" i="20"/>
  <c r="AA134" i="20"/>
  <c r="Z134" i="20"/>
  <c r="Y134" i="20"/>
  <c r="X134" i="20"/>
  <c r="AA133" i="20"/>
  <c r="Z133" i="20"/>
  <c r="Y133" i="20"/>
  <c r="X133" i="20"/>
  <c r="W133" i="20"/>
  <c r="Y123" i="20"/>
  <c r="AA122" i="20"/>
  <c r="Z122" i="20"/>
  <c r="Y122" i="20"/>
  <c r="X122" i="20"/>
  <c r="W122" i="20"/>
  <c r="AA121" i="20"/>
  <c r="Z121" i="20"/>
  <c r="Y121" i="20"/>
  <c r="X121" i="20"/>
  <c r="W121" i="20"/>
  <c r="Z118" i="20"/>
  <c r="Y118" i="20"/>
  <c r="X118" i="20"/>
  <c r="Z117" i="20"/>
  <c r="Y117" i="20"/>
  <c r="X117" i="20"/>
  <c r="Z116" i="20"/>
  <c r="Y116" i="20"/>
  <c r="X116" i="20"/>
  <c r="AA115" i="20"/>
  <c r="Z115" i="20"/>
  <c r="Y115" i="20"/>
  <c r="X115" i="20"/>
  <c r="Z114" i="20"/>
  <c r="Y114" i="20"/>
  <c r="X114" i="20"/>
  <c r="W114" i="20"/>
  <c r="Z113" i="20"/>
  <c r="Y113" i="20"/>
  <c r="X113" i="20"/>
  <c r="W113" i="20"/>
  <c r="AA112" i="20"/>
  <c r="Z112" i="20"/>
  <c r="Y112" i="20"/>
  <c r="X112" i="20"/>
  <c r="W112" i="20"/>
  <c r="AA111" i="20"/>
  <c r="Z111" i="20"/>
  <c r="Y111" i="20"/>
  <c r="X111" i="20"/>
  <c r="W111" i="20"/>
  <c r="Z110" i="20"/>
  <c r="Y110" i="20"/>
  <c r="X110" i="20"/>
  <c r="W110" i="20"/>
  <c r="S136" i="20"/>
  <c r="R136" i="20"/>
  <c r="Q136" i="20"/>
  <c r="P136" i="20"/>
  <c r="T135" i="20"/>
  <c r="S135" i="20"/>
  <c r="R135" i="20"/>
  <c r="Q135" i="20"/>
  <c r="T134" i="20"/>
  <c r="S134" i="20"/>
  <c r="R134" i="20"/>
  <c r="Q134" i="20"/>
  <c r="P134" i="20"/>
  <c r="S133" i="20"/>
  <c r="R133" i="20"/>
  <c r="Q133" i="20"/>
  <c r="T129" i="20"/>
  <c r="T128" i="20"/>
  <c r="R124" i="20"/>
  <c r="T123" i="20"/>
  <c r="S123" i="20"/>
  <c r="P123" i="20"/>
  <c r="T122" i="20"/>
  <c r="S122" i="20"/>
  <c r="R122" i="20"/>
  <c r="Q122" i="20"/>
  <c r="P122" i="20"/>
  <c r="S121" i="20"/>
  <c r="R121" i="20"/>
  <c r="Q121" i="20"/>
  <c r="P121" i="20"/>
  <c r="S118" i="20"/>
  <c r="R118" i="20"/>
  <c r="Q118" i="20"/>
  <c r="T117" i="20"/>
  <c r="S117" i="20"/>
  <c r="Q117" i="20"/>
  <c r="T116" i="20"/>
  <c r="S116" i="20"/>
  <c r="R116" i="20"/>
  <c r="Q116" i="20"/>
  <c r="P116" i="20"/>
  <c r="S115" i="20"/>
  <c r="R115" i="20"/>
  <c r="Q115" i="20"/>
  <c r="S114" i="20"/>
  <c r="R114" i="20"/>
  <c r="Q114" i="20"/>
  <c r="S113" i="20"/>
  <c r="Q113" i="20"/>
  <c r="P113" i="20"/>
  <c r="S112" i="20"/>
  <c r="R112" i="20"/>
  <c r="Q112" i="20"/>
  <c r="P112" i="20"/>
  <c r="S111" i="20"/>
  <c r="R111" i="20"/>
  <c r="Q111" i="20"/>
  <c r="S110" i="20"/>
  <c r="R110" i="20"/>
  <c r="Q110" i="20"/>
  <c r="G159" i="20"/>
  <c r="F159" i="20"/>
  <c r="E159" i="20"/>
  <c r="F158" i="20"/>
  <c r="E158" i="20"/>
  <c r="G157" i="20"/>
  <c r="F157" i="20"/>
  <c r="E157" i="20"/>
  <c r="G156" i="20"/>
  <c r="F156" i="20"/>
  <c r="E156" i="20"/>
  <c r="G155" i="20"/>
  <c r="F155" i="20"/>
  <c r="E155" i="20"/>
  <c r="G154" i="20"/>
  <c r="F154" i="20"/>
  <c r="E154" i="20"/>
  <c r="C159" i="20"/>
  <c r="C158" i="20"/>
  <c r="C157" i="20"/>
  <c r="C156" i="20"/>
  <c r="C155" i="20"/>
  <c r="C154" i="20"/>
  <c r="I146" i="20"/>
  <c r="H146" i="20"/>
  <c r="G146" i="20"/>
  <c r="I145" i="20"/>
  <c r="H145" i="20"/>
  <c r="G145" i="20"/>
  <c r="I144" i="20"/>
  <c r="H144" i="20"/>
  <c r="G144" i="20"/>
  <c r="I143" i="20"/>
  <c r="H143" i="20"/>
  <c r="G143" i="20"/>
  <c r="I142" i="20"/>
  <c r="H142" i="20"/>
  <c r="G142" i="20"/>
  <c r="I141" i="20"/>
  <c r="H141" i="20"/>
  <c r="G141" i="20"/>
  <c r="I140" i="20"/>
  <c r="H140" i="20"/>
  <c r="G140" i="20"/>
  <c r="I139" i="20"/>
  <c r="H139" i="20"/>
  <c r="G139" i="20"/>
  <c r="E146" i="20"/>
  <c r="E145" i="20"/>
  <c r="E144" i="20"/>
  <c r="E143" i="20"/>
  <c r="E142" i="20"/>
  <c r="E141" i="20"/>
  <c r="E140" i="20"/>
  <c r="E139" i="20"/>
  <c r="M135" i="20"/>
  <c r="F136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M128" i="20"/>
  <c r="M127" i="20"/>
  <c r="K123" i="20"/>
  <c r="M122" i="20"/>
  <c r="L122" i="20"/>
  <c r="K122" i="20"/>
  <c r="J122" i="20"/>
  <c r="I122" i="20"/>
  <c r="M121" i="20"/>
  <c r="L121" i="20"/>
  <c r="K121" i="20"/>
  <c r="J121" i="20"/>
  <c r="I121" i="20"/>
  <c r="L118" i="20"/>
  <c r="K118" i="20"/>
  <c r="J118" i="20"/>
  <c r="L117" i="20"/>
  <c r="K117" i="20"/>
  <c r="J117" i="20"/>
  <c r="M116" i="20"/>
  <c r="L116" i="20"/>
  <c r="K116" i="20"/>
  <c r="J116" i="20"/>
  <c r="I116" i="20"/>
  <c r="M115" i="20"/>
  <c r="L115" i="20"/>
  <c r="K115" i="20"/>
  <c r="J115" i="20"/>
  <c r="I115" i="20"/>
  <c r="L114" i="20"/>
  <c r="K114" i="20"/>
  <c r="J114" i="20"/>
  <c r="I114" i="20"/>
  <c r="L113" i="20"/>
  <c r="K113" i="20"/>
  <c r="J113" i="20"/>
  <c r="I113" i="20"/>
  <c r="L112" i="20"/>
  <c r="K112" i="20"/>
  <c r="J112" i="20"/>
  <c r="I112" i="20"/>
  <c r="M111" i="20"/>
  <c r="L111" i="20"/>
  <c r="K111" i="20"/>
  <c r="J111" i="20"/>
  <c r="I111" i="20"/>
  <c r="L110" i="20"/>
  <c r="K110" i="20"/>
  <c r="J110" i="20"/>
  <c r="I110" i="20"/>
  <c r="F127" i="20"/>
  <c r="F124" i="20"/>
  <c r="C124" i="20"/>
  <c r="B124" i="20"/>
  <c r="E122" i="20"/>
  <c r="D122" i="20"/>
  <c r="C122" i="20"/>
  <c r="B122" i="20"/>
  <c r="F121" i="20"/>
  <c r="E121" i="20"/>
  <c r="D121" i="20"/>
  <c r="C121" i="20"/>
  <c r="B121" i="20"/>
  <c r="E118" i="20"/>
  <c r="D118" i="20"/>
  <c r="C118" i="20"/>
  <c r="B118" i="20"/>
  <c r="E117" i="20"/>
  <c r="D117" i="20"/>
  <c r="C117" i="20"/>
  <c r="E116" i="20"/>
  <c r="D116" i="20"/>
  <c r="C116" i="20"/>
  <c r="E115" i="20"/>
  <c r="D115" i="20"/>
  <c r="C115" i="20"/>
  <c r="B115" i="20"/>
  <c r="F114" i="20"/>
  <c r="E114" i="20"/>
  <c r="D114" i="20"/>
  <c r="C114" i="20"/>
  <c r="B114" i="20"/>
  <c r="E113" i="20"/>
  <c r="D113" i="20"/>
  <c r="C113" i="20"/>
  <c r="B113" i="20"/>
  <c r="E112" i="20"/>
  <c r="D112" i="20"/>
  <c r="C112" i="20"/>
  <c r="B112" i="20"/>
  <c r="F111" i="20"/>
  <c r="E111" i="20"/>
  <c r="D111" i="20"/>
  <c r="C111" i="20"/>
  <c r="B111" i="20"/>
  <c r="F110" i="20"/>
  <c r="E110" i="20"/>
  <c r="D110" i="20"/>
  <c r="C110" i="20"/>
  <c r="B110" i="20"/>
  <c r="M95" i="20"/>
  <c r="M91" i="20"/>
  <c r="M87" i="20"/>
  <c r="G159" i="23"/>
  <c r="D159" i="23"/>
  <c r="G158" i="23"/>
  <c r="G158" i="22" s="1"/>
  <c r="D158" i="23"/>
  <c r="D157" i="23"/>
  <c r="D156" i="23"/>
  <c r="D155" i="23"/>
  <c r="E154" i="23"/>
  <c r="D154" i="23"/>
  <c r="V151" i="23"/>
  <c r="V150" i="23"/>
  <c r="V149" i="23"/>
  <c r="V148" i="23"/>
  <c r="V147" i="23"/>
  <c r="V146" i="23"/>
  <c r="Q146" i="23"/>
  <c r="N146" i="23"/>
  <c r="F146" i="23"/>
  <c r="V145" i="23"/>
  <c r="N145" i="23"/>
  <c r="F145" i="23"/>
  <c r="V144" i="23"/>
  <c r="N144" i="23"/>
  <c r="F144" i="23"/>
  <c r="V143" i="23"/>
  <c r="N143" i="23"/>
  <c r="F143" i="23"/>
  <c r="V142" i="23"/>
  <c r="N142" i="23"/>
  <c r="F142" i="23"/>
  <c r="V141" i="23"/>
  <c r="N141" i="23"/>
  <c r="F141" i="23"/>
  <c r="V140" i="23"/>
  <c r="N140" i="23"/>
  <c r="F140" i="23"/>
  <c r="V139" i="23"/>
  <c r="N139" i="23"/>
  <c r="F139" i="23"/>
  <c r="AO136" i="23"/>
  <c r="AO136" i="21" s="1"/>
  <c r="AJ136" i="23"/>
  <c r="AH136" i="23"/>
  <c r="AH136" i="22" s="1"/>
  <c r="AC136" i="23"/>
  <c r="AA136" i="23"/>
  <c r="AA136" i="21" s="1"/>
  <c r="W136" i="23"/>
  <c r="W136" i="21" s="1"/>
  <c r="V136" i="23"/>
  <c r="T136" i="23"/>
  <c r="T136" i="22" s="1"/>
  <c r="P136" i="23"/>
  <c r="P136" i="22" s="1"/>
  <c r="O136" i="23"/>
  <c r="M136" i="23"/>
  <c r="M136" i="20" s="1"/>
  <c r="L136" i="23"/>
  <c r="L136" i="22" s="1"/>
  <c r="H136" i="22" s="1"/>
  <c r="K136" i="23"/>
  <c r="K136" i="20" s="1"/>
  <c r="J136" i="23"/>
  <c r="J136" i="22" s="1"/>
  <c r="I136" i="23"/>
  <c r="G136" i="23"/>
  <c r="A136" i="23" s="1"/>
  <c r="F136" i="23"/>
  <c r="AO135" i="23"/>
  <c r="AO135" i="22" s="1"/>
  <c r="AJ135" i="23"/>
  <c r="AH135" i="23"/>
  <c r="AH135" i="21" s="1"/>
  <c r="AC135" i="23"/>
  <c r="AA135" i="23"/>
  <c r="AA135" i="22" s="1"/>
  <c r="W135" i="23"/>
  <c r="W135" i="22" s="1"/>
  <c r="V135" i="23"/>
  <c r="T135" i="23"/>
  <c r="P135" i="23"/>
  <c r="O135" i="23"/>
  <c r="M135" i="23"/>
  <c r="M135" i="22" s="1"/>
  <c r="L135" i="23"/>
  <c r="H135" i="23" s="1"/>
  <c r="F37" i="23" s="1"/>
  <c r="K135" i="23"/>
  <c r="J135" i="23"/>
  <c r="I135" i="23"/>
  <c r="G135" i="23"/>
  <c r="A135" i="23" s="1"/>
  <c r="F135" i="23"/>
  <c r="F135" i="20" s="1"/>
  <c r="AO134" i="23"/>
  <c r="AO134" i="21" s="1"/>
  <c r="AJ134" i="23"/>
  <c r="AH134" i="23"/>
  <c r="AH134" i="22" s="1"/>
  <c r="AC134" i="23"/>
  <c r="AA134" i="23"/>
  <c r="AA134" i="21" s="1"/>
  <c r="W134" i="23"/>
  <c r="W134" i="21" s="1"/>
  <c r="V134" i="23"/>
  <c r="T134" i="23"/>
  <c r="T134" i="22" s="1"/>
  <c r="P134" i="23"/>
  <c r="P134" i="22" s="1"/>
  <c r="O134" i="23"/>
  <c r="M134" i="23"/>
  <c r="L134" i="23"/>
  <c r="K134" i="23"/>
  <c r="J134" i="23"/>
  <c r="I134" i="23"/>
  <c r="H134" i="23"/>
  <c r="E37" i="23" s="1"/>
  <c r="E41" i="23" s="1"/>
  <c r="G134" i="23"/>
  <c r="A134" i="23" s="1"/>
  <c r="F134" i="23"/>
  <c r="AO133" i="23"/>
  <c r="AO133" i="22" s="1"/>
  <c r="AJ133" i="23"/>
  <c r="G38" i="23" s="1"/>
  <c r="AH133" i="23"/>
  <c r="AH133" i="21" s="1"/>
  <c r="AC133" i="23"/>
  <c r="AA133" i="23"/>
  <c r="AA133" i="22" s="1"/>
  <c r="W133" i="23"/>
  <c r="W133" i="22" s="1"/>
  <c r="V133" i="23"/>
  <c r="E38" i="23" s="1"/>
  <c r="T133" i="23"/>
  <c r="P133" i="23"/>
  <c r="O133" i="23"/>
  <c r="M133" i="23"/>
  <c r="M133" i="22" s="1"/>
  <c r="L133" i="23"/>
  <c r="H133" i="23" s="1"/>
  <c r="D37" i="23" s="1"/>
  <c r="D41" i="23" s="1"/>
  <c r="K133" i="23"/>
  <c r="J133" i="23"/>
  <c r="I133" i="23"/>
  <c r="G133" i="23"/>
  <c r="A133" i="23" s="1"/>
  <c r="F133" i="23"/>
  <c r="F133" i="22" s="1"/>
  <c r="T130" i="23"/>
  <c r="T130" i="21" s="1"/>
  <c r="S130" i="23"/>
  <c r="R130" i="23"/>
  <c r="Q130" i="23"/>
  <c r="P130" i="23"/>
  <c r="O130" i="23"/>
  <c r="T129" i="23"/>
  <c r="S129" i="23"/>
  <c r="R129" i="23"/>
  <c r="Q129" i="23"/>
  <c r="P129" i="23"/>
  <c r="O129" i="23"/>
  <c r="T128" i="23"/>
  <c r="T128" i="22" s="1"/>
  <c r="S128" i="23"/>
  <c r="R128" i="23"/>
  <c r="Q128" i="23"/>
  <c r="P128" i="23"/>
  <c r="O128" i="23"/>
  <c r="M128" i="23"/>
  <c r="M128" i="22" s="1"/>
  <c r="L128" i="23"/>
  <c r="K128" i="23"/>
  <c r="J128" i="23"/>
  <c r="I128" i="23"/>
  <c r="H128" i="23"/>
  <c r="F128" i="23"/>
  <c r="E128" i="23"/>
  <c r="D128" i="23"/>
  <c r="C128" i="23"/>
  <c r="B128" i="23"/>
  <c r="A128" i="23"/>
  <c r="T127" i="23"/>
  <c r="S127" i="23"/>
  <c r="S127" i="22" s="1"/>
  <c r="O127" i="22" s="1"/>
  <c r="R127" i="23"/>
  <c r="R127" i="22" s="1"/>
  <c r="Q127" i="23"/>
  <c r="Q127" i="21" s="1"/>
  <c r="P127" i="23"/>
  <c r="O127" i="23"/>
  <c r="M127" i="23"/>
  <c r="M127" i="22" s="1"/>
  <c r="L127" i="23"/>
  <c r="H127" i="23" s="1"/>
  <c r="K127" i="23"/>
  <c r="J127" i="23"/>
  <c r="I127" i="23"/>
  <c r="F127" i="23"/>
  <c r="E127" i="23"/>
  <c r="D127" i="23"/>
  <c r="C127" i="23"/>
  <c r="B127" i="23"/>
  <c r="A127" i="23"/>
  <c r="AH124" i="23"/>
  <c r="AG124" i="23"/>
  <c r="AG124" i="22" s="1"/>
  <c r="AC124" i="22" s="1"/>
  <c r="AF124" i="23"/>
  <c r="AF124" i="22" s="1"/>
  <c r="AE124" i="23"/>
  <c r="AE124" i="21" s="1"/>
  <c r="AD124" i="23"/>
  <c r="AC124" i="23"/>
  <c r="AA124" i="23"/>
  <c r="AA124" i="22" s="1"/>
  <c r="Z124" i="23"/>
  <c r="Y124" i="23"/>
  <c r="X124" i="23"/>
  <c r="X124" i="22" s="1"/>
  <c r="W124" i="23"/>
  <c r="W124" i="20" s="1"/>
  <c r="V124" i="23"/>
  <c r="T124" i="23"/>
  <c r="S124" i="23"/>
  <c r="S124" i="22" s="1"/>
  <c r="O124" i="22" s="1"/>
  <c r="R124" i="23"/>
  <c r="R124" i="22" s="1"/>
  <c r="Q124" i="23"/>
  <c r="P124" i="23"/>
  <c r="O124" i="23"/>
  <c r="M124" i="23"/>
  <c r="M124" i="22" s="1"/>
  <c r="L124" i="23"/>
  <c r="L124" i="21" s="1"/>
  <c r="H124" i="21" s="1"/>
  <c r="K124" i="23"/>
  <c r="K124" i="20" s="1"/>
  <c r="J124" i="23"/>
  <c r="J124" i="22" s="1"/>
  <c r="I124" i="23"/>
  <c r="I124" i="22" s="1"/>
  <c r="H124" i="23"/>
  <c r="F124" i="23"/>
  <c r="E124" i="23"/>
  <c r="E124" i="22" s="1"/>
  <c r="A124" i="22" s="1"/>
  <c r="D124" i="23"/>
  <c r="D124" i="20" s="1"/>
  <c r="C124" i="23"/>
  <c r="C124" i="21" s="1"/>
  <c r="B124" i="23"/>
  <c r="A124" i="23"/>
  <c r="AH123" i="23"/>
  <c r="AH123" i="22" s="1"/>
  <c r="AG123" i="23"/>
  <c r="AF123" i="23"/>
  <c r="AF123" i="20" s="1"/>
  <c r="AE123" i="23"/>
  <c r="AE123" i="22" s="1"/>
  <c r="AD123" i="23"/>
  <c r="AD123" i="22" s="1"/>
  <c r="AA123" i="23"/>
  <c r="Z123" i="23"/>
  <c r="Z123" i="22" s="1"/>
  <c r="V123" i="22" s="1"/>
  <c r="Y123" i="23"/>
  <c r="Y123" i="22" s="1"/>
  <c r="X123" i="23"/>
  <c r="W123" i="23"/>
  <c r="V123" i="23"/>
  <c r="T123" i="23"/>
  <c r="S123" i="23"/>
  <c r="S123" i="21" s="1"/>
  <c r="O123" i="21" s="1"/>
  <c r="R123" i="23"/>
  <c r="Q123" i="23"/>
  <c r="Q123" i="22" s="1"/>
  <c r="P123" i="23"/>
  <c r="P123" i="22" s="1"/>
  <c r="O123" i="23"/>
  <c r="M123" i="23"/>
  <c r="L123" i="23"/>
  <c r="L123" i="22" s="1"/>
  <c r="H123" i="22" s="1"/>
  <c r="K123" i="23"/>
  <c r="K123" i="22" s="1"/>
  <c r="J123" i="23"/>
  <c r="J123" i="21" s="1"/>
  <c r="I123" i="23"/>
  <c r="H123" i="23"/>
  <c r="F123" i="23"/>
  <c r="F123" i="22" s="1"/>
  <c r="E123" i="23"/>
  <c r="D123" i="23"/>
  <c r="C123" i="23"/>
  <c r="C123" i="22" s="1"/>
  <c r="B123" i="23"/>
  <c r="B123" i="20" s="1"/>
  <c r="A123" i="23"/>
  <c r="AH122" i="23"/>
  <c r="AH122" i="20" s="1"/>
  <c r="AC122" i="23"/>
  <c r="D20" i="23" s="1"/>
  <c r="C165" i="23" s="1"/>
  <c r="AA122" i="23"/>
  <c r="AA122" i="22" s="1"/>
  <c r="V122" i="23"/>
  <c r="T122" i="23"/>
  <c r="O122" i="23"/>
  <c r="B20" i="23" s="1"/>
  <c r="D165" i="23" s="1"/>
  <c r="M122" i="23"/>
  <c r="M122" i="22" s="1"/>
  <c r="H122" i="23"/>
  <c r="F122" i="23"/>
  <c r="A122" i="23"/>
  <c r="AH121" i="23"/>
  <c r="AH121" i="22" s="1"/>
  <c r="AC121" i="23"/>
  <c r="AA121" i="23"/>
  <c r="V121" i="23"/>
  <c r="T121" i="23"/>
  <c r="T121" i="22" s="1"/>
  <c r="O121" i="23"/>
  <c r="M121" i="23"/>
  <c r="H121" i="23"/>
  <c r="F121" i="23"/>
  <c r="F121" i="22" s="1"/>
  <c r="A121" i="23"/>
  <c r="BF118" i="23"/>
  <c r="BE118" i="23"/>
  <c r="AY118" i="23"/>
  <c r="AY118" i="22" s="1"/>
  <c r="AX118" i="23"/>
  <c r="AR118" i="23"/>
  <c r="AQ118" i="23"/>
  <c r="AO118" i="23"/>
  <c r="AK118" i="23"/>
  <c r="AJ118" i="23"/>
  <c r="AH118" i="23"/>
  <c r="AD118" i="23"/>
  <c r="AC118" i="23"/>
  <c r="AA118" i="23"/>
  <c r="AA118" i="22" s="1"/>
  <c r="W118" i="23"/>
  <c r="W118" i="22" s="1"/>
  <c r="V118" i="23"/>
  <c r="T118" i="23"/>
  <c r="P118" i="23"/>
  <c r="O118" i="23"/>
  <c r="M118" i="23"/>
  <c r="M118" i="22" s="1"/>
  <c r="I118" i="23"/>
  <c r="I118" i="22" s="1"/>
  <c r="H118" i="23"/>
  <c r="F118" i="23"/>
  <c r="F118" i="20" s="1"/>
  <c r="B118" i="23"/>
  <c r="A118" i="23"/>
  <c r="BF117" i="23"/>
  <c r="BF117" i="22" s="1"/>
  <c r="BE117" i="23"/>
  <c r="AY117" i="23"/>
  <c r="AY117" i="20" s="1"/>
  <c r="AX117" i="23"/>
  <c r="AR117" i="23"/>
  <c r="AR117" i="22" s="1"/>
  <c r="AQ117" i="23"/>
  <c r="AO117" i="23"/>
  <c r="AK117" i="23"/>
  <c r="AJ117" i="23"/>
  <c r="AH117" i="23"/>
  <c r="AH117" i="20" s="1"/>
  <c r="AD117" i="23"/>
  <c r="AD117" i="20" s="1"/>
  <c r="AC117" i="23"/>
  <c r="AA117" i="23"/>
  <c r="W117" i="23"/>
  <c r="V117" i="23"/>
  <c r="T117" i="23"/>
  <c r="T117" i="22" s="1"/>
  <c r="P117" i="23"/>
  <c r="P117" i="22" s="1"/>
  <c r="O117" i="23"/>
  <c r="M117" i="23"/>
  <c r="M117" i="20" s="1"/>
  <c r="I117" i="23"/>
  <c r="I117" i="20" s="1"/>
  <c r="H117" i="23"/>
  <c r="F117" i="23"/>
  <c r="F117" i="22" s="1"/>
  <c r="B117" i="23"/>
  <c r="B117" i="22" s="1"/>
  <c r="A117" i="23"/>
  <c r="BF116" i="23"/>
  <c r="BE116" i="23"/>
  <c r="AY116" i="23"/>
  <c r="AY116" i="22" s="1"/>
  <c r="AX116" i="23"/>
  <c r="AR116" i="23"/>
  <c r="AQ116" i="23"/>
  <c r="AO116" i="23"/>
  <c r="AO116" i="20" s="1"/>
  <c r="AK116" i="23"/>
  <c r="AK116" i="20" s="1"/>
  <c r="AJ116" i="23"/>
  <c r="AH116" i="23"/>
  <c r="AD116" i="23"/>
  <c r="AD116" i="22" s="1"/>
  <c r="AC116" i="23"/>
  <c r="AA116" i="23"/>
  <c r="AA116" i="22" s="1"/>
  <c r="W116" i="23"/>
  <c r="W116" i="22" s="1"/>
  <c r="V116" i="23"/>
  <c r="T116" i="23"/>
  <c r="T116" i="22" s="1"/>
  <c r="P116" i="23"/>
  <c r="P116" i="22" s="1"/>
  <c r="O116" i="23"/>
  <c r="M116" i="23"/>
  <c r="I116" i="23"/>
  <c r="H116" i="23"/>
  <c r="F116" i="23"/>
  <c r="F116" i="22" s="1"/>
  <c r="B116" i="23"/>
  <c r="B116" i="22" s="1"/>
  <c r="A116" i="23"/>
  <c r="BF115" i="23"/>
  <c r="BF115" i="22" s="1"/>
  <c r="BE115" i="23"/>
  <c r="AY115" i="23"/>
  <c r="AY115" i="22" s="1"/>
  <c r="AX115" i="23"/>
  <c r="AR115" i="23"/>
  <c r="AR115" i="22" s="1"/>
  <c r="AQ115" i="23"/>
  <c r="AO115" i="23"/>
  <c r="AO115" i="22" s="1"/>
  <c r="AK115" i="23"/>
  <c r="AK115" i="22" s="1"/>
  <c r="AJ115" i="23"/>
  <c r="AH115" i="23"/>
  <c r="AH115" i="21" s="1"/>
  <c r="AD115" i="23"/>
  <c r="AC115" i="23"/>
  <c r="AA115" i="23"/>
  <c r="AA115" i="22" s="1"/>
  <c r="W115" i="23"/>
  <c r="W115" i="22" s="1"/>
  <c r="V115" i="23"/>
  <c r="T115" i="23"/>
  <c r="T115" i="22" s="1"/>
  <c r="P115" i="23"/>
  <c r="P115" i="20" s="1"/>
  <c r="O115" i="23"/>
  <c r="M115" i="23"/>
  <c r="M115" i="22" s="1"/>
  <c r="I115" i="23"/>
  <c r="I115" i="22" s="1"/>
  <c r="H115" i="23"/>
  <c r="F115" i="23"/>
  <c r="F115" i="22" s="1"/>
  <c r="B115" i="23"/>
  <c r="B115" i="22" s="1"/>
  <c r="A115" i="23"/>
  <c r="BE114" i="23"/>
  <c r="AX114" i="23"/>
  <c r="AQ114" i="23"/>
  <c r="AO114" i="23"/>
  <c r="AO114" i="22" s="1"/>
  <c r="AJ114" i="23"/>
  <c r="AH114" i="23"/>
  <c r="AH114" i="22" s="1"/>
  <c r="AC114" i="23"/>
  <c r="AA114" i="23"/>
  <c r="AA114" i="22" s="1"/>
  <c r="V114" i="23"/>
  <c r="T114" i="23"/>
  <c r="T114" i="22" s="1"/>
  <c r="P114" i="23"/>
  <c r="P114" i="22" s="1"/>
  <c r="O114" i="23"/>
  <c r="M114" i="23"/>
  <c r="M114" i="20" s="1"/>
  <c r="H114" i="23"/>
  <c r="F114" i="23"/>
  <c r="F114" i="22" s="1"/>
  <c r="A114" i="23"/>
  <c r="BE113" i="23"/>
  <c r="G14" i="23" s="1"/>
  <c r="AX113" i="23"/>
  <c r="F14" i="23" s="1"/>
  <c r="AQ113" i="23"/>
  <c r="AO113" i="23"/>
  <c r="AO113" i="22" s="1"/>
  <c r="AJ113" i="23"/>
  <c r="E14" i="23" s="1"/>
  <c r="AH113" i="23"/>
  <c r="AH113" i="22" s="1"/>
  <c r="AC113" i="23"/>
  <c r="AA113" i="23"/>
  <c r="AA113" i="22" s="1"/>
  <c r="V113" i="23"/>
  <c r="C14" i="23" s="1"/>
  <c r="T113" i="23"/>
  <c r="T113" i="20" s="1"/>
  <c r="P113" i="23"/>
  <c r="P113" i="22" s="1"/>
  <c r="O113" i="23"/>
  <c r="M113" i="23"/>
  <c r="M113" i="22" s="1"/>
  <c r="H113" i="23"/>
  <c r="A14" i="23" s="1"/>
  <c r="F113" i="23"/>
  <c r="F113" i="22" s="1"/>
  <c r="A113" i="23"/>
  <c r="BE112" i="23"/>
  <c r="AX112" i="23"/>
  <c r="AQ112" i="23"/>
  <c r="AO112" i="23"/>
  <c r="AO112" i="22" s="1"/>
  <c r="AJ112" i="23"/>
  <c r="AH112" i="23"/>
  <c r="AH112" i="22" s="1"/>
  <c r="AC112" i="23"/>
  <c r="AA112" i="23"/>
  <c r="AA112" i="22" s="1"/>
  <c r="V112" i="23"/>
  <c r="T112" i="23"/>
  <c r="T112" i="22" s="1"/>
  <c r="P112" i="23"/>
  <c r="P112" i="22" s="1"/>
  <c r="O112" i="23"/>
  <c r="M112" i="23"/>
  <c r="M112" i="22" s="1"/>
  <c r="H112" i="23"/>
  <c r="F112" i="23"/>
  <c r="F112" i="22" s="1"/>
  <c r="A112" i="23"/>
  <c r="BE111" i="23"/>
  <c r="AX111" i="23"/>
  <c r="AQ111" i="23"/>
  <c r="AO111" i="23"/>
  <c r="AO111" i="22" s="1"/>
  <c r="AJ111" i="23"/>
  <c r="AH111" i="23"/>
  <c r="AH111" i="22" s="1"/>
  <c r="AC111" i="23"/>
  <c r="AA111" i="23"/>
  <c r="AA111" i="22" s="1"/>
  <c r="V111" i="23"/>
  <c r="T111" i="23"/>
  <c r="T111" i="22" s="1"/>
  <c r="P111" i="23"/>
  <c r="P111" i="20" s="1"/>
  <c r="O111" i="23"/>
  <c r="M111" i="23"/>
  <c r="M111" i="22" s="1"/>
  <c r="H111" i="23"/>
  <c r="F111" i="23"/>
  <c r="F111" i="22" s="1"/>
  <c r="A111" i="23"/>
  <c r="BE110" i="23"/>
  <c r="AX110" i="23"/>
  <c r="AQ110" i="23"/>
  <c r="AO110" i="23"/>
  <c r="AO110" i="22" s="1"/>
  <c r="AJ110" i="23"/>
  <c r="AH110" i="23"/>
  <c r="AH110" i="22" s="1"/>
  <c r="AC110" i="23"/>
  <c r="AA110" i="23"/>
  <c r="AA110" i="22" s="1"/>
  <c r="V110" i="23"/>
  <c r="T110" i="23"/>
  <c r="T110" i="22" s="1"/>
  <c r="P110" i="23"/>
  <c r="P110" i="20" s="1"/>
  <c r="O110" i="23"/>
  <c r="M110" i="23"/>
  <c r="M110" i="22" s="1"/>
  <c r="H110" i="23"/>
  <c r="F110" i="23"/>
  <c r="A110" i="23"/>
  <c r="F107" i="23"/>
  <c r="B107" i="23"/>
  <c r="F106" i="23"/>
  <c r="B106" i="23"/>
  <c r="F105" i="23"/>
  <c r="B105" i="23"/>
  <c r="F104" i="23"/>
  <c r="B104" i="23"/>
  <c r="F103" i="23"/>
  <c r="C103" i="23"/>
  <c r="B103" i="23"/>
  <c r="F102" i="23"/>
  <c r="C102" i="23"/>
  <c r="B102" i="23"/>
  <c r="F101" i="23"/>
  <c r="E101" i="23"/>
  <c r="D101" i="23"/>
  <c r="C101" i="23"/>
  <c r="B101" i="23"/>
  <c r="A101" i="23"/>
  <c r="F57" i="23" s="1"/>
  <c r="F100" i="23"/>
  <c r="E100" i="23"/>
  <c r="D100" i="23"/>
  <c r="C100" i="23"/>
  <c r="B100" i="23"/>
  <c r="A100" i="23"/>
  <c r="G13" i="23" s="1"/>
  <c r="F99" i="23"/>
  <c r="E99" i="23"/>
  <c r="A99" i="23" s="1"/>
  <c r="G12" i="23" s="1"/>
  <c r="D99" i="23"/>
  <c r="C99" i="23"/>
  <c r="B99" i="23"/>
  <c r="M98" i="23"/>
  <c r="M98" i="22" s="1"/>
  <c r="L98" i="23"/>
  <c r="K98" i="23"/>
  <c r="J98" i="23"/>
  <c r="I98" i="23"/>
  <c r="H98" i="23"/>
  <c r="F98" i="23"/>
  <c r="E98" i="23"/>
  <c r="D98" i="23"/>
  <c r="C98" i="23"/>
  <c r="B98" i="23"/>
  <c r="A98" i="23"/>
  <c r="F13" i="23" s="1"/>
  <c r="M97" i="23"/>
  <c r="M97" i="22" s="1"/>
  <c r="L97" i="23"/>
  <c r="K97" i="23"/>
  <c r="J97" i="23"/>
  <c r="I97" i="23"/>
  <c r="H97" i="23"/>
  <c r="F97" i="23"/>
  <c r="E97" i="23"/>
  <c r="D97" i="23"/>
  <c r="C97" i="23"/>
  <c r="B97" i="23"/>
  <c r="A97" i="23"/>
  <c r="F12" i="23" s="1"/>
  <c r="M96" i="23"/>
  <c r="M96" i="22" s="1"/>
  <c r="L96" i="23"/>
  <c r="K96" i="23"/>
  <c r="J96" i="23"/>
  <c r="I96" i="23"/>
  <c r="H96" i="23"/>
  <c r="F96" i="23"/>
  <c r="E96" i="23"/>
  <c r="A96" i="23" s="1"/>
  <c r="F11" i="23" s="1"/>
  <c r="D96" i="23"/>
  <c r="C96" i="23"/>
  <c r="B96" i="23"/>
  <c r="M95" i="23"/>
  <c r="M95" i="21" s="1"/>
  <c r="L95" i="23"/>
  <c r="H95" i="23" s="1"/>
  <c r="K95" i="23"/>
  <c r="J95" i="23"/>
  <c r="I95" i="23"/>
  <c r="F95" i="23"/>
  <c r="E95" i="23"/>
  <c r="E95" i="22" s="1"/>
  <c r="A95" i="22" s="1"/>
  <c r="D95" i="23"/>
  <c r="D95" i="22" s="1"/>
  <c r="C95" i="23"/>
  <c r="C95" i="22" s="1"/>
  <c r="B95" i="23"/>
  <c r="B95" i="22" s="1"/>
  <c r="A95" i="23"/>
  <c r="H13" i="23" s="1"/>
  <c r="M94" i="23"/>
  <c r="M94" i="22" s="1"/>
  <c r="L94" i="23"/>
  <c r="L94" i="21" s="1"/>
  <c r="H94" i="21" s="1"/>
  <c r="K94" i="23"/>
  <c r="J94" i="23"/>
  <c r="J94" i="21" s="1"/>
  <c r="I94" i="23"/>
  <c r="I94" i="22" s="1"/>
  <c r="H94" i="23"/>
  <c r="E19" i="23" s="1"/>
  <c r="F94" i="23"/>
  <c r="E94" i="23"/>
  <c r="D94" i="23"/>
  <c r="C94" i="23"/>
  <c r="B94" i="23"/>
  <c r="A94" i="23"/>
  <c r="H12" i="23" s="1"/>
  <c r="M93" i="23"/>
  <c r="M93" i="22" s="1"/>
  <c r="L93" i="23"/>
  <c r="H93" i="23" s="1"/>
  <c r="D19" i="23" s="1"/>
  <c r="K93" i="23"/>
  <c r="J93" i="23"/>
  <c r="I93" i="23"/>
  <c r="F93" i="23"/>
  <c r="E93" i="23"/>
  <c r="D93" i="23"/>
  <c r="C93" i="23"/>
  <c r="B93" i="23"/>
  <c r="A93" i="23"/>
  <c r="E13" i="23" s="1"/>
  <c r="M92" i="23"/>
  <c r="M92" i="22" s="1"/>
  <c r="L92" i="23"/>
  <c r="H92" i="23" s="1"/>
  <c r="D18" i="23" s="1"/>
  <c r="K92" i="23"/>
  <c r="J92" i="23"/>
  <c r="I92" i="23"/>
  <c r="F92" i="23"/>
  <c r="E92" i="23"/>
  <c r="A92" i="23" s="1"/>
  <c r="D13" i="23" s="1"/>
  <c r="D92" i="23"/>
  <c r="C92" i="23"/>
  <c r="B92" i="23"/>
  <c r="M91" i="23"/>
  <c r="M91" i="21" s="1"/>
  <c r="L91" i="23"/>
  <c r="H91" i="23" s="1"/>
  <c r="C19" i="23" s="1"/>
  <c r="K91" i="23"/>
  <c r="J91" i="23"/>
  <c r="I91" i="23"/>
  <c r="F91" i="23"/>
  <c r="E91" i="23"/>
  <c r="D91" i="23"/>
  <c r="C91" i="23"/>
  <c r="B91" i="23"/>
  <c r="A91" i="23"/>
  <c r="M90" i="23"/>
  <c r="M90" i="22" s="1"/>
  <c r="L90" i="23"/>
  <c r="H90" i="23" s="1"/>
  <c r="C18" i="23" s="1"/>
  <c r="K90" i="23"/>
  <c r="J90" i="23"/>
  <c r="I90" i="23"/>
  <c r="F90" i="23"/>
  <c r="E90" i="23"/>
  <c r="A90" i="23" s="1"/>
  <c r="C12" i="23" s="1"/>
  <c r="D90" i="23"/>
  <c r="C90" i="23"/>
  <c r="B90" i="23"/>
  <c r="M89" i="23"/>
  <c r="M89" i="22" s="1"/>
  <c r="L89" i="23"/>
  <c r="H89" i="23" s="1"/>
  <c r="B19" i="23" s="1"/>
  <c r="K89" i="23"/>
  <c r="J89" i="23"/>
  <c r="I89" i="23"/>
  <c r="F89" i="23"/>
  <c r="E89" i="23"/>
  <c r="D89" i="23"/>
  <c r="C89" i="23"/>
  <c r="B89" i="23"/>
  <c r="A89" i="23"/>
  <c r="B13" i="23" s="1"/>
  <c r="M88" i="23"/>
  <c r="M88" i="22" s="1"/>
  <c r="L88" i="23"/>
  <c r="H88" i="23" s="1"/>
  <c r="B18" i="23" s="1"/>
  <c r="K88" i="23"/>
  <c r="J88" i="23"/>
  <c r="I88" i="23"/>
  <c r="F88" i="23"/>
  <c r="E88" i="23"/>
  <c r="A88" i="23" s="1"/>
  <c r="B12" i="23" s="1"/>
  <c r="D88" i="23"/>
  <c r="C88" i="23"/>
  <c r="B88" i="23"/>
  <c r="M87" i="23"/>
  <c r="M87" i="21" s="1"/>
  <c r="L87" i="23"/>
  <c r="H87" i="23" s="1"/>
  <c r="A19" i="23" s="1"/>
  <c r="K87" i="23"/>
  <c r="J87" i="23"/>
  <c r="I87" i="23"/>
  <c r="F87" i="23"/>
  <c r="E87" i="23"/>
  <c r="D87" i="23"/>
  <c r="C87" i="23"/>
  <c r="B87" i="23"/>
  <c r="A87" i="23"/>
  <c r="A13" i="23" s="1"/>
  <c r="M86" i="23"/>
  <c r="M86" i="22" s="1"/>
  <c r="L86" i="23"/>
  <c r="H86" i="23" s="1"/>
  <c r="A18" i="23" s="1"/>
  <c r="K86" i="23"/>
  <c r="J86" i="23"/>
  <c r="I86" i="23"/>
  <c r="F86" i="23"/>
  <c r="E86" i="23"/>
  <c r="A86" i="23" s="1"/>
  <c r="A12" i="23" s="1"/>
  <c r="D86" i="23"/>
  <c r="C86" i="23"/>
  <c r="B86" i="23"/>
  <c r="B82" i="23"/>
  <c r="B81" i="23"/>
  <c r="B80" i="23"/>
  <c r="B79" i="23"/>
  <c r="A62" i="23"/>
  <c r="A61" i="23"/>
  <c r="A60" i="23"/>
  <c r="A59" i="23"/>
  <c r="A58" i="23"/>
  <c r="D57" i="23"/>
  <c r="C57" i="23"/>
  <c r="A57" i="23"/>
  <c r="A56" i="23"/>
  <c r="F53" i="23"/>
  <c r="A53" i="23"/>
  <c r="G52" i="23"/>
  <c r="C52" i="23"/>
  <c r="G51" i="23"/>
  <c r="C51" i="23"/>
  <c r="F49" i="23"/>
  <c r="A49" i="23"/>
  <c r="F47" i="23"/>
  <c r="A47" i="23"/>
  <c r="A46" i="23"/>
  <c r="H44" i="23"/>
  <c r="A44" i="23"/>
  <c r="H43" i="23"/>
  <c r="A43" i="23"/>
  <c r="H42" i="23"/>
  <c r="A42" i="23"/>
  <c r="H41" i="23"/>
  <c r="F41" i="23"/>
  <c r="A41" i="23"/>
  <c r="F38" i="23"/>
  <c r="D38" i="23"/>
  <c r="A38" i="23"/>
  <c r="A37" i="23"/>
  <c r="H20" i="23"/>
  <c r="G20" i="23"/>
  <c r="T139" i="23" s="1"/>
  <c r="C20" i="23"/>
  <c r="A20" i="23"/>
  <c r="D164" i="23" s="1"/>
  <c r="B17" i="23"/>
  <c r="C162" i="23" s="1"/>
  <c r="H14" i="23"/>
  <c r="D14" i="23"/>
  <c r="A189" i="23" s="1"/>
  <c r="B14" i="23"/>
  <c r="C13" i="23"/>
  <c r="B11" i="23"/>
  <c r="A162" i="23" s="1"/>
  <c r="B8" i="23"/>
  <c r="A8" i="23"/>
  <c r="B7" i="23"/>
  <c r="A7" i="23"/>
  <c r="A6" i="23"/>
  <c r="A3" i="23"/>
  <c r="A154" i="23"/>
  <c r="S139" i="23"/>
  <c r="H18" i="23" l="1"/>
  <c r="T112" i="20"/>
  <c r="Q127" i="20"/>
  <c r="AH114" i="20"/>
  <c r="R117" i="22"/>
  <c r="R117" i="21"/>
  <c r="T110" i="21"/>
  <c r="T112" i="21"/>
  <c r="AH112" i="21"/>
  <c r="T114" i="21"/>
  <c r="F135" i="22"/>
  <c r="AA117" i="22"/>
  <c r="AA117" i="21"/>
  <c r="BF118" i="22"/>
  <c r="BF118" i="21"/>
  <c r="AA121" i="22"/>
  <c r="AA121" i="21"/>
  <c r="T122" i="22"/>
  <c r="T122" i="21"/>
  <c r="I123" i="22"/>
  <c r="I123" i="21"/>
  <c r="M123" i="22"/>
  <c r="M123" i="21"/>
  <c r="W123" i="22"/>
  <c r="W123" i="21"/>
  <c r="B124" i="22"/>
  <c r="B124" i="21"/>
  <c r="F124" i="22"/>
  <c r="F124" i="21"/>
  <c r="P124" i="22"/>
  <c r="P124" i="21"/>
  <c r="T124" i="22"/>
  <c r="T124" i="21"/>
  <c r="Y124" i="22"/>
  <c r="Y124" i="21"/>
  <c r="AD124" i="22"/>
  <c r="AD124" i="21"/>
  <c r="F128" i="21"/>
  <c r="F128" i="22"/>
  <c r="M92" i="20"/>
  <c r="F115" i="20"/>
  <c r="W116" i="20"/>
  <c r="Z123" i="20"/>
  <c r="AH111" i="20"/>
  <c r="BF115" i="20"/>
  <c r="M89" i="21"/>
  <c r="M97" i="21"/>
  <c r="AA116" i="21"/>
  <c r="AE123" i="21"/>
  <c r="AH116" i="22"/>
  <c r="AH116" i="21"/>
  <c r="W117" i="22"/>
  <c r="W117" i="21"/>
  <c r="AH118" i="22"/>
  <c r="AH118" i="21"/>
  <c r="M134" i="22"/>
  <c r="M134" i="21"/>
  <c r="W115" i="20"/>
  <c r="R113" i="21"/>
  <c r="F135" i="21"/>
  <c r="AH115" i="22"/>
  <c r="BF116" i="22"/>
  <c r="BF116" i="21"/>
  <c r="P118" i="22"/>
  <c r="P118" i="21"/>
  <c r="AR118" i="22"/>
  <c r="AR118" i="21"/>
  <c r="F122" i="22"/>
  <c r="F122" i="21"/>
  <c r="D123" i="22"/>
  <c r="D123" i="21"/>
  <c r="R123" i="22"/>
  <c r="R123" i="21"/>
  <c r="AA123" i="22"/>
  <c r="AA123" i="21"/>
  <c r="AF123" i="22"/>
  <c r="AF123" i="21"/>
  <c r="K124" i="22"/>
  <c r="K124" i="21"/>
  <c r="AH124" i="22"/>
  <c r="AH124" i="21"/>
  <c r="P135" i="22"/>
  <c r="P135" i="21"/>
  <c r="M136" i="22"/>
  <c r="M136" i="21"/>
  <c r="M88" i="20"/>
  <c r="M112" i="20"/>
  <c r="L123" i="20"/>
  <c r="P117" i="20"/>
  <c r="R127" i="20"/>
  <c r="AA116" i="20"/>
  <c r="AH133" i="20"/>
  <c r="M93" i="21"/>
  <c r="F115" i="21"/>
  <c r="P115" i="21"/>
  <c r="BF115" i="21"/>
  <c r="AH117" i="21"/>
  <c r="C123" i="21"/>
  <c r="X124" i="21"/>
  <c r="AG124" i="21"/>
  <c r="AC124" i="21" s="1"/>
  <c r="M133" i="21"/>
  <c r="R114" i="22"/>
  <c r="AH133" i="22"/>
  <c r="AK117" i="22"/>
  <c r="AK117" i="21"/>
  <c r="T118" i="22"/>
  <c r="T118" i="21"/>
  <c r="E123" i="21"/>
  <c r="A123" i="21" s="1"/>
  <c r="E123" i="22"/>
  <c r="A123" i="22" s="1"/>
  <c r="AG123" i="21"/>
  <c r="AC123" i="21" s="1"/>
  <c r="AG123" i="22"/>
  <c r="AC123" i="22" s="1"/>
  <c r="Q124" i="21"/>
  <c r="Q124" i="22"/>
  <c r="Z124" i="21"/>
  <c r="V124" i="21" s="1"/>
  <c r="Z124" i="22"/>
  <c r="V124" i="22" s="1"/>
  <c r="T135" i="22"/>
  <c r="T135" i="21"/>
  <c r="G159" i="22"/>
  <c r="G159" i="21"/>
  <c r="M89" i="20"/>
  <c r="M93" i="20"/>
  <c r="M97" i="20"/>
  <c r="F112" i="20"/>
  <c r="B116" i="20"/>
  <c r="F116" i="20"/>
  <c r="F122" i="20"/>
  <c r="E123" i="20"/>
  <c r="F128" i="20"/>
  <c r="M113" i="20"/>
  <c r="I123" i="20"/>
  <c r="M123" i="20"/>
  <c r="L124" i="20"/>
  <c r="F133" i="20"/>
  <c r="M133" i="20"/>
  <c r="G158" i="20"/>
  <c r="T110" i="20"/>
  <c r="P114" i="20"/>
  <c r="T114" i="20"/>
  <c r="P118" i="20"/>
  <c r="T118" i="20"/>
  <c r="Q123" i="20"/>
  <c r="P124" i="20"/>
  <c r="T124" i="20"/>
  <c r="S127" i="20"/>
  <c r="T130" i="20"/>
  <c r="T136" i="20"/>
  <c r="AA113" i="20"/>
  <c r="W117" i="20"/>
  <c r="AA117" i="20"/>
  <c r="W123" i="20"/>
  <c r="AA123" i="20"/>
  <c r="Z124" i="20"/>
  <c r="W135" i="20"/>
  <c r="AA135" i="20"/>
  <c r="AH112" i="20"/>
  <c r="AD116" i="20"/>
  <c r="AH116" i="20"/>
  <c r="AG123" i="20"/>
  <c r="AF124" i="20"/>
  <c r="AH134" i="20"/>
  <c r="AO111" i="20"/>
  <c r="AK115" i="20"/>
  <c r="AO115" i="20"/>
  <c r="AO133" i="20"/>
  <c r="AR118" i="20"/>
  <c r="BF116" i="20"/>
  <c r="M86" i="21"/>
  <c r="M90" i="21"/>
  <c r="M94" i="21"/>
  <c r="M98" i="21"/>
  <c r="M110" i="21"/>
  <c r="R110" i="21"/>
  <c r="AA110" i="21"/>
  <c r="AO110" i="21"/>
  <c r="F111" i="21"/>
  <c r="P111" i="21"/>
  <c r="T111" i="21"/>
  <c r="AH111" i="21"/>
  <c r="M112" i="21"/>
  <c r="AA112" i="21"/>
  <c r="AO112" i="21"/>
  <c r="F113" i="21"/>
  <c r="P113" i="21"/>
  <c r="T113" i="21"/>
  <c r="AH113" i="21"/>
  <c r="M114" i="21"/>
  <c r="AA114" i="21"/>
  <c r="B117" i="21"/>
  <c r="F117" i="21"/>
  <c r="BF117" i="21"/>
  <c r="W118" i="21"/>
  <c r="AA118" i="21"/>
  <c r="F121" i="21"/>
  <c r="AA122" i="21"/>
  <c r="F123" i="21"/>
  <c r="P123" i="21"/>
  <c r="Y123" i="21"/>
  <c r="AH123" i="21"/>
  <c r="I124" i="21"/>
  <c r="R124" i="21"/>
  <c r="AA124" i="21"/>
  <c r="M127" i="21"/>
  <c r="M128" i="21"/>
  <c r="AO133" i="21"/>
  <c r="AH134" i="21"/>
  <c r="AO135" i="21"/>
  <c r="AH136" i="21"/>
  <c r="G158" i="21"/>
  <c r="M87" i="22"/>
  <c r="M95" i="22"/>
  <c r="T113" i="22"/>
  <c r="M114" i="22"/>
  <c r="AK116" i="22"/>
  <c r="AO116" i="22"/>
  <c r="AD117" i="22"/>
  <c r="AH117" i="22"/>
  <c r="J123" i="22"/>
  <c r="L124" i="22"/>
  <c r="H124" i="22" s="1"/>
  <c r="AE124" i="22"/>
  <c r="T130" i="22"/>
  <c r="AH135" i="22"/>
  <c r="F118" i="22"/>
  <c r="F118" i="21"/>
  <c r="T133" i="22"/>
  <c r="T133" i="21"/>
  <c r="C123" i="20"/>
  <c r="J124" i="20"/>
  <c r="X124" i="20"/>
  <c r="AH110" i="20"/>
  <c r="AH118" i="20"/>
  <c r="AE123" i="20"/>
  <c r="AH110" i="21"/>
  <c r="AH114" i="21"/>
  <c r="T136" i="21"/>
  <c r="Q127" i="22"/>
  <c r="AR116" i="22"/>
  <c r="AR116" i="21"/>
  <c r="M121" i="22"/>
  <c r="M121" i="21"/>
  <c r="AH122" i="22"/>
  <c r="AH122" i="21"/>
  <c r="F134" i="22"/>
  <c r="F134" i="21"/>
  <c r="M96" i="20"/>
  <c r="D123" i="20"/>
  <c r="S124" i="20"/>
  <c r="P135" i="20"/>
  <c r="Y124" i="20"/>
  <c r="W134" i="20"/>
  <c r="AH115" i="20"/>
  <c r="AR117" i="20"/>
  <c r="AR115" i="21"/>
  <c r="W116" i="21"/>
  <c r="L123" i="21"/>
  <c r="H123" i="21" s="1"/>
  <c r="E124" i="21"/>
  <c r="A124" i="21" s="1"/>
  <c r="I117" i="22"/>
  <c r="I117" i="21"/>
  <c r="X123" i="21"/>
  <c r="X123" i="22"/>
  <c r="AC123" i="23"/>
  <c r="M117" i="22"/>
  <c r="M117" i="21"/>
  <c r="AO117" i="22"/>
  <c r="AO117" i="21"/>
  <c r="AY117" i="22"/>
  <c r="AY117" i="21"/>
  <c r="B118" i="22"/>
  <c r="B118" i="21"/>
  <c r="AD118" i="22"/>
  <c r="AD118" i="21"/>
  <c r="F127" i="21"/>
  <c r="F127" i="22"/>
  <c r="P127" i="22"/>
  <c r="P127" i="21"/>
  <c r="T127" i="22"/>
  <c r="T127" i="21"/>
  <c r="T129" i="22"/>
  <c r="T129" i="21"/>
  <c r="P133" i="22"/>
  <c r="P133" i="21"/>
  <c r="F136" i="22"/>
  <c r="F136" i="21"/>
  <c r="Q146" i="22"/>
  <c r="Q146" i="21"/>
  <c r="E154" i="22"/>
  <c r="D154" i="22" s="1"/>
  <c r="E154" i="21"/>
  <c r="M86" i="20"/>
  <c r="M90" i="20"/>
  <c r="M94" i="20"/>
  <c r="M98" i="20"/>
  <c r="F113" i="20"/>
  <c r="B117" i="20"/>
  <c r="F117" i="20"/>
  <c r="F123" i="20"/>
  <c r="E124" i="20"/>
  <c r="M110" i="20"/>
  <c r="I118" i="20"/>
  <c r="M118" i="20"/>
  <c r="J123" i="20"/>
  <c r="I124" i="20"/>
  <c r="M124" i="20"/>
  <c r="F134" i="20"/>
  <c r="M134" i="20"/>
  <c r="T111" i="20"/>
  <c r="R113" i="20"/>
  <c r="T115" i="20"/>
  <c r="R117" i="20"/>
  <c r="T121" i="20"/>
  <c r="R123" i="20"/>
  <c r="Q124" i="20"/>
  <c r="P127" i="20"/>
  <c r="T127" i="20"/>
  <c r="P133" i="20"/>
  <c r="T133" i="20"/>
  <c r="AA110" i="20"/>
  <c r="AA114" i="20"/>
  <c r="W118" i="20"/>
  <c r="AA118" i="20"/>
  <c r="X123" i="20"/>
  <c r="AA124" i="20"/>
  <c r="W136" i="20"/>
  <c r="AA136" i="20"/>
  <c r="AH113" i="20"/>
  <c r="AD123" i="20"/>
  <c r="AH123" i="20"/>
  <c r="AG124" i="20"/>
  <c r="AH135" i="20"/>
  <c r="AO112" i="20"/>
  <c r="AO134" i="20"/>
  <c r="AR115" i="20"/>
  <c r="AY118" i="20"/>
  <c r="BF117" i="20"/>
  <c r="I115" i="21"/>
  <c r="M115" i="21"/>
  <c r="R115" i="21"/>
  <c r="W115" i="21"/>
  <c r="AA115" i="21"/>
  <c r="AK115" i="21"/>
  <c r="AO115" i="21"/>
  <c r="AY115" i="21"/>
  <c r="B116" i="21"/>
  <c r="F116" i="21"/>
  <c r="P116" i="21"/>
  <c r="T116" i="21"/>
  <c r="AD116" i="21"/>
  <c r="AY116" i="21"/>
  <c r="T117" i="21"/>
  <c r="AR117" i="21"/>
  <c r="R118" i="21"/>
  <c r="AY118" i="21"/>
  <c r="M122" i="21"/>
  <c r="Q123" i="21"/>
  <c r="Z123" i="21"/>
  <c r="V123" i="21" s="1"/>
  <c r="J124" i="21"/>
  <c r="S124" i="21"/>
  <c r="O124" i="21" s="1"/>
  <c r="T128" i="21"/>
  <c r="W133" i="21"/>
  <c r="AA133" i="21"/>
  <c r="W135" i="21"/>
  <c r="AA135" i="21"/>
  <c r="AO134" i="22"/>
  <c r="H136" i="23"/>
  <c r="G37" i="23" s="1"/>
  <c r="H19" i="23"/>
  <c r="B82" i="22"/>
  <c r="B82" i="21"/>
  <c r="C86" i="22"/>
  <c r="C86" i="21"/>
  <c r="E86" i="22"/>
  <c r="A86" i="22" s="1"/>
  <c r="E86" i="21"/>
  <c r="A86" i="21" s="1"/>
  <c r="J86" i="22"/>
  <c r="J86" i="20"/>
  <c r="J86" i="21"/>
  <c r="E87" i="22"/>
  <c r="A87" i="22" s="1"/>
  <c r="E87" i="21"/>
  <c r="A87" i="21" s="1"/>
  <c r="J87" i="22"/>
  <c r="J87" i="21"/>
  <c r="J87" i="20"/>
  <c r="E89" i="22"/>
  <c r="A89" i="22" s="1"/>
  <c r="E89" i="21"/>
  <c r="A89" i="21" s="1"/>
  <c r="E89" i="20"/>
  <c r="J89" i="22"/>
  <c r="J89" i="21"/>
  <c r="J89" i="20"/>
  <c r="B79" i="22"/>
  <c r="B79" i="21"/>
  <c r="B81" i="22"/>
  <c r="B81" i="21"/>
  <c r="B86" i="22"/>
  <c r="B86" i="21"/>
  <c r="D86" i="22"/>
  <c r="D86" i="21"/>
  <c r="F86" i="22"/>
  <c r="F86" i="21"/>
  <c r="I86" i="22"/>
  <c r="I86" i="21"/>
  <c r="I86" i="20"/>
  <c r="K86" i="22"/>
  <c r="K86" i="21"/>
  <c r="K86" i="20"/>
  <c r="B87" i="22"/>
  <c r="B87" i="21"/>
  <c r="D87" i="22"/>
  <c r="D87" i="21"/>
  <c r="F87" i="22"/>
  <c r="F87" i="21"/>
  <c r="I87" i="22"/>
  <c r="I87" i="21"/>
  <c r="I87" i="20"/>
  <c r="K87" i="22"/>
  <c r="K87" i="21"/>
  <c r="K87" i="20"/>
  <c r="B88" i="22"/>
  <c r="B88" i="21"/>
  <c r="B88" i="20"/>
  <c r="D88" i="22"/>
  <c r="D88" i="21"/>
  <c r="D88" i="20"/>
  <c r="F88" i="22"/>
  <c r="F88" i="21"/>
  <c r="F88" i="20"/>
  <c r="I88" i="22"/>
  <c r="I88" i="21"/>
  <c r="I88" i="20"/>
  <c r="K88" i="22"/>
  <c r="K88" i="21"/>
  <c r="K88" i="20"/>
  <c r="B89" i="22"/>
  <c r="B89" i="21"/>
  <c r="B89" i="20"/>
  <c r="D89" i="22"/>
  <c r="D89" i="21"/>
  <c r="D89" i="20"/>
  <c r="F89" i="22"/>
  <c r="F89" i="21"/>
  <c r="F89" i="20"/>
  <c r="I89" i="22"/>
  <c r="I89" i="21"/>
  <c r="I89" i="20"/>
  <c r="K89" i="22"/>
  <c r="K89" i="21"/>
  <c r="K89" i="20"/>
  <c r="B90" i="22"/>
  <c r="B90" i="21"/>
  <c r="B90" i="20"/>
  <c r="D90" i="22"/>
  <c r="D90" i="21"/>
  <c r="D90" i="20"/>
  <c r="F90" i="22"/>
  <c r="F90" i="21"/>
  <c r="F90" i="20"/>
  <c r="I90" i="22"/>
  <c r="I90" i="21"/>
  <c r="I90" i="20"/>
  <c r="K90" i="22"/>
  <c r="K90" i="21"/>
  <c r="K90" i="20"/>
  <c r="B91" i="22"/>
  <c r="B91" i="21"/>
  <c r="B91" i="20"/>
  <c r="D91" i="22"/>
  <c r="D91" i="21"/>
  <c r="D91" i="20"/>
  <c r="F91" i="22"/>
  <c r="F91" i="21"/>
  <c r="F91" i="20"/>
  <c r="I91" i="22"/>
  <c r="I91" i="21"/>
  <c r="I91" i="20"/>
  <c r="K91" i="22"/>
  <c r="K91" i="21"/>
  <c r="K91" i="20"/>
  <c r="B92" i="22"/>
  <c r="B92" i="21"/>
  <c r="B92" i="20"/>
  <c r="D92" i="22"/>
  <c r="D92" i="21"/>
  <c r="D92" i="20"/>
  <c r="F92" i="22"/>
  <c r="F92" i="21"/>
  <c r="F92" i="20"/>
  <c r="I92" i="22"/>
  <c r="I92" i="21"/>
  <c r="I92" i="20"/>
  <c r="K92" i="22"/>
  <c r="K92" i="21"/>
  <c r="K92" i="20"/>
  <c r="B93" i="22"/>
  <c r="B93" i="21"/>
  <c r="B93" i="20"/>
  <c r="D93" i="22"/>
  <c r="D93" i="21"/>
  <c r="D93" i="20"/>
  <c r="F93" i="22"/>
  <c r="F93" i="21"/>
  <c r="F93" i="20"/>
  <c r="I93" i="22"/>
  <c r="I93" i="21"/>
  <c r="I93" i="20"/>
  <c r="K93" i="22"/>
  <c r="K93" i="21"/>
  <c r="K93" i="20"/>
  <c r="B94" i="22"/>
  <c r="B94" i="21"/>
  <c r="B94" i="20"/>
  <c r="D94" i="22"/>
  <c r="D94" i="21"/>
  <c r="D94" i="20"/>
  <c r="F94" i="22"/>
  <c r="F94" i="21"/>
  <c r="F94" i="20"/>
  <c r="K94" i="21"/>
  <c r="K94" i="20"/>
  <c r="F95" i="22"/>
  <c r="F95" i="21"/>
  <c r="F95" i="20"/>
  <c r="I95" i="22"/>
  <c r="I95" i="21"/>
  <c r="I95" i="20"/>
  <c r="K95" i="22"/>
  <c r="K95" i="21"/>
  <c r="K95" i="20"/>
  <c r="B96" i="22"/>
  <c r="B96" i="21"/>
  <c r="B96" i="20"/>
  <c r="D96" i="22"/>
  <c r="D96" i="21"/>
  <c r="D96" i="20"/>
  <c r="F96" i="22"/>
  <c r="F96" i="21"/>
  <c r="F96" i="20"/>
  <c r="I96" i="22"/>
  <c r="I96" i="21"/>
  <c r="I96" i="20"/>
  <c r="K96" i="22"/>
  <c r="K96" i="21"/>
  <c r="K96" i="20"/>
  <c r="B97" i="22"/>
  <c r="B97" i="21"/>
  <c r="B97" i="20"/>
  <c r="D97" i="22"/>
  <c r="D97" i="21"/>
  <c r="D97" i="20"/>
  <c r="F97" i="22"/>
  <c r="F97" i="21"/>
  <c r="F97" i="20"/>
  <c r="I97" i="22"/>
  <c r="I97" i="21"/>
  <c r="I97" i="20"/>
  <c r="K97" i="22"/>
  <c r="K97" i="21"/>
  <c r="K97" i="20"/>
  <c r="B98" i="22"/>
  <c r="B98" i="21"/>
  <c r="B98" i="20"/>
  <c r="D98" i="22"/>
  <c r="D98" i="21"/>
  <c r="D98" i="20"/>
  <c r="F98" i="22"/>
  <c r="F98" i="21"/>
  <c r="F98" i="20"/>
  <c r="I98" i="22"/>
  <c r="I98" i="21"/>
  <c r="I98" i="20"/>
  <c r="K98" i="22"/>
  <c r="K98" i="21"/>
  <c r="K98" i="20"/>
  <c r="B99" i="22"/>
  <c r="B99" i="21"/>
  <c r="B99" i="20"/>
  <c r="D99" i="22"/>
  <c r="D99" i="21"/>
  <c r="D99" i="20"/>
  <c r="F99" i="22"/>
  <c r="F99" i="21"/>
  <c r="F99" i="20"/>
  <c r="B100" i="22"/>
  <c r="B100" i="21"/>
  <c r="B100" i="20"/>
  <c r="D100" i="22"/>
  <c r="D100" i="21"/>
  <c r="D100" i="20"/>
  <c r="F100" i="22"/>
  <c r="F100" i="21"/>
  <c r="F100" i="20"/>
  <c r="B101" i="22"/>
  <c r="B101" i="21"/>
  <c r="B101" i="20"/>
  <c r="D101" i="22"/>
  <c r="D101" i="21"/>
  <c r="D101" i="20"/>
  <c r="F101" i="22"/>
  <c r="F101" i="21"/>
  <c r="F101" i="20"/>
  <c r="C102" i="22"/>
  <c r="C102" i="21"/>
  <c r="C102" i="20"/>
  <c r="B103" i="22"/>
  <c r="B103" i="21"/>
  <c r="B103" i="20"/>
  <c r="F103" i="22"/>
  <c r="F103" i="21"/>
  <c r="F103" i="20"/>
  <c r="B105" i="22"/>
  <c r="B105" i="21"/>
  <c r="B105" i="20"/>
  <c r="F105" i="22"/>
  <c r="F105" i="21"/>
  <c r="F105" i="20"/>
  <c r="B107" i="22"/>
  <c r="B107" i="21"/>
  <c r="B107" i="20"/>
  <c r="F107" i="22"/>
  <c r="F107" i="21"/>
  <c r="F107" i="20"/>
  <c r="B127" i="22"/>
  <c r="B127" i="21"/>
  <c r="B127" i="20"/>
  <c r="D127" i="22"/>
  <c r="D127" i="21"/>
  <c r="D127" i="20"/>
  <c r="I127" i="22"/>
  <c r="I127" i="21"/>
  <c r="I127" i="20"/>
  <c r="K127" i="22"/>
  <c r="K127" i="21"/>
  <c r="K127" i="20"/>
  <c r="B128" i="22"/>
  <c r="B128" i="21"/>
  <c r="B128" i="20"/>
  <c r="D128" i="22"/>
  <c r="D128" i="21"/>
  <c r="D128" i="20"/>
  <c r="I128" i="22"/>
  <c r="I128" i="21"/>
  <c r="I128" i="20"/>
  <c r="K128" i="22"/>
  <c r="K128" i="21"/>
  <c r="K128" i="20"/>
  <c r="P128" i="22"/>
  <c r="P128" i="21"/>
  <c r="P128" i="20"/>
  <c r="R128" i="22"/>
  <c r="R128" i="21"/>
  <c r="R128" i="20"/>
  <c r="P129" i="22"/>
  <c r="P129" i="21"/>
  <c r="P129" i="20"/>
  <c r="R129" i="22"/>
  <c r="R129" i="21"/>
  <c r="R129" i="20"/>
  <c r="P130" i="22"/>
  <c r="P130" i="21"/>
  <c r="P130" i="20"/>
  <c r="R130" i="22"/>
  <c r="R130" i="21"/>
  <c r="R130" i="20"/>
  <c r="J133" i="22"/>
  <c r="J133" i="21"/>
  <c r="J133" i="20"/>
  <c r="L133" i="22"/>
  <c r="H133" i="22" s="1"/>
  <c r="L133" i="21"/>
  <c r="H133" i="21" s="1"/>
  <c r="L133" i="20"/>
  <c r="G134" i="22"/>
  <c r="A134" i="22" s="1"/>
  <c r="G134" i="21"/>
  <c r="A134" i="21" s="1"/>
  <c r="G134" i="20"/>
  <c r="I134" i="22"/>
  <c r="I134" i="21"/>
  <c r="I134" i="20"/>
  <c r="K134" i="22"/>
  <c r="K134" i="21"/>
  <c r="K134" i="20"/>
  <c r="J135" i="22"/>
  <c r="J135" i="21"/>
  <c r="J135" i="20"/>
  <c r="L135" i="22"/>
  <c r="H135" i="22" s="1"/>
  <c r="L135" i="21"/>
  <c r="H135" i="21" s="1"/>
  <c r="L135" i="20"/>
  <c r="G136" i="22"/>
  <c r="A136" i="22" s="1"/>
  <c r="G136" i="21"/>
  <c r="A136" i="21" s="1"/>
  <c r="G136" i="20"/>
  <c r="I136" i="22"/>
  <c r="I136" i="21"/>
  <c r="I136" i="20"/>
  <c r="B79" i="20"/>
  <c r="B81" i="20"/>
  <c r="C86" i="20"/>
  <c r="E86" i="20"/>
  <c r="B87" i="20"/>
  <c r="D87" i="20"/>
  <c r="F87" i="20"/>
  <c r="B80" i="22"/>
  <c r="B80" i="21"/>
  <c r="L86" i="22"/>
  <c r="H86" i="22" s="1"/>
  <c r="L86" i="20"/>
  <c r="L86" i="21"/>
  <c r="H86" i="21" s="1"/>
  <c r="C87" i="22"/>
  <c r="C87" i="21"/>
  <c r="L87" i="22"/>
  <c r="H87" i="22" s="1"/>
  <c r="L87" i="21"/>
  <c r="H87" i="21" s="1"/>
  <c r="L87" i="20"/>
  <c r="C88" i="22"/>
  <c r="C88" i="20"/>
  <c r="C88" i="21"/>
  <c r="E88" i="22"/>
  <c r="A88" i="22" s="1"/>
  <c r="E88" i="20"/>
  <c r="E88" i="21"/>
  <c r="A88" i="21" s="1"/>
  <c r="J88" i="22"/>
  <c r="J88" i="20"/>
  <c r="J88" i="21"/>
  <c r="L88" i="22"/>
  <c r="H88" i="22" s="1"/>
  <c r="L88" i="20"/>
  <c r="L88" i="21"/>
  <c r="H88" i="21" s="1"/>
  <c r="C89" i="22"/>
  <c r="C89" i="21"/>
  <c r="C89" i="20"/>
  <c r="L89" i="22"/>
  <c r="H89" i="22" s="1"/>
  <c r="L89" i="21"/>
  <c r="H89" i="21" s="1"/>
  <c r="L89" i="20"/>
  <c r="C90" i="22"/>
  <c r="C90" i="20"/>
  <c r="C90" i="21"/>
  <c r="E90" i="22"/>
  <c r="A90" i="22" s="1"/>
  <c r="E90" i="20"/>
  <c r="E90" i="21"/>
  <c r="A90" i="21" s="1"/>
  <c r="J90" i="22"/>
  <c r="J90" i="20"/>
  <c r="J90" i="21"/>
  <c r="L90" i="22"/>
  <c r="H90" i="22" s="1"/>
  <c r="L90" i="20"/>
  <c r="L90" i="21"/>
  <c r="H90" i="21" s="1"/>
  <c r="C91" i="22"/>
  <c r="C91" i="21"/>
  <c r="C91" i="20"/>
  <c r="E91" i="22"/>
  <c r="A91" i="22" s="1"/>
  <c r="E91" i="21"/>
  <c r="A91" i="21" s="1"/>
  <c r="E91" i="20"/>
  <c r="J91" i="22"/>
  <c r="J91" i="21"/>
  <c r="J91" i="20"/>
  <c r="L91" i="22"/>
  <c r="H91" i="22" s="1"/>
  <c r="L91" i="21"/>
  <c r="H91" i="21" s="1"/>
  <c r="L91" i="20"/>
  <c r="C92" i="22"/>
  <c r="C92" i="20"/>
  <c r="C92" i="21"/>
  <c r="E92" i="22"/>
  <c r="A92" i="22" s="1"/>
  <c r="E92" i="20"/>
  <c r="E92" i="21"/>
  <c r="A92" i="21" s="1"/>
  <c r="J92" i="22"/>
  <c r="J92" i="20"/>
  <c r="J92" i="21"/>
  <c r="L92" i="22"/>
  <c r="H92" i="22" s="1"/>
  <c r="L92" i="20"/>
  <c r="L92" i="21"/>
  <c r="H92" i="21" s="1"/>
  <c r="C93" i="22"/>
  <c r="C93" i="21"/>
  <c r="C93" i="20"/>
  <c r="E93" i="22"/>
  <c r="A93" i="22" s="1"/>
  <c r="E93" i="21"/>
  <c r="A93" i="21" s="1"/>
  <c r="E93" i="20"/>
  <c r="J93" i="22"/>
  <c r="J93" i="21"/>
  <c r="J93" i="20"/>
  <c r="L93" i="22"/>
  <c r="H93" i="22" s="1"/>
  <c r="L93" i="21"/>
  <c r="H93" i="21" s="1"/>
  <c r="L93" i="20"/>
  <c r="C94" i="22"/>
  <c r="C94" i="20"/>
  <c r="C94" i="21"/>
  <c r="E94" i="22"/>
  <c r="A94" i="22" s="1"/>
  <c r="E94" i="20"/>
  <c r="E94" i="21"/>
  <c r="A94" i="21" s="1"/>
  <c r="J95" i="22"/>
  <c r="J95" i="20"/>
  <c r="J95" i="21"/>
  <c r="L95" i="22"/>
  <c r="H95" i="22" s="1"/>
  <c r="L95" i="20"/>
  <c r="L95" i="21"/>
  <c r="H95" i="21" s="1"/>
  <c r="C96" i="22"/>
  <c r="C96" i="20"/>
  <c r="C96" i="21"/>
  <c r="E96" i="22"/>
  <c r="A96" i="22" s="1"/>
  <c r="E96" i="20"/>
  <c r="E96" i="21"/>
  <c r="A96" i="21" s="1"/>
  <c r="J96" i="22"/>
  <c r="J96" i="21"/>
  <c r="J96" i="20"/>
  <c r="L96" i="22"/>
  <c r="H96" i="22" s="1"/>
  <c r="L96" i="21"/>
  <c r="H96" i="21" s="1"/>
  <c r="L96" i="20"/>
  <c r="C97" i="22"/>
  <c r="C97" i="21"/>
  <c r="C97" i="20"/>
  <c r="E97" i="22"/>
  <c r="A97" i="22" s="1"/>
  <c r="E97" i="21"/>
  <c r="A97" i="21" s="1"/>
  <c r="E97" i="20"/>
  <c r="J97" i="22"/>
  <c r="J97" i="20"/>
  <c r="J97" i="21"/>
  <c r="L97" i="22"/>
  <c r="H97" i="22" s="1"/>
  <c r="L97" i="20"/>
  <c r="L97" i="21"/>
  <c r="H97" i="21" s="1"/>
  <c r="C98" i="22"/>
  <c r="C98" i="20"/>
  <c r="C98" i="21"/>
  <c r="E98" i="22"/>
  <c r="A98" i="22" s="1"/>
  <c r="E98" i="20"/>
  <c r="E98" i="21"/>
  <c r="A98" i="21" s="1"/>
  <c r="J98" i="22"/>
  <c r="J98" i="21"/>
  <c r="J98" i="20"/>
  <c r="L98" i="22"/>
  <c r="H98" i="22" s="1"/>
  <c r="L98" i="21"/>
  <c r="H98" i="21" s="1"/>
  <c r="L98" i="20"/>
  <c r="C99" i="22"/>
  <c r="C99" i="21"/>
  <c r="C99" i="20"/>
  <c r="E99" i="22"/>
  <c r="A99" i="22" s="1"/>
  <c r="E99" i="21"/>
  <c r="A99" i="21" s="1"/>
  <c r="E99" i="20"/>
  <c r="C100" i="22"/>
  <c r="C100" i="21"/>
  <c r="C100" i="20"/>
  <c r="E100" i="22"/>
  <c r="A100" i="22" s="1"/>
  <c r="E100" i="20"/>
  <c r="E100" i="21"/>
  <c r="A100" i="21" s="1"/>
  <c r="C101" i="22"/>
  <c r="C101" i="21"/>
  <c r="C101" i="20"/>
  <c r="E101" i="22"/>
  <c r="A101" i="22" s="1"/>
  <c r="E101" i="21"/>
  <c r="A101" i="21" s="1"/>
  <c r="E101" i="20"/>
  <c r="B102" i="22"/>
  <c r="B102" i="21"/>
  <c r="B102" i="20"/>
  <c r="F102" i="22"/>
  <c r="F102" i="21"/>
  <c r="F102" i="20"/>
  <c r="C103" i="22"/>
  <c r="C103" i="21"/>
  <c r="C103" i="20"/>
  <c r="B104" i="22"/>
  <c r="B104" i="21"/>
  <c r="B104" i="20"/>
  <c r="F104" i="22"/>
  <c r="F104" i="21"/>
  <c r="F104" i="20"/>
  <c r="B106" i="22"/>
  <c r="B106" i="21"/>
  <c r="B106" i="20"/>
  <c r="F106" i="22"/>
  <c r="F106" i="21"/>
  <c r="F106" i="20"/>
  <c r="C127" i="22"/>
  <c r="C127" i="21"/>
  <c r="C127" i="20"/>
  <c r="E127" i="22"/>
  <c r="A127" i="22" s="1"/>
  <c r="E127" i="21"/>
  <c r="A127" i="21" s="1"/>
  <c r="E127" i="20"/>
  <c r="J127" i="22"/>
  <c r="J127" i="21"/>
  <c r="J127" i="20"/>
  <c r="L127" i="22"/>
  <c r="H127" i="22" s="1"/>
  <c r="L127" i="21"/>
  <c r="H127" i="21" s="1"/>
  <c r="L127" i="20"/>
  <c r="C128" i="22"/>
  <c r="C128" i="21"/>
  <c r="C128" i="20"/>
  <c r="E128" i="22"/>
  <c r="A128" i="22" s="1"/>
  <c r="E128" i="21"/>
  <c r="A128" i="21" s="1"/>
  <c r="E128" i="20"/>
  <c r="J128" i="22"/>
  <c r="J128" i="21"/>
  <c r="J128" i="20"/>
  <c r="L128" i="22"/>
  <c r="H128" i="22" s="1"/>
  <c r="L128" i="21"/>
  <c r="H128" i="21" s="1"/>
  <c r="L128" i="20"/>
  <c r="Q128" i="22"/>
  <c r="Q128" i="21"/>
  <c r="Q128" i="20"/>
  <c r="S128" i="22"/>
  <c r="O128" i="22" s="1"/>
  <c r="S128" i="21"/>
  <c r="O128" i="21" s="1"/>
  <c r="S128" i="20"/>
  <c r="Q129" i="22"/>
  <c r="Q129" i="21"/>
  <c r="Q129" i="20"/>
  <c r="S129" i="22"/>
  <c r="O129" i="22" s="1"/>
  <c r="S129" i="21"/>
  <c r="O129" i="21" s="1"/>
  <c r="S129" i="20"/>
  <c r="Q130" i="22"/>
  <c r="Q130" i="21"/>
  <c r="Q130" i="20"/>
  <c r="S130" i="22"/>
  <c r="O130" i="22" s="1"/>
  <c r="S130" i="21"/>
  <c r="O130" i="21" s="1"/>
  <c r="S130" i="20"/>
  <c r="G133" i="22"/>
  <c r="A133" i="22" s="1"/>
  <c r="G133" i="21"/>
  <c r="A133" i="21" s="1"/>
  <c r="G133" i="20"/>
  <c r="I133" i="22"/>
  <c r="I133" i="21"/>
  <c r="I133" i="20"/>
  <c r="K133" i="22"/>
  <c r="K133" i="21"/>
  <c r="K133" i="20"/>
  <c r="J134" i="22"/>
  <c r="J134" i="21"/>
  <c r="J134" i="20"/>
  <c r="L134" i="22"/>
  <c r="H134" i="22" s="1"/>
  <c r="L134" i="21"/>
  <c r="H134" i="21" s="1"/>
  <c r="L134" i="20"/>
  <c r="G135" i="22"/>
  <c r="A135" i="22" s="1"/>
  <c r="G135" i="21"/>
  <c r="A135" i="21" s="1"/>
  <c r="G135" i="20"/>
  <c r="I135" i="22"/>
  <c r="I135" i="21"/>
  <c r="I135" i="20"/>
  <c r="K135" i="22"/>
  <c r="K135" i="21"/>
  <c r="K135" i="20"/>
  <c r="B80" i="20"/>
  <c r="B82" i="20"/>
  <c r="B86" i="20"/>
  <c r="D86" i="20"/>
  <c r="F86" i="20"/>
  <c r="C87" i="20"/>
  <c r="E87" i="20"/>
  <c r="J136" i="20"/>
  <c r="L136" i="20"/>
  <c r="K136" i="21"/>
  <c r="K136" i="22"/>
  <c r="J136" i="21"/>
  <c r="L136" i="21"/>
  <c r="H136" i="21" s="1"/>
  <c r="J94" i="20"/>
  <c r="J94" i="22"/>
  <c r="K94" i="22"/>
  <c r="L94" i="20"/>
  <c r="L94" i="22"/>
  <c r="H94" i="22" s="1"/>
  <c r="I94" i="21"/>
  <c r="I94" i="20"/>
  <c r="B95" i="20"/>
  <c r="B95" i="21"/>
  <c r="C95" i="20"/>
  <c r="C95" i="21"/>
  <c r="D95" i="20"/>
  <c r="D95" i="21"/>
  <c r="E95" i="20"/>
  <c r="E95" i="21"/>
  <c r="A95" i="21" s="1"/>
  <c r="B189" i="23"/>
  <c r="G18" i="23"/>
  <c r="G44" i="23"/>
  <c r="A139" i="23"/>
  <c r="E20" i="23" s="1"/>
  <c r="B163" i="23"/>
  <c r="G19" i="23"/>
  <c r="G43" i="23"/>
  <c r="H85" i="23"/>
  <c r="A120" i="23"/>
  <c r="A164" i="23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C164" i="23"/>
  <c r="G42" i="23"/>
  <c r="A85" i="23"/>
  <c r="A109" i="23"/>
  <c r="D139" i="23"/>
  <c r="D47" i="23"/>
  <c r="H48" i="23"/>
  <c r="K139" i="23"/>
  <c r="D49" i="23"/>
  <c r="H52" i="23"/>
  <c r="C139" i="23"/>
  <c r="D53" i="23"/>
  <c r="H51" i="23"/>
  <c r="G61" i="23"/>
  <c r="H54" i="23"/>
  <c r="D54" i="23"/>
  <c r="H50" i="23"/>
  <c r="H53" i="23"/>
  <c r="D59" i="23"/>
  <c r="H61" i="23"/>
  <c r="D51" i="23"/>
  <c r="D52" i="23"/>
  <c r="H47" i="23"/>
  <c r="D58" i="23"/>
  <c r="D61" i="23"/>
  <c r="C60" i="23"/>
  <c r="D50" i="23"/>
  <c r="D48" i="23"/>
  <c r="H49" i="23"/>
  <c r="C59" i="23"/>
  <c r="D60" i="23"/>
  <c r="F61" i="23"/>
  <c r="C61" i="23"/>
  <c r="H57" i="23"/>
  <c r="D62" i="23"/>
  <c r="C58" i="23"/>
  <c r="B188" i="23" l="1"/>
  <c r="H79" i="23"/>
  <c r="F46" i="23"/>
  <c r="B164" i="23"/>
  <c r="B166" i="23"/>
  <c r="B168" i="23"/>
  <c r="B170" i="23"/>
  <c r="B172" i="23"/>
  <c r="B174" i="23"/>
  <c r="B176" i="23"/>
  <c r="B178" i="23"/>
  <c r="B180" i="23"/>
  <c r="B182" i="23"/>
  <c r="B184" i="23"/>
  <c r="B186" i="23"/>
  <c r="B165" i="23"/>
  <c r="B167" i="23"/>
  <c r="B169" i="23"/>
  <c r="B171" i="23"/>
  <c r="B173" i="23"/>
  <c r="B175" i="23"/>
  <c r="B177" i="23"/>
  <c r="B179" i="23"/>
  <c r="B181" i="23"/>
  <c r="B183" i="23"/>
  <c r="B185" i="23"/>
  <c r="B187" i="23"/>
  <c r="D159" i="20"/>
  <c r="D158" i="20"/>
  <c r="D157" i="20"/>
  <c r="D156" i="20"/>
  <c r="D155" i="20"/>
  <c r="D154" i="20"/>
  <c r="V151" i="20"/>
  <c r="V150" i="20"/>
  <c r="V149" i="20"/>
  <c r="V148" i="20"/>
  <c r="V147" i="20"/>
  <c r="V142" i="20"/>
  <c r="V141" i="20"/>
  <c r="V140" i="20"/>
  <c r="V139" i="20"/>
  <c r="V146" i="20"/>
  <c r="V145" i="20"/>
  <c r="V144" i="20"/>
  <c r="V143" i="20"/>
  <c r="N146" i="20"/>
  <c r="N145" i="20"/>
  <c r="N144" i="20"/>
  <c r="N143" i="20"/>
  <c r="N142" i="20"/>
  <c r="N141" i="20"/>
  <c r="N140" i="20"/>
  <c r="N139" i="20"/>
  <c r="F146" i="20"/>
  <c r="F145" i="20"/>
  <c r="F144" i="20"/>
  <c r="F143" i="20"/>
  <c r="F142" i="20"/>
  <c r="F141" i="20"/>
  <c r="F140" i="20"/>
  <c r="F139" i="20"/>
  <c r="C107" i="23" l="1"/>
  <c r="C105" i="23"/>
  <c r="C106" i="23"/>
  <c r="C104" i="23"/>
  <c r="E107" i="23"/>
  <c r="E105" i="23"/>
  <c r="D107" i="23"/>
  <c r="D106" i="23"/>
  <c r="D105" i="23"/>
  <c r="D104" i="23"/>
  <c r="E106" i="23"/>
  <c r="E104" i="23"/>
  <c r="A54" i="23"/>
  <c r="A102" i="23" l="1"/>
  <c r="F59" i="23" s="1"/>
  <c r="A104" i="23"/>
  <c r="G59" i="23" s="1"/>
  <c r="A106" i="23"/>
  <c r="H59" i="23" s="1"/>
  <c r="A103" i="23"/>
  <c r="F60" i="23" s="1"/>
  <c r="A105" i="23"/>
  <c r="G60" i="23" s="1"/>
  <c r="A107" i="23"/>
  <c r="H60" i="23" s="1"/>
  <c r="AC122" i="20" l="1"/>
  <c r="AC121" i="20"/>
  <c r="H122" i="20"/>
  <c r="H121" i="20"/>
  <c r="AC124" i="20"/>
  <c r="AC123" i="20"/>
  <c r="H124" i="20"/>
  <c r="H123" i="20"/>
  <c r="A101" i="20" l="1"/>
  <c r="F57" i="20" s="1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F58" i="21"/>
  <c r="F58" i="22"/>
  <c r="A56" i="20" l="1"/>
  <c r="A62" i="20"/>
  <c r="A61" i="20"/>
  <c r="A60" i="20"/>
  <c r="A59" i="20"/>
  <c r="A58" i="20"/>
  <c r="D57" i="20"/>
  <c r="C57" i="20"/>
  <c r="A57" i="20"/>
  <c r="A63" i="21"/>
  <c r="A62" i="21"/>
  <c r="A61" i="21"/>
  <c r="A60" i="21"/>
  <c r="A59" i="21"/>
  <c r="D58" i="21"/>
  <c r="C58" i="21"/>
  <c r="A58" i="21"/>
  <c r="A58" i="22" l="1"/>
  <c r="A62" i="22"/>
  <c r="A61" i="22"/>
  <c r="A60" i="22"/>
  <c r="A59" i="22"/>
  <c r="D58" i="22"/>
  <c r="C58" i="22"/>
  <c r="G52" i="22" l="1"/>
  <c r="G51" i="22"/>
  <c r="E8" i="22" l="1"/>
  <c r="E7" i="22"/>
  <c r="F53" i="21" l="1"/>
  <c r="G52" i="21"/>
  <c r="G51" i="21"/>
  <c r="G52" i="20" l="1"/>
  <c r="G51" i="20"/>
  <c r="F53" i="20"/>
  <c r="C52" i="22" l="1"/>
  <c r="C51" i="22"/>
  <c r="A51" i="22"/>
  <c r="C52" i="21"/>
  <c r="C51" i="21"/>
  <c r="A51" i="21"/>
  <c r="C52" i="20"/>
  <c r="C51" i="20"/>
  <c r="A51" i="20"/>
  <c r="A53" i="20"/>
  <c r="F49" i="22" l="1"/>
  <c r="F53" i="22"/>
  <c r="F49" i="21"/>
  <c r="F49" i="20"/>
  <c r="D8" i="21" l="1"/>
  <c r="F47" i="22" l="1"/>
  <c r="F47" i="21"/>
  <c r="H20" i="22"/>
  <c r="B154" i="22" s="1"/>
  <c r="G20" i="22"/>
  <c r="B17" i="22"/>
  <c r="H20" i="21"/>
  <c r="B154" i="21" s="1"/>
  <c r="G20" i="21"/>
  <c r="B17" i="21"/>
  <c r="D20" i="22"/>
  <c r="C165" i="22" s="1"/>
  <c r="C20" i="22"/>
  <c r="B20" i="22"/>
  <c r="D165" i="22" s="1"/>
  <c r="A20" i="22"/>
  <c r="D164" i="22" s="1"/>
  <c r="D20" i="21"/>
  <c r="C165" i="21" s="1"/>
  <c r="C20" i="21"/>
  <c r="B20" i="21"/>
  <c r="D165" i="21" s="1"/>
  <c r="A20" i="21"/>
  <c r="E19" i="22"/>
  <c r="D19" i="22"/>
  <c r="D18" i="22"/>
  <c r="C19" i="22"/>
  <c r="C18" i="22"/>
  <c r="B19" i="22"/>
  <c r="B18" i="22"/>
  <c r="A19" i="22"/>
  <c r="A18" i="22"/>
  <c r="E19" i="21"/>
  <c r="D19" i="21"/>
  <c r="D18" i="21"/>
  <c r="C19" i="21"/>
  <c r="C18" i="21"/>
  <c r="B19" i="21"/>
  <c r="B18" i="21"/>
  <c r="A19" i="21"/>
  <c r="A18" i="21"/>
  <c r="A154" i="21"/>
  <c r="A154" i="22"/>
  <c r="A120" i="22" l="1"/>
  <c r="H85" i="22"/>
  <c r="A120" i="21"/>
  <c r="H85" i="21"/>
  <c r="T139" i="22"/>
  <c r="L139" i="22"/>
  <c r="D139" i="22"/>
  <c r="T139" i="21"/>
  <c r="L139" i="21"/>
  <c r="D139" i="21"/>
  <c r="H18" i="22"/>
  <c r="H19" i="22"/>
  <c r="H18" i="21"/>
  <c r="H19" i="21"/>
  <c r="G18" i="21"/>
  <c r="G19" i="21"/>
  <c r="G19" i="22"/>
  <c r="G18" i="22"/>
  <c r="C162" i="21"/>
  <c r="C162" i="22"/>
  <c r="C164" i="22"/>
  <c r="D164" i="21"/>
  <c r="C164" i="21"/>
  <c r="G20" i="20"/>
  <c r="C148" i="22"/>
  <c r="C139" i="21"/>
  <c r="S139" i="22"/>
  <c r="S139" i="21"/>
  <c r="K139" i="22"/>
  <c r="K139" i="21"/>
  <c r="A139" i="22" l="1"/>
  <c r="J22" i="22" s="1"/>
  <c r="A139" i="21"/>
  <c r="E20" i="21" s="1"/>
  <c r="T139" i="20"/>
  <c r="L139" i="20"/>
  <c r="D139" i="20"/>
  <c r="H20" i="20"/>
  <c r="B154" i="20" s="1"/>
  <c r="O127" i="20"/>
  <c r="K139" i="20"/>
  <c r="C139" i="20"/>
  <c r="S139" i="20"/>
  <c r="A154" i="20"/>
  <c r="A139" i="20" l="1"/>
  <c r="F47" i="20"/>
  <c r="A47" i="20"/>
  <c r="E20" i="20" l="1"/>
  <c r="G13" i="22"/>
  <c r="G12" i="22"/>
  <c r="F13" i="22"/>
  <c r="F12" i="22"/>
  <c r="F11" i="22"/>
  <c r="H13" i="22"/>
  <c r="H12" i="22"/>
  <c r="E13" i="22"/>
  <c r="D13" i="22"/>
  <c r="C13" i="22"/>
  <c r="C12" i="22"/>
  <c r="B13" i="22"/>
  <c r="B12" i="22"/>
  <c r="A12" i="22"/>
  <c r="G13" i="21"/>
  <c r="G12" i="21"/>
  <c r="F13" i="21"/>
  <c r="F12" i="21"/>
  <c r="F11" i="21"/>
  <c r="H13" i="21"/>
  <c r="H12" i="21"/>
  <c r="D13" i="21"/>
  <c r="C13" i="21"/>
  <c r="C12" i="21"/>
  <c r="B13" i="21"/>
  <c r="B12" i="21"/>
  <c r="A13" i="21"/>
  <c r="A12" i="21"/>
  <c r="A13" i="22"/>
  <c r="B11" i="22"/>
  <c r="E13" i="21"/>
  <c r="B11" i="21"/>
  <c r="A109" i="22" l="1"/>
  <c r="A85" i="22"/>
  <c r="A109" i="21"/>
  <c r="A85" i="21"/>
  <c r="A162" i="22"/>
  <c r="A162" i="21"/>
  <c r="H44" i="20"/>
  <c r="H95" i="20" l="1"/>
  <c r="G18" i="20" s="1"/>
  <c r="H97" i="20"/>
  <c r="H18" i="20" s="1"/>
  <c r="H94" i="20"/>
  <c r="E19" i="20" s="1"/>
  <c r="H98" i="20"/>
  <c r="H19" i="20" s="1"/>
  <c r="H96" i="20"/>
  <c r="G19" i="20" s="1"/>
  <c r="H127" i="20"/>
  <c r="H41" i="22"/>
  <c r="H41" i="21"/>
  <c r="H41" i="20"/>
  <c r="A49" i="20" l="1"/>
  <c r="A46" i="20"/>
  <c r="A44" i="20"/>
  <c r="A43" i="20"/>
  <c r="A42" i="20"/>
  <c r="F41" i="20"/>
  <c r="A41" i="20"/>
  <c r="A38" i="20"/>
  <c r="A37" i="20"/>
  <c r="B17" i="20"/>
  <c r="B11" i="20"/>
  <c r="A85" i="20" s="1"/>
  <c r="B8" i="20"/>
  <c r="A8" i="20"/>
  <c r="B7" i="20"/>
  <c r="A7" i="20"/>
  <c r="A6" i="20"/>
  <c r="A3" i="20"/>
  <c r="AJ136" i="20"/>
  <c r="AC136" i="20"/>
  <c r="V136" i="20"/>
  <c r="O136" i="20"/>
  <c r="A136" i="20"/>
  <c r="AJ135" i="20"/>
  <c r="AC135" i="20"/>
  <c r="V135" i="20"/>
  <c r="O135" i="20"/>
  <c r="A135" i="20"/>
  <c r="AJ134" i="20"/>
  <c r="AC134" i="20"/>
  <c r="V134" i="20"/>
  <c r="O134" i="20"/>
  <c r="A134" i="20"/>
  <c r="AJ133" i="20"/>
  <c r="AC133" i="20"/>
  <c r="F38" i="20" s="1"/>
  <c r="V133" i="20"/>
  <c r="E38" i="20" s="1"/>
  <c r="O133" i="20"/>
  <c r="D38" i="20" s="1"/>
  <c r="A133" i="20"/>
  <c r="O124" i="20"/>
  <c r="A124" i="20"/>
  <c r="O123" i="20"/>
  <c r="A123" i="20"/>
  <c r="V122" i="20"/>
  <c r="O122" i="20"/>
  <c r="A122" i="20"/>
  <c r="D20" i="20"/>
  <c r="C165" i="20" s="1"/>
  <c r="V121" i="20"/>
  <c r="C20" i="20" s="1"/>
  <c r="O121" i="20"/>
  <c r="B20" i="20" s="1"/>
  <c r="D165" i="20" s="1"/>
  <c r="A20" i="20"/>
  <c r="A121" i="20"/>
  <c r="AQ118" i="20"/>
  <c r="BE118" i="20"/>
  <c r="AX118" i="20"/>
  <c r="AJ118" i="20"/>
  <c r="AC118" i="20"/>
  <c r="V118" i="20"/>
  <c r="O118" i="20"/>
  <c r="H118" i="20"/>
  <c r="A118" i="20"/>
  <c r="AQ117" i="20"/>
  <c r="BE117" i="20"/>
  <c r="AX117" i="20"/>
  <c r="AJ117" i="20"/>
  <c r="AC117" i="20"/>
  <c r="V117" i="20"/>
  <c r="O117" i="20"/>
  <c r="H117" i="20"/>
  <c r="A117" i="20"/>
  <c r="AQ116" i="20"/>
  <c r="BE116" i="20"/>
  <c r="AX116" i="20"/>
  <c r="AJ116" i="20"/>
  <c r="AC116" i="20"/>
  <c r="V116" i="20"/>
  <c r="O116" i="20"/>
  <c r="H116" i="20"/>
  <c r="A116" i="20"/>
  <c r="AQ115" i="20"/>
  <c r="BE115" i="20"/>
  <c r="AX115" i="20"/>
  <c r="AJ115" i="20"/>
  <c r="AC115" i="20"/>
  <c r="V115" i="20"/>
  <c r="O115" i="20"/>
  <c r="H115" i="20"/>
  <c r="A115" i="20"/>
  <c r="AQ114" i="20"/>
  <c r="BE114" i="20"/>
  <c r="AX114" i="20"/>
  <c r="AJ114" i="20"/>
  <c r="AC114" i="20"/>
  <c r="V114" i="20"/>
  <c r="O114" i="20"/>
  <c r="H114" i="20"/>
  <c r="A114" i="20"/>
  <c r="AQ113" i="20"/>
  <c r="BE113" i="20"/>
  <c r="AX113" i="20"/>
  <c r="AJ113" i="20"/>
  <c r="AC113" i="20"/>
  <c r="V113" i="20"/>
  <c r="O113" i="20"/>
  <c r="H113" i="20"/>
  <c r="A113" i="20"/>
  <c r="AQ112" i="20"/>
  <c r="BE112" i="20"/>
  <c r="AX112" i="20"/>
  <c r="AJ112" i="20"/>
  <c r="AC112" i="20"/>
  <c r="V112" i="20"/>
  <c r="O112" i="20"/>
  <c r="H112" i="20"/>
  <c r="A112" i="20"/>
  <c r="AQ111" i="20"/>
  <c r="BE111" i="20"/>
  <c r="AX111" i="20"/>
  <c r="AJ111" i="20"/>
  <c r="AC111" i="20"/>
  <c r="V111" i="20"/>
  <c r="O111" i="20"/>
  <c r="H111" i="20"/>
  <c r="A111" i="20"/>
  <c r="AQ110" i="20"/>
  <c r="BE110" i="20"/>
  <c r="AX110" i="20"/>
  <c r="AJ110" i="20"/>
  <c r="AC110" i="20"/>
  <c r="V110" i="20"/>
  <c r="O110" i="20"/>
  <c r="H110" i="20"/>
  <c r="A110" i="20"/>
  <c r="A14" i="20" l="1"/>
  <c r="C14" i="20"/>
  <c r="A164" i="20" s="1"/>
  <c r="A165" i="20" s="1"/>
  <c r="A166" i="20" s="1"/>
  <c r="E14" i="20"/>
  <c r="G14" i="20"/>
  <c r="B14" i="20"/>
  <c r="D14" i="20"/>
  <c r="A189" i="20" s="1"/>
  <c r="F14" i="20"/>
  <c r="H14" i="20"/>
  <c r="G42" i="20"/>
  <c r="G43" i="20"/>
  <c r="O128" i="20"/>
  <c r="O129" i="20"/>
  <c r="O130" i="20"/>
  <c r="V124" i="20"/>
  <c r="V123" i="20"/>
  <c r="A12" i="20"/>
  <c r="A13" i="20"/>
  <c r="H88" i="20"/>
  <c r="B18" i="20" s="1"/>
  <c r="H89" i="20"/>
  <c r="B19" i="20" s="1"/>
  <c r="H90" i="20"/>
  <c r="C18" i="20" s="1"/>
  <c r="H91" i="20"/>
  <c r="C19" i="20" s="1"/>
  <c r="H92" i="20"/>
  <c r="D18" i="20" s="1"/>
  <c r="H93" i="20"/>
  <c r="D19" i="20" s="1"/>
  <c r="F12" i="20"/>
  <c r="G12" i="20"/>
  <c r="H12" i="20"/>
  <c r="A127" i="20"/>
  <c r="H128" i="20"/>
  <c r="H86" i="20"/>
  <c r="A18" i="20" s="1"/>
  <c r="H87" i="20"/>
  <c r="A19" i="20" s="1"/>
  <c r="B12" i="20"/>
  <c r="B13" i="20"/>
  <c r="C12" i="20"/>
  <c r="C13" i="20"/>
  <c r="D13" i="20"/>
  <c r="E13" i="20"/>
  <c r="F11" i="20"/>
  <c r="F13" i="20"/>
  <c r="G13" i="20"/>
  <c r="H13" i="20"/>
  <c r="A128" i="20"/>
  <c r="H133" i="20"/>
  <c r="D37" i="20" s="1"/>
  <c r="D41" i="20" s="1"/>
  <c r="H134" i="20"/>
  <c r="E37" i="20" s="1"/>
  <c r="E41" i="20" s="1"/>
  <c r="H135" i="20"/>
  <c r="F37" i="20" s="1"/>
  <c r="H136" i="20"/>
  <c r="G37" i="20" s="1"/>
  <c r="A162" i="20"/>
  <c r="A109" i="20"/>
  <c r="C162" i="20"/>
  <c r="H85" i="20"/>
  <c r="A120" i="20"/>
  <c r="G44" i="20"/>
  <c r="H43" i="20"/>
  <c r="H42" i="20"/>
  <c r="G38" i="20"/>
  <c r="D164" i="20"/>
  <c r="C164" i="20"/>
  <c r="B8" i="21"/>
  <c r="A8" i="21"/>
  <c r="A7" i="21"/>
  <c r="C8" i="21"/>
  <c r="C7" i="21"/>
  <c r="D7" i="21"/>
  <c r="D6" i="21"/>
  <c r="B7" i="21"/>
  <c r="A6" i="21"/>
  <c r="A57" i="21"/>
  <c r="A54" i="21"/>
  <c r="A53" i="21"/>
  <c r="A49" i="21"/>
  <c r="A47" i="21"/>
  <c r="A46" i="21"/>
  <c r="A44" i="21"/>
  <c r="A43" i="21"/>
  <c r="A42" i="21"/>
  <c r="F41" i="21"/>
  <c r="A41" i="21"/>
  <c r="A38" i="21"/>
  <c r="A37" i="21"/>
  <c r="A3" i="21"/>
  <c r="F38" i="21"/>
  <c r="E38" i="21"/>
  <c r="D38" i="21"/>
  <c r="H44" i="21" s="1"/>
  <c r="H14" i="21"/>
  <c r="G14" i="21"/>
  <c r="F14" i="21"/>
  <c r="E14" i="21"/>
  <c r="B14" i="21"/>
  <c r="A14" i="21"/>
  <c r="H50" i="20"/>
  <c r="D47" i="20"/>
  <c r="B189" i="20" l="1"/>
  <c r="B166" i="20" s="1"/>
  <c r="E37" i="21"/>
  <c r="E41" i="21" s="1"/>
  <c r="G37" i="21"/>
  <c r="D37" i="21"/>
  <c r="D41" i="21" s="1"/>
  <c r="F37" i="21"/>
  <c r="B189" i="21"/>
  <c r="H42" i="21"/>
  <c r="H43" i="21"/>
  <c r="G38" i="21"/>
  <c r="D14" i="21"/>
  <c r="A189" i="21" s="1"/>
  <c r="C14" i="21"/>
  <c r="G44" i="21"/>
  <c r="G42" i="21"/>
  <c r="G43" i="21"/>
  <c r="A167" i="20"/>
  <c r="H47" i="21"/>
  <c r="H53" i="21"/>
  <c r="D49" i="21"/>
  <c r="D54" i="21"/>
  <c r="D51" i="20"/>
  <c r="D50" i="20"/>
  <c r="D55" i="21"/>
  <c r="H48" i="20"/>
  <c r="H51" i="20"/>
  <c r="H49" i="20"/>
  <c r="H52" i="20"/>
  <c r="H53" i="20"/>
  <c r="D54" i="20"/>
  <c r="D47" i="21"/>
  <c r="H52" i="21"/>
  <c r="H48" i="21"/>
  <c r="D53" i="21"/>
  <c r="C62" i="21"/>
  <c r="F62" i="21"/>
  <c r="H62" i="21"/>
  <c r="D52" i="20"/>
  <c r="D53" i="20"/>
  <c r="D58" i="20"/>
  <c r="C61" i="20"/>
  <c r="D61" i="21"/>
  <c r="C61" i="21"/>
  <c r="D62" i="21"/>
  <c r="H54" i="20"/>
  <c r="H47" i="20"/>
  <c r="D49" i="20"/>
  <c r="C60" i="20"/>
  <c r="H61" i="20"/>
  <c r="D59" i="20"/>
  <c r="D61" i="20"/>
  <c r="D48" i="20"/>
  <c r="G61" i="20"/>
  <c r="C58" i="20"/>
  <c r="H51" i="21"/>
  <c r="D63" i="21"/>
  <c r="H58" i="21"/>
  <c r="C59" i="21"/>
  <c r="G62" i="21"/>
  <c r="D60" i="21"/>
  <c r="D59" i="21"/>
  <c r="C60" i="21"/>
  <c r="C59" i="20"/>
  <c r="D62" i="20"/>
  <c r="F61" i="20"/>
  <c r="H57" i="20"/>
  <c r="D60" i="20"/>
  <c r="B163" i="20" l="1"/>
  <c r="B164" i="20"/>
  <c r="B165" i="20"/>
  <c r="H79" i="20"/>
  <c r="F46" i="20"/>
  <c r="H14" i="22"/>
  <c r="A164" i="2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B174" i="21" s="1"/>
  <c r="B163" i="21"/>
  <c r="B167" i="20"/>
  <c r="A168" i="20"/>
  <c r="D51" i="21"/>
  <c r="D52" i="21"/>
  <c r="H54" i="21"/>
  <c r="H49" i="21"/>
  <c r="D48" i="21"/>
  <c r="D50" i="21"/>
  <c r="H50" i="21"/>
  <c r="H79" i="21" l="1"/>
  <c r="A55" i="21" s="1"/>
  <c r="A54" i="20"/>
  <c r="E105" i="20"/>
  <c r="A105" i="20" s="1"/>
  <c r="G60" i="20" s="1"/>
  <c r="C106" i="20"/>
  <c r="C104" i="20"/>
  <c r="E106" i="20"/>
  <c r="A106" i="20" s="1"/>
  <c r="H59" i="20" s="1"/>
  <c r="D107" i="20"/>
  <c r="D105" i="20"/>
  <c r="C107" i="20"/>
  <c r="C105" i="20"/>
  <c r="E107" i="20"/>
  <c r="A107" i="20" s="1"/>
  <c r="H60" i="20" s="1"/>
  <c r="E104" i="20"/>
  <c r="A104" i="20" s="1"/>
  <c r="G59" i="20" s="1"/>
  <c r="D106" i="20"/>
  <c r="D104" i="20"/>
  <c r="E105" i="21"/>
  <c r="C106" i="21"/>
  <c r="D104" i="21"/>
  <c r="E106" i="21"/>
  <c r="C105" i="21"/>
  <c r="D107" i="21"/>
  <c r="A102" i="20"/>
  <c r="F59" i="20" s="1"/>
  <c r="A103" i="20"/>
  <c r="F60" i="20" s="1"/>
  <c r="F46" i="21"/>
  <c r="B172" i="21"/>
  <c r="B168" i="21"/>
  <c r="B165" i="21"/>
  <c r="B171" i="21"/>
  <c r="B167" i="21"/>
  <c r="A175" i="21"/>
  <c r="B175" i="21" s="1"/>
  <c r="B170" i="21"/>
  <c r="B166" i="21"/>
  <c r="B173" i="21"/>
  <c r="B169" i="21"/>
  <c r="B164" i="21"/>
  <c r="B168" i="20"/>
  <c r="A169" i="20"/>
  <c r="A63" i="22"/>
  <c r="A57" i="22"/>
  <c r="C107" i="21" l="1"/>
  <c r="D106" i="21"/>
  <c r="E107" i="21"/>
  <c r="D105" i="21"/>
  <c r="E104" i="21"/>
  <c r="A104" i="21" s="1"/>
  <c r="G60" i="21" s="1"/>
  <c r="C104" i="21"/>
  <c r="A107" i="21"/>
  <c r="H61" i="21" s="1"/>
  <c r="A105" i="21"/>
  <c r="G61" i="21" s="1"/>
  <c r="A103" i="21"/>
  <c r="F61" i="21" s="1"/>
  <c r="A106" i="21"/>
  <c r="H60" i="21" s="1"/>
  <c r="A102" i="21"/>
  <c r="F60" i="21" s="1"/>
  <c r="A176" i="21"/>
  <c r="A177" i="21" s="1"/>
  <c r="B169" i="20"/>
  <c r="A170" i="20"/>
  <c r="A54" i="22"/>
  <c r="A53" i="22"/>
  <c r="A49" i="22"/>
  <c r="A47" i="22"/>
  <c r="A46" i="22"/>
  <c r="B176" i="21" l="1"/>
  <c r="B177" i="21"/>
  <c r="A178" i="21"/>
  <c r="B170" i="20"/>
  <c r="A171" i="20"/>
  <c r="F41" i="22"/>
  <c r="A44" i="22"/>
  <c r="A43" i="22"/>
  <c r="A42" i="22"/>
  <c r="A41" i="22"/>
  <c r="E38" i="22"/>
  <c r="D38" i="22"/>
  <c r="H44" i="22" s="1"/>
  <c r="D37" i="22" l="1"/>
  <c r="D41" i="22" s="1"/>
  <c r="E37" i="22"/>
  <c r="E41" i="22" s="1"/>
  <c r="F37" i="22"/>
  <c r="G37" i="22"/>
  <c r="H43" i="22"/>
  <c r="H42" i="22"/>
  <c r="B178" i="21"/>
  <c r="A179" i="21"/>
  <c r="G43" i="22"/>
  <c r="G42" i="22"/>
  <c r="G44" i="22"/>
  <c r="B171" i="20"/>
  <c r="A172" i="20"/>
  <c r="F38" i="22"/>
  <c r="A38" i="22"/>
  <c r="B179" i="21" l="1"/>
  <c r="A180" i="21"/>
  <c r="B172" i="20"/>
  <c r="A173" i="20"/>
  <c r="G38" i="22"/>
  <c r="A37" i="22"/>
  <c r="D8" i="22"/>
  <c r="C8" i="22"/>
  <c r="B8" i="22"/>
  <c r="A8" i="22"/>
  <c r="D7" i="22"/>
  <c r="C7" i="22"/>
  <c r="B7" i="22"/>
  <c r="A7" i="22"/>
  <c r="A6" i="22"/>
  <c r="A3" i="22"/>
  <c r="A94" i="18"/>
  <c r="A93" i="18"/>
  <c r="A92" i="18"/>
  <c r="A89" i="18"/>
  <c r="A88" i="18"/>
  <c r="A86" i="18"/>
  <c r="A85" i="18"/>
  <c r="A84" i="18"/>
  <c r="A83" i="18"/>
  <c r="A82" i="18"/>
  <c r="A81" i="18"/>
  <c r="A80" i="18"/>
  <c r="A79" i="18"/>
  <c r="A78" i="18"/>
  <c r="A77" i="18"/>
  <c r="A76" i="18"/>
  <c r="A74" i="18"/>
  <c r="A73" i="18"/>
  <c r="A59" i="18"/>
  <c r="A57" i="18"/>
  <c r="F56" i="18"/>
  <c r="F55" i="18"/>
  <c r="A55" i="18"/>
  <c r="F54" i="18"/>
  <c r="A54" i="18"/>
  <c r="F53" i="18"/>
  <c r="A53" i="18"/>
  <c r="A52" i="18"/>
  <c r="A50" i="18"/>
  <c r="A49" i="18"/>
  <c r="A48" i="18"/>
  <c r="F46" i="18"/>
  <c r="A46" i="18"/>
  <c r="A44" i="18"/>
  <c r="A43" i="18"/>
  <c r="A41" i="18"/>
  <c r="A40" i="18"/>
  <c r="A39" i="18"/>
  <c r="A38" i="18"/>
  <c r="A37" i="18"/>
  <c r="D36" i="18"/>
  <c r="C36" i="18"/>
  <c r="E35" i="18"/>
  <c r="C35" i="18"/>
  <c r="A35" i="18"/>
  <c r="E32" i="18"/>
  <c r="D32" i="18"/>
  <c r="C32" i="18"/>
  <c r="B32" i="18"/>
  <c r="A32" i="18"/>
  <c r="E31" i="18"/>
  <c r="D31" i="18"/>
  <c r="C31" i="18"/>
  <c r="B31" i="18"/>
  <c r="A31" i="18"/>
  <c r="A30" i="18"/>
  <c r="H27" i="18"/>
  <c r="G27" i="18"/>
  <c r="F27" i="18"/>
  <c r="E27" i="18"/>
  <c r="D27" i="18"/>
  <c r="C27" i="18"/>
  <c r="B27" i="18"/>
  <c r="A27" i="18"/>
  <c r="H26" i="18"/>
  <c r="F26" i="18"/>
  <c r="C26" i="18"/>
  <c r="B26" i="18"/>
  <c r="A26" i="18"/>
  <c r="A25" i="18"/>
  <c r="E8" i="18"/>
  <c r="D8" i="18"/>
  <c r="C8" i="18"/>
  <c r="B8" i="18"/>
  <c r="A8" i="18"/>
  <c r="E7" i="18"/>
  <c r="D7" i="18"/>
  <c r="C7" i="18"/>
  <c r="B7" i="18"/>
  <c r="A7" i="18"/>
  <c r="A6" i="18"/>
  <c r="A4" i="18"/>
  <c r="A94" i="19"/>
  <c r="A93" i="19"/>
  <c r="A92" i="19"/>
  <c r="A89" i="19"/>
  <c r="A88" i="19"/>
  <c r="A86" i="19"/>
  <c r="A85" i="19"/>
  <c r="A84" i="19"/>
  <c r="A83" i="19"/>
  <c r="A82" i="19"/>
  <c r="A81" i="19"/>
  <c r="A80" i="19"/>
  <c r="A79" i="19"/>
  <c r="A78" i="19"/>
  <c r="A77" i="19"/>
  <c r="A76" i="19"/>
  <c r="A74" i="19"/>
  <c r="A73" i="19"/>
  <c r="A59" i="19"/>
  <c r="F57" i="19"/>
  <c r="A57" i="19"/>
  <c r="F56" i="19"/>
  <c r="F55" i="19"/>
  <c r="A55" i="19"/>
  <c r="F54" i="19"/>
  <c r="A54" i="19"/>
  <c r="F53" i="19"/>
  <c r="A53" i="19"/>
  <c r="A52" i="19"/>
  <c r="A50" i="19"/>
  <c r="A49" i="19"/>
  <c r="A48" i="19"/>
  <c r="F46" i="19"/>
  <c r="A46" i="19"/>
  <c r="A44" i="19"/>
  <c r="A43" i="19"/>
  <c r="A41" i="19"/>
  <c r="A40" i="19"/>
  <c r="A39" i="19"/>
  <c r="A38" i="19"/>
  <c r="A37" i="19"/>
  <c r="D36" i="19"/>
  <c r="C36" i="19"/>
  <c r="E35" i="19"/>
  <c r="C35" i="19"/>
  <c r="A35" i="19"/>
  <c r="E32" i="19"/>
  <c r="D32" i="19"/>
  <c r="C32" i="19"/>
  <c r="B32" i="19"/>
  <c r="A32" i="19"/>
  <c r="E31" i="19"/>
  <c r="D31" i="19"/>
  <c r="C31" i="19"/>
  <c r="B31" i="19"/>
  <c r="A31" i="19"/>
  <c r="A30" i="19"/>
  <c r="H27" i="19"/>
  <c r="G27" i="19"/>
  <c r="F27" i="19"/>
  <c r="E27" i="19"/>
  <c r="D27" i="19"/>
  <c r="C27" i="19"/>
  <c r="B27" i="19"/>
  <c r="A27" i="19"/>
  <c r="H26" i="19"/>
  <c r="F26" i="19"/>
  <c r="C26" i="19"/>
  <c r="B26" i="19"/>
  <c r="A26" i="19"/>
  <c r="A25" i="19"/>
  <c r="D8" i="19"/>
  <c r="C8" i="19"/>
  <c r="B8" i="19"/>
  <c r="A8" i="19"/>
  <c r="D7" i="19"/>
  <c r="C7" i="19"/>
  <c r="B7" i="19"/>
  <c r="A7" i="19"/>
  <c r="A6" i="19"/>
  <c r="A4" i="19"/>
  <c r="A94" i="7"/>
  <c r="A93" i="7"/>
  <c r="A92" i="7"/>
  <c r="A89" i="7"/>
  <c r="A88" i="7"/>
  <c r="A86" i="7"/>
  <c r="A85" i="7"/>
  <c r="A84" i="7"/>
  <c r="A83" i="7"/>
  <c r="A82" i="7"/>
  <c r="A81" i="7"/>
  <c r="A80" i="7"/>
  <c r="A79" i="7"/>
  <c r="A78" i="7"/>
  <c r="A77" i="7"/>
  <c r="A76" i="7"/>
  <c r="A74" i="7"/>
  <c r="A73" i="7"/>
  <c r="A57" i="7"/>
  <c r="F56" i="7"/>
  <c r="F55" i="7"/>
  <c r="A55" i="7"/>
  <c r="F54" i="7"/>
  <c r="F53" i="7"/>
  <c r="A53" i="7"/>
  <c r="F52" i="7"/>
  <c r="A52" i="7"/>
  <c r="A51" i="7"/>
  <c r="A49" i="7"/>
  <c r="A48" i="7"/>
  <c r="F46" i="7"/>
  <c r="A46" i="7"/>
  <c r="A44" i="7"/>
  <c r="A43" i="7"/>
  <c r="A41" i="7"/>
  <c r="A40" i="7"/>
  <c r="A39" i="7"/>
  <c r="A38" i="7"/>
  <c r="A37" i="7"/>
  <c r="D36" i="7"/>
  <c r="C36" i="7"/>
  <c r="E35" i="7"/>
  <c r="C35" i="7"/>
  <c r="A35" i="7"/>
  <c r="E32" i="7"/>
  <c r="D32" i="7"/>
  <c r="C32" i="7"/>
  <c r="B32" i="7"/>
  <c r="A32" i="7"/>
  <c r="E31" i="7"/>
  <c r="D31" i="7"/>
  <c r="C31" i="7"/>
  <c r="B31" i="7"/>
  <c r="A31" i="7"/>
  <c r="A30" i="7"/>
  <c r="H27" i="7"/>
  <c r="G27" i="7"/>
  <c r="F27" i="7"/>
  <c r="E27" i="7"/>
  <c r="D27" i="7"/>
  <c r="C27" i="7"/>
  <c r="B27" i="7"/>
  <c r="A27" i="7"/>
  <c r="H26" i="7"/>
  <c r="F26" i="7"/>
  <c r="C26" i="7"/>
  <c r="B26" i="7"/>
  <c r="A26" i="7"/>
  <c r="A25" i="7"/>
  <c r="B8" i="7"/>
  <c r="A8" i="7"/>
  <c r="B7" i="7"/>
  <c r="A7" i="7"/>
  <c r="A6" i="7"/>
  <c r="A4" i="7"/>
  <c r="A19" i="16"/>
  <c r="A18" i="16"/>
  <c r="A17" i="16"/>
  <c r="A16" i="16"/>
  <c r="A15" i="16"/>
  <c r="A14" i="16"/>
  <c r="A13" i="16"/>
  <c r="A11" i="16"/>
  <c r="A10" i="16"/>
  <c r="A9" i="16"/>
  <c r="A8" i="16"/>
  <c r="A7" i="16"/>
  <c r="B2" i="16"/>
  <c r="B1" i="16"/>
  <c r="B180" i="21" l="1"/>
  <c r="A181" i="21"/>
  <c r="B173" i="20"/>
  <c r="A174" i="20"/>
  <c r="B181" i="21" l="1"/>
  <c r="A182" i="21"/>
  <c r="B174" i="20"/>
  <c r="A175" i="20"/>
  <c r="B182" i="21" l="1"/>
  <c r="A183" i="21"/>
  <c r="B175" i="20"/>
  <c r="A176" i="20"/>
  <c r="F14" i="22" l="1"/>
  <c r="C14" i="22"/>
  <c r="E14" i="22"/>
  <c r="G14" i="22"/>
  <c r="D14" i="22"/>
  <c r="A189" i="22" s="1"/>
  <c r="B183" i="21"/>
  <c r="A184" i="21"/>
  <c r="B176" i="20"/>
  <c r="A177" i="20"/>
  <c r="B167" i="17"/>
  <c r="A167" i="17"/>
  <c r="B83" i="23" s="1"/>
  <c r="B83" i="22" l="1"/>
  <c r="B83" i="20"/>
  <c r="B83" i="21"/>
  <c r="A164" i="22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B14" i="22"/>
  <c r="A14" i="22"/>
  <c r="B184" i="21"/>
  <c r="A185" i="21"/>
  <c r="B177" i="20"/>
  <c r="A178" i="20"/>
  <c r="D53" i="22"/>
  <c r="H53" i="22"/>
  <c r="D54" i="22"/>
  <c r="D48" i="22"/>
  <c r="G62" i="22"/>
  <c r="C61" i="22"/>
  <c r="D61" i="22"/>
  <c r="C62" i="22"/>
  <c r="H51" i="22"/>
  <c r="D51" i="22"/>
  <c r="H47" i="22"/>
  <c r="H62" i="22"/>
  <c r="H50" i="22"/>
  <c r="D59" i="22"/>
  <c r="C59" i="22"/>
  <c r="H48" i="22"/>
  <c r="D50" i="22"/>
  <c r="D52" i="22"/>
  <c r="D49" i="22"/>
  <c r="C60" i="22"/>
  <c r="D62" i="22"/>
  <c r="F62" i="22"/>
  <c r="H52" i="22"/>
  <c r="H49" i="22"/>
  <c r="D47" i="22"/>
  <c r="D55" i="22"/>
  <c r="H54" i="22"/>
  <c r="D63" i="22"/>
  <c r="H79" i="22" l="1"/>
  <c r="B189" i="22"/>
  <c r="B185" i="22" s="1"/>
  <c r="F46" i="22"/>
  <c r="A187" i="22"/>
  <c r="B185" i="21"/>
  <c r="A186" i="21"/>
  <c r="B178" i="20"/>
  <c r="A179" i="20"/>
  <c r="H58" i="22"/>
  <c r="D60" i="22"/>
  <c r="B163" i="22" l="1"/>
  <c r="A55" i="22"/>
  <c r="C107" i="22"/>
  <c r="C105" i="22"/>
  <c r="E107" i="22"/>
  <c r="A107" i="22" s="1"/>
  <c r="E105" i="22"/>
  <c r="A105" i="22" s="1"/>
  <c r="D107" i="22"/>
  <c r="D105" i="22"/>
  <c r="C106" i="22"/>
  <c r="C104" i="22"/>
  <c r="E106" i="22"/>
  <c r="A106" i="22" s="1"/>
  <c r="E104" i="22"/>
  <c r="A104" i="22" s="1"/>
  <c r="D106" i="22"/>
  <c r="D104" i="22"/>
  <c r="B184" i="22"/>
  <c r="B174" i="22"/>
  <c r="B179" i="22"/>
  <c r="B168" i="22"/>
  <c r="B182" i="22"/>
  <c r="B176" i="22"/>
  <c r="B171" i="22"/>
  <c r="B165" i="22"/>
  <c r="B183" i="22"/>
  <c r="B180" i="22"/>
  <c r="B178" i="22"/>
  <c r="B175" i="22"/>
  <c r="B172" i="22"/>
  <c r="B170" i="22"/>
  <c r="B167" i="22"/>
  <c r="B164" i="22"/>
  <c r="A102" i="22"/>
  <c r="A103" i="22"/>
  <c r="B186" i="22"/>
  <c r="B181" i="22"/>
  <c r="B177" i="22"/>
  <c r="B173" i="22"/>
  <c r="B169" i="22"/>
  <c r="B166" i="22"/>
  <c r="B187" i="22"/>
  <c r="A188" i="22"/>
  <c r="B188" i="22" s="1"/>
  <c r="B186" i="21"/>
  <c r="A187" i="21"/>
  <c r="B179" i="20"/>
  <c r="A180" i="20"/>
  <c r="F60" i="22" l="1"/>
  <c r="G60" i="22"/>
  <c r="H60" i="22"/>
  <c r="F61" i="22"/>
  <c r="G61" i="22"/>
  <c r="H61" i="22"/>
  <c r="B187" i="21"/>
  <c r="A188" i="21"/>
  <c r="B188" i="21" s="1"/>
  <c r="B180" i="20"/>
  <c r="A181" i="20"/>
  <c r="B181" i="20" l="1"/>
  <c r="A182" i="20"/>
  <c r="B182" i="20" l="1"/>
  <c r="A183" i="20"/>
  <c r="F40" i="7"/>
  <c r="F40" i="19"/>
  <c r="B53" i="17"/>
  <c r="A53" i="17"/>
  <c r="F37" i="19"/>
  <c r="F38" i="19"/>
  <c r="F39" i="19"/>
  <c r="F38" i="18"/>
  <c r="F37" i="18"/>
  <c r="F39" i="18"/>
  <c r="A142" i="17"/>
  <c r="F68" i="6"/>
  <c r="G68" i="6" s="1"/>
  <c r="H68" i="6" s="1"/>
  <c r="I68" i="6" s="1"/>
  <c r="J68" i="6" s="1"/>
  <c r="K68" i="6" s="1"/>
  <c r="L68" i="6" s="1"/>
  <c r="M68" i="6" s="1"/>
  <c r="N68" i="6" s="1"/>
  <c r="O68" i="6" s="1"/>
  <c r="P68" i="6" s="1"/>
  <c r="Q68" i="6" s="1"/>
  <c r="R68" i="6" s="1"/>
  <c r="S68" i="6" s="1"/>
  <c r="T68" i="6" s="1"/>
  <c r="U68" i="6" s="1"/>
  <c r="V68" i="6" s="1"/>
  <c r="W68" i="6" s="1"/>
  <c r="X68" i="6" s="1"/>
  <c r="Y68" i="6" s="1"/>
  <c r="Z68" i="6" s="1"/>
  <c r="AA68" i="6" s="1"/>
  <c r="AB68" i="6" s="1"/>
  <c r="AC68" i="6" s="1"/>
  <c r="AD68" i="6" s="1"/>
  <c r="AE68" i="6" s="1"/>
  <c r="AF68" i="6" s="1"/>
  <c r="AG68" i="6" s="1"/>
  <c r="AH68" i="6" s="1"/>
  <c r="AI68" i="6" s="1"/>
  <c r="AJ68" i="6" s="1"/>
  <c r="AK68" i="6" s="1"/>
  <c r="AL68" i="6" s="1"/>
  <c r="AM68" i="6" s="1"/>
  <c r="AN68" i="6" s="1"/>
  <c r="AO68" i="6" s="1"/>
  <c r="AP68" i="6" s="1"/>
  <c r="AQ68" i="6" s="1"/>
  <c r="AR68" i="6" s="1"/>
  <c r="AS68" i="6" s="1"/>
  <c r="AT68" i="6" s="1"/>
  <c r="AU68" i="6" s="1"/>
  <c r="AV68" i="6" s="1"/>
  <c r="AW68" i="6" s="1"/>
  <c r="AX68" i="6" s="1"/>
  <c r="AY68" i="6" s="1"/>
  <c r="AZ68" i="6" s="1"/>
  <c r="BA68" i="6" s="1"/>
  <c r="BB68" i="6" s="1"/>
  <c r="BC68" i="6" s="1"/>
  <c r="BD68" i="6" s="1"/>
  <c r="BE68" i="6" s="1"/>
  <c r="BF68" i="6" s="1"/>
  <c r="BG68" i="6" s="1"/>
  <c r="BH68" i="6" s="1"/>
  <c r="BI68" i="6" s="1"/>
  <c r="BJ68" i="6" s="1"/>
  <c r="BK68" i="6" s="1"/>
  <c r="BL68" i="6" s="1"/>
  <c r="BM68" i="6" s="1"/>
  <c r="BN68" i="6" s="1"/>
  <c r="BO68" i="6" s="1"/>
  <c r="BP68" i="6" s="1"/>
  <c r="BQ68" i="6" s="1"/>
  <c r="BR68" i="6" s="1"/>
  <c r="BS68" i="6" s="1"/>
  <c r="BT68" i="6" s="1"/>
  <c r="BU68" i="6" s="1"/>
  <c r="BV68" i="6" s="1"/>
  <c r="BW68" i="6" s="1"/>
  <c r="BX68" i="6" s="1"/>
  <c r="BY68" i="6" s="1"/>
  <c r="BZ68" i="6" s="1"/>
  <c r="CA68" i="6" s="1"/>
  <c r="CB68" i="6" s="1"/>
  <c r="CC68" i="6" s="1"/>
  <c r="CD68" i="6" s="1"/>
  <c r="CE68" i="6" s="1"/>
  <c r="CF68" i="6" s="1"/>
  <c r="CG68" i="6" s="1"/>
  <c r="CH68" i="6" s="1"/>
  <c r="CI68" i="6" s="1"/>
  <c r="CJ68" i="6" s="1"/>
  <c r="CK68" i="6" s="1"/>
  <c r="CL68" i="6" s="1"/>
  <c r="CM68" i="6" s="1"/>
  <c r="CN68" i="6" s="1"/>
  <c r="CO68" i="6" s="1"/>
  <c r="CP68" i="6" s="1"/>
  <c r="CQ68" i="6" s="1"/>
  <c r="CR68" i="6" s="1"/>
  <c r="CS68" i="6" s="1"/>
  <c r="F38" i="7"/>
  <c r="F37" i="7"/>
  <c r="F39" i="7"/>
  <c r="B142" i="17"/>
  <c r="D39" i="7"/>
  <c r="A97" i="19"/>
  <c r="D26" i="19"/>
  <c r="E26" i="19"/>
  <c r="G26" i="19"/>
  <c r="C97" i="19"/>
  <c r="E36" i="19"/>
  <c r="F36" i="19"/>
  <c r="D37" i="19"/>
  <c r="D38" i="19"/>
  <c r="D39" i="19"/>
  <c r="B124" i="19"/>
  <c r="B99" i="19" s="1"/>
  <c r="A99" i="19"/>
  <c r="C99" i="19"/>
  <c r="D99" i="19"/>
  <c r="A100" i="19"/>
  <c r="A101" i="19" s="1"/>
  <c r="A102" i="19" s="1"/>
  <c r="C100" i="19"/>
  <c r="D100" i="19"/>
  <c r="A124" i="19"/>
  <c r="F36" i="18"/>
  <c r="E36" i="18"/>
  <c r="F36" i="7"/>
  <c r="E36" i="7"/>
  <c r="D38" i="7"/>
  <c r="D37" i="7"/>
  <c r="A97" i="18"/>
  <c r="D26" i="18"/>
  <c r="E26" i="18"/>
  <c r="G26" i="18"/>
  <c r="C97" i="18"/>
  <c r="B124" i="18"/>
  <c r="A99" i="18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C99" i="18"/>
  <c r="D99" i="18"/>
  <c r="C100" i="18"/>
  <c r="D100" i="18"/>
  <c r="A124" i="18"/>
  <c r="G26" i="7"/>
  <c r="E26" i="7"/>
  <c r="D26" i="7"/>
  <c r="A97" i="7"/>
  <c r="C97" i="7"/>
  <c r="D100" i="7"/>
  <c r="D99" i="7"/>
  <c r="C100" i="7"/>
  <c r="C99" i="7"/>
  <c r="B124" i="7"/>
  <c r="A99" i="7"/>
  <c r="A100" i="7" s="1"/>
  <c r="A101" i="7" s="1"/>
  <c r="A102" i="7" s="1"/>
  <c r="A103" i="7" s="1"/>
  <c r="B99" i="7"/>
  <c r="A124" i="7"/>
  <c r="A31" i="16"/>
  <c r="A30" i="16"/>
  <c r="A29" i="16"/>
  <c r="A28" i="16"/>
  <c r="A27" i="16"/>
  <c r="A26" i="16"/>
  <c r="A25" i="16"/>
  <c r="A24" i="16"/>
  <c r="A23" i="16"/>
  <c r="A22" i="16"/>
  <c r="H25" i="13"/>
  <c r="M25" i="13" s="1"/>
  <c r="H26" i="13"/>
  <c r="M26" i="13" s="1"/>
  <c r="H27" i="13"/>
  <c r="M27" i="13"/>
  <c r="H25" i="12"/>
  <c r="M25" i="12" s="1"/>
  <c r="H26" i="12"/>
  <c r="M26" i="12" s="1"/>
  <c r="H27" i="12"/>
  <c r="M27" i="12" s="1"/>
  <c r="H25" i="11"/>
  <c r="M25" i="11"/>
  <c r="H26" i="11"/>
  <c r="M26" i="11"/>
  <c r="H27" i="11"/>
  <c r="M27" i="11"/>
  <c r="M28" i="11"/>
  <c r="B22" i="5"/>
  <c r="B33" i="5"/>
  <c r="A32" i="5"/>
  <c r="A31" i="5"/>
  <c r="A24" i="5"/>
  <c r="A23" i="5"/>
  <c r="B38" i="3"/>
  <c r="A37" i="3"/>
  <c r="A36" i="3"/>
  <c r="A29" i="3"/>
  <c r="A28" i="3"/>
  <c r="B27" i="3"/>
  <c r="A45" i="13" l="1"/>
  <c r="A39" i="13"/>
  <c r="A103" i="19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B102" i="19"/>
  <c r="A104" i="7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B103" i="7"/>
  <c r="B106" i="19"/>
  <c r="B105" i="19"/>
  <c r="B110" i="19"/>
  <c r="B183" i="20"/>
  <c r="A184" i="20"/>
  <c r="A91" i="18"/>
  <c r="A91" i="7"/>
  <c r="A91" i="19"/>
  <c r="F40" i="18"/>
  <c r="A116" i="7"/>
  <c r="A117" i="7" s="1"/>
  <c r="A118" i="7" s="1"/>
  <c r="A119" i="7" s="1"/>
  <c r="B115" i="7"/>
  <c r="A45" i="12"/>
  <c r="A39" i="12"/>
  <c r="A46" i="12"/>
  <c r="M28" i="12"/>
  <c r="A40" i="12"/>
  <c r="B112" i="7"/>
  <c r="B108" i="7"/>
  <c r="B104" i="7"/>
  <c r="B100" i="7"/>
  <c r="B118" i="7"/>
  <c r="B114" i="7"/>
  <c r="B110" i="7"/>
  <c r="B106" i="7"/>
  <c r="B102" i="7"/>
  <c r="B98" i="7"/>
  <c r="B113" i="7"/>
  <c r="B105" i="7"/>
  <c r="B117" i="7"/>
  <c r="B109" i="7"/>
  <c r="B101" i="7"/>
  <c r="A40" i="13"/>
  <c r="M28" i="13"/>
  <c r="A46" i="13"/>
  <c r="B99" i="18"/>
  <c r="B100" i="18"/>
  <c r="B101" i="18"/>
  <c r="B103" i="18"/>
  <c r="B105" i="18"/>
  <c r="B107" i="18"/>
  <c r="B109" i="18"/>
  <c r="B111" i="18"/>
  <c r="B113" i="18"/>
  <c r="B115" i="18"/>
  <c r="B117" i="18"/>
  <c r="B119" i="18"/>
  <c r="B121" i="18"/>
  <c r="B123" i="18"/>
  <c r="B98" i="18"/>
  <c r="B102" i="18"/>
  <c r="B104" i="18"/>
  <c r="B106" i="18"/>
  <c r="B108" i="18"/>
  <c r="B110" i="18"/>
  <c r="B112" i="18"/>
  <c r="B114" i="18"/>
  <c r="B116" i="18"/>
  <c r="B118" i="18"/>
  <c r="B120" i="18"/>
  <c r="B122" i="18"/>
  <c r="A114" i="19" l="1"/>
  <c r="B113" i="19"/>
  <c r="B184" i="20"/>
  <c r="A185" i="20"/>
  <c r="B116" i="7"/>
  <c r="B109" i="19"/>
  <c r="B101" i="19"/>
  <c r="B100" i="19"/>
  <c r="B107" i="7"/>
  <c r="B98" i="19"/>
  <c r="B103" i="19"/>
  <c r="B107" i="19"/>
  <c r="B111" i="19"/>
  <c r="B104" i="19"/>
  <c r="B108" i="19"/>
  <c r="B112" i="19"/>
  <c r="B111" i="7"/>
  <c r="B119" i="7"/>
  <c r="A120" i="7"/>
  <c r="A115" i="19" l="1"/>
  <c r="B114" i="19"/>
  <c r="B185" i="20"/>
  <c r="A186" i="20"/>
  <c r="A121" i="7"/>
  <c r="B120" i="7"/>
  <c r="A116" i="19" l="1"/>
  <c r="B115" i="19"/>
  <c r="B186" i="20"/>
  <c r="A187" i="20"/>
  <c r="A122" i="7"/>
  <c r="B121" i="7"/>
  <c r="A117" i="19" l="1"/>
  <c r="B116" i="19"/>
  <c r="B187" i="20"/>
  <c r="A188" i="20"/>
  <c r="B188" i="20" s="1"/>
  <c r="A123" i="7"/>
  <c r="B123" i="7" s="1"/>
  <c r="B122" i="7"/>
  <c r="A118" i="19" l="1"/>
  <c r="B117" i="19"/>
  <c r="A119" i="19" l="1"/>
  <c r="B118" i="19"/>
  <c r="BM73" i="6"/>
  <c r="U26" i="6"/>
  <c r="F36" i="13"/>
  <c r="AY85" i="6"/>
  <c r="BY83" i="6"/>
  <c r="AN78" i="6"/>
  <c r="CH70" i="6"/>
  <c r="AQ88" i="6"/>
  <c r="AH81" i="6"/>
  <c r="O26" i="6"/>
  <c r="M18" i="6"/>
  <c r="H15" i="6"/>
  <c r="AA85" i="6"/>
  <c r="AI72" i="6"/>
  <c r="AW86" i="6"/>
  <c r="BJ86" i="6"/>
  <c r="AH79" i="6"/>
  <c r="AF70" i="6"/>
  <c r="H23" i="6"/>
  <c r="G70" i="6"/>
  <c r="BI88" i="6"/>
  <c r="BI74" i="6"/>
  <c r="K34" i="6"/>
  <c r="S75" i="6"/>
  <c r="BG73" i="6"/>
  <c r="AC78" i="6"/>
  <c r="CW90" i="6"/>
  <c r="AX69" i="6"/>
  <c r="CM90" i="6"/>
  <c r="BK85" i="6"/>
  <c r="X81" i="6"/>
  <c r="CZ89" i="6"/>
  <c r="CJ86" i="6"/>
  <c r="BR77" i="6"/>
  <c r="Q86" i="6"/>
  <c r="BL81" i="6"/>
  <c r="F35" i="12"/>
  <c r="CZ74" i="6"/>
  <c r="AL85" i="6"/>
  <c r="R73" i="6"/>
  <c r="BZ81" i="6"/>
  <c r="CI70" i="6"/>
  <c r="BF88" i="6"/>
  <c r="CC85" i="6"/>
  <c r="BS77" i="6"/>
  <c r="CX74" i="6"/>
  <c r="BX90" i="6"/>
  <c r="CH81" i="6"/>
  <c r="BT87" i="6"/>
  <c r="AR75" i="6"/>
  <c r="CU81" i="6"/>
  <c r="AC86" i="6"/>
  <c r="BL72" i="6"/>
  <c r="AR72" i="6"/>
  <c r="J79" i="6"/>
  <c r="CZ76" i="6"/>
  <c r="AT71" i="6"/>
  <c r="V17" i="6"/>
  <c r="BI83" i="6"/>
  <c r="F39" i="13"/>
  <c r="AL81" i="6"/>
  <c r="AE77" i="6"/>
  <c r="P74" i="6"/>
  <c r="AN72" i="6"/>
  <c r="AA79" i="6"/>
  <c r="BD70" i="6"/>
  <c r="DA74" i="6"/>
  <c r="CW75" i="6"/>
  <c r="AD83" i="6"/>
  <c r="BZ84" i="6"/>
  <c r="CZ73" i="6"/>
  <c r="BZ73" i="6"/>
  <c r="U27" i="6"/>
  <c r="J15" i="6"/>
  <c r="AD70" i="6"/>
  <c r="I15" i="6"/>
  <c r="V85" i="6"/>
  <c r="AY70" i="6"/>
  <c r="I86" i="6"/>
  <c r="CX69" i="6"/>
  <c r="AY90" i="6"/>
  <c r="H20" i="6"/>
  <c r="J36" i="6"/>
  <c r="V22" i="6"/>
  <c r="BV80" i="6"/>
  <c r="CY81" i="6"/>
  <c r="CS78" i="6"/>
  <c r="AV85" i="6"/>
  <c r="Q33" i="6"/>
  <c r="BE72" i="6"/>
  <c r="AJ76" i="6"/>
  <c r="CP88" i="6"/>
  <c r="S25" i="6"/>
  <c r="D36" i="6"/>
  <c r="R88" i="6"/>
  <c r="BZ70" i="6"/>
  <c r="AC88" i="6"/>
  <c r="BM77" i="6"/>
  <c r="BX73" i="6"/>
  <c r="AX75" i="6"/>
  <c r="AU80" i="6"/>
  <c r="CK76" i="6"/>
  <c r="BO82" i="6"/>
  <c r="CP78" i="6"/>
  <c r="CC80" i="6"/>
  <c r="BP86" i="6"/>
  <c r="CP84" i="6"/>
  <c r="CD87" i="6"/>
  <c r="P67" i="6"/>
  <c r="K81" i="6"/>
  <c r="M78" i="6"/>
  <c r="BG71" i="6"/>
  <c r="BW87" i="6"/>
  <c r="AN83" i="6"/>
  <c r="CQ85" i="6"/>
  <c r="X82" i="6"/>
  <c r="BF79" i="6"/>
  <c r="AV90" i="6"/>
  <c r="CT73" i="6"/>
  <c r="U72" i="6"/>
  <c r="BC70" i="6"/>
  <c r="W87" i="6"/>
  <c r="Q84" i="6"/>
  <c r="CS84" i="6"/>
  <c r="BM83" i="6"/>
  <c r="H25" i="6"/>
  <c r="AU79" i="6"/>
  <c r="AR81" i="6"/>
  <c r="CH79" i="6"/>
  <c r="AH78" i="6"/>
  <c r="CI71" i="6"/>
  <c r="AI70" i="6"/>
  <c r="Z70" i="6"/>
  <c r="O73" i="6"/>
  <c r="M83" i="6"/>
  <c r="N33" i="6"/>
  <c r="AZ82" i="6"/>
  <c r="AY89" i="6"/>
  <c r="CM75" i="6"/>
  <c r="C23" i="6"/>
  <c r="CN89" i="6"/>
  <c r="K27" i="6"/>
  <c r="AR82" i="6"/>
  <c r="O76" i="6"/>
  <c r="BR71" i="6"/>
  <c r="CV81" i="6"/>
  <c r="AR80" i="6"/>
  <c r="F40" i="12"/>
  <c r="BR75" i="6"/>
  <c r="S73" i="6"/>
  <c r="X73" i="6"/>
  <c r="BS76" i="6"/>
  <c r="AF90" i="6"/>
  <c r="CO84" i="6"/>
  <c r="BK82" i="6"/>
  <c r="G86" i="6"/>
  <c r="AO89" i="6"/>
  <c r="AB88" i="6"/>
  <c r="AO86" i="6"/>
  <c r="CW89" i="6"/>
  <c r="AP88" i="6"/>
  <c r="U80" i="6"/>
  <c r="BD72" i="6"/>
  <c r="P72" i="6"/>
  <c r="C24" i="6"/>
  <c r="R24" i="6"/>
  <c r="BH80" i="6"/>
  <c r="N85" i="6"/>
  <c r="BI69" i="6"/>
  <c r="BM78" i="6"/>
  <c r="E89" i="6"/>
  <c r="S32" i="6"/>
  <c r="C27" i="6"/>
  <c r="CB74" i="6"/>
  <c r="AI71" i="6"/>
  <c r="CM76" i="6"/>
  <c r="P26" i="6"/>
  <c r="AH73" i="6"/>
  <c r="AO76" i="6"/>
  <c r="AQ72" i="6"/>
  <c r="R77" i="6"/>
  <c r="O83" i="6"/>
  <c r="DA85" i="6"/>
  <c r="D47" i="18"/>
  <c r="CV90" i="6"/>
  <c r="AH88" i="6"/>
  <c r="BK83" i="6"/>
  <c r="BF73" i="6"/>
  <c r="CG69" i="6"/>
  <c r="BC75" i="6"/>
  <c r="R87" i="6"/>
  <c r="BB86" i="6"/>
  <c r="CB75" i="6"/>
  <c r="N30" i="6"/>
  <c r="C32" i="6"/>
  <c r="AE73" i="6"/>
  <c r="BE83" i="6"/>
  <c r="BQ72" i="6"/>
  <c r="C18" i="6"/>
  <c r="J74" i="6"/>
  <c r="G23" i="6"/>
  <c r="CZ87" i="6"/>
  <c r="BG70" i="6"/>
  <c r="AO71" i="6"/>
  <c r="AT90" i="6"/>
  <c r="BQ87" i="6"/>
  <c r="AX82" i="6"/>
  <c r="F34" i="6"/>
  <c r="BW69" i="6"/>
  <c r="J72" i="6"/>
  <c r="AA74" i="6"/>
  <c r="K78" i="6"/>
  <c r="V84" i="6"/>
  <c r="CQ86" i="6"/>
  <c r="J35" i="6"/>
  <c r="AO75" i="6"/>
  <c r="AX72" i="6"/>
  <c r="BV74" i="6"/>
  <c r="F89" i="6"/>
  <c r="BJ70" i="6"/>
  <c r="CY77" i="6"/>
  <c r="CN78" i="6"/>
  <c r="BN76" i="6"/>
  <c r="AO83" i="6"/>
  <c r="AB85" i="6"/>
  <c r="CZ75" i="6"/>
  <c r="Q88" i="6"/>
  <c r="L72" i="6"/>
  <c r="AY83" i="6"/>
  <c r="P87" i="6"/>
  <c r="CE72" i="6"/>
  <c r="K85" i="6"/>
  <c r="X71" i="6"/>
  <c r="BC85" i="6"/>
  <c r="K28" i="6"/>
  <c r="T22" i="6"/>
  <c r="AB86" i="6"/>
  <c r="S74" i="6"/>
  <c r="AV75" i="6"/>
  <c r="AC72" i="6"/>
  <c r="Z82" i="6"/>
  <c r="CJ82" i="6"/>
  <c r="BZ72" i="6"/>
  <c r="Y69" i="6"/>
  <c r="AE80" i="6"/>
  <c r="CI75" i="6"/>
  <c r="E72" i="6"/>
  <c r="V82" i="6"/>
  <c r="BE88" i="6"/>
  <c r="CI89" i="6"/>
  <c r="BF85" i="6"/>
  <c r="V30" i="6"/>
  <c r="CI74" i="6"/>
  <c r="BR78" i="6"/>
  <c r="AK72" i="6"/>
  <c r="K23" i="6"/>
  <c r="U28" i="6"/>
  <c r="Z90" i="6"/>
  <c r="AC69" i="6"/>
  <c r="BW74" i="6"/>
  <c r="T71" i="6"/>
  <c r="CM78" i="6"/>
  <c r="BD71" i="6"/>
  <c r="AU82" i="6"/>
  <c r="CX77" i="6"/>
  <c r="O18" i="6"/>
  <c r="H84" i="6"/>
  <c r="J19" i="6"/>
  <c r="CD69" i="6"/>
  <c r="S35" i="6"/>
  <c r="X89" i="6"/>
  <c r="CG81" i="6"/>
  <c r="AI89" i="6"/>
  <c r="BW75" i="6"/>
  <c r="BF82" i="6"/>
  <c r="BE82" i="6"/>
  <c r="BS88" i="6"/>
  <c r="AI84" i="6"/>
  <c r="CG87" i="6"/>
  <c r="CU83" i="6"/>
  <c r="BR83" i="6"/>
  <c r="O67" i="6"/>
  <c r="CE89" i="6"/>
  <c r="BM72" i="6"/>
  <c r="V77" i="6"/>
  <c r="N83" i="6"/>
  <c r="CU69" i="6"/>
  <c r="AZ81" i="6"/>
  <c r="AP76" i="6"/>
  <c r="I26" i="6"/>
  <c r="AK78" i="6"/>
  <c r="CG90" i="6"/>
  <c r="Y74" i="6"/>
  <c r="CG79" i="6"/>
  <c r="AN75" i="6"/>
  <c r="U74" i="6"/>
  <c r="M90" i="6"/>
  <c r="E26" i="6"/>
  <c r="BM80" i="6"/>
  <c r="CB72" i="6"/>
  <c r="Q83" i="6"/>
  <c r="I19" i="6"/>
  <c r="V23" i="6"/>
  <c r="CQ71" i="6"/>
  <c r="N22" i="6"/>
  <c r="AK88" i="6"/>
  <c r="CU86" i="6"/>
  <c r="D25" i="5"/>
  <c r="G69" i="6"/>
  <c r="D49" i="18"/>
  <c r="BL76" i="6"/>
  <c r="D50" i="18"/>
  <c r="AQ76" i="6"/>
  <c r="AI76" i="6"/>
  <c r="AL76" i="6"/>
  <c r="CT90" i="6"/>
  <c r="AN84" i="6"/>
  <c r="BG69" i="6"/>
  <c r="CS88" i="6"/>
  <c r="BZ76" i="6"/>
  <c r="CU72" i="6"/>
  <c r="AL86" i="6"/>
  <c r="DA86" i="6"/>
  <c r="BU85" i="6"/>
  <c r="AG90" i="6"/>
  <c r="BG86" i="6"/>
  <c r="R74" i="6"/>
  <c r="BR88" i="6"/>
  <c r="CG72" i="6"/>
  <c r="Z75" i="6"/>
  <c r="T79" i="6"/>
  <c r="BI75" i="6"/>
  <c r="AD71" i="6"/>
  <c r="CB79" i="6"/>
  <c r="CW72" i="6"/>
  <c r="O20" i="6"/>
  <c r="V36" i="6"/>
  <c r="AK85" i="6"/>
  <c r="BR69" i="6"/>
  <c r="BJ73" i="6"/>
  <c r="M84" i="6"/>
  <c r="BH79" i="6"/>
  <c r="CB78" i="6"/>
  <c r="BP81" i="6"/>
  <c r="BJ81" i="6"/>
  <c r="BY79" i="6"/>
  <c r="CJ83" i="6"/>
  <c r="BJ75" i="6"/>
  <c r="L17" i="6"/>
  <c r="BZ71" i="6"/>
  <c r="AP69" i="6"/>
  <c r="M20" i="6"/>
  <c r="CM80" i="6"/>
  <c r="CN74" i="6"/>
  <c r="G88" i="6"/>
  <c r="BO72" i="6"/>
  <c r="O36" i="6"/>
  <c r="Z89" i="6"/>
  <c r="W70" i="6"/>
  <c r="CR70" i="6"/>
  <c r="BW78" i="6"/>
  <c r="BV90" i="6"/>
  <c r="BX78" i="6"/>
  <c r="AM82" i="6"/>
  <c r="D45" i="7"/>
  <c r="CL74" i="6"/>
  <c r="E88" i="6"/>
  <c r="AW87" i="6"/>
  <c r="AZ78" i="6"/>
  <c r="CT85" i="6"/>
  <c r="J33" i="6"/>
  <c r="DA80" i="6"/>
  <c r="BD88" i="6"/>
  <c r="I71" i="6"/>
  <c r="AN71" i="6"/>
  <c r="BY90" i="6"/>
  <c r="E73" i="6"/>
  <c r="BG89" i="6"/>
  <c r="CY78" i="6"/>
  <c r="M26" i="6"/>
  <c r="BA71" i="6"/>
  <c r="AM73" i="6"/>
  <c r="CL83" i="6"/>
  <c r="CW83" i="6"/>
  <c r="AI79" i="6"/>
  <c r="AK79" i="6"/>
  <c r="CJ81" i="6"/>
  <c r="BA76" i="6"/>
  <c r="BM76" i="6"/>
  <c r="P89" i="6"/>
  <c r="CI86" i="6"/>
  <c r="BE90" i="6"/>
  <c r="BS81" i="6"/>
  <c r="CG89" i="6"/>
  <c r="H80" i="6"/>
  <c r="BY82" i="6"/>
  <c r="Q75" i="6"/>
  <c r="S84" i="6"/>
  <c r="CO85" i="6"/>
  <c r="BF78" i="6"/>
  <c r="AV73" i="6"/>
  <c r="AS80" i="6"/>
  <c r="F19" i="6"/>
  <c r="Z76" i="6"/>
  <c r="BO69" i="6"/>
  <c r="BD80" i="6"/>
  <c r="K30" i="6"/>
  <c r="BN90" i="6"/>
  <c r="CY72" i="6"/>
  <c r="AA86" i="6"/>
  <c r="L71" i="6"/>
  <c r="CR85" i="6"/>
  <c r="R26" i="6"/>
  <c r="Q31" i="6"/>
  <c r="CG82" i="6"/>
  <c r="AS78" i="6"/>
  <c r="CV80" i="6"/>
  <c r="AO82" i="6"/>
  <c r="AW89" i="6"/>
  <c r="G87" i="6"/>
  <c r="CR78" i="6"/>
  <c r="AM71" i="6"/>
  <c r="I18" i="6"/>
  <c r="BM74" i="6"/>
  <c r="BP80" i="6"/>
  <c r="AL88" i="6"/>
  <c r="U25" i="6"/>
  <c r="CI83" i="6"/>
  <c r="BT71" i="6"/>
  <c r="K83" i="6"/>
  <c r="F22" i="6"/>
  <c r="BB74" i="6"/>
  <c r="F45" i="7"/>
  <c r="CJ73" i="6"/>
  <c r="AL87" i="6"/>
  <c r="CY70" i="6"/>
  <c r="BQ75" i="6"/>
  <c r="CT88" i="6"/>
  <c r="CC69" i="6"/>
  <c r="U81" i="6"/>
  <c r="CL81" i="6"/>
  <c r="CC86" i="6"/>
  <c r="J83" i="6"/>
  <c r="S31" i="6"/>
  <c r="F36" i="6"/>
  <c r="BO90" i="6"/>
  <c r="CF88" i="6"/>
  <c r="BO89" i="6"/>
  <c r="BK80" i="6"/>
  <c r="R22" i="6"/>
  <c r="C28" i="6"/>
  <c r="CE69" i="6"/>
  <c r="V19" i="6"/>
  <c r="G36" i="6"/>
  <c r="AO88" i="6"/>
  <c r="D24" i="6"/>
  <c r="AF79" i="6"/>
  <c r="AI86" i="6"/>
  <c r="CW80" i="6"/>
  <c r="CV86" i="6"/>
  <c r="T17" i="6"/>
  <c r="N28" i="6"/>
  <c r="F69" i="6"/>
  <c r="BL71" i="6"/>
  <c r="M31" i="6"/>
  <c r="BL89" i="6"/>
  <c r="AP87" i="6"/>
  <c r="AB82" i="6"/>
  <c r="L88" i="6"/>
  <c r="F39" i="11"/>
  <c r="F79" i="6"/>
  <c r="BC69" i="6"/>
  <c r="CR74" i="6"/>
  <c r="AJ80" i="6"/>
  <c r="CZ85" i="6"/>
  <c r="BT77" i="6"/>
  <c r="BW83" i="6"/>
  <c r="I23" i="6"/>
  <c r="BK70" i="6"/>
  <c r="BD87" i="6"/>
  <c r="CZ83" i="6"/>
  <c r="BW72" i="6"/>
  <c r="BV71" i="6"/>
  <c r="CD89" i="6"/>
  <c r="AR77" i="6"/>
  <c r="CR89" i="6"/>
  <c r="L89" i="6"/>
  <c r="AL79" i="6"/>
  <c r="AE89" i="6"/>
  <c r="C34" i="6"/>
  <c r="BG75" i="6"/>
  <c r="L15" i="6"/>
  <c r="CK83" i="6"/>
  <c r="N90" i="6"/>
  <c r="J32" i="6"/>
  <c r="M86" i="6"/>
  <c r="T73" i="6"/>
  <c r="D28" i="3"/>
  <c r="CX80" i="6"/>
  <c r="BS70" i="6"/>
  <c r="CC73" i="6"/>
  <c r="CW82" i="6"/>
  <c r="L18" i="6"/>
  <c r="BA83" i="6"/>
  <c r="AU87" i="6"/>
  <c r="R84" i="6"/>
  <c r="R90" i="6"/>
  <c r="CN85" i="6"/>
  <c r="N86" i="6"/>
  <c r="AA90" i="6"/>
  <c r="AG70" i="6"/>
  <c r="AB81" i="6"/>
  <c r="AH80" i="6"/>
  <c r="AR83" i="6"/>
  <c r="CU73" i="6"/>
  <c r="CT75" i="6"/>
  <c r="BX86" i="6"/>
  <c r="BO79" i="6"/>
  <c r="BU71" i="6"/>
  <c r="CH80" i="6"/>
  <c r="AO72" i="6"/>
  <c r="I36" i="6"/>
  <c r="M35" i="11"/>
  <c r="E80" i="6"/>
  <c r="AD90" i="6"/>
  <c r="E18" i="6"/>
  <c r="G24" i="6"/>
  <c r="BH88" i="6"/>
  <c r="S80" i="6"/>
  <c r="CR88" i="6"/>
  <c r="M73" i="6"/>
  <c r="CK87" i="6"/>
  <c r="Y71" i="6"/>
  <c r="AW76" i="6"/>
  <c r="H28" i="6"/>
  <c r="G16" i="6"/>
  <c r="H19" i="6"/>
  <c r="D16" i="6"/>
  <c r="R82" i="6"/>
  <c r="AG69" i="6"/>
  <c r="K25" i="6"/>
  <c r="R85" i="6"/>
  <c r="V76" i="6"/>
  <c r="AV74" i="6"/>
  <c r="BZ74" i="6"/>
  <c r="AC70" i="6"/>
  <c r="BA77" i="6"/>
  <c r="BT75" i="6"/>
  <c r="AM80" i="6"/>
  <c r="H34" i="6"/>
  <c r="I73" i="6"/>
  <c r="M79" i="6"/>
  <c r="BB71" i="6"/>
  <c r="D24" i="5"/>
  <c r="CM82" i="6"/>
  <c r="BK74" i="6"/>
  <c r="CG83" i="6"/>
  <c r="E32" i="6"/>
  <c r="CM77" i="6"/>
  <c r="F37" i="13"/>
  <c r="AL89" i="6"/>
  <c r="DA87" i="6"/>
  <c r="F90" i="6"/>
  <c r="W80" i="6"/>
  <c r="D45" i="19"/>
  <c r="BL73" i="6"/>
  <c r="T83" i="6"/>
  <c r="AB70" i="6"/>
  <c r="BV82" i="6"/>
  <c r="AU71" i="6"/>
  <c r="CL69" i="6"/>
  <c r="AP79" i="6"/>
  <c r="K74" i="6"/>
  <c r="BM90" i="6"/>
  <c r="AG71" i="6"/>
  <c r="AV82" i="6"/>
  <c r="BX71" i="6"/>
  <c r="S69" i="6"/>
  <c r="O33" i="6"/>
  <c r="F73" i="6"/>
  <c r="BG77" i="6"/>
  <c r="J28" i="6"/>
  <c r="BH89" i="6"/>
  <c r="M30" i="6"/>
  <c r="BA69" i="6"/>
  <c r="AN86" i="6"/>
  <c r="G82" i="6"/>
  <c r="T33" i="6"/>
  <c r="BF74" i="6"/>
  <c r="F17" i="6"/>
  <c r="CV74" i="6"/>
  <c r="BQ74" i="6"/>
  <c r="AG80" i="6"/>
  <c r="BB76" i="6"/>
  <c r="CV82" i="6"/>
  <c r="P28" i="6"/>
  <c r="CH74" i="6"/>
  <c r="CU76" i="6"/>
  <c r="BC76" i="6"/>
  <c r="AO85" i="6"/>
  <c r="V70" i="6"/>
  <c r="AY69" i="6"/>
  <c r="G34" i="6"/>
  <c r="O75" i="6"/>
  <c r="BY70" i="6"/>
  <c r="F33" i="6"/>
  <c r="J38" i="6"/>
  <c r="AE81" i="6"/>
  <c r="E23" i="6"/>
  <c r="F20" i="6"/>
  <c r="CN71" i="6"/>
  <c r="AE79" i="6"/>
  <c r="BO83" i="6"/>
  <c r="K82" i="6"/>
  <c r="BR85" i="6"/>
  <c r="AP85" i="6"/>
  <c r="I24" i="6"/>
  <c r="BR70" i="6"/>
  <c r="L90" i="6"/>
  <c r="X72" i="6"/>
  <c r="Y85" i="6"/>
  <c r="L84" i="6"/>
  <c r="L22" i="6"/>
  <c r="V31" i="6"/>
  <c r="BQ90" i="6"/>
  <c r="DA83" i="6"/>
  <c r="AW72" i="6"/>
  <c r="CX79" i="6"/>
  <c r="CV75" i="6"/>
  <c r="CZ84" i="6"/>
  <c r="BP74" i="6"/>
  <c r="M74" i="6"/>
  <c r="BJ72" i="6"/>
  <c r="AX83" i="6"/>
  <c r="D49" i="7"/>
  <c r="CX81" i="6"/>
  <c r="AP89" i="6"/>
  <c r="W78" i="6"/>
  <c r="BB85" i="6"/>
  <c r="W79" i="6"/>
  <c r="AH77" i="6"/>
  <c r="BG82" i="6"/>
  <c r="AD80" i="6"/>
  <c r="W74" i="6"/>
  <c r="Q16" i="6"/>
  <c r="BM71" i="6"/>
  <c r="BX74" i="6"/>
  <c r="AC71" i="6"/>
  <c r="J81" i="6"/>
  <c r="M19" i="6"/>
  <c r="CF75" i="6"/>
  <c r="BE75" i="6"/>
  <c r="V78" i="6"/>
  <c r="CR73" i="6"/>
  <c r="P73" i="6"/>
  <c r="AZ74" i="6"/>
  <c r="BM87" i="6"/>
  <c r="Y82" i="6"/>
  <c r="AO87" i="6"/>
  <c r="BR87" i="6"/>
  <c r="AB87" i="6"/>
  <c r="BL84" i="6"/>
  <c r="Q73" i="6"/>
  <c r="BM79" i="6"/>
  <c r="M23" i="6"/>
  <c r="K75" i="6"/>
  <c r="CF85" i="6"/>
  <c r="C86" i="6"/>
  <c r="J20" i="6"/>
  <c r="G73" i="6"/>
  <c r="O34" i="6"/>
  <c r="CY74" i="6"/>
  <c r="AQ82" i="6"/>
  <c r="M85" i="6"/>
  <c r="L20" i="6"/>
  <c r="BU81" i="6"/>
  <c r="BW76" i="6"/>
  <c r="F74" i="6"/>
  <c r="U17" i="6"/>
  <c r="AE78" i="6"/>
  <c r="CC70" i="6"/>
  <c r="BN78" i="6"/>
  <c r="CD73" i="6"/>
  <c r="BJ69" i="6"/>
  <c r="U22" i="6"/>
  <c r="AZ86" i="6"/>
  <c r="CF83" i="6"/>
  <c r="I78" i="6"/>
  <c r="H16" i="6"/>
  <c r="CY69" i="6"/>
  <c r="L86" i="6"/>
  <c r="BM89" i="6"/>
  <c r="CZ80" i="6"/>
  <c r="AQ84" i="6"/>
  <c r="AY78" i="6"/>
  <c r="I33" i="6"/>
  <c r="CM86" i="6"/>
  <c r="U18" i="6"/>
  <c r="BM82" i="6"/>
  <c r="O89" i="6"/>
  <c r="AQ73" i="6"/>
  <c r="CJ72" i="6"/>
  <c r="BP83" i="6"/>
  <c r="E85" i="6"/>
  <c r="R34" i="6"/>
  <c r="R35" i="6"/>
  <c r="CK82" i="6"/>
  <c r="J78" i="6"/>
  <c r="BM88" i="6"/>
  <c r="CC87" i="6"/>
  <c r="BK76" i="6"/>
  <c r="AM75" i="6"/>
  <c r="V73" i="6"/>
  <c r="CJ71" i="6"/>
  <c r="AG74" i="6"/>
  <c r="D47" i="19"/>
  <c r="AN76" i="6"/>
  <c r="M69" i="6"/>
  <c r="CQ74" i="6"/>
  <c r="O85" i="6"/>
  <c r="F40" i="11"/>
  <c r="AU73" i="6"/>
  <c r="BL88" i="6"/>
  <c r="BF87" i="6"/>
  <c r="W83" i="6"/>
  <c r="O70" i="6"/>
  <c r="BY71" i="6"/>
  <c r="F40" i="13"/>
  <c r="M32" i="6"/>
  <c r="E75" i="6"/>
  <c r="CM73" i="6"/>
  <c r="BU83" i="6"/>
  <c r="BU78" i="6"/>
  <c r="V20" i="6"/>
  <c r="CP77" i="6"/>
  <c r="K20" i="6"/>
  <c r="BQ77" i="6"/>
  <c r="BP73" i="6"/>
  <c r="BW79" i="6"/>
  <c r="CK81" i="6"/>
  <c r="CN81" i="6"/>
  <c r="DA90" i="6"/>
  <c r="Q72" i="6"/>
  <c r="CO90" i="6"/>
  <c r="CD78" i="6"/>
  <c r="CN84" i="6"/>
  <c r="CL90" i="6"/>
  <c r="AH74" i="6"/>
  <c r="CV89" i="6"/>
  <c r="C30" i="6"/>
  <c r="BD77" i="6"/>
  <c r="CL88" i="6"/>
  <c r="O86" i="6"/>
  <c r="P30" i="6"/>
  <c r="I28" i="6"/>
  <c r="D27" i="3"/>
  <c r="AD78" i="6"/>
  <c r="CE78" i="6"/>
  <c r="CU90" i="6"/>
  <c r="AH75" i="6"/>
  <c r="AG73" i="6"/>
  <c r="CN72" i="6"/>
  <c r="DA88" i="6"/>
  <c r="BN71" i="6"/>
  <c r="BT84" i="6"/>
  <c r="T85" i="6"/>
  <c r="T78" i="6"/>
  <c r="BR82" i="6"/>
  <c r="BD75" i="6"/>
  <c r="H88" i="6"/>
  <c r="AT88" i="6"/>
  <c r="E24" i="6"/>
  <c r="CX78" i="6"/>
  <c r="Q89" i="6"/>
  <c r="CR75" i="6"/>
  <c r="P78" i="6"/>
  <c r="AF82" i="6"/>
  <c r="CG74" i="6"/>
  <c r="CF76" i="6"/>
  <c r="J34" i="6"/>
  <c r="CA74" i="6"/>
  <c r="O27" i="6"/>
  <c r="DA78" i="6"/>
  <c r="BT70" i="6"/>
  <c r="AA89" i="6"/>
  <c r="G89" i="6"/>
  <c r="CB77" i="6"/>
  <c r="D28" i="6"/>
  <c r="CG84" i="6"/>
  <c r="R16" i="6"/>
  <c r="BV85" i="6"/>
  <c r="CM69" i="6"/>
  <c r="CD82" i="6"/>
  <c r="J17" i="6"/>
  <c r="CK69" i="6"/>
  <c r="E87" i="6"/>
  <c r="Q28" i="6"/>
  <c r="CF69" i="6"/>
  <c r="AR85" i="6"/>
  <c r="CD81" i="6"/>
  <c r="CU77" i="6"/>
  <c r="AQ74" i="6"/>
  <c r="N74" i="6"/>
  <c r="AZ76" i="6"/>
  <c r="U32" i="6"/>
  <c r="J90" i="6"/>
  <c r="D46" i="7"/>
  <c r="D45" i="18"/>
  <c r="AB71" i="6"/>
  <c r="CB80" i="6"/>
  <c r="CP85" i="6"/>
  <c r="Q25" i="6"/>
  <c r="CA75" i="6"/>
  <c r="CX71" i="6"/>
  <c r="CB70" i="6"/>
  <c r="BC83" i="6"/>
  <c r="CR80" i="6"/>
  <c r="T75" i="6"/>
  <c r="CY89" i="6"/>
  <c r="K66" i="6"/>
  <c r="BJ90" i="6"/>
  <c r="AT69" i="6"/>
  <c r="Y70" i="6"/>
  <c r="X83" i="6"/>
  <c r="BD83" i="6"/>
  <c r="BF70" i="6"/>
  <c r="F84" i="6"/>
  <c r="Q18" i="6"/>
  <c r="AW69" i="6"/>
  <c r="CO79" i="6"/>
  <c r="BI84" i="6"/>
  <c r="CL87" i="6"/>
  <c r="V18" i="6"/>
  <c r="AG79" i="6"/>
  <c r="BO78" i="6"/>
  <c r="CO88" i="6"/>
  <c r="V83" i="6"/>
  <c r="BV83" i="6"/>
  <c r="O22" i="6"/>
  <c r="Q78" i="6"/>
  <c r="S88" i="6"/>
  <c r="CX73" i="6"/>
  <c r="L83" i="6"/>
  <c r="N69" i="6"/>
  <c r="CV77" i="6"/>
  <c r="BL74" i="6"/>
  <c r="CE71" i="6"/>
  <c r="CN80" i="6"/>
  <c r="CY83" i="6"/>
  <c r="BG74" i="6"/>
  <c r="CA82" i="6"/>
  <c r="K71" i="6"/>
  <c r="I80" i="6"/>
  <c r="CI76" i="6"/>
  <c r="AL82" i="6"/>
  <c r="CZ70" i="6"/>
  <c r="CZ79" i="6"/>
  <c r="AX87" i="6"/>
  <c r="BI89" i="6"/>
  <c r="CE77" i="6"/>
  <c r="CS72" i="6"/>
  <c r="CF82" i="6"/>
  <c r="BP84" i="6"/>
  <c r="AM70" i="6"/>
  <c r="S27" i="6"/>
  <c r="BS87" i="6"/>
  <c r="CP80" i="6"/>
  <c r="J73" i="6"/>
  <c r="AA82" i="6"/>
  <c r="BV81" i="6"/>
  <c r="CK74" i="6"/>
  <c r="J85" i="6"/>
  <c r="G77" i="6"/>
  <c r="T28" i="6"/>
  <c r="BK81" i="6"/>
  <c r="CV83" i="6"/>
  <c r="CJ77" i="6"/>
  <c r="AL69" i="6"/>
  <c r="BO74" i="6"/>
  <c r="F26" i="6"/>
  <c r="P86" i="6"/>
  <c r="BI70" i="6"/>
  <c r="CJ76" i="6"/>
  <c r="L77" i="6"/>
  <c r="AU78" i="6"/>
  <c r="BS90" i="6"/>
  <c r="AI81" i="6"/>
  <c r="I72" i="6"/>
  <c r="BH72" i="6"/>
  <c r="CC72" i="6"/>
  <c r="BJ74" i="6"/>
  <c r="S28" i="6"/>
  <c r="AW73" i="6"/>
  <c r="AD82" i="6"/>
  <c r="C88" i="6"/>
  <c r="BP75" i="6"/>
  <c r="V90" i="6"/>
  <c r="BM75" i="6"/>
  <c r="E84" i="6"/>
  <c r="BL80" i="6"/>
  <c r="BM81" i="6"/>
  <c r="CC77" i="6"/>
  <c r="S15" i="6"/>
  <c r="T80" i="6"/>
  <c r="K70" i="6"/>
  <c r="AX79" i="6"/>
  <c r="I74" i="6"/>
  <c r="E31" i="6"/>
  <c r="Y75" i="6"/>
  <c r="H82" i="6"/>
  <c r="F45" i="19"/>
  <c r="N80" i="6"/>
  <c r="U33" i="6"/>
  <c r="D26" i="6"/>
  <c r="BQ80" i="6"/>
  <c r="H27" i="6"/>
  <c r="R17" i="6"/>
  <c r="H74" i="6"/>
  <c r="D32" i="6"/>
  <c r="N71" i="6"/>
  <c r="BN86" i="6"/>
  <c r="X86" i="6"/>
  <c r="CI73" i="6"/>
  <c r="X77" i="6"/>
  <c r="AB74" i="6"/>
  <c r="AS90" i="6"/>
  <c r="AM90" i="6"/>
  <c r="I20" i="6"/>
  <c r="AC83" i="6"/>
  <c r="AI83" i="6"/>
  <c r="CF89" i="6"/>
  <c r="AV69" i="6"/>
  <c r="H89" i="6"/>
  <c r="BA87" i="6"/>
  <c r="CF80" i="6"/>
  <c r="CG78" i="6"/>
  <c r="AG84" i="6"/>
  <c r="R31" i="6"/>
  <c r="AS88" i="6"/>
  <c r="BC82" i="6"/>
  <c r="BQ85" i="6"/>
  <c r="G28" i="6"/>
  <c r="I25" i="6"/>
  <c r="CG73" i="6"/>
  <c r="CT78" i="6"/>
  <c r="BN83" i="6"/>
  <c r="I31" i="6"/>
  <c r="V74" i="6"/>
  <c r="CE90" i="6"/>
  <c r="BV70" i="6"/>
  <c r="DA69" i="6"/>
  <c r="CJ78" i="6"/>
  <c r="AN80" i="6"/>
  <c r="G35" i="6"/>
  <c r="AF81" i="6"/>
  <c r="E25" i="6"/>
  <c r="BT89" i="6"/>
  <c r="G72" i="6"/>
  <c r="AT70" i="6"/>
  <c r="CK77" i="6"/>
  <c r="BD81" i="6"/>
  <c r="H18" i="6"/>
  <c r="T20" i="6"/>
  <c r="E71" i="6"/>
  <c r="R19" i="6"/>
  <c r="BP79" i="6"/>
  <c r="N15" i="6"/>
  <c r="K73" i="6"/>
  <c r="BT90" i="6"/>
  <c r="AC73" i="6"/>
  <c r="I16" i="6"/>
  <c r="E22" i="6"/>
  <c r="AV87" i="6"/>
  <c r="BH76" i="6"/>
  <c r="AI74" i="6"/>
  <c r="AV80" i="6"/>
  <c r="BI81" i="6"/>
  <c r="T82" i="6"/>
  <c r="CF77" i="6"/>
  <c r="CX88" i="6"/>
  <c r="CU75" i="6"/>
  <c r="BK75" i="6"/>
  <c r="CY73" i="6"/>
  <c r="AN69" i="6"/>
  <c r="R76" i="6"/>
  <c r="Y72" i="6"/>
  <c r="K36" i="6"/>
  <c r="AX74" i="6"/>
  <c r="AB90" i="6"/>
  <c r="CO83" i="6"/>
  <c r="AF88" i="6"/>
  <c r="CF71" i="6"/>
  <c r="BH87" i="6"/>
  <c r="CQ79" i="6"/>
  <c r="X69" i="6"/>
  <c r="CM87" i="6"/>
  <c r="G84" i="6"/>
  <c r="AL71" i="6"/>
  <c r="BN73" i="6"/>
  <c r="S87" i="6"/>
  <c r="J22" i="6"/>
  <c r="J31" i="6"/>
  <c r="CQ78" i="6"/>
  <c r="F70" i="6"/>
  <c r="AR78" i="6"/>
  <c r="AW78" i="6"/>
  <c r="N25" i="6"/>
  <c r="H26" i="6"/>
  <c r="CT77" i="6"/>
  <c r="BZ77" i="6"/>
  <c r="BQ86" i="6"/>
  <c r="BX79" i="6"/>
  <c r="AV76" i="6"/>
  <c r="U82" i="6"/>
  <c r="J67" i="6"/>
  <c r="CG88" i="6"/>
  <c r="BH69" i="6"/>
  <c r="C15" i="6"/>
  <c r="CA86" i="6"/>
  <c r="J71" i="6"/>
  <c r="AF86" i="6"/>
  <c r="AQ70" i="6"/>
  <c r="X76" i="6"/>
  <c r="L27" i="6"/>
  <c r="CC79" i="6"/>
  <c r="AA72" i="6"/>
  <c r="CN77" i="6"/>
  <c r="G20" i="6"/>
  <c r="BY69" i="6"/>
  <c r="CA85" i="6"/>
  <c r="F38" i="6"/>
  <c r="O28" i="6"/>
  <c r="E30" i="6"/>
  <c r="CQ89" i="6"/>
  <c r="Q27" i="6"/>
  <c r="U36" i="6"/>
  <c r="E27" i="6"/>
  <c r="CY88" i="6"/>
  <c r="D18" i="2"/>
  <c r="AZ70" i="6"/>
  <c r="N81" i="6"/>
  <c r="W84" i="6"/>
  <c r="N84" i="6"/>
  <c r="AW74" i="6"/>
  <c r="V28" i="6"/>
  <c r="C87" i="6"/>
  <c r="BT78" i="6"/>
  <c r="D84" i="6"/>
  <c r="AJ69" i="6"/>
  <c r="AT74" i="6"/>
  <c r="BP88" i="6"/>
  <c r="CH88" i="6"/>
  <c r="F39" i="12"/>
  <c r="CT70" i="6"/>
  <c r="O35" i="6"/>
  <c r="BN74" i="6"/>
  <c r="AD86" i="6"/>
  <c r="M70" i="6"/>
  <c r="F88" i="6"/>
  <c r="AE88" i="6"/>
  <c r="L69" i="6"/>
  <c r="AS89" i="6"/>
  <c r="CD84" i="6"/>
  <c r="BJ78" i="6"/>
  <c r="O80" i="6"/>
  <c r="AJ73" i="6"/>
  <c r="AP74" i="6"/>
  <c r="CH83" i="6"/>
  <c r="AN81" i="6"/>
  <c r="M76" i="6"/>
  <c r="AA80" i="6"/>
  <c r="AP90" i="6"/>
  <c r="CV85" i="6"/>
  <c r="BY86" i="6"/>
  <c r="CJ89" i="6"/>
  <c r="J87" i="6"/>
  <c r="AM78" i="6"/>
  <c r="F24" i="6"/>
  <c r="CH90" i="6"/>
  <c r="CB90" i="6"/>
  <c r="BA74" i="6"/>
  <c r="E77" i="6"/>
  <c r="Z78" i="6"/>
  <c r="CV73" i="6"/>
  <c r="CX84" i="6"/>
  <c r="AD84" i="6"/>
  <c r="AK84" i="6"/>
  <c r="BN70" i="6"/>
  <c r="AF75" i="6"/>
  <c r="E82" i="6"/>
  <c r="C31" i="6"/>
  <c r="BA72" i="6"/>
  <c r="X79" i="6"/>
  <c r="F38" i="11"/>
  <c r="CX75" i="6"/>
  <c r="CN87" i="6"/>
  <c r="CO87" i="6"/>
  <c r="AL72" i="6"/>
  <c r="R89" i="6"/>
  <c r="CK89" i="6"/>
  <c r="BO85" i="6"/>
  <c r="CJ87" i="6"/>
  <c r="AU86" i="6"/>
  <c r="AK82" i="6"/>
  <c r="BB90" i="6"/>
  <c r="BP82" i="6"/>
  <c r="CW85" i="6"/>
  <c r="CN69" i="6"/>
  <c r="P15" i="6"/>
  <c r="K72" i="6"/>
  <c r="BN80" i="6"/>
  <c r="BX70" i="6"/>
  <c r="BB81" i="6"/>
  <c r="BH90" i="6"/>
  <c r="CO69" i="6"/>
  <c r="AU76" i="6"/>
  <c r="AO70" i="6"/>
  <c r="M80" i="6"/>
  <c r="AH83" i="6"/>
  <c r="CT83" i="6"/>
  <c r="E33" i="6"/>
  <c r="J30" i="6"/>
  <c r="T88" i="6"/>
  <c r="AK83" i="6"/>
  <c r="BS74" i="6"/>
  <c r="X75" i="6"/>
  <c r="BP90" i="6"/>
  <c r="O81" i="6"/>
  <c r="AS74" i="6"/>
  <c r="N19" i="6"/>
  <c r="Y83" i="6"/>
  <c r="AT87" i="6"/>
  <c r="Q19" i="6"/>
  <c r="BX85" i="6"/>
  <c r="CH84" i="6"/>
  <c r="H40" i="6"/>
  <c r="BC79" i="6"/>
  <c r="BY85" i="6"/>
  <c r="G75" i="6"/>
  <c r="T81" i="6"/>
  <c r="O87" i="6"/>
  <c r="H87" i="6"/>
  <c r="BF89" i="6"/>
  <c r="AR89" i="6"/>
  <c r="BA84" i="6"/>
  <c r="E90" i="6"/>
  <c r="CM79" i="6"/>
  <c r="AN77" i="6"/>
  <c r="K19" i="6"/>
  <c r="BW82" i="6"/>
  <c r="CW71" i="6"/>
  <c r="AU83" i="6"/>
  <c r="CY76" i="6"/>
  <c r="G17" i="6"/>
  <c r="CY75" i="6"/>
  <c r="BZ88" i="6"/>
  <c r="CI80" i="6"/>
  <c r="AY79" i="6"/>
  <c r="E74" i="6"/>
  <c r="BL86" i="6"/>
  <c r="CZ69" i="6"/>
  <c r="V79" i="6"/>
  <c r="BE78" i="6"/>
  <c r="CH71" i="6"/>
  <c r="BN72" i="6"/>
  <c r="CQ90" i="6"/>
  <c r="W76" i="6"/>
  <c r="CD70" i="6"/>
  <c r="CO75" i="6"/>
  <c r="Z74" i="6"/>
  <c r="BX83" i="6"/>
  <c r="DA77" i="6"/>
  <c r="BC71" i="6"/>
  <c r="AX76" i="6"/>
  <c r="L35" i="6"/>
  <c r="AP80" i="6"/>
  <c r="L36" i="6"/>
  <c r="C79" i="6"/>
  <c r="BQ69" i="6"/>
  <c r="F85" i="6"/>
  <c r="G26" i="6"/>
  <c r="F72" i="6"/>
  <c r="AT79" i="6"/>
  <c r="BX77" i="6"/>
  <c r="BN88" i="6"/>
  <c r="BN79" i="6"/>
  <c r="P31" i="6"/>
  <c r="V33" i="6"/>
  <c r="AL75" i="6"/>
  <c r="S18" i="6"/>
  <c r="BS80" i="6"/>
  <c r="V38" i="6"/>
  <c r="AE86" i="6"/>
  <c r="BZ90" i="6"/>
  <c r="AG72" i="6"/>
  <c r="CW74" i="6"/>
  <c r="CZ88" i="6"/>
  <c r="DA75" i="6"/>
  <c r="AG83" i="6"/>
  <c r="R32" i="6"/>
  <c r="CJ74" i="6"/>
  <c r="BT79" i="6"/>
  <c r="AW71" i="6"/>
  <c r="CI87" i="6"/>
  <c r="F66" i="6"/>
  <c r="AO84" i="6"/>
  <c r="BK86" i="6"/>
  <c r="CI81" i="6"/>
  <c r="I17" i="6"/>
  <c r="CT81" i="6"/>
  <c r="CL86" i="6"/>
  <c r="Y73" i="6"/>
  <c r="DA73" i="6"/>
  <c r="CX90" i="6"/>
  <c r="S17" i="6"/>
  <c r="AF69" i="6"/>
  <c r="AW79" i="6"/>
  <c r="BU86" i="6"/>
  <c r="AA81" i="6"/>
  <c r="AI87" i="6"/>
  <c r="BM85" i="6"/>
  <c r="AL70" i="6"/>
  <c r="O23" i="6"/>
  <c r="CB82" i="6"/>
  <c r="BE71" i="6"/>
  <c r="AJ84" i="6"/>
  <c r="M89" i="6"/>
  <c r="L73" i="6"/>
  <c r="CT76" i="6"/>
  <c r="BT72" i="6"/>
  <c r="AB78" i="6"/>
  <c r="AJ71" i="6"/>
  <c r="N73" i="6"/>
  <c r="Y80" i="6"/>
  <c r="CL75" i="6"/>
  <c r="AP81" i="6"/>
  <c r="K87" i="6"/>
  <c r="R79" i="6"/>
  <c r="C80" i="6"/>
  <c r="AD87" i="6"/>
  <c r="CY85" i="6"/>
  <c r="N72" i="6"/>
  <c r="CU78" i="6"/>
  <c r="C77" i="6"/>
  <c r="BK89" i="6"/>
  <c r="CO89" i="6"/>
  <c r="W72" i="6"/>
  <c r="CN73" i="6"/>
  <c r="CF81" i="6"/>
  <c r="CK79" i="6"/>
  <c r="AN85" i="6"/>
  <c r="BB84" i="6"/>
  <c r="E81" i="6"/>
  <c r="AZ79" i="6"/>
  <c r="BT80" i="6"/>
  <c r="CW73" i="6"/>
  <c r="U90" i="6"/>
  <c r="CA80" i="6"/>
  <c r="CU82" i="6"/>
  <c r="BZ79" i="6"/>
  <c r="W81" i="6"/>
  <c r="BN85" i="6"/>
  <c r="CR87" i="6"/>
  <c r="U35" i="6"/>
  <c r="BD79" i="6"/>
  <c r="CH78" i="6"/>
  <c r="J66" i="6"/>
  <c r="BC72" i="6"/>
  <c r="BL70" i="6"/>
  <c r="L26" i="6"/>
  <c r="AQ79" i="6"/>
  <c r="AK71" i="6"/>
  <c r="K89" i="6"/>
  <c r="AX70" i="6"/>
  <c r="F25" i="6"/>
  <c r="J24" i="6"/>
  <c r="F45" i="18"/>
  <c r="BX76" i="6"/>
  <c r="Y86" i="6"/>
  <c r="AL77" i="6"/>
  <c r="L30" i="6"/>
  <c r="AP70" i="6"/>
  <c r="AS87" i="6"/>
  <c r="I30" i="6"/>
  <c r="BA82" i="6"/>
  <c r="E69" i="6"/>
  <c r="AK80" i="6"/>
  <c r="L87" i="6"/>
  <c r="CS83" i="6"/>
  <c r="BY84" i="6"/>
  <c r="CA69" i="6"/>
  <c r="AL80" i="6"/>
  <c r="Q34" i="6"/>
  <c r="CL80" i="6"/>
  <c r="BD78" i="6"/>
  <c r="CH87" i="6"/>
  <c r="BD69" i="6"/>
  <c r="D30" i="6"/>
  <c r="CO72" i="6"/>
  <c r="AZ77" i="6"/>
  <c r="BQ78" i="6"/>
  <c r="C36" i="6"/>
  <c r="H81" i="6"/>
  <c r="I75" i="6"/>
  <c r="D30" i="3"/>
  <c r="N18" i="6"/>
  <c r="CM85" i="6"/>
  <c r="AV84" i="6"/>
  <c r="AC84" i="6"/>
  <c r="CN82" i="6"/>
  <c r="AF76" i="6"/>
  <c r="O72" i="6"/>
  <c r="BV84" i="6"/>
  <c r="AR70" i="6"/>
  <c r="G30" i="6"/>
  <c r="CU71" i="6"/>
  <c r="X85" i="6"/>
  <c r="Z84" i="6"/>
  <c r="CH82" i="6"/>
  <c r="BZ87" i="6"/>
  <c r="CP86" i="6"/>
  <c r="V89" i="6"/>
  <c r="V26" i="6"/>
  <c r="AS84" i="6"/>
  <c r="AX90" i="6"/>
  <c r="I90" i="6"/>
  <c r="CW79" i="6"/>
  <c r="BE77" i="6"/>
  <c r="AA76" i="6"/>
  <c r="BF77" i="6"/>
  <c r="BG85" i="6"/>
  <c r="K24" i="6"/>
  <c r="BS69" i="6"/>
  <c r="T89" i="6"/>
  <c r="D17" i="6"/>
  <c r="BK79" i="6"/>
  <c r="J75" i="6"/>
  <c r="DA81" i="6"/>
  <c r="D22" i="5"/>
  <c r="CM88" i="6"/>
  <c r="Q85" i="6"/>
  <c r="CE88" i="6"/>
  <c r="BS71" i="6"/>
  <c r="CL70" i="6"/>
  <c r="BA81" i="6"/>
  <c r="O77" i="6"/>
  <c r="S16" i="6"/>
  <c r="BA90" i="6"/>
  <c r="BO80" i="6"/>
  <c r="M16" i="6"/>
  <c r="AK81" i="6"/>
  <c r="CG80" i="6"/>
  <c r="AK75" i="6"/>
  <c r="CD88" i="6"/>
  <c r="AI75" i="6"/>
  <c r="CD80" i="6"/>
  <c r="M35" i="6"/>
  <c r="T84" i="6"/>
  <c r="AJ89" i="6"/>
  <c r="AC82" i="6"/>
  <c r="Q15" i="6"/>
  <c r="N36" i="6"/>
  <c r="BV73" i="6"/>
  <c r="X70" i="6"/>
  <c r="BV89" i="6"/>
  <c r="CS87" i="6"/>
  <c r="D46" i="19"/>
  <c r="CI72" i="6"/>
  <c r="D18" i="6"/>
  <c r="Q36" i="6"/>
  <c r="AR86" i="6"/>
  <c r="BE74" i="6"/>
  <c r="AQ90" i="6"/>
  <c r="Q71" i="6"/>
  <c r="O32" i="6"/>
  <c r="AM88" i="6"/>
  <c r="AL90" i="6"/>
  <c r="BB75" i="6"/>
  <c r="X87" i="6"/>
  <c r="T34" i="6"/>
  <c r="BU74" i="6"/>
  <c r="AB80" i="6"/>
  <c r="Q17" i="6"/>
  <c r="L32" i="6"/>
  <c r="CD86" i="6"/>
  <c r="AK77" i="6"/>
  <c r="D27" i="6"/>
  <c r="AK76" i="6"/>
  <c r="AL74" i="6"/>
  <c r="V72" i="6"/>
  <c r="BN77" i="6"/>
  <c r="AQ75" i="6"/>
  <c r="AE76" i="6"/>
  <c r="T35" i="6"/>
  <c r="I83" i="6"/>
  <c r="J76" i="6"/>
  <c r="BB87" i="6"/>
  <c r="AE84" i="6"/>
  <c r="W86" i="6"/>
  <c r="CP72" i="6"/>
  <c r="CX82" i="6"/>
  <c r="CS73" i="6"/>
  <c r="D20" i="6"/>
  <c r="AM81" i="6"/>
  <c r="O71" i="6"/>
  <c r="BO71" i="6"/>
  <c r="J77" i="6"/>
  <c r="J25" i="6"/>
  <c r="AY82" i="6"/>
  <c r="I38" i="6"/>
  <c r="W77" i="6"/>
  <c r="AI78" i="6"/>
  <c r="Q20" i="6"/>
  <c r="CJ69" i="6"/>
  <c r="CD90" i="6"/>
  <c r="BE81" i="6"/>
  <c r="CU89" i="6"/>
  <c r="BD85" i="6"/>
  <c r="CU87" i="6"/>
  <c r="AS83" i="6"/>
  <c r="BI77" i="6"/>
  <c r="P17" i="6"/>
  <c r="D25" i="6"/>
  <c r="CL79" i="6"/>
  <c r="AG78" i="6"/>
  <c r="AH70" i="6"/>
  <c r="CL78" i="6"/>
  <c r="BO70" i="6"/>
  <c r="CW69" i="6"/>
  <c r="E35" i="6"/>
  <c r="P90" i="6"/>
  <c r="BP77" i="6"/>
  <c r="CM84" i="6"/>
  <c r="CL82" i="6"/>
  <c r="S82" i="6"/>
  <c r="M22" i="6"/>
  <c r="BI82" i="6"/>
  <c r="AO80" i="6"/>
  <c r="BH73" i="6"/>
  <c r="F35" i="6"/>
  <c r="AR69" i="6"/>
  <c r="AS85" i="6"/>
  <c r="M35" i="12"/>
  <c r="AU81" i="6"/>
  <c r="CO86" i="6"/>
  <c r="BQ71" i="6"/>
  <c r="CS79" i="6"/>
  <c r="BO73" i="6"/>
  <c r="R25" i="6"/>
  <c r="BJ83" i="6"/>
  <c r="AC81" i="6"/>
  <c r="F36" i="11"/>
  <c r="CK78" i="6"/>
  <c r="CK80" i="6"/>
  <c r="BJ82" i="6"/>
  <c r="DA72" i="6"/>
  <c r="CT72" i="6"/>
  <c r="AP71" i="6"/>
  <c r="S78" i="6"/>
  <c r="BA86" i="6"/>
  <c r="CK88" i="6"/>
  <c r="O42" i="6"/>
  <c r="AK70" i="6"/>
  <c r="CA73" i="6"/>
  <c r="AB72" i="6"/>
  <c r="L85" i="6"/>
  <c r="BU79" i="6"/>
  <c r="O17" i="6"/>
  <c r="Q87" i="6"/>
  <c r="BJ76" i="6"/>
  <c r="CG76" i="6"/>
  <c r="L24" i="6"/>
  <c r="M87" i="6"/>
  <c r="BE70" i="6"/>
  <c r="CS86" i="6"/>
  <c r="CF78" i="6"/>
  <c r="CC74" i="6"/>
  <c r="Q90" i="6"/>
  <c r="CX76" i="6"/>
  <c r="F18" i="6"/>
  <c r="G90" i="6"/>
  <c r="P85" i="6"/>
  <c r="R83" i="6"/>
  <c r="C85" i="6"/>
  <c r="CM72" i="6"/>
  <c r="BY88" i="6"/>
  <c r="BI80" i="6"/>
  <c r="W75" i="6"/>
  <c r="AT83" i="6"/>
  <c r="V75" i="6"/>
  <c r="CB87" i="6"/>
  <c r="AW84" i="6"/>
  <c r="N87" i="6"/>
  <c r="P88" i="6"/>
  <c r="T24" i="6"/>
  <c r="CQ77" i="6"/>
  <c r="Q82" i="6"/>
  <c r="F78" i="6"/>
  <c r="BW85" i="6"/>
  <c r="BG80" i="6"/>
  <c r="BM70" i="6"/>
  <c r="T26" i="6"/>
  <c r="F38" i="12"/>
  <c r="CE87" i="6"/>
  <c r="BY72" i="6"/>
  <c r="CC76" i="6"/>
  <c r="K79" i="6"/>
  <c r="BZ82" i="6"/>
  <c r="I88" i="6"/>
  <c r="BA89" i="6"/>
  <c r="BG87" i="6"/>
  <c r="M15" i="6"/>
  <c r="AZ80" i="6"/>
  <c r="CD83" i="6"/>
  <c r="CV84" i="6"/>
  <c r="BN84" i="6"/>
  <c r="BL87" i="6"/>
  <c r="BI76" i="6"/>
  <c r="J84" i="6"/>
  <c r="CR84" i="6"/>
  <c r="K16" i="6"/>
  <c r="F86" i="6"/>
  <c r="M82" i="6"/>
  <c r="BK69" i="6"/>
  <c r="CV69" i="6"/>
  <c r="AF80" i="6"/>
  <c r="S89" i="6"/>
  <c r="AU75" i="6"/>
  <c r="T31" i="6"/>
  <c r="AK89" i="6"/>
  <c r="V16" i="6"/>
  <c r="F38" i="13"/>
  <c r="D35" i="6"/>
  <c r="CM89" i="6"/>
  <c r="BV86" i="6"/>
  <c r="BE85" i="6"/>
  <c r="AU77" i="6"/>
  <c r="CB86" i="6"/>
  <c r="AI82" i="6"/>
  <c r="H32" i="6"/>
  <c r="D34" i="6"/>
  <c r="CM70" i="6"/>
  <c r="M71" i="6"/>
  <c r="V32" i="6"/>
  <c r="U24" i="6"/>
  <c r="F41" i="12"/>
  <c r="K31" i="6"/>
  <c r="AJ83" i="6"/>
  <c r="AO81" i="6"/>
  <c r="AW81" i="6"/>
  <c r="CO77" i="6"/>
  <c r="CN79" i="6"/>
  <c r="U76" i="6"/>
  <c r="CV78" i="6"/>
  <c r="CI78" i="6"/>
  <c r="AT82" i="6"/>
  <c r="BU77" i="6"/>
  <c r="X88" i="6"/>
  <c r="W88" i="6"/>
  <c r="CT80" i="6"/>
  <c r="CS77" i="6"/>
  <c r="X90" i="6"/>
  <c r="D40" i="6"/>
  <c r="BP70" i="6"/>
  <c r="BV87" i="6"/>
  <c r="CQ70" i="6"/>
  <c r="N17" i="6"/>
  <c r="AQ83" i="6"/>
  <c r="M36" i="6"/>
  <c r="AE69" i="6"/>
  <c r="N79" i="6"/>
  <c r="G32" i="6"/>
  <c r="BA80" i="6"/>
  <c r="H79" i="6"/>
  <c r="AL83" i="6"/>
  <c r="Q30" i="6"/>
  <c r="Z87" i="6"/>
  <c r="AF78" i="6"/>
  <c r="AX85" i="6"/>
  <c r="Y88" i="6"/>
  <c r="K69" i="6"/>
  <c r="BH84" i="6"/>
  <c r="BQ84" i="6"/>
  <c r="AE72" i="6"/>
  <c r="BO76" i="6"/>
  <c r="AW77" i="6"/>
  <c r="N70" i="6"/>
  <c r="S77" i="6"/>
  <c r="AP77" i="6"/>
  <c r="CP89" i="6"/>
  <c r="DA70" i="6"/>
  <c r="BG78" i="6"/>
  <c r="CI79" i="6"/>
  <c r="E20" i="6"/>
  <c r="P25" i="6"/>
  <c r="AZ73" i="6"/>
  <c r="BQ73" i="6"/>
  <c r="CG85" i="6"/>
  <c r="E15" i="6"/>
  <c r="AR90" i="6"/>
  <c r="BL78" i="6"/>
  <c r="AT80" i="6"/>
  <c r="BB88" i="6"/>
  <c r="O84" i="6"/>
  <c r="AM79" i="6"/>
  <c r="BH71" i="6"/>
  <c r="BJ87" i="6"/>
  <c r="AZ83" i="6"/>
  <c r="Y89" i="6"/>
  <c r="M27" i="6"/>
  <c r="AD72" i="6"/>
  <c r="T25" i="6"/>
  <c r="V24" i="6"/>
  <c r="V86" i="6"/>
  <c r="N78" i="6"/>
  <c r="BG84" i="6"/>
  <c r="L76" i="6"/>
  <c r="O40" i="6"/>
  <c r="BF72" i="6"/>
  <c r="AX84" i="6"/>
  <c r="H22" i="6"/>
  <c r="CQ69" i="6"/>
  <c r="BB89" i="6"/>
  <c r="AC75" i="6"/>
  <c r="AJ87" i="6"/>
  <c r="BG81" i="6"/>
  <c r="AR76" i="6"/>
  <c r="CX85" i="6"/>
  <c r="AF72" i="6"/>
  <c r="BH78" i="6"/>
  <c r="CS82" i="6"/>
  <c r="AT76" i="6"/>
  <c r="D44" i="18"/>
  <c r="Q35" i="6"/>
  <c r="J88" i="6"/>
  <c r="AQ87" i="6"/>
  <c r="CW81" i="6"/>
  <c r="D49" i="19"/>
  <c r="AK87" i="6"/>
  <c r="BY74" i="6"/>
  <c r="BX88" i="6"/>
  <c r="F35" i="13"/>
  <c r="CG77" i="6"/>
  <c r="C17" i="6"/>
  <c r="F23" i="6"/>
  <c r="I81" i="6"/>
  <c r="BI73" i="6"/>
  <c r="AG87" i="6"/>
  <c r="E78" i="6"/>
  <c r="CK73" i="6"/>
  <c r="CU70" i="6"/>
  <c r="Q74" i="6"/>
  <c r="CC81" i="6"/>
  <c r="AQ80" i="6"/>
  <c r="D48" i="18"/>
  <c r="BO77" i="6"/>
  <c r="AH82" i="6"/>
  <c r="CF87" i="6"/>
  <c r="CJ75" i="6"/>
  <c r="AC76" i="6"/>
  <c r="AZ87" i="6"/>
  <c r="AF87" i="6"/>
  <c r="F31" i="6"/>
  <c r="CI85" i="6"/>
  <c r="AN89" i="6"/>
  <c r="D23" i="5"/>
  <c r="DA76" i="6"/>
  <c r="BE73" i="6"/>
  <c r="M72" i="6"/>
  <c r="CU85" i="6"/>
  <c r="AL84" i="6"/>
  <c r="AA88" i="6"/>
  <c r="BQ83" i="6"/>
  <c r="U70" i="6"/>
  <c r="AE87" i="6"/>
  <c r="CW78" i="6"/>
  <c r="U86" i="6"/>
  <c r="Q23" i="6"/>
  <c r="L82" i="6"/>
  <c r="W69" i="6"/>
  <c r="CT82" i="6"/>
  <c r="BU69" i="6"/>
  <c r="BL69" i="6"/>
  <c r="U85" i="6"/>
  <c r="CS75" i="6"/>
  <c r="CF72" i="6"/>
  <c r="AA70" i="6"/>
  <c r="N26" i="6"/>
  <c r="C16" i="6"/>
  <c r="BU76" i="6"/>
  <c r="H73" i="6"/>
  <c r="F81" i="6"/>
  <c r="AM86" i="6"/>
  <c r="Q22" i="6"/>
  <c r="AP78" i="6"/>
  <c r="M77" i="6"/>
  <c r="Z85" i="6"/>
  <c r="Q26" i="6"/>
  <c r="AC90" i="6"/>
  <c r="P76" i="6"/>
  <c r="BD73" i="6"/>
  <c r="T76" i="6"/>
  <c r="BJ85" i="6"/>
  <c r="N34" i="6"/>
  <c r="I77" i="6"/>
  <c r="AI90" i="6"/>
  <c r="J70" i="6"/>
  <c r="Z80" i="6"/>
  <c r="BE80" i="6"/>
  <c r="N35" i="6"/>
  <c r="K32" i="6"/>
  <c r="BN82" i="6"/>
  <c r="AQ86" i="6"/>
  <c r="CL73" i="6"/>
  <c r="AI80" i="6"/>
  <c r="T86" i="6"/>
  <c r="CA70" i="6"/>
  <c r="Y77" i="6"/>
  <c r="D87" i="6"/>
  <c r="BG76" i="6"/>
  <c r="AF85" i="6"/>
  <c r="BT76" i="6"/>
  <c r="CI77" i="6"/>
  <c r="BZ69" i="6"/>
  <c r="CJ90" i="6"/>
  <c r="P22" i="6"/>
  <c r="P33" i="6"/>
  <c r="F37" i="11"/>
  <c r="AM83" i="6"/>
  <c r="BE89" i="6"/>
  <c r="AP75" i="6"/>
  <c r="BC81" i="6"/>
  <c r="AS77" i="6"/>
  <c r="BU87" i="6"/>
  <c r="CR71" i="6"/>
  <c r="AX73" i="6"/>
  <c r="AR74" i="6"/>
  <c r="P27" i="6"/>
  <c r="BR76" i="6"/>
  <c r="BJ77" i="6"/>
  <c r="BF75" i="6"/>
  <c r="CV79" i="6"/>
  <c r="AC87" i="6"/>
  <c r="AX89" i="6"/>
  <c r="G33" i="6"/>
  <c r="J27" i="6"/>
  <c r="AM74" i="6"/>
  <c r="Z73" i="6"/>
  <c r="C82" i="6"/>
  <c r="BP72" i="6"/>
  <c r="BM84" i="6"/>
  <c r="AI77" i="6"/>
  <c r="BS86" i="6"/>
  <c r="CW84" i="6"/>
  <c r="CF84" i="6"/>
  <c r="AE74" i="6"/>
  <c r="AZ69" i="6"/>
  <c r="U34" i="6"/>
  <c r="AO79" i="6"/>
  <c r="R80" i="6"/>
  <c r="D29" i="3"/>
  <c r="R86" i="6"/>
  <c r="AF83" i="6"/>
  <c r="AX81" i="6"/>
  <c r="BK72" i="6"/>
  <c r="BV79" i="6"/>
  <c r="C35" i="6"/>
  <c r="BF83" i="6"/>
  <c r="CH72" i="6"/>
  <c r="AB73" i="6"/>
  <c r="S86" i="6"/>
  <c r="U31" i="6"/>
  <c r="CV72" i="6"/>
  <c r="AX80" i="6"/>
  <c r="BY87" i="6"/>
  <c r="Y81" i="6"/>
  <c r="CC78" i="6"/>
  <c r="BD82" i="6"/>
  <c r="V87" i="6"/>
  <c r="AJ86" i="6"/>
  <c r="U89" i="6"/>
  <c r="I79" i="6"/>
  <c r="BV72" i="6"/>
  <c r="AW80" i="6"/>
  <c r="BS84" i="6"/>
  <c r="I22" i="6"/>
  <c r="S26" i="6"/>
  <c r="V71" i="6"/>
  <c r="AJ70" i="6"/>
  <c r="CL77" i="6"/>
  <c r="AM76" i="6"/>
  <c r="AL73" i="6"/>
  <c r="CP75" i="6"/>
  <c r="CW88" i="6"/>
  <c r="W90" i="6"/>
  <c r="Z69" i="6"/>
  <c r="BE76" i="6"/>
  <c r="H33" i="6"/>
  <c r="CY79" i="6"/>
  <c r="C26" i="6"/>
  <c r="CY90" i="6"/>
  <c r="AU69" i="6"/>
  <c r="T18" i="6"/>
  <c r="K67" i="6"/>
  <c r="Z83" i="6"/>
  <c r="BR80" i="6"/>
  <c r="CQ88" i="6"/>
  <c r="S85" i="6"/>
  <c r="AJ82" i="6"/>
  <c r="P69" i="6"/>
  <c r="CK86" i="6"/>
  <c r="AI85" i="6"/>
  <c r="D90" i="6"/>
  <c r="AF89" i="6"/>
  <c r="BZ78" i="6"/>
  <c r="CF70" i="6"/>
  <c r="H72" i="6"/>
  <c r="F37" i="12"/>
  <c r="U84" i="6"/>
  <c r="CX70" i="6"/>
  <c r="D80" i="6"/>
  <c r="P19" i="6"/>
  <c r="P18" i="6"/>
  <c r="R18" i="6"/>
  <c r="BY81" i="6"/>
  <c r="AW75" i="6"/>
  <c r="AX77" i="6"/>
  <c r="S22" i="6"/>
  <c r="C22" i="6"/>
  <c r="BR79" i="6"/>
  <c r="D46" i="18"/>
  <c r="N31" i="6"/>
  <c r="AU72" i="6"/>
  <c r="AN73" i="6"/>
  <c r="CA79" i="6"/>
  <c r="BE79" i="6"/>
  <c r="Z72" i="6"/>
  <c r="CQ72" i="6"/>
  <c r="AA77" i="6"/>
  <c r="G25" i="6"/>
  <c r="J69" i="6"/>
  <c r="BF84" i="6"/>
  <c r="I69" i="6"/>
  <c r="AS72" i="6"/>
  <c r="AB75" i="6"/>
  <c r="N89" i="6"/>
  <c r="CW77" i="6"/>
  <c r="CZ86" i="6"/>
  <c r="AX71" i="6"/>
  <c r="G85" i="6"/>
  <c r="BL75" i="6"/>
  <c r="AQ89" i="6"/>
  <c r="CT74" i="6"/>
  <c r="E86" i="6"/>
  <c r="BY80" i="6"/>
  <c r="BH85" i="6"/>
  <c r="H31" i="6"/>
  <c r="AV86" i="6"/>
  <c r="CM74" i="6"/>
  <c r="BV88" i="6"/>
  <c r="BB83" i="6"/>
  <c r="F83" i="6"/>
  <c r="CZ78" i="6"/>
  <c r="V25" i="6"/>
  <c r="V34" i="6"/>
  <c r="AP84" i="6"/>
  <c r="Q79" i="6"/>
  <c r="AS69" i="6"/>
  <c r="BS75" i="6"/>
  <c r="BD74" i="6"/>
  <c r="AR84" i="6"/>
  <c r="CB71" i="6"/>
  <c r="AD88" i="6"/>
  <c r="AB77" i="6"/>
  <c r="BH83" i="6"/>
  <c r="P75" i="6"/>
  <c r="BZ80" i="6"/>
  <c r="D89" i="6"/>
  <c r="D82" i="6"/>
  <c r="AS79" i="6"/>
  <c r="BI86" i="6"/>
  <c r="AT86" i="6"/>
  <c r="AK69" i="6"/>
  <c r="G83" i="6"/>
  <c r="AT72" i="6"/>
  <c r="AN79" i="6"/>
  <c r="CA72" i="6"/>
  <c r="CP69" i="6"/>
  <c r="BT88" i="6"/>
  <c r="BJ79" i="6"/>
  <c r="CY84" i="6"/>
  <c r="CR79" i="6"/>
  <c r="AQ81" i="6"/>
  <c r="BU73" i="6"/>
  <c r="AD79" i="6"/>
  <c r="AH72" i="6"/>
  <c r="AZ88" i="6"/>
  <c r="CA90" i="6"/>
  <c r="CZ71" i="6"/>
  <c r="CE76" i="6"/>
  <c r="F35" i="11"/>
  <c r="O69" i="6"/>
  <c r="P35" i="6"/>
  <c r="BG83" i="6"/>
  <c r="CP90" i="6"/>
  <c r="AA83" i="6"/>
  <c r="O74" i="6"/>
  <c r="AG89" i="6"/>
  <c r="M28" i="6"/>
  <c r="CH89" i="6"/>
  <c r="AH90" i="6"/>
  <c r="T27" i="6"/>
  <c r="BP69" i="6"/>
  <c r="AE85" i="6"/>
  <c r="AI88" i="6"/>
  <c r="C83" i="6"/>
  <c r="S20" i="6"/>
  <c r="CL72" i="6"/>
  <c r="G31" i="6"/>
  <c r="CN88" i="6"/>
  <c r="F67" i="6"/>
  <c r="C73" i="6" s="1"/>
  <c r="BC73" i="6"/>
  <c r="T19" i="6"/>
  <c r="J86" i="6"/>
  <c r="P32" i="6"/>
  <c r="AS81" i="6"/>
  <c r="BM69" i="6"/>
  <c r="CW76" i="6"/>
  <c r="AZ85" i="6"/>
  <c r="X84" i="6"/>
  <c r="AK86" i="6"/>
  <c r="U71" i="6"/>
  <c r="O88" i="6"/>
  <c r="U83" i="6"/>
  <c r="F77" i="6"/>
  <c r="N76" i="6"/>
  <c r="S83" i="6"/>
  <c r="V81" i="6"/>
  <c r="CG86" i="6"/>
  <c r="Z79" i="6"/>
  <c r="BF86" i="6"/>
  <c r="S36" i="6"/>
  <c r="H17" i="6"/>
  <c r="BL82" i="6"/>
  <c r="R36" i="6"/>
  <c r="Q77" i="6"/>
  <c r="C76" i="6"/>
  <c r="AS86" i="6"/>
  <c r="AW90" i="6"/>
  <c r="BA78" i="6"/>
  <c r="K76" i="6"/>
  <c r="AS71" i="6"/>
  <c r="BC89" i="6"/>
  <c r="N20" i="6"/>
  <c r="R71" i="6"/>
  <c r="BY73" i="6"/>
  <c r="CA81" i="6"/>
  <c r="CO80" i="6"/>
  <c r="BO81" i="6"/>
  <c r="AR79" i="6"/>
  <c r="CJ88" i="6"/>
  <c r="Q70" i="6"/>
  <c r="CH75" i="6"/>
  <c r="O31" i="6"/>
  <c r="CO70" i="6"/>
  <c r="BF80" i="6"/>
  <c r="AJ75" i="6"/>
  <c r="DA82" i="6"/>
  <c r="CR76" i="6"/>
  <c r="F32" i="6"/>
  <c r="H75" i="6"/>
  <c r="L75" i="6"/>
  <c r="U88" i="6"/>
  <c r="AT78" i="6"/>
  <c r="U77" i="6"/>
  <c r="BH82" i="6"/>
  <c r="BB79" i="6"/>
  <c r="CT89" i="6"/>
  <c r="AQ77" i="6"/>
  <c r="AG77" i="6"/>
  <c r="Y90" i="6"/>
  <c r="H77" i="6"/>
  <c r="BA70" i="6"/>
  <c r="BQ89" i="6"/>
  <c r="E17" i="6"/>
  <c r="AK90" i="6"/>
  <c r="K15" i="6"/>
  <c r="AY76" i="6"/>
  <c r="CC75" i="6"/>
  <c r="BJ80" i="6"/>
  <c r="CD85" i="6"/>
  <c r="BR84" i="6"/>
  <c r="AS70" i="6"/>
  <c r="N27" i="6"/>
  <c r="CN90" i="6"/>
  <c r="K22" i="6"/>
  <c r="AS75" i="6"/>
  <c r="BR81" i="6"/>
  <c r="AW70" i="6"/>
  <c r="P83" i="6"/>
  <c r="AJ74" i="6"/>
  <c r="K84" i="6"/>
  <c r="CO71" i="6"/>
  <c r="BR74" i="6"/>
  <c r="AO90" i="6"/>
  <c r="D75" i="6"/>
  <c r="AF84" i="6"/>
  <c r="P16" i="6"/>
  <c r="BA85" i="6"/>
  <c r="S71" i="6"/>
  <c r="H86" i="6"/>
  <c r="BN89" i="6"/>
  <c r="CN86" i="6"/>
  <c r="CG70" i="6"/>
  <c r="CP71" i="6"/>
  <c r="AT73" i="6"/>
  <c r="CO74" i="6"/>
  <c r="AJ88" i="6"/>
  <c r="Q32" i="6"/>
  <c r="AY75" i="6"/>
  <c r="R33" i="6"/>
  <c r="CR90" i="6"/>
  <c r="AG82" i="6"/>
  <c r="AN88" i="6"/>
  <c r="CE70" i="6"/>
  <c r="BA75" i="6"/>
  <c r="AX78" i="6"/>
  <c r="G42" i="6"/>
  <c r="AJ78" i="6"/>
  <c r="Z77" i="6"/>
  <c r="I85" i="6"/>
  <c r="H35" i="6"/>
  <c r="CY87" i="6"/>
  <c r="CL84" i="6"/>
  <c r="U40" i="6"/>
  <c r="CB73" i="6"/>
  <c r="AP72" i="6"/>
  <c r="BU88" i="6"/>
  <c r="CE73" i="6"/>
  <c r="D15" i="6"/>
  <c r="AZ75" i="6"/>
  <c r="Y84" i="6"/>
  <c r="CI84" i="6"/>
  <c r="P66" i="6"/>
  <c r="CP81" i="6"/>
  <c r="O24" i="6"/>
  <c r="H85" i="6"/>
  <c r="L34" i="6"/>
  <c r="CR83" i="6"/>
  <c r="P34" i="6"/>
  <c r="G15" i="6"/>
  <c r="AU89" i="6"/>
  <c r="CZ72" i="6"/>
  <c r="BV78" i="6"/>
  <c r="CH77" i="6"/>
  <c r="CB85" i="6"/>
  <c r="CL85" i="6"/>
  <c r="AC80" i="6"/>
  <c r="H83" i="6"/>
  <c r="AT75" i="6"/>
  <c r="E79" i="6"/>
  <c r="CE86" i="6"/>
  <c r="G80" i="6"/>
  <c r="AB83" i="6"/>
  <c r="BK71" i="6"/>
  <c r="AG85" i="6"/>
  <c r="BJ88" i="6"/>
  <c r="C89" i="6"/>
  <c r="BV77" i="6"/>
  <c r="CX83" i="6"/>
  <c r="BO75" i="6"/>
  <c r="DA71" i="6"/>
  <c r="CS70" i="6"/>
  <c r="BT86" i="6"/>
  <c r="CD71" i="6"/>
  <c r="BT69" i="6"/>
  <c r="O66" i="6"/>
  <c r="L19" i="6"/>
  <c r="BU75" i="6"/>
  <c r="CM83" i="6"/>
  <c r="CQ73" i="6"/>
  <c r="C78" i="6"/>
  <c r="AH84" i="6"/>
  <c r="BB80" i="6"/>
  <c r="BX72" i="6"/>
  <c r="BT82" i="6"/>
  <c r="J16" i="6"/>
  <c r="AW82" i="6"/>
  <c r="AM72" i="6"/>
  <c r="C75" i="6"/>
  <c r="V35" i="6"/>
  <c r="AD74" i="6"/>
  <c r="AN82" i="6"/>
  <c r="AK74" i="6"/>
  <c r="CJ84" i="6"/>
  <c r="CS76" i="6"/>
  <c r="BE84" i="6"/>
  <c r="AJ77" i="6"/>
  <c r="CE82" i="6"/>
  <c r="M34" i="6"/>
  <c r="S19" i="6"/>
  <c r="D42" i="6"/>
  <c r="CJ80" i="6"/>
  <c r="S30" i="6"/>
  <c r="CA76" i="6"/>
  <c r="CS81" i="6"/>
  <c r="T42" i="6"/>
  <c r="CD76" i="6"/>
  <c r="T69" i="6"/>
  <c r="CQ80" i="6"/>
  <c r="BK73" i="6"/>
  <c r="AV78" i="6"/>
  <c r="BS72" i="6"/>
  <c r="BB77" i="6"/>
  <c r="AB89" i="6"/>
  <c r="BX80" i="6"/>
  <c r="AQ71" i="6"/>
  <c r="AR87" i="6"/>
  <c r="O15" i="6"/>
  <c r="L74" i="6"/>
  <c r="BS83" i="6"/>
  <c r="BU80" i="6"/>
  <c r="CH69" i="6"/>
  <c r="CE80" i="6"/>
  <c r="CB76" i="6"/>
  <c r="L78" i="6"/>
  <c r="T16" i="6"/>
  <c r="Q69" i="6"/>
  <c r="AN90" i="6"/>
  <c r="D22" i="6"/>
  <c r="CQ87" i="6"/>
  <c r="AB69" i="6"/>
  <c r="CH76" i="6"/>
  <c r="BY89" i="6"/>
  <c r="T77" i="6"/>
  <c r="CQ81" i="6"/>
  <c r="K86" i="6"/>
  <c r="AZ89" i="6"/>
  <c r="G27" i="6"/>
  <c r="BH74" i="6"/>
  <c r="M25" i="6"/>
  <c r="BH75" i="6"/>
  <c r="BI78" i="6"/>
  <c r="CV71" i="6"/>
  <c r="Q42" i="6"/>
  <c r="CE79" i="6"/>
  <c r="F15" i="6"/>
  <c r="D19" i="2"/>
  <c r="M33" i="6"/>
  <c r="CO76" i="6"/>
  <c r="AG86" i="6"/>
  <c r="CY80" i="6"/>
  <c r="AT81" i="6"/>
  <c r="BO84" i="6"/>
  <c r="K88" i="6"/>
  <c r="CZ82" i="6"/>
  <c r="BQ82" i="6"/>
  <c r="H70" i="6"/>
  <c r="AI73" i="6"/>
  <c r="BC88" i="6"/>
  <c r="C70" i="6"/>
  <c r="U16" i="6"/>
  <c r="CY86" i="6"/>
  <c r="E76" i="6"/>
  <c r="F41" i="13"/>
  <c r="CO81" i="6"/>
  <c r="AU84" i="6"/>
  <c r="AW85" i="6"/>
  <c r="E34" i="6"/>
  <c r="T87" i="6"/>
  <c r="CS89" i="6"/>
  <c r="CZ90" i="6"/>
  <c r="D44" i="19"/>
  <c r="BC86" i="6"/>
  <c r="AG75" i="6"/>
  <c r="K33" i="6"/>
  <c r="CS90" i="6"/>
  <c r="CG75" i="6"/>
  <c r="AY72" i="6"/>
  <c r="AA87" i="6"/>
  <c r="AU85" i="6"/>
  <c r="CA71" i="6"/>
  <c r="BC87" i="6"/>
  <c r="F82" i="6"/>
  <c r="CP74" i="6"/>
  <c r="CD74" i="6"/>
  <c r="BW73" i="6"/>
  <c r="CT79" i="6"/>
  <c r="BB82" i="6"/>
  <c r="G76" i="6"/>
  <c r="BK78" i="6"/>
  <c r="CD75" i="6"/>
  <c r="AA84" i="6"/>
  <c r="F71" i="6"/>
  <c r="V69" i="6"/>
  <c r="CA89" i="6"/>
  <c r="S34" i="6"/>
  <c r="CK85" i="6"/>
  <c r="BS85" i="6"/>
  <c r="AC89" i="6"/>
  <c r="R81" i="6"/>
  <c r="AN74" i="6"/>
  <c r="P77" i="6"/>
  <c r="P71" i="6"/>
  <c r="CS71" i="6"/>
  <c r="CD79" i="6"/>
  <c r="F42" i="6"/>
  <c r="BX84" i="6"/>
  <c r="P24" i="6"/>
  <c r="BA88" i="6"/>
  <c r="D79" i="6"/>
  <c r="P38" i="6"/>
  <c r="U42" i="6"/>
  <c r="O90" i="6"/>
  <c r="AP82" i="6"/>
  <c r="BE87" i="6"/>
  <c r="CO82" i="6"/>
  <c r="AQ78" i="6"/>
  <c r="BT73" i="6"/>
  <c r="BX81" i="6"/>
  <c r="D50" i="19"/>
  <c r="CP87" i="6"/>
  <c r="G18" i="6"/>
  <c r="O78" i="6"/>
  <c r="BW89" i="6"/>
  <c r="U15" i="6"/>
  <c r="BZ75" i="6"/>
  <c r="AB84" i="6"/>
  <c r="I32" i="6"/>
  <c r="AE75" i="6"/>
  <c r="CW87" i="6"/>
  <c r="Y76" i="6"/>
  <c r="CB84" i="6"/>
  <c r="CA88" i="6"/>
  <c r="BR86" i="6"/>
  <c r="BL79" i="6"/>
  <c r="T23" i="6"/>
  <c r="T30" i="6"/>
  <c r="K77" i="6"/>
  <c r="AM89" i="6"/>
  <c r="BD84" i="6"/>
  <c r="S76" i="6"/>
  <c r="AU88" i="6"/>
  <c r="AV89" i="6"/>
  <c r="D31" i="6"/>
  <c r="DA89" i="6"/>
  <c r="AM69" i="6"/>
  <c r="L42" i="6"/>
  <c r="P40" i="6"/>
  <c r="N16" i="6"/>
  <c r="AY87" i="6"/>
  <c r="BZ86" i="6"/>
  <c r="CP79" i="6"/>
  <c r="BO86" i="6"/>
  <c r="CQ84" i="6"/>
  <c r="CK90" i="6"/>
  <c r="BK77" i="6"/>
  <c r="AH69" i="6"/>
  <c r="CJ85" i="6"/>
  <c r="AM77" i="6"/>
  <c r="BC84" i="6"/>
  <c r="D83" i="6"/>
  <c r="CR72" i="6"/>
  <c r="CX87" i="6"/>
  <c r="G71" i="6"/>
  <c r="BH86" i="6"/>
  <c r="D33" i="6"/>
  <c r="AV88" i="6"/>
  <c r="CS85" i="6"/>
  <c r="BJ71" i="6"/>
  <c r="AD69" i="6"/>
  <c r="CB69" i="6"/>
  <c r="AJ72" i="6"/>
  <c r="AO77" i="6"/>
  <c r="E16" i="6"/>
  <c r="D47" i="7"/>
  <c r="BW88" i="6"/>
  <c r="I34" i="6"/>
  <c r="BO88" i="6"/>
  <c r="C90" i="6"/>
  <c r="AV79" i="6"/>
  <c r="M40" i="6"/>
  <c r="AH86" i="6"/>
  <c r="I35" i="6"/>
  <c r="T32" i="6"/>
  <c r="CZ81" i="6"/>
  <c r="AR88" i="6"/>
  <c r="F75" i="6"/>
  <c r="CV70" i="6"/>
  <c r="BU82" i="6"/>
  <c r="AZ72" i="6"/>
  <c r="E83" i="6"/>
  <c r="BK88" i="6"/>
  <c r="D48" i="19"/>
  <c r="AZ90" i="6"/>
  <c r="L28" i="6"/>
  <c r="D81" i="6"/>
  <c r="BU84" i="6"/>
  <c r="CH73" i="6"/>
  <c r="BB72" i="6"/>
  <c r="BU70" i="6"/>
  <c r="D48" i="7"/>
  <c r="BD89" i="6"/>
  <c r="CC82" i="6"/>
  <c r="BV69" i="6"/>
  <c r="F27" i="6"/>
  <c r="CY82" i="6"/>
  <c r="CW70" i="6"/>
  <c r="AP83" i="6"/>
  <c r="K17" i="6"/>
  <c r="BI72" i="6"/>
  <c r="CQ75" i="6"/>
  <c r="CK71" i="6"/>
  <c r="O82" i="6"/>
  <c r="CO78" i="6"/>
  <c r="AH85" i="6"/>
  <c r="Y78" i="6"/>
  <c r="D44" i="7"/>
  <c r="F80" i="6"/>
  <c r="R42" i="6"/>
  <c r="CF73" i="6"/>
  <c r="W89" i="6"/>
  <c r="AA73" i="6"/>
  <c r="J23" i="6"/>
  <c r="CO73" i="6"/>
  <c r="U79" i="6"/>
  <c r="F36" i="12"/>
  <c r="AH76" i="6"/>
  <c r="BN81" i="6"/>
  <c r="J26" i="6"/>
  <c r="CR86" i="6"/>
  <c r="T70" i="6"/>
  <c r="CB81" i="6"/>
  <c r="AM87" i="6"/>
  <c r="M42" i="6"/>
  <c r="S79" i="6"/>
  <c r="BT85" i="6"/>
  <c r="AO73" i="6"/>
  <c r="AE90" i="6"/>
  <c r="F16" i="6"/>
  <c r="R78" i="6"/>
  <c r="AC85" i="6"/>
  <c r="N40" i="6"/>
  <c r="BD90" i="6"/>
  <c r="L70" i="6"/>
  <c r="J42" i="6"/>
  <c r="P81" i="6"/>
  <c r="CR82" i="6"/>
  <c r="BP76" i="6"/>
  <c r="BG90" i="6"/>
  <c r="BF69" i="6"/>
  <c r="C84" i="6"/>
  <c r="CC84" i="6"/>
  <c r="BY78" i="6"/>
  <c r="AD73" i="6"/>
  <c r="L79" i="6"/>
  <c r="CY71" i="6"/>
  <c r="K26" i="6"/>
  <c r="U30" i="6"/>
  <c r="CA78" i="6"/>
  <c r="BC77" i="6"/>
  <c r="S23" i="6"/>
  <c r="V88" i="6"/>
  <c r="BS73" i="6"/>
  <c r="CF79" i="6"/>
  <c r="CK72" i="6"/>
  <c r="CE75" i="6"/>
  <c r="L23" i="6"/>
  <c r="I89" i="6"/>
  <c r="P84" i="6"/>
  <c r="L38" i="6"/>
  <c r="AW88" i="6"/>
  <c r="AM84" i="6"/>
  <c r="BK87" i="6"/>
  <c r="S24" i="6"/>
  <c r="CT87" i="6"/>
  <c r="BT81" i="6"/>
  <c r="Q81" i="6"/>
  <c r="H36" i="6"/>
  <c r="C33" i="6"/>
  <c r="E28" i="6"/>
  <c r="AH87" i="6"/>
  <c r="F76" i="6"/>
  <c r="W85" i="6"/>
  <c r="DA84" i="6"/>
  <c r="BY76" i="6"/>
  <c r="M24" i="6"/>
  <c r="P20" i="6"/>
  <c r="R20" i="6"/>
  <c r="BS79" i="6"/>
  <c r="H69" i="6"/>
  <c r="BF81" i="6"/>
  <c r="AY81" i="6"/>
  <c r="BQ79" i="6"/>
  <c r="BG72" i="6"/>
  <c r="D78" i="6"/>
  <c r="AY86" i="6"/>
  <c r="E70" i="6"/>
  <c r="CL89" i="6"/>
  <c r="AD81" i="6"/>
  <c r="I27" i="6"/>
  <c r="N82" i="6"/>
  <c r="AH71" i="6"/>
  <c r="BP89" i="6"/>
  <c r="X78" i="6"/>
  <c r="CL76" i="6"/>
  <c r="BH81" i="6"/>
  <c r="C42" i="6"/>
  <c r="AT77" i="6"/>
  <c r="BI79" i="6"/>
  <c r="CF90" i="6"/>
  <c r="J82" i="6"/>
  <c r="BP87" i="6"/>
  <c r="CJ70" i="6"/>
  <c r="W71" i="6"/>
  <c r="AQ85" i="6"/>
  <c r="AY88" i="6"/>
  <c r="S72" i="6"/>
  <c r="CE81" i="6"/>
  <c r="BY75" i="6"/>
  <c r="N77" i="6"/>
  <c r="CH85" i="6"/>
  <c r="BS78" i="6"/>
  <c r="P82" i="6"/>
  <c r="BC78" i="6"/>
  <c r="BR89" i="6"/>
  <c r="L31" i="6"/>
  <c r="H24" i="6"/>
  <c r="AZ71" i="6"/>
  <c r="O30" i="6"/>
  <c r="I70" i="6"/>
  <c r="L16" i="6"/>
  <c r="AY71" i="6"/>
  <c r="R69" i="6"/>
  <c r="G79" i="6"/>
  <c r="BS82" i="6"/>
  <c r="BW70" i="6"/>
  <c r="N88" i="6"/>
  <c r="U19" i="6"/>
  <c r="CA87" i="6"/>
  <c r="U69" i="6"/>
  <c r="AM85" i="6"/>
  <c r="U87" i="6"/>
  <c r="F87" i="6"/>
  <c r="D23" i="6"/>
  <c r="C19" i="6"/>
  <c r="M17" i="6"/>
  <c r="D20" i="2"/>
  <c r="AL78" i="6"/>
  <c r="BP78" i="6"/>
  <c r="BB69" i="6"/>
  <c r="BZ83" i="6"/>
  <c r="D88" i="6"/>
  <c r="T36" i="6"/>
  <c r="CQ83" i="6"/>
  <c r="BW77" i="6"/>
  <c r="CU74" i="6"/>
  <c r="R30" i="6"/>
  <c r="AI69" i="6"/>
  <c r="M75" i="6"/>
  <c r="R15" i="6"/>
  <c r="O79" i="6"/>
  <c r="AV72" i="6"/>
  <c r="BI85" i="6"/>
  <c r="P70" i="6"/>
  <c r="AS82" i="6"/>
  <c r="I84" i="6"/>
  <c r="AF74" i="6"/>
  <c r="AC74" i="6"/>
  <c r="Y79" i="6"/>
  <c r="S90" i="6"/>
  <c r="AO74" i="6"/>
  <c r="Z81" i="6"/>
  <c r="AG81" i="6"/>
  <c r="Z71" i="6"/>
  <c r="AF73" i="6"/>
  <c r="G22" i="6"/>
  <c r="L33" i="6"/>
  <c r="BZ85" i="6"/>
  <c r="AA71" i="6"/>
  <c r="AY80" i="6"/>
  <c r="CV76" i="6"/>
  <c r="CB89" i="6"/>
  <c r="AD75" i="6"/>
  <c r="CR81" i="6"/>
  <c r="AV81" i="6"/>
  <c r="AS73" i="6"/>
  <c r="CP76" i="6"/>
  <c r="F28" i="6"/>
  <c r="CS74" i="6"/>
  <c r="CQ82" i="6"/>
  <c r="X74" i="6"/>
  <c r="AC79" i="6"/>
  <c r="D85" i="6"/>
  <c r="AV70" i="6"/>
  <c r="R27" i="6"/>
  <c r="R40" i="6" s="1"/>
  <c r="S70" i="6"/>
  <c r="BX69" i="6"/>
  <c r="BW81" i="6"/>
  <c r="CV88" i="6"/>
  <c r="G74" i="6"/>
  <c r="N42" i="6"/>
  <c r="BJ89" i="6"/>
  <c r="AW83" i="6"/>
  <c r="AF71" i="6"/>
  <c r="CX72" i="6"/>
  <c r="N75" i="6"/>
  <c r="CU79" i="6"/>
  <c r="P36" i="6"/>
  <c r="V80" i="6"/>
  <c r="CQ76" i="6"/>
  <c r="BX89" i="6"/>
  <c r="O16" i="6"/>
  <c r="M88" i="6"/>
  <c r="AD77" i="6"/>
  <c r="BN69" i="6"/>
  <c r="AO69" i="6"/>
  <c r="H38" i="6"/>
  <c r="BV76" i="6"/>
  <c r="U75" i="6"/>
  <c r="CX86" i="6"/>
  <c r="CT69" i="6"/>
  <c r="AS76" i="6"/>
  <c r="K35" i="6"/>
  <c r="AJ85" i="6"/>
  <c r="CU80" i="6"/>
  <c r="U73" i="6"/>
  <c r="D76" i="6"/>
  <c r="I82" i="6"/>
  <c r="BU89" i="6"/>
  <c r="AA78" i="6"/>
  <c r="T74" i="6"/>
  <c r="D19" i="6"/>
  <c r="AJ79" i="6"/>
  <c r="CI69" i="6"/>
  <c r="R75" i="6"/>
  <c r="AJ90" i="6"/>
  <c r="Q76" i="6"/>
  <c r="BV75" i="6"/>
  <c r="AQ69" i="6"/>
  <c r="BI90" i="6"/>
  <c r="DA79" i="6"/>
  <c r="CX89" i="6"/>
  <c r="W73" i="6"/>
  <c r="CN83" i="6"/>
  <c r="T15" i="6"/>
  <c r="CD72" i="6"/>
  <c r="BL83" i="6"/>
  <c r="Q24" i="6"/>
  <c r="CA83" i="6"/>
  <c r="CJ79" i="6"/>
  <c r="BG88" i="6"/>
  <c r="N38" i="6"/>
  <c r="BC74" i="6"/>
  <c r="CE85" i="6"/>
  <c r="CR77" i="6"/>
  <c r="AR71" i="6"/>
  <c r="CA84" i="6"/>
  <c r="S81" i="6"/>
  <c r="CS69" i="6"/>
  <c r="CP73" i="6"/>
  <c r="BN87" i="6"/>
  <c r="CC90" i="6"/>
  <c r="BU72" i="6"/>
  <c r="N24" i="6"/>
  <c r="D86" i="6"/>
  <c r="BB78" i="6"/>
  <c r="E40" i="6"/>
  <c r="BB73" i="6"/>
  <c r="S33" i="6"/>
  <c r="W82" i="6"/>
  <c r="BL90" i="6"/>
  <c r="P79" i="6"/>
  <c r="F30" i="6"/>
  <c r="CC88" i="6"/>
  <c r="BG79" i="6"/>
  <c r="K38" i="6"/>
  <c r="BZ89" i="6"/>
  <c r="C81" i="6"/>
  <c r="C74" i="6"/>
  <c r="I40" i="6"/>
  <c r="V15" i="6"/>
  <c r="M81" i="6"/>
  <c r="I76" i="6"/>
  <c r="AX88" i="6"/>
  <c r="C40" i="6"/>
  <c r="BS89" i="6"/>
  <c r="AF77" i="6"/>
  <c r="O19" i="6"/>
  <c r="O38" i="6" s="1"/>
  <c r="BF71" i="6"/>
  <c r="CU84" i="6"/>
  <c r="CI90" i="6"/>
  <c r="U20" i="6"/>
  <c r="G78" i="6"/>
  <c r="AN87" i="6"/>
  <c r="E36" i="6"/>
  <c r="Q80" i="6"/>
  <c r="BR72" i="6"/>
  <c r="BR73" i="6"/>
  <c r="BR90" i="6"/>
  <c r="V27" i="6"/>
  <c r="CA77" i="6"/>
  <c r="C25" i="6"/>
  <c r="CL71" i="6"/>
  <c r="N32" i="6"/>
  <c r="BC90" i="6"/>
  <c r="BY77" i="6"/>
  <c r="BP71" i="6"/>
  <c r="CK70" i="6"/>
  <c r="C20" i="6"/>
  <c r="CN76" i="6"/>
  <c r="J80" i="6"/>
  <c r="AA75" i="6"/>
  <c r="BD76" i="6"/>
  <c r="CD77" i="6"/>
  <c r="CP70" i="6"/>
  <c r="H71" i="6"/>
  <c r="BI71" i="6"/>
  <c r="CU88" i="6"/>
  <c r="P80" i="6"/>
  <c r="BO87" i="6"/>
  <c r="H78" i="6"/>
  <c r="BW90" i="6"/>
  <c r="M35" i="13"/>
  <c r="BQ76" i="6"/>
  <c r="CZ77" i="6"/>
  <c r="BH70" i="6"/>
  <c r="BW86" i="6"/>
  <c r="AH89" i="6"/>
  <c r="BC80" i="6"/>
  <c r="CP82" i="6"/>
  <c r="BJ84" i="6"/>
  <c r="BB70" i="6"/>
  <c r="CF74" i="6"/>
  <c r="BW80" i="6"/>
  <c r="BA79" i="6"/>
  <c r="AP86" i="6"/>
  <c r="CM71" i="6"/>
  <c r="BK84" i="6"/>
  <c r="CB83" i="6"/>
  <c r="BH77" i="6"/>
  <c r="AE70" i="6"/>
  <c r="R23" i="6"/>
  <c r="D77" i="6"/>
  <c r="BW71" i="6"/>
  <c r="BL85" i="6"/>
  <c r="BA73" i="6"/>
  <c r="CT86" i="6"/>
  <c r="BM86" i="6"/>
  <c r="BI87" i="6"/>
  <c r="CN75" i="6"/>
  <c r="AV71" i="6"/>
  <c r="U23" i="6"/>
  <c r="Y87" i="6"/>
  <c r="AJ81" i="6"/>
  <c r="AB76" i="6"/>
  <c r="N23" i="6"/>
  <c r="CP83" i="6"/>
  <c r="BX87" i="6"/>
  <c r="AD89" i="6"/>
  <c r="BX82" i="6"/>
  <c r="BX75" i="6"/>
  <c r="O25" i="6"/>
  <c r="K80" i="6"/>
  <c r="AT84" i="6"/>
  <c r="BF76" i="6"/>
  <c r="R38" i="6"/>
  <c r="BK90" i="6"/>
  <c r="BN75" i="6"/>
  <c r="AK73" i="6"/>
  <c r="CW86" i="6"/>
  <c r="J89" i="6"/>
  <c r="AY77" i="6"/>
  <c r="K18" i="6"/>
  <c r="R70" i="6"/>
  <c r="AU70" i="6"/>
  <c r="CT71" i="6"/>
  <c r="AY84" i="6"/>
  <c r="T72" i="6"/>
  <c r="CS80" i="6"/>
  <c r="CC89" i="6"/>
  <c r="CT84" i="6"/>
  <c r="BQ81" i="6"/>
  <c r="J18" i="6"/>
  <c r="CC83" i="6"/>
  <c r="X80" i="6"/>
  <c r="BT83" i="6"/>
  <c r="C72" i="6"/>
  <c r="AC77" i="6"/>
  <c r="AX86" i="6"/>
  <c r="CR69" i="6"/>
  <c r="AV83" i="6"/>
  <c r="C71" i="6"/>
  <c r="BW84" i="6"/>
  <c r="AE71" i="6"/>
  <c r="P23" i="6"/>
  <c r="AB79" i="6"/>
  <c r="AD76" i="6"/>
  <c r="K90" i="6"/>
  <c r="G19" i="6"/>
  <c r="AY74" i="6"/>
  <c r="AN70" i="6"/>
  <c r="S38" i="6"/>
  <c r="CC71" i="6"/>
  <c r="G81" i="6"/>
  <c r="BD86" i="6"/>
  <c r="AA69" i="6"/>
  <c r="L80" i="6"/>
  <c r="R28" i="6"/>
  <c r="AU74" i="6"/>
  <c r="BF90" i="6"/>
  <c r="U78" i="6"/>
  <c r="CM81" i="6"/>
  <c r="AG88" i="6"/>
  <c r="AY73" i="6"/>
  <c r="Z86" i="6"/>
  <c r="CG71" i="6"/>
  <c r="BU90" i="6"/>
  <c r="AE82" i="6"/>
  <c r="Q38" i="6"/>
  <c r="CH86" i="6"/>
  <c r="CN70" i="6"/>
  <c r="BQ70" i="6"/>
  <c r="AT89" i="6"/>
  <c r="AT85" i="6"/>
  <c r="AG76" i="6"/>
  <c r="CF86" i="6"/>
  <c r="L25" i="6"/>
  <c r="CK75" i="6"/>
  <c r="AV77" i="6"/>
  <c r="BQ88" i="6"/>
  <c r="BL77" i="6"/>
  <c r="BT74" i="6"/>
  <c r="CK84" i="6"/>
  <c r="BE69" i="6"/>
  <c r="AD85" i="6"/>
  <c r="CE83" i="6"/>
  <c r="H30" i="6"/>
  <c r="I87" i="6"/>
  <c r="H90" i="6"/>
  <c r="E19" i="6"/>
  <c r="L40" i="6"/>
  <c r="CE84" i="6"/>
  <c r="AO78" i="6"/>
  <c r="AU90" i="6"/>
  <c r="BE86" i="6"/>
  <c r="CI82" i="6"/>
  <c r="CB88" i="6"/>
  <c r="CI88" i="6"/>
  <c r="CE74" i="6"/>
  <c r="BP85" i="6"/>
  <c r="H76" i="6"/>
  <c r="CV87" i="6"/>
  <c r="AZ84" i="6"/>
  <c r="AR73" i="6"/>
  <c r="AP73" i="6"/>
  <c r="Z88" i="6"/>
  <c r="T90" i="6"/>
  <c r="L81" i="6"/>
  <c r="AE83" i="6"/>
  <c r="R72" i="6"/>
  <c r="M38" i="6"/>
  <c r="T38" i="6"/>
  <c r="F40" i="6"/>
  <c r="Q40" i="6"/>
  <c r="J40" i="6"/>
  <c r="C69" i="6"/>
  <c r="P42" i="6"/>
  <c r="C38" i="6"/>
  <c r="V40" i="6"/>
  <c r="K42" i="6"/>
  <c r="E38" i="6"/>
  <c r="U38" i="6"/>
  <c r="G40" i="6"/>
  <c r="G38" i="6"/>
  <c r="K40" i="6"/>
  <c r="H42" i="6"/>
  <c r="I42" i="6"/>
  <c r="D52" i="7" l="1"/>
  <c r="D53" i="19"/>
  <c r="H46" i="19"/>
  <c r="M41" i="13"/>
  <c r="D26" i="2"/>
  <c r="D37" i="3"/>
  <c r="D31" i="5"/>
  <c r="D53" i="18"/>
  <c r="D54" i="19"/>
  <c r="M41" i="12"/>
  <c r="F44" i="18"/>
  <c r="F45" i="12"/>
  <c r="F44" i="19"/>
  <c r="F46" i="13"/>
  <c r="M40" i="11"/>
  <c r="H46" i="7"/>
  <c r="D32" i="5"/>
  <c r="D36" i="3"/>
  <c r="F44" i="11"/>
  <c r="F44" i="7"/>
  <c r="H46" i="18"/>
  <c r="D54" i="18"/>
  <c r="F46" i="12"/>
  <c r="F45" i="13"/>
  <c r="A120" i="19"/>
  <c r="B119" i="19"/>
  <c r="D38" i="6"/>
  <c r="S42" i="6"/>
  <c r="V42" i="6"/>
  <c r="M48" i="11"/>
  <c r="M46" i="11"/>
  <c r="F48" i="11"/>
  <c r="F47" i="11"/>
  <c r="M45" i="11"/>
  <c r="F49" i="11"/>
  <c r="F45" i="11"/>
  <c r="D50" i="11"/>
  <c r="F46" i="11"/>
  <c r="M49" i="11"/>
  <c r="M47" i="11"/>
  <c r="F48" i="12"/>
  <c r="M51" i="12"/>
  <c r="F49" i="12"/>
  <c r="F51" i="12"/>
  <c r="M50" i="12"/>
  <c r="F47" i="12"/>
  <c r="M47" i="12"/>
  <c r="M49" i="12"/>
  <c r="D52" i="12"/>
  <c r="F50" i="12"/>
  <c r="M48" i="12"/>
  <c r="D40" i="3"/>
  <c r="D38" i="3"/>
  <c r="D39" i="3"/>
  <c r="C42" i="3"/>
  <c r="D41" i="3"/>
  <c r="C43" i="3"/>
  <c r="D54" i="7"/>
  <c r="H54" i="7"/>
  <c r="D57" i="7"/>
  <c r="H52" i="7"/>
  <c r="D56" i="7"/>
  <c r="H56" i="7"/>
  <c r="H53" i="7"/>
  <c r="H55" i="7"/>
  <c r="D53" i="7"/>
  <c r="D55" i="7"/>
  <c r="E42" i="6"/>
  <c r="T40" i="6"/>
  <c r="D29" i="2"/>
  <c r="C33" i="2"/>
  <c r="D32" i="2"/>
  <c r="D28" i="2"/>
  <c r="D31" i="2"/>
  <c r="C34" i="2"/>
  <c r="D27" i="2"/>
  <c r="D30" i="2"/>
  <c r="S40" i="6"/>
  <c r="H54" i="19"/>
  <c r="H57" i="19"/>
  <c r="D58" i="19"/>
  <c r="H53" i="19"/>
  <c r="H56" i="19"/>
  <c r="H55" i="19"/>
  <c r="D57" i="19"/>
  <c r="D59" i="19"/>
  <c r="D56" i="19"/>
  <c r="D55" i="19"/>
  <c r="D33" i="5"/>
  <c r="C40" i="5"/>
  <c r="D36" i="5"/>
  <c r="D37" i="5"/>
  <c r="D34" i="5"/>
  <c r="D35" i="5"/>
  <c r="C39" i="5"/>
  <c r="D38" i="5"/>
  <c r="M47" i="13"/>
  <c r="M48" i="13"/>
  <c r="F51" i="13"/>
  <c r="F49" i="13"/>
  <c r="M49" i="13"/>
  <c r="F48" i="13"/>
  <c r="D52" i="13"/>
  <c r="F47" i="13"/>
  <c r="M50" i="13"/>
  <c r="F50" i="13"/>
  <c r="D57" i="18"/>
  <c r="D59" i="18"/>
  <c r="D55" i="18"/>
  <c r="D58" i="18"/>
  <c r="H56" i="18"/>
  <c r="H54" i="18"/>
  <c r="H55" i="18"/>
  <c r="H53" i="18"/>
  <c r="D56" i="18"/>
  <c r="A121" i="19" l="1"/>
  <c r="B120" i="19"/>
  <c r="A122" i="19" l="1"/>
  <c r="B121" i="19"/>
  <c r="A123" i="19" l="1"/>
  <c r="B123" i="19" s="1"/>
  <c r="B122" i="19"/>
</calcChain>
</file>

<file path=xl/comments1.xml><?xml version="1.0" encoding="utf-8"?>
<comments xmlns="http://schemas.openxmlformats.org/spreadsheetml/2006/main">
  <authors>
    <author>Klobe Berthold</author>
  </authors>
  <commentList>
    <comment ref="G27" authorId="0" shapeId="0">
      <text>
        <r>
          <rPr>
            <sz val="8"/>
            <color indexed="81"/>
            <rFont val="Tahoma"/>
            <family val="2"/>
          </rPr>
          <t>Increased factor of safety for cross sections under compressive load and without reinforcement.</t>
        </r>
      </text>
    </comment>
    <comment ref="H27" authorId="0" shapeId="0">
      <text>
        <r>
          <rPr>
            <sz val="8"/>
            <color indexed="81"/>
            <rFont val="Tahoma"/>
            <family val="2"/>
          </rPr>
          <t xml:space="preserve">Fraction of the compressive force that must be covered by the minimum reinforcement.
For cross sections without that minimum reinforcement </t>
        </r>
        <r>
          <rPr>
            <sz val="8"/>
            <color indexed="81"/>
            <rFont val="Arial"/>
            <family val="2"/>
          </rPr>
          <t>γ</t>
        </r>
        <r>
          <rPr>
            <sz val="8"/>
            <color indexed="81"/>
            <rFont val="Tahoma"/>
            <family val="2"/>
          </rPr>
          <t>_c,u is applied.</t>
        </r>
      </text>
    </comment>
    <comment ref="E35" authorId="0" shapeId="0">
      <text>
        <r>
          <rPr>
            <sz val="8"/>
            <color indexed="81"/>
            <rFont val="Tahoma"/>
            <family val="2"/>
          </rPr>
          <t>Allows to set design values instead of characteristic values.</t>
        </r>
      </text>
    </comment>
    <comment ref="C52" authorId="0" shapeId="0">
      <text>
        <r>
          <rPr>
            <sz val="8"/>
            <color indexed="81"/>
            <rFont val="Tahoma"/>
            <family val="2"/>
          </rPr>
          <t>Allows to set A_s manually.</t>
        </r>
      </text>
    </comment>
  </commentList>
</comments>
</file>

<file path=xl/comments2.xml><?xml version="1.0" encoding="utf-8"?>
<comments xmlns="http://schemas.openxmlformats.org/spreadsheetml/2006/main">
  <authors>
    <author>Klobe Berthold</author>
  </authors>
  <commentList>
    <comment ref="G27" authorId="0" shapeId="0">
      <text>
        <r>
          <rPr>
            <sz val="8"/>
            <color indexed="81"/>
            <rFont val="Tahoma"/>
            <family val="2"/>
          </rPr>
          <t>Increased factor of safety for cross sections under compressive load and without reinforcement.</t>
        </r>
      </text>
    </comment>
    <comment ref="H27" authorId="0" shapeId="0">
      <text>
        <r>
          <rPr>
            <sz val="8"/>
            <color indexed="81"/>
            <rFont val="Tahoma"/>
            <family val="2"/>
          </rPr>
          <t xml:space="preserve">Fraction of the compressive force that must be covered by the minimum reinforcement.
For cross sections without that minimum reinforcement </t>
        </r>
        <r>
          <rPr>
            <sz val="8"/>
            <color indexed="81"/>
            <rFont val="Arial"/>
            <family val="2"/>
          </rPr>
          <t>γ</t>
        </r>
        <r>
          <rPr>
            <sz val="8"/>
            <color indexed="81"/>
            <rFont val="Tahoma"/>
            <family val="2"/>
          </rPr>
          <t>_c,u is applied.</t>
        </r>
      </text>
    </comment>
    <comment ref="E35" authorId="0" shapeId="0">
      <text>
        <r>
          <rPr>
            <sz val="8"/>
            <color indexed="81"/>
            <rFont val="Tahoma"/>
            <family val="2"/>
          </rPr>
          <t>Allows to set design values instead of characteristic values.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set A_s manually.</t>
        </r>
      </text>
    </comment>
  </commentList>
</comments>
</file>

<file path=xl/comments3.xml><?xml version="1.0" encoding="utf-8"?>
<comments xmlns="http://schemas.openxmlformats.org/spreadsheetml/2006/main">
  <authors>
    <author>Klobe Berthold</author>
  </authors>
  <commentList>
    <comment ref="E7" authorId="0" shapeId="0">
      <text>
        <r>
          <rPr>
            <sz val="8"/>
            <color indexed="81"/>
            <rFont val="Tahoma"/>
            <family val="2"/>
          </rPr>
          <t>Allows to set a minimum reinforcement for A_s2.
Negative value (e.g. -1) forces a symmetric reinforcement.</t>
        </r>
      </text>
    </comment>
    <comment ref="G27" authorId="0" shapeId="0">
      <text>
        <r>
          <rPr>
            <sz val="8"/>
            <color indexed="81"/>
            <rFont val="Tahoma"/>
            <family val="2"/>
          </rPr>
          <t>Increased factor of safety for cross sections under compressive load and without reinforcement.</t>
        </r>
      </text>
    </comment>
    <comment ref="H27" authorId="0" shapeId="0">
      <text>
        <r>
          <rPr>
            <sz val="8"/>
            <color indexed="81"/>
            <rFont val="Tahoma"/>
            <family val="2"/>
          </rPr>
          <t xml:space="preserve">Fraction of the compressive force that must be covered by the minimum reinforcement.
For cross sections without that minimum reinforcement </t>
        </r>
        <r>
          <rPr>
            <sz val="8"/>
            <color indexed="81"/>
            <rFont val="Arial"/>
            <family val="2"/>
          </rPr>
          <t>γ</t>
        </r>
        <r>
          <rPr>
            <sz val="8"/>
            <color indexed="81"/>
            <rFont val="Tahoma"/>
            <family val="2"/>
          </rPr>
          <t>_c,u is applied.</t>
        </r>
      </text>
    </comment>
    <comment ref="E35" authorId="0" shapeId="0">
      <text>
        <r>
          <rPr>
            <sz val="8"/>
            <color indexed="81"/>
            <rFont val="Tahoma"/>
            <family val="2"/>
          </rPr>
          <t>Allows to set design values instead of characteristic values.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set A_s manually.</t>
        </r>
      </text>
    </comment>
  </commentList>
</comments>
</file>

<file path=xl/comments4.xml><?xml version="1.0" encoding="utf-8"?>
<comments xmlns="http://schemas.openxmlformats.org/spreadsheetml/2006/main">
  <authors>
    <author>Klobe Berthold</author>
  </authors>
  <commentList>
    <comment ref="G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H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A43" authorId="0" shapeId="0">
      <text>
        <r>
          <rPr>
            <sz val="8"/>
            <color indexed="81"/>
            <rFont val="Tahoma"/>
            <family val="2"/>
          </rPr>
          <t>normal force N:
tension = positiv value
compression = negativ value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augment A_s manually.</t>
        </r>
      </text>
    </comment>
  </commentList>
</comments>
</file>

<file path=xl/comments5.xml><?xml version="1.0" encoding="utf-8"?>
<comments xmlns="http://schemas.openxmlformats.org/spreadsheetml/2006/main">
  <authors>
    <author>Klobe Berthold</author>
  </authors>
  <commentList>
    <comment ref="G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H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A43" authorId="0" shapeId="0">
      <text>
        <r>
          <rPr>
            <sz val="8"/>
            <color indexed="81"/>
            <rFont val="Tahoma"/>
            <family val="2"/>
          </rPr>
          <t>normal force N:
tension = positiv value
compression = negativ value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augment A_s manually.</t>
        </r>
      </text>
    </comment>
  </commentList>
</comments>
</file>

<file path=xl/comments6.xml><?xml version="1.0" encoding="utf-8"?>
<comments xmlns="http://schemas.openxmlformats.org/spreadsheetml/2006/main">
  <authors>
    <author>Klobe Berthold</author>
  </authors>
  <commentList>
    <comment ref="C7" authorId="0" shapeId="0">
      <text>
        <r>
          <rPr>
            <sz val="8"/>
            <color indexed="81"/>
            <rFont val="Tahoma"/>
            <family val="2"/>
          </rPr>
          <t>distributed over complete circle (360°)</t>
        </r>
      </text>
    </comment>
    <comment ref="G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H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A43" authorId="0" shapeId="0">
      <text>
        <r>
          <rPr>
            <sz val="8"/>
            <color indexed="81"/>
            <rFont val="Tahoma"/>
            <family val="2"/>
          </rPr>
          <t>normal force N:
tension = positiv value
compression = negativ value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augment A_s manually.
Smaller value is applied to A_s2,
larger value is applied to A_s1.</t>
        </r>
      </text>
    </comment>
  </commentList>
</comments>
</file>

<file path=xl/comments7.xml><?xml version="1.0" encoding="utf-8"?>
<comments xmlns="http://schemas.openxmlformats.org/spreadsheetml/2006/main">
  <authors>
    <author>Klobe Berthold</author>
  </authors>
  <commentList>
    <comment ref="E7" authorId="0" shapeId="0">
      <text>
        <r>
          <rPr>
            <sz val="8"/>
            <color indexed="81"/>
            <rFont val="Tahoma"/>
            <family val="2"/>
          </rPr>
          <t>Forces A_s2 = A_s1.
Only valid for H' = H''.</t>
        </r>
      </text>
    </comment>
    <comment ref="G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H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A43" authorId="0" shapeId="0">
      <text>
        <r>
          <rPr>
            <sz val="8"/>
            <color indexed="81"/>
            <rFont val="Tahoma"/>
            <family val="2"/>
          </rPr>
          <t>normal force N:
tension = positiv value
compression = negativ value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augment A_s manually.
Smaller value is applied to A_s2,
larger value is applied to A_s1.</t>
        </r>
      </text>
    </comment>
  </commentList>
</comments>
</file>

<file path=xl/sharedStrings.xml><?xml version="1.0" encoding="utf-8"?>
<sst xmlns="http://schemas.openxmlformats.org/spreadsheetml/2006/main" count="1724" uniqueCount="748">
  <si>
    <t>Betongüte</t>
  </si>
  <si>
    <t>Stahlgüte</t>
  </si>
  <si>
    <t>Betonkreis</t>
  </si>
  <si>
    <t>Randabstand</t>
  </si>
  <si>
    <t>[kN]</t>
  </si>
  <si>
    <t>Moment</t>
  </si>
  <si>
    <t>[kNm]</t>
  </si>
  <si>
    <t>B</t>
  </si>
  <si>
    <t>BSt</t>
  </si>
  <si>
    <t>D</t>
  </si>
  <si>
    <t>N</t>
  </si>
  <si>
    <t>M</t>
  </si>
  <si>
    <t>[cm²]</t>
  </si>
  <si>
    <t>Querkraft</t>
  </si>
  <si>
    <t>Q</t>
  </si>
  <si>
    <t>tau_0</t>
  </si>
  <si>
    <t>[MN/m²]</t>
  </si>
  <si>
    <t>[cm²/m]</t>
  </si>
  <si>
    <t>erf_As</t>
  </si>
  <si>
    <t>vorh_As</t>
  </si>
  <si>
    <t>Bewehrung</t>
  </si>
  <si>
    <t>erf_as</t>
  </si>
  <si>
    <t>Schubbereich</t>
  </si>
  <si>
    <t>H'</t>
  </si>
  <si>
    <t>BK</t>
  </si>
  <si>
    <t>eps_b1 / eps_s1</t>
  </si>
  <si>
    <t>z</t>
  </si>
  <si>
    <t>b_0</t>
  </si>
  <si>
    <t>Querkraftbemessung</t>
  </si>
  <si>
    <t>Biegebemessung</t>
  </si>
  <si>
    <t>Betonquerschnitt</t>
  </si>
  <si>
    <t>Breite</t>
  </si>
  <si>
    <t>Dicke</t>
  </si>
  <si>
    <t>b</t>
  </si>
  <si>
    <t>d</t>
  </si>
  <si>
    <t>h</t>
  </si>
  <si>
    <t>Nutzhöhe</t>
  </si>
  <si>
    <t>Schubbewehr.</t>
  </si>
  <si>
    <t>Dehnungen</t>
  </si>
  <si>
    <r>
      <t>Normalkraft</t>
    </r>
    <r>
      <rPr>
        <vertAlign val="superscript"/>
        <sz val="10"/>
        <rFont val="Arial"/>
        <family val="2"/>
      </rPr>
      <t>1)</t>
    </r>
  </si>
  <si>
    <t>Anmerkung zu tau_0:</t>
  </si>
  <si>
    <t>innerer Hebel</t>
  </si>
  <si>
    <t>Breite Nulllinie</t>
  </si>
  <si>
    <t>Schubspann.</t>
  </si>
  <si>
    <t>[mm]</t>
  </si>
  <si>
    <t>H''</t>
  </si>
  <si>
    <t>Randabstand Zugseite</t>
  </si>
  <si>
    <t>Randabstand Druckseite</t>
  </si>
  <si>
    <r>
      <t>erf. A</t>
    </r>
    <r>
      <rPr>
        <vertAlign val="subscript"/>
        <sz val="10"/>
        <rFont val="Arial"/>
        <family val="2"/>
      </rPr>
      <t>s1</t>
    </r>
  </si>
  <si>
    <r>
      <t>erf. A</t>
    </r>
    <r>
      <rPr>
        <vertAlign val="subscript"/>
        <sz val="10"/>
        <rFont val="Arial"/>
        <family val="2"/>
      </rPr>
      <t>s2</t>
    </r>
  </si>
  <si>
    <r>
      <t xml:space="preserve">   Bei einem negativen Moment wird A</t>
    </r>
    <r>
      <rPr>
        <vertAlign val="subscript"/>
        <sz val="10"/>
        <rFont val="Arial"/>
        <family val="2"/>
      </rPr>
      <t>s2</t>
    </r>
    <r>
      <rPr>
        <sz val="10"/>
        <rFont val="Arial"/>
        <family val="2"/>
      </rPr>
      <t xml:space="preserve"> stärker gezogen als A</t>
    </r>
    <r>
      <rPr>
        <vertAlign val="subscript"/>
        <sz val="10"/>
        <rFont val="Arial"/>
        <family val="2"/>
      </rPr>
      <t>s1</t>
    </r>
    <r>
      <rPr>
        <sz val="10"/>
        <rFont val="Arial"/>
        <family val="2"/>
      </rPr>
      <t>.</t>
    </r>
  </si>
  <si>
    <t>Berthold Klobe</t>
  </si>
  <si>
    <t>Lizenz, Gewährleistung und Support</t>
  </si>
  <si>
    <t>Jegliche Art von Gewährleistung wird ausdrücklich ausgeschlossen.</t>
  </si>
  <si>
    <t>Es wird gebeten, beobachtete Fehler dem Autor mitzuteilen,</t>
  </si>
  <si>
    <t>Änderungswünsche werden gerne entgegengenommen.</t>
  </si>
  <si>
    <r>
      <t>vorh. A</t>
    </r>
    <r>
      <rPr>
        <vertAlign val="subscript"/>
        <sz val="10"/>
        <rFont val="Arial"/>
        <family val="2"/>
      </rPr>
      <t>s2</t>
    </r>
  </si>
  <si>
    <r>
      <t>vorh. A</t>
    </r>
    <r>
      <rPr>
        <vertAlign val="subscript"/>
        <sz val="10"/>
        <rFont val="Arial"/>
        <family val="2"/>
      </rPr>
      <t>s1</t>
    </r>
  </si>
  <si>
    <t>Betonquerschnitt und Bewehrungsgeometrie</t>
  </si>
  <si>
    <t>Bewehrungsgeometrie</t>
  </si>
  <si>
    <r>
      <t>1)</t>
    </r>
    <r>
      <rPr>
        <sz val="10"/>
        <rFont val="Arial"/>
        <family val="2"/>
      </rPr>
      <t xml:space="preserve"> Wird nicht berücksichtigt, falls die statisch erforderliche Zugbewehrung geringer als</t>
    </r>
  </si>
  <si>
    <t xml:space="preserve">   die angegebene Mindest-Druckbewehrung ist.</t>
  </si>
  <si>
    <r>
      <t>2)</t>
    </r>
    <r>
      <rPr>
        <sz val="10"/>
        <rFont val="Arial"/>
        <family val="2"/>
      </rPr>
      <t xml:space="preserve"> Feldmomente mit positivem Wert und Stützmomente mit negativem Wert eingeben.</t>
    </r>
  </si>
  <si>
    <r>
      <t>Moment</t>
    </r>
    <r>
      <rPr>
        <vertAlign val="superscript"/>
        <sz val="10"/>
        <rFont val="Arial"/>
        <family val="2"/>
      </rPr>
      <t>2)</t>
    </r>
  </si>
  <si>
    <r>
      <t>Normalkraft</t>
    </r>
    <r>
      <rPr>
        <vertAlign val="superscript"/>
        <sz val="10"/>
        <rFont val="Arial"/>
        <family val="2"/>
      </rPr>
      <t>3)</t>
    </r>
  </si>
  <si>
    <r>
      <t>Mindest-Druckbewehr.</t>
    </r>
    <r>
      <rPr>
        <vertAlign val="superscript"/>
        <sz val="10"/>
        <rFont val="Arial"/>
        <family val="2"/>
      </rPr>
      <t>1)</t>
    </r>
  </si>
  <si>
    <r>
      <t>min. A</t>
    </r>
    <r>
      <rPr>
        <vertAlign val="subscript"/>
        <sz val="10"/>
        <rFont val="Arial"/>
        <family val="2"/>
      </rPr>
      <t>si</t>
    </r>
  </si>
  <si>
    <t xml:space="preserve">BV </t>
  </si>
  <si>
    <t>BV München, Lothstr. / Heßstr.: Kran 1, Pos. 2 (Plattenstreifen b = 1,5 m)</t>
  </si>
  <si>
    <t>[ °]</t>
  </si>
  <si>
    <t>Tragbereich</t>
  </si>
  <si>
    <t>Grundbewehr.</t>
  </si>
  <si>
    <t>erf_As1</t>
  </si>
  <si>
    <t>vorh_As1</t>
  </si>
  <si>
    <t>As_0</t>
  </si>
  <si>
    <t>Bereich 1: Querschnitt vollständig überdrückt</t>
  </si>
  <si>
    <t>Bereich 2: Klaffende Fuge bis max. zum Schwerp.</t>
  </si>
  <si>
    <t>Dehn.bereich f. unbewehrte Querschn.</t>
  </si>
  <si>
    <t>Bereich 3: Klaffende Fuge über d. Schwerp. hinaus</t>
  </si>
  <si>
    <t>erf_As2</t>
  </si>
  <si>
    <t>vorh_As2</t>
  </si>
  <si>
    <t>StB-Kreisquerschnitt, asymmetrisch bewehrt   DIN 1045, Ausgabe 1988</t>
  </si>
  <si>
    <t>StB-Rechteckquerschnitt               DIN 1045, Ausgabe 1988</t>
  </si>
  <si>
    <t>StB-Kreisquerschnitt                    DIN 1045, Ausgabe 1988</t>
  </si>
  <si>
    <t>Beton- und Bewehrungsgeometrie</t>
  </si>
  <si>
    <t>a</t>
  </si>
  <si>
    <t>[-]</t>
  </si>
  <si>
    <r>
      <t>f</t>
    </r>
    <r>
      <rPr>
        <vertAlign val="subscript"/>
        <sz val="10"/>
        <rFont val="Arial"/>
        <family val="2"/>
      </rPr>
      <t>ck</t>
    </r>
    <r>
      <rPr>
        <sz val="10"/>
        <rFont val="Arial"/>
        <family val="2"/>
      </rPr>
      <t xml:space="preserve">      [MN/m²]</t>
    </r>
  </si>
  <si>
    <r>
      <t>e</t>
    </r>
    <r>
      <rPr>
        <vertAlign val="subscript"/>
        <sz val="10"/>
        <rFont val="Arial"/>
        <family val="2"/>
      </rPr>
      <t>c2</t>
    </r>
  </si>
  <si>
    <r>
      <t>e</t>
    </r>
    <r>
      <rPr>
        <vertAlign val="subscript"/>
        <sz val="10"/>
        <rFont val="Arial"/>
        <family val="2"/>
      </rPr>
      <t>c2u</t>
    </r>
  </si>
  <si>
    <r>
      <t>e</t>
    </r>
    <r>
      <rPr>
        <vertAlign val="subscript"/>
        <sz val="10"/>
        <rFont val="Arial"/>
        <family val="2"/>
      </rPr>
      <t>su</t>
    </r>
  </si>
  <si>
    <r>
      <t>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 xml:space="preserve">    [MN/m²]</t>
    </r>
  </si>
  <si>
    <r>
      <t>f</t>
    </r>
    <r>
      <rPr>
        <vertAlign val="subscript"/>
        <sz val="10"/>
        <rFont val="Arial"/>
        <family val="2"/>
      </rPr>
      <t>tk</t>
    </r>
    <r>
      <rPr>
        <sz val="10"/>
        <rFont val="Arial"/>
        <family val="2"/>
      </rPr>
      <t xml:space="preserve">     [MN/m²]</t>
    </r>
  </si>
  <si>
    <r>
      <t>E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   [MN/m²]</t>
    </r>
  </si>
  <si>
    <r>
      <t>g</t>
    </r>
    <r>
      <rPr>
        <vertAlign val="subscript"/>
        <sz val="10"/>
        <rFont val="Arial"/>
        <family val="2"/>
      </rPr>
      <t>c</t>
    </r>
  </si>
  <si>
    <r>
      <t>g</t>
    </r>
    <r>
      <rPr>
        <vertAlign val="subscript"/>
        <sz val="10"/>
        <rFont val="Arial"/>
        <family val="2"/>
      </rPr>
      <t>s</t>
    </r>
  </si>
  <si>
    <t>Kennwerte für Beton</t>
  </si>
  <si>
    <t>Kennwerte für Betonstahl</t>
  </si>
  <si>
    <t>Biegemoment</t>
  </si>
  <si>
    <t>Bruchdehnung Beton</t>
  </si>
  <si>
    <t>Bruchdehnung Stahl</t>
  </si>
  <si>
    <r>
      <t>e</t>
    </r>
    <r>
      <rPr>
        <vertAlign val="subscript"/>
        <sz val="10"/>
        <rFont val="Arial"/>
        <family val="2"/>
      </rPr>
      <t>s</t>
    </r>
  </si>
  <si>
    <r>
      <t>e</t>
    </r>
    <r>
      <rPr>
        <vertAlign val="subscript"/>
        <sz val="10"/>
        <rFont val="Arial"/>
        <family val="2"/>
      </rPr>
      <t>c</t>
    </r>
  </si>
  <si>
    <t>n</t>
  </si>
  <si>
    <r>
      <t xml:space="preserve">   muss 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für unbewehrte Querschnitte auf 1,80 er-</t>
    </r>
  </si>
  <si>
    <r>
      <t>Teilsicherheitsbeiwert</t>
    </r>
    <r>
      <rPr>
        <vertAlign val="superscript"/>
        <sz val="10"/>
        <rFont val="Arial"/>
        <family val="2"/>
      </rPr>
      <t>7)</t>
    </r>
  </si>
  <si>
    <r>
      <t xml:space="preserve">   darf </t>
    </r>
    <r>
      <rPr>
        <sz val="10"/>
        <rFont val="Symbol"/>
        <family val="1"/>
        <charset val="2"/>
      </rPr>
      <t>e</t>
    </r>
    <r>
      <rPr>
        <vertAlign val="subscript"/>
        <sz val="10"/>
        <rFont val="Arial"/>
        <family val="2"/>
      </rPr>
      <t>c2</t>
    </r>
    <r>
      <rPr>
        <sz val="10"/>
        <rFont val="Arial"/>
        <family val="2"/>
      </rPr>
      <t xml:space="preserve"> für Querschnitte mit geringer Lastaus-</t>
    </r>
  </si>
  <si>
    <t xml:space="preserve">   feste Betone nach Gl. (3) erhöht werden.</t>
  </si>
  <si>
    <r>
      <t xml:space="preserve">   mitte (e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/D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0,10) mit -0,22% angesetzt werden.</t>
    </r>
  </si>
  <si>
    <t xml:space="preserve">   teile auf 1,35 abgemindert werden. Nach 5.3.3(8)</t>
  </si>
  <si>
    <r>
      <t xml:space="preserve">   höht werden. Nach 5.3.3(9) muss 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für hoch-</t>
    </r>
  </si>
  <si>
    <t>Gesamtsicherheit</t>
  </si>
  <si>
    <t>dehn</t>
  </si>
  <si>
    <t>Anmerkung</t>
  </si>
  <si>
    <t>[m]</t>
  </si>
  <si>
    <t>[MN]</t>
  </si>
  <si>
    <r>
      <t>1)</t>
    </r>
    <r>
      <rPr>
        <sz val="10"/>
        <rFont val="Arial"/>
        <family val="2"/>
      </rPr>
      <t xml:space="preserve"> gemäß Tabelle 11.</t>
    </r>
  </si>
  <si>
    <r>
      <t>2)</t>
    </r>
    <r>
      <rPr>
        <sz val="10"/>
        <rFont val="Arial"/>
        <family val="2"/>
      </rPr>
      <t xml:space="preserve"> gemäß 9.2.4(4).</t>
    </r>
  </si>
  <si>
    <r>
      <t>3)</t>
    </r>
    <r>
      <rPr>
        <sz val="10"/>
        <rFont val="Arial"/>
        <family val="2"/>
      </rPr>
      <t xml:space="preserve"> gemäß Tabelle 2.</t>
    </r>
  </si>
  <si>
    <r>
      <t>Streckgrenze</t>
    </r>
    <r>
      <rPr>
        <vertAlign val="superscript"/>
        <sz val="10"/>
        <rFont val="Arial"/>
        <family val="2"/>
      </rPr>
      <t>1)</t>
    </r>
  </si>
  <si>
    <r>
      <t>Zugfestigkeit</t>
    </r>
    <r>
      <rPr>
        <vertAlign val="superscript"/>
        <sz val="10"/>
        <rFont val="Arial"/>
        <family val="2"/>
      </rPr>
      <t>1)</t>
    </r>
  </si>
  <si>
    <r>
      <t>Elastizitätsmodul</t>
    </r>
    <r>
      <rPr>
        <vertAlign val="superscript"/>
        <sz val="10"/>
        <rFont val="Arial"/>
        <family val="2"/>
      </rPr>
      <t>2)</t>
    </r>
  </si>
  <si>
    <r>
      <t>max. Stahldehnung</t>
    </r>
    <r>
      <rPr>
        <vertAlign val="superscript"/>
        <sz val="10"/>
        <rFont val="Arial"/>
        <family val="2"/>
      </rPr>
      <t>1)</t>
    </r>
  </si>
  <si>
    <r>
      <t>Teilsicherheitsbeiwert</t>
    </r>
    <r>
      <rPr>
        <vertAlign val="superscript"/>
        <sz val="10"/>
        <rFont val="Arial"/>
        <family val="2"/>
      </rPr>
      <t>2)</t>
    </r>
  </si>
  <si>
    <r>
      <t>4)</t>
    </r>
    <r>
      <rPr>
        <sz val="10"/>
        <rFont val="Arial"/>
        <family val="2"/>
      </rPr>
      <t xml:space="preserve"> gemäß Tabelle 9 und Tabelle 10.</t>
    </r>
  </si>
  <si>
    <r>
      <t>5)</t>
    </r>
    <r>
      <rPr>
        <sz val="10"/>
        <rFont val="Arial"/>
        <family val="2"/>
      </rPr>
      <t xml:space="preserve"> gemäß 9.1.6(2) bzw. 9.1.6(4).</t>
    </r>
  </si>
  <si>
    <r>
      <t>6)</t>
    </r>
    <r>
      <rPr>
        <sz val="10"/>
        <rFont val="Arial"/>
        <family val="2"/>
      </rPr>
      <t xml:space="preserve"> gemäß Tabelle 9 und Tabelle 10. Nach 10.2(5)</t>
    </r>
  </si>
  <si>
    <r>
      <t>7)</t>
    </r>
    <r>
      <rPr>
        <sz val="10"/>
        <rFont val="Arial"/>
        <family val="2"/>
      </rPr>
      <t xml:space="preserve"> gemäß Tabelle 2. Nach 5.3.3(7) darf 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für Fertig-</t>
    </r>
  </si>
  <si>
    <r>
      <t>Zylinderdruckfestigkeit</t>
    </r>
    <r>
      <rPr>
        <vertAlign val="superscript"/>
        <sz val="10"/>
        <rFont val="Arial"/>
        <family val="2"/>
      </rPr>
      <t>4)</t>
    </r>
  </si>
  <si>
    <r>
      <t>Abminderungsbeiwert</t>
    </r>
    <r>
      <rPr>
        <vertAlign val="superscript"/>
        <sz val="10"/>
        <rFont val="Arial"/>
        <family val="2"/>
      </rPr>
      <t>5)</t>
    </r>
  </si>
  <si>
    <r>
      <t xml:space="preserve">Betondehung für   </t>
    </r>
    <r>
      <rPr>
        <vertAlign val="superscript"/>
        <sz val="10"/>
        <rFont val="Arial"/>
        <family val="2"/>
      </rPr>
      <t>6)</t>
    </r>
  </si>
  <si>
    <r>
      <t xml:space="preserve">Parabel-Rechteck </t>
    </r>
    <r>
      <rPr>
        <vertAlign val="superscript"/>
        <sz val="10"/>
        <rFont val="Arial"/>
        <family val="2"/>
      </rPr>
      <t>6)</t>
    </r>
  </si>
  <si>
    <r>
      <t>Exponent der Parabel</t>
    </r>
    <r>
      <rPr>
        <vertAlign val="superscript"/>
        <sz val="10"/>
        <rFont val="Arial"/>
        <family val="2"/>
      </rPr>
      <t>4)</t>
    </r>
  </si>
  <si>
    <t>Schubbewehrung</t>
  </si>
  <si>
    <t>StB-Rechteckquerschnitt                    DIN 1045, Ausgabe 2001</t>
  </si>
  <si>
    <t>Randabstand Drucksei.</t>
  </si>
  <si>
    <t>Mindest-Druckbewehr.</t>
  </si>
  <si>
    <r>
      <t>erf. A</t>
    </r>
    <r>
      <rPr>
        <vertAlign val="subscript"/>
        <sz val="10"/>
        <rFont val="Arial"/>
        <family val="2"/>
      </rPr>
      <t>s</t>
    </r>
  </si>
  <si>
    <r>
      <t>vorh. A</t>
    </r>
    <r>
      <rPr>
        <vertAlign val="subscript"/>
        <sz val="10"/>
        <rFont val="Arial"/>
        <family val="2"/>
      </rPr>
      <t>s</t>
    </r>
  </si>
  <si>
    <r>
      <t>erf. a</t>
    </r>
    <r>
      <rPr>
        <vertAlign val="subscript"/>
        <sz val="10"/>
        <rFont val="Arial"/>
        <family val="2"/>
      </rPr>
      <t>s</t>
    </r>
  </si>
  <si>
    <r>
      <t>z</t>
    </r>
    <r>
      <rPr>
        <vertAlign val="subscript"/>
        <sz val="10"/>
        <rFont val="Arial"/>
        <family val="2"/>
      </rPr>
      <t>i</t>
    </r>
  </si>
  <si>
    <r>
      <t>b</t>
    </r>
    <r>
      <rPr>
        <vertAlign val="subscript"/>
        <sz val="10"/>
        <rFont val="Arial"/>
        <family val="2"/>
      </rPr>
      <t>w</t>
    </r>
  </si>
  <si>
    <r>
      <t xml:space="preserve">cot </t>
    </r>
    <r>
      <rPr>
        <sz val="10"/>
        <rFont val="Symbol"/>
        <family val="1"/>
        <charset val="2"/>
      </rPr>
      <t>q</t>
    </r>
  </si>
  <si>
    <r>
      <t>V</t>
    </r>
    <r>
      <rPr>
        <vertAlign val="subscript"/>
        <sz val="10"/>
        <rFont val="Arial"/>
        <family val="2"/>
      </rPr>
      <t>Rdct</t>
    </r>
  </si>
  <si>
    <r>
      <t>V</t>
    </r>
    <r>
      <rPr>
        <vertAlign val="subscript"/>
        <sz val="10"/>
        <rFont val="Arial"/>
        <family val="2"/>
      </rPr>
      <t>Rdmax</t>
    </r>
  </si>
  <si>
    <r>
      <t xml:space="preserve">vorh. </t>
    </r>
    <r>
      <rPr>
        <sz val="10"/>
        <rFont val="Arial"/>
        <family val="2"/>
      </rPr>
      <t>A</t>
    </r>
    <r>
      <rPr>
        <vertAlign val="subscript"/>
        <sz val="10"/>
        <rFont val="Arial"/>
        <family val="2"/>
      </rPr>
      <t>s1</t>
    </r>
  </si>
  <si>
    <r>
      <t xml:space="preserve">vorh. </t>
    </r>
    <r>
      <rPr>
        <sz val="10"/>
        <rFont val="Arial"/>
        <family val="2"/>
      </rPr>
      <t>A</t>
    </r>
    <r>
      <rPr>
        <vertAlign val="subscript"/>
        <sz val="10"/>
        <rFont val="Arial"/>
        <family val="2"/>
      </rPr>
      <t>s2</t>
    </r>
  </si>
  <si>
    <t>StB-Kreisquerschnitt, asymmetrisch bewehrt                    DIN 1045, Ausgabe 2001</t>
  </si>
  <si>
    <t>Grundbewehrung</t>
  </si>
  <si>
    <r>
      <t>min. A</t>
    </r>
    <r>
      <rPr>
        <vertAlign val="subscript"/>
        <sz val="10"/>
        <rFont val="Arial"/>
        <family val="2"/>
      </rPr>
      <t>0</t>
    </r>
  </si>
  <si>
    <t>delta</t>
  </si>
  <si>
    <r>
      <t>1)</t>
    </r>
    <r>
      <rPr>
        <sz val="10"/>
        <rFont val="Arial"/>
        <family val="2"/>
      </rPr>
      <t xml:space="preserve"> Zug positiv, Druck negativ</t>
    </r>
  </si>
  <si>
    <r>
      <t>3)</t>
    </r>
    <r>
      <rPr>
        <sz val="10"/>
        <rFont val="Arial"/>
        <family val="2"/>
      </rPr>
      <t xml:space="preserve"> Zug positiv, Druck negativ</t>
    </r>
  </si>
  <si>
    <r>
      <t>2)</t>
    </r>
    <r>
      <rPr>
        <sz val="10"/>
        <rFont val="Arial"/>
        <family val="2"/>
      </rPr>
      <t xml:space="preserve"> Zug positiv, Druck negativ</t>
    </r>
  </si>
  <si>
    <r>
      <t>Moment</t>
    </r>
    <r>
      <rPr>
        <vertAlign val="superscript"/>
        <sz val="10"/>
        <rFont val="Arial"/>
        <family val="2"/>
      </rPr>
      <t>1)</t>
    </r>
  </si>
  <si>
    <r>
      <t>Normalkraft</t>
    </r>
    <r>
      <rPr>
        <vertAlign val="superscript"/>
        <sz val="10"/>
        <rFont val="Arial"/>
        <family val="2"/>
      </rPr>
      <t>2)</t>
    </r>
  </si>
  <si>
    <t>g</t>
  </si>
  <si>
    <t>[Index G]</t>
  </si>
  <si>
    <t>[Index d]</t>
  </si>
  <si>
    <t>[Index Q]</t>
  </si>
  <si>
    <t>Sicherheit Widerstand</t>
  </si>
  <si>
    <t>Schnittgrößen</t>
  </si>
  <si>
    <t>Teilsicherheitsbeiwert</t>
  </si>
  <si>
    <r>
      <t>g</t>
    </r>
    <r>
      <rPr>
        <vertAlign val="subscript"/>
        <sz val="10"/>
        <rFont val="Arial"/>
        <family val="2"/>
      </rPr>
      <t>R</t>
    </r>
  </si>
  <si>
    <r>
      <t>Schnittgrößen</t>
    </r>
    <r>
      <rPr>
        <b/>
        <vertAlign val="superscript"/>
        <sz val="10"/>
        <rFont val="Arial"/>
        <family val="2"/>
      </rPr>
      <t>8)</t>
    </r>
  </si>
  <si>
    <t>ständig</t>
  </si>
  <si>
    <t>veränderlich</t>
  </si>
  <si>
    <t>Bemessungswert</t>
  </si>
  <si>
    <r>
      <t>9)</t>
    </r>
    <r>
      <rPr>
        <sz val="10"/>
        <rFont val="Arial"/>
        <family val="2"/>
      </rPr>
      <t xml:space="preserve"> Zug positiv, Druck negativ.</t>
    </r>
  </si>
  <si>
    <r>
      <t>8)</t>
    </r>
    <r>
      <rPr>
        <sz val="10"/>
        <rFont val="Arial"/>
        <family val="2"/>
      </rPr>
      <t xml:space="preserve"> entweder ständige und veränderliche Anteile der Schnittgrößen oder die Bemessungswerte angeben.</t>
    </r>
  </si>
  <si>
    <r>
      <t>Normalkraft</t>
    </r>
    <r>
      <rPr>
        <vertAlign val="superscript"/>
        <sz val="10"/>
        <rFont val="Arial"/>
        <family val="2"/>
      </rPr>
      <t>9)</t>
    </r>
  </si>
  <si>
    <t xml:space="preserve">   Wenn Bemessungswerte eingegeben werden, ist die Angabe des Teilsicherheitsbeiwertes optional;</t>
  </si>
  <si>
    <t xml:space="preserve">   er dient lediglich zur Berechnung der Gesamtsicherheit.</t>
  </si>
  <si>
    <t>Biegebemessung Kreisquerschnitt</t>
  </si>
  <si>
    <t>Biegebemessung Kreisquerschnitt, asymmetrisch bewehrt</t>
  </si>
  <si>
    <t>Biegebemessung Rechteckquerschnitt</t>
  </si>
  <si>
    <t>Querkraftbemessung Kreisquerschnitt</t>
  </si>
  <si>
    <t>Querkraftbemessung Kreisquerschnitt, asymmetrisch bewehrt</t>
  </si>
  <si>
    <t>Querkraftbemessung Rechteckquerschnitt</t>
  </si>
  <si>
    <t>mit Mindestquerbewehrung</t>
  </si>
  <si>
    <t>ohne Mindestquerbewehrung</t>
  </si>
  <si>
    <r>
      <t>cot(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) </t>
    </r>
    <r>
      <rPr>
        <sz val="10"/>
        <rFont val="Arial"/>
        <family val="2"/>
      </rPr>
      <t xml:space="preserve">≤ </t>
    </r>
    <r>
      <rPr>
        <sz val="10"/>
        <rFont val="Arial"/>
        <family val="2"/>
      </rPr>
      <t>3</t>
    </r>
  </si>
  <si>
    <r>
      <t>cot(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) </t>
    </r>
    <r>
      <rPr>
        <sz val="10"/>
        <rFont val="Arial"/>
        <family val="2"/>
      </rPr>
      <t>≤ 1</t>
    </r>
  </si>
  <si>
    <t>1)</t>
  </si>
  <si>
    <r>
      <t>1)</t>
    </r>
    <r>
      <rPr>
        <sz val="10"/>
        <rFont val="Arial"/>
        <family val="2"/>
      </rPr>
      <t xml:space="preserve"> DIN 1054 fordert Mindestquerbewehrung und erlaubt flache Druckstreben bis max. cot(</t>
    </r>
    <r>
      <rPr>
        <sz val="10"/>
        <rFont val="Arial"/>
        <family val="2"/>
      </rPr>
      <t>θ</t>
    </r>
    <r>
      <rPr>
        <sz val="10"/>
        <rFont val="Arial"/>
        <family val="2"/>
      </rPr>
      <t>) = 3</t>
    </r>
  </si>
  <si>
    <t>BV</t>
  </si>
  <si>
    <t>StB-Kreisquerschnitt                    DIN 1045, Ausgabe 2001</t>
  </si>
  <si>
    <t>ohne Mindestbewehrung</t>
  </si>
  <si>
    <t>mit Mindestbewehrung</t>
  </si>
  <si>
    <t>Kreisquerschnitt - DIN 1045: 2008</t>
  </si>
  <si>
    <t>Geometrie</t>
  </si>
  <si>
    <t>D [mm]</t>
  </si>
  <si>
    <t>H' [mm]</t>
  </si>
  <si>
    <t>Beton</t>
  </si>
  <si>
    <t>f_ck [MN/m²]</t>
  </si>
  <si>
    <t>α   [1]</t>
  </si>
  <si>
    <t>ε_c2u [1]</t>
  </si>
  <si>
    <t>γ_c   [1]</t>
  </si>
  <si>
    <t>γ_c,u  [1]</t>
  </si>
  <si>
    <t>N_Ed,min [1]</t>
  </si>
  <si>
    <t>Arbeitslinie</t>
  </si>
  <si>
    <t>f_yk [MN/m²]</t>
  </si>
  <si>
    <t>f_tk [MN/m²]</t>
  </si>
  <si>
    <t>E-Modul</t>
  </si>
  <si>
    <t>γ_s   [1]</t>
  </si>
  <si>
    <t>max. Dehn.</t>
  </si>
  <si>
    <t>Teilsich.</t>
  </si>
  <si>
    <t>Exp. [1]</t>
  </si>
  <si>
    <t>veränderl.</t>
  </si>
  <si>
    <t>Querschnitt vollständig überdrückt</t>
  </si>
  <si>
    <t>Klaffende Fuge bis max. zum Schwerp.</t>
  </si>
  <si>
    <t>Klaffende Fuge über d. Schwerp. hinaus</t>
  </si>
  <si>
    <t>Unbewehrter Querschnitt</t>
  </si>
  <si>
    <t>Durchmesser</t>
  </si>
  <si>
    <t>Abmind.fakt.</t>
  </si>
  <si>
    <t>Streckgrenze</t>
  </si>
  <si>
    <t>Zugfestigkeit</t>
  </si>
  <si>
    <t>Berthold.Klobe@bauer.de</t>
  </si>
  <si>
    <t>Deutsch</t>
  </si>
  <si>
    <t>English</t>
  </si>
  <si>
    <t>Francais</t>
  </si>
  <si>
    <t>Espagnole</t>
  </si>
  <si>
    <t>Rumänisch</t>
  </si>
  <si>
    <t>Bulgarisch</t>
  </si>
  <si>
    <t>Slovensky / Cesky</t>
  </si>
  <si>
    <t>Russian/Ukrainian</t>
  </si>
  <si>
    <t>Polski / Polish</t>
  </si>
  <si>
    <t>(Versionsdatum)</t>
  </si>
  <si>
    <t>(date of version)</t>
  </si>
  <si>
    <t>(Autor)</t>
  </si>
  <si>
    <t>(author)</t>
  </si>
  <si>
    <t>License, Guarantee and Support</t>
  </si>
  <si>
    <t>Die Benutzung dieser Excel-Arbeitsmappe ist freigestellt.</t>
  </si>
  <si>
    <t>This Excel-workbook is released for free use.</t>
  </si>
  <si>
    <t>Any kind of guarantee is expressly excluded.</t>
  </si>
  <si>
    <t>Please communicate the observed errors to the author,</t>
  </si>
  <si>
    <t>Allgemeines zur Dateneingabe</t>
  </si>
  <si>
    <t>General Remarks concerning Data Input</t>
  </si>
  <si>
    <t>sind vor unbeabsichtigter Eingabe bzw. Löschen geschützt.</t>
  </si>
  <si>
    <t>protected and cannot be changed or deleted.</t>
  </si>
  <si>
    <t>ACHTUNG: Wenn Eingabewerte von einer Zelle in eine andere Zelle "gezogen" werden (gleichwertig</t>
  </si>
  <si>
    <t>ATTENTION: If "Drag and Drop" is used (equal to "Cut" and "Paste") the reference between</t>
  </si>
  <si>
    <t>mit der Methode "Ausschneiden" und "Einfügen"), verändern sich durch diese Aktion die Zellbezüge</t>
  </si>
  <si>
    <t>cells is changed and the calculation scheme of the worksheet will be disturbed.</t>
  </si>
  <si>
    <t>und die Tabellenlogik wird damit zerstört. Auch das Einfügen oder Löschen von Zeilen/Zellen muss</t>
  </si>
  <si>
    <t>Also insert or cut of rows/columns must be avoided because it may cause errors</t>
  </si>
  <si>
    <t>vermieden werden, weil sich dadurch in den Makros Fehler bei den Zellbezügen ergeben können.</t>
  </si>
  <si>
    <t>concerning the cell references used inside the macros.</t>
  </si>
  <si>
    <t>diameter</t>
  </si>
  <si>
    <t>Bemessungswerte</t>
  </si>
  <si>
    <t>charakteristische Werte</t>
  </si>
  <si>
    <t>$Info</t>
  </si>
  <si>
    <t>Circular Cross Section - design of reinforced concrete</t>
  </si>
  <si>
    <t>suggestions for improvement are welcome.</t>
  </si>
  <si>
    <t>Geometry</t>
  </si>
  <si>
    <t>Concrete</t>
  </si>
  <si>
    <t>mat. strength</t>
  </si>
  <si>
    <t>ε_c2  [1]</t>
  </si>
  <si>
    <t>factor of safety</t>
  </si>
  <si>
    <t>stress-strain curve</t>
  </si>
  <si>
    <t>exp. [1]</t>
  </si>
  <si>
    <t>min.comp.reinf.</t>
  </si>
  <si>
    <t>Reinforcement</t>
  </si>
  <si>
    <t>ε_s,u  [1]</t>
  </si>
  <si>
    <t>yield stress</t>
  </si>
  <si>
    <t>max. strain</t>
  </si>
  <si>
    <t>Young's m.</t>
  </si>
  <si>
    <t>FoS</t>
  </si>
  <si>
    <t>Internal Forces</t>
  </si>
  <si>
    <t>characteristic values</t>
  </si>
  <si>
    <t>permanent</t>
  </si>
  <si>
    <t>transient</t>
  </si>
  <si>
    <t>design values</t>
  </si>
  <si>
    <t>Longitudinal Reinforcement</t>
  </si>
  <si>
    <t>Shear Reinforcement</t>
  </si>
  <si>
    <t>cross section without reinforcement</t>
  </si>
  <si>
    <t>cross section completely compressed</t>
  </si>
  <si>
    <t>gap beyond center of gravity</t>
  </si>
  <si>
    <t>gap at most up to center of gravity</t>
  </si>
  <si>
    <t>Die Arbeitslinie besteht aus einem ansteigenden Ast bis zur plastischen Grenze ε_c2 und an-</t>
  </si>
  <si>
    <t>sich ein parabelförmiger Anstieg. Es kann aber auch mit Exp. = 1,0 ein linearer Anstieg vorgegeben</t>
  </si>
  <si>
    <t>oder ein beliebiger anderer Exponent gewählt werden.</t>
  </si>
  <si>
    <t>Für bewehrten Beton wird die Betonfestigkeit mit dem Teilsicherheitsbeiwert γ_c abgemindert. Wenn</t>
  </si>
  <si>
    <t>ein druckbeanspruchtes Bauteil mit unbewehrtem Beton ausgeführt wird, gilt der erhöhte Teilsicher-</t>
  </si>
  <si>
    <t>Für die Bewehrung wird eine bilineare Arbeitslinie definert. Als Kennwerte werden die Streckgrenze</t>
  </si>
  <si>
    <t>f_yk, die Zugfestigkeit f_tk, der E-Modul E und die Grenzdehnung ε_s,u angegeben. Die Material-</t>
  </si>
  <si>
    <t>sicherheit beträgt γ_s.</t>
  </si>
  <si>
    <t>Normalkraft N: Zug positiv, Druck negativ</t>
  </si>
  <si>
    <t>normal force N: tension positive, compression negative</t>
  </si>
  <si>
    <t>Für die Mindestbewehrung gibt es zwei Kriterien. Zum einen gibt es für druckbeanspruchten Bauteile</t>
  </si>
  <si>
    <t>10% Schubdeckung</t>
  </si>
  <si>
    <t>20% Schubdeckung</t>
  </si>
  <si>
    <t>30% Schubdeckung</t>
  </si>
  <si>
    <t>40% Schubdeckung</t>
  </si>
  <si>
    <t>50% Schubdeckung</t>
  </si>
  <si>
    <t>60% Schubdeckung</t>
  </si>
  <si>
    <t>70% Schubdeckung</t>
  </si>
  <si>
    <t>80% Schubdeckung</t>
  </si>
  <si>
    <t>90% Schubdeckung</t>
  </si>
  <si>
    <t>100% Schubdeckung</t>
  </si>
  <si>
    <t>Mindestquerbewehrung DIN 1045</t>
  </si>
  <si>
    <t>Querkraft, die rechnerisch aufgrund der Zugfestigkeit des Betons auch ohne Schubbewehrung aufge-</t>
  </si>
  <si>
    <t>nommen werden kann. V_Rdmax ist die maximal zulässige Querkraft, die sich aus der maximalen</t>
  </si>
  <si>
    <t>Tragfähigkeit der Betondruckstreben ergibt.</t>
  </si>
  <si>
    <t>Erläuterungen</t>
  </si>
  <si>
    <t>Schubbemessung</t>
  </si>
  <si>
    <t>Als Betonfestigkeit wird das Produkt aus der Zylinderdruckfestigkeit f_ck und dem Abminderungs-</t>
  </si>
  <si>
    <t>faktor α angesetzt. Mit dem Abminderungsfaktor α wird die reduzierte Festigkeit bei Dauerbean-</t>
  </si>
  <si>
    <t>spruchung berücksichtigt. Im allgemeinen gilt α = 0,85. Bei der Bemessung für eine nur kurzzeitig</t>
  </si>
  <si>
    <t>wirksame Belastung kann auch mit α = 1,00 gerechnet werden.</t>
  </si>
  <si>
    <t>Das Bemessungsverfahren ist DIN 1045:2008 entnommen. Die Vielzahl der Bemessungsparameter</t>
  </si>
  <si>
    <t>45° geneigte Druckstreben (cot(θ) = 1). Nach DIN 1045 ist die zulässige Druckstrebenneigung unter</t>
  </si>
  <si>
    <t>schließend einem plastischen Plateau bis zur Grenze ε_c2u. Mit dem Exponenten Exp. = 2,0 ergibt</t>
  </si>
  <si>
    <t>kraft die Mindestbewehrung für das Rissmoment: Versagen des Betonquerschnittes bei einer Rand-</t>
  </si>
  <si>
    <t>erlaubt eine Anpassung an viele andere Normen.</t>
  </si>
  <si>
    <t>steilerer Druckstreben (cot(θ) = 1) ist jederzeit zulässig.</t>
  </si>
  <si>
    <t>Die rechnerisch erforderliche Schubbewehrung ist abhängig von der Neigung der Betondruckstreben.</t>
  </si>
  <si>
    <t>anderem von der Größe der vorhandenen Querkraft V_d abhängig. Das Bemessungsmodul rechnet</t>
  </si>
  <si>
    <t>mit möglichst flach geneigten Druckstreben, um die Schubbewehrung zu minimieren. Die Annahme</t>
  </si>
  <si>
    <r>
      <t xml:space="preserve">Für flach geneigte Drucksteben (cot(θ) </t>
    </r>
    <r>
      <rPr>
        <sz val="10"/>
        <rFont val="Arial"/>
        <family val="2"/>
      </rPr>
      <t>≤</t>
    </r>
    <r>
      <rPr>
        <sz val="10"/>
        <rFont val="Arial"/>
        <family val="2"/>
      </rPr>
      <t xml:space="preserve"> 3) ergibt sich eine geringere Schubbewehrung als für unter</t>
    </r>
  </si>
  <si>
    <t>Annotations</t>
  </si>
  <si>
    <t>The design procedure follows DIN 1045:2008. The large number of design parameter allows</t>
  </si>
  <si>
    <t>adaptation to many other standards.</t>
  </si>
  <si>
    <t>without min. reinforcement</t>
  </si>
  <si>
    <t>with min. reinforcement</t>
  </si>
  <si>
    <t>min. shear reinf. accord. DIN 1045</t>
  </si>
  <si>
    <t>10% of calculated shear reinforce.</t>
  </si>
  <si>
    <t>20% of calculated shear reinforce.</t>
  </si>
  <si>
    <t>30% of calculated shear reinforce.</t>
  </si>
  <si>
    <t>40% of calculated shear reinforce.</t>
  </si>
  <si>
    <t>50% of calculated shear reinforce.</t>
  </si>
  <si>
    <t>60% of calculated shear reinforce.</t>
  </si>
  <si>
    <t>70% of calculated shear reinforce.</t>
  </si>
  <si>
    <t>80% of calculated shear reinforce.</t>
  </si>
  <si>
    <t>90% of calculated shear reinforce.</t>
  </si>
  <si>
    <t>100% of calculated shear reinforce.</t>
  </si>
  <si>
    <t>The stress-strain curve consists of an incresing branch up to the plastic limit ε_c2. With the</t>
  </si>
  <si>
    <t>exponent Exp. = 2.0 the branch increases parabolicly. With Exp. = 1.0 it will increase linearily,</t>
  </si>
  <si>
    <t>shear: diagonal struts cot(θ) ≤ 3</t>
  </si>
  <si>
    <t>shear: diagonal struts cot(θ) = 1</t>
  </si>
  <si>
    <t>Schub: Druckstreben cot(θ) = 1</t>
  </si>
  <si>
    <t>Schub: Druckstreben cot(θ) ≤ 3</t>
  </si>
  <si>
    <t>Für die Schubbemessung werden zunächst zwei Grenzwerte nach DIN 1045 ermittelt. V_Rdct ist die</t>
  </si>
  <si>
    <t>heitsbeiwert γ_c,u. Mit N_Ed,min wird für eine druckbelastete Stütze eine Mindestbewehrung vorge-</t>
  </si>
  <si>
    <t>geben. Die Mindestdruckbewehrung ist für den Anteil N_Ed,min der Druckkraft bemessen. Wenn die</t>
  </si>
  <si>
    <t>die mit N_Ed,min definierte Mindestdruckbewehrung. Außerdem gibt es unabhängig von der Normal-</t>
  </si>
  <si>
    <t>statisch erforderliche Bewehrung größer Null aber kleiner als die Mindestdruckbewehrung ist, so wird</t>
  </si>
  <si>
    <t>der Teilsicherheitsbeiwert zwischen γ_c und γ_c,u interpoliert.</t>
  </si>
  <si>
    <t>used for a structural member under compressive load, the increased safety factor γ_cu is applied.</t>
  </si>
  <si>
    <t>With N_Ed,min a minimum reinforcement is forced for columns under compressive load. The min.</t>
  </si>
  <si>
    <t>reinforcement is designed for the N_Ed,min fraction of the total load. If the necessary reinforcement</t>
  </si>
  <si>
    <t>due to structural analysis is larger then zero but smaller then the minimum reinforcement the partial</t>
  </si>
  <si>
    <t>safety factor is interpolated between γ_c and γ_cu.</t>
  </si>
  <si>
    <t>The partial safety factor γ_c is applied to reinforced concrete. If concrete without reinforcement is</t>
  </si>
  <si>
    <t>A bilinear stress-strain curve is used for the reinforcement. The parameters are the yield strength</t>
  </si>
  <si>
    <r>
      <t xml:space="preserve">f_yk, the tensile strength f_tk, Young's modulus E und ultimate strain </t>
    </r>
    <r>
      <rPr>
        <sz val="10"/>
        <rFont val="Arial"/>
        <family val="2"/>
      </rPr>
      <t>ε</t>
    </r>
    <r>
      <rPr>
        <sz val="10"/>
        <rFont val="Arial"/>
        <family val="2"/>
      </rPr>
      <t>_s,u. The partial safety</t>
    </r>
  </si>
  <si>
    <t>factor is γ_s.</t>
  </si>
  <si>
    <t>Shear analysis</t>
  </si>
  <si>
    <t>There are two limits for the minimum reinforcement. For a cross section under compressive load</t>
  </si>
  <si>
    <t>one limit is defined with N_Ed,min. The second limit is -independent of the load- the design for the</t>
  </si>
  <si>
    <t>so-called "cracking moment". It is the moment when the tension at the edge of the concrete cross</t>
  </si>
  <si>
    <t>The structural analysis is done with the product of concrete strength f_ck and reduction factor α.</t>
  </si>
  <si>
    <t>The reduction factor α accounts for reduced strength under long term loading compared to short</t>
  </si>
  <si>
    <t>may be increased up to α = 1.00.</t>
  </si>
  <si>
    <t>time testing. Generally α = 0.85 is assumed. If design is made for a short time loading the factor</t>
  </si>
  <si>
    <t>branch of plastic straining up to the limit ε_c2u.</t>
  </si>
  <si>
    <t>any other arbitrary value can be seleted. Subsequent to the increasing branch there is a horizontal</t>
  </si>
  <si>
    <t>In the shear analysis first to limit values are computed according to DIN 1045. Due to its tensile</t>
  </si>
  <si>
    <t>strength of concrete the cross section is able to bear the shear force V_Rdct without shear</t>
  </si>
  <si>
    <t>diagonal struts.</t>
  </si>
  <si>
    <t>reinforcement. V_Rdmax is maximum shear force which results of the ultimate capacity of the</t>
  </si>
  <si>
    <t>order to consider other design standards.</t>
  </si>
  <si>
    <t>The necessary shear reinforcement depends on the inclination of the diagonal concrete struts. The</t>
  </si>
  <si>
    <r>
      <t>less inclined diagonal struts (cot(</t>
    </r>
    <r>
      <rPr>
        <sz val="10"/>
        <rFont val="Arial"/>
        <family val="2"/>
      </rPr>
      <t>θ</t>
    </r>
    <r>
      <rPr>
        <sz val="10"/>
        <rFont val="Arial"/>
        <family val="2"/>
      </rPr>
      <t>) = 1).</t>
    </r>
  </si>
  <si>
    <r>
      <t>shear reinforcement is smaller with maximum inclined diagonal struts (cot(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) </t>
    </r>
    <r>
      <rPr>
        <sz val="10"/>
        <rFont val="Arial"/>
        <family val="2"/>
      </rPr>
      <t>≤</t>
    </r>
    <r>
      <rPr>
        <sz val="10"/>
        <rFont val="Arial"/>
        <family val="2"/>
      </rPr>
      <t xml:space="preserve"> 3) then with diagonal</t>
    </r>
  </si>
  <si>
    <r>
      <t>struts under a 45° angle (cot(</t>
    </r>
    <r>
      <rPr>
        <sz val="10"/>
        <rFont val="Arial"/>
        <family val="2"/>
      </rPr>
      <t>θ</t>
    </r>
    <r>
      <rPr>
        <sz val="10"/>
        <rFont val="Arial"/>
        <family val="2"/>
      </rPr>
      <t>) = 1). According to DIN 1045 the allowable inclination of the diagonal</t>
    </r>
  </si>
  <si>
    <t>struts depends on V_d (and other parameters). The design macro calculates with maximum inclined</t>
  </si>
  <si>
    <t>diagonal struts in order to minimize the shear reinforcement. In any case DIN 1045 allows to assume</t>
  </si>
  <si>
    <t>Kommentare</t>
  </si>
  <si>
    <t>E35</t>
  </si>
  <si>
    <t>C52</t>
  </si>
  <si>
    <t>Allows to set design values instead of characteristic values.</t>
  </si>
  <si>
    <t>Allows to set A_s manually.</t>
  </si>
  <si>
    <t>$StB08-K and StB08-Ka and StB08-R</t>
  </si>
  <si>
    <t>Kreisquerschnitt, asymmetrisch bewehrt - DIN 1045: 2008</t>
  </si>
  <si>
    <t>Rectangular Cross Section - design of reinforced concrete</t>
  </si>
  <si>
    <t>Rechteckquerschnitt - DIN 1045: 2008</t>
  </si>
  <si>
    <r>
      <t>δ</t>
    </r>
    <r>
      <rPr>
        <sz val="10"/>
        <rFont val="Arial"/>
        <family val="2"/>
      </rPr>
      <t xml:space="preserve">   [°]</t>
    </r>
  </si>
  <si>
    <t>b  [mm]</t>
  </si>
  <si>
    <t>d  [mm]</t>
  </si>
  <si>
    <t>H'' [mm]</t>
  </si>
  <si>
    <t>E7</t>
  </si>
  <si>
    <t>vorh. A_s2   [cm²]</t>
  </si>
  <si>
    <t>vorh. A_s1   [cm²]</t>
  </si>
  <si>
    <t>A_s2   [cm²]</t>
  </si>
  <si>
    <t>A_s1   [cm²]</t>
  </si>
  <si>
    <t>C53</t>
  </si>
  <si>
    <t>K</t>
  </si>
  <si>
    <t>Ka</t>
  </si>
  <si>
    <t>R</t>
  </si>
  <si>
    <t>δ</t>
  </si>
  <si>
    <t>[°]</t>
  </si>
  <si>
    <t>minAs2</t>
  </si>
  <si>
    <t>---</t>
  </si>
  <si>
    <t>f_ck</t>
  </si>
  <si>
    <t>α</t>
  </si>
  <si>
    <r>
      <t>ε</t>
    </r>
    <r>
      <rPr>
        <sz val="10"/>
        <rFont val="Arial"/>
        <family val="2"/>
      </rPr>
      <t>_c2</t>
    </r>
  </si>
  <si>
    <r>
      <t>ε</t>
    </r>
    <r>
      <rPr>
        <sz val="10"/>
        <rFont val="Arial"/>
        <family val="2"/>
      </rPr>
      <t>_c2u</t>
    </r>
  </si>
  <si>
    <t>Exp</t>
  </si>
  <si>
    <t>γ_c</t>
  </si>
  <si>
    <t>γ_cu</t>
  </si>
  <si>
    <t>N_Ed,min</t>
  </si>
  <si>
    <t>[1]</t>
  </si>
  <si>
    <t>f_yk</t>
  </si>
  <si>
    <t>f_tk</t>
  </si>
  <si>
    <t>E</t>
  </si>
  <si>
    <r>
      <t>ε</t>
    </r>
    <r>
      <rPr>
        <sz val="10"/>
        <rFont val="Arial"/>
        <family val="2"/>
      </rPr>
      <t>_su</t>
    </r>
  </si>
  <si>
    <t>γ_s</t>
  </si>
  <si>
    <t>M_d</t>
  </si>
  <si>
    <t>N_d</t>
  </si>
  <si>
    <t>V_d</t>
  </si>
  <si>
    <r>
      <t>ε</t>
    </r>
    <r>
      <rPr>
        <sz val="10"/>
        <rFont val="Arial"/>
        <family val="2"/>
      </rPr>
      <t>_c1</t>
    </r>
  </si>
  <si>
    <r>
      <t>ε</t>
    </r>
    <r>
      <rPr>
        <sz val="10"/>
        <rFont val="Arial"/>
        <family val="2"/>
      </rPr>
      <t>_s2</t>
    </r>
  </si>
  <si>
    <r>
      <t>ε</t>
    </r>
    <r>
      <rPr>
        <sz val="10"/>
        <rFont val="Arial"/>
        <family val="2"/>
      </rPr>
      <t>_s1</t>
    </r>
  </si>
  <si>
    <t>d_krit1</t>
  </si>
  <si>
    <t>d_krit2</t>
  </si>
  <si>
    <t>fnull(1)</t>
  </si>
  <si>
    <t>mue_1</t>
  </si>
  <si>
    <t>mue_2</t>
  </si>
  <si>
    <t>dehn_krit</t>
  </si>
  <si>
    <t>fnull(2)</t>
  </si>
  <si>
    <t>γ_R</t>
  </si>
  <si>
    <t>Zylinderfest.</t>
  </si>
  <si>
    <t>min.Druckbew.</t>
  </si>
  <si>
    <t>A_s0 [cm²]</t>
  </si>
  <si>
    <t>thickness</t>
  </si>
  <si>
    <t>width</t>
  </si>
  <si>
    <t>As0</t>
  </si>
  <si>
    <t>reinf. section</t>
  </si>
  <si>
    <t>base reinf.</t>
  </si>
  <si>
    <t>sep. to edge</t>
  </si>
  <si>
    <t>min.reinforce.</t>
  </si>
  <si>
    <t>Grundbew.</t>
  </si>
  <si>
    <t>min. Bewehr.</t>
  </si>
  <si>
    <t>reduct.factor</t>
  </si>
  <si>
    <t>tens.strength</t>
  </si>
  <si>
    <t>vorh. A_s     [cm²]</t>
  </si>
  <si>
    <t>A_s     [cm²]</t>
  </si>
  <si>
    <t>E [MN/m²]</t>
  </si>
  <si>
    <t>Allows to set a minimum reinforcement for A_s2.
Negative value (e.g. -1) forces a symmetric reinforcement.</t>
  </si>
  <si>
    <t>H27</t>
  </si>
  <si>
    <t>Fraction of the compressive force that must be covered by the minimum reinforcement.
For cross sections without that minimum reinforcement γ_c,u is applied.</t>
  </si>
  <si>
    <t>Increased factor of safety for cross sections under compressive load and without reinforcement.</t>
  </si>
  <si>
    <t>spannung von f_ctm. Die mittlere Biegezugfestigkeit f_ctm ergibt sich nach DIN 1045 direkt aus der</t>
  </si>
  <si>
    <t>und Beanspruchung der Bewehrung bis zur Fließgrenze bemessen.</t>
  </si>
  <si>
    <t>Zylinderdruckfestigkeit. Die Mindestbewehrung für das Rissmoment wird mit 1,00-facher Sicherheit</t>
  </si>
  <si>
    <t>section reaches the value f_ctm. According to DIN 1045 the flexural tension strength f_ctm is</t>
  </si>
  <si>
    <t>computed directly with compression strength f_ck. The min. reinforcement is designed to cover</t>
  </si>
  <si>
    <t>the "cracking moment" with a safety factor of 1.00 and stressing up to the yield limit.</t>
  </si>
  <si>
    <t>G27</t>
  </si>
  <si>
    <t>Gesamtsicherheit  γ  [1]</t>
  </si>
  <si>
    <t>total FoS              γ  [1]</t>
  </si>
  <si>
    <t>V_Rdct               [kN]</t>
  </si>
  <si>
    <t>V_Rdmax           [kN]</t>
  </si>
  <si>
    <t>cot(θ)                  [1]</t>
  </si>
  <si>
    <t>z_i                     [m]</t>
  </si>
  <si>
    <t>b_w                    [m]</t>
  </si>
  <si>
    <t>bend. moment  M [kNm]</t>
  </si>
  <si>
    <t>Biegemoment   M [kNm]</t>
  </si>
  <si>
    <t>Normalkraft      N   [kN]</t>
  </si>
  <si>
    <t>Querkraft         V   [kN]</t>
  </si>
  <si>
    <t>Teilsich. Last  γ_E [1]</t>
  </si>
  <si>
    <t>normal force     N   [kN]</t>
  </si>
  <si>
    <t>shear force       V   [kN]</t>
  </si>
  <si>
    <t>FoS loads       γ_E  [1]</t>
  </si>
  <si>
    <t>Bruchdehnung Beton         ε_c   [-]</t>
  </si>
  <si>
    <t>Bruchdehnung Stahl          ε_s   [-]</t>
  </si>
  <si>
    <t>Bewehrung               erf. A_s [cm²]</t>
  </si>
  <si>
    <t>Bewehrung 2          erf. A_s2 [cm²]</t>
  </si>
  <si>
    <t>Bewehrung 1          erf. A_s1 [cm²]</t>
  </si>
  <si>
    <t>Teilsicherheit Widerstand  γ_R  [1]</t>
  </si>
  <si>
    <t>ultimate strain of concrete    ε_c [-]</t>
  </si>
  <si>
    <t>ultimate strain of steel         ε_s [-]</t>
  </si>
  <si>
    <t>FoS material resistance    γ_R  [1]</t>
  </si>
  <si>
    <t>Schubbewehrung  erf. a_s [cm²/m]</t>
  </si>
  <si>
    <t>Circular Cross Section with sectional reinforcement - design of reinforced concrete</t>
  </si>
  <si>
    <t>Nach DIN 1045 ist immer eine Mindestquerbewehrung einzulegen. Falls die vorhandene Querkraft</t>
  </si>
  <si>
    <t>V_d größer ist als V_Rdct, muss 100% Schubdeckung nachgewiesen werden. Eine Querkraft</t>
  </si>
  <si>
    <t>V_d größer als V_Rdmax ist nicht zulässig.</t>
  </si>
  <si>
    <t>Shear forces V_d large then V_Rdmax are not allowed.</t>
  </si>
  <si>
    <t>According to DIN 1045 a min. shear reinforcment is always necessary. If the shear force V_d</t>
  </si>
  <si>
    <t>is larger then V_Rdct then the shear reinforcement must cover 100% of calculated shear force.</t>
  </si>
  <si>
    <t>Durch die Vorgabe eines rechnerischen Schubdeckungsgrades können auch andere Bemessungs-</t>
  </si>
  <si>
    <t>vorschriften berücksichtigt werden.</t>
  </si>
  <si>
    <t>Alternatively an explicit cover of calculated shear reinforcement can be selected in</t>
  </si>
  <si>
    <t>min.A_si [cm²]</t>
  </si>
  <si>
    <t/>
  </si>
  <si>
    <t>ε_cy</t>
  </si>
  <si>
    <t>ε_cu</t>
  </si>
  <si>
    <t>Δγ_c,u</t>
  </si>
  <si>
    <t>C 12/15</t>
  </si>
  <si>
    <t>C 16/20</t>
  </si>
  <si>
    <t>C 20/25</t>
  </si>
  <si>
    <t>C 25/30</t>
  </si>
  <si>
    <t>C 30/37</t>
  </si>
  <si>
    <t>C 35/45</t>
  </si>
  <si>
    <t>C 40/50</t>
  </si>
  <si>
    <t>C 45/55</t>
  </si>
  <si>
    <t>C 50/60</t>
  </si>
  <si>
    <t>ε_su</t>
  </si>
  <si>
    <t>BSt 500 A</t>
  </si>
  <si>
    <t>BSt 500 B</t>
  </si>
  <si>
    <t>Norm</t>
  </si>
  <si>
    <t>DIN 1045:2008</t>
  </si>
  <si>
    <t>DIN EN 1992-1-1:2004 + AC:2010 + NA:2011</t>
  </si>
  <si>
    <t>DIN 1045:1988</t>
  </si>
  <si>
    <t>LF 1</t>
  </si>
  <si>
    <t>BS-P</t>
  </si>
  <si>
    <t>LF 2</t>
  </si>
  <si>
    <t>BS-T</t>
  </si>
  <si>
    <t>LF 3</t>
  </si>
  <si>
    <t>BS-A</t>
  </si>
  <si>
    <t>Bemessung Rechteckquerschnitt</t>
  </si>
  <si>
    <t>Bemessung Kreisquerschnitt</t>
  </si>
  <si>
    <t>Design of Circular Cross Section</t>
  </si>
  <si>
    <t>Design of Circular Cross Section with Sectional Reinforcement</t>
  </si>
  <si>
    <t>Design of Rectangular Cross Section</t>
  </si>
  <si>
    <t>Bemessungssituation</t>
  </si>
  <si>
    <t>Design situation</t>
  </si>
  <si>
    <t>: Ständige Situation</t>
  </si>
  <si>
    <t>: Persistent situation</t>
  </si>
  <si>
    <t>: Vorübergehende Situation</t>
  </si>
  <si>
    <t>: Transient situation</t>
  </si>
  <si>
    <t>: Außergewöhnliche Situation</t>
  </si>
  <si>
    <t>: Accidential situation</t>
  </si>
  <si>
    <t>N   [kN]</t>
  </si>
  <si>
    <t>V   [kN]</t>
  </si>
  <si>
    <t>Normalkraft</t>
  </si>
  <si>
    <t>Bending moment</t>
  </si>
  <si>
    <t>Normal force</t>
  </si>
  <si>
    <t>Shear force</t>
  </si>
  <si>
    <t>B 15</t>
  </si>
  <si>
    <t>B 25</t>
  </si>
  <si>
    <t>B 45</t>
  </si>
  <si>
    <t>B 35</t>
  </si>
  <si>
    <t>B 55</t>
  </si>
  <si>
    <t>Querschnitt</t>
  </si>
  <si>
    <t>Cross section</t>
  </si>
  <si>
    <t>Höhe</t>
  </si>
  <si>
    <t>Height</t>
  </si>
  <si>
    <t>Diameter</t>
  </si>
  <si>
    <t>h  [mm]</t>
  </si>
  <si>
    <t>D  [mm]</t>
  </si>
  <si>
    <t>Width</t>
  </si>
  <si>
    <t>H'  [mm</t>
  </si>
  <si>
    <t>H''  [mm]</t>
  </si>
  <si>
    <t>Base reinf.</t>
  </si>
  <si>
    <t>Würfelfest.</t>
  </si>
  <si>
    <t>β_WN [MPa]</t>
  </si>
  <si>
    <t>f_ck [MPa]</t>
  </si>
  <si>
    <t>cylinder str.</t>
  </si>
  <si>
    <t>cube strength</t>
  </si>
  <si>
    <t>strain limits</t>
  </si>
  <si>
    <t>Exp.</t>
  </si>
  <si>
    <r>
      <rPr>
        <sz val="10"/>
        <rFont val="Arial"/>
        <family val="2"/>
      </rPr>
      <t>Δ</t>
    </r>
    <r>
      <rPr>
        <sz val="10"/>
        <rFont val="Arial"/>
        <family val="2"/>
      </rPr>
      <t>γ_c,u  [1]</t>
    </r>
  </si>
  <si>
    <r>
      <t>Δα</t>
    </r>
    <r>
      <rPr>
        <sz val="10"/>
        <rFont val="Arial"/>
        <family val="2"/>
      </rPr>
      <t>_u  [1]</t>
    </r>
  </si>
  <si>
    <t>Grenzdehn.</t>
  </si>
  <si>
    <t>f_yk  [MPa]</t>
  </si>
  <si>
    <t>f_tk  [MPa]</t>
  </si>
  <si>
    <t>E  [MPa]</t>
  </si>
  <si>
    <t>Sicherheitsbeiwerte</t>
  </si>
  <si>
    <t>γ   [1]</t>
  </si>
  <si>
    <r>
      <t>Δ</t>
    </r>
    <r>
      <rPr>
        <sz val="10"/>
        <rFont val="Arial"/>
        <family val="2"/>
      </rPr>
      <t>γ_u  [1]</t>
    </r>
  </si>
  <si>
    <t>BSt 420</t>
  </si>
  <si>
    <t>BSt 500</t>
  </si>
  <si>
    <t>druckbeansprucht</t>
  </si>
  <si>
    <t>unbewehrt</t>
  </si>
  <si>
    <t>Sicherheit</t>
  </si>
  <si>
    <t>Mindestbew.</t>
  </si>
  <si>
    <r>
      <t xml:space="preserve">ε_s  ε_s </t>
    </r>
    <r>
      <rPr>
        <sz val="10"/>
        <rFont val="Arial"/>
        <family val="2"/>
      </rPr>
      <t xml:space="preserve"> [</t>
    </r>
    <r>
      <rPr>
        <sz val="10"/>
        <rFont val="Arial"/>
        <family val="2"/>
      </rPr>
      <t>‰</t>
    </r>
    <r>
      <rPr>
        <sz val="10"/>
        <rFont val="Arial"/>
        <family val="2"/>
      </rPr>
      <t>]</t>
    </r>
  </si>
  <si>
    <t>normal force N:
tension = positiv value
compression = negativ value</t>
  </si>
  <si>
    <t>unreinforced</t>
  </si>
  <si>
    <t>compression-loaded</t>
  </si>
  <si>
    <t>safety</t>
  </si>
  <si>
    <t>Factors of safety</t>
  </si>
  <si>
    <t>BS-E</t>
  </si>
  <si>
    <t>: Erdbeben</t>
  </si>
  <si>
    <t>: Seismic action</t>
  </si>
  <si>
    <t>Lastfälle</t>
  </si>
  <si>
    <t>Bezeich.</t>
  </si>
  <si>
    <t>γ_G</t>
  </si>
  <si>
    <t>γ_Q</t>
  </si>
  <si>
    <t>Arbeitslinien</t>
  </si>
  <si>
    <t>A43</t>
  </si>
  <si>
    <t>M  [kNm]</t>
  </si>
  <si>
    <t>$StB-K and StB-Ke and StB-R</t>
  </si>
  <si>
    <t>ε_c2  [‰]</t>
  </si>
  <si>
    <t>ε_c2u [‰]</t>
  </si>
  <si>
    <t>ε_s,u  [‰]</t>
  </si>
  <si>
    <t>E_cm</t>
  </si>
  <si>
    <t>reinforce. bar</t>
  </si>
  <si>
    <t>Bewehr.-Stab</t>
  </si>
  <si>
    <t>Rissbreite</t>
  </si>
  <si>
    <t>A_s0  [cm²]</t>
  </si>
  <si>
    <t>Bemessung Kreisquerschnitt mit sektionaler Bewehrung</t>
  </si>
  <si>
    <t>Zulagebewehr.</t>
  </si>
  <si>
    <t>distributed over complete circle (360°)</t>
  </si>
  <si>
    <t>additional reinf.</t>
  </si>
  <si>
    <t>C7</t>
  </si>
  <si>
    <t>characteristic</t>
  </si>
  <si>
    <t>charakterist.</t>
  </si>
  <si>
    <t>crack width = 0.40 mm</t>
  </si>
  <si>
    <t>crack width = 0.30 mm</t>
  </si>
  <si>
    <t>crack width = 0.20 mm</t>
  </si>
  <si>
    <t>Rissbreite = 0,40 mm</t>
  </si>
  <si>
    <t>Rissbreite = 0,30 mm</t>
  </si>
  <si>
    <t>Rissbreite = 0,20 mm</t>
  </si>
  <si>
    <t>max. ds [mm]</t>
  </si>
  <si>
    <t>bar spacing</t>
  </si>
  <si>
    <t>Stababstand</t>
  </si>
  <si>
    <t>max. s  [mm]</t>
  </si>
  <si>
    <t>ds</t>
  </si>
  <si>
    <t>s</t>
  </si>
  <si>
    <t>σs</t>
  </si>
  <si>
    <t>ohne Rissbreitenbegrenz.</t>
  </si>
  <si>
    <t>without crack width limit</t>
  </si>
  <si>
    <t>Gebrauchszustand</t>
  </si>
  <si>
    <t>Gebrauchszustand (gerissene Zugzone)</t>
  </si>
  <si>
    <t>working load (cracked concrete)</t>
  </si>
  <si>
    <t>working load</t>
  </si>
  <si>
    <t>mit Rissbreitenbegrenz.</t>
  </si>
  <si>
    <t>with crack width limit</t>
  </si>
  <si>
    <t>G19</t>
  </si>
  <si>
    <t>H19</t>
  </si>
  <si>
    <t>Is used to compute the
allowable stress max. σs.</t>
  </si>
  <si>
    <t>unbew.</t>
  </si>
  <si>
    <t>Bewehrung  A_s  [cm²]</t>
  </si>
  <si>
    <t>Bewehrung  A_s2  [cm²]</t>
  </si>
  <si>
    <t>Bewehrung  A_s1  [cm²]</t>
  </si>
  <si>
    <t>reinforce.  A_s  [cm²]</t>
  </si>
  <si>
    <t>reinforce.  A_s2  [cm²]</t>
  </si>
  <si>
    <t>reinforce.  A_s1  [cm²]</t>
  </si>
  <si>
    <t>Allows to augment A_s manually.</t>
  </si>
  <si>
    <t>R_Mk  [kNm]</t>
  </si>
  <si>
    <t>R_Nk   [kN]</t>
  </si>
  <si>
    <t>Innere Kräfte</t>
  </si>
  <si>
    <t>internal forces</t>
  </si>
  <si>
    <t>Bruchdehnung Beton         ε_c</t>
  </si>
  <si>
    <t>Bruchdehnung Stahl          ε_s</t>
  </si>
  <si>
    <t>ultimate strain of concrete    ε_c</t>
  </si>
  <si>
    <t>ultimate strain of steel         ε_s</t>
  </si>
  <si>
    <t>Betondehnung   ε_c</t>
  </si>
  <si>
    <t>Stahldehnung    ε_s</t>
  </si>
  <si>
    <t>strain of concrete  ε_c</t>
  </si>
  <si>
    <t>strain of steel       ε_s</t>
  </si>
  <si>
    <t>Allows to augment A_s manually.
Smaller value is applied to A_s2,
larger value is applied to A_s1.</t>
  </si>
  <si>
    <t>symmetrische</t>
  </si>
  <si>
    <t>symmetric</t>
  </si>
  <si>
    <t>reinforcement</t>
  </si>
  <si>
    <t>Cells for input data are YELLOW or GREEN shaded. All cells except the input cells are</t>
  </si>
  <si>
    <t>Zellen für die Dateneingaben sind GELB oder GRÜN unterlegt. Alle Zellen außer den Eingabezellen</t>
  </si>
  <si>
    <t>Schubbewehrung  erf. a_s  [cm²/m]</t>
  </si>
  <si>
    <t>resultierendes Kräftepaar</t>
  </si>
  <si>
    <t>Innere Kraft  /  Hebelarm</t>
  </si>
  <si>
    <t>internal force  /  lever arm</t>
  </si>
  <si>
    <t>couple of forces</t>
  </si>
  <si>
    <t>Druck Beton          C_cu</t>
  </si>
  <si>
    <t>Druck Bewehrung  C_su</t>
  </si>
  <si>
    <t>compress. concrete C_cu</t>
  </si>
  <si>
    <t>compress. reinf.      C_su</t>
  </si>
  <si>
    <t>tension reinforce.     T_su</t>
  </si>
  <si>
    <t>Zug Bewehrung    T_su</t>
  </si>
  <si>
    <t>τ_012</t>
  </si>
  <si>
    <t>τ_02</t>
  </si>
  <si>
    <t>τ_03</t>
  </si>
  <si>
    <t>V_Rdmax</t>
  </si>
  <si>
    <t>cot(θ)</t>
  </si>
  <si>
    <t>[MPa]</t>
  </si>
  <si>
    <t>Grundwert  τ_0    [MPa]</t>
  </si>
  <si>
    <t>basic value  τ_0    [MPa]</t>
  </si>
  <si>
    <t>min. a_s     [cm²/m]</t>
  </si>
  <si>
    <t>V_Rdc</t>
  </si>
  <si>
    <t>EN 1992-1-1:2004  (Eurocode 2)</t>
  </si>
  <si>
    <r>
      <t>Δα</t>
    </r>
    <r>
      <rPr>
        <sz val="10"/>
        <rFont val="Arial"/>
        <family val="2"/>
      </rPr>
      <t>_pl  [1]</t>
    </r>
  </si>
  <si>
    <r>
      <t>Δ</t>
    </r>
    <r>
      <rPr>
        <sz val="10"/>
        <rFont val="Arial"/>
        <family val="2"/>
      </rPr>
      <t>γ_pl  [1]</t>
    </r>
  </si>
  <si>
    <r>
      <t>Δ</t>
    </r>
    <r>
      <rPr>
        <sz val="10"/>
        <rFont val="Arial"/>
        <family val="2"/>
      </rPr>
      <t>γ_c,pl  [1]</t>
    </r>
  </si>
  <si>
    <t>bewehrt</t>
  </si>
  <si>
    <t>τ_cp</t>
  </si>
  <si>
    <t>f_cvd</t>
  </si>
  <si>
    <t>1 oder 2</t>
  </si>
  <si>
    <t>N_Ed,min  [1]</t>
  </si>
  <si>
    <t>N_Ed   A_s[%]</t>
  </si>
  <si>
    <t>3.0   0.0</t>
  </si>
  <si>
    <t>0.10   0.2</t>
  </si>
  <si>
    <t>B500A</t>
  </si>
  <si>
    <t>B500B</t>
  </si>
  <si>
    <t>max. σs [MPa]</t>
  </si>
  <si>
    <t>Stahlspannung σ_s  [MPa]</t>
  </si>
  <si>
    <t>reinforce. stress σs [MPa]</t>
  </si>
  <si>
    <t>Ausnutzung   =   N_d / R_Nu</t>
  </si>
  <si>
    <t>utilization   =   N_d / R_Nu</t>
  </si>
  <si>
    <t>R_Md  [kNm]</t>
  </si>
  <si>
    <t>R_Nd   [kN]</t>
  </si>
  <si>
    <t>Forces A_s2 = A_s1.
Only valid for H' = H''.</t>
  </si>
  <si>
    <t>Ausnutzung   =   erf. A_s / A_s</t>
  </si>
  <si>
    <t>utilization   =   req. A_s / A_s</t>
  </si>
  <si>
    <t>reinforcement          req. A_s [cm²]</t>
  </si>
  <si>
    <t>reinforcement 2     req. A_s2 [cm²]</t>
  </si>
  <si>
    <t>reinforcement 1     req. A_s1 [cm²]</t>
  </si>
  <si>
    <t>shear reinforce.   req. a_s [cm²/m]</t>
  </si>
  <si>
    <t>IF($E$18=1,0,IF(OR(E21="",E21=" "),IF(AND($G$20&lt;1,$H$20&lt;1),200,IF($G$20&lt;1,$A$154,IF($H$20&lt;1,$A$139,MAX($A$139,$A$154)))),E21))</t>
  </si>
  <si>
    <t>if crack width=1:</t>
  </si>
  <si>
    <t>else</t>
  </si>
  <si>
    <t xml:space="preserve">if manual="" or manual =" " </t>
  </si>
  <si>
    <t>if ds &lt;1 and s &lt;100</t>
  </si>
  <si>
    <t xml:space="preserve">if ds&lt;1 </t>
  </si>
  <si>
    <t>A154</t>
  </si>
  <si>
    <t>if ds&lt;1</t>
  </si>
  <si>
    <t xml:space="preserve">    a139</t>
  </si>
  <si>
    <t xml:space="preserve">     max (a139, A154)</t>
  </si>
  <si>
    <t xml:space="preserve">  manual</t>
  </si>
  <si>
    <t>=IF(OR($A$4=1,$A$4=2),C139,IF($A$4=3,K139,S139))</t>
  </si>
  <si>
    <t>if norm==1 or norm==2:
    qs=1oder2
else:
    if norm=3:
        g3= K139(3)
    else:
        qs=S139(4)</t>
  </si>
  <si>
    <t>1oder2=</t>
  </si>
  <si>
    <t>a139</t>
  </si>
  <si>
    <t>=ROUND(fInterSig(E139:E146,F139:F146,D139,8),0)</t>
  </si>
  <si>
    <t>ROUND(interpolate(array_sigs,array_ds,8,),0)</t>
  </si>
  <si>
    <t>160,200,240,280,320,360,400,450</t>
  </si>
  <si>
    <t>56,36,25,18,14,11,9,7</t>
  </si>
  <si>
    <t>42,27,19,14,11,8,7,5</t>
  </si>
  <si>
    <t>28,18,13,9,7,6,5,4</t>
  </si>
  <si>
    <t>sig_1oder2</t>
  </si>
  <si>
    <t>40,32,20,16,12,10,8,6</t>
  </si>
  <si>
    <t>32,25,16,12,10,8,6,5</t>
  </si>
  <si>
    <t>160,180,200,220,240,260,280,300,320,340,360,400,450</t>
  </si>
  <si>
    <t>54,43,35,29,24,21,18,15,14,12,11,9,7</t>
  </si>
  <si>
    <t>41,32,26,22,18,15,13,12,10,9,8,7,5</t>
  </si>
  <si>
    <t>27,21,17,14,12,10,9,8,7,6,5,4,3</t>
  </si>
  <si>
    <t>160,200,240,280,320,360</t>
  </si>
  <si>
    <t>xx,300,250,200,150,100</t>
  </si>
  <si>
    <t>25,16,12,8,6,5,4,xx</t>
  </si>
  <si>
    <t>300,250,200,150,100,50</t>
  </si>
  <si>
    <t>200,150,100,50,xx,xx</t>
  </si>
  <si>
    <t xml:space="preserve"> </t>
  </si>
  <si>
    <t>sig_s=[160,200,240,280,320,360],[xx,300,250,200,150,100],[300,250,200,150,100,50],[200,150,100,50,xx,xx]</t>
  </si>
  <si>
    <t>sig_d3=[160,200,240,280,320,360,400,450],[40,32,20,16,12,10,8,6],[32,25,16,12,10,8,6,5],[25,16,12,8,6,5,4,xx]</t>
  </si>
  <si>
    <t>sig_d4=[160,180,200,220,240,260,280,300,320,340,360,400,450],[54,43,35,29,24,21,18,15,14,12,11,9,7],[41,32,26,22,18,15,13,12,10,9,8,7,5],[27,21,17,14,12,10,9,8,7,6,5,4,3]</t>
  </si>
  <si>
    <t>sig_d1or2=[160,200,240,280,320,360,400,450],[56,36,25,18,14,11,9,7],[42,27,19,14,11,8,7,5],[28,18,13,9,7,6,5,4]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</si>
</sst>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\$#,##0\ ;\(\$#,##0\)"/>
    <numFmt numFmtId="167" formatCode="0.0000"/>
    <numFmt numFmtId="168" formatCode="[$-407]d/\ mmm/\ yyyy;@"/>
  </numFmts>
  <fonts count="32" x14ac:knownFonts="1">
    <font>
      <sz val="10"/>
      <name val="Arial"/>
    </font>
    <font>
      <sz val="10"/>
      <name val="Arial"/>
      <family val="2"/>
    </font>
    <font>
      <b/>
      <i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40"/>
      <name val="Arial"/>
      <family val="2"/>
    </font>
    <font>
      <b/>
      <i/>
      <sz val="11"/>
      <name val="Arial"/>
      <family val="2"/>
    </font>
    <font>
      <sz val="10"/>
      <name val="Symbol"/>
      <family val="1"/>
      <charset val="2"/>
    </font>
    <font>
      <sz val="6"/>
      <name val="Arial"/>
      <family val="2"/>
    </font>
    <font>
      <sz val="9"/>
      <name val="Arial"/>
      <family val="2"/>
    </font>
    <font>
      <b/>
      <vertAlign val="superscript"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8"/>
      <color indexed="81"/>
      <name val="Tahoma"/>
      <family val="2"/>
    </font>
    <font>
      <sz val="7"/>
      <name val="Arial"/>
      <family val="2"/>
    </font>
    <font>
      <sz val="8"/>
      <color indexed="81"/>
      <name val="Arial"/>
      <family val="2"/>
    </font>
    <font>
      <b/>
      <sz val="18"/>
      <name val="Arial"/>
      <family val="2"/>
    </font>
    <font>
      <sz val="9"/>
      <color theme="0" tint="-0.24994659260841701"/>
      <name val="Arial"/>
      <family val="2"/>
    </font>
    <font>
      <b/>
      <sz val="12"/>
      <color rgb="FFFF0000"/>
      <name val="Arial"/>
      <family val="2"/>
    </font>
    <font>
      <sz val="9"/>
      <color rgb="FFFF0000"/>
      <name val="Arial"/>
      <family val="2"/>
    </font>
    <font>
      <b/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">
    <xf numFmtId="0" fontId="0" fillId="0" borderId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1" fillId="0" borderId="1" applyNumberFormat="0" applyFont="0" applyFill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3" fontId="1" fillId="0" borderId="0" applyFont="0" applyFill="0" applyBorder="0" applyAlignment="0" applyProtection="0"/>
    <xf numFmtId="0" fontId="1" fillId="0" borderId="0" applyBorder="0" applyAlignment="0"/>
    <xf numFmtId="166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8" fillId="0" borderId="0"/>
    <xf numFmtId="0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0" fontId="10" fillId="0" borderId="1" applyNumberFormat="0" applyFont="0" applyFill="0" applyAlignment="0" applyProtection="0"/>
    <xf numFmtId="3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8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2" borderId="5" xfId="0" applyFill="1" applyBorder="1" applyProtection="1">
      <protection locked="0"/>
    </xf>
    <xf numFmtId="0" fontId="0" fillId="0" borderId="2" xfId="0" applyBorder="1" applyAlignment="1">
      <alignment horizontal="left"/>
    </xf>
    <xf numFmtId="0" fontId="3" fillId="0" borderId="0" xfId="0" applyFont="1"/>
    <xf numFmtId="164" fontId="0" fillId="2" borderId="5" xfId="0" applyNumberFormat="1" applyFill="1" applyBorder="1" applyProtection="1">
      <protection locked="0"/>
    </xf>
    <xf numFmtId="0" fontId="5" fillId="0" borderId="0" xfId="0" applyFont="1"/>
    <xf numFmtId="0" fontId="0" fillId="2" borderId="5" xfId="0" applyNumberFormat="1" applyFill="1" applyBorder="1" applyProtection="1">
      <protection locked="0"/>
    </xf>
    <xf numFmtId="0" fontId="0" fillId="0" borderId="5" xfId="0" applyNumberFormat="1" applyFill="1" applyBorder="1" applyAlignment="1">
      <alignment horizontal="right"/>
    </xf>
    <xf numFmtId="0" fontId="0" fillId="0" borderId="0" xfId="0" applyFill="1"/>
    <xf numFmtId="164" fontId="0" fillId="0" borderId="5" xfId="0" applyNumberFormat="1" applyFill="1" applyBorder="1" applyAlignment="1"/>
    <xf numFmtId="0" fontId="0" fillId="0" borderId="4" xfId="0" applyFill="1" applyBorder="1"/>
    <xf numFmtId="0" fontId="0" fillId="0" borderId="6" xfId="0" applyFill="1" applyBorder="1"/>
    <xf numFmtId="1" fontId="0" fillId="0" borderId="5" xfId="0" applyNumberFormat="1" applyFill="1" applyBorder="1" applyAlignment="1"/>
    <xf numFmtId="165" fontId="0" fillId="0" borderId="5" xfId="0" applyNumberFormat="1" applyFill="1" applyBorder="1" applyAlignment="1"/>
    <xf numFmtId="2" fontId="0" fillId="0" borderId="5" xfId="0" applyNumberFormat="1" applyFill="1" applyBorder="1" applyAlignment="1"/>
    <xf numFmtId="0" fontId="0" fillId="0" borderId="2" xfId="0" applyFill="1" applyBorder="1" applyAlignment="1"/>
    <xf numFmtId="0" fontId="0" fillId="0" borderId="2" xfId="0" applyFill="1" applyBorder="1"/>
    <xf numFmtId="0" fontId="3" fillId="0" borderId="3" xfId="0" applyFont="1" applyBorder="1"/>
    <xf numFmtId="0" fontId="10" fillId="0" borderId="3" xfId="0" applyFont="1" applyBorder="1"/>
    <xf numFmtId="164" fontId="11" fillId="0" borderId="5" xfId="0" applyNumberFormat="1" applyFont="1" applyFill="1" applyBorder="1" applyAlignment="1"/>
    <xf numFmtId="0" fontId="0" fillId="2" borderId="0" xfId="0" applyFill="1" applyBorder="1" applyProtection="1">
      <protection locked="0"/>
    </xf>
    <xf numFmtId="0" fontId="14" fillId="0" borderId="0" xfId="0" applyFont="1" applyBorder="1"/>
    <xf numFmtId="0" fontId="15" fillId="2" borderId="0" xfId="0" applyFont="1" applyFill="1" applyBorder="1" applyProtection="1">
      <protection locked="0"/>
    </xf>
    <xf numFmtId="0" fontId="4" fillId="0" borderId="0" xfId="0" applyFont="1" applyBorder="1" applyAlignment="1">
      <alignment vertical="center"/>
    </xf>
    <xf numFmtId="0" fontId="16" fillId="0" borderId="3" xfId="0" applyFont="1" applyBorder="1"/>
    <xf numFmtId="2" fontId="0" fillId="2" borderId="5" xfId="0" applyNumberFormat="1" applyFill="1" applyBorder="1" applyProtection="1">
      <protection locked="0"/>
    </xf>
    <xf numFmtId="0" fontId="0" fillId="0" borderId="7" xfId="0" applyBorder="1"/>
    <xf numFmtId="0" fontId="0" fillId="0" borderId="8" xfId="0" applyBorder="1"/>
    <xf numFmtId="0" fontId="16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6" fillId="0" borderId="11" xfId="0" applyFont="1" applyBorder="1"/>
    <xf numFmtId="0" fontId="0" fillId="0" borderId="12" xfId="0" applyBorder="1"/>
    <xf numFmtId="0" fontId="10" fillId="0" borderId="8" xfId="0" applyFont="1" applyBorder="1"/>
    <xf numFmtId="0" fontId="10" fillId="2" borderId="13" xfId="0" applyNumberFormat="1" applyFont="1" applyFill="1" applyBorder="1" applyProtection="1">
      <protection locked="0"/>
    </xf>
    <xf numFmtId="0" fontId="16" fillId="0" borderId="0" xfId="0" applyFont="1" applyBorder="1"/>
    <xf numFmtId="0" fontId="0" fillId="0" borderId="6" xfId="0" applyBorder="1"/>
    <xf numFmtId="0" fontId="0" fillId="0" borderId="14" xfId="0" applyBorder="1"/>
    <xf numFmtId="0" fontId="5" fillId="0" borderId="0" xfId="0" applyFont="1" applyBorder="1"/>
    <xf numFmtId="0" fontId="0" fillId="0" borderId="7" xfId="0" applyBorder="1" applyAlignment="1">
      <alignment horizontal="left"/>
    </xf>
    <xf numFmtId="10" fontId="0" fillId="0" borderId="13" xfId="0" applyNumberFormat="1" applyFill="1" applyBorder="1" applyAlignment="1">
      <alignment horizontal="right"/>
    </xf>
    <xf numFmtId="10" fontId="0" fillId="0" borderId="15" xfId="0" applyNumberFormat="1" applyFill="1" applyBorder="1" applyAlignment="1">
      <alignment horizontal="right"/>
    </xf>
    <xf numFmtId="167" fontId="10" fillId="2" borderId="15" xfId="0" applyNumberFormat="1" applyFont="1" applyFill="1" applyBorder="1" applyProtection="1">
      <protection locked="0"/>
    </xf>
    <xf numFmtId="167" fontId="10" fillId="2" borderId="13" xfId="0" applyNumberFormat="1" applyFont="1" applyFill="1" applyBorder="1" applyProtection="1">
      <protection locked="0"/>
    </xf>
    <xf numFmtId="167" fontId="10" fillId="2" borderId="16" xfId="0" applyNumberFormat="1" applyFont="1" applyFill="1" applyBorder="1" applyProtection="1">
      <protection locked="0"/>
    </xf>
    <xf numFmtId="2" fontId="0" fillId="2" borderId="15" xfId="0" applyNumberFormat="1" applyFill="1" applyBorder="1" applyProtection="1">
      <protection locked="0"/>
    </xf>
    <xf numFmtId="0" fontId="10" fillId="0" borderId="0" xfId="0" applyFont="1"/>
    <xf numFmtId="0" fontId="0" fillId="0" borderId="3" xfId="0" applyFill="1" applyBorder="1"/>
    <xf numFmtId="165" fontId="0" fillId="0" borderId="5" xfId="0" applyNumberFormat="1" applyBorder="1"/>
    <xf numFmtId="2" fontId="0" fillId="0" borderId="5" xfId="0" applyNumberFormat="1" applyBorder="1"/>
    <xf numFmtId="164" fontId="0" fillId="0" borderId="13" xfId="0" applyNumberFormat="1" applyFill="1" applyBorder="1" applyAlignment="1"/>
    <xf numFmtId="0" fontId="0" fillId="0" borderId="10" xfId="0" applyBorder="1" applyAlignment="1">
      <alignment horizontal="left"/>
    </xf>
    <xf numFmtId="164" fontId="0" fillId="0" borderId="15" xfId="0" applyNumberFormat="1" applyFill="1" applyBorder="1" applyAlignment="1"/>
    <xf numFmtId="164" fontId="0" fillId="2" borderId="13" xfId="0" applyNumberFormat="1" applyFill="1" applyBorder="1" applyProtection="1">
      <protection locked="0"/>
    </xf>
    <xf numFmtId="164" fontId="0" fillId="2" borderId="15" xfId="0" applyNumberFormat="1" applyFill="1" applyBorder="1" applyProtection="1">
      <protection locked="0"/>
    </xf>
    <xf numFmtId="0" fontId="17" fillId="0" borderId="11" xfId="0" applyFont="1" applyBorder="1"/>
    <xf numFmtId="0" fontId="17" fillId="0" borderId="8" xfId="0" applyFont="1" applyBorder="1"/>
    <xf numFmtId="10" fontId="10" fillId="0" borderId="15" xfId="0" applyNumberFormat="1" applyFont="1" applyFill="1" applyBorder="1" applyAlignment="1">
      <alignment horizontal="right"/>
    </xf>
    <xf numFmtId="0" fontId="2" fillId="2" borderId="0" xfId="0" applyFont="1" applyFill="1" applyBorder="1" applyProtection="1">
      <protection locked="0"/>
    </xf>
    <xf numFmtId="2" fontId="11" fillId="0" borderId="5" xfId="0" applyNumberFormat="1" applyFont="1" applyFill="1" applyBorder="1" applyAlignment="1"/>
    <xf numFmtId="0" fontId="18" fillId="0" borderId="2" xfId="0" applyFont="1" applyBorder="1" applyAlignment="1">
      <alignment horizontal="left"/>
    </xf>
    <xf numFmtId="0" fontId="18" fillId="0" borderId="2" xfId="0" applyFont="1" applyBorder="1"/>
    <xf numFmtId="0" fontId="0" fillId="0" borderId="5" xfId="0" applyBorder="1"/>
    <xf numFmtId="0" fontId="0" fillId="0" borderId="5" xfId="0" applyNumberFormat="1" applyBorder="1"/>
    <xf numFmtId="0" fontId="3" fillId="2" borderId="5" xfId="0" applyFont="1" applyFill="1" applyBorder="1" applyProtection="1">
      <protection locked="0"/>
    </xf>
    <xf numFmtId="0" fontId="12" fillId="2" borderId="5" xfId="0" applyFont="1" applyFill="1" applyBorder="1" applyProtection="1">
      <protection locked="0"/>
    </xf>
    <xf numFmtId="0" fontId="5" fillId="0" borderId="6" xfId="0" applyFont="1" applyFill="1" applyBorder="1" applyAlignment="1">
      <alignment horizontal="left"/>
    </xf>
    <xf numFmtId="0" fontId="0" fillId="3" borderId="5" xfId="0" applyFill="1" applyBorder="1" applyProtection="1">
      <protection locked="0"/>
    </xf>
    <xf numFmtId="2" fontId="0" fillId="3" borderId="5" xfId="0" applyNumberFormat="1" applyFill="1" applyBorder="1" applyProtection="1">
      <protection locked="0"/>
    </xf>
    <xf numFmtId="164" fontId="0" fillId="3" borderId="5" xfId="0" applyNumberFormat="1" applyFill="1" applyBorder="1" applyProtection="1">
      <protection locked="0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2" fillId="0" borderId="0" xfId="0" applyFont="1"/>
    <xf numFmtId="0" fontId="12" fillId="3" borderId="5" xfId="0" applyFont="1" applyFill="1" applyBorder="1" applyProtection="1">
      <protection locked="0"/>
    </xf>
    <xf numFmtId="0" fontId="3" fillId="3" borderId="0" xfId="0" applyFont="1" applyFill="1" applyProtection="1"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5" xfId="0" applyNumberFormat="1" applyFill="1" applyBorder="1" applyAlignment="1" applyProtection="1">
      <alignment horizontal="center"/>
      <protection locked="0"/>
    </xf>
    <xf numFmtId="0" fontId="10" fillId="3" borderId="5" xfId="0" applyNumberFormat="1" applyFont="1" applyFill="1" applyBorder="1" applyAlignment="1" applyProtection="1">
      <alignment horizontal="center"/>
      <protection locked="0"/>
    </xf>
    <xf numFmtId="167" fontId="10" fillId="3" borderId="5" xfId="0" applyNumberFormat="1" applyFont="1" applyFill="1" applyBorder="1" applyAlignment="1" applyProtection="1">
      <alignment horizontal="center"/>
      <protection locked="0"/>
    </xf>
    <xf numFmtId="2" fontId="0" fillId="3" borderId="5" xfId="0" applyNumberFormat="1" applyFill="1" applyBorder="1" applyAlignment="1" applyProtection="1">
      <alignment horizontal="center"/>
      <protection locked="0"/>
    </xf>
    <xf numFmtId="0" fontId="10" fillId="0" borderId="4" xfId="0" applyFont="1" applyBorder="1"/>
    <xf numFmtId="164" fontId="0" fillId="0" borderId="5" xfId="0" applyNumberFormat="1" applyFill="1" applyBorder="1" applyProtection="1"/>
    <xf numFmtId="0" fontId="0" fillId="0" borderId="5" xfId="0" applyBorder="1" applyAlignment="1">
      <alignment horizontal="center"/>
    </xf>
    <xf numFmtId="168" fontId="0" fillId="0" borderId="5" xfId="0" applyNumberFormat="1" applyBorder="1" applyAlignment="1" applyProtection="1">
      <alignment horizontal="center"/>
      <protection locked="0"/>
    </xf>
    <xf numFmtId="0" fontId="0" fillId="0" borderId="5" xfId="0" applyNumberFormat="1" applyBorder="1" applyAlignment="1">
      <alignment horizontal="center"/>
    </xf>
    <xf numFmtId="0" fontId="22" fillId="0" borderId="0" xfId="4" applyNumberFormat="1" applyAlignment="1" applyProtection="1"/>
    <xf numFmtId="0" fontId="3" fillId="0" borderId="0" xfId="0" applyNumberFormat="1" applyFont="1" applyAlignment="1"/>
    <xf numFmtId="0" fontId="0" fillId="0" borderId="0" xfId="0" applyNumberFormat="1" applyAlignment="1"/>
    <xf numFmtId="0" fontId="0" fillId="0" borderId="0" xfId="0" applyNumberFormat="1"/>
    <xf numFmtId="0" fontId="9" fillId="0" borderId="0" xfId="0" applyNumberFormat="1" applyFont="1" applyAlignment="1"/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/>
    </xf>
    <xf numFmtId="0" fontId="1" fillId="0" borderId="5" xfId="6" applyNumberFormat="1" applyFont="1" applyFill="1" applyBorder="1" applyAlignment="1" applyProtection="1">
      <alignment wrapText="1"/>
      <protection locked="0"/>
    </xf>
    <xf numFmtId="0" fontId="23" fillId="0" borderId="5" xfId="6" applyNumberFormat="1" applyFont="1" applyFill="1" applyBorder="1" applyAlignment="1" applyProtection="1">
      <alignment vertical="top" wrapText="1"/>
      <protection locked="0"/>
    </xf>
    <xf numFmtId="0" fontId="0" fillId="0" borderId="5" xfId="0" applyBorder="1" applyAlignment="1">
      <alignment wrapText="1"/>
    </xf>
    <xf numFmtId="0" fontId="18" fillId="0" borderId="15" xfId="0" applyFont="1" applyBorder="1" applyAlignment="1">
      <alignment horizontal="center"/>
    </xf>
    <xf numFmtId="0" fontId="10" fillId="0" borderId="5" xfId="0" applyFont="1" applyBorder="1"/>
    <xf numFmtId="167" fontId="10" fillId="0" borderId="5" xfId="0" applyNumberFormat="1" applyFont="1" applyBorder="1"/>
    <xf numFmtId="0" fontId="3" fillId="0" borderId="5" xfId="6" applyNumberFormat="1" applyFont="1" applyFill="1" applyBorder="1" applyAlignment="1" applyProtection="1">
      <alignment wrapText="1"/>
      <protection locked="0"/>
    </xf>
    <xf numFmtId="0" fontId="3" fillId="0" borderId="5" xfId="0" applyFont="1" applyBorder="1" applyAlignment="1">
      <alignment wrapText="1"/>
    </xf>
    <xf numFmtId="0" fontId="3" fillId="0" borderId="0" xfId="0" applyFont="1" applyFill="1" applyProtection="1"/>
    <xf numFmtId="0" fontId="18" fillId="0" borderId="10" xfId="0" applyFont="1" applyBorder="1" applyAlignment="1"/>
    <xf numFmtId="0" fontId="18" fillId="0" borderId="12" xfId="0" applyFont="1" applyBorder="1" applyAlignment="1"/>
    <xf numFmtId="0" fontId="0" fillId="0" borderId="2" xfId="0" applyBorder="1" applyAlignment="1"/>
    <xf numFmtId="1" fontId="0" fillId="0" borderId="5" xfId="0" applyNumberFormat="1" applyBorder="1"/>
    <xf numFmtId="0" fontId="10" fillId="0" borderId="0" xfId="0" applyFont="1" applyFill="1" applyBorder="1"/>
    <xf numFmtId="0" fontId="10" fillId="0" borderId="5" xfId="0" applyFont="1" applyBorder="1" applyAlignment="1">
      <alignment wrapText="1"/>
    </xf>
    <xf numFmtId="0" fontId="1" fillId="0" borderId="16" xfId="0" applyFont="1" applyBorder="1" applyAlignment="1">
      <alignment horizontal="center"/>
    </xf>
    <xf numFmtId="164" fontId="0" fillId="0" borderId="13" xfId="0" applyNumberFormat="1" applyFill="1" applyBorder="1" applyProtection="1"/>
    <xf numFmtId="0" fontId="0" fillId="0" borderId="7" xfId="0" applyBorder="1" applyAlignment="1"/>
    <xf numFmtId="0" fontId="0" fillId="0" borderId="10" xfId="0" applyBorder="1" applyAlignment="1"/>
    <xf numFmtId="164" fontId="0" fillId="3" borderId="13" xfId="0" applyNumberFormat="1" applyFill="1" applyBorder="1" applyProtection="1">
      <protection locked="0"/>
    </xf>
    <xf numFmtId="164" fontId="0" fillId="3" borderId="15" xfId="0" applyNumberFormat="1" applyFill="1" applyBorder="1" applyProtection="1">
      <protection locked="0"/>
    </xf>
    <xf numFmtId="164" fontId="0" fillId="0" borderId="15" xfId="0" applyNumberFormat="1" applyFill="1" applyBorder="1" applyProtection="1"/>
    <xf numFmtId="0" fontId="25" fillId="0" borderId="16" xfId="0" applyFont="1" applyBorder="1" applyAlignment="1">
      <alignment horizontal="center"/>
    </xf>
    <xf numFmtId="0" fontId="10" fillId="0" borderId="0" xfId="0" applyFont="1" applyAlignment="1"/>
    <xf numFmtId="0" fontId="0" fillId="3" borderId="5" xfId="0" applyNumberFormat="1" applyFill="1" applyBorder="1" applyProtection="1">
      <protection locked="0"/>
    </xf>
    <xf numFmtId="164" fontId="0" fillId="3" borderId="5" xfId="0" applyNumberFormat="1" applyFill="1" applyBorder="1" applyAlignment="1" applyProtection="1">
      <alignment horizontal="center"/>
      <protection locked="0"/>
    </xf>
    <xf numFmtId="0" fontId="10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0" fillId="0" borderId="5" xfId="0" quotePrefix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5" fillId="0" borderId="5" xfId="0" applyFont="1" applyFill="1" applyBorder="1" applyAlignment="1">
      <alignment horizontal="center"/>
    </xf>
    <xf numFmtId="167" fontId="18" fillId="3" borderId="5" xfId="0" applyNumberFormat="1" applyFont="1" applyFill="1" applyBorder="1" applyProtection="1">
      <protection locked="0"/>
    </xf>
    <xf numFmtId="0" fontId="18" fillId="3" borderId="5" xfId="0" applyNumberFormat="1" applyFont="1" applyFill="1" applyBorder="1" applyProtection="1">
      <protection locked="0"/>
    </xf>
    <xf numFmtId="0" fontId="10" fillId="0" borderId="2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10" fontId="11" fillId="0" borderId="5" xfId="0" applyNumberFormat="1" applyFont="1" applyFill="1" applyBorder="1" applyAlignment="1">
      <alignment horizontal="right"/>
    </xf>
    <xf numFmtId="0" fontId="20" fillId="0" borderId="5" xfId="0" applyFont="1" applyBorder="1"/>
    <xf numFmtId="167" fontId="20" fillId="0" borderId="5" xfId="0" applyNumberFormat="1" applyFont="1" applyBorder="1"/>
    <xf numFmtId="10" fontId="20" fillId="0" borderId="5" xfId="0" applyNumberFormat="1" applyFont="1" applyBorder="1"/>
    <xf numFmtId="0" fontId="0" fillId="0" borderId="4" xfId="0" applyFill="1" applyBorder="1" applyAlignment="1">
      <alignment horizontal="center"/>
    </xf>
    <xf numFmtId="0" fontId="20" fillId="0" borderId="15" xfId="0" applyFont="1" applyFill="1" applyBorder="1" applyAlignment="1">
      <alignment horizontal="center"/>
    </xf>
    <xf numFmtId="10" fontId="11" fillId="0" borderId="5" xfId="0" applyNumberFormat="1" applyFont="1" applyFill="1" applyBorder="1" applyAlignment="1"/>
    <xf numFmtId="0" fontId="20" fillId="0" borderId="15" xfId="0" applyFont="1" applyBorder="1" applyAlignment="1">
      <alignment horizontal="center"/>
    </xf>
    <xf numFmtId="0" fontId="21" fillId="0" borderId="2" xfId="0" applyFont="1" applyBorder="1"/>
    <xf numFmtId="0" fontId="18" fillId="0" borderId="0" xfId="0" applyFont="1"/>
    <xf numFmtId="0" fontId="18" fillId="0" borderId="16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8" fillId="3" borderId="5" xfId="0" applyNumberFormat="1" applyFont="1" applyFill="1" applyBorder="1" applyAlignment="1" applyProtection="1">
      <alignment horizontal="center"/>
      <protection locked="0"/>
    </xf>
    <xf numFmtId="0" fontId="18" fillId="0" borderId="8" xfId="0" applyFont="1" applyBorder="1"/>
    <xf numFmtId="0" fontId="18" fillId="0" borderId="9" xfId="0" applyFont="1" applyBorder="1"/>
    <xf numFmtId="0" fontId="18" fillId="0" borderId="11" xfId="0" applyFont="1" applyBorder="1"/>
    <xf numFmtId="0" fontId="18" fillId="0" borderId="12" xfId="0" applyFont="1" applyBorder="1"/>
    <xf numFmtId="2" fontId="18" fillId="0" borderId="5" xfId="0" applyNumberFormat="1" applyFont="1" applyFill="1" applyBorder="1" applyAlignment="1" applyProtection="1">
      <alignment horizontal="center"/>
    </xf>
    <xf numFmtId="2" fontId="18" fillId="4" borderId="5" xfId="0" applyNumberFormat="1" applyFont="1" applyFill="1" applyBorder="1" applyAlignment="1" applyProtection="1">
      <alignment horizontal="center"/>
      <protection locked="0"/>
    </xf>
    <xf numFmtId="0" fontId="18" fillId="0" borderId="3" xfId="0" applyFont="1" applyBorder="1"/>
    <xf numFmtId="0" fontId="18" fillId="0" borderId="4" xfId="0" applyFont="1" applyBorder="1"/>
    <xf numFmtId="0" fontId="18" fillId="4" borderId="5" xfId="0" applyNumberFormat="1" applyFont="1" applyFill="1" applyBorder="1" applyAlignment="1" applyProtection="1">
      <alignment horizontal="center"/>
      <protection locked="0"/>
    </xf>
    <xf numFmtId="1" fontId="18" fillId="0" borderId="5" xfId="0" applyNumberFormat="1" applyFont="1" applyBorder="1" applyAlignment="1">
      <alignment horizontal="center"/>
    </xf>
    <xf numFmtId="0" fontId="18" fillId="0" borderId="7" xfId="0" applyFont="1" applyBorder="1" applyAlignment="1"/>
    <xf numFmtId="0" fontId="18" fillId="0" borderId="15" xfId="0" applyFont="1" applyFill="1" applyBorder="1" applyAlignment="1">
      <alignment horizontal="center"/>
    </xf>
    <xf numFmtId="0" fontId="18" fillId="0" borderId="5" xfId="0" applyFont="1" applyFill="1" applyBorder="1" applyAlignment="1" applyProtection="1">
      <alignment horizontal="center"/>
    </xf>
    <xf numFmtId="0" fontId="18" fillId="4" borderId="5" xfId="0" applyFont="1" applyFill="1" applyBorder="1" applyAlignment="1" applyProtection="1">
      <alignment horizontal="center"/>
      <protection locked="0"/>
    </xf>
    <xf numFmtId="0" fontId="18" fillId="0" borderId="7" xfId="0" applyFont="1" applyBorder="1"/>
    <xf numFmtId="0" fontId="18" fillId="0" borderId="0" xfId="0" applyFont="1" applyAlignment="1"/>
    <xf numFmtId="0" fontId="18" fillId="0" borderId="0" xfId="0" applyFont="1" applyFill="1" applyBorder="1"/>
    <xf numFmtId="0" fontId="18" fillId="0" borderId="0" xfId="10" applyFont="1" applyBorder="1" applyAlignment="1" applyProtection="1">
      <alignment horizontal="center"/>
    </xf>
    <xf numFmtId="0" fontId="18" fillId="0" borderId="0" xfId="0" applyFont="1" applyAlignment="1">
      <alignment horizontal="center"/>
    </xf>
    <xf numFmtId="0" fontId="18" fillId="0" borderId="13" xfId="10" applyFont="1" applyBorder="1" applyAlignment="1" applyProtection="1"/>
    <xf numFmtId="0" fontId="18" fillId="0" borderId="16" xfId="10" applyFont="1" applyBorder="1" applyAlignment="1" applyProtection="1"/>
    <xf numFmtId="0" fontId="18" fillId="0" borderId="15" xfId="10" applyFont="1" applyBorder="1" applyAlignment="1" applyProtection="1"/>
    <xf numFmtId="0" fontId="18" fillId="0" borderId="5" xfId="0" applyFont="1" applyBorder="1"/>
    <xf numFmtId="2" fontId="18" fillId="0" borderId="13" xfId="0" applyNumberFormat="1" applyFont="1" applyBorder="1" applyAlignment="1">
      <alignment horizontal="center"/>
    </xf>
    <xf numFmtId="2" fontId="18" fillId="0" borderId="16" xfId="0" applyNumberFormat="1" applyFont="1" applyBorder="1" applyAlignment="1">
      <alignment horizontal="center"/>
    </xf>
    <xf numFmtId="2" fontId="18" fillId="0" borderId="15" xfId="0" applyNumberFormat="1" applyFont="1" applyBorder="1" applyAlignment="1">
      <alignment horizontal="center"/>
    </xf>
    <xf numFmtId="0" fontId="18" fillId="0" borderId="5" xfId="10" applyBorder="1" applyAlignment="1">
      <alignment wrapText="1"/>
    </xf>
    <xf numFmtId="0" fontId="18" fillId="0" borderId="13" xfId="10" applyFont="1" applyBorder="1" applyAlignment="1" applyProtection="1">
      <alignment horizontal="center"/>
    </xf>
    <xf numFmtId="0" fontId="18" fillId="0" borderId="16" xfId="10" applyFont="1" applyBorder="1" applyAlignment="1" applyProtection="1">
      <alignment horizontal="center"/>
    </xf>
    <xf numFmtId="0" fontId="18" fillId="0" borderId="15" xfId="10" applyFont="1" applyBorder="1" applyAlignment="1" applyProtection="1">
      <alignment horizontal="center"/>
    </xf>
    <xf numFmtId="164" fontId="18" fillId="0" borderId="13" xfId="10" applyNumberFormat="1" applyFont="1" applyBorder="1" applyAlignment="1">
      <alignment horizontal="center"/>
    </xf>
    <xf numFmtId="164" fontId="18" fillId="0" borderId="16" xfId="10" applyNumberFormat="1" applyFont="1" applyBorder="1" applyAlignment="1">
      <alignment horizontal="center"/>
    </xf>
    <xf numFmtId="164" fontId="18" fillId="0" borderId="15" xfId="10" applyNumberFormat="1" applyFont="1" applyBorder="1" applyAlignment="1">
      <alignment horizontal="center"/>
    </xf>
    <xf numFmtId="0" fontId="3" fillId="0" borderId="8" xfId="0" applyFont="1" applyBorder="1" applyAlignment="1">
      <alignment horizontal="right"/>
    </xf>
    <xf numFmtId="0" fontId="18" fillId="0" borderId="13" xfId="10" applyNumberFormat="1" applyFont="1" applyBorder="1" applyAlignment="1">
      <alignment horizontal="center"/>
    </xf>
    <xf numFmtId="164" fontId="18" fillId="0" borderId="5" xfId="0" applyNumberFormat="1" applyFont="1" applyFill="1" applyBorder="1" applyAlignment="1" applyProtection="1">
      <alignment horizontal="center"/>
    </xf>
    <xf numFmtId="164" fontId="18" fillId="4" borderId="5" xfId="0" applyNumberFormat="1" applyFont="1" applyFill="1" applyBorder="1" applyAlignment="1" applyProtection="1">
      <alignment horizontal="center"/>
      <protection locked="0"/>
    </xf>
    <xf numFmtId="0" fontId="18" fillId="0" borderId="13" xfId="0" applyFont="1" applyBorder="1"/>
    <xf numFmtId="0" fontId="18" fillId="0" borderId="15" xfId="0" applyFont="1" applyBorder="1"/>
    <xf numFmtId="2" fontId="18" fillId="0" borderId="13" xfId="10" applyNumberFormat="1" applyFont="1" applyBorder="1" applyAlignment="1">
      <alignment horizontal="center"/>
    </xf>
    <xf numFmtId="2" fontId="18" fillId="0" borderId="16" xfId="10" applyNumberFormat="1" applyFont="1" applyBorder="1" applyAlignment="1">
      <alignment horizontal="center"/>
    </xf>
    <xf numFmtId="2" fontId="18" fillId="0" borderId="15" xfId="10" applyNumberFormat="1" applyFont="1" applyBorder="1" applyAlignment="1">
      <alignment horizontal="center"/>
    </xf>
    <xf numFmtId="0" fontId="3" fillId="0" borderId="5" xfId="0" applyFont="1" applyBorder="1"/>
    <xf numFmtId="0" fontId="18" fillId="0" borderId="5" xfId="0" applyNumberFormat="1" applyFont="1" applyFill="1" applyBorder="1" applyAlignment="1" applyProtection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3" fillId="0" borderId="2" xfId="0" applyFont="1" applyBorder="1" applyAlignment="1"/>
    <xf numFmtId="0" fontId="3" fillId="0" borderId="7" xfId="0" applyFont="1" applyBorder="1"/>
    <xf numFmtId="10" fontId="18" fillId="0" borderId="13" xfId="0" applyNumberFormat="1" applyFont="1" applyFill="1" applyBorder="1" applyAlignment="1">
      <alignment horizontal="center"/>
    </xf>
    <xf numFmtId="10" fontId="18" fillId="0" borderId="15" xfId="0" applyNumberFormat="1" applyFont="1" applyFill="1" applyBorder="1" applyAlignment="1">
      <alignment horizontal="center"/>
    </xf>
    <xf numFmtId="164" fontId="18" fillId="0" borderId="13" xfId="0" applyNumberFormat="1" applyFont="1" applyFill="1" applyBorder="1" applyAlignment="1">
      <alignment horizontal="center"/>
    </xf>
    <xf numFmtId="164" fontId="18" fillId="0" borderId="15" xfId="0" applyNumberFormat="1" applyFont="1" applyFill="1" applyBorder="1" applyAlignment="1">
      <alignment horizontal="center"/>
    </xf>
    <xf numFmtId="2" fontId="18" fillId="0" borderId="5" xfId="0" applyNumberFormat="1" applyFont="1" applyFill="1" applyBorder="1" applyAlignment="1">
      <alignment horizontal="center"/>
    </xf>
    <xf numFmtId="164" fontId="18" fillId="4" borderId="13" xfId="0" applyNumberFormat="1" applyFont="1" applyFill="1" applyBorder="1" applyAlignment="1" applyProtection="1">
      <alignment horizontal="center"/>
      <protection locked="0"/>
    </xf>
    <xf numFmtId="164" fontId="18" fillId="4" borderId="15" xfId="0" applyNumberFormat="1" applyFont="1" applyFill="1" applyBorder="1" applyAlignment="1" applyProtection="1">
      <alignment horizontal="center"/>
      <protection locked="0"/>
    </xf>
    <xf numFmtId="0" fontId="18" fillId="0" borderId="5" xfId="0" applyNumberFormat="1" applyFont="1" applyBorder="1"/>
    <xf numFmtId="0" fontId="18" fillId="0" borderId="16" xfId="0" applyFont="1" applyBorder="1"/>
    <xf numFmtId="0" fontId="18" fillId="0" borderId="0" xfId="10" applyFont="1" applyBorder="1" applyAlignment="1">
      <alignment horizontal="center"/>
    </xf>
    <xf numFmtId="0" fontId="18" fillId="0" borderId="0" xfId="10" applyFont="1" applyAlignment="1">
      <alignment horizontal="center"/>
    </xf>
    <xf numFmtId="0" fontId="18" fillId="0" borderId="16" xfId="10" applyNumberFormat="1" applyFont="1" applyBorder="1" applyAlignment="1">
      <alignment horizontal="center"/>
    </xf>
    <xf numFmtId="0" fontId="18" fillId="0" borderId="15" xfId="10" applyNumberFormat="1" applyFont="1" applyBorder="1" applyAlignment="1">
      <alignment horizontal="center"/>
    </xf>
    <xf numFmtId="164" fontId="18" fillId="3" borderId="5" xfId="0" applyNumberFormat="1" applyFont="1" applyFill="1" applyBorder="1" applyAlignment="1" applyProtection="1">
      <alignment horizontal="center"/>
      <protection locked="0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164" fontId="18" fillId="0" borderId="5" xfId="0" applyNumberFormat="1" applyFont="1" applyFill="1" applyBorder="1" applyAlignment="1">
      <alignment horizontal="center"/>
    </xf>
    <xf numFmtId="0" fontId="11" fillId="0" borderId="0" xfId="0" applyFont="1"/>
    <xf numFmtId="0" fontId="11" fillId="0" borderId="5" xfId="0" applyFont="1" applyBorder="1" applyAlignment="1">
      <alignment horizontal="center"/>
    </xf>
    <xf numFmtId="0" fontId="18" fillId="0" borderId="9" xfId="0" applyFont="1" applyBorder="1" applyAlignment="1"/>
    <xf numFmtId="0" fontId="11" fillId="0" borderId="15" xfId="0" applyFont="1" applyBorder="1" applyAlignment="1">
      <alignment horizontal="center"/>
    </xf>
    <xf numFmtId="1" fontId="18" fillId="0" borderId="13" xfId="0" applyNumberFormat="1" applyFont="1" applyBorder="1" applyAlignment="1">
      <alignment horizontal="center"/>
    </xf>
    <xf numFmtId="1" fontId="18" fillId="0" borderId="15" xfId="0" applyNumberFormat="1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2" fontId="18" fillId="0" borderId="5" xfId="0" applyNumberFormat="1" applyFont="1" applyBorder="1" applyAlignment="1">
      <alignment horizontal="center"/>
    </xf>
    <xf numFmtId="2" fontId="18" fillId="0" borderId="0" xfId="0" applyNumberFormat="1" applyFont="1" applyAlignment="1">
      <alignment horizontal="center"/>
    </xf>
    <xf numFmtId="1" fontId="18" fillId="0" borderId="5" xfId="0" applyNumberFormat="1" applyFont="1" applyFill="1" applyBorder="1" applyAlignment="1" applyProtection="1">
      <alignment horizontal="center"/>
    </xf>
    <xf numFmtId="10" fontId="18" fillId="0" borderId="13" xfId="0" applyNumberFormat="1" applyFont="1" applyBorder="1" applyAlignment="1">
      <alignment horizontal="center"/>
    </xf>
    <xf numFmtId="10" fontId="18" fillId="0" borderId="15" xfId="0" applyNumberFormat="1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8" fillId="0" borderId="8" xfId="0" applyFont="1" applyBorder="1" applyAlignment="1"/>
    <xf numFmtId="0" fontId="18" fillId="0" borderId="11" xfId="0" applyFont="1" applyBorder="1" applyAlignment="1"/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3" fillId="2" borderId="5" xfId="0" applyNumberFormat="1" applyFont="1" applyFill="1" applyBorder="1" applyProtection="1">
      <protection locked="0"/>
    </xf>
    <xf numFmtId="0" fontId="18" fillId="0" borderId="5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49" fontId="18" fillId="4" borderId="5" xfId="0" applyNumberFormat="1" applyFont="1" applyFill="1" applyBorder="1" applyAlignment="1" applyProtection="1">
      <alignment horizontal="center"/>
      <protection locked="0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28" fillId="0" borderId="2" xfId="0" applyFont="1" applyBorder="1"/>
    <xf numFmtId="0" fontId="28" fillId="0" borderId="13" xfId="0" applyFont="1" applyBorder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5" xfId="0" applyFont="1" applyBorder="1" applyAlignment="1">
      <alignment horizontal="center"/>
    </xf>
    <xf numFmtId="0" fontId="28" fillId="0" borderId="16" xfId="0" applyFont="1" applyBorder="1"/>
    <xf numFmtId="0" fontId="28" fillId="0" borderId="15" xfId="0" applyFont="1" applyBorder="1"/>
    <xf numFmtId="0" fontId="28" fillId="0" borderId="13" xfId="10" applyFont="1" applyBorder="1" applyAlignment="1">
      <alignment horizontal="center"/>
    </xf>
    <xf numFmtId="0" fontId="28" fillId="0" borderId="16" xfId="10" applyFont="1" applyBorder="1" applyAlignment="1">
      <alignment horizontal="center"/>
    </xf>
    <xf numFmtId="0" fontId="28" fillId="0" borderId="16" xfId="10" applyFont="1" applyFill="1" applyBorder="1" applyAlignment="1">
      <alignment horizontal="center"/>
    </xf>
    <xf numFmtId="0" fontId="28" fillId="0" borderId="15" xfId="10" applyFont="1" applyFill="1" applyBorder="1" applyAlignment="1">
      <alignment horizontal="center"/>
    </xf>
    <xf numFmtId="0" fontId="28" fillId="0" borderId="15" xfId="10" applyFont="1" applyBorder="1" applyAlignment="1">
      <alignment horizontal="center"/>
    </xf>
    <xf numFmtId="0" fontId="28" fillId="0" borderId="13" xfId="0" applyFont="1" applyBorder="1"/>
    <xf numFmtId="164" fontId="28" fillId="0" borderId="13" xfId="10" applyNumberFormat="1" applyFont="1" applyBorder="1" applyAlignment="1">
      <alignment horizontal="center"/>
    </xf>
    <xf numFmtId="164" fontId="28" fillId="0" borderId="16" xfId="10" applyNumberFormat="1" applyFont="1" applyBorder="1" applyAlignment="1">
      <alignment horizontal="center"/>
    </xf>
    <xf numFmtId="164" fontId="28" fillId="0" borderId="15" xfId="10" applyNumberFormat="1" applyFont="1" applyBorder="1" applyAlignment="1">
      <alignment horizontal="center"/>
    </xf>
    <xf numFmtId="0" fontId="28" fillId="0" borderId="13" xfId="10" applyNumberFormat="1" applyFont="1" applyBorder="1" applyAlignment="1">
      <alignment horizontal="center"/>
    </xf>
    <xf numFmtId="0" fontId="28" fillId="0" borderId="16" xfId="10" applyNumberFormat="1" applyFont="1" applyBorder="1" applyAlignment="1">
      <alignment horizontal="center"/>
    </xf>
    <xf numFmtId="0" fontId="28" fillId="0" borderId="13" xfId="10" applyFont="1" applyBorder="1" applyAlignment="1">
      <alignment horizontal="center" wrapText="1"/>
    </xf>
    <xf numFmtId="0" fontId="28" fillId="0" borderId="0" xfId="0" applyFont="1"/>
    <xf numFmtId="0" fontId="28" fillId="0" borderId="16" xfId="10" applyFont="1" applyBorder="1" applyAlignment="1">
      <alignment horizontal="center" wrapText="1"/>
    </xf>
    <xf numFmtId="0" fontId="28" fillId="0" borderId="15" xfId="10" applyFont="1" applyBorder="1" applyAlignment="1">
      <alignment horizontal="center" wrapText="1"/>
    </xf>
    <xf numFmtId="0" fontId="28" fillId="0" borderId="13" xfId="0" applyNumberFormat="1" applyFont="1" applyBorder="1" applyAlignment="1">
      <alignment horizontal="center"/>
    </xf>
    <xf numFmtId="0" fontId="28" fillId="0" borderId="16" xfId="0" applyNumberFormat="1" applyFont="1" applyBorder="1" applyAlignment="1">
      <alignment horizontal="center"/>
    </xf>
    <xf numFmtId="0" fontId="28" fillId="0" borderId="15" xfId="0" applyNumberFormat="1" applyFont="1" applyBorder="1" applyAlignment="1">
      <alignment horizontal="center"/>
    </xf>
    <xf numFmtId="0" fontId="28" fillId="0" borderId="15" xfId="10" applyNumberFormat="1" applyFont="1" applyBorder="1" applyAlignment="1">
      <alignment horizontal="center"/>
    </xf>
    <xf numFmtId="2" fontId="28" fillId="0" borderId="13" xfId="0" applyNumberFormat="1" applyFont="1" applyBorder="1" applyAlignment="1">
      <alignment horizontal="center"/>
    </xf>
    <xf numFmtId="2" fontId="28" fillId="0" borderId="16" xfId="0" applyNumberFormat="1" applyFont="1" applyBorder="1" applyAlignment="1">
      <alignment horizontal="center"/>
    </xf>
    <xf numFmtId="2" fontId="28" fillId="0" borderId="15" xfId="0" applyNumberFormat="1" applyFont="1" applyBorder="1" applyAlignment="1">
      <alignment horizontal="center"/>
    </xf>
    <xf numFmtId="2" fontId="28" fillId="0" borderId="13" xfId="10" applyNumberFormat="1" applyFont="1" applyBorder="1" applyAlignment="1">
      <alignment horizontal="center"/>
    </xf>
    <xf numFmtId="2" fontId="28" fillId="0" borderId="16" xfId="10" applyNumberFormat="1" applyFont="1" applyBorder="1" applyAlignment="1">
      <alignment horizontal="center"/>
    </xf>
    <xf numFmtId="2" fontId="28" fillId="0" borderId="15" xfId="10" applyNumberFormat="1" applyFont="1" applyBorder="1" applyAlignment="1">
      <alignment horizontal="center"/>
    </xf>
    <xf numFmtId="49" fontId="28" fillId="0" borderId="13" xfId="10" applyNumberFormat="1" applyFont="1" applyBorder="1" applyAlignment="1">
      <alignment horizontal="center"/>
    </xf>
    <xf numFmtId="49" fontId="28" fillId="0" borderId="16" xfId="10" applyNumberFormat="1" applyFont="1" applyBorder="1" applyAlignment="1">
      <alignment horizontal="center"/>
    </xf>
    <xf numFmtId="49" fontId="28" fillId="0" borderId="15" xfId="10" applyNumberFormat="1" applyFont="1" applyBorder="1" applyAlignment="1">
      <alignment horizontal="center"/>
    </xf>
    <xf numFmtId="0" fontId="28" fillId="0" borderId="13" xfId="10" applyFont="1" applyBorder="1" applyAlignment="1" applyProtection="1">
      <alignment horizontal="center"/>
    </xf>
    <xf numFmtId="0" fontId="28" fillId="0" borderId="16" xfId="10" applyFont="1" applyBorder="1" applyAlignment="1" applyProtection="1">
      <alignment horizontal="center"/>
    </xf>
    <xf numFmtId="0" fontId="28" fillId="0" borderId="15" xfId="10" applyFont="1" applyBorder="1" applyAlignment="1" applyProtection="1">
      <alignment horizontal="center"/>
    </xf>
    <xf numFmtId="0" fontId="28" fillId="0" borderId="13" xfId="10" applyFont="1" applyBorder="1" applyAlignment="1" applyProtection="1"/>
    <xf numFmtId="0" fontId="28" fillId="0" borderId="16" xfId="10" applyFont="1" applyBorder="1" applyAlignment="1" applyProtection="1"/>
    <xf numFmtId="0" fontId="28" fillId="0" borderId="15" xfId="10" applyFont="1" applyBorder="1" applyAlignment="1" applyProtection="1"/>
    <xf numFmtId="0" fontId="3" fillId="3" borderId="0" xfId="0" applyFont="1" applyFill="1" applyProtection="1"/>
    <xf numFmtId="0" fontId="18" fillId="0" borderId="0" xfId="0" applyFont="1" applyProtection="1"/>
    <xf numFmtId="0" fontId="3" fillId="3" borderId="5" xfId="0" applyFont="1" applyFill="1" applyBorder="1" applyProtection="1"/>
    <xf numFmtId="0" fontId="11" fillId="0" borderId="16" xfId="0" applyFont="1" applyBorder="1" applyAlignment="1" applyProtection="1">
      <alignment horizontal="center"/>
    </xf>
    <xf numFmtId="0" fontId="18" fillId="0" borderId="15" xfId="0" applyFont="1" applyBorder="1" applyAlignment="1" applyProtection="1">
      <alignment horizontal="center"/>
    </xf>
    <xf numFmtId="0" fontId="18" fillId="3" borderId="5" xfId="0" applyNumberFormat="1" applyFont="1" applyFill="1" applyBorder="1" applyAlignment="1" applyProtection="1">
      <alignment horizontal="center"/>
    </xf>
    <xf numFmtId="0" fontId="18" fillId="0" borderId="7" xfId="0" applyFont="1" applyBorder="1" applyAlignment="1" applyProtection="1"/>
    <xf numFmtId="0" fontId="3" fillId="0" borderId="8" xfId="0" applyFont="1" applyBorder="1" applyAlignment="1" applyProtection="1">
      <alignment horizontal="right"/>
    </xf>
    <xf numFmtId="0" fontId="18" fillId="0" borderId="8" xfId="0" applyFont="1" applyBorder="1" applyProtection="1"/>
    <xf numFmtId="0" fontId="18" fillId="0" borderId="9" xfId="0" applyFont="1" applyBorder="1" applyAlignment="1" applyProtection="1"/>
    <xf numFmtId="0" fontId="18" fillId="0" borderId="16" xfId="0" applyFont="1" applyBorder="1" applyAlignment="1" applyProtection="1">
      <alignment horizontal="center"/>
    </xf>
    <xf numFmtId="0" fontId="18" fillId="0" borderId="15" xfId="0" applyFont="1" applyFill="1" applyBorder="1" applyAlignment="1" applyProtection="1">
      <alignment horizontal="center"/>
    </xf>
    <xf numFmtId="0" fontId="11" fillId="0" borderId="15" xfId="0" applyFont="1" applyFill="1" applyBorder="1" applyAlignment="1" applyProtection="1">
      <alignment horizontal="center"/>
    </xf>
    <xf numFmtId="164" fontId="18" fillId="4" borderId="5" xfId="0" applyNumberFormat="1" applyFont="1" applyFill="1" applyBorder="1" applyAlignment="1" applyProtection="1">
      <alignment horizontal="center"/>
    </xf>
    <xf numFmtId="0" fontId="18" fillId="4" borderId="5" xfId="0" applyNumberFormat="1" applyFont="1" applyFill="1" applyBorder="1" applyAlignment="1" applyProtection="1">
      <alignment horizontal="center"/>
    </xf>
    <xf numFmtId="2" fontId="18" fillId="4" borderId="5" xfId="0" applyNumberFormat="1" applyFont="1" applyFill="1" applyBorder="1" applyAlignment="1" applyProtection="1">
      <alignment horizontal="center"/>
    </xf>
    <xf numFmtId="49" fontId="18" fillId="4" borderId="5" xfId="0" applyNumberFormat="1" applyFont="1" applyFill="1" applyBorder="1" applyAlignment="1" applyProtection="1">
      <alignment horizontal="center"/>
    </xf>
    <xf numFmtId="0" fontId="18" fillId="0" borderId="16" xfId="0" applyFont="1" applyBorder="1" applyProtection="1"/>
    <xf numFmtId="0" fontId="11" fillId="0" borderId="5" xfId="0" applyFont="1" applyBorder="1" applyAlignment="1" applyProtection="1">
      <alignment horizontal="center"/>
    </xf>
    <xf numFmtId="0" fontId="11" fillId="0" borderId="15" xfId="0" applyFont="1" applyBorder="1" applyAlignment="1" applyProtection="1">
      <alignment horizontal="center"/>
    </xf>
    <xf numFmtId="0" fontId="18" fillId="4" borderId="5" xfId="0" applyFont="1" applyFill="1" applyBorder="1" applyAlignment="1" applyProtection="1">
      <alignment horizontal="center"/>
    </xf>
    <xf numFmtId="0" fontId="11" fillId="0" borderId="0" xfId="0" applyFont="1" applyProtection="1"/>
    <xf numFmtId="0" fontId="3" fillId="0" borderId="2" xfId="0" applyFont="1" applyBorder="1" applyAlignment="1" applyProtection="1"/>
    <xf numFmtId="0" fontId="18" fillId="0" borderId="3" xfId="0" applyFont="1" applyBorder="1" applyProtection="1"/>
    <xf numFmtId="0" fontId="18" fillId="0" borderId="4" xfId="0" applyFont="1" applyBorder="1" applyProtection="1"/>
    <xf numFmtId="0" fontId="18" fillId="0" borderId="5" xfId="0" applyFont="1" applyBorder="1" applyAlignment="1" applyProtection="1">
      <alignment horizontal="center"/>
    </xf>
    <xf numFmtId="0" fontId="18" fillId="0" borderId="7" xfId="0" applyFont="1" applyBorder="1" applyProtection="1"/>
    <xf numFmtId="0" fontId="18" fillId="0" borderId="9" xfId="0" applyFont="1" applyBorder="1" applyProtection="1"/>
    <xf numFmtId="0" fontId="18" fillId="0" borderId="11" xfId="0" applyFont="1" applyBorder="1" applyProtection="1"/>
    <xf numFmtId="0" fontId="18" fillId="0" borderId="12" xfId="0" applyFont="1" applyBorder="1" applyProtection="1"/>
    <xf numFmtId="0" fontId="3" fillId="0" borderId="7" xfId="0" applyFont="1" applyBorder="1" applyProtection="1"/>
    <xf numFmtId="0" fontId="18" fillId="0" borderId="13" xfId="0" applyFont="1" applyBorder="1" applyAlignment="1" applyProtection="1">
      <alignment horizontal="center"/>
    </xf>
    <xf numFmtId="0" fontId="18" fillId="0" borderId="2" xfId="0" applyFont="1" applyBorder="1" applyProtection="1"/>
    <xf numFmtId="1" fontId="18" fillId="0" borderId="5" xfId="0" applyNumberFormat="1" applyFont="1" applyBorder="1" applyAlignment="1" applyProtection="1">
      <alignment horizontal="center"/>
    </xf>
    <xf numFmtId="0" fontId="3" fillId="0" borderId="0" xfId="0" applyFont="1" applyProtection="1"/>
    <xf numFmtId="10" fontId="18" fillId="0" borderId="13" xfId="0" applyNumberFormat="1" applyFont="1" applyFill="1" applyBorder="1" applyAlignment="1" applyProtection="1">
      <alignment horizontal="center"/>
    </xf>
    <xf numFmtId="10" fontId="18" fillId="0" borderId="13" xfId="0" applyNumberFormat="1" applyFont="1" applyBorder="1" applyAlignment="1" applyProtection="1">
      <alignment horizontal="center"/>
    </xf>
    <xf numFmtId="10" fontId="18" fillId="0" borderId="15" xfId="0" applyNumberFormat="1" applyFont="1" applyFill="1" applyBorder="1" applyAlignment="1" applyProtection="1">
      <alignment horizontal="center"/>
    </xf>
    <xf numFmtId="10" fontId="18" fillId="0" borderId="15" xfId="0" applyNumberFormat="1" applyFont="1" applyBorder="1" applyAlignment="1" applyProtection="1">
      <alignment horizontal="center"/>
    </xf>
    <xf numFmtId="0" fontId="18" fillId="0" borderId="8" xfId="0" applyFont="1" applyBorder="1" applyAlignment="1" applyProtection="1"/>
    <xf numFmtId="1" fontId="18" fillId="0" borderId="13" xfId="0" applyNumberFormat="1" applyFont="1" applyBorder="1" applyAlignment="1" applyProtection="1">
      <alignment horizontal="center"/>
    </xf>
    <xf numFmtId="0" fontId="18" fillId="0" borderId="11" xfId="0" applyFont="1" applyBorder="1" applyAlignment="1" applyProtection="1"/>
    <xf numFmtId="1" fontId="18" fillId="0" borderId="15" xfId="0" applyNumberFormat="1" applyFont="1" applyBorder="1" applyAlignment="1" applyProtection="1">
      <alignment horizontal="center"/>
    </xf>
    <xf numFmtId="0" fontId="18" fillId="0" borderId="12" xfId="0" applyFont="1" applyBorder="1" applyAlignment="1" applyProtection="1"/>
    <xf numFmtId="2" fontId="18" fillId="0" borderId="5" xfId="0" applyNumberFormat="1" applyFont="1" applyBorder="1" applyAlignment="1" applyProtection="1">
      <alignment horizontal="center"/>
    </xf>
    <xf numFmtId="0" fontId="18" fillId="0" borderId="0" xfId="0" applyFont="1" applyAlignment="1" applyProtection="1"/>
    <xf numFmtId="0" fontId="18" fillId="0" borderId="0" xfId="0" applyFont="1" applyFill="1" applyBorder="1" applyProtection="1"/>
    <xf numFmtId="0" fontId="18" fillId="0" borderId="0" xfId="0" applyFont="1" applyAlignment="1" applyProtection="1">
      <alignment horizontal="center"/>
    </xf>
    <xf numFmtId="0" fontId="28" fillId="0" borderId="5" xfId="0" applyFont="1" applyBorder="1" applyAlignment="1" applyProtection="1">
      <alignment horizontal="center"/>
    </xf>
    <xf numFmtId="0" fontId="28" fillId="0" borderId="13" xfId="0" applyFont="1" applyBorder="1" applyAlignment="1" applyProtection="1">
      <alignment horizontal="center"/>
    </xf>
    <xf numFmtId="0" fontId="28" fillId="0" borderId="16" xfId="0" applyFont="1" applyBorder="1" applyAlignment="1" applyProtection="1">
      <alignment horizontal="center"/>
    </xf>
    <xf numFmtId="0" fontId="28" fillId="0" borderId="16" xfId="0" applyFont="1" applyBorder="1" applyProtection="1"/>
    <xf numFmtId="0" fontId="28" fillId="0" borderId="15" xfId="0" applyFont="1" applyBorder="1" applyProtection="1"/>
    <xf numFmtId="0" fontId="28" fillId="0" borderId="15" xfId="0" applyFont="1" applyBorder="1" applyAlignment="1" applyProtection="1">
      <alignment horizontal="center"/>
    </xf>
    <xf numFmtId="0" fontId="18" fillId="0" borderId="0" xfId="10" applyFont="1" applyAlignment="1" applyProtection="1">
      <alignment horizontal="center"/>
    </xf>
    <xf numFmtId="164" fontId="28" fillId="0" borderId="13" xfId="10" applyNumberFormat="1" applyFont="1" applyBorder="1" applyAlignment="1" applyProtection="1">
      <alignment horizontal="center"/>
    </xf>
    <xf numFmtId="0" fontId="28" fillId="0" borderId="13" xfId="10" applyNumberFormat="1" applyFont="1" applyBorder="1" applyAlignment="1" applyProtection="1">
      <alignment horizontal="center"/>
    </xf>
    <xf numFmtId="2" fontId="28" fillId="0" borderId="13" xfId="10" applyNumberFormat="1" applyFont="1" applyBorder="1" applyAlignment="1" applyProtection="1">
      <alignment horizontal="center"/>
    </xf>
    <xf numFmtId="164" fontId="28" fillId="0" borderId="16" xfId="10" applyNumberFormat="1" applyFont="1" applyBorder="1" applyAlignment="1" applyProtection="1">
      <alignment horizontal="center"/>
    </xf>
    <xf numFmtId="0" fontId="28" fillId="0" borderId="16" xfId="10" applyNumberFormat="1" applyFont="1" applyBorder="1" applyAlignment="1" applyProtection="1">
      <alignment horizontal="center"/>
    </xf>
    <xf numFmtId="2" fontId="28" fillId="0" borderId="16" xfId="10" applyNumberFormat="1" applyFont="1" applyBorder="1" applyAlignment="1" applyProtection="1">
      <alignment horizontal="center"/>
    </xf>
    <xf numFmtId="164" fontId="28" fillId="0" borderId="15" xfId="10" applyNumberFormat="1" applyFont="1" applyBorder="1" applyAlignment="1" applyProtection="1">
      <alignment horizontal="center"/>
    </xf>
    <xf numFmtId="0" fontId="28" fillId="0" borderId="15" xfId="10" applyNumberFormat="1" applyFont="1" applyBorder="1" applyAlignment="1" applyProtection="1">
      <alignment horizontal="center"/>
    </xf>
    <xf numFmtId="0" fontId="18" fillId="0" borderId="15" xfId="10" applyNumberFormat="1" applyFont="1" applyBorder="1" applyAlignment="1" applyProtection="1">
      <alignment horizontal="center"/>
    </xf>
    <xf numFmtId="2" fontId="28" fillId="0" borderId="15" xfId="10" applyNumberFormat="1" applyFont="1" applyBorder="1" applyAlignment="1" applyProtection="1">
      <alignment horizontal="center"/>
    </xf>
    <xf numFmtId="0" fontId="28" fillId="0" borderId="13" xfId="0" applyFont="1" applyBorder="1" applyProtection="1"/>
    <xf numFmtId="2" fontId="28" fillId="0" borderId="13" xfId="0" applyNumberFormat="1" applyFont="1" applyBorder="1" applyAlignment="1" applyProtection="1">
      <alignment horizontal="center"/>
    </xf>
    <xf numFmtId="2" fontId="28" fillId="0" borderId="16" xfId="0" applyNumberFormat="1" applyFont="1" applyBorder="1" applyAlignment="1" applyProtection="1">
      <alignment horizontal="center"/>
    </xf>
    <xf numFmtId="2" fontId="28" fillId="0" borderId="15" xfId="0" applyNumberFormat="1" applyFont="1" applyBorder="1" applyAlignment="1" applyProtection="1">
      <alignment horizontal="center"/>
    </xf>
    <xf numFmtId="2" fontId="18" fillId="0" borderId="0" xfId="0" applyNumberFormat="1" applyFont="1" applyAlignment="1" applyProtection="1">
      <alignment horizontal="center"/>
    </xf>
    <xf numFmtId="0" fontId="28" fillId="0" borderId="2" xfId="0" applyFont="1" applyBorder="1" applyAlignment="1" applyProtection="1">
      <alignment horizontal="center"/>
    </xf>
    <xf numFmtId="0" fontId="28" fillId="0" borderId="5" xfId="0" applyFont="1" applyBorder="1" applyProtection="1"/>
    <xf numFmtId="0" fontId="28" fillId="0" borderId="5" xfId="0" applyNumberFormat="1" applyFont="1" applyBorder="1" applyProtection="1"/>
    <xf numFmtId="0" fontId="28" fillId="0" borderId="0" xfId="0" applyFont="1" applyProtection="1"/>
    <xf numFmtId="0" fontId="18" fillId="0" borderId="2" xfId="0" applyFont="1" applyBorder="1" applyProtection="1">
      <protection locked="0"/>
    </xf>
    <xf numFmtId="0" fontId="18" fillId="0" borderId="13" xfId="0" applyFont="1" applyBorder="1" applyAlignment="1" applyProtection="1">
      <alignment horizontal="center"/>
      <protection locked="0"/>
    </xf>
    <xf numFmtId="0" fontId="18" fillId="0" borderId="16" xfId="0" applyFont="1" applyBorder="1" applyAlignment="1" applyProtection="1">
      <alignment horizontal="center"/>
      <protection locked="0"/>
    </xf>
    <xf numFmtId="0" fontId="18" fillId="0" borderId="15" xfId="0" applyFont="1" applyBorder="1" applyAlignment="1" applyProtection="1">
      <alignment horizontal="center"/>
      <protection locked="0"/>
    </xf>
    <xf numFmtId="0" fontId="18" fillId="0" borderId="16" xfId="0" applyFont="1" applyBorder="1" applyProtection="1">
      <protection locked="0"/>
    </xf>
    <xf numFmtId="0" fontId="18" fillId="0" borderId="15" xfId="0" applyFont="1" applyBorder="1" applyProtection="1">
      <protection locked="0"/>
    </xf>
    <xf numFmtId="0" fontId="18" fillId="0" borderId="13" xfId="10" applyFont="1" applyBorder="1" applyAlignment="1" applyProtection="1">
      <alignment horizontal="center"/>
      <protection locked="0"/>
    </xf>
    <xf numFmtId="0" fontId="18" fillId="0" borderId="16" xfId="10" applyFont="1" applyBorder="1" applyAlignment="1" applyProtection="1">
      <alignment horizontal="center"/>
      <protection locked="0"/>
    </xf>
    <xf numFmtId="0" fontId="18" fillId="0" borderId="16" xfId="10" applyFont="1" applyFill="1" applyBorder="1" applyAlignment="1" applyProtection="1">
      <alignment horizontal="center"/>
      <protection locked="0"/>
    </xf>
    <xf numFmtId="0" fontId="18" fillId="0" borderId="15" xfId="10" applyFont="1" applyFill="1" applyBorder="1" applyAlignment="1" applyProtection="1">
      <alignment horizontal="center"/>
      <protection locked="0"/>
    </xf>
    <xf numFmtId="0" fontId="18" fillId="0" borderId="15" xfId="10" applyFont="1" applyBorder="1" applyAlignment="1" applyProtection="1">
      <alignment horizontal="center"/>
      <protection locked="0"/>
    </xf>
    <xf numFmtId="164" fontId="18" fillId="0" borderId="13" xfId="10" applyNumberFormat="1" applyFont="1" applyBorder="1" applyAlignment="1" applyProtection="1">
      <alignment horizontal="center"/>
      <protection locked="0"/>
    </xf>
    <xf numFmtId="164" fontId="18" fillId="0" borderId="16" xfId="10" applyNumberFormat="1" applyFont="1" applyBorder="1" applyAlignment="1" applyProtection="1">
      <alignment horizontal="center"/>
      <protection locked="0"/>
    </xf>
    <xf numFmtId="164" fontId="18" fillId="0" borderId="15" xfId="10" applyNumberFormat="1" applyFont="1" applyBorder="1" applyAlignment="1" applyProtection="1">
      <alignment horizontal="center"/>
      <protection locked="0"/>
    </xf>
    <xf numFmtId="0" fontId="18" fillId="0" borderId="13" xfId="10" applyNumberFormat="1" applyFont="1" applyBorder="1" applyAlignment="1" applyProtection="1">
      <alignment horizontal="center"/>
      <protection locked="0"/>
    </xf>
    <xf numFmtId="0" fontId="18" fillId="0" borderId="16" xfId="10" applyNumberFormat="1" applyFont="1" applyBorder="1" applyAlignment="1" applyProtection="1">
      <alignment horizontal="center"/>
      <protection locked="0"/>
    </xf>
    <xf numFmtId="0" fontId="18" fillId="0" borderId="15" xfId="10" applyNumberFormat="1" applyFont="1" applyBorder="1" applyAlignment="1" applyProtection="1">
      <alignment horizontal="center"/>
      <protection locked="0"/>
    </xf>
    <xf numFmtId="2" fontId="18" fillId="0" borderId="13" xfId="10" applyNumberFormat="1" applyFont="1" applyBorder="1" applyAlignment="1" applyProtection="1">
      <alignment horizontal="center"/>
      <protection locked="0"/>
    </xf>
    <xf numFmtId="2" fontId="18" fillId="0" borderId="16" xfId="10" applyNumberFormat="1" applyFont="1" applyBorder="1" applyAlignment="1" applyProtection="1">
      <alignment horizontal="center"/>
      <protection locked="0"/>
    </xf>
    <xf numFmtId="2" fontId="18" fillId="0" borderId="15" xfId="10" applyNumberFormat="1" applyFont="1" applyBorder="1" applyAlignment="1" applyProtection="1">
      <alignment horizontal="center"/>
      <protection locked="0"/>
    </xf>
    <xf numFmtId="49" fontId="18" fillId="0" borderId="13" xfId="10" applyNumberFormat="1" applyFont="1" applyBorder="1" applyAlignment="1" applyProtection="1">
      <alignment horizontal="center"/>
      <protection locked="0"/>
    </xf>
    <xf numFmtId="49" fontId="18" fillId="0" borderId="16" xfId="10" applyNumberFormat="1" applyFont="1" applyBorder="1" applyAlignment="1" applyProtection="1">
      <alignment horizontal="center"/>
      <protection locked="0"/>
    </xf>
    <xf numFmtId="49" fontId="18" fillId="0" borderId="15" xfId="10" applyNumberFormat="1" applyFont="1" applyBorder="1" applyAlignment="1" applyProtection="1">
      <alignment horizontal="center"/>
      <protection locked="0"/>
    </xf>
    <xf numFmtId="0" fontId="18" fillId="0" borderId="13" xfId="0" applyFont="1" applyBorder="1" applyProtection="1">
      <protection locked="0"/>
    </xf>
    <xf numFmtId="0" fontId="18" fillId="0" borderId="13" xfId="10" applyFont="1" applyBorder="1" applyAlignment="1" applyProtection="1">
      <alignment horizontal="center" wrapText="1"/>
      <protection locked="0"/>
    </xf>
    <xf numFmtId="0" fontId="18" fillId="0" borderId="16" xfId="10" applyFont="1" applyBorder="1" applyAlignment="1" applyProtection="1">
      <alignment horizontal="center" wrapText="1"/>
      <protection locked="0"/>
    </xf>
    <xf numFmtId="0" fontId="18" fillId="0" borderId="15" xfId="10" applyFont="1" applyBorder="1" applyAlignment="1" applyProtection="1">
      <alignment horizontal="center" wrapText="1"/>
      <protection locked="0"/>
    </xf>
    <xf numFmtId="0" fontId="18" fillId="0" borderId="0" xfId="0" applyFont="1" applyProtection="1">
      <protection locked="0"/>
    </xf>
    <xf numFmtId="0" fontId="18" fillId="0" borderId="13" xfId="0" applyNumberFormat="1" applyFont="1" applyBorder="1" applyAlignment="1" applyProtection="1">
      <alignment horizontal="center"/>
      <protection locked="0"/>
    </xf>
    <xf numFmtId="0" fontId="18" fillId="0" borderId="16" xfId="0" applyNumberFormat="1" applyFont="1" applyBorder="1" applyAlignment="1" applyProtection="1">
      <alignment horizontal="center"/>
      <protection locked="0"/>
    </xf>
    <xf numFmtId="2" fontId="18" fillId="0" borderId="13" xfId="0" applyNumberFormat="1" applyFont="1" applyBorder="1" applyAlignment="1" applyProtection="1">
      <alignment horizontal="center"/>
      <protection locked="0"/>
    </xf>
    <xf numFmtId="2" fontId="18" fillId="0" borderId="16" xfId="0" applyNumberFormat="1" applyFont="1" applyBorder="1" applyAlignment="1" applyProtection="1">
      <alignment horizontal="center"/>
      <protection locked="0"/>
    </xf>
    <xf numFmtId="2" fontId="18" fillId="0" borderId="15" xfId="0" applyNumberFormat="1" applyFont="1" applyBorder="1" applyAlignment="1" applyProtection="1">
      <alignment horizontal="center"/>
      <protection locked="0"/>
    </xf>
    <xf numFmtId="0" fontId="18" fillId="0" borderId="15" xfId="0" applyNumberFormat="1" applyFont="1" applyBorder="1" applyAlignment="1" applyProtection="1">
      <alignment horizontal="center"/>
      <protection locked="0"/>
    </xf>
    <xf numFmtId="0" fontId="18" fillId="0" borderId="13" xfId="0" applyFont="1" applyBorder="1" applyAlignment="1"/>
    <xf numFmtId="0" fontId="18" fillId="0" borderId="13" xfId="0" applyFont="1" applyBorder="1" applyAlignment="1">
      <alignment horizontal="center"/>
    </xf>
    <xf numFmtId="0" fontId="3" fillId="3" borderId="13" xfId="0" applyFont="1" applyFill="1" applyBorder="1" applyProtection="1"/>
    <xf numFmtId="0" fontId="11" fillId="0" borderId="13" xfId="0" applyFont="1" applyBorder="1" applyAlignment="1" applyProtection="1">
      <alignment horizontal="center"/>
    </xf>
    <xf numFmtId="0" fontId="18" fillId="0" borderId="13" xfId="0" applyFont="1" applyBorder="1" applyAlignment="1" applyProtection="1"/>
    <xf numFmtId="0" fontId="1" fillId="0" borderId="5" xfId="0" applyFont="1" applyBorder="1" applyAlignment="1">
      <alignment wrapText="1"/>
    </xf>
    <xf numFmtId="0" fontId="18" fillId="0" borderId="0" xfId="0" quotePrefix="1" applyFont="1"/>
    <xf numFmtId="0" fontId="29" fillId="3" borderId="5" xfId="0" applyFont="1" applyFill="1" applyBorder="1" applyProtection="1">
      <protection locked="0"/>
    </xf>
    <xf numFmtId="0" fontId="30" fillId="5" borderId="5" xfId="0" applyFont="1" applyFill="1" applyBorder="1" applyAlignment="1">
      <alignment horizontal="center"/>
    </xf>
    <xf numFmtId="0" fontId="18" fillId="0" borderId="0" xfId="0" applyFont="1" applyAlignment="1">
      <alignment wrapText="1"/>
    </xf>
    <xf numFmtId="0" fontId="31" fillId="5" borderId="5" xfId="0" applyFont="1" applyFill="1" applyBorder="1" applyAlignment="1">
      <alignment horizontal="center"/>
    </xf>
    <xf numFmtId="49" fontId="18" fillId="0" borderId="0" xfId="0" applyNumberFormat="1" applyFont="1" applyProtection="1"/>
    <xf numFmtId="0" fontId="4" fillId="0" borderId="0" xfId="0" applyFont="1" applyBorder="1" applyAlignment="1">
      <alignment vertical="center" wrapText="1"/>
    </xf>
    <xf numFmtId="0" fontId="13" fillId="0" borderId="0" xfId="0" applyFont="1" applyBorder="1" applyAlignment="1">
      <alignment vertical="center" wrapText="1"/>
    </xf>
    <xf numFmtId="0" fontId="12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wrapText="1"/>
    </xf>
    <xf numFmtId="0" fontId="10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3" fillId="0" borderId="1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8" fillId="0" borderId="2" xfId="0" applyFont="1" applyBorder="1" applyAlignment="1" applyProtection="1">
      <alignment horizontal="center"/>
    </xf>
    <xf numFmtId="0" fontId="18" fillId="0" borderId="3" xfId="0" applyFont="1" applyBorder="1" applyAlignment="1" applyProtection="1">
      <alignment horizontal="center"/>
    </xf>
    <xf numFmtId="0" fontId="18" fillId="0" borderId="4" xfId="0" applyFont="1" applyBorder="1" applyAlignment="1" applyProtection="1">
      <alignment horizontal="center"/>
    </xf>
    <xf numFmtId="0" fontId="28" fillId="0" borderId="5" xfId="0" applyFont="1" applyBorder="1" applyAlignment="1" applyProtection="1">
      <alignment horizontal="center"/>
    </xf>
    <xf numFmtId="0" fontId="18" fillId="0" borderId="7" xfId="0" applyFont="1" applyBorder="1" applyAlignment="1" applyProtection="1">
      <alignment horizontal="center" vertical="center"/>
    </xf>
    <xf numFmtId="0" fontId="18" fillId="0" borderId="8" xfId="0" applyFont="1" applyBorder="1" applyAlignment="1" applyProtection="1">
      <alignment horizontal="center" vertical="center"/>
    </xf>
    <xf numFmtId="0" fontId="18" fillId="0" borderId="9" xfId="0" applyFont="1" applyBorder="1" applyAlignment="1" applyProtection="1">
      <alignment horizontal="center" vertical="center"/>
    </xf>
    <xf numFmtId="0" fontId="18" fillId="0" borderId="10" xfId="0" applyFont="1" applyBorder="1" applyAlignment="1" applyProtection="1">
      <alignment horizontal="center" vertical="center"/>
    </xf>
    <xf numFmtId="0" fontId="18" fillId="0" borderId="11" xfId="0" applyFont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18" fillId="0" borderId="7" xfId="0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 wrapText="1"/>
    </xf>
    <xf numFmtId="0" fontId="0" fillId="0" borderId="10" xfId="0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horizontal="center"/>
    </xf>
    <xf numFmtId="0" fontId="3" fillId="0" borderId="9" xfId="0" applyFont="1" applyBorder="1" applyAlignment="1" applyProtection="1">
      <alignment horizontal="center"/>
    </xf>
    <xf numFmtId="0" fontId="18" fillId="0" borderId="7" xfId="0" applyFont="1" applyBorder="1" applyAlignment="1" applyProtection="1">
      <alignment horizontal="center"/>
    </xf>
    <xf numFmtId="0" fontId="18" fillId="0" borderId="9" xfId="0" applyFont="1" applyBorder="1" applyAlignment="1" applyProtection="1">
      <alignment horizontal="center"/>
    </xf>
    <xf numFmtId="0" fontId="18" fillId="0" borderId="6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18" fillId="0" borderId="14" xfId="0" applyFont="1" applyBorder="1" applyAlignment="1" applyProtection="1">
      <alignment horizontal="center"/>
    </xf>
    <xf numFmtId="0" fontId="18" fillId="0" borderId="2" xfId="0" applyNumberFormat="1" applyFont="1" applyBorder="1" applyAlignment="1" applyProtection="1">
      <alignment horizontal="center" vertical="center"/>
    </xf>
    <xf numFmtId="0" fontId="18" fillId="0" borderId="4" xfId="0" applyNumberFormat="1" applyFont="1" applyBorder="1" applyAlignment="1" applyProtection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8" fillId="0" borderId="2" xfId="0" applyNumberFormat="1" applyFont="1" applyBorder="1" applyAlignment="1">
      <alignment horizontal="center" vertical="center"/>
    </xf>
    <xf numFmtId="0" fontId="18" fillId="0" borderId="4" xfId="0" applyNumberFormat="1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8" fillId="0" borderId="3" xfId="0" applyFont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</cellXfs>
  <cellStyles count="18">
    <cellStyle name="Datum" xfId="1"/>
    <cellStyle name="Datum 2" xfId="11"/>
    <cellStyle name="Fest" xfId="2"/>
    <cellStyle name="Fest 2" xfId="12"/>
    <cellStyle name="Gesamt" xfId="3"/>
    <cellStyle name="Gesamt 2" xfId="13"/>
    <cellStyle name="Hyperlink" xfId="4" builtinId="8"/>
    <cellStyle name="Komma0" xfId="5"/>
    <cellStyle name="Komma0 2" xfId="14"/>
    <cellStyle name="Normal" xfId="0" builtinId="0"/>
    <cellStyle name="Standard 2" xfId="10"/>
    <cellStyle name="Standard_WalManVB_en" xfId="6"/>
    <cellStyle name="Währung0" xfId="7"/>
    <cellStyle name="Währung0 2" xfId="15"/>
    <cellStyle name="Zeile 1" xfId="8"/>
    <cellStyle name="Zeile 1 2" xfId="16"/>
    <cellStyle name="Zeile 2" xfId="9"/>
    <cellStyle name="Zeile 2 2" xfId="17"/>
  </cellStyles>
  <dxfs count="10">
    <dxf>
      <fill>
        <patternFill>
          <bgColor indexed="14"/>
        </patternFill>
      </fill>
    </dxf>
    <dxf>
      <fill>
        <patternFill>
          <bgColor indexed="11"/>
        </patternFill>
      </fill>
    </dxf>
    <dxf>
      <fill>
        <patternFill>
          <bgColor indexed="52"/>
        </patternFill>
      </fill>
    </dxf>
    <dxf>
      <fill>
        <patternFill>
          <bgColor rgb="FFFF6400"/>
        </patternFill>
      </fill>
    </dxf>
    <dxf>
      <fill>
        <patternFill>
          <bgColor rgb="FFFF6400"/>
        </patternFill>
      </fill>
    </dxf>
    <dxf>
      <fill>
        <patternFill>
          <bgColor rgb="FFFF6400"/>
        </patternFill>
      </fill>
    </dxf>
    <dxf>
      <fill>
        <patternFill>
          <bgColor rgb="FFFF6400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mruColors>
      <color rgb="FFFF64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'StB08-K'!$C$26</c:f>
              <c:strCache>
                <c:ptCount val="1"/>
                <c:pt idx="0">
                  <c:v>stress-strain curve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'StB08-K'!$A$98:$A$124</c:f>
              <c:numCache>
                <c:formatCode>General</c:formatCode>
                <c:ptCount val="27"/>
                <c:pt idx="0">
                  <c:v>0</c:v>
                </c:pt>
                <c:pt idx="1">
                  <c:v>8.0000000000000007E-5</c:v>
                </c:pt>
                <c:pt idx="2">
                  <c:v>1.6000000000000001E-4</c:v>
                </c:pt>
                <c:pt idx="3">
                  <c:v>2.4000000000000003E-4</c:v>
                </c:pt>
                <c:pt idx="4">
                  <c:v>3.2000000000000003E-4</c:v>
                </c:pt>
                <c:pt idx="5">
                  <c:v>4.0000000000000002E-4</c:v>
                </c:pt>
                <c:pt idx="6">
                  <c:v>4.8000000000000001E-4</c:v>
                </c:pt>
                <c:pt idx="7">
                  <c:v>5.6000000000000006E-4</c:v>
                </c:pt>
                <c:pt idx="8">
                  <c:v>6.4000000000000005E-4</c:v>
                </c:pt>
                <c:pt idx="9">
                  <c:v>7.2000000000000005E-4</c:v>
                </c:pt>
                <c:pt idx="10">
                  <c:v>8.0000000000000004E-4</c:v>
                </c:pt>
                <c:pt idx="11">
                  <c:v>8.8000000000000003E-4</c:v>
                </c:pt>
                <c:pt idx="12">
                  <c:v>9.6000000000000002E-4</c:v>
                </c:pt>
                <c:pt idx="13">
                  <c:v>1.0400000000000001E-3</c:v>
                </c:pt>
                <c:pt idx="14">
                  <c:v>1.1200000000000001E-3</c:v>
                </c:pt>
                <c:pt idx="15">
                  <c:v>1.2000000000000001E-3</c:v>
                </c:pt>
                <c:pt idx="16">
                  <c:v>1.2800000000000001E-3</c:v>
                </c:pt>
                <c:pt idx="17">
                  <c:v>1.3600000000000001E-3</c:v>
                </c:pt>
                <c:pt idx="18">
                  <c:v>1.4400000000000001E-3</c:v>
                </c:pt>
                <c:pt idx="19">
                  <c:v>1.5200000000000001E-3</c:v>
                </c:pt>
                <c:pt idx="20">
                  <c:v>1.6000000000000001E-3</c:v>
                </c:pt>
                <c:pt idx="21">
                  <c:v>1.6800000000000001E-3</c:v>
                </c:pt>
                <c:pt idx="22">
                  <c:v>1.7600000000000001E-3</c:v>
                </c:pt>
                <c:pt idx="23">
                  <c:v>1.8400000000000001E-3</c:v>
                </c:pt>
                <c:pt idx="24">
                  <c:v>1.92E-3</c:v>
                </c:pt>
                <c:pt idx="25">
                  <c:v>2E-3</c:v>
                </c:pt>
                <c:pt idx="26" formatCode="0.0000">
                  <c:v>3.5000000000000001E-3</c:v>
                </c:pt>
              </c:numCache>
            </c:numRef>
          </c:xVal>
          <c:yVal>
            <c:numRef>
              <c:f>'StB08-K'!$B$98:$B$124</c:f>
              <c:numCache>
                <c:formatCode>General</c:formatCode>
                <c:ptCount val="27"/>
                <c:pt idx="0">
                  <c:v>0</c:v>
                </c:pt>
                <c:pt idx="1">
                  <c:v>1.3328000000000004</c:v>
                </c:pt>
                <c:pt idx="2">
                  <c:v>2.6111999999999993</c:v>
                </c:pt>
                <c:pt idx="3">
                  <c:v>3.8352000000000004</c:v>
                </c:pt>
                <c:pt idx="4">
                  <c:v>5.0048000000000021</c:v>
                </c:pt>
                <c:pt idx="5">
                  <c:v>6.1199999999999974</c:v>
                </c:pt>
                <c:pt idx="6">
                  <c:v>7.1807999999999996</c:v>
                </c:pt>
                <c:pt idx="7">
                  <c:v>8.1872000000000007</c:v>
                </c:pt>
                <c:pt idx="8">
                  <c:v>9.1391999999999971</c:v>
                </c:pt>
                <c:pt idx="9">
                  <c:v>10.036800000000003</c:v>
                </c:pt>
                <c:pt idx="10">
                  <c:v>10.879999999999999</c:v>
                </c:pt>
                <c:pt idx="11">
                  <c:v>11.668800000000003</c:v>
                </c:pt>
                <c:pt idx="12">
                  <c:v>12.4032</c:v>
                </c:pt>
                <c:pt idx="13">
                  <c:v>13.083200000000001</c:v>
                </c:pt>
                <c:pt idx="14">
                  <c:v>13.7088</c:v>
                </c:pt>
                <c:pt idx="15">
                  <c:v>14.280000000000001</c:v>
                </c:pt>
                <c:pt idx="16">
                  <c:v>14.796800000000001</c:v>
                </c:pt>
                <c:pt idx="17">
                  <c:v>15.259200000000002</c:v>
                </c:pt>
                <c:pt idx="18">
                  <c:v>15.667199999999999</c:v>
                </c:pt>
                <c:pt idx="19">
                  <c:v>16.020800000000001</c:v>
                </c:pt>
                <c:pt idx="20">
                  <c:v>16.32</c:v>
                </c:pt>
                <c:pt idx="21">
                  <c:v>16.564800000000002</c:v>
                </c:pt>
                <c:pt idx="22">
                  <c:v>16.755200000000002</c:v>
                </c:pt>
                <c:pt idx="23">
                  <c:v>16.891200000000001</c:v>
                </c:pt>
                <c:pt idx="24">
                  <c:v>16.972799999999999</c:v>
                </c:pt>
                <c:pt idx="25">
                  <c:v>17</c:v>
                </c:pt>
                <c:pt idx="26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8-4CC9-99B7-E3A60DFA6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5600"/>
        <c:axId val="183067392"/>
      </c:scatterChart>
      <c:valAx>
        <c:axId val="1830656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67392"/>
        <c:crosses val="autoZero"/>
        <c:crossBetween val="midCat"/>
      </c:valAx>
      <c:valAx>
        <c:axId val="183067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656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'StB08-K'!$C$98:$C$100</c:f>
              <c:numCache>
                <c:formatCode>General</c:formatCode>
                <c:ptCount val="3"/>
                <c:pt idx="0">
                  <c:v>0</c:v>
                </c:pt>
                <c:pt idx="1">
                  <c:v>2.5000000000000001E-3</c:v>
                </c:pt>
                <c:pt idx="2" formatCode="0.0000">
                  <c:v>2.5000000000000001E-2</c:v>
                </c:pt>
              </c:numCache>
            </c:numRef>
          </c:xVal>
          <c:yVal>
            <c:numRef>
              <c:f>'StB08-K'!$D$98:$D$100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6A-45C4-A185-83B9B53EB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05600"/>
        <c:axId val="183707136"/>
      </c:scatterChart>
      <c:valAx>
        <c:axId val="1837056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707136"/>
        <c:crosses val="autoZero"/>
        <c:crossBetween val="midCat"/>
      </c:valAx>
      <c:valAx>
        <c:axId val="183707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7056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'StB08-Ka'!$C$26</c:f>
              <c:strCache>
                <c:ptCount val="1"/>
                <c:pt idx="0">
                  <c:v>stress-strain curve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'StB08-Ka'!$A$98:$A$124</c:f>
              <c:numCache>
                <c:formatCode>General</c:formatCode>
                <c:ptCount val="27"/>
                <c:pt idx="0">
                  <c:v>0</c:v>
                </c:pt>
                <c:pt idx="1">
                  <c:v>8.0000000000000007E-5</c:v>
                </c:pt>
                <c:pt idx="2">
                  <c:v>1.6000000000000001E-4</c:v>
                </c:pt>
                <c:pt idx="3">
                  <c:v>2.4000000000000003E-4</c:v>
                </c:pt>
                <c:pt idx="4">
                  <c:v>3.2000000000000003E-4</c:v>
                </c:pt>
                <c:pt idx="5">
                  <c:v>4.0000000000000002E-4</c:v>
                </c:pt>
                <c:pt idx="6">
                  <c:v>4.8000000000000001E-4</c:v>
                </c:pt>
                <c:pt idx="7">
                  <c:v>5.6000000000000006E-4</c:v>
                </c:pt>
                <c:pt idx="8">
                  <c:v>6.4000000000000005E-4</c:v>
                </c:pt>
                <c:pt idx="9">
                  <c:v>7.2000000000000005E-4</c:v>
                </c:pt>
                <c:pt idx="10">
                  <c:v>8.0000000000000004E-4</c:v>
                </c:pt>
                <c:pt idx="11">
                  <c:v>8.8000000000000003E-4</c:v>
                </c:pt>
                <c:pt idx="12">
                  <c:v>9.6000000000000002E-4</c:v>
                </c:pt>
                <c:pt idx="13">
                  <c:v>1.0400000000000001E-3</c:v>
                </c:pt>
                <c:pt idx="14">
                  <c:v>1.1200000000000001E-3</c:v>
                </c:pt>
                <c:pt idx="15">
                  <c:v>1.2000000000000001E-3</c:v>
                </c:pt>
                <c:pt idx="16">
                  <c:v>1.2800000000000001E-3</c:v>
                </c:pt>
                <c:pt idx="17">
                  <c:v>1.3600000000000001E-3</c:v>
                </c:pt>
                <c:pt idx="18">
                  <c:v>1.4400000000000001E-3</c:v>
                </c:pt>
                <c:pt idx="19">
                  <c:v>1.5200000000000001E-3</c:v>
                </c:pt>
                <c:pt idx="20">
                  <c:v>1.6000000000000001E-3</c:v>
                </c:pt>
                <c:pt idx="21">
                  <c:v>1.6800000000000001E-3</c:v>
                </c:pt>
                <c:pt idx="22">
                  <c:v>1.7600000000000001E-3</c:v>
                </c:pt>
                <c:pt idx="23">
                  <c:v>1.8400000000000001E-3</c:v>
                </c:pt>
                <c:pt idx="24">
                  <c:v>1.92E-3</c:v>
                </c:pt>
                <c:pt idx="25">
                  <c:v>2E-3</c:v>
                </c:pt>
                <c:pt idx="26" formatCode="0.0000">
                  <c:v>3.5000000000000001E-3</c:v>
                </c:pt>
              </c:numCache>
            </c:numRef>
          </c:xVal>
          <c:yVal>
            <c:numRef>
              <c:f>'StB08-Ka'!$B$98:$B$124</c:f>
              <c:numCache>
                <c:formatCode>General</c:formatCode>
                <c:ptCount val="27"/>
                <c:pt idx="0">
                  <c:v>0</c:v>
                </c:pt>
                <c:pt idx="1">
                  <c:v>1.3328000000000004</c:v>
                </c:pt>
                <c:pt idx="2">
                  <c:v>2.6111999999999993</c:v>
                </c:pt>
                <c:pt idx="3">
                  <c:v>3.8352000000000004</c:v>
                </c:pt>
                <c:pt idx="4">
                  <c:v>5.0048000000000021</c:v>
                </c:pt>
                <c:pt idx="5">
                  <c:v>6.1199999999999974</c:v>
                </c:pt>
                <c:pt idx="6">
                  <c:v>7.1807999999999996</c:v>
                </c:pt>
                <c:pt idx="7">
                  <c:v>8.1872000000000007</c:v>
                </c:pt>
                <c:pt idx="8">
                  <c:v>9.1391999999999971</c:v>
                </c:pt>
                <c:pt idx="9">
                  <c:v>10.036800000000003</c:v>
                </c:pt>
                <c:pt idx="10">
                  <c:v>10.879999999999999</c:v>
                </c:pt>
                <c:pt idx="11">
                  <c:v>11.668800000000003</c:v>
                </c:pt>
                <c:pt idx="12">
                  <c:v>12.4032</c:v>
                </c:pt>
                <c:pt idx="13">
                  <c:v>13.083200000000001</c:v>
                </c:pt>
                <c:pt idx="14">
                  <c:v>13.7088</c:v>
                </c:pt>
                <c:pt idx="15">
                  <c:v>14.280000000000001</c:v>
                </c:pt>
                <c:pt idx="16">
                  <c:v>14.796800000000001</c:v>
                </c:pt>
                <c:pt idx="17">
                  <c:v>15.259200000000002</c:v>
                </c:pt>
                <c:pt idx="18">
                  <c:v>15.667199999999999</c:v>
                </c:pt>
                <c:pt idx="19">
                  <c:v>16.020800000000001</c:v>
                </c:pt>
                <c:pt idx="20">
                  <c:v>16.32</c:v>
                </c:pt>
                <c:pt idx="21">
                  <c:v>16.564800000000002</c:v>
                </c:pt>
                <c:pt idx="22">
                  <c:v>16.755200000000002</c:v>
                </c:pt>
                <c:pt idx="23">
                  <c:v>16.891200000000001</c:v>
                </c:pt>
                <c:pt idx="24">
                  <c:v>16.972799999999999</c:v>
                </c:pt>
                <c:pt idx="25">
                  <c:v>17</c:v>
                </c:pt>
                <c:pt idx="26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D9-427D-B2A8-F26939690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72128"/>
        <c:axId val="185086336"/>
      </c:scatterChart>
      <c:valAx>
        <c:axId val="1838721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086336"/>
        <c:crosses val="autoZero"/>
        <c:crossBetween val="midCat"/>
      </c:valAx>
      <c:valAx>
        <c:axId val="185086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8721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'StB08-Ka'!$C$98:$C$100</c:f>
              <c:numCache>
                <c:formatCode>General</c:formatCode>
                <c:ptCount val="3"/>
                <c:pt idx="0">
                  <c:v>0</c:v>
                </c:pt>
                <c:pt idx="1">
                  <c:v>2.5000000000000001E-3</c:v>
                </c:pt>
                <c:pt idx="2" formatCode="0.0000">
                  <c:v>2.5000000000000001E-2</c:v>
                </c:pt>
              </c:numCache>
            </c:numRef>
          </c:xVal>
          <c:yVal>
            <c:numRef>
              <c:f>'StB08-Ka'!$D$98:$D$100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2-4C12-8963-0010FB426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122816"/>
        <c:axId val="185124352"/>
      </c:scatterChart>
      <c:valAx>
        <c:axId val="1851228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124352"/>
        <c:crosses val="autoZero"/>
        <c:crossBetween val="midCat"/>
      </c:valAx>
      <c:valAx>
        <c:axId val="185124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1228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'StB08-R'!$C$26</c:f>
              <c:strCache>
                <c:ptCount val="1"/>
                <c:pt idx="0">
                  <c:v>stress-strain curve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'StB08-R'!$A$98:$A$124</c:f>
              <c:numCache>
                <c:formatCode>General</c:formatCode>
                <c:ptCount val="27"/>
                <c:pt idx="0">
                  <c:v>0</c:v>
                </c:pt>
                <c:pt idx="1">
                  <c:v>8.0000000000000007E-5</c:v>
                </c:pt>
                <c:pt idx="2">
                  <c:v>1.6000000000000001E-4</c:v>
                </c:pt>
                <c:pt idx="3">
                  <c:v>2.4000000000000003E-4</c:v>
                </c:pt>
                <c:pt idx="4">
                  <c:v>3.2000000000000003E-4</c:v>
                </c:pt>
                <c:pt idx="5">
                  <c:v>4.0000000000000002E-4</c:v>
                </c:pt>
                <c:pt idx="6">
                  <c:v>4.8000000000000001E-4</c:v>
                </c:pt>
                <c:pt idx="7">
                  <c:v>5.6000000000000006E-4</c:v>
                </c:pt>
                <c:pt idx="8">
                  <c:v>6.4000000000000005E-4</c:v>
                </c:pt>
                <c:pt idx="9">
                  <c:v>7.2000000000000005E-4</c:v>
                </c:pt>
                <c:pt idx="10">
                  <c:v>8.0000000000000004E-4</c:v>
                </c:pt>
                <c:pt idx="11">
                  <c:v>8.8000000000000003E-4</c:v>
                </c:pt>
                <c:pt idx="12">
                  <c:v>9.6000000000000002E-4</c:v>
                </c:pt>
                <c:pt idx="13">
                  <c:v>1.0400000000000001E-3</c:v>
                </c:pt>
                <c:pt idx="14">
                  <c:v>1.1200000000000001E-3</c:v>
                </c:pt>
                <c:pt idx="15">
                  <c:v>1.2000000000000001E-3</c:v>
                </c:pt>
                <c:pt idx="16">
                  <c:v>1.2800000000000001E-3</c:v>
                </c:pt>
                <c:pt idx="17">
                  <c:v>1.3600000000000001E-3</c:v>
                </c:pt>
                <c:pt idx="18">
                  <c:v>1.4400000000000001E-3</c:v>
                </c:pt>
                <c:pt idx="19">
                  <c:v>1.5200000000000001E-3</c:v>
                </c:pt>
                <c:pt idx="20">
                  <c:v>1.6000000000000001E-3</c:v>
                </c:pt>
                <c:pt idx="21">
                  <c:v>1.6800000000000001E-3</c:v>
                </c:pt>
                <c:pt idx="22">
                  <c:v>1.7600000000000001E-3</c:v>
                </c:pt>
                <c:pt idx="23">
                  <c:v>1.8400000000000001E-3</c:v>
                </c:pt>
                <c:pt idx="24">
                  <c:v>1.92E-3</c:v>
                </c:pt>
                <c:pt idx="25">
                  <c:v>2E-3</c:v>
                </c:pt>
                <c:pt idx="26" formatCode="0.0000">
                  <c:v>3.5000000000000001E-3</c:v>
                </c:pt>
              </c:numCache>
            </c:numRef>
          </c:xVal>
          <c:yVal>
            <c:numRef>
              <c:f>'StB08-R'!$B$98:$B$124</c:f>
              <c:numCache>
                <c:formatCode>General</c:formatCode>
                <c:ptCount val="27"/>
                <c:pt idx="0">
                  <c:v>0</c:v>
                </c:pt>
                <c:pt idx="1">
                  <c:v>1.6660000000000006</c:v>
                </c:pt>
                <c:pt idx="2">
                  <c:v>3.2639999999999993</c:v>
                </c:pt>
                <c:pt idx="3">
                  <c:v>4.7940000000000005</c:v>
                </c:pt>
                <c:pt idx="4">
                  <c:v>6.256000000000002</c:v>
                </c:pt>
                <c:pt idx="5">
                  <c:v>7.6499999999999977</c:v>
                </c:pt>
                <c:pt idx="6">
                  <c:v>8.9759999999999991</c:v>
                </c:pt>
                <c:pt idx="7">
                  <c:v>10.234</c:v>
                </c:pt>
                <c:pt idx="8">
                  <c:v>11.423999999999998</c:v>
                </c:pt>
                <c:pt idx="9">
                  <c:v>12.546000000000003</c:v>
                </c:pt>
                <c:pt idx="10">
                  <c:v>13.599999999999998</c:v>
                </c:pt>
                <c:pt idx="11">
                  <c:v>14.586000000000002</c:v>
                </c:pt>
                <c:pt idx="12">
                  <c:v>15.504000000000001</c:v>
                </c:pt>
                <c:pt idx="13">
                  <c:v>16.354000000000003</c:v>
                </c:pt>
                <c:pt idx="14">
                  <c:v>17.135999999999999</c:v>
                </c:pt>
                <c:pt idx="15">
                  <c:v>17.850000000000001</c:v>
                </c:pt>
                <c:pt idx="16">
                  <c:v>18.496000000000002</c:v>
                </c:pt>
                <c:pt idx="17">
                  <c:v>19.074000000000002</c:v>
                </c:pt>
                <c:pt idx="18">
                  <c:v>19.584</c:v>
                </c:pt>
                <c:pt idx="19">
                  <c:v>20.026</c:v>
                </c:pt>
                <c:pt idx="20">
                  <c:v>20.399999999999999</c:v>
                </c:pt>
                <c:pt idx="21">
                  <c:v>20.706</c:v>
                </c:pt>
                <c:pt idx="22">
                  <c:v>20.943999999999999</c:v>
                </c:pt>
                <c:pt idx="23">
                  <c:v>21.114000000000001</c:v>
                </c:pt>
                <c:pt idx="24">
                  <c:v>21.215999999999998</c:v>
                </c:pt>
                <c:pt idx="25">
                  <c:v>21.25</c:v>
                </c:pt>
                <c:pt idx="26">
                  <c:v>21.25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14-427B-9C55-BD224BED6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11424"/>
        <c:axId val="184713216"/>
      </c:scatterChart>
      <c:valAx>
        <c:axId val="184711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713216"/>
        <c:crosses val="autoZero"/>
        <c:crossBetween val="midCat"/>
      </c:valAx>
      <c:valAx>
        <c:axId val="184713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7114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'StB08-R'!$C$98:$C$100</c:f>
              <c:numCache>
                <c:formatCode>General</c:formatCode>
                <c:ptCount val="3"/>
                <c:pt idx="0">
                  <c:v>0</c:v>
                </c:pt>
                <c:pt idx="1">
                  <c:v>2.5000000000000001E-3</c:v>
                </c:pt>
                <c:pt idx="2" formatCode="0.0000">
                  <c:v>2.5000000000000001E-2</c:v>
                </c:pt>
              </c:numCache>
            </c:numRef>
          </c:xVal>
          <c:yVal>
            <c:numRef>
              <c:f>'StB08-R'!$D$98:$D$100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B-4D12-AC94-0266034FA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27424"/>
        <c:axId val="184728960"/>
      </c:scatterChart>
      <c:valAx>
        <c:axId val="184727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728960"/>
        <c:crosses val="autoZero"/>
        <c:crossBetween val="midCat"/>
      </c:valAx>
      <c:valAx>
        <c:axId val="184728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7274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effectLst/>
              </a:rPr>
              <a:t>c [‰]</a:t>
            </a:r>
            <a:endParaRPr lang="de-DE" sz="8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'StB-Werte'!$C$38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'StB-Werte'!$A$163:$A$189</c:f>
              <c:numCache>
                <c:formatCode>General</c:formatCode>
                <c:ptCount val="27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  <c:pt idx="26">
                  <c:v>3.5</c:v>
                </c:pt>
              </c:numCache>
            </c:numRef>
          </c:xVal>
          <c:yVal>
            <c:numRef>
              <c:f>'StB-Werte'!$B$163:$B$189</c:f>
              <c:numCache>
                <c:formatCode>General</c:formatCode>
                <c:ptCount val="27"/>
                <c:pt idx="0">
                  <c:v>0</c:v>
                </c:pt>
                <c:pt idx="1">
                  <c:v>1.6660000000000006</c:v>
                </c:pt>
                <c:pt idx="2">
                  <c:v>3.2639999999999993</c:v>
                </c:pt>
                <c:pt idx="3">
                  <c:v>4.7940000000000005</c:v>
                </c:pt>
                <c:pt idx="4">
                  <c:v>6.256000000000002</c:v>
                </c:pt>
                <c:pt idx="5">
                  <c:v>7.6499999999999977</c:v>
                </c:pt>
                <c:pt idx="6">
                  <c:v>8.9759999999999991</c:v>
                </c:pt>
                <c:pt idx="7">
                  <c:v>10.234</c:v>
                </c:pt>
                <c:pt idx="8">
                  <c:v>11.424000000000001</c:v>
                </c:pt>
                <c:pt idx="9">
                  <c:v>12.546000000000001</c:v>
                </c:pt>
                <c:pt idx="10">
                  <c:v>13.599999999999998</c:v>
                </c:pt>
                <c:pt idx="11">
                  <c:v>14.585999999999999</c:v>
                </c:pt>
                <c:pt idx="12">
                  <c:v>15.504000000000001</c:v>
                </c:pt>
                <c:pt idx="13">
                  <c:v>16.353999999999999</c:v>
                </c:pt>
                <c:pt idx="14">
                  <c:v>17.135999999999999</c:v>
                </c:pt>
                <c:pt idx="15">
                  <c:v>17.849999999999998</c:v>
                </c:pt>
                <c:pt idx="16">
                  <c:v>18.496000000000002</c:v>
                </c:pt>
                <c:pt idx="17">
                  <c:v>19.074000000000002</c:v>
                </c:pt>
                <c:pt idx="18">
                  <c:v>19.584000000000003</c:v>
                </c:pt>
                <c:pt idx="19">
                  <c:v>20.026</c:v>
                </c:pt>
                <c:pt idx="20">
                  <c:v>20.400000000000002</c:v>
                </c:pt>
                <c:pt idx="21">
                  <c:v>20.706</c:v>
                </c:pt>
                <c:pt idx="22">
                  <c:v>20.943999999999999</c:v>
                </c:pt>
                <c:pt idx="23">
                  <c:v>21.114000000000001</c:v>
                </c:pt>
                <c:pt idx="24">
                  <c:v>21.216000000000001</c:v>
                </c:pt>
                <c:pt idx="25">
                  <c:v>21.25</c:v>
                </c:pt>
                <c:pt idx="26">
                  <c:v>21.25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0F-48FD-AC30-E5A91E5C0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169024"/>
        <c:axId val="185170560"/>
      </c:scatterChart>
      <c:valAx>
        <c:axId val="1851690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170560"/>
        <c:crosses val="autoZero"/>
        <c:crossBetween val="midCat"/>
      </c:valAx>
      <c:valAx>
        <c:axId val="18517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1690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de-DE" sz="800" b="0" i="0" u="none" strike="noStrike" baseline="0">
                <a:effectLst/>
              </a:rPr>
              <a:t> [‰]</a:t>
            </a:r>
            <a:endParaRPr lang="de-DE" sz="8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'StB-Werte'!$C$163:$C$165</c:f>
              <c:numCache>
                <c:formatCode>General</c:formatCode>
                <c:ptCount val="3"/>
                <c:pt idx="0">
                  <c:v>0</c:v>
                </c:pt>
                <c:pt idx="1">
                  <c:v>2.5</c:v>
                </c:pt>
                <c:pt idx="2">
                  <c:v>25</c:v>
                </c:pt>
              </c:numCache>
            </c:numRef>
          </c:xVal>
          <c:yVal>
            <c:numRef>
              <c:f>'StB-Werte'!$D$163:$D$165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D-471B-9890-A2A1796C3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61280"/>
        <c:axId val="184963072"/>
      </c:scatterChart>
      <c:valAx>
        <c:axId val="184961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963072"/>
        <c:crosses val="autoZero"/>
        <c:crossBetween val="midCat"/>
      </c:valAx>
      <c:valAx>
        <c:axId val="184963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9612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effectLst/>
              </a:rPr>
              <a:t>c [‰]</a:t>
            </a:r>
            <a:endParaRPr lang="de-DE" sz="8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'StB-K'!$C$38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'StB-K'!$A$163:$A$189</c:f>
              <c:numCache>
                <c:formatCode>General</c:formatCode>
                <c:ptCount val="27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  <c:pt idx="26">
                  <c:v>3.5</c:v>
                </c:pt>
              </c:numCache>
            </c:numRef>
          </c:xVal>
          <c:yVal>
            <c:numRef>
              <c:f>'StB-K'!$B$163:$B$189</c:f>
              <c:numCache>
                <c:formatCode>General</c:formatCode>
                <c:ptCount val="27"/>
                <c:pt idx="0">
                  <c:v>0</c:v>
                </c:pt>
                <c:pt idx="1">
                  <c:v>2.6656000000000009</c:v>
                </c:pt>
                <c:pt idx="2">
                  <c:v>5.2223999999999986</c:v>
                </c:pt>
                <c:pt idx="3">
                  <c:v>7.6704000000000008</c:v>
                </c:pt>
                <c:pt idx="4">
                  <c:v>10.009600000000004</c:v>
                </c:pt>
                <c:pt idx="5">
                  <c:v>12.239999999999995</c:v>
                </c:pt>
                <c:pt idx="6">
                  <c:v>14.361599999999999</c:v>
                </c:pt>
                <c:pt idx="7">
                  <c:v>16.374400000000001</c:v>
                </c:pt>
                <c:pt idx="8">
                  <c:v>18.278400000000001</c:v>
                </c:pt>
                <c:pt idx="9">
                  <c:v>20.073600000000003</c:v>
                </c:pt>
                <c:pt idx="10">
                  <c:v>21.759999999999998</c:v>
                </c:pt>
                <c:pt idx="11">
                  <c:v>23.337599999999995</c:v>
                </c:pt>
                <c:pt idx="12">
                  <c:v>24.8064</c:v>
                </c:pt>
                <c:pt idx="13">
                  <c:v>26.166399999999999</c:v>
                </c:pt>
                <c:pt idx="14">
                  <c:v>27.4176</c:v>
                </c:pt>
                <c:pt idx="15">
                  <c:v>28.56</c:v>
                </c:pt>
                <c:pt idx="16">
                  <c:v>29.593600000000002</c:v>
                </c:pt>
                <c:pt idx="17">
                  <c:v>30.518400000000003</c:v>
                </c:pt>
                <c:pt idx="18">
                  <c:v>31.334400000000002</c:v>
                </c:pt>
                <c:pt idx="19">
                  <c:v>32.041600000000003</c:v>
                </c:pt>
                <c:pt idx="20">
                  <c:v>32.64</c:v>
                </c:pt>
                <c:pt idx="21">
                  <c:v>33.129600000000003</c:v>
                </c:pt>
                <c:pt idx="22">
                  <c:v>33.510400000000004</c:v>
                </c:pt>
                <c:pt idx="23">
                  <c:v>33.782400000000003</c:v>
                </c:pt>
                <c:pt idx="24">
                  <c:v>33.945599999999999</c:v>
                </c:pt>
                <c:pt idx="25">
                  <c:v>34</c:v>
                </c:pt>
                <c:pt idx="26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6-4F7C-81C9-94849E65C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07488"/>
        <c:axId val="194245760"/>
      </c:scatterChart>
      <c:valAx>
        <c:axId val="1850074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245760"/>
        <c:crosses val="autoZero"/>
        <c:crossBetween val="midCat"/>
      </c:valAx>
      <c:valAx>
        <c:axId val="194245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0074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de-DE" sz="800" b="0" i="0" u="none" strike="noStrike" baseline="0">
                <a:effectLst/>
              </a:rPr>
              <a:t> [‰]</a:t>
            </a:r>
            <a:endParaRPr lang="de-DE" sz="8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'StB-K'!$C$163:$C$165</c:f>
              <c:numCache>
                <c:formatCode>General</c:formatCode>
                <c:ptCount val="3"/>
                <c:pt idx="0">
                  <c:v>0</c:v>
                </c:pt>
                <c:pt idx="1">
                  <c:v>2.5</c:v>
                </c:pt>
                <c:pt idx="2">
                  <c:v>25</c:v>
                </c:pt>
              </c:numCache>
            </c:numRef>
          </c:xVal>
          <c:yVal>
            <c:numRef>
              <c:f>'StB-K'!$D$163:$D$165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AF-4026-9200-5B718368D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89728"/>
        <c:axId val="194091264"/>
      </c:scatterChart>
      <c:valAx>
        <c:axId val="194089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091264"/>
        <c:crosses val="autoZero"/>
        <c:crossBetween val="midCat"/>
      </c:valAx>
      <c:valAx>
        <c:axId val="194091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0897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 [‰]</a:t>
            </a: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'StB-Ks'!$C$38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'StB-Ks'!$A$163:$A$189</c:f>
              <c:numCache>
                <c:formatCode>General</c:formatCode>
                <c:ptCount val="27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  <c:pt idx="26">
                  <c:v>3.5</c:v>
                </c:pt>
              </c:numCache>
            </c:numRef>
          </c:xVal>
          <c:yVal>
            <c:numRef>
              <c:f>'StB-Ks'!$B$163:$B$189</c:f>
              <c:numCache>
                <c:formatCode>General</c:formatCode>
                <c:ptCount val="27"/>
                <c:pt idx="0">
                  <c:v>0</c:v>
                </c:pt>
                <c:pt idx="1">
                  <c:v>1.6660000000000006</c:v>
                </c:pt>
                <c:pt idx="2">
                  <c:v>3.2639999999999993</c:v>
                </c:pt>
                <c:pt idx="3">
                  <c:v>4.7940000000000005</c:v>
                </c:pt>
                <c:pt idx="4">
                  <c:v>6.256000000000002</c:v>
                </c:pt>
                <c:pt idx="5">
                  <c:v>7.6499999999999977</c:v>
                </c:pt>
                <c:pt idx="6">
                  <c:v>8.9759999999999991</c:v>
                </c:pt>
                <c:pt idx="7">
                  <c:v>10.234</c:v>
                </c:pt>
                <c:pt idx="8">
                  <c:v>11.424000000000001</c:v>
                </c:pt>
                <c:pt idx="9">
                  <c:v>12.546000000000001</c:v>
                </c:pt>
                <c:pt idx="10">
                  <c:v>13.599999999999998</c:v>
                </c:pt>
                <c:pt idx="11">
                  <c:v>14.585999999999999</c:v>
                </c:pt>
                <c:pt idx="12">
                  <c:v>15.504000000000001</c:v>
                </c:pt>
                <c:pt idx="13">
                  <c:v>16.353999999999999</c:v>
                </c:pt>
                <c:pt idx="14">
                  <c:v>17.135999999999999</c:v>
                </c:pt>
                <c:pt idx="15">
                  <c:v>17.849999999999998</c:v>
                </c:pt>
                <c:pt idx="16">
                  <c:v>18.496000000000002</c:v>
                </c:pt>
                <c:pt idx="17">
                  <c:v>19.074000000000002</c:v>
                </c:pt>
                <c:pt idx="18">
                  <c:v>19.584000000000003</c:v>
                </c:pt>
                <c:pt idx="19">
                  <c:v>20.026</c:v>
                </c:pt>
                <c:pt idx="20">
                  <c:v>20.400000000000002</c:v>
                </c:pt>
                <c:pt idx="21">
                  <c:v>20.706</c:v>
                </c:pt>
                <c:pt idx="22">
                  <c:v>20.943999999999999</c:v>
                </c:pt>
                <c:pt idx="23">
                  <c:v>21.114000000000001</c:v>
                </c:pt>
                <c:pt idx="24">
                  <c:v>21.216000000000001</c:v>
                </c:pt>
                <c:pt idx="25">
                  <c:v>21.25</c:v>
                </c:pt>
                <c:pt idx="26">
                  <c:v>21.25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1D-46D9-9E45-367D982D0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14304"/>
        <c:axId val="194116224"/>
      </c:scatterChart>
      <c:valAx>
        <c:axId val="1941143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116224"/>
        <c:crosses val="autoZero"/>
        <c:crossBetween val="midCat"/>
      </c:valAx>
      <c:valAx>
        <c:axId val="194116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1143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 [‰]</a:t>
            </a: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'StB-Ks'!$C$163:$C$165</c:f>
              <c:numCache>
                <c:formatCode>General</c:formatCode>
                <c:ptCount val="3"/>
                <c:pt idx="0">
                  <c:v>0</c:v>
                </c:pt>
                <c:pt idx="1">
                  <c:v>2.5</c:v>
                </c:pt>
                <c:pt idx="2">
                  <c:v>25</c:v>
                </c:pt>
              </c:numCache>
            </c:numRef>
          </c:xVal>
          <c:yVal>
            <c:numRef>
              <c:f>'StB-Ks'!$D$163:$D$165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B-40AA-AF18-9D452B998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5024"/>
        <c:axId val="194310912"/>
      </c:scatterChart>
      <c:valAx>
        <c:axId val="1943050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310912"/>
        <c:crosses val="autoZero"/>
        <c:crossBetween val="midCat"/>
      </c:valAx>
      <c:valAx>
        <c:axId val="19431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3050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 [‰]</a:t>
            </a: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'StB-R'!$C$12</c:f>
              <c:strCache>
                <c:ptCount val="1"/>
                <c:pt idx="0">
                  <c:v>stress-strain curve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'StB-R'!$A$163:$A$189</c:f>
              <c:numCache>
                <c:formatCode>General</c:formatCode>
                <c:ptCount val="27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  <c:pt idx="26">
                  <c:v>3.5</c:v>
                </c:pt>
              </c:numCache>
            </c:numRef>
          </c:xVal>
          <c:yVal>
            <c:numRef>
              <c:f>'StB-R'!$B$163:$B$189</c:f>
              <c:numCache>
                <c:formatCode>General</c:formatCode>
                <c:ptCount val="27"/>
                <c:pt idx="0">
                  <c:v>0</c:v>
                </c:pt>
                <c:pt idx="1">
                  <c:v>1.9992000000000005</c:v>
                </c:pt>
                <c:pt idx="2">
                  <c:v>3.9167999999999989</c:v>
                </c:pt>
                <c:pt idx="3">
                  <c:v>5.7528000000000006</c:v>
                </c:pt>
                <c:pt idx="4">
                  <c:v>7.5072000000000028</c:v>
                </c:pt>
                <c:pt idx="5">
                  <c:v>9.1799999999999962</c:v>
                </c:pt>
                <c:pt idx="6">
                  <c:v>10.7712</c:v>
                </c:pt>
                <c:pt idx="7">
                  <c:v>12.280800000000001</c:v>
                </c:pt>
                <c:pt idx="8">
                  <c:v>13.708800000000002</c:v>
                </c:pt>
                <c:pt idx="9">
                  <c:v>15.055200000000001</c:v>
                </c:pt>
                <c:pt idx="10">
                  <c:v>16.319999999999997</c:v>
                </c:pt>
                <c:pt idx="11">
                  <c:v>17.503199999999996</c:v>
                </c:pt>
                <c:pt idx="12">
                  <c:v>18.604800000000001</c:v>
                </c:pt>
                <c:pt idx="13">
                  <c:v>19.6248</c:v>
                </c:pt>
                <c:pt idx="14">
                  <c:v>20.563200000000002</c:v>
                </c:pt>
                <c:pt idx="15">
                  <c:v>21.419999999999998</c:v>
                </c:pt>
                <c:pt idx="16">
                  <c:v>22.1952</c:v>
                </c:pt>
                <c:pt idx="17">
                  <c:v>22.888800000000003</c:v>
                </c:pt>
                <c:pt idx="18">
                  <c:v>23.500800000000002</c:v>
                </c:pt>
                <c:pt idx="19">
                  <c:v>24.031200000000002</c:v>
                </c:pt>
                <c:pt idx="20">
                  <c:v>24.48</c:v>
                </c:pt>
                <c:pt idx="21">
                  <c:v>24.847200000000001</c:v>
                </c:pt>
                <c:pt idx="22">
                  <c:v>25.1328</c:v>
                </c:pt>
                <c:pt idx="23">
                  <c:v>25.3368</c:v>
                </c:pt>
                <c:pt idx="24">
                  <c:v>25.459200000000003</c:v>
                </c:pt>
                <c:pt idx="25">
                  <c:v>25.5</c:v>
                </c:pt>
                <c:pt idx="26">
                  <c:v>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6-4ED0-B9FD-36409720D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91232"/>
        <c:axId val="194992768"/>
      </c:scatterChart>
      <c:valAx>
        <c:axId val="194991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992768"/>
        <c:crosses val="autoZero"/>
        <c:crossBetween val="midCat"/>
      </c:valAx>
      <c:valAx>
        <c:axId val="194992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9912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 [‰]</a:t>
            </a: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'StB-R'!$C$163:$C$165</c:f>
              <c:numCache>
                <c:formatCode>General</c:formatCode>
                <c:ptCount val="3"/>
                <c:pt idx="0">
                  <c:v>0</c:v>
                </c:pt>
                <c:pt idx="1">
                  <c:v>2.5</c:v>
                </c:pt>
                <c:pt idx="2">
                  <c:v>25</c:v>
                </c:pt>
              </c:numCache>
            </c:numRef>
          </c:xVal>
          <c:yVal>
            <c:numRef>
              <c:f>'StB-R'!$D$163:$D$165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BF-42C7-8A8E-8FCA2804C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04672"/>
        <c:axId val="195031040"/>
      </c:scatterChart>
      <c:valAx>
        <c:axId val="195004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031040"/>
        <c:crosses val="autoZero"/>
        <c:crossBetween val="midCat"/>
      </c:valAx>
      <c:valAx>
        <c:axId val="195031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0046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148946117097176E-2"/>
          <c:y val="7.0028202764472719E-2"/>
          <c:w val="0.82978766507421098"/>
          <c:h val="0.862747458058304"/>
        </c:manualLayout>
      </c:layout>
      <c:scatterChart>
        <c:scatterStyle val="lineMarker"/>
        <c:varyColors val="0"/>
        <c:ser>
          <c:idx val="0"/>
          <c:order val="0"/>
          <c:tx>
            <c:v>Kreis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'StB08-Test'!$E$68:$DA$68</c:f>
              <c:numCache>
                <c:formatCode>0.000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-0.59499999999999964</c:v>
                </c:pt>
                <c:pt idx="22">
                  <c:v>-0.58999999999999964</c:v>
                </c:pt>
                <c:pt idx="23">
                  <c:v>-0.58499999999999963</c:v>
                </c:pt>
                <c:pt idx="24">
                  <c:v>-0.57999999999999963</c:v>
                </c:pt>
                <c:pt idx="25">
                  <c:v>-0.57499999999999962</c:v>
                </c:pt>
                <c:pt idx="26">
                  <c:v>-0.56999999999999962</c:v>
                </c:pt>
                <c:pt idx="27">
                  <c:v>-0.56499999999999961</c:v>
                </c:pt>
                <c:pt idx="28">
                  <c:v>-0.55999999999999961</c:v>
                </c:pt>
                <c:pt idx="29">
                  <c:v>-0.5549999999999996</c:v>
                </c:pt>
                <c:pt idx="30">
                  <c:v>-0.5499999999999996</c:v>
                </c:pt>
                <c:pt idx="31">
                  <c:v>-0.5449999999999996</c:v>
                </c:pt>
                <c:pt idx="32">
                  <c:v>-0.53999999999999959</c:v>
                </c:pt>
                <c:pt idx="33">
                  <c:v>-0.53499999999999959</c:v>
                </c:pt>
                <c:pt idx="34">
                  <c:v>-0.52999999999999958</c:v>
                </c:pt>
                <c:pt idx="35">
                  <c:v>-0.52499999999999958</c:v>
                </c:pt>
                <c:pt idx="36">
                  <c:v>-0.51999999999999957</c:v>
                </c:pt>
                <c:pt idx="37">
                  <c:v>-0.51499999999999957</c:v>
                </c:pt>
                <c:pt idx="38">
                  <c:v>-0.50999999999999956</c:v>
                </c:pt>
                <c:pt idx="39">
                  <c:v>-0.50499999999999956</c:v>
                </c:pt>
                <c:pt idx="40">
                  <c:v>-0.49999999999999956</c:v>
                </c:pt>
                <c:pt idx="41">
                  <c:v>-0.49499999999999955</c:v>
                </c:pt>
                <c:pt idx="42">
                  <c:v>-0.48999999999999955</c:v>
                </c:pt>
                <c:pt idx="43">
                  <c:v>-0.48499999999999954</c:v>
                </c:pt>
                <c:pt idx="44">
                  <c:v>-0.47999999999999954</c:v>
                </c:pt>
                <c:pt idx="45">
                  <c:v>-0.47499999999999953</c:v>
                </c:pt>
                <c:pt idx="46">
                  <c:v>-0.46999999999999953</c:v>
                </c:pt>
                <c:pt idx="47">
                  <c:v>-0.46499999999999952</c:v>
                </c:pt>
                <c:pt idx="48">
                  <c:v>-0.45999999999999952</c:v>
                </c:pt>
                <c:pt idx="49">
                  <c:v>-0.45499999999999952</c:v>
                </c:pt>
                <c:pt idx="50">
                  <c:v>-0.44999999999999951</c:v>
                </c:pt>
                <c:pt idx="51">
                  <c:v>-0.44499999999999951</c:v>
                </c:pt>
                <c:pt idx="52">
                  <c:v>-0.4399999999999995</c:v>
                </c:pt>
                <c:pt idx="53">
                  <c:v>-0.4349999999999995</c:v>
                </c:pt>
                <c:pt idx="54">
                  <c:v>-0.42999999999999949</c:v>
                </c:pt>
                <c:pt idx="55">
                  <c:v>-0.42499999999999949</c:v>
                </c:pt>
                <c:pt idx="56">
                  <c:v>-0.41999999999999948</c:v>
                </c:pt>
                <c:pt idx="57">
                  <c:v>-0.41499999999999948</c:v>
                </c:pt>
                <c:pt idx="58">
                  <c:v>-0.40999999999999948</c:v>
                </c:pt>
                <c:pt idx="59">
                  <c:v>-0.40499999999999947</c:v>
                </c:pt>
                <c:pt idx="60">
                  <c:v>-0.39999999999999947</c:v>
                </c:pt>
                <c:pt idx="61">
                  <c:v>-0.39499999999999946</c:v>
                </c:pt>
                <c:pt idx="62">
                  <c:v>-0.38999999999999946</c:v>
                </c:pt>
                <c:pt idx="63">
                  <c:v>-0.38499999999999945</c:v>
                </c:pt>
                <c:pt idx="64">
                  <c:v>-0.37999999999999945</c:v>
                </c:pt>
                <c:pt idx="65">
                  <c:v>-0.37499999999999944</c:v>
                </c:pt>
                <c:pt idx="66">
                  <c:v>-0.36999999999999944</c:v>
                </c:pt>
                <c:pt idx="67">
                  <c:v>-0.36499999999999944</c:v>
                </c:pt>
                <c:pt idx="68">
                  <c:v>-0.35999999999999943</c:v>
                </c:pt>
                <c:pt idx="69">
                  <c:v>-0.35499999999999943</c:v>
                </c:pt>
                <c:pt idx="70">
                  <c:v>-0.34999999999999942</c:v>
                </c:pt>
                <c:pt idx="71">
                  <c:v>-0.3299999999999994</c:v>
                </c:pt>
                <c:pt idx="72">
                  <c:v>-0.30999999999999939</c:v>
                </c:pt>
                <c:pt idx="73">
                  <c:v>-0.28999999999999937</c:v>
                </c:pt>
                <c:pt idx="74">
                  <c:v>-0.26999999999999935</c:v>
                </c:pt>
                <c:pt idx="75">
                  <c:v>-0.24999999999999936</c:v>
                </c:pt>
                <c:pt idx="76">
                  <c:v>-0.22999999999999937</c:v>
                </c:pt>
                <c:pt idx="77">
                  <c:v>-0.20999999999999938</c:v>
                </c:pt>
                <c:pt idx="78">
                  <c:v>-0.18999999999999939</c:v>
                </c:pt>
                <c:pt idx="79">
                  <c:v>-0.1699999999999994</c:v>
                </c:pt>
                <c:pt idx="80">
                  <c:v>-0.14999999999999941</c:v>
                </c:pt>
                <c:pt idx="81">
                  <c:v>-0.12999999999999942</c:v>
                </c:pt>
                <c:pt idx="82">
                  <c:v>-0.10999999999999942</c:v>
                </c:pt>
                <c:pt idx="83">
                  <c:v>-8.9999999999999414E-2</c:v>
                </c:pt>
                <c:pt idx="84">
                  <c:v>-6.999999999999941E-2</c:v>
                </c:pt>
                <c:pt idx="85">
                  <c:v>-4.9999999999999406E-2</c:v>
                </c:pt>
                <c:pt idx="86">
                  <c:v>-2.9999999999999406E-2</c:v>
                </c:pt>
                <c:pt idx="87">
                  <c:v>-9.9999999999994052E-3</c:v>
                </c:pt>
                <c:pt idx="88">
                  <c:v>1.0000000000000595E-2</c:v>
                </c:pt>
                <c:pt idx="89">
                  <c:v>3.0000000000000596E-2</c:v>
                </c:pt>
                <c:pt idx="90">
                  <c:v>5.00000000000006E-2</c:v>
                </c:pt>
                <c:pt idx="91">
                  <c:v>7.0000000000000603E-2</c:v>
                </c:pt>
                <c:pt idx="92">
                  <c:v>9.0000000000000607E-2</c:v>
                </c:pt>
                <c:pt idx="93">
                  <c:v>0.3</c:v>
                </c:pt>
                <c:pt idx="94">
                  <c:v>0.4</c:v>
                </c:pt>
                <c:pt idx="95">
                  <c:v>0.5</c:v>
                </c:pt>
                <c:pt idx="96">
                  <c:v>0.6</c:v>
                </c:pt>
                <c:pt idx="97">
                  <c:v>0.7</c:v>
                </c:pt>
                <c:pt idx="98">
                  <c:v>0.8</c:v>
                </c:pt>
                <c:pt idx="99">
                  <c:v>0.9</c:v>
                </c:pt>
                <c:pt idx="100">
                  <c:v>1</c:v>
                </c:pt>
              </c:numCache>
            </c:numRef>
          </c:xVal>
          <c:yVal>
            <c:numRef>
              <c:f>'StB08-Test'!$E$74:$DA$74</c:f>
              <c:numCache>
                <c:formatCode>General</c:formatCode>
                <c:ptCount val="101"/>
                <c:pt idx="0">
                  <c:v>3.5699916518091655E-3</c:v>
                </c:pt>
                <c:pt idx="1">
                  <c:v>3.6015600300225624E-2</c:v>
                </c:pt>
                <c:pt idx="2">
                  <c:v>6.7095769844099928E-2</c:v>
                </c:pt>
                <c:pt idx="3">
                  <c:v>9.6853110174229623E-2</c:v>
                </c:pt>
                <c:pt idx="4">
                  <c:v>0.12524847820727364</c:v>
                </c:pt>
                <c:pt idx="5">
                  <c:v>0.15224273085989087</c:v>
                </c:pt>
                <c:pt idx="6">
                  <c:v>0.17779672504874006</c:v>
                </c:pt>
                <c:pt idx="7">
                  <c:v>0.20187131769047972</c:v>
                </c:pt>
                <c:pt idx="8">
                  <c:v>0.22442736570176919</c:v>
                </c:pt>
                <c:pt idx="9">
                  <c:v>0.24542572599926685</c:v>
                </c:pt>
                <c:pt idx="10">
                  <c:v>0.26482725549963149</c:v>
                </c:pt>
                <c:pt idx="11">
                  <c:v>0.28259281111952211</c:v>
                </c:pt>
                <c:pt idx="12">
                  <c:v>0.29824997201864117</c:v>
                </c:pt>
                <c:pt idx="13">
                  <c:v>0.30817347488614533</c:v>
                </c:pt>
                <c:pt idx="14">
                  <c:v>0.31450421399989226</c:v>
                </c:pt>
                <c:pt idx="15">
                  <c:v>0.31818415074946993</c:v>
                </c:pt>
                <c:pt idx="16">
                  <c:v>0.31962672686426308</c:v>
                </c:pt>
                <c:pt idx="17">
                  <c:v>0.31906997835860368</c:v>
                </c:pt>
                <c:pt idx="18">
                  <c:v>0.31666713317525791</c:v>
                </c:pt>
                <c:pt idx="19">
                  <c:v>0.31252365091636725</c:v>
                </c:pt>
                <c:pt idx="20">
                  <c:v>0.30671561655877772</c:v>
                </c:pt>
                <c:pt idx="21">
                  <c:v>0.30501051551716174</c:v>
                </c:pt>
                <c:pt idx="22">
                  <c:v>0.30320574619661428</c:v>
                </c:pt>
                <c:pt idx="23">
                  <c:v>0.30130200892488046</c:v>
                </c:pt>
                <c:pt idx="24">
                  <c:v>0.2992999624879637</c:v>
                </c:pt>
                <c:pt idx="25">
                  <c:v>0.29720022755734987</c:v>
                </c:pt>
                <c:pt idx="26">
                  <c:v>0.29500338977627111</c:v>
                </c:pt>
                <c:pt idx="27">
                  <c:v>0.29271000254500396</c:v>
                </c:pt>
                <c:pt idx="28">
                  <c:v>0.29032058953977097</c:v>
                </c:pt>
                <c:pt idx="29">
                  <c:v>0.28783564699521946</c:v>
                </c:pt>
                <c:pt idx="30">
                  <c:v>0.28525564577654733</c:v>
                </c:pt>
                <c:pt idx="31">
                  <c:v>0.28258103326403733</c:v>
                </c:pt>
                <c:pt idx="32">
                  <c:v>0.27981223506990538</c:v>
                </c:pt>
                <c:pt idx="33">
                  <c:v>0.27694965660494947</c:v>
                </c:pt>
                <c:pt idx="34">
                  <c:v>0.27399368451037337</c:v>
                </c:pt>
                <c:pt idx="35">
                  <c:v>0.27094468796835691</c:v>
                </c:pt>
                <c:pt idx="36">
                  <c:v>0.26780301990336669</c:v>
                </c:pt>
                <c:pt idx="37">
                  <c:v>0.26456901808484745</c:v>
                </c:pt>
                <c:pt idx="38">
                  <c:v>0.26124300614073243</c:v>
                </c:pt>
                <c:pt idx="39">
                  <c:v>0.25782529449018882</c:v>
                </c:pt>
                <c:pt idx="40">
                  <c:v>0.25431618120308669</c:v>
                </c:pt>
                <c:pt idx="41">
                  <c:v>0.19593619409290414</c:v>
                </c:pt>
                <c:pt idx="42">
                  <c:v>0.16033090872733871</c:v>
                </c:pt>
                <c:pt idx="43">
                  <c:v>0.14816475666054749</c:v>
                </c:pt>
                <c:pt idx="44">
                  <c:v>0.15425572737192919</c:v>
                </c:pt>
                <c:pt idx="45">
                  <c:v>0.17325278095762239</c:v>
                </c:pt>
                <c:pt idx="46">
                  <c:v>0.20076345353957764</c:v>
                </c:pt>
                <c:pt idx="47">
                  <c:v>0.2334519308902267</c:v>
                </c:pt>
                <c:pt idx="48">
                  <c:v>0.26887962361058843</c:v>
                </c:pt>
                <c:pt idx="49">
                  <c:v>0.30530733469052806</c:v>
                </c:pt>
                <c:pt idx="50">
                  <c:v>0.34152094502281077</c:v>
                </c:pt>
                <c:pt idx="51">
                  <c:v>0.37669323084634354</c:v>
                </c:pt>
                <c:pt idx="52">
                  <c:v>0.40520971638691333</c:v>
                </c:pt>
                <c:pt idx="53">
                  <c:v>0.41495545061504852</c:v>
                </c:pt>
                <c:pt idx="54">
                  <c:v>0.41664449014523885</c:v>
                </c:pt>
                <c:pt idx="55">
                  <c:v>0.413877730717501</c:v>
                </c:pt>
                <c:pt idx="56">
                  <c:v>0.4085013314005263</c:v>
                </c:pt>
                <c:pt idx="57">
                  <c:v>0.40141468139677688</c:v>
                </c:pt>
                <c:pt idx="58">
                  <c:v>0.39320671676925484</c:v>
                </c:pt>
                <c:pt idx="59">
                  <c:v>0.3843115542752486</c:v>
                </c:pt>
                <c:pt idx="60">
                  <c:v>0.37502934974341917</c:v>
                </c:pt>
                <c:pt idx="61">
                  <c:v>0.3655712337835062</c:v>
                </c:pt>
                <c:pt idx="62">
                  <c:v>0.35608712795779363</c:v>
                </c:pt>
                <c:pt idx="63">
                  <c:v>0.34668381373141893</c:v>
                </c:pt>
                <c:pt idx="64">
                  <c:v>0.33743709902675328</c:v>
                </c:pt>
                <c:pt idx="65">
                  <c:v>0.32840024070182994</c:v>
                </c:pt>
                <c:pt idx="66">
                  <c:v>0.31960990451058735</c:v>
                </c:pt>
                <c:pt idx="67">
                  <c:v>0.31109045785714257</c:v>
                </c:pt>
                <c:pt idx="68">
                  <c:v>0.30285710677988553</c:v>
                </c:pt>
                <c:pt idx="69">
                  <c:v>0.29491821581328298</c:v>
                </c:pt>
                <c:pt idx="70">
                  <c:v>0.28727704051304193</c:v>
                </c:pt>
                <c:pt idx="71">
                  <c:v>0.25964061323496046</c:v>
                </c:pt>
                <c:pt idx="72">
                  <c:v>0.2363653304935297</c:v>
                </c:pt>
                <c:pt idx="73">
                  <c:v>0.21688040832949632</c:v>
                </c:pt>
                <c:pt idx="74">
                  <c:v>0.20060072901989567</c:v>
                </c:pt>
                <c:pt idx="75">
                  <c:v>0.18699883397954789</c:v>
                </c:pt>
                <c:pt idx="76">
                  <c:v>0.17562234374612806</c:v>
                </c:pt>
                <c:pt idx="77">
                  <c:v>0.1660915663320929</c:v>
                </c:pt>
                <c:pt idx="78">
                  <c:v>0.15809068381006675</c:v>
                </c:pt>
                <c:pt idx="79">
                  <c:v>0.15135771392487302</c:v>
                </c:pt>
                <c:pt idx="80">
                  <c:v>0.14567516738422551</c:v>
                </c:pt>
                <c:pt idx="81">
                  <c:v>0.14086199133584998</c:v>
                </c:pt>
                <c:pt idx="82">
                  <c:v>0.1367668597677002</c:v>
                </c:pt>
                <c:pt idx="83">
                  <c:v>0.13326267728408711</c:v>
                </c:pt>
                <c:pt idx="84">
                  <c:v>0.13024210841976927</c:v>
                </c:pt>
                <c:pt idx="85">
                  <c:v>0.12761394638615375</c:v>
                </c:pt>
                <c:pt idx="86">
                  <c:v>0.12530015664230834</c:v>
                </c:pt>
                <c:pt idx="87">
                  <c:v>0.12323345653574298</c:v>
                </c:pt>
                <c:pt idx="88">
                  <c:v>0.10868521764720118</c:v>
                </c:pt>
                <c:pt idx="89">
                  <c:v>8.0061465087398365E-2</c:v>
                </c:pt>
                <c:pt idx="90">
                  <c:v>5.0375792369849737E-2</c:v>
                </c:pt>
                <c:pt idx="91">
                  <c:v>2.1597122585670193E-2</c:v>
                </c:pt>
                <c:pt idx="92">
                  <c:v>-5.0440686752830869E-3</c:v>
                </c:pt>
                <c:pt idx="93">
                  <c:v>-1.7457259177333428E-2</c:v>
                </c:pt>
                <c:pt idx="94">
                  <c:v>-1.5664613369319125E-2</c:v>
                </c:pt>
                <c:pt idx="95">
                  <c:v>-1.3871967561304816E-2</c:v>
                </c:pt>
                <c:pt idx="96">
                  <c:v>-1.2079321753290512E-2</c:v>
                </c:pt>
                <c:pt idx="97">
                  <c:v>-1.0286675945276207E-2</c:v>
                </c:pt>
                <c:pt idx="98">
                  <c:v>-8.4940301372618977E-3</c:v>
                </c:pt>
                <c:pt idx="99">
                  <c:v>-6.7013843292475939E-3</c:v>
                </c:pt>
                <c:pt idx="100">
                  <c:v>-4.9087385212332885E-3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16-4E4F-AA59-1DAC858C5F24}"/>
            </c:ext>
          </c:extLst>
        </c:ser>
        <c:ser>
          <c:idx val="1"/>
          <c:order val="1"/>
          <c:tx>
            <c:v>Ka_symm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'StB08-Test'!$E$68:$DA$68</c:f>
              <c:numCache>
                <c:formatCode>0.000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-0.59499999999999964</c:v>
                </c:pt>
                <c:pt idx="22">
                  <c:v>-0.58999999999999964</c:v>
                </c:pt>
                <c:pt idx="23">
                  <c:v>-0.58499999999999963</c:v>
                </c:pt>
                <c:pt idx="24">
                  <c:v>-0.57999999999999963</c:v>
                </c:pt>
                <c:pt idx="25">
                  <c:v>-0.57499999999999962</c:v>
                </c:pt>
                <c:pt idx="26">
                  <c:v>-0.56999999999999962</c:v>
                </c:pt>
                <c:pt idx="27">
                  <c:v>-0.56499999999999961</c:v>
                </c:pt>
                <c:pt idx="28">
                  <c:v>-0.55999999999999961</c:v>
                </c:pt>
                <c:pt idx="29">
                  <c:v>-0.5549999999999996</c:v>
                </c:pt>
                <c:pt idx="30">
                  <c:v>-0.5499999999999996</c:v>
                </c:pt>
                <c:pt idx="31">
                  <c:v>-0.5449999999999996</c:v>
                </c:pt>
                <c:pt idx="32">
                  <c:v>-0.53999999999999959</c:v>
                </c:pt>
                <c:pt idx="33">
                  <c:v>-0.53499999999999959</c:v>
                </c:pt>
                <c:pt idx="34">
                  <c:v>-0.52999999999999958</c:v>
                </c:pt>
                <c:pt idx="35">
                  <c:v>-0.52499999999999958</c:v>
                </c:pt>
                <c:pt idx="36">
                  <c:v>-0.51999999999999957</c:v>
                </c:pt>
                <c:pt idx="37">
                  <c:v>-0.51499999999999957</c:v>
                </c:pt>
                <c:pt idx="38">
                  <c:v>-0.50999999999999956</c:v>
                </c:pt>
                <c:pt idx="39">
                  <c:v>-0.50499999999999956</c:v>
                </c:pt>
                <c:pt idx="40">
                  <c:v>-0.49999999999999956</c:v>
                </c:pt>
                <c:pt idx="41">
                  <c:v>-0.49499999999999955</c:v>
                </c:pt>
                <c:pt idx="42">
                  <c:v>-0.48999999999999955</c:v>
                </c:pt>
                <c:pt idx="43">
                  <c:v>-0.48499999999999954</c:v>
                </c:pt>
                <c:pt idx="44">
                  <c:v>-0.47999999999999954</c:v>
                </c:pt>
                <c:pt idx="45">
                  <c:v>-0.47499999999999953</c:v>
                </c:pt>
                <c:pt idx="46">
                  <c:v>-0.46999999999999953</c:v>
                </c:pt>
                <c:pt idx="47">
                  <c:v>-0.46499999999999952</c:v>
                </c:pt>
                <c:pt idx="48">
                  <c:v>-0.45999999999999952</c:v>
                </c:pt>
                <c:pt idx="49">
                  <c:v>-0.45499999999999952</c:v>
                </c:pt>
                <c:pt idx="50">
                  <c:v>-0.44999999999999951</c:v>
                </c:pt>
                <c:pt idx="51">
                  <c:v>-0.44499999999999951</c:v>
                </c:pt>
                <c:pt idx="52">
                  <c:v>-0.4399999999999995</c:v>
                </c:pt>
                <c:pt idx="53">
                  <c:v>-0.4349999999999995</c:v>
                </c:pt>
                <c:pt idx="54">
                  <c:v>-0.42999999999999949</c:v>
                </c:pt>
                <c:pt idx="55">
                  <c:v>-0.42499999999999949</c:v>
                </c:pt>
                <c:pt idx="56">
                  <c:v>-0.41999999999999948</c:v>
                </c:pt>
                <c:pt idx="57">
                  <c:v>-0.41499999999999948</c:v>
                </c:pt>
                <c:pt idx="58">
                  <c:v>-0.40999999999999948</c:v>
                </c:pt>
                <c:pt idx="59">
                  <c:v>-0.40499999999999947</c:v>
                </c:pt>
                <c:pt idx="60">
                  <c:v>-0.39999999999999947</c:v>
                </c:pt>
                <c:pt idx="61">
                  <c:v>-0.39499999999999946</c:v>
                </c:pt>
                <c:pt idx="62">
                  <c:v>-0.38999999999999946</c:v>
                </c:pt>
                <c:pt idx="63">
                  <c:v>-0.38499999999999945</c:v>
                </c:pt>
                <c:pt idx="64">
                  <c:v>-0.37999999999999945</c:v>
                </c:pt>
                <c:pt idx="65">
                  <c:v>-0.37499999999999944</c:v>
                </c:pt>
                <c:pt idx="66">
                  <c:v>-0.36999999999999944</c:v>
                </c:pt>
                <c:pt idx="67">
                  <c:v>-0.36499999999999944</c:v>
                </c:pt>
                <c:pt idx="68">
                  <c:v>-0.35999999999999943</c:v>
                </c:pt>
                <c:pt idx="69">
                  <c:v>-0.35499999999999943</c:v>
                </c:pt>
                <c:pt idx="70">
                  <c:v>-0.34999999999999942</c:v>
                </c:pt>
                <c:pt idx="71">
                  <c:v>-0.3299999999999994</c:v>
                </c:pt>
                <c:pt idx="72">
                  <c:v>-0.30999999999999939</c:v>
                </c:pt>
                <c:pt idx="73">
                  <c:v>-0.28999999999999937</c:v>
                </c:pt>
                <c:pt idx="74">
                  <c:v>-0.26999999999999935</c:v>
                </c:pt>
                <c:pt idx="75">
                  <c:v>-0.24999999999999936</c:v>
                </c:pt>
                <c:pt idx="76">
                  <c:v>-0.22999999999999937</c:v>
                </c:pt>
                <c:pt idx="77">
                  <c:v>-0.20999999999999938</c:v>
                </c:pt>
                <c:pt idx="78">
                  <c:v>-0.18999999999999939</c:v>
                </c:pt>
                <c:pt idx="79">
                  <c:v>-0.1699999999999994</c:v>
                </c:pt>
                <c:pt idx="80">
                  <c:v>-0.14999999999999941</c:v>
                </c:pt>
                <c:pt idx="81">
                  <c:v>-0.12999999999999942</c:v>
                </c:pt>
                <c:pt idx="82">
                  <c:v>-0.10999999999999942</c:v>
                </c:pt>
                <c:pt idx="83">
                  <c:v>-8.9999999999999414E-2</c:v>
                </c:pt>
                <c:pt idx="84">
                  <c:v>-6.999999999999941E-2</c:v>
                </c:pt>
                <c:pt idx="85">
                  <c:v>-4.9999999999999406E-2</c:v>
                </c:pt>
                <c:pt idx="86">
                  <c:v>-2.9999999999999406E-2</c:v>
                </c:pt>
                <c:pt idx="87">
                  <c:v>-9.9999999999994052E-3</c:v>
                </c:pt>
                <c:pt idx="88">
                  <c:v>1.0000000000000595E-2</c:v>
                </c:pt>
                <c:pt idx="89">
                  <c:v>3.0000000000000596E-2</c:v>
                </c:pt>
                <c:pt idx="90">
                  <c:v>5.00000000000006E-2</c:v>
                </c:pt>
                <c:pt idx="91">
                  <c:v>7.0000000000000603E-2</c:v>
                </c:pt>
                <c:pt idx="92">
                  <c:v>9.0000000000000607E-2</c:v>
                </c:pt>
                <c:pt idx="93">
                  <c:v>0.3</c:v>
                </c:pt>
                <c:pt idx="94">
                  <c:v>0.4</c:v>
                </c:pt>
                <c:pt idx="95">
                  <c:v>0.5</c:v>
                </c:pt>
                <c:pt idx="96">
                  <c:v>0.6</c:v>
                </c:pt>
                <c:pt idx="97">
                  <c:v>0.7</c:v>
                </c:pt>
                <c:pt idx="98">
                  <c:v>0.8</c:v>
                </c:pt>
                <c:pt idx="99">
                  <c:v>0.9</c:v>
                </c:pt>
                <c:pt idx="100">
                  <c:v>1</c:v>
                </c:pt>
              </c:numCache>
            </c:numRef>
          </c:xVal>
          <c:yVal>
            <c:numRef>
              <c:f>'StB08-Test'!$E$81:$DA$81</c:f>
              <c:numCache>
                <c:formatCode>General</c:formatCode>
                <c:ptCount val="101"/>
                <c:pt idx="0">
                  <c:v>7.1399833036160905E-3</c:v>
                </c:pt>
                <c:pt idx="1">
                  <c:v>0.11404972840113049</c:v>
                </c:pt>
                <c:pt idx="2">
                  <c:v>0.21815498774660774</c:v>
                </c:pt>
                <c:pt idx="3">
                  <c:v>0.31946737357869082</c:v>
                </c:pt>
                <c:pt idx="4">
                  <c:v>0.41783499218774478</c:v>
                </c:pt>
                <c:pt idx="5">
                  <c:v>0.51310594986413494</c:v>
                </c:pt>
                <c:pt idx="6">
                  <c:v>0.60512835289822586</c:v>
                </c:pt>
                <c:pt idx="7">
                  <c:v>0.69375030758038225</c:v>
                </c:pt>
                <c:pt idx="8">
                  <c:v>0.77881992020097002</c:v>
                </c:pt>
                <c:pt idx="9">
                  <c:v>0.86018529705035318</c:v>
                </c:pt>
                <c:pt idx="10">
                  <c:v>0.93769454441889699</c:v>
                </c:pt>
                <c:pt idx="11">
                  <c:v>1.0111957685969675</c:v>
                </c:pt>
                <c:pt idx="12">
                  <c:v>1.0788039648471042</c:v>
                </c:pt>
                <c:pt idx="13">
                  <c:v>1.1260227585496634</c:v>
                </c:pt>
                <c:pt idx="14">
                  <c:v>1.1614204054398054</c:v>
                </c:pt>
                <c:pt idx="15">
                  <c:v>1.1887694296996127</c:v>
                </c:pt>
                <c:pt idx="16">
                  <c:v>1.2097282768703539</c:v>
                </c:pt>
                <c:pt idx="17">
                  <c:v>1.2252537696330867</c:v>
                </c:pt>
                <c:pt idx="18">
                  <c:v>1.2359634983826056</c:v>
                </c:pt>
                <c:pt idx="19">
                  <c:v>1.2424256208178337</c:v>
                </c:pt>
                <c:pt idx="20">
                  <c:v>1.2454969466463066</c:v>
                </c:pt>
                <c:pt idx="21">
                  <c:v>1.2457485141150972</c:v>
                </c:pt>
                <c:pt idx="22">
                  <c:v>1.2457932903388864</c:v>
                </c:pt>
                <c:pt idx="23">
                  <c:v>1.2456311324928382</c:v>
                </c:pt>
                <c:pt idx="24">
                  <c:v>1.2452618977521182</c:v>
                </c:pt>
                <c:pt idx="25">
                  <c:v>1.2446854432918897</c:v>
                </c:pt>
                <c:pt idx="26">
                  <c:v>1.2439016262873179</c:v>
                </c:pt>
                <c:pt idx="27">
                  <c:v>1.2429103039135685</c:v>
                </c:pt>
                <c:pt idx="28">
                  <c:v>1.2417113333458047</c:v>
                </c:pt>
                <c:pt idx="29">
                  <c:v>1.2403045717591925</c:v>
                </c:pt>
                <c:pt idx="30">
                  <c:v>1.2386898763288945</c:v>
                </c:pt>
                <c:pt idx="31">
                  <c:v>1.2368671042300774</c:v>
                </c:pt>
                <c:pt idx="32">
                  <c:v>1.2348361126379048</c:v>
                </c:pt>
                <c:pt idx="33">
                  <c:v>1.2325967587275422</c:v>
                </c:pt>
                <c:pt idx="34">
                  <c:v>1.2301488996741528</c:v>
                </c:pt>
                <c:pt idx="35">
                  <c:v>1.2274923926529027</c:v>
                </c:pt>
                <c:pt idx="36">
                  <c:v>1.2246270948389555</c:v>
                </c:pt>
                <c:pt idx="37">
                  <c:v>1.221552863407477</c:v>
                </c:pt>
                <c:pt idx="38">
                  <c:v>1.2182695555336309</c:v>
                </c:pt>
                <c:pt idx="39">
                  <c:v>1.2147770283925814</c:v>
                </c:pt>
                <c:pt idx="40">
                  <c:v>1.2110751391594874</c:v>
                </c:pt>
                <c:pt idx="41">
                  <c:v>1.1261947806949903</c:v>
                </c:pt>
                <c:pt idx="42">
                  <c:v>1.0700224498490782</c:v>
                </c:pt>
                <c:pt idx="43">
                  <c:v>1.0475120069566783</c:v>
                </c:pt>
                <c:pt idx="44">
                  <c:v>1.0508400512425355</c:v>
                </c:pt>
                <c:pt idx="45">
                  <c:v>1.0722695227597339</c:v>
                </c:pt>
                <c:pt idx="46">
                  <c:v>1.1053401730264281</c:v>
                </c:pt>
                <c:pt idx="47">
                  <c:v>1.1450418913832372</c:v>
                </c:pt>
                <c:pt idx="48">
                  <c:v>1.1876886233814887</c:v>
                </c:pt>
                <c:pt idx="49">
                  <c:v>1.2306601446218217</c:v>
                </c:pt>
                <c:pt idx="50">
                  <c:v>1.2721503235431257</c:v>
                </c:pt>
                <c:pt idx="51">
                  <c:v>1.3109591772849767</c:v>
                </c:pt>
                <c:pt idx="52">
                  <c:v>1.3260542761134091</c:v>
                </c:pt>
                <c:pt idx="53">
                  <c:v>1.2699078397337411</c:v>
                </c:pt>
                <c:pt idx="54">
                  <c:v>1.185953517833324</c:v>
                </c:pt>
                <c:pt idx="55">
                  <c:v>1.0889538544225874</c:v>
                </c:pt>
                <c:pt idx="56">
                  <c:v>0.99432195091861586</c:v>
                </c:pt>
                <c:pt idx="57">
                  <c:v>0.90851069957248709</c:v>
                </c:pt>
                <c:pt idx="58">
                  <c:v>0.83034533934114574</c:v>
                </c:pt>
                <c:pt idx="59">
                  <c:v>0.75900581216336216</c:v>
                </c:pt>
                <c:pt idx="60">
                  <c:v>0.69377974903627426</c:v>
                </c:pt>
                <c:pt idx="61">
                  <c:v>0.63404611899781527</c:v>
                </c:pt>
                <c:pt idx="62">
                  <c:v>0.57926163070631342</c:v>
                </c:pt>
                <c:pt idx="63">
                  <c:v>0.52894939224598403</c:v>
                </c:pt>
                <c:pt idx="64">
                  <c:v>0.48268942511061991</c:v>
                </c:pt>
                <c:pt idx="65">
                  <c:v>0.44011070328081137</c:v>
                </c:pt>
                <c:pt idx="66">
                  <c:v>0.40088444968311232</c:v>
                </c:pt>
                <c:pt idx="67">
                  <c:v>0.36471847217880599</c:v>
                </c:pt>
                <c:pt idx="68">
                  <c:v>0.33135236156980424</c:v>
                </c:pt>
                <c:pt idx="69">
                  <c:v>0.30055340669047537</c:v>
                </c:pt>
                <c:pt idx="70">
                  <c:v>0.27211310796482807</c:v>
                </c:pt>
                <c:pt idx="71">
                  <c:v>0.1784599793877934</c:v>
                </c:pt>
                <c:pt idx="72">
                  <c:v>0.11044959504195519</c:v>
                </c:pt>
                <c:pt idx="73">
                  <c:v>6.1659127606198842E-2</c:v>
                </c:pt>
                <c:pt idx="74">
                  <c:v>2.7599776631674115E-2</c:v>
                </c:pt>
                <c:pt idx="75">
                  <c:v>5.0506288092680603E-3</c:v>
                </c:pt>
                <c:pt idx="76">
                  <c:v>-8.3529921472496882E-3</c:v>
                </c:pt>
                <c:pt idx="77">
                  <c:v>-1.4382305318666442E-2</c:v>
                </c:pt>
                <c:pt idx="78">
                  <c:v>-1.4387686191905256E-2</c:v>
                </c:pt>
                <c:pt idx="79">
                  <c:v>-9.4149599337731617E-3</c:v>
                </c:pt>
                <c:pt idx="80">
                  <c:v>-2.8553692892744123E-4</c:v>
                </c:pt>
                <c:pt idx="81">
                  <c:v>1.2347241512625761E-2</c:v>
                </c:pt>
                <c:pt idx="82">
                  <c:v>2.7506451568412346E-2</c:v>
                </c:pt>
                <c:pt idx="83">
                  <c:v>4.2545742719057131E-2</c:v>
                </c:pt>
                <c:pt idx="84">
                  <c:v>5.7031668129816936E-2</c:v>
                </c:pt>
                <c:pt idx="85">
                  <c:v>7.0889249825806022E-2</c:v>
                </c:pt>
                <c:pt idx="86">
                  <c:v>8.4054942272761807E-2</c:v>
                </c:pt>
                <c:pt idx="87">
                  <c:v>9.6473740950203321E-2</c:v>
                </c:pt>
                <c:pt idx="88">
                  <c:v>9.731589339625453E-2</c:v>
                </c:pt>
                <c:pt idx="89">
                  <c:v>7.9783088863297671E-2</c:v>
                </c:pt>
                <c:pt idx="90">
                  <c:v>5.2890055462038038E-2</c:v>
                </c:pt>
                <c:pt idx="91">
                  <c:v>1.7917611892802943E-2</c:v>
                </c:pt>
                <c:pt idx="92">
                  <c:v>-3.0772310444099952E-2</c:v>
                </c:pt>
                <c:pt idx="93">
                  <c:v>-5.1107700172849296E-2</c:v>
                </c:pt>
                <c:pt idx="94">
                  <c:v>-4.5209096868508908E-2</c:v>
                </c:pt>
                <c:pt idx="95">
                  <c:v>-3.9310493564168721E-2</c:v>
                </c:pt>
                <c:pt idx="96">
                  <c:v>-3.3411890259828263E-2</c:v>
                </c:pt>
                <c:pt idx="97">
                  <c:v>-2.7513286955488082E-2</c:v>
                </c:pt>
                <c:pt idx="98">
                  <c:v>-2.1614683651147899E-2</c:v>
                </c:pt>
                <c:pt idx="99">
                  <c:v>-1.571608034680758E-2</c:v>
                </c:pt>
                <c:pt idx="100">
                  <c:v>-9.8174770424671199E-3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16-4E4F-AA59-1DAC858C5F24}"/>
            </c:ext>
          </c:extLst>
        </c:ser>
        <c:ser>
          <c:idx val="2"/>
          <c:order val="2"/>
          <c:tx>
            <c:v>Ka_asym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'StB08-Test'!$E$68:$DA$68</c:f>
              <c:numCache>
                <c:formatCode>0.000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-0.59499999999999964</c:v>
                </c:pt>
                <c:pt idx="22">
                  <c:v>-0.58999999999999964</c:v>
                </c:pt>
                <c:pt idx="23">
                  <c:v>-0.58499999999999963</c:v>
                </c:pt>
                <c:pt idx="24">
                  <c:v>-0.57999999999999963</c:v>
                </c:pt>
                <c:pt idx="25">
                  <c:v>-0.57499999999999962</c:v>
                </c:pt>
                <c:pt idx="26">
                  <c:v>-0.56999999999999962</c:v>
                </c:pt>
                <c:pt idx="27">
                  <c:v>-0.56499999999999961</c:v>
                </c:pt>
                <c:pt idx="28">
                  <c:v>-0.55999999999999961</c:v>
                </c:pt>
                <c:pt idx="29">
                  <c:v>-0.5549999999999996</c:v>
                </c:pt>
                <c:pt idx="30">
                  <c:v>-0.5499999999999996</c:v>
                </c:pt>
                <c:pt idx="31">
                  <c:v>-0.5449999999999996</c:v>
                </c:pt>
                <c:pt idx="32">
                  <c:v>-0.53999999999999959</c:v>
                </c:pt>
                <c:pt idx="33">
                  <c:v>-0.53499999999999959</c:v>
                </c:pt>
                <c:pt idx="34">
                  <c:v>-0.52999999999999958</c:v>
                </c:pt>
                <c:pt idx="35">
                  <c:v>-0.52499999999999958</c:v>
                </c:pt>
                <c:pt idx="36">
                  <c:v>-0.51999999999999957</c:v>
                </c:pt>
                <c:pt idx="37">
                  <c:v>-0.51499999999999957</c:v>
                </c:pt>
                <c:pt idx="38">
                  <c:v>-0.50999999999999956</c:v>
                </c:pt>
                <c:pt idx="39">
                  <c:v>-0.50499999999999956</c:v>
                </c:pt>
                <c:pt idx="40">
                  <c:v>-0.49999999999999956</c:v>
                </c:pt>
                <c:pt idx="41">
                  <c:v>-0.49499999999999955</c:v>
                </c:pt>
                <c:pt idx="42">
                  <c:v>-0.48999999999999955</c:v>
                </c:pt>
                <c:pt idx="43">
                  <c:v>-0.48499999999999954</c:v>
                </c:pt>
                <c:pt idx="44">
                  <c:v>-0.47999999999999954</c:v>
                </c:pt>
                <c:pt idx="45">
                  <c:v>-0.47499999999999953</c:v>
                </c:pt>
                <c:pt idx="46">
                  <c:v>-0.46999999999999953</c:v>
                </c:pt>
                <c:pt idx="47">
                  <c:v>-0.46499999999999952</c:v>
                </c:pt>
                <c:pt idx="48">
                  <c:v>-0.45999999999999952</c:v>
                </c:pt>
                <c:pt idx="49">
                  <c:v>-0.45499999999999952</c:v>
                </c:pt>
                <c:pt idx="50">
                  <c:v>-0.44999999999999951</c:v>
                </c:pt>
                <c:pt idx="51">
                  <c:v>-0.44499999999999951</c:v>
                </c:pt>
                <c:pt idx="52">
                  <c:v>-0.4399999999999995</c:v>
                </c:pt>
                <c:pt idx="53">
                  <c:v>-0.4349999999999995</c:v>
                </c:pt>
                <c:pt idx="54">
                  <c:v>-0.42999999999999949</c:v>
                </c:pt>
                <c:pt idx="55">
                  <c:v>-0.42499999999999949</c:v>
                </c:pt>
                <c:pt idx="56">
                  <c:v>-0.41999999999999948</c:v>
                </c:pt>
                <c:pt idx="57">
                  <c:v>-0.41499999999999948</c:v>
                </c:pt>
                <c:pt idx="58">
                  <c:v>-0.40999999999999948</c:v>
                </c:pt>
                <c:pt idx="59">
                  <c:v>-0.40499999999999947</c:v>
                </c:pt>
                <c:pt idx="60">
                  <c:v>-0.39999999999999947</c:v>
                </c:pt>
                <c:pt idx="61">
                  <c:v>-0.39499999999999946</c:v>
                </c:pt>
                <c:pt idx="62">
                  <c:v>-0.38999999999999946</c:v>
                </c:pt>
                <c:pt idx="63">
                  <c:v>-0.38499999999999945</c:v>
                </c:pt>
                <c:pt idx="64">
                  <c:v>-0.37999999999999945</c:v>
                </c:pt>
                <c:pt idx="65">
                  <c:v>-0.37499999999999944</c:v>
                </c:pt>
                <c:pt idx="66">
                  <c:v>-0.36999999999999944</c:v>
                </c:pt>
                <c:pt idx="67">
                  <c:v>-0.36499999999999944</c:v>
                </c:pt>
                <c:pt idx="68">
                  <c:v>-0.35999999999999943</c:v>
                </c:pt>
                <c:pt idx="69">
                  <c:v>-0.35499999999999943</c:v>
                </c:pt>
                <c:pt idx="70">
                  <c:v>-0.34999999999999942</c:v>
                </c:pt>
                <c:pt idx="71">
                  <c:v>-0.3299999999999994</c:v>
                </c:pt>
                <c:pt idx="72">
                  <c:v>-0.30999999999999939</c:v>
                </c:pt>
                <c:pt idx="73">
                  <c:v>-0.28999999999999937</c:v>
                </c:pt>
                <c:pt idx="74">
                  <c:v>-0.26999999999999935</c:v>
                </c:pt>
                <c:pt idx="75">
                  <c:v>-0.24999999999999936</c:v>
                </c:pt>
                <c:pt idx="76">
                  <c:v>-0.22999999999999937</c:v>
                </c:pt>
                <c:pt idx="77">
                  <c:v>-0.20999999999999938</c:v>
                </c:pt>
                <c:pt idx="78">
                  <c:v>-0.18999999999999939</c:v>
                </c:pt>
                <c:pt idx="79">
                  <c:v>-0.1699999999999994</c:v>
                </c:pt>
                <c:pt idx="80">
                  <c:v>-0.14999999999999941</c:v>
                </c:pt>
                <c:pt idx="81">
                  <c:v>-0.12999999999999942</c:v>
                </c:pt>
                <c:pt idx="82">
                  <c:v>-0.10999999999999942</c:v>
                </c:pt>
                <c:pt idx="83">
                  <c:v>-8.9999999999999414E-2</c:v>
                </c:pt>
                <c:pt idx="84">
                  <c:v>-6.999999999999941E-2</c:v>
                </c:pt>
                <c:pt idx="85">
                  <c:v>-4.9999999999999406E-2</c:v>
                </c:pt>
                <c:pt idx="86">
                  <c:v>-2.9999999999999406E-2</c:v>
                </c:pt>
                <c:pt idx="87">
                  <c:v>-9.9999999999994052E-3</c:v>
                </c:pt>
                <c:pt idx="88">
                  <c:v>1.0000000000000595E-2</c:v>
                </c:pt>
                <c:pt idx="89">
                  <c:v>3.0000000000000596E-2</c:v>
                </c:pt>
                <c:pt idx="90">
                  <c:v>5.00000000000006E-2</c:v>
                </c:pt>
                <c:pt idx="91">
                  <c:v>7.0000000000000603E-2</c:v>
                </c:pt>
                <c:pt idx="92">
                  <c:v>9.0000000000000607E-2</c:v>
                </c:pt>
                <c:pt idx="93">
                  <c:v>0.3</c:v>
                </c:pt>
                <c:pt idx="94">
                  <c:v>0.4</c:v>
                </c:pt>
                <c:pt idx="95">
                  <c:v>0.5</c:v>
                </c:pt>
                <c:pt idx="96">
                  <c:v>0.6</c:v>
                </c:pt>
                <c:pt idx="97">
                  <c:v>0.7</c:v>
                </c:pt>
                <c:pt idx="98">
                  <c:v>0.8</c:v>
                </c:pt>
                <c:pt idx="99">
                  <c:v>0.9</c:v>
                </c:pt>
                <c:pt idx="100">
                  <c:v>1</c:v>
                </c:pt>
              </c:numCache>
            </c:numRef>
          </c:xVal>
          <c:yVal>
            <c:numRef>
              <c:f>'StB08-Test'!$E$82:$DA$82</c:f>
              <c:numCache>
                <c:formatCode>General</c:formatCode>
                <c:ptCount val="101"/>
                <c:pt idx="0">
                  <c:v>-2.2608212011279867</c:v>
                </c:pt>
                <c:pt idx="1">
                  <c:v>-2.195467914246243</c:v>
                </c:pt>
                <c:pt idx="2">
                  <c:v>-2.1301169756774536</c:v>
                </c:pt>
                <c:pt idx="3">
                  <c:v>-2.0647037898605389</c:v>
                </c:pt>
                <c:pt idx="4">
                  <c:v>-1.9992358936195678</c:v>
                </c:pt>
                <c:pt idx="5">
                  <c:v>-1.9337208237786072</c:v>
                </c:pt>
                <c:pt idx="6">
                  <c:v>-1.868166117161723</c:v>
                </c:pt>
                <c:pt idx="7">
                  <c:v>-1.8025793105929842</c:v>
                </c:pt>
                <c:pt idx="8">
                  <c:v>-1.7369679408964565</c:v>
                </c:pt>
                <c:pt idx="9">
                  <c:v>-1.6713395448962081</c:v>
                </c:pt>
                <c:pt idx="10">
                  <c:v>-1.605701659416306</c:v>
                </c:pt>
                <c:pt idx="11">
                  <c:v>-1.5400618212808173</c:v>
                </c:pt>
                <c:pt idx="12">
                  <c:v>-1.4744275673138096</c:v>
                </c:pt>
                <c:pt idx="13">
                  <c:v>-1.4088064343393503</c:v>
                </c:pt>
                <c:pt idx="14">
                  <c:v>-1.343205959181506</c:v>
                </c:pt>
                <c:pt idx="15">
                  <c:v>-1.2776336786643445</c:v>
                </c:pt>
                <c:pt idx="16">
                  <c:v>-1.2120971296119332</c:v>
                </c:pt>
                <c:pt idx="17">
                  <c:v>-1.1466038488483388</c:v>
                </c:pt>
                <c:pt idx="18">
                  <c:v>-1.0811613731976291</c:v>
                </c:pt>
                <c:pt idx="19">
                  <c:v>-1.0157772394838707</c:v>
                </c:pt>
                <c:pt idx="20">
                  <c:v>-0.95045898453113165</c:v>
                </c:pt>
                <c:pt idx="21">
                  <c:v>-0.93414059757092649</c:v>
                </c:pt>
                <c:pt idx="22">
                  <c:v>-0.91782691684766515</c:v>
                </c:pt>
                <c:pt idx="23">
                  <c:v>-0.90151806012422375</c:v>
                </c:pt>
                <c:pt idx="24">
                  <c:v>-0.88521414516347885</c:v>
                </c:pt>
                <c:pt idx="25">
                  <c:v>-0.86891528972830545</c:v>
                </c:pt>
                <c:pt idx="26">
                  <c:v>-0.85262161158158056</c:v>
                </c:pt>
                <c:pt idx="27">
                  <c:v>-0.83633322848617953</c:v>
                </c:pt>
                <c:pt idx="28">
                  <c:v>-0.82005025820497934</c:v>
                </c:pt>
                <c:pt idx="29">
                  <c:v>-0.8037728185008548</c:v>
                </c:pt>
                <c:pt idx="30">
                  <c:v>-0.78750102713668313</c:v>
                </c:pt>
                <c:pt idx="31">
                  <c:v>-0.77123500187533933</c:v>
                </c:pt>
                <c:pt idx="32">
                  <c:v>-0.75497486047970053</c:v>
                </c:pt>
                <c:pt idx="33">
                  <c:v>-0.73872072071264183</c:v>
                </c:pt>
                <c:pt idx="34">
                  <c:v>-0.72247270033704003</c:v>
                </c:pt>
                <c:pt idx="35">
                  <c:v>-0.70623091711577068</c:v>
                </c:pt>
                <c:pt idx="36">
                  <c:v>-0.68999548881170991</c:v>
                </c:pt>
                <c:pt idx="37">
                  <c:v>-0.67376653318773361</c:v>
                </c:pt>
                <c:pt idx="38">
                  <c:v>-0.65754416800671855</c:v>
                </c:pt>
                <c:pt idx="39">
                  <c:v>-0.64132851103154009</c:v>
                </c:pt>
                <c:pt idx="40">
                  <c:v>-0.62511968002505147</c:v>
                </c:pt>
                <c:pt idx="41">
                  <c:v>-0.34780143882039161</c:v>
                </c:pt>
                <c:pt idx="42">
                  <c:v>-7.7460495693326706E-2</c:v>
                </c:pt>
                <c:pt idx="43">
                  <c:v>0.17899122365079204</c:v>
                </c:pt>
                <c:pt idx="44">
                  <c:v>0.41701644527249038</c:v>
                </c:pt>
                <c:pt idx="45">
                  <c:v>0.63435139975254184</c:v>
                </c:pt>
                <c:pt idx="46">
                  <c:v>0.83032365350575899</c:v>
                </c:pt>
                <c:pt idx="47">
                  <c:v>1.0052657646579783</c:v>
                </c:pt>
                <c:pt idx="48">
                  <c:v>1.1600995011743387</c:v>
                </c:pt>
                <c:pt idx="49">
                  <c:v>1.2960607555576305</c:v>
                </c:pt>
                <c:pt idx="50">
                  <c:v>1.4145243616072452</c:v>
                </c:pt>
                <c:pt idx="51">
                  <c:v>1.5168959603103789</c:v>
                </c:pt>
                <c:pt idx="52">
                  <c:v>1.5842691603166625</c:v>
                </c:pt>
                <c:pt idx="53">
                  <c:v>1.570843858229658</c:v>
                </c:pt>
                <c:pt idx="54">
                  <c:v>1.5214434793018063</c:v>
                </c:pt>
                <c:pt idx="55">
                  <c:v>1.4519012732241059</c:v>
                </c:pt>
                <c:pt idx="56">
                  <c:v>1.3782175313716023</c:v>
                </c:pt>
                <c:pt idx="57">
                  <c:v>1.3082165814617859</c:v>
                </c:pt>
                <c:pt idx="58">
                  <c:v>1.2417284340193073</c:v>
                </c:pt>
                <c:pt idx="59">
                  <c:v>1.1785758678772533</c:v>
                </c:pt>
                <c:pt idx="60">
                  <c:v>1.1185802372071481</c:v>
                </c:pt>
                <c:pt idx="61">
                  <c:v>1.0615654062551396</c:v>
                </c:pt>
                <c:pt idx="62">
                  <c:v>1.0073603497098313</c:v>
                </c:pt>
                <c:pt idx="63">
                  <c:v>0.95580080399300393</c:v>
                </c:pt>
                <c:pt idx="64">
                  <c:v>0.90673024608008757</c:v>
                </c:pt>
                <c:pt idx="65">
                  <c:v>0.86000039880031909</c:v>
                </c:pt>
                <c:pt idx="66">
                  <c:v>0.81547140588493627</c:v>
                </c:pt>
                <c:pt idx="67">
                  <c:v>0.77301177997255899</c:v>
                </c:pt>
                <c:pt idx="68">
                  <c:v>0.73249819787189407</c:v>
                </c:pt>
                <c:pt idx="69">
                  <c:v>0.69381519646301271</c:v>
                </c:pt>
                <c:pt idx="70">
                  <c:v>0.65685480744786007</c:v>
                </c:pt>
                <c:pt idx="71">
                  <c:v>0.52431966111636341</c:v>
                </c:pt>
                <c:pt idx="72">
                  <c:v>0.41238172229376469</c:v>
                </c:pt>
                <c:pt idx="73">
                  <c:v>0.31687120025150345</c:v>
                </c:pt>
                <c:pt idx="74">
                  <c:v>0.23460095534013431</c:v>
                </c:pt>
                <c:pt idx="75">
                  <c:v>0.16311355136983999</c:v>
                </c:pt>
                <c:pt idx="76">
                  <c:v>0.10049506206891458</c:v>
                </c:pt>
                <c:pt idx="77">
                  <c:v>4.5239378070934075E-2</c:v>
                </c:pt>
                <c:pt idx="78">
                  <c:v>-3.8507661384360129E-3</c:v>
                </c:pt>
                <c:pt idx="79">
                  <c:v>-4.7736410041003645E-2</c:v>
                </c:pt>
                <c:pt idx="80">
                  <c:v>-8.7196091790324073E-2</c:v>
                </c:pt>
                <c:pt idx="81">
                  <c:v>-0.12286596845947141</c:v>
                </c:pt>
                <c:pt idx="82">
                  <c:v>-0.15527006834625715</c:v>
                </c:pt>
                <c:pt idx="83">
                  <c:v>-0.18484332337356874</c:v>
                </c:pt>
                <c:pt idx="84">
                  <c:v>-0.2119492700507164</c:v>
                </c:pt>
                <c:pt idx="85">
                  <c:v>-0.23689377647960216</c:v>
                </c:pt>
                <c:pt idx="86">
                  <c:v>-0.25993577973722343</c:v>
                </c:pt>
                <c:pt idx="87">
                  <c:v>-0.28129575384171124</c:v>
                </c:pt>
                <c:pt idx="88">
                  <c:v>-0.33802984341547754</c:v>
                </c:pt>
                <c:pt idx="89">
                  <c:v>-0.42855570006171034</c:v>
                </c:pt>
                <c:pt idx="90">
                  <c:v>-0.51286531604842289</c:v>
                </c:pt>
                <c:pt idx="91">
                  <c:v>-0.58531282442820387</c:v>
                </c:pt>
                <c:pt idx="92">
                  <c:v>-0.63701684791585877</c:v>
                </c:pt>
                <c:pt idx="93">
                  <c:v>-0.66571851088586731</c:v>
                </c:pt>
                <c:pt idx="94">
                  <c:v>-0.66601891588554629</c:v>
                </c:pt>
                <c:pt idx="95">
                  <c:v>-0.66631932088522539</c:v>
                </c:pt>
                <c:pt idx="96">
                  <c:v>-0.66661972588490437</c:v>
                </c:pt>
                <c:pt idx="97">
                  <c:v>-0.66692013088458357</c:v>
                </c:pt>
                <c:pt idx="98">
                  <c:v>-0.66722053588426267</c:v>
                </c:pt>
                <c:pt idx="99">
                  <c:v>-0.66752094088394165</c:v>
                </c:pt>
                <c:pt idx="100">
                  <c:v>-0.66782134588362063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16-4E4F-AA59-1DAC858C5F24}"/>
            </c:ext>
          </c:extLst>
        </c:ser>
        <c:ser>
          <c:idx val="3"/>
          <c:order val="3"/>
          <c:tx>
            <c:v>R_symm</c:v>
          </c:tx>
          <c:spPr>
            <a:ln w="254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'StB08-Test'!$E$68:$DA$68</c:f>
              <c:numCache>
                <c:formatCode>0.000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-0.59499999999999964</c:v>
                </c:pt>
                <c:pt idx="22">
                  <c:v>-0.58999999999999964</c:v>
                </c:pt>
                <c:pt idx="23">
                  <c:v>-0.58499999999999963</c:v>
                </c:pt>
                <c:pt idx="24">
                  <c:v>-0.57999999999999963</c:v>
                </c:pt>
                <c:pt idx="25">
                  <c:v>-0.57499999999999962</c:v>
                </c:pt>
                <c:pt idx="26">
                  <c:v>-0.56999999999999962</c:v>
                </c:pt>
                <c:pt idx="27">
                  <c:v>-0.56499999999999961</c:v>
                </c:pt>
                <c:pt idx="28">
                  <c:v>-0.55999999999999961</c:v>
                </c:pt>
                <c:pt idx="29">
                  <c:v>-0.5549999999999996</c:v>
                </c:pt>
                <c:pt idx="30">
                  <c:v>-0.5499999999999996</c:v>
                </c:pt>
                <c:pt idx="31">
                  <c:v>-0.5449999999999996</c:v>
                </c:pt>
                <c:pt idx="32">
                  <c:v>-0.53999999999999959</c:v>
                </c:pt>
                <c:pt idx="33">
                  <c:v>-0.53499999999999959</c:v>
                </c:pt>
                <c:pt idx="34">
                  <c:v>-0.52999999999999958</c:v>
                </c:pt>
                <c:pt idx="35">
                  <c:v>-0.52499999999999958</c:v>
                </c:pt>
                <c:pt idx="36">
                  <c:v>-0.51999999999999957</c:v>
                </c:pt>
                <c:pt idx="37">
                  <c:v>-0.51499999999999957</c:v>
                </c:pt>
                <c:pt idx="38">
                  <c:v>-0.50999999999999956</c:v>
                </c:pt>
                <c:pt idx="39">
                  <c:v>-0.50499999999999956</c:v>
                </c:pt>
                <c:pt idx="40">
                  <c:v>-0.49999999999999956</c:v>
                </c:pt>
                <c:pt idx="41">
                  <c:v>-0.49499999999999955</c:v>
                </c:pt>
                <c:pt idx="42">
                  <c:v>-0.48999999999999955</c:v>
                </c:pt>
                <c:pt idx="43">
                  <c:v>-0.48499999999999954</c:v>
                </c:pt>
                <c:pt idx="44">
                  <c:v>-0.47999999999999954</c:v>
                </c:pt>
                <c:pt idx="45">
                  <c:v>-0.47499999999999953</c:v>
                </c:pt>
                <c:pt idx="46">
                  <c:v>-0.46999999999999953</c:v>
                </c:pt>
                <c:pt idx="47">
                  <c:v>-0.46499999999999952</c:v>
                </c:pt>
                <c:pt idx="48">
                  <c:v>-0.45999999999999952</c:v>
                </c:pt>
                <c:pt idx="49">
                  <c:v>-0.45499999999999952</c:v>
                </c:pt>
                <c:pt idx="50">
                  <c:v>-0.44999999999999951</c:v>
                </c:pt>
                <c:pt idx="51">
                  <c:v>-0.44499999999999951</c:v>
                </c:pt>
                <c:pt idx="52">
                  <c:v>-0.4399999999999995</c:v>
                </c:pt>
                <c:pt idx="53">
                  <c:v>-0.4349999999999995</c:v>
                </c:pt>
                <c:pt idx="54">
                  <c:v>-0.42999999999999949</c:v>
                </c:pt>
                <c:pt idx="55">
                  <c:v>-0.42499999999999949</c:v>
                </c:pt>
                <c:pt idx="56">
                  <c:v>-0.41999999999999948</c:v>
                </c:pt>
                <c:pt idx="57">
                  <c:v>-0.41499999999999948</c:v>
                </c:pt>
                <c:pt idx="58">
                  <c:v>-0.40999999999999948</c:v>
                </c:pt>
                <c:pt idx="59">
                  <c:v>-0.40499999999999947</c:v>
                </c:pt>
                <c:pt idx="60">
                  <c:v>-0.39999999999999947</c:v>
                </c:pt>
                <c:pt idx="61">
                  <c:v>-0.39499999999999946</c:v>
                </c:pt>
                <c:pt idx="62">
                  <c:v>-0.38999999999999946</c:v>
                </c:pt>
                <c:pt idx="63">
                  <c:v>-0.38499999999999945</c:v>
                </c:pt>
                <c:pt idx="64">
                  <c:v>-0.37999999999999945</c:v>
                </c:pt>
                <c:pt idx="65">
                  <c:v>-0.37499999999999944</c:v>
                </c:pt>
                <c:pt idx="66">
                  <c:v>-0.36999999999999944</c:v>
                </c:pt>
                <c:pt idx="67">
                  <c:v>-0.36499999999999944</c:v>
                </c:pt>
                <c:pt idx="68">
                  <c:v>-0.35999999999999943</c:v>
                </c:pt>
                <c:pt idx="69">
                  <c:v>-0.35499999999999943</c:v>
                </c:pt>
                <c:pt idx="70">
                  <c:v>-0.34999999999999942</c:v>
                </c:pt>
                <c:pt idx="71">
                  <c:v>-0.3299999999999994</c:v>
                </c:pt>
                <c:pt idx="72">
                  <c:v>-0.30999999999999939</c:v>
                </c:pt>
                <c:pt idx="73">
                  <c:v>-0.28999999999999937</c:v>
                </c:pt>
                <c:pt idx="74">
                  <c:v>-0.26999999999999935</c:v>
                </c:pt>
                <c:pt idx="75">
                  <c:v>-0.24999999999999936</c:v>
                </c:pt>
                <c:pt idx="76">
                  <c:v>-0.22999999999999937</c:v>
                </c:pt>
                <c:pt idx="77">
                  <c:v>-0.20999999999999938</c:v>
                </c:pt>
                <c:pt idx="78">
                  <c:v>-0.18999999999999939</c:v>
                </c:pt>
                <c:pt idx="79">
                  <c:v>-0.1699999999999994</c:v>
                </c:pt>
                <c:pt idx="80">
                  <c:v>-0.14999999999999941</c:v>
                </c:pt>
                <c:pt idx="81">
                  <c:v>-0.12999999999999942</c:v>
                </c:pt>
                <c:pt idx="82">
                  <c:v>-0.10999999999999942</c:v>
                </c:pt>
                <c:pt idx="83">
                  <c:v>-8.9999999999999414E-2</c:v>
                </c:pt>
                <c:pt idx="84">
                  <c:v>-6.999999999999941E-2</c:v>
                </c:pt>
                <c:pt idx="85">
                  <c:v>-4.9999999999999406E-2</c:v>
                </c:pt>
                <c:pt idx="86">
                  <c:v>-2.9999999999999406E-2</c:v>
                </c:pt>
                <c:pt idx="87">
                  <c:v>-9.9999999999994052E-3</c:v>
                </c:pt>
                <c:pt idx="88">
                  <c:v>1.0000000000000595E-2</c:v>
                </c:pt>
                <c:pt idx="89">
                  <c:v>3.0000000000000596E-2</c:v>
                </c:pt>
                <c:pt idx="90">
                  <c:v>5.00000000000006E-2</c:v>
                </c:pt>
                <c:pt idx="91">
                  <c:v>7.0000000000000603E-2</c:v>
                </c:pt>
                <c:pt idx="92">
                  <c:v>9.0000000000000607E-2</c:v>
                </c:pt>
                <c:pt idx="93">
                  <c:v>0.3</c:v>
                </c:pt>
                <c:pt idx="94">
                  <c:v>0.4</c:v>
                </c:pt>
                <c:pt idx="95">
                  <c:v>0.5</c:v>
                </c:pt>
                <c:pt idx="96">
                  <c:v>0.6</c:v>
                </c:pt>
                <c:pt idx="97">
                  <c:v>0.7</c:v>
                </c:pt>
                <c:pt idx="98">
                  <c:v>0.8</c:v>
                </c:pt>
                <c:pt idx="99">
                  <c:v>0.9</c:v>
                </c:pt>
                <c:pt idx="100">
                  <c:v>1</c:v>
                </c:pt>
              </c:numCache>
            </c:numRef>
          </c:xVal>
          <c:yVal>
            <c:numRef>
              <c:f>'StB08-Test'!$E$89:$DA$89</c:f>
              <c:numCache>
                <c:formatCode>General</c:formatCode>
                <c:ptCount val="101"/>
                <c:pt idx="0">
                  <c:v>2.2727272727272725E-4</c:v>
                </c:pt>
                <c:pt idx="1">
                  <c:v>7.3531487425273212E-3</c:v>
                </c:pt>
                <c:pt idx="2">
                  <c:v>1.4287452875695751E-2</c:v>
                </c:pt>
                <c:pt idx="3">
                  <c:v>2.1018040166975924E-2</c:v>
                </c:pt>
                <c:pt idx="4">
                  <c:v>2.7532765656565678E-2</c:v>
                </c:pt>
                <c:pt idx="5">
                  <c:v>3.3819484384662993E-2</c:v>
                </c:pt>
                <c:pt idx="6">
                  <c:v>3.9866051391465714E-2</c:v>
                </c:pt>
                <c:pt idx="7">
                  <c:v>4.5660321717171742E-2</c:v>
                </c:pt>
                <c:pt idx="8">
                  <c:v>5.1190150401979023E-2</c:v>
                </c:pt>
                <c:pt idx="9">
                  <c:v>5.6443392486085368E-2</c:v>
                </c:pt>
                <c:pt idx="10">
                  <c:v>6.140790300968877E-2</c:v>
                </c:pt>
                <c:pt idx="11">
                  <c:v>6.6071537012987069E-2</c:v>
                </c:pt>
                <c:pt idx="12">
                  <c:v>6.9807199440321599E-2</c:v>
                </c:pt>
                <c:pt idx="13">
                  <c:v>7.1278783421888994E-2</c:v>
                </c:pt>
                <c:pt idx="14">
                  <c:v>7.2518312758136916E-2</c:v>
                </c:pt>
                <c:pt idx="15">
                  <c:v>7.3525236645794689E-2</c:v>
                </c:pt>
                <c:pt idx="16">
                  <c:v>7.4299004281591433E-2</c:v>
                </c:pt>
                <c:pt idx="17">
                  <c:v>7.4839064862256374E-2</c:v>
                </c:pt>
                <c:pt idx="18">
                  <c:v>7.514486758451866E-2</c:v>
                </c:pt>
                <c:pt idx="19">
                  <c:v>7.5215861645107532E-2</c:v>
                </c:pt>
                <c:pt idx="20">
                  <c:v>7.5051496240752177E-2</c:v>
                </c:pt>
                <c:pt idx="21">
                  <c:v>7.4973565426007541E-2</c:v>
                </c:pt>
                <c:pt idx="22">
                  <c:v>7.4880881613198322E-2</c:v>
                </c:pt>
                <c:pt idx="23">
                  <c:v>7.4773436196023432E-2</c:v>
                </c:pt>
                <c:pt idx="24">
                  <c:v>7.4651220568181811E-2</c:v>
                </c:pt>
                <c:pt idx="25">
                  <c:v>7.4514226123372315E-2</c:v>
                </c:pt>
                <c:pt idx="26">
                  <c:v>7.4362444255293855E-2</c:v>
                </c:pt>
                <c:pt idx="27">
                  <c:v>7.4195866357645301E-2</c:v>
                </c:pt>
                <c:pt idx="28">
                  <c:v>7.4014483824125593E-2</c:v>
                </c:pt>
                <c:pt idx="29">
                  <c:v>7.3818288048433614E-2</c:v>
                </c:pt>
                <c:pt idx="30">
                  <c:v>7.3607270424268192E-2</c:v>
                </c:pt>
                <c:pt idx="31">
                  <c:v>7.338142234532824E-2</c:v>
                </c:pt>
                <c:pt idx="32">
                  <c:v>7.3140735205312765E-2</c:v>
                </c:pt>
                <c:pt idx="33">
                  <c:v>7.2885200397920499E-2</c:v>
                </c:pt>
                <c:pt idx="34">
                  <c:v>7.2614809316850437E-2</c:v>
                </c:pt>
                <c:pt idx="35">
                  <c:v>7.2329553355801462E-2</c:v>
                </c:pt>
                <c:pt idx="36">
                  <c:v>7.2029423908472473E-2</c:v>
                </c:pt>
                <c:pt idx="37">
                  <c:v>7.1714412368562325E-2</c:v>
                </c:pt>
                <c:pt idx="38">
                  <c:v>7.1384510129769874E-2</c:v>
                </c:pt>
                <c:pt idx="39">
                  <c:v>7.1039708585794142E-2</c:v>
                </c:pt>
                <c:pt idx="40">
                  <c:v>7.0679999130333335E-2</c:v>
                </c:pt>
                <c:pt idx="41">
                  <c:v>6.6495420228242216E-2</c:v>
                </c:pt>
                <c:pt idx="42">
                  <c:v>6.6504265220108924E-2</c:v>
                </c:pt>
                <c:pt idx="43">
                  <c:v>6.9142372282982062E-2</c:v>
                </c:pt>
                <c:pt idx="44">
                  <c:v>7.3405818905775466E-2</c:v>
                </c:pt>
                <c:pt idx="45">
                  <c:v>7.8639525314315284E-2</c:v>
                </c:pt>
                <c:pt idx="46">
                  <c:v>8.4410935951204483E-2</c:v>
                </c:pt>
                <c:pt idx="47">
                  <c:v>9.0432355419395385E-2</c:v>
                </c:pt>
                <c:pt idx="48">
                  <c:v>9.6512007150625662E-2</c:v>
                </c:pt>
                <c:pt idx="49">
                  <c:v>0.10252252527014923</c:v>
                </c:pt>
                <c:pt idx="50">
                  <c:v>0.10838028866598159</c:v>
                </c:pt>
                <c:pt idx="51">
                  <c:v>0.11403164496268949</c:v>
                </c:pt>
                <c:pt idx="52">
                  <c:v>0.11408547502779365</c:v>
                </c:pt>
                <c:pt idx="53">
                  <c:v>0.10795611021024645</c:v>
                </c:pt>
                <c:pt idx="54">
                  <c:v>0.10229975648303717</c:v>
                </c:pt>
                <c:pt idx="55">
                  <c:v>9.7063523900219703E-2</c:v>
                </c:pt>
                <c:pt idx="56">
                  <c:v>9.22887245870294E-2</c:v>
                </c:pt>
                <c:pt idx="57">
                  <c:v>8.7959881843681018E-2</c:v>
                </c:pt>
                <c:pt idx="58">
                  <c:v>8.3967321191978639E-2</c:v>
                </c:pt>
                <c:pt idx="59">
                  <c:v>8.0275808938885571E-2</c:v>
                </c:pt>
                <c:pt idx="60">
                  <c:v>7.6854840571663197E-2</c:v>
                </c:pt>
                <c:pt idx="61">
                  <c:v>7.3677876584343119E-2</c:v>
                </c:pt>
                <c:pt idx="62">
                  <c:v>7.0721721297599099E-2</c:v>
                </c:pt>
                <c:pt idx="63">
                  <c:v>6.7966014495581956E-2</c:v>
                </c:pt>
                <c:pt idx="64">
                  <c:v>6.5392812749276594E-2</c:v>
                </c:pt>
                <c:pt idx="65">
                  <c:v>6.2986242547724391E-2</c:v>
                </c:pt>
                <c:pt idx="66">
                  <c:v>6.073221130872012E-2</c:v>
                </c:pt>
                <c:pt idx="67">
                  <c:v>5.8618165337447486E-2</c:v>
                </c:pt>
                <c:pt idx="68">
                  <c:v>5.663288609348234E-2</c:v>
                </c:pt>
                <c:pt idx="69">
                  <c:v>5.4766317892859656E-2</c:v>
                </c:pt>
                <c:pt idx="70">
                  <c:v>5.300942154287544E-2</c:v>
                </c:pt>
                <c:pt idx="71">
                  <c:v>4.6926834384202691E-2</c:v>
                </c:pt>
                <c:pt idx="72">
                  <c:v>4.2068764127241261E-2</c:v>
                </c:pt>
                <c:pt idx="73">
                  <c:v>3.81487281812177E-2</c:v>
                </c:pt>
                <c:pt idx="74">
                  <c:v>3.4962958766531452E-2</c:v>
                </c:pt>
                <c:pt idx="75">
                  <c:v>3.2362610078960477E-2</c:v>
                </c:pt>
                <c:pt idx="76">
                  <c:v>3.0236450876185633E-2</c:v>
                </c:pt>
                <c:pt idx="77">
                  <c:v>2.8499705566189464E-2</c:v>
                </c:pt>
                <c:pt idx="78">
                  <c:v>2.7086640633229572E-2</c:v>
                </c:pt>
                <c:pt idx="79">
                  <c:v>2.5945508974923127E-2</c:v>
                </c:pt>
                <c:pt idx="80">
                  <c:v>2.5035022085294515E-2</c:v>
                </c:pt>
                <c:pt idx="81">
                  <c:v>2.432183771491353E-2</c:v>
                </c:pt>
                <c:pt idx="82">
                  <c:v>2.3778737883122042E-2</c:v>
                </c:pt>
                <c:pt idx="83">
                  <c:v>2.3383285793923E-2</c:v>
                </c:pt>
                <c:pt idx="84">
                  <c:v>2.311682107023906E-2</c:v>
                </c:pt>
                <c:pt idx="85">
                  <c:v>2.2963697957604751E-2</c:v>
                </c:pt>
                <c:pt idx="86">
                  <c:v>2.2910700652024329E-2</c:v>
                </c:pt>
                <c:pt idx="87">
                  <c:v>2.2946589528034817E-2</c:v>
                </c:pt>
                <c:pt idx="88">
                  <c:v>2.1784505114543082E-2</c:v>
                </c:pt>
                <c:pt idx="89">
                  <c:v>1.8868547595184117E-2</c:v>
                </c:pt>
                <c:pt idx="90">
                  <c:v>1.5175383155631801E-2</c:v>
                </c:pt>
                <c:pt idx="91">
                  <c:v>1.0733294110751183E-2</c:v>
                </c:pt>
                <c:pt idx="92">
                  <c:v>4.4235570894714214E-3</c:v>
                </c:pt>
                <c:pt idx="93">
                  <c:v>-1.9210227272727254E-3</c:v>
                </c:pt>
                <c:pt idx="94">
                  <c:v>-1.6912337662337643E-3</c:v>
                </c:pt>
                <c:pt idx="95">
                  <c:v>-1.4614448051948063E-3</c:v>
                </c:pt>
                <c:pt idx="96">
                  <c:v>-1.2316558441558452E-3</c:v>
                </c:pt>
                <c:pt idx="97">
                  <c:v>-1.0018668831168838E-3</c:v>
                </c:pt>
                <c:pt idx="98">
                  <c:v>-7.7207792207792251E-4</c:v>
                </c:pt>
                <c:pt idx="99">
                  <c:v>-5.4228896103896123E-4</c:v>
                </c:pt>
                <c:pt idx="100">
                  <c:v>-3.1249999999999995E-4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16-4E4F-AA59-1DAC858C5F24}"/>
            </c:ext>
          </c:extLst>
        </c:ser>
        <c:ser>
          <c:idx val="4"/>
          <c:order val="4"/>
          <c:tx>
            <c:v>R_asym</c:v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'StB08-Test'!$E$68:$DA$68</c:f>
              <c:numCache>
                <c:formatCode>0.000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-0.59499999999999964</c:v>
                </c:pt>
                <c:pt idx="22">
                  <c:v>-0.58999999999999964</c:v>
                </c:pt>
                <c:pt idx="23">
                  <c:v>-0.58499999999999963</c:v>
                </c:pt>
                <c:pt idx="24">
                  <c:v>-0.57999999999999963</c:v>
                </c:pt>
                <c:pt idx="25">
                  <c:v>-0.57499999999999962</c:v>
                </c:pt>
                <c:pt idx="26">
                  <c:v>-0.56999999999999962</c:v>
                </c:pt>
                <c:pt idx="27">
                  <c:v>-0.56499999999999961</c:v>
                </c:pt>
                <c:pt idx="28">
                  <c:v>-0.55999999999999961</c:v>
                </c:pt>
                <c:pt idx="29">
                  <c:v>-0.5549999999999996</c:v>
                </c:pt>
                <c:pt idx="30">
                  <c:v>-0.5499999999999996</c:v>
                </c:pt>
                <c:pt idx="31">
                  <c:v>-0.5449999999999996</c:v>
                </c:pt>
                <c:pt idx="32">
                  <c:v>-0.53999999999999959</c:v>
                </c:pt>
                <c:pt idx="33">
                  <c:v>-0.53499999999999959</c:v>
                </c:pt>
                <c:pt idx="34">
                  <c:v>-0.52999999999999958</c:v>
                </c:pt>
                <c:pt idx="35">
                  <c:v>-0.52499999999999958</c:v>
                </c:pt>
                <c:pt idx="36">
                  <c:v>-0.51999999999999957</c:v>
                </c:pt>
                <c:pt idx="37">
                  <c:v>-0.51499999999999957</c:v>
                </c:pt>
                <c:pt idx="38">
                  <c:v>-0.50999999999999956</c:v>
                </c:pt>
                <c:pt idx="39">
                  <c:v>-0.50499999999999956</c:v>
                </c:pt>
                <c:pt idx="40">
                  <c:v>-0.49999999999999956</c:v>
                </c:pt>
                <c:pt idx="41">
                  <c:v>-0.49499999999999955</c:v>
                </c:pt>
                <c:pt idx="42">
                  <c:v>-0.48999999999999955</c:v>
                </c:pt>
                <c:pt idx="43">
                  <c:v>-0.48499999999999954</c:v>
                </c:pt>
                <c:pt idx="44">
                  <c:v>-0.47999999999999954</c:v>
                </c:pt>
                <c:pt idx="45">
                  <c:v>-0.47499999999999953</c:v>
                </c:pt>
                <c:pt idx="46">
                  <c:v>-0.46999999999999953</c:v>
                </c:pt>
                <c:pt idx="47">
                  <c:v>-0.46499999999999952</c:v>
                </c:pt>
                <c:pt idx="48">
                  <c:v>-0.45999999999999952</c:v>
                </c:pt>
                <c:pt idx="49">
                  <c:v>-0.45499999999999952</c:v>
                </c:pt>
                <c:pt idx="50">
                  <c:v>-0.44999999999999951</c:v>
                </c:pt>
                <c:pt idx="51">
                  <c:v>-0.44499999999999951</c:v>
                </c:pt>
                <c:pt idx="52">
                  <c:v>-0.4399999999999995</c:v>
                </c:pt>
                <c:pt idx="53">
                  <c:v>-0.4349999999999995</c:v>
                </c:pt>
                <c:pt idx="54">
                  <c:v>-0.42999999999999949</c:v>
                </c:pt>
                <c:pt idx="55">
                  <c:v>-0.42499999999999949</c:v>
                </c:pt>
                <c:pt idx="56">
                  <c:v>-0.41999999999999948</c:v>
                </c:pt>
                <c:pt idx="57">
                  <c:v>-0.41499999999999948</c:v>
                </c:pt>
                <c:pt idx="58">
                  <c:v>-0.40999999999999948</c:v>
                </c:pt>
                <c:pt idx="59">
                  <c:v>-0.40499999999999947</c:v>
                </c:pt>
                <c:pt idx="60">
                  <c:v>-0.39999999999999947</c:v>
                </c:pt>
                <c:pt idx="61">
                  <c:v>-0.39499999999999946</c:v>
                </c:pt>
                <c:pt idx="62">
                  <c:v>-0.38999999999999946</c:v>
                </c:pt>
                <c:pt idx="63">
                  <c:v>-0.38499999999999945</c:v>
                </c:pt>
                <c:pt idx="64">
                  <c:v>-0.37999999999999945</c:v>
                </c:pt>
                <c:pt idx="65">
                  <c:v>-0.37499999999999944</c:v>
                </c:pt>
                <c:pt idx="66">
                  <c:v>-0.36999999999999944</c:v>
                </c:pt>
                <c:pt idx="67">
                  <c:v>-0.36499999999999944</c:v>
                </c:pt>
                <c:pt idx="68">
                  <c:v>-0.35999999999999943</c:v>
                </c:pt>
                <c:pt idx="69">
                  <c:v>-0.35499999999999943</c:v>
                </c:pt>
                <c:pt idx="70">
                  <c:v>-0.34999999999999942</c:v>
                </c:pt>
                <c:pt idx="71">
                  <c:v>-0.3299999999999994</c:v>
                </c:pt>
                <c:pt idx="72">
                  <c:v>-0.30999999999999939</c:v>
                </c:pt>
                <c:pt idx="73">
                  <c:v>-0.28999999999999937</c:v>
                </c:pt>
                <c:pt idx="74">
                  <c:v>-0.26999999999999935</c:v>
                </c:pt>
                <c:pt idx="75">
                  <c:v>-0.24999999999999936</c:v>
                </c:pt>
                <c:pt idx="76">
                  <c:v>-0.22999999999999937</c:v>
                </c:pt>
                <c:pt idx="77">
                  <c:v>-0.20999999999999938</c:v>
                </c:pt>
                <c:pt idx="78">
                  <c:v>-0.18999999999999939</c:v>
                </c:pt>
                <c:pt idx="79">
                  <c:v>-0.1699999999999994</c:v>
                </c:pt>
                <c:pt idx="80">
                  <c:v>-0.14999999999999941</c:v>
                </c:pt>
                <c:pt idx="81">
                  <c:v>-0.12999999999999942</c:v>
                </c:pt>
                <c:pt idx="82">
                  <c:v>-0.10999999999999942</c:v>
                </c:pt>
                <c:pt idx="83">
                  <c:v>-8.9999999999999414E-2</c:v>
                </c:pt>
                <c:pt idx="84">
                  <c:v>-6.999999999999941E-2</c:v>
                </c:pt>
                <c:pt idx="85">
                  <c:v>-4.9999999999999406E-2</c:v>
                </c:pt>
                <c:pt idx="86">
                  <c:v>-2.9999999999999406E-2</c:v>
                </c:pt>
                <c:pt idx="87">
                  <c:v>-9.9999999999994052E-3</c:v>
                </c:pt>
                <c:pt idx="88">
                  <c:v>1.0000000000000595E-2</c:v>
                </c:pt>
                <c:pt idx="89">
                  <c:v>3.0000000000000596E-2</c:v>
                </c:pt>
                <c:pt idx="90">
                  <c:v>5.00000000000006E-2</c:v>
                </c:pt>
                <c:pt idx="91">
                  <c:v>7.0000000000000603E-2</c:v>
                </c:pt>
                <c:pt idx="92">
                  <c:v>9.0000000000000607E-2</c:v>
                </c:pt>
                <c:pt idx="93">
                  <c:v>0.3</c:v>
                </c:pt>
                <c:pt idx="94">
                  <c:v>0.4</c:v>
                </c:pt>
                <c:pt idx="95">
                  <c:v>0.5</c:v>
                </c:pt>
                <c:pt idx="96">
                  <c:v>0.6</c:v>
                </c:pt>
                <c:pt idx="97">
                  <c:v>0.7</c:v>
                </c:pt>
                <c:pt idx="98">
                  <c:v>0.8</c:v>
                </c:pt>
                <c:pt idx="99">
                  <c:v>0.9</c:v>
                </c:pt>
                <c:pt idx="100">
                  <c:v>1</c:v>
                </c:pt>
              </c:numCache>
            </c:numRef>
          </c:xVal>
          <c:yVal>
            <c:numRef>
              <c:f>'StB08-Test'!$E$90:$DA$90</c:f>
              <c:numCache>
                <c:formatCode>General</c:formatCode>
                <c:ptCount val="101"/>
                <c:pt idx="0">
                  <c:v>-0.13738636363636361</c:v>
                </c:pt>
                <c:pt idx="1">
                  <c:v>-0.13309086702484021</c:v>
                </c:pt>
                <c:pt idx="2">
                  <c:v>-0.12879130527210886</c:v>
                </c:pt>
                <c:pt idx="3">
                  <c:v>-0.12448809891001854</c:v>
                </c:pt>
                <c:pt idx="4">
                  <c:v>-0.12018166847041845</c:v>
                </c:pt>
                <c:pt idx="5">
                  <c:v>-0.11587243448515767</c:v>
                </c:pt>
                <c:pt idx="6">
                  <c:v>-0.1115608174860853</c:v>
                </c:pt>
                <c:pt idx="7">
                  <c:v>-0.1072472380050505</c:v>
                </c:pt>
                <c:pt idx="8">
                  <c:v>-0.10293211657390226</c:v>
                </c:pt>
                <c:pt idx="9">
                  <c:v>-9.861587372448978E-2</c:v>
                </c:pt>
                <c:pt idx="10">
                  <c:v>-9.4298929988662086E-2</c:v>
                </c:pt>
                <c:pt idx="11">
                  <c:v>-8.9981705898268372E-2</c:v>
                </c:pt>
                <c:pt idx="12">
                  <c:v>-8.5664621985157646E-2</c:v>
                </c:pt>
                <c:pt idx="13">
                  <c:v>-8.1348098781179087E-2</c:v>
                </c:pt>
                <c:pt idx="14">
                  <c:v>-7.7032556818181774E-2</c:v>
                </c:pt>
                <c:pt idx="15">
                  <c:v>-7.2718416628014787E-2</c:v>
                </c:pt>
                <c:pt idx="16">
                  <c:v>-6.8406098742527247E-2</c:v>
                </c:pt>
                <c:pt idx="17">
                  <c:v>-6.4096023693568274E-2</c:v>
                </c:pt>
                <c:pt idx="18">
                  <c:v>-5.978861201298695E-2</c:v>
                </c:pt>
                <c:pt idx="19">
                  <c:v>-5.5484284232632373E-2</c:v>
                </c:pt>
                <c:pt idx="20">
                  <c:v>-5.1183460884353667E-2</c:v>
                </c:pt>
                <c:pt idx="21">
                  <c:v>-5.0108851895871914E-2</c:v>
                </c:pt>
                <c:pt idx="22">
                  <c:v>-4.9034494788445605E-2</c:v>
                </c:pt>
                <c:pt idx="23">
                  <c:v>-4.79603961328849E-2</c:v>
                </c:pt>
                <c:pt idx="24">
                  <c:v>-4.688656249999993E-2</c:v>
                </c:pt>
                <c:pt idx="25">
                  <c:v>-4.5813000460600828E-2</c:v>
                </c:pt>
                <c:pt idx="26">
                  <c:v>-4.4739716585497753E-2</c:v>
                </c:pt>
                <c:pt idx="27">
                  <c:v>-4.3666717445500852E-2</c:v>
                </c:pt>
                <c:pt idx="28">
                  <c:v>-4.2594009611420243E-2</c:v>
                </c:pt>
                <c:pt idx="29">
                  <c:v>-4.1521599654066085E-2</c:v>
                </c:pt>
                <c:pt idx="30">
                  <c:v>-4.0449494144248525E-2</c:v>
                </c:pt>
                <c:pt idx="31">
                  <c:v>-3.9377699652777695E-2</c:v>
                </c:pt>
                <c:pt idx="32">
                  <c:v>-3.8306222750463734E-2</c:v>
                </c:pt>
                <c:pt idx="33">
                  <c:v>-3.7235070008116794E-2</c:v>
                </c:pt>
                <c:pt idx="34">
                  <c:v>-3.6164247996547015E-2</c:v>
                </c:pt>
                <c:pt idx="35">
                  <c:v>-3.5093763286564529E-2</c:v>
                </c:pt>
                <c:pt idx="36">
                  <c:v>-3.402362244897951E-2</c:v>
                </c:pt>
                <c:pt idx="37">
                  <c:v>-3.2953832054602054E-2</c:v>
                </c:pt>
                <c:pt idx="38">
                  <c:v>-3.188439867424233E-2</c:v>
                </c:pt>
                <c:pt idx="39">
                  <c:v>-3.0815328878710482E-2</c:v>
                </c:pt>
                <c:pt idx="40">
                  <c:v>-2.974662923881518E-2</c:v>
                </c:pt>
                <c:pt idx="41">
                  <c:v>-1.2275460801163009E-2</c:v>
                </c:pt>
                <c:pt idx="42">
                  <c:v>4.6712008656413003E-3</c:v>
                </c:pt>
                <c:pt idx="43">
                  <c:v>2.0774293744793816E-2</c:v>
                </c:pt>
                <c:pt idx="44">
                  <c:v>3.5893400766242194E-2</c:v>
                </c:pt>
                <c:pt idx="45">
                  <c:v>4.9986962136795224E-2</c:v>
                </c:pt>
                <c:pt idx="46">
                  <c:v>6.3067623233023562E-2</c:v>
                </c:pt>
                <c:pt idx="47">
                  <c:v>7.5176805120981488E-2</c:v>
                </c:pt>
                <c:pt idx="48">
                  <c:v>8.6370073432439118E-2</c:v>
                </c:pt>
                <c:pt idx="49">
                  <c:v>9.6708703720244274E-2</c:v>
                </c:pt>
                <c:pt idx="50">
                  <c:v>0.10625486152912865</c:v>
                </c:pt>
                <c:pt idx="51">
                  <c:v>0.11506891572933856</c:v>
                </c:pt>
                <c:pt idx="52">
                  <c:v>0.11784989663210939</c:v>
                </c:pt>
                <c:pt idx="53">
                  <c:v>0.11408411935018632</c:v>
                </c:pt>
                <c:pt idx="54">
                  <c:v>0.11048579114003677</c:v>
                </c:pt>
                <c:pt idx="55">
                  <c:v>0.10704914727800403</c:v>
                </c:pt>
                <c:pt idx="56">
                  <c:v>0.10376748265143011</c:v>
                </c:pt>
                <c:pt idx="57">
                  <c:v>0.10063360673716429</c:v>
                </c:pt>
                <c:pt idx="58">
                  <c:v>9.7640151116403048E-2</c:v>
                </c:pt>
                <c:pt idx="59">
                  <c:v>9.4779775132332919E-2</c:v>
                </c:pt>
                <c:pt idx="60">
                  <c:v>9.2045300921859807E-2</c:v>
                </c:pt>
                <c:pt idx="61">
                  <c:v>8.9429799382549163E-2</c:v>
                </c:pt>
                <c:pt idx="62">
                  <c:v>8.6926642063501341E-2</c:v>
                </c:pt>
                <c:pt idx="63">
                  <c:v>8.4529529460184813E-2</c:v>
                </c:pt>
                <c:pt idx="64">
                  <c:v>8.2232503074303173E-2</c:v>
                </c:pt>
                <c:pt idx="65">
                  <c:v>8.0029946426075735E-2</c:v>
                </c:pt>
                <c:pt idx="66">
                  <c:v>7.7916578681396995E-2</c:v>
                </c:pt>
                <c:pt idx="67">
                  <c:v>7.5887443480458436E-2</c:v>
                </c:pt>
                <c:pt idx="68">
                  <c:v>7.393789479167874E-2</c:v>
                </c:pt>
                <c:pt idx="69">
                  <c:v>7.2063581071937471E-2</c:v>
                </c:pt>
                <c:pt idx="70">
                  <c:v>7.0260428626623586E-2</c:v>
                </c:pt>
                <c:pt idx="71">
                  <c:v>6.3686748936717399E-2</c:v>
                </c:pt>
                <c:pt idx="72">
                  <c:v>5.7986928409685008E-2</c:v>
                </c:pt>
                <c:pt idx="73">
                  <c:v>5.3000145344947805E-2</c:v>
                </c:pt>
                <c:pt idx="74">
                  <c:v>4.8601383780023072E-2</c:v>
                </c:pt>
                <c:pt idx="75">
                  <c:v>4.4692462786097314E-2</c:v>
                </c:pt>
                <c:pt idx="76">
                  <c:v>4.1195447722533876E-2</c:v>
                </c:pt>
                <c:pt idx="77">
                  <c:v>3.8047822223769012E-2</c:v>
                </c:pt>
                <c:pt idx="78">
                  <c:v>3.5198932848510708E-2</c:v>
                </c:pt>
                <c:pt idx="79">
                  <c:v>3.2607349284547761E-2</c:v>
                </c:pt>
                <c:pt idx="80">
                  <c:v>3.0238885369992145E-2</c:v>
                </c:pt>
                <c:pt idx="81">
                  <c:v>2.8065100458762798E-2</c:v>
                </c:pt>
                <c:pt idx="82">
                  <c:v>2.6062153054548003E-2</c:v>
                </c:pt>
                <c:pt idx="83">
                  <c:v>2.4209915279970816E-2</c:v>
                </c:pt>
                <c:pt idx="84">
                  <c:v>2.2491282379293251E-2</c:v>
                </c:pt>
                <c:pt idx="85">
                  <c:v>2.0891629469465108E-2</c:v>
                </c:pt>
                <c:pt idx="86">
                  <c:v>1.9398380509938629E-2</c:v>
                </c:pt>
                <c:pt idx="87">
                  <c:v>1.8000663569049623E-2</c:v>
                </c:pt>
                <c:pt idx="88">
                  <c:v>1.3761141996060974E-2</c:v>
                </c:pt>
                <c:pt idx="89">
                  <c:v>6.2797625716576582E-3</c:v>
                </c:pt>
                <c:pt idx="90">
                  <c:v>-1.6790818795870304E-3</c:v>
                </c:pt>
                <c:pt idx="91">
                  <c:v>-9.9906860434877346E-3</c:v>
                </c:pt>
                <c:pt idx="92">
                  <c:v>-1.7498599073622344E-2</c:v>
                </c:pt>
                <c:pt idx="93">
                  <c:v>-2.359375E-2</c:v>
                </c:pt>
                <c:pt idx="94">
                  <c:v>-2.359375E-2</c:v>
                </c:pt>
                <c:pt idx="95">
                  <c:v>-2.359375E-2</c:v>
                </c:pt>
                <c:pt idx="96">
                  <c:v>-2.359375E-2</c:v>
                </c:pt>
                <c:pt idx="97">
                  <c:v>-2.359375E-2</c:v>
                </c:pt>
                <c:pt idx="98">
                  <c:v>-2.359375E-2</c:v>
                </c:pt>
                <c:pt idx="99">
                  <c:v>-2.359375E-2</c:v>
                </c:pt>
                <c:pt idx="100">
                  <c:v>-2.359375E-2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16-4E4F-AA59-1DAC858C5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61888"/>
        <c:axId val="195463424"/>
      </c:scatterChart>
      <c:valAx>
        <c:axId val="195461888"/>
        <c:scaling>
          <c:orientation val="minMax"/>
          <c:max val="1"/>
          <c:min val="-1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63424"/>
        <c:crosses val="autoZero"/>
        <c:crossBetween val="midCat"/>
        <c:majorUnit val="0.1"/>
        <c:minorUnit val="0.05"/>
      </c:valAx>
      <c:valAx>
        <c:axId val="195463424"/>
        <c:scaling>
          <c:orientation val="minMax"/>
          <c:max val="0.5"/>
          <c:min val="-0.5"/>
        </c:scaling>
        <c:delete val="0"/>
        <c:axPos val="l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618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021321271011332"/>
          <c:y val="0.32773197467963566"/>
          <c:w val="0.12234053722008154"/>
          <c:h val="0.338936456472352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Drop" dropLines="2" dropStyle="combo" dx="16" fmlaLink="$A$5" fmlaRange="$A$22:$A$23" noThreeD="1" sel="2" val="0"/>
</file>

<file path=xl/ctrlProps/ctrlProp2.xml><?xml version="1.0" encoding="utf-8"?>
<formControlPr xmlns="http://schemas.microsoft.com/office/spreadsheetml/2009/9/main" objectType="Drop" dropLines="2" dropStyle="combo" dx="16" fmlaLink="$A$43" fmlaRange="$A$57:$A$58" noThreeD="1" sel="1" val="0"/>
</file>

<file path=xl/ctrlProps/ctrlProp3.xml><?xml version="1.0" encoding="utf-8"?>
<formControlPr xmlns="http://schemas.microsoft.com/office/spreadsheetml/2009/9/main" objectType="Drop" dropLines="2" dropStyle="combo" dx="16" fmlaLink="$E$43" fmlaRange="$E$57:$E$58" noThreeD="1" sel="1" val="0"/>
</file>

<file path=xl/ctrlProps/ctrlProp4.xml><?xml version="1.0" encoding="utf-8"?>
<formControlPr xmlns="http://schemas.microsoft.com/office/spreadsheetml/2009/9/main" objectType="Drop" dropLines="2" dropStyle="combo" dx="16" fmlaLink="$A$44" fmlaRange="$A$59:$A$60" noThreeD="1" sel="1" val="0"/>
</file>

<file path=xl/ctrlProps/ctrlProp5.xml><?xml version="1.0" encoding="utf-8"?>
<formControlPr xmlns="http://schemas.microsoft.com/office/spreadsheetml/2009/9/main" objectType="Drop" dropLines="2" dropStyle="combo" dx="16" fmlaLink="$E$44" fmlaRange="$E$59:$E$60" noThreeD="1" sel="1" val="0"/>
</file>

<file path=xl/ctrlProps/ctrlProp6.xml><?xml version="1.0" encoding="utf-8"?>
<formControlPr xmlns="http://schemas.microsoft.com/office/spreadsheetml/2009/9/main" objectType="Drop" dropLines="2" dropStyle="combo" dx="16" fmlaLink="$A$43" fmlaRange="$A$59:$A$60" noThreeD="1" sel="0" val="0"/>
</file>

<file path=xl/ctrlProps/ctrlProp7.xml><?xml version="1.0" encoding="utf-8"?>
<formControlPr xmlns="http://schemas.microsoft.com/office/spreadsheetml/2009/9/main" objectType="Drop" dropLines="2" dropStyle="combo" dx="16" fmlaLink="$E$44" fmlaRange="$E$59:$E$60" noThreeD="1" sel="1" val="0"/>
</file>

<file path=xl/ctrlProps/ctrlProp8.xml><?xml version="1.0" encoding="utf-8"?>
<formControlPr xmlns="http://schemas.microsoft.com/office/spreadsheetml/2009/9/main" objectType="Drop" dropLines="2" dropStyle="combo" dx="16" fmlaLink="$F$33" fmlaRange="$A$88:$A$89" noThreeD="1" sel="2" val="0"/>
</file>

<file path=xl/ctrlProps/ctrlProp9.xml><?xml version="1.0" encoding="utf-8"?>
<formControlPr xmlns="http://schemas.microsoft.com/office/spreadsheetml/2009/9/main" objectType="Drop" dropLines="2" dropStyle="combo" dx="16" fmlaLink="$F$30" fmlaRange="$A$73:$A$74" noThreeD="1" sel="2" val="0"/>
</file>

<file path=xl/ctrlProps/ctrlProp10.xml><?xml version="1.0" encoding="utf-8"?>
<formControlPr xmlns="http://schemas.microsoft.com/office/spreadsheetml/2009/9/main" objectType="Drop" dropLines="11" dropStyle="combo" dx="16" fmlaLink="$F$32" fmlaRange="$A$76:$A$86" noThreeD="1" sel="1" val="0"/>
</file>

<file path=xl/ctrlProps/ctrlProp11.xml><?xml version="1.0" encoding="utf-8"?>
<formControlPr xmlns="http://schemas.microsoft.com/office/spreadsheetml/2009/9/main" objectType="Drop" dropLines="2" dropStyle="combo" dx="16" fmlaLink="$F$33" fmlaRange="$A$88:$A$89" noThreeD="1" sel="2" val="0"/>
</file>

<file path=xl/ctrlProps/ctrlProp12.xml><?xml version="1.0" encoding="utf-8"?>
<formControlPr xmlns="http://schemas.microsoft.com/office/spreadsheetml/2009/9/main" objectType="Drop" dropLines="2" dropStyle="combo" dx="16" fmlaLink="$F$30" fmlaRange="$A$73:$A$74" noThreeD="1" sel="2" val="0"/>
</file>

<file path=xl/ctrlProps/ctrlProp13.xml><?xml version="1.0" encoding="utf-8"?>
<formControlPr xmlns="http://schemas.microsoft.com/office/spreadsheetml/2009/9/main" objectType="Drop" dropLines="11" dropStyle="combo" dx="16" fmlaLink="$F$32" fmlaRange="$A$76:$A$86" noThreeD="1" sel="1" val="0"/>
</file>

<file path=xl/ctrlProps/ctrlProp14.xml><?xml version="1.0" encoding="utf-8"?>
<formControlPr xmlns="http://schemas.microsoft.com/office/spreadsheetml/2009/9/main" objectType="Drop" dropLines="2" dropStyle="combo" dx="16" fmlaLink="$F$33" fmlaRange="$A$88:$A$89" noThreeD="1" sel="2" val="0"/>
</file>

<file path=xl/ctrlProps/ctrlProp15.xml><?xml version="1.0" encoding="utf-8"?>
<formControlPr xmlns="http://schemas.microsoft.com/office/spreadsheetml/2009/9/main" objectType="Drop" dropLines="2" dropStyle="combo" dx="16" fmlaLink="$F$30" fmlaRange="$A$73:$A$74" noThreeD="1" sel="2" val="0"/>
</file>

<file path=xl/ctrlProps/ctrlProp16.xml><?xml version="1.0" encoding="utf-8"?>
<formControlPr xmlns="http://schemas.microsoft.com/office/spreadsheetml/2009/9/main" objectType="Drop" dropLines="11" dropStyle="combo" dx="16" fmlaLink="$F$32" fmlaRange="$A$76:$A$86" noThreeD="1" sel="1" val="0"/>
</file>

<file path=xl/ctrlProps/ctrlProp17.xml><?xml version="1.0" encoding="utf-8"?>
<formControlPr xmlns="http://schemas.microsoft.com/office/spreadsheetml/2009/9/main" objectType="Drop" dropLines="4" dropStyle="combo" dx="16" fmlaLink="$A$4" fmlaRange="$B$79:$B$82" noThreeD="1" sel="4" val="0"/>
</file>

<file path=xl/ctrlProps/ctrlProp18.xml><?xml version="1.0" encoding="utf-8"?>
<formControlPr xmlns="http://schemas.microsoft.com/office/spreadsheetml/2009/9/main" objectType="Drop" dropLines="2" dropStyle="combo" dx="16" fmlaLink="$E$17" fmlaRange="$A$127:$A$128" noThreeD="1" sel="1" val="0"/>
</file>

<file path=xl/ctrlProps/ctrlProp19.xml><?xml version="1.0" encoding="utf-8"?>
<formControlPr xmlns="http://schemas.microsoft.com/office/spreadsheetml/2009/9/main" objectType="Drop" dropLines="9" dropStyle="combo" dx="16" fmlaLink="$C$11" fmlaRange="$A$110:$A$118" noThreeD="1" sel="4" val="0"/>
</file>

<file path=xl/ctrlProps/ctrlProp20.xml><?xml version="1.0" encoding="utf-8"?>
<formControlPr xmlns="http://schemas.microsoft.com/office/spreadsheetml/2009/9/main" objectType="Drop" dropLines="2" dropStyle="combo" dx="16" fmlaLink="$C$17" fmlaRange="$A$121:$A$122" noThreeD="1" sel="2" val="0"/>
</file>

<file path=xl/ctrlProps/ctrlProp21.xml><?xml version="1.0" encoding="utf-8"?>
<formControlPr xmlns="http://schemas.microsoft.com/office/spreadsheetml/2009/9/main" objectType="Drop" dropLines="2" dropStyle="combo" dx="16" fmlaLink="$E$18" fmlaRange="$H$127:$H$128" noThreeD="1" sel="2" val="0"/>
</file>

<file path=xl/ctrlProps/ctrlProp22.xml><?xml version="1.0" encoding="utf-8"?>
<formControlPr xmlns="http://schemas.microsoft.com/office/spreadsheetml/2009/9/main" objectType="Drop" dropLines="4" dropStyle="combo" dx="16" fmlaLink="$A$39" fmlaRange="$A$133:$A$136" noThreeD="1" sel="1" val="0"/>
</file>

<file path=xl/ctrlProps/ctrlProp23.xml><?xml version="1.0" encoding="utf-8"?>
<formControlPr xmlns="http://schemas.microsoft.com/office/spreadsheetml/2009/9/main" objectType="Drop" dropLines="4" dropStyle="combo" dx="16" fmlaLink="$G$17" fmlaRange="$O$127:$O$130" noThreeD="1" sel="4" val="0"/>
</file>

<file path=xl/ctrlProps/ctrlProp24.xml><?xml version="1.0" encoding="utf-8"?>
<formControlPr xmlns="http://schemas.microsoft.com/office/spreadsheetml/2009/9/main" objectType="Drop" dropLines="4" dropStyle="combo" dx="16" fmlaLink="$A$4" fmlaRange="$B$79:$B$82" noThreeD="1" sel="4" val="0"/>
</file>

<file path=xl/ctrlProps/ctrlProp25.xml><?xml version="1.0" encoding="utf-8"?>
<formControlPr xmlns="http://schemas.microsoft.com/office/spreadsheetml/2009/9/main" objectType="Drop" dropLines="2" dropStyle="combo" dx="16" fmlaLink="$E$17" fmlaRange="$A$127:$A$128" noThreeD="1" sel="1" val="0"/>
</file>

<file path=xl/ctrlProps/ctrlProp26.xml><?xml version="1.0" encoding="utf-8"?>
<formControlPr xmlns="http://schemas.microsoft.com/office/spreadsheetml/2009/9/main" objectType="Drop" dropLines="9" dropStyle="combo" dx="16" fmlaLink="$C$11" fmlaRange="$A$110:$A$118" noThreeD="1" sel="7" val="0"/>
</file>

<file path=xl/ctrlProps/ctrlProp27.xml><?xml version="1.0" encoding="utf-8"?>
<formControlPr xmlns="http://schemas.microsoft.com/office/spreadsheetml/2009/9/main" objectType="Drop" dropLines="2" dropStyle="combo" dx="16" fmlaLink="$C$17" fmlaRange="$A$121:$A$122" noThreeD="1" sel="2" val="0"/>
</file>

<file path=xl/ctrlProps/ctrlProp28.xml><?xml version="1.0" encoding="utf-8"?>
<formControlPr xmlns="http://schemas.microsoft.com/office/spreadsheetml/2009/9/main" objectType="Drop" dropLines="2" dropStyle="combo" dx="16" fmlaLink="$E$18" fmlaRange="$H$127:$H$128" noThreeD="1" sel="1" val="0"/>
</file>

<file path=xl/ctrlProps/ctrlProp29.xml><?xml version="1.0" encoding="utf-8"?>
<formControlPr xmlns="http://schemas.microsoft.com/office/spreadsheetml/2009/9/main" objectType="Drop" dropLines="4" dropStyle="combo" dx="16" fmlaLink="$A$39" fmlaRange="$A$133:$A$136" noThreeD="1" sel="1" val="0"/>
</file>

<file path=xl/ctrlProps/ctrlProp30.xml><?xml version="1.0" encoding="utf-8"?>
<formControlPr xmlns="http://schemas.microsoft.com/office/spreadsheetml/2009/9/main" objectType="Drop" dropLines="4" dropStyle="combo" dx="16" fmlaLink="$G$17" fmlaRange="$O$127:$O$130" noThreeD="1" sel="3" val="0"/>
</file>

<file path=xl/ctrlProps/ctrlProp31.xml><?xml version="1.0" encoding="utf-8"?>
<formControlPr xmlns="http://schemas.microsoft.com/office/spreadsheetml/2009/9/main" objectType="Drop" dropLines="4" dropStyle="combo" dx="16" fmlaLink="$A$4" fmlaRange="$B$79:$B$82" noThreeD="1" sel="4" val="0"/>
</file>

<file path=xl/ctrlProps/ctrlProp32.xml><?xml version="1.0" encoding="utf-8"?>
<formControlPr xmlns="http://schemas.microsoft.com/office/spreadsheetml/2009/9/main" objectType="Drop" dropLines="4" dropStyle="combo" dx="16" fmlaLink="$A$39" fmlaRange="$A$133:$A$136" noThreeD="1" sel="1" val="0"/>
</file>

<file path=xl/ctrlProps/ctrlProp33.xml><?xml version="1.0" encoding="utf-8"?>
<formControlPr xmlns="http://schemas.microsoft.com/office/spreadsheetml/2009/9/main" objectType="Drop" dropLines="9" dropStyle="combo" dx="16" fmlaLink="$C$11" fmlaRange="$A$110:$A$118" noThreeD="1" sel="4" val="0"/>
</file>

<file path=xl/ctrlProps/ctrlProp34.xml><?xml version="1.0" encoding="utf-8"?>
<formControlPr xmlns="http://schemas.microsoft.com/office/spreadsheetml/2009/9/main" objectType="Drop" dropLines="2" dropStyle="combo" dx="16" fmlaLink="$E$17" fmlaRange="$A$127:$A$128" noThreeD="1" sel="1" val="0"/>
</file>

<file path=xl/ctrlProps/ctrlProp35.xml><?xml version="1.0" encoding="utf-8"?>
<formControlPr xmlns="http://schemas.microsoft.com/office/spreadsheetml/2009/9/main" objectType="Drop" dropLines="2" dropStyle="combo" dx="16" fmlaLink="$C$17" fmlaRange="$A$121:$A$122" noThreeD="1" sel="2" val="0"/>
</file>

<file path=xl/ctrlProps/ctrlProp36.xml><?xml version="1.0" encoding="utf-8"?>
<formControlPr xmlns="http://schemas.microsoft.com/office/spreadsheetml/2009/9/main" objectType="Drop" dropLines="2" dropStyle="combo" dx="16" fmlaLink="$E$18" fmlaRange="$H$127:$H$128" noThreeD="1" sel="2" val="0"/>
</file>

<file path=xl/ctrlProps/ctrlProp37.xml><?xml version="1.0" encoding="utf-8"?>
<formControlPr xmlns="http://schemas.microsoft.com/office/spreadsheetml/2009/9/main" objectType="Drop" dropLines="4" dropStyle="combo" dx="16" fmlaLink="$G$17" fmlaRange="$O$127:$O$130" noThreeD="1" sel="3" val="0"/>
</file>

<file path=xl/ctrlProps/ctrlProp38.xml><?xml version="1.0" encoding="utf-8"?>
<formControlPr xmlns="http://schemas.microsoft.com/office/spreadsheetml/2009/9/main" objectType="Drop" dropLines="4" dropStyle="combo" dx="16" fmlaLink="$A$4" fmlaRange="$B$79:$B$82" noThreeD="1" sel="4" val="0"/>
</file>

<file path=xl/ctrlProps/ctrlProp39.xml><?xml version="1.0" encoding="utf-8"?>
<formControlPr xmlns="http://schemas.microsoft.com/office/spreadsheetml/2009/9/main" objectType="Drop" dropLines="4" dropStyle="combo" dx="16" fmlaLink="$A$39" fmlaRange="$A$133:$A$136" noThreeD="1" sel="1" val="0"/>
</file>

<file path=xl/ctrlProps/ctrlProp40.xml><?xml version="1.0" encoding="utf-8"?>
<formControlPr xmlns="http://schemas.microsoft.com/office/spreadsheetml/2009/9/main" objectType="Drop" dropLines="9" dropStyle="combo" dx="16" fmlaLink="$C$11" fmlaRange="$A$110:$A$118" noThreeD="1" sel="5" val="0"/>
</file>

<file path=xl/ctrlProps/ctrlProp41.xml><?xml version="1.0" encoding="utf-8"?>
<formControlPr xmlns="http://schemas.microsoft.com/office/spreadsheetml/2009/9/main" objectType="Drop" dropLines="2" dropStyle="combo" dx="16" fmlaLink="$E$17" fmlaRange="$A$127:$A$128" noThreeD="1" sel="2" val="0"/>
</file>

<file path=xl/ctrlProps/ctrlProp42.xml><?xml version="1.0" encoding="utf-8"?>
<formControlPr xmlns="http://schemas.microsoft.com/office/spreadsheetml/2009/9/main" objectType="Drop" dropLines="2" dropStyle="combo" dx="16" fmlaLink="$C$17" fmlaRange="$A$121:$A$122" noThreeD="1" sel="1" val="0"/>
</file>

<file path=xl/ctrlProps/ctrlProp43.xml><?xml version="1.0" encoding="utf-8"?>
<formControlPr xmlns="http://schemas.microsoft.com/office/spreadsheetml/2009/9/main" objectType="Drop" dropLines="2" dropStyle="combo" dx="16" fmlaLink="$E$18" fmlaRange="$H$127:$H$128" noThreeD="1" sel="2" val="0"/>
</file>

<file path=xl/ctrlProps/ctrlProp44.xml><?xml version="1.0" encoding="utf-8"?>
<formControlPr xmlns="http://schemas.microsoft.com/office/spreadsheetml/2009/9/main" objectType="Drop" dropLines="4" dropStyle="combo" dx="16" fmlaLink="$G$17" fmlaRange="$O$127:$O$130" noThreeD="1" sel="2" val="0"/>
</file>

<file path=xl/ctrlProps/ctrlProp45.xml><?xml version="1.0" encoding="utf-8"?>
<formControlPr xmlns="http://schemas.microsoft.com/office/spreadsheetml/2009/9/main" objectType="CheckBox" fmlaLink="$E$9" lockText="1" noThreeD="1"/>
</file>

<file path=xl/ctrlProps/ctrlProp46.xml><?xml version="1.0" encoding="utf-8"?>
<formControlPr xmlns="http://schemas.microsoft.com/office/spreadsheetml/2009/9/main" objectType="Drop" dropLines="2" dropStyle="combo" dx="16" fmlaLink="$N$7" fmlaRange="$S$1:$S$2" noThreeD="1" sel="1" val="0"/>
</file>

<file path=xl/ctrlProps/ctrlProp47.xml><?xml version="1.0" encoding="utf-8"?>
<formControlPr xmlns="http://schemas.microsoft.com/office/spreadsheetml/2009/9/main" objectType="Drop" dropLines="11" dropStyle="combo" dx="16" fmlaLink="$N$8" fmlaRange="$X$1:$X$11" noThreeD="1" sel="1" val="0"/>
</file>

<file path=xl/ctrlProps/ctrlProp48.xml><?xml version="1.0" encoding="utf-8"?>
<formControlPr xmlns="http://schemas.microsoft.com/office/spreadsheetml/2009/9/main" objectType="Drop" dropLines="2" dropStyle="combo" dx="16" fmlaLink="$N$9" fmlaRange="$S$5:$S$6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0</xdr:row>
      <xdr:rowOff>0</xdr:rowOff>
    </xdr:from>
    <xdr:to>
      <xdr:col>8</xdr:col>
      <xdr:colOff>0</xdr:colOff>
      <xdr:row>1</xdr:row>
      <xdr:rowOff>9525</xdr:rowOff>
    </xdr:to>
    <xdr:pic>
      <xdr:nvPicPr>
        <xdr:cNvPr id="1156" name="Picture 2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0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0</xdr:row>
      <xdr:rowOff>0</xdr:rowOff>
    </xdr:from>
    <xdr:to>
      <xdr:col>8</xdr:col>
      <xdr:colOff>0</xdr:colOff>
      <xdr:row>1</xdr:row>
      <xdr:rowOff>9525</xdr:rowOff>
    </xdr:to>
    <xdr:pic>
      <xdr:nvPicPr>
        <xdr:cNvPr id="3204" name="Picture 2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0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0</xdr:row>
      <xdr:rowOff>0</xdr:rowOff>
    </xdr:from>
    <xdr:to>
      <xdr:col>8</xdr:col>
      <xdr:colOff>0</xdr:colOff>
      <xdr:row>1</xdr:row>
      <xdr:rowOff>9525</xdr:rowOff>
    </xdr:to>
    <xdr:pic>
      <xdr:nvPicPr>
        <xdr:cNvPr id="2180" name="Picture 2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0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314325</xdr:colOff>
      <xdr:row>0</xdr:row>
      <xdr:rowOff>0</xdr:rowOff>
    </xdr:from>
    <xdr:to>
      <xdr:col>13</xdr:col>
      <xdr:colOff>0</xdr:colOff>
      <xdr:row>1</xdr:row>
      <xdr:rowOff>9525</xdr:rowOff>
    </xdr:to>
    <xdr:pic>
      <xdr:nvPicPr>
        <xdr:cNvPr id="8325" name="Picture 1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314325</xdr:colOff>
      <xdr:row>0</xdr:row>
      <xdr:rowOff>0</xdr:rowOff>
    </xdr:from>
    <xdr:to>
      <xdr:col>13</xdr:col>
      <xdr:colOff>0</xdr:colOff>
      <xdr:row>1</xdr:row>
      <xdr:rowOff>9525</xdr:rowOff>
    </xdr:to>
    <xdr:pic>
      <xdr:nvPicPr>
        <xdr:cNvPr id="9349" name="Picture 1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152400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152400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314325</xdr:colOff>
      <xdr:row>0</xdr:row>
      <xdr:rowOff>0</xdr:rowOff>
    </xdr:from>
    <xdr:to>
      <xdr:col>13</xdr:col>
      <xdr:colOff>0</xdr:colOff>
      <xdr:row>1</xdr:row>
      <xdr:rowOff>9525</xdr:rowOff>
    </xdr:to>
    <xdr:pic>
      <xdr:nvPicPr>
        <xdr:cNvPr id="10373" name="Picture 1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152400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10242" name="Drop Dow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152400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0</xdr:rowOff>
    </xdr:from>
    <xdr:to>
      <xdr:col>8</xdr:col>
      <xdr:colOff>9525</xdr:colOff>
      <xdr:row>4</xdr:row>
      <xdr:rowOff>0</xdr:rowOff>
    </xdr:to>
    <xdr:pic>
      <xdr:nvPicPr>
        <xdr:cNvPr id="495542" name="Picture 6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68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23</xdr:row>
      <xdr:rowOff>0</xdr:rowOff>
    </xdr:to>
    <xdr:graphicFrame macro="">
      <xdr:nvGraphicFramePr>
        <xdr:cNvPr id="495543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495544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4</xdr:row>
      <xdr:rowOff>133350</xdr:rowOff>
    </xdr:from>
    <xdr:to>
      <xdr:col>7</xdr:col>
      <xdr:colOff>114300</xdr:colOff>
      <xdr:row>9</xdr:row>
      <xdr:rowOff>0</xdr:rowOff>
    </xdr:to>
    <xdr:grpSp>
      <xdr:nvGrpSpPr>
        <xdr:cNvPr id="495545" name="Group 38"/>
        <xdr:cNvGrpSpPr>
          <a:grpSpLocks/>
        </xdr:cNvGrpSpPr>
      </xdr:nvGrpSpPr>
      <xdr:grpSpPr bwMode="auto">
        <a:xfrm>
          <a:off x="3800475" y="781050"/>
          <a:ext cx="1314450" cy="676275"/>
          <a:chOff x="384" y="82"/>
          <a:chExt cx="138" cy="71"/>
        </a:xfrm>
      </xdr:grpSpPr>
      <xdr:grpSp>
        <xdr:nvGrpSpPr>
          <xdr:cNvPr id="495546" name="Group 12"/>
          <xdr:cNvGrpSpPr>
            <a:grpSpLocks/>
          </xdr:cNvGrpSpPr>
        </xdr:nvGrpSpPr>
        <xdr:grpSpPr bwMode="auto">
          <a:xfrm>
            <a:off x="416" y="85"/>
            <a:ext cx="68" cy="68"/>
            <a:chOff x="385" y="85"/>
            <a:chExt cx="68" cy="68"/>
          </a:xfrm>
        </xdr:grpSpPr>
        <xdr:sp macro="" textlink="">
          <xdr:nvSpPr>
            <xdr:cNvPr id="495555" name="Oval 10"/>
            <xdr:cNvSpPr>
              <a:spLocks noChangeArrowheads="1"/>
            </xdr:cNvSpPr>
          </xdr:nvSpPr>
          <xdr:spPr bwMode="auto">
            <a:xfrm>
              <a:off x="385" y="85"/>
              <a:ext cx="68" cy="68"/>
            </a:xfrm>
            <a:prstGeom prst="ellipse">
              <a:avLst/>
            </a:prstGeom>
            <a:solidFill>
              <a:srgbClr val="00FF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556" name="Oval 11"/>
            <xdr:cNvSpPr>
              <a:spLocks noChangeArrowheads="1"/>
            </xdr:cNvSpPr>
          </xdr:nvSpPr>
          <xdr:spPr bwMode="auto">
            <a:xfrm>
              <a:off x="396" y="96"/>
              <a:ext cx="45" cy="45"/>
            </a:xfrm>
            <a:prstGeom prst="ellipse">
              <a:avLst/>
            </a:prstGeom>
            <a:noFill/>
            <a:ln w="19050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495547" name="Group 16"/>
          <xdr:cNvGrpSpPr>
            <a:grpSpLocks noChangeAspect="1"/>
          </xdr:cNvGrpSpPr>
        </xdr:nvGrpSpPr>
        <xdr:grpSpPr bwMode="auto">
          <a:xfrm>
            <a:off x="384" y="85"/>
            <a:ext cx="22" cy="68"/>
            <a:chOff x="466" y="85"/>
            <a:chExt cx="19" cy="68"/>
          </a:xfrm>
        </xdr:grpSpPr>
        <xdr:sp macro="" textlink="">
          <xdr:nvSpPr>
            <xdr:cNvPr id="495553" name="Line 13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110" name="Text Box 14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grpSp>
        <xdr:nvGrpSpPr>
          <xdr:cNvPr id="495548" name="Group 35"/>
          <xdr:cNvGrpSpPr>
            <a:grpSpLocks/>
          </xdr:cNvGrpSpPr>
        </xdr:nvGrpSpPr>
        <xdr:grpSpPr bwMode="auto">
          <a:xfrm>
            <a:off x="449" y="82"/>
            <a:ext cx="46" cy="19"/>
            <a:chOff x="449" y="82"/>
            <a:chExt cx="46" cy="19"/>
          </a:xfrm>
        </xdr:grpSpPr>
        <xdr:sp macro="" textlink="">
          <xdr:nvSpPr>
            <xdr:cNvPr id="495551" name="Line 17"/>
            <xdr:cNvSpPr>
              <a:spLocks noChangeAspect="1" noChangeShapeType="1"/>
            </xdr:cNvSpPr>
          </xdr:nvSpPr>
          <xdr:spPr bwMode="auto">
            <a:xfrm>
              <a:off x="449" y="84"/>
              <a:ext cx="0" cy="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114" name="Text Box 18"/>
            <xdr:cNvSpPr txBox="1">
              <a:spLocks noChangeAspect="1" noChangeArrowheads="1"/>
            </xdr:cNvSpPr>
          </xdr:nvSpPr>
          <xdr:spPr bwMode="auto">
            <a:xfrm>
              <a:off x="473" y="82"/>
              <a:ext cx="22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</a:t>
              </a:r>
            </a:p>
          </xdr:txBody>
        </xdr:sp>
      </xdr:grpSp>
      <xdr:sp macro="" textlink="">
        <xdr:nvSpPr>
          <xdr:cNvPr id="4130" name="Text Box 34"/>
          <xdr:cNvSpPr txBox="1">
            <a:spLocks noChangeAspect="1" noChangeArrowheads="1"/>
          </xdr:cNvSpPr>
        </xdr:nvSpPr>
        <xdr:spPr bwMode="auto">
          <a:xfrm>
            <a:off x="485" y="102"/>
            <a:ext cx="37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</a:t>
            </a:r>
          </a:p>
        </xdr:txBody>
      </xdr:sp>
      <xdr:sp macro="" textlink="">
        <xdr:nvSpPr>
          <xdr:cNvPr id="495550" name="Line 37"/>
          <xdr:cNvSpPr>
            <a:spLocks noChangeShapeType="1"/>
          </xdr:cNvSpPr>
        </xdr:nvSpPr>
        <xdr:spPr bwMode="auto">
          <a:xfrm>
            <a:off x="471" y="112"/>
            <a:ext cx="2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0</xdr:rowOff>
    </xdr:from>
    <xdr:to>
      <xdr:col>8</xdr:col>
      <xdr:colOff>9525</xdr:colOff>
      <xdr:row>4</xdr:row>
      <xdr:rowOff>0</xdr:rowOff>
    </xdr:to>
    <xdr:pic>
      <xdr:nvPicPr>
        <xdr:cNvPr id="951297" name="Picture 2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68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23</xdr:row>
      <xdr:rowOff>0</xdr:rowOff>
    </xdr:to>
    <xdr:graphicFrame macro="">
      <xdr:nvGraphicFramePr>
        <xdr:cNvPr id="951298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95129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4</xdr:row>
      <xdr:rowOff>133350</xdr:rowOff>
    </xdr:from>
    <xdr:to>
      <xdr:col>7</xdr:col>
      <xdr:colOff>104775</xdr:colOff>
      <xdr:row>9</xdr:row>
      <xdr:rowOff>9525</xdr:rowOff>
    </xdr:to>
    <xdr:grpSp>
      <xdr:nvGrpSpPr>
        <xdr:cNvPr id="951300" name="Group 95"/>
        <xdr:cNvGrpSpPr>
          <a:grpSpLocks/>
        </xdr:cNvGrpSpPr>
      </xdr:nvGrpSpPr>
      <xdr:grpSpPr bwMode="auto">
        <a:xfrm>
          <a:off x="3800475" y="781050"/>
          <a:ext cx="1304925" cy="685800"/>
          <a:chOff x="384" y="82"/>
          <a:chExt cx="137" cy="72"/>
        </a:xfrm>
      </xdr:grpSpPr>
      <xdr:grpSp>
        <xdr:nvGrpSpPr>
          <xdr:cNvPr id="951301" name="Group 54"/>
          <xdr:cNvGrpSpPr>
            <a:grpSpLocks/>
          </xdr:cNvGrpSpPr>
        </xdr:nvGrpSpPr>
        <xdr:grpSpPr bwMode="auto">
          <a:xfrm>
            <a:off x="416" y="85"/>
            <a:ext cx="68" cy="68"/>
            <a:chOff x="417" y="85"/>
            <a:chExt cx="68" cy="68"/>
          </a:xfrm>
        </xdr:grpSpPr>
        <xdr:sp macro="" textlink="">
          <xdr:nvSpPr>
            <xdr:cNvPr id="951326" name="Oval 55"/>
            <xdr:cNvSpPr>
              <a:spLocks noChangeArrowheads="1"/>
            </xdr:cNvSpPr>
          </xdr:nvSpPr>
          <xdr:spPr bwMode="auto">
            <a:xfrm>
              <a:off x="417" y="85"/>
              <a:ext cx="68" cy="68"/>
            </a:xfrm>
            <a:prstGeom prst="ellipse">
              <a:avLst/>
            </a:prstGeom>
            <a:solidFill>
              <a:srgbClr val="00FF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51327" name="Oval 56"/>
            <xdr:cNvSpPr>
              <a:spLocks noChangeArrowheads="1"/>
            </xdr:cNvSpPr>
          </xdr:nvSpPr>
          <xdr:spPr bwMode="auto">
            <a:xfrm>
              <a:off x="428" y="96"/>
              <a:ext cx="45" cy="45"/>
            </a:xfrm>
            <a:prstGeom prst="ellipse">
              <a:avLst/>
            </a:prstGeom>
            <a:noFill/>
            <a:ln w="95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951302" name="Group 57"/>
          <xdr:cNvGrpSpPr>
            <a:grpSpLocks noChangeAspect="1"/>
          </xdr:cNvGrpSpPr>
        </xdr:nvGrpSpPr>
        <xdr:grpSpPr bwMode="auto">
          <a:xfrm>
            <a:off x="384" y="85"/>
            <a:ext cx="22" cy="68"/>
            <a:chOff x="466" y="85"/>
            <a:chExt cx="19" cy="68"/>
          </a:xfrm>
        </xdr:grpSpPr>
        <xdr:sp macro="" textlink="">
          <xdr:nvSpPr>
            <xdr:cNvPr id="951324" name="Line 58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7467" name="Text Box 59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sp macro="" textlink="">
        <xdr:nvSpPr>
          <xdr:cNvPr id="951303" name="Line 61"/>
          <xdr:cNvSpPr>
            <a:spLocks noChangeAspect="1" noChangeShapeType="1"/>
          </xdr:cNvSpPr>
        </xdr:nvSpPr>
        <xdr:spPr bwMode="auto">
          <a:xfrm>
            <a:off x="449" y="84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sm" len="sm"/>
            <a:tailEnd type="arrow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470" name="Text Box 62"/>
          <xdr:cNvSpPr txBox="1">
            <a:spLocks noChangeAspect="1" noChangeArrowheads="1"/>
          </xdr:cNvSpPr>
        </xdr:nvSpPr>
        <xdr:spPr bwMode="auto">
          <a:xfrm>
            <a:off x="410" y="82"/>
            <a:ext cx="22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H'</a:t>
            </a:r>
          </a:p>
        </xdr:txBody>
      </xdr:sp>
      <xdr:grpSp>
        <xdr:nvGrpSpPr>
          <xdr:cNvPr id="951305" name="Group 80"/>
          <xdr:cNvGrpSpPr>
            <a:grpSpLocks/>
          </xdr:cNvGrpSpPr>
        </xdr:nvGrpSpPr>
        <xdr:grpSpPr bwMode="auto">
          <a:xfrm>
            <a:off x="438" y="90"/>
            <a:ext cx="32" cy="57"/>
            <a:chOff x="840" y="209"/>
            <a:chExt cx="32" cy="57"/>
          </a:xfrm>
        </xdr:grpSpPr>
        <xdr:grpSp>
          <xdr:nvGrpSpPr>
            <xdr:cNvPr id="951314" name="Group 74"/>
            <xdr:cNvGrpSpPr>
              <a:grpSpLocks/>
            </xdr:cNvGrpSpPr>
          </xdr:nvGrpSpPr>
          <xdr:grpSpPr bwMode="auto">
            <a:xfrm>
              <a:off x="840" y="209"/>
              <a:ext cx="32" cy="32"/>
              <a:chOff x="840" y="209"/>
              <a:chExt cx="32" cy="32"/>
            </a:xfrm>
          </xdr:grpSpPr>
          <xdr:sp macro="" textlink="">
            <xdr:nvSpPr>
              <xdr:cNvPr id="951320" name="Arc 67"/>
              <xdr:cNvSpPr>
                <a:spLocks/>
              </xdr:cNvSpPr>
            </xdr:nvSpPr>
            <xdr:spPr bwMode="auto">
              <a:xfrm rot="-2700000">
                <a:off x="840" y="209"/>
                <a:ext cx="23" cy="2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close/>
                  </a:path>
                </a:pathLst>
              </a:custGeom>
              <a:noFill/>
              <a:ln w="19050">
                <a:solidFill>
                  <a:srgbClr val="000000"/>
                </a:solidFill>
                <a:prstDash val="dash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grpSp>
            <xdr:nvGrpSpPr>
              <xdr:cNvPr id="951321" name="Group 73"/>
              <xdr:cNvGrpSpPr>
                <a:grpSpLocks/>
              </xdr:cNvGrpSpPr>
            </xdr:nvGrpSpPr>
            <xdr:grpSpPr bwMode="auto">
              <a:xfrm>
                <a:off x="844" y="218"/>
                <a:ext cx="28" cy="23"/>
                <a:chOff x="847" y="254"/>
                <a:chExt cx="28" cy="23"/>
              </a:xfrm>
            </xdr:grpSpPr>
            <xdr:sp macro="" textlink="">
              <xdr:nvSpPr>
                <xdr:cNvPr id="951322" name="Line 70"/>
                <xdr:cNvSpPr>
                  <a:spLocks noChangeShapeType="1"/>
                </xdr:cNvSpPr>
              </xdr:nvSpPr>
              <xdr:spPr bwMode="auto">
                <a:xfrm rot="2700000">
                  <a:off x="864" y="253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951323" name="Line 71"/>
                <xdr:cNvSpPr>
                  <a:spLocks noChangeShapeType="1"/>
                </xdr:cNvSpPr>
              </xdr:nvSpPr>
              <xdr:spPr bwMode="auto">
                <a:xfrm rot="-2700000">
                  <a:off x="847" y="254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</xdr:grpSp>
        <xdr:grpSp>
          <xdr:nvGrpSpPr>
            <xdr:cNvPr id="951315" name="Group 75"/>
            <xdr:cNvGrpSpPr>
              <a:grpSpLocks/>
            </xdr:cNvGrpSpPr>
          </xdr:nvGrpSpPr>
          <xdr:grpSpPr bwMode="auto">
            <a:xfrm flipV="1">
              <a:off x="840" y="234"/>
              <a:ext cx="32" cy="32"/>
              <a:chOff x="840" y="209"/>
              <a:chExt cx="32" cy="32"/>
            </a:xfrm>
          </xdr:grpSpPr>
          <xdr:sp macro="" textlink="">
            <xdr:nvSpPr>
              <xdr:cNvPr id="951316" name="Arc 76"/>
              <xdr:cNvSpPr>
                <a:spLocks/>
              </xdr:cNvSpPr>
            </xdr:nvSpPr>
            <xdr:spPr bwMode="auto">
              <a:xfrm rot="-2700000">
                <a:off x="840" y="209"/>
                <a:ext cx="23" cy="2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close/>
                  </a:path>
                </a:pathLst>
              </a:custGeom>
              <a:noFill/>
              <a:ln w="19050">
                <a:solidFill>
                  <a:srgbClr val="000000"/>
                </a:solidFill>
                <a:prstDash val="dash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grpSp>
            <xdr:nvGrpSpPr>
              <xdr:cNvPr id="951317" name="Group 77"/>
              <xdr:cNvGrpSpPr>
                <a:grpSpLocks/>
              </xdr:cNvGrpSpPr>
            </xdr:nvGrpSpPr>
            <xdr:grpSpPr bwMode="auto">
              <a:xfrm>
                <a:off x="844" y="218"/>
                <a:ext cx="28" cy="23"/>
                <a:chOff x="847" y="254"/>
                <a:chExt cx="28" cy="23"/>
              </a:xfrm>
            </xdr:grpSpPr>
            <xdr:sp macro="" textlink="">
              <xdr:nvSpPr>
                <xdr:cNvPr id="951318" name="Line 78"/>
                <xdr:cNvSpPr>
                  <a:spLocks noChangeShapeType="1"/>
                </xdr:cNvSpPr>
              </xdr:nvSpPr>
              <xdr:spPr bwMode="auto">
                <a:xfrm rot="2700000">
                  <a:off x="864" y="253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951319" name="Line 79"/>
                <xdr:cNvSpPr>
                  <a:spLocks noChangeShapeType="1"/>
                </xdr:cNvSpPr>
              </xdr:nvSpPr>
              <xdr:spPr bwMode="auto">
                <a:xfrm rot="-2700000">
                  <a:off x="847" y="254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</xdr:grpSp>
      </xdr:grpSp>
      <xdr:sp macro="" textlink="">
        <xdr:nvSpPr>
          <xdr:cNvPr id="17490" name="Text Box 82"/>
          <xdr:cNvSpPr txBox="1">
            <a:spLocks noChangeArrowheads="1"/>
          </xdr:cNvSpPr>
        </xdr:nvSpPr>
        <xdr:spPr bwMode="auto">
          <a:xfrm>
            <a:off x="443" y="121"/>
            <a:ext cx="12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l-GR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δ</a:t>
            </a:r>
          </a:p>
        </xdr:txBody>
      </xdr:sp>
      <xdr:sp macro="" textlink="">
        <xdr:nvSpPr>
          <xdr:cNvPr id="17491" name="Text Box 83"/>
          <xdr:cNvSpPr txBox="1">
            <a:spLocks noChangeArrowheads="1"/>
          </xdr:cNvSpPr>
        </xdr:nvSpPr>
        <xdr:spPr bwMode="auto">
          <a:xfrm>
            <a:off x="444" y="99"/>
            <a:ext cx="12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l-GR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δ</a:t>
            </a:r>
          </a:p>
        </xdr:txBody>
      </xdr:sp>
      <xdr:sp macro="" textlink="">
        <xdr:nvSpPr>
          <xdr:cNvPr id="17492" name="Text Box 84"/>
          <xdr:cNvSpPr txBox="1">
            <a:spLocks noChangeArrowheads="1"/>
          </xdr:cNvSpPr>
        </xdr:nvSpPr>
        <xdr:spPr bwMode="auto">
          <a:xfrm>
            <a:off x="490" y="108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A_s0</a:t>
            </a:r>
          </a:p>
        </xdr:txBody>
      </xdr:sp>
      <xdr:sp macro="" textlink="">
        <xdr:nvSpPr>
          <xdr:cNvPr id="17493" name="Text Box 85"/>
          <xdr:cNvSpPr txBox="1">
            <a:spLocks noChangeArrowheads="1"/>
          </xdr:cNvSpPr>
        </xdr:nvSpPr>
        <xdr:spPr bwMode="auto">
          <a:xfrm>
            <a:off x="474" y="138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A_s1</a:t>
            </a:r>
          </a:p>
        </xdr:txBody>
      </xdr:sp>
      <xdr:sp macro="" textlink="">
        <xdr:nvSpPr>
          <xdr:cNvPr id="17494" name="Text Box 86"/>
          <xdr:cNvSpPr txBox="1">
            <a:spLocks noChangeArrowheads="1"/>
          </xdr:cNvSpPr>
        </xdr:nvSpPr>
        <xdr:spPr bwMode="auto">
          <a:xfrm>
            <a:off x="478" y="82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A_s2</a:t>
            </a:r>
          </a:p>
        </xdr:txBody>
      </xdr:sp>
      <xdr:sp macro="" textlink="">
        <xdr:nvSpPr>
          <xdr:cNvPr id="951311" name="Line 88"/>
          <xdr:cNvSpPr>
            <a:spLocks noChangeShapeType="1"/>
          </xdr:cNvSpPr>
        </xdr:nvSpPr>
        <xdr:spPr bwMode="auto">
          <a:xfrm flipV="1">
            <a:off x="472" y="117"/>
            <a:ext cx="20" cy="3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51312" name="Line 89"/>
          <xdr:cNvSpPr>
            <a:spLocks noChangeShapeType="1"/>
          </xdr:cNvSpPr>
        </xdr:nvSpPr>
        <xdr:spPr bwMode="auto">
          <a:xfrm>
            <a:off x="463" y="138"/>
            <a:ext cx="14" cy="8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51313" name="Line 94"/>
          <xdr:cNvSpPr>
            <a:spLocks noChangeShapeType="1"/>
          </xdr:cNvSpPr>
        </xdr:nvSpPr>
        <xdr:spPr bwMode="auto">
          <a:xfrm flipV="1">
            <a:off x="463" y="90"/>
            <a:ext cx="17" cy="9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0</xdr:rowOff>
    </xdr:from>
    <xdr:to>
      <xdr:col>8</xdr:col>
      <xdr:colOff>9525</xdr:colOff>
      <xdr:row>4</xdr:row>
      <xdr:rowOff>0</xdr:rowOff>
    </xdr:to>
    <xdr:pic>
      <xdr:nvPicPr>
        <xdr:cNvPr id="716481" name="Picture 2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68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23</xdr:row>
      <xdr:rowOff>0</xdr:rowOff>
    </xdr:to>
    <xdr:graphicFrame macro="">
      <xdr:nvGraphicFramePr>
        <xdr:cNvPr id="716482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716483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38100</xdr:colOff>
      <xdr:row>4</xdr:row>
      <xdr:rowOff>123825</xdr:rowOff>
    </xdr:from>
    <xdr:to>
      <xdr:col>8</xdr:col>
      <xdr:colOff>0</xdr:colOff>
      <xdr:row>9</xdr:row>
      <xdr:rowOff>47625</xdr:rowOff>
    </xdr:to>
    <xdr:grpSp>
      <xdr:nvGrpSpPr>
        <xdr:cNvPr id="716484" name="Group 41"/>
        <xdr:cNvGrpSpPr>
          <a:grpSpLocks/>
        </xdr:cNvGrpSpPr>
      </xdr:nvGrpSpPr>
      <xdr:grpSpPr bwMode="auto">
        <a:xfrm>
          <a:off x="3609975" y="771525"/>
          <a:ext cx="2105025" cy="733425"/>
          <a:chOff x="366" y="81"/>
          <a:chExt cx="221" cy="77"/>
        </a:xfrm>
      </xdr:grpSpPr>
      <xdr:grpSp>
        <xdr:nvGrpSpPr>
          <xdr:cNvPr id="716485" name="Group 9"/>
          <xdr:cNvGrpSpPr>
            <a:grpSpLocks noChangeAspect="1"/>
          </xdr:cNvGrpSpPr>
        </xdr:nvGrpSpPr>
        <xdr:grpSpPr bwMode="auto">
          <a:xfrm>
            <a:off x="366" y="85"/>
            <a:ext cx="21" cy="68"/>
            <a:chOff x="466" y="85"/>
            <a:chExt cx="19" cy="68"/>
          </a:xfrm>
        </xdr:grpSpPr>
        <xdr:sp macro="" textlink="">
          <xdr:nvSpPr>
            <xdr:cNvPr id="716500" name="Line 10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371" name="Text Box 11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grpSp>
        <xdr:nvGrpSpPr>
          <xdr:cNvPr id="716486" name="Group 29"/>
          <xdr:cNvGrpSpPr>
            <a:grpSpLocks noChangeAspect="1"/>
          </xdr:cNvGrpSpPr>
        </xdr:nvGrpSpPr>
        <xdr:grpSpPr bwMode="auto">
          <a:xfrm>
            <a:off x="398" y="85"/>
            <a:ext cx="147" cy="67"/>
            <a:chOff x="633" y="118"/>
            <a:chExt cx="142" cy="71"/>
          </a:xfrm>
        </xdr:grpSpPr>
        <xdr:sp macro="" textlink="">
          <xdr:nvSpPr>
            <xdr:cNvPr id="716497" name="PSASc01_1"/>
            <xdr:cNvSpPr>
              <a:spLocks noChangeAspect="1" noChangeArrowheads="1"/>
            </xdr:cNvSpPr>
          </xdr:nvSpPr>
          <xdr:spPr bwMode="auto">
            <a:xfrm>
              <a:off x="633" y="118"/>
              <a:ext cx="142" cy="71"/>
            </a:xfrm>
            <a:prstGeom prst="rect">
              <a:avLst/>
            </a:prstGeom>
            <a:solidFill>
              <a:srgbClr val="00FF00"/>
            </a:solidFill>
            <a:ln w="6350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6498" name="PSABe101_1"/>
            <xdr:cNvSpPr>
              <a:spLocks noChangeAspect="1" noChangeShapeType="1"/>
            </xdr:cNvSpPr>
          </xdr:nvSpPr>
          <xdr:spPr bwMode="auto">
            <a:xfrm>
              <a:off x="644" y="129"/>
              <a:ext cx="120" cy="0"/>
            </a:xfrm>
            <a:prstGeom prst="line">
              <a:avLst/>
            </a:prstGeom>
            <a:noFill/>
            <a:ln w="222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16499" name="PSABe201_1"/>
            <xdr:cNvSpPr>
              <a:spLocks noChangeAspect="1" noChangeShapeType="1"/>
            </xdr:cNvSpPr>
          </xdr:nvSpPr>
          <xdr:spPr bwMode="auto">
            <a:xfrm>
              <a:off x="644" y="178"/>
              <a:ext cx="120" cy="0"/>
            </a:xfrm>
            <a:prstGeom prst="line">
              <a:avLst/>
            </a:prstGeom>
            <a:noFill/>
            <a:ln w="222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716487" name="Group 30"/>
          <xdr:cNvGrpSpPr>
            <a:grpSpLocks/>
          </xdr:cNvGrpSpPr>
        </xdr:nvGrpSpPr>
        <xdr:grpSpPr bwMode="auto">
          <a:xfrm>
            <a:off x="555" y="81"/>
            <a:ext cx="32" cy="20"/>
            <a:chOff x="553" y="81"/>
            <a:chExt cx="29" cy="20"/>
          </a:xfrm>
        </xdr:grpSpPr>
        <xdr:sp macro="" textlink="">
          <xdr:nvSpPr>
            <xdr:cNvPr id="716495" name="Line 13"/>
            <xdr:cNvSpPr>
              <a:spLocks noChangeAspect="1" noChangeShapeType="1"/>
            </xdr:cNvSpPr>
          </xdr:nvSpPr>
          <xdr:spPr bwMode="auto">
            <a:xfrm>
              <a:off x="553" y="84"/>
              <a:ext cx="0" cy="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374" name="Text Box 14"/>
            <xdr:cNvSpPr txBox="1">
              <a:spLocks noChangeAspect="1" noChangeArrowheads="1"/>
            </xdr:cNvSpPr>
          </xdr:nvSpPr>
          <xdr:spPr bwMode="auto">
            <a:xfrm>
              <a:off x="554" y="81"/>
              <a:ext cx="28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H''</a:t>
              </a:r>
            </a:p>
          </xdr:txBody>
        </xdr:sp>
      </xdr:grpSp>
      <xdr:grpSp>
        <xdr:nvGrpSpPr>
          <xdr:cNvPr id="716488" name="Group 31"/>
          <xdr:cNvGrpSpPr>
            <a:grpSpLocks/>
          </xdr:cNvGrpSpPr>
        </xdr:nvGrpSpPr>
        <xdr:grpSpPr bwMode="auto">
          <a:xfrm>
            <a:off x="555" y="138"/>
            <a:ext cx="32" cy="20"/>
            <a:chOff x="553" y="81"/>
            <a:chExt cx="29" cy="20"/>
          </a:xfrm>
        </xdr:grpSpPr>
        <xdr:sp macro="" textlink="">
          <xdr:nvSpPr>
            <xdr:cNvPr id="716493" name="Line 32"/>
            <xdr:cNvSpPr>
              <a:spLocks noChangeAspect="1" noChangeShapeType="1"/>
            </xdr:cNvSpPr>
          </xdr:nvSpPr>
          <xdr:spPr bwMode="auto">
            <a:xfrm>
              <a:off x="553" y="84"/>
              <a:ext cx="0" cy="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393" name="Text Box 33"/>
            <xdr:cNvSpPr txBox="1">
              <a:spLocks noChangeAspect="1" noChangeArrowheads="1"/>
            </xdr:cNvSpPr>
          </xdr:nvSpPr>
          <xdr:spPr bwMode="auto">
            <a:xfrm>
              <a:off x="554" y="81"/>
              <a:ext cx="28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</a:t>
              </a:r>
            </a:p>
          </xdr:txBody>
        </xdr:sp>
      </xdr:grpSp>
      <xdr:sp macro="" textlink="">
        <xdr:nvSpPr>
          <xdr:cNvPr id="15396" name="Text Box 36"/>
          <xdr:cNvSpPr txBox="1">
            <a:spLocks noChangeArrowheads="1"/>
          </xdr:cNvSpPr>
        </xdr:nvSpPr>
        <xdr:spPr bwMode="auto">
          <a:xfrm>
            <a:off x="551" y="99"/>
            <a:ext cx="3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A_s2</a:t>
            </a:r>
          </a:p>
        </xdr:txBody>
      </xdr:sp>
      <xdr:sp macro="" textlink="">
        <xdr:nvSpPr>
          <xdr:cNvPr id="15397" name="Text Box 37"/>
          <xdr:cNvSpPr txBox="1">
            <a:spLocks noChangeArrowheads="1"/>
          </xdr:cNvSpPr>
        </xdr:nvSpPr>
        <xdr:spPr bwMode="auto">
          <a:xfrm>
            <a:off x="551" y="123"/>
            <a:ext cx="3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A_s1</a:t>
            </a:r>
          </a:p>
        </xdr:txBody>
      </xdr:sp>
      <xdr:sp macro="" textlink="">
        <xdr:nvSpPr>
          <xdr:cNvPr id="716491" name="Line 38"/>
          <xdr:cNvSpPr>
            <a:spLocks noChangeShapeType="1"/>
          </xdr:cNvSpPr>
        </xdr:nvSpPr>
        <xdr:spPr bwMode="auto">
          <a:xfrm flipV="1">
            <a:off x="529" y="132"/>
            <a:ext cx="23" cy="1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6492" name="Line 39"/>
          <xdr:cNvSpPr>
            <a:spLocks noChangeShapeType="1"/>
          </xdr:cNvSpPr>
        </xdr:nvSpPr>
        <xdr:spPr bwMode="auto">
          <a:xfrm>
            <a:off x="528" y="96"/>
            <a:ext cx="25" cy="1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5363" name="Drop Dow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5364" name="Drop Dow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0</xdr:rowOff>
    </xdr:from>
    <xdr:to>
      <xdr:col>8</xdr:col>
      <xdr:colOff>9525</xdr:colOff>
      <xdr:row>4</xdr:row>
      <xdr:rowOff>0</xdr:rowOff>
    </xdr:to>
    <xdr:pic>
      <xdr:nvPicPr>
        <xdr:cNvPr id="2" name="Picture 6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68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4</xdr:col>
      <xdr:colOff>0</xdr:colOff>
      <xdr:row>35</xdr:row>
      <xdr:rowOff>0</xdr:rowOff>
    </xdr:to>
    <xdr:graphicFrame macro="">
      <xdr:nvGraphicFramePr>
        <xdr:cNvPr id="3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4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4</xdr:row>
      <xdr:rowOff>133350</xdr:rowOff>
    </xdr:from>
    <xdr:to>
      <xdr:col>7</xdr:col>
      <xdr:colOff>114300</xdr:colOff>
      <xdr:row>9</xdr:row>
      <xdr:rowOff>0</xdr:rowOff>
    </xdr:to>
    <xdr:grpSp>
      <xdr:nvGrpSpPr>
        <xdr:cNvPr id="5" name="Group 38"/>
        <xdr:cNvGrpSpPr>
          <a:grpSpLocks/>
        </xdr:cNvGrpSpPr>
      </xdr:nvGrpSpPr>
      <xdr:grpSpPr bwMode="auto">
        <a:xfrm>
          <a:off x="3800475" y="781050"/>
          <a:ext cx="1314450" cy="638175"/>
          <a:chOff x="384" y="82"/>
          <a:chExt cx="138" cy="71"/>
        </a:xfrm>
      </xdr:grpSpPr>
      <xdr:grpSp>
        <xdr:nvGrpSpPr>
          <xdr:cNvPr id="6" name="Group 12"/>
          <xdr:cNvGrpSpPr>
            <a:grpSpLocks/>
          </xdr:cNvGrpSpPr>
        </xdr:nvGrpSpPr>
        <xdr:grpSpPr bwMode="auto">
          <a:xfrm>
            <a:off x="416" y="85"/>
            <a:ext cx="68" cy="68"/>
            <a:chOff x="385" y="85"/>
            <a:chExt cx="68" cy="68"/>
          </a:xfrm>
        </xdr:grpSpPr>
        <xdr:sp macro="" textlink="">
          <xdr:nvSpPr>
            <xdr:cNvPr id="15" name="Oval 10"/>
            <xdr:cNvSpPr>
              <a:spLocks noChangeArrowheads="1"/>
            </xdr:cNvSpPr>
          </xdr:nvSpPr>
          <xdr:spPr bwMode="auto">
            <a:xfrm>
              <a:off x="385" y="85"/>
              <a:ext cx="68" cy="68"/>
            </a:xfrm>
            <a:prstGeom prst="ellipse">
              <a:avLst/>
            </a:prstGeom>
            <a:solidFill>
              <a:srgbClr val="00FF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6" name="Oval 11"/>
            <xdr:cNvSpPr>
              <a:spLocks noChangeArrowheads="1"/>
            </xdr:cNvSpPr>
          </xdr:nvSpPr>
          <xdr:spPr bwMode="auto">
            <a:xfrm>
              <a:off x="396" y="96"/>
              <a:ext cx="45" cy="45"/>
            </a:xfrm>
            <a:prstGeom prst="ellipse">
              <a:avLst/>
            </a:prstGeom>
            <a:noFill/>
            <a:ln w="19050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7" name="Group 16"/>
          <xdr:cNvGrpSpPr>
            <a:grpSpLocks noChangeAspect="1"/>
          </xdr:cNvGrpSpPr>
        </xdr:nvGrpSpPr>
        <xdr:grpSpPr bwMode="auto">
          <a:xfrm>
            <a:off x="384" y="85"/>
            <a:ext cx="22" cy="68"/>
            <a:chOff x="466" y="85"/>
            <a:chExt cx="19" cy="68"/>
          </a:xfrm>
        </xdr:grpSpPr>
        <xdr:sp macro="" textlink="">
          <xdr:nvSpPr>
            <xdr:cNvPr id="13" name="Line 13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" name="Text Box 14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grpSp>
        <xdr:nvGrpSpPr>
          <xdr:cNvPr id="8" name="Group 35"/>
          <xdr:cNvGrpSpPr>
            <a:grpSpLocks/>
          </xdr:cNvGrpSpPr>
        </xdr:nvGrpSpPr>
        <xdr:grpSpPr bwMode="auto">
          <a:xfrm>
            <a:off x="449" y="82"/>
            <a:ext cx="46" cy="19"/>
            <a:chOff x="449" y="82"/>
            <a:chExt cx="46" cy="19"/>
          </a:xfrm>
        </xdr:grpSpPr>
        <xdr:sp macro="" textlink="">
          <xdr:nvSpPr>
            <xdr:cNvPr id="11" name="Line 17"/>
            <xdr:cNvSpPr>
              <a:spLocks noChangeAspect="1" noChangeShapeType="1"/>
            </xdr:cNvSpPr>
          </xdr:nvSpPr>
          <xdr:spPr bwMode="auto">
            <a:xfrm>
              <a:off x="449" y="84"/>
              <a:ext cx="0" cy="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" name="Text Box 18"/>
            <xdr:cNvSpPr txBox="1">
              <a:spLocks noChangeAspect="1" noChangeArrowheads="1"/>
            </xdr:cNvSpPr>
          </xdr:nvSpPr>
          <xdr:spPr bwMode="auto">
            <a:xfrm>
              <a:off x="473" y="82"/>
              <a:ext cx="22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</a:t>
              </a:r>
            </a:p>
          </xdr:txBody>
        </xdr:sp>
      </xdr:grpSp>
      <xdr:sp macro="" textlink="">
        <xdr:nvSpPr>
          <xdr:cNvPr id="9" name="Text Box 34"/>
          <xdr:cNvSpPr txBox="1">
            <a:spLocks noChangeAspect="1" noChangeArrowheads="1"/>
          </xdr:cNvSpPr>
        </xdr:nvSpPr>
        <xdr:spPr bwMode="auto">
          <a:xfrm>
            <a:off x="485" y="102"/>
            <a:ext cx="37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</a:t>
            </a:r>
          </a:p>
        </xdr:txBody>
      </xdr:sp>
      <xdr:sp macro="" textlink="">
        <xdr:nvSpPr>
          <xdr:cNvPr id="10" name="Line 37"/>
          <xdr:cNvSpPr>
            <a:spLocks noChangeShapeType="1"/>
          </xdr:cNvSpPr>
        </xdr:nvSpPr>
        <xdr:spPr bwMode="auto">
          <a:xfrm>
            <a:off x="471" y="112"/>
            <a:ext cx="2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152400</xdr:rowOff>
        </xdr:from>
        <xdr:to>
          <xdr:col>6</xdr:col>
          <xdr:colOff>0</xdr:colOff>
          <xdr:row>16</xdr:row>
          <xdr:rowOff>161925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30726" name="Drop Dow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0727" name="Drop Dow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26775</xdr:colOff>
      <xdr:row>0</xdr:row>
      <xdr:rowOff>0</xdr:rowOff>
    </xdr:from>
    <xdr:to>
      <xdr:col>8</xdr:col>
      <xdr:colOff>0</xdr:colOff>
      <xdr:row>4</xdr:row>
      <xdr:rowOff>1800</xdr:rowOff>
    </xdr:to>
    <xdr:pic>
      <xdr:nvPicPr>
        <xdr:cNvPr id="2" name="Picture 6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7400" y="0"/>
          <a:ext cx="6876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4</xdr:col>
      <xdr:colOff>0</xdr:colOff>
      <xdr:row>35</xdr:row>
      <xdr:rowOff>0</xdr:rowOff>
    </xdr:to>
    <xdr:graphicFrame macro="">
      <xdr:nvGraphicFramePr>
        <xdr:cNvPr id="3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4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4</xdr:row>
      <xdr:rowOff>133350</xdr:rowOff>
    </xdr:from>
    <xdr:to>
      <xdr:col>7</xdr:col>
      <xdr:colOff>114300</xdr:colOff>
      <xdr:row>9</xdr:row>
      <xdr:rowOff>0</xdr:rowOff>
    </xdr:to>
    <xdr:grpSp>
      <xdr:nvGrpSpPr>
        <xdr:cNvPr id="5" name="Group 38"/>
        <xdr:cNvGrpSpPr>
          <a:grpSpLocks/>
        </xdr:cNvGrpSpPr>
      </xdr:nvGrpSpPr>
      <xdr:grpSpPr bwMode="auto">
        <a:xfrm>
          <a:off x="3800475" y="819150"/>
          <a:ext cx="1314450" cy="638175"/>
          <a:chOff x="384" y="82"/>
          <a:chExt cx="138" cy="71"/>
        </a:xfrm>
      </xdr:grpSpPr>
      <xdr:grpSp>
        <xdr:nvGrpSpPr>
          <xdr:cNvPr id="6" name="Group 12"/>
          <xdr:cNvGrpSpPr>
            <a:grpSpLocks/>
          </xdr:cNvGrpSpPr>
        </xdr:nvGrpSpPr>
        <xdr:grpSpPr bwMode="auto">
          <a:xfrm>
            <a:off x="416" y="85"/>
            <a:ext cx="68" cy="68"/>
            <a:chOff x="385" y="85"/>
            <a:chExt cx="68" cy="68"/>
          </a:xfrm>
        </xdr:grpSpPr>
        <xdr:sp macro="" textlink="">
          <xdr:nvSpPr>
            <xdr:cNvPr id="15" name="Oval 10"/>
            <xdr:cNvSpPr>
              <a:spLocks noChangeArrowheads="1"/>
            </xdr:cNvSpPr>
          </xdr:nvSpPr>
          <xdr:spPr bwMode="auto">
            <a:xfrm>
              <a:off x="385" y="85"/>
              <a:ext cx="68" cy="68"/>
            </a:xfrm>
            <a:prstGeom prst="ellipse">
              <a:avLst/>
            </a:prstGeom>
            <a:solidFill>
              <a:srgbClr val="00FF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6" name="Oval 11"/>
            <xdr:cNvSpPr>
              <a:spLocks noChangeArrowheads="1"/>
            </xdr:cNvSpPr>
          </xdr:nvSpPr>
          <xdr:spPr bwMode="auto">
            <a:xfrm>
              <a:off x="396" y="96"/>
              <a:ext cx="45" cy="45"/>
            </a:xfrm>
            <a:prstGeom prst="ellipse">
              <a:avLst/>
            </a:prstGeom>
            <a:noFill/>
            <a:ln w="19050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7" name="Group 16"/>
          <xdr:cNvGrpSpPr>
            <a:grpSpLocks noChangeAspect="1"/>
          </xdr:cNvGrpSpPr>
        </xdr:nvGrpSpPr>
        <xdr:grpSpPr bwMode="auto">
          <a:xfrm>
            <a:off x="384" y="85"/>
            <a:ext cx="22" cy="68"/>
            <a:chOff x="466" y="85"/>
            <a:chExt cx="19" cy="68"/>
          </a:xfrm>
        </xdr:grpSpPr>
        <xdr:sp macro="" textlink="">
          <xdr:nvSpPr>
            <xdr:cNvPr id="13" name="Line 13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" name="Text Box 14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grpSp>
        <xdr:nvGrpSpPr>
          <xdr:cNvPr id="8" name="Group 35"/>
          <xdr:cNvGrpSpPr>
            <a:grpSpLocks/>
          </xdr:cNvGrpSpPr>
        </xdr:nvGrpSpPr>
        <xdr:grpSpPr bwMode="auto">
          <a:xfrm>
            <a:off x="449" y="82"/>
            <a:ext cx="46" cy="19"/>
            <a:chOff x="449" y="82"/>
            <a:chExt cx="46" cy="19"/>
          </a:xfrm>
        </xdr:grpSpPr>
        <xdr:sp macro="" textlink="">
          <xdr:nvSpPr>
            <xdr:cNvPr id="11" name="Line 17"/>
            <xdr:cNvSpPr>
              <a:spLocks noChangeAspect="1" noChangeShapeType="1"/>
            </xdr:cNvSpPr>
          </xdr:nvSpPr>
          <xdr:spPr bwMode="auto">
            <a:xfrm>
              <a:off x="449" y="84"/>
              <a:ext cx="0" cy="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" name="Text Box 18"/>
            <xdr:cNvSpPr txBox="1">
              <a:spLocks noChangeAspect="1" noChangeArrowheads="1"/>
            </xdr:cNvSpPr>
          </xdr:nvSpPr>
          <xdr:spPr bwMode="auto">
            <a:xfrm>
              <a:off x="473" y="82"/>
              <a:ext cx="22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</a:t>
              </a:r>
            </a:p>
          </xdr:txBody>
        </xdr:sp>
      </xdr:grpSp>
      <xdr:sp macro="" textlink="">
        <xdr:nvSpPr>
          <xdr:cNvPr id="9" name="Text Box 34"/>
          <xdr:cNvSpPr txBox="1">
            <a:spLocks noChangeAspect="1" noChangeArrowheads="1"/>
          </xdr:cNvSpPr>
        </xdr:nvSpPr>
        <xdr:spPr bwMode="auto">
          <a:xfrm>
            <a:off x="485" y="102"/>
            <a:ext cx="37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</a:t>
            </a:r>
          </a:p>
        </xdr:txBody>
      </xdr:sp>
      <xdr:sp macro="" textlink="">
        <xdr:nvSpPr>
          <xdr:cNvPr id="10" name="Line 37"/>
          <xdr:cNvSpPr>
            <a:spLocks noChangeShapeType="1"/>
          </xdr:cNvSpPr>
        </xdr:nvSpPr>
        <xdr:spPr bwMode="auto">
          <a:xfrm>
            <a:off x="471" y="112"/>
            <a:ext cx="2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6632" name="Drop Dow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26634" name="Drop Down 10" hidden="1">
              <a:extLst>
                <a:ext uri="{63B3BB69-23CF-44E3-9099-C40C66FF867C}">
                  <a14:compatExt spid="_x0000_s26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6635" name="Drop Down 11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6636" name="Drop Down 12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6637" name="Drop Down 13" hidden="1">
              <a:extLst>
                <a:ext uri="{63B3BB69-23CF-44E3-9099-C40C66FF867C}">
                  <a14:compatExt spid="_x0000_s26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26638" name="Drop Down 14" hidden="1">
              <a:extLst>
                <a:ext uri="{63B3BB69-23CF-44E3-9099-C40C66FF867C}">
                  <a14:compatExt spid="_x0000_s26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26642" name="Drop Down 18" hidden="1">
              <a:extLst>
                <a:ext uri="{63B3BB69-23CF-44E3-9099-C40C66FF867C}">
                  <a14:compatExt spid="_x0000_s26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26775</xdr:colOff>
      <xdr:row>0</xdr:row>
      <xdr:rowOff>0</xdr:rowOff>
    </xdr:from>
    <xdr:to>
      <xdr:col>8</xdr:col>
      <xdr:colOff>0</xdr:colOff>
      <xdr:row>4</xdr:row>
      <xdr:rowOff>1800</xdr:rowOff>
    </xdr:to>
    <xdr:pic>
      <xdr:nvPicPr>
        <xdr:cNvPr id="2" name="Picture 2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7400" y="0"/>
          <a:ext cx="6876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4</xdr:col>
      <xdr:colOff>0</xdr:colOff>
      <xdr:row>35</xdr:row>
      <xdr:rowOff>0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4</xdr:row>
      <xdr:rowOff>133350</xdr:rowOff>
    </xdr:from>
    <xdr:to>
      <xdr:col>7</xdr:col>
      <xdr:colOff>104775</xdr:colOff>
      <xdr:row>9</xdr:row>
      <xdr:rowOff>9525</xdr:rowOff>
    </xdr:to>
    <xdr:grpSp>
      <xdr:nvGrpSpPr>
        <xdr:cNvPr id="5" name="Group 95"/>
        <xdr:cNvGrpSpPr>
          <a:grpSpLocks/>
        </xdr:cNvGrpSpPr>
      </xdr:nvGrpSpPr>
      <xdr:grpSpPr bwMode="auto">
        <a:xfrm>
          <a:off x="3800475" y="819150"/>
          <a:ext cx="1304925" cy="647700"/>
          <a:chOff x="384" y="82"/>
          <a:chExt cx="137" cy="72"/>
        </a:xfrm>
      </xdr:grpSpPr>
      <xdr:grpSp>
        <xdr:nvGrpSpPr>
          <xdr:cNvPr id="6" name="Group 54"/>
          <xdr:cNvGrpSpPr>
            <a:grpSpLocks/>
          </xdr:cNvGrpSpPr>
        </xdr:nvGrpSpPr>
        <xdr:grpSpPr bwMode="auto">
          <a:xfrm>
            <a:off x="416" y="85"/>
            <a:ext cx="68" cy="68"/>
            <a:chOff x="417" y="85"/>
            <a:chExt cx="68" cy="68"/>
          </a:xfrm>
        </xdr:grpSpPr>
        <xdr:sp macro="" textlink="">
          <xdr:nvSpPr>
            <xdr:cNvPr id="31" name="Oval 55"/>
            <xdr:cNvSpPr>
              <a:spLocks noChangeArrowheads="1"/>
            </xdr:cNvSpPr>
          </xdr:nvSpPr>
          <xdr:spPr bwMode="auto">
            <a:xfrm>
              <a:off x="417" y="85"/>
              <a:ext cx="68" cy="68"/>
            </a:xfrm>
            <a:prstGeom prst="ellipse">
              <a:avLst/>
            </a:prstGeom>
            <a:solidFill>
              <a:srgbClr val="00FF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Oval 56"/>
            <xdr:cNvSpPr>
              <a:spLocks noChangeArrowheads="1"/>
            </xdr:cNvSpPr>
          </xdr:nvSpPr>
          <xdr:spPr bwMode="auto">
            <a:xfrm>
              <a:off x="428" y="96"/>
              <a:ext cx="45" cy="45"/>
            </a:xfrm>
            <a:prstGeom prst="ellipse">
              <a:avLst/>
            </a:prstGeom>
            <a:noFill/>
            <a:ln w="95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7" name="Group 57"/>
          <xdr:cNvGrpSpPr>
            <a:grpSpLocks noChangeAspect="1"/>
          </xdr:cNvGrpSpPr>
        </xdr:nvGrpSpPr>
        <xdr:grpSpPr bwMode="auto">
          <a:xfrm>
            <a:off x="384" y="85"/>
            <a:ext cx="22" cy="68"/>
            <a:chOff x="466" y="85"/>
            <a:chExt cx="19" cy="68"/>
          </a:xfrm>
        </xdr:grpSpPr>
        <xdr:sp macro="" textlink="">
          <xdr:nvSpPr>
            <xdr:cNvPr id="29" name="Line 58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0" name="Text Box 59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sp macro="" textlink="">
        <xdr:nvSpPr>
          <xdr:cNvPr id="8" name="Line 61"/>
          <xdr:cNvSpPr>
            <a:spLocks noChangeAspect="1" noChangeShapeType="1"/>
          </xdr:cNvSpPr>
        </xdr:nvSpPr>
        <xdr:spPr bwMode="auto">
          <a:xfrm>
            <a:off x="449" y="84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sm" len="sm"/>
            <a:tailEnd type="arrow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Text Box 62"/>
          <xdr:cNvSpPr txBox="1">
            <a:spLocks noChangeAspect="1" noChangeArrowheads="1"/>
          </xdr:cNvSpPr>
        </xdr:nvSpPr>
        <xdr:spPr bwMode="auto">
          <a:xfrm>
            <a:off x="410" y="82"/>
            <a:ext cx="22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H'</a:t>
            </a:r>
          </a:p>
        </xdr:txBody>
      </xdr:sp>
      <xdr:grpSp>
        <xdr:nvGrpSpPr>
          <xdr:cNvPr id="10" name="Group 80"/>
          <xdr:cNvGrpSpPr>
            <a:grpSpLocks/>
          </xdr:cNvGrpSpPr>
        </xdr:nvGrpSpPr>
        <xdr:grpSpPr bwMode="auto">
          <a:xfrm>
            <a:off x="438" y="90"/>
            <a:ext cx="32" cy="57"/>
            <a:chOff x="840" y="209"/>
            <a:chExt cx="32" cy="57"/>
          </a:xfrm>
        </xdr:grpSpPr>
        <xdr:grpSp>
          <xdr:nvGrpSpPr>
            <xdr:cNvPr id="19" name="Group 74"/>
            <xdr:cNvGrpSpPr>
              <a:grpSpLocks/>
            </xdr:cNvGrpSpPr>
          </xdr:nvGrpSpPr>
          <xdr:grpSpPr bwMode="auto">
            <a:xfrm>
              <a:off x="840" y="209"/>
              <a:ext cx="32" cy="32"/>
              <a:chOff x="840" y="209"/>
              <a:chExt cx="32" cy="32"/>
            </a:xfrm>
          </xdr:grpSpPr>
          <xdr:sp macro="" textlink="">
            <xdr:nvSpPr>
              <xdr:cNvPr id="25" name="Arc 67"/>
              <xdr:cNvSpPr>
                <a:spLocks/>
              </xdr:cNvSpPr>
            </xdr:nvSpPr>
            <xdr:spPr bwMode="auto">
              <a:xfrm rot="-2700000">
                <a:off x="840" y="209"/>
                <a:ext cx="23" cy="2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close/>
                  </a:path>
                </a:pathLst>
              </a:custGeom>
              <a:noFill/>
              <a:ln w="19050">
                <a:solidFill>
                  <a:srgbClr val="000000"/>
                </a:solidFill>
                <a:prstDash val="dash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grpSp>
            <xdr:nvGrpSpPr>
              <xdr:cNvPr id="26" name="Group 73"/>
              <xdr:cNvGrpSpPr>
                <a:grpSpLocks/>
              </xdr:cNvGrpSpPr>
            </xdr:nvGrpSpPr>
            <xdr:grpSpPr bwMode="auto">
              <a:xfrm>
                <a:off x="844" y="218"/>
                <a:ext cx="28" cy="23"/>
                <a:chOff x="847" y="254"/>
                <a:chExt cx="28" cy="23"/>
              </a:xfrm>
            </xdr:grpSpPr>
            <xdr:sp macro="" textlink="">
              <xdr:nvSpPr>
                <xdr:cNvPr id="27" name="Line 70"/>
                <xdr:cNvSpPr>
                  <a:spLocks noChangeShapeType="1"/>
                </xdr:cNvSpPr>
              </xdr:nvSpPr>
              <xdr:spPr bwMode="auto">
                <a:xfrm rot="2700000">
                  <a:off x="864" y="253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28" name="Line 71"/>
                <xdr:cNvSpPr>
                  <a:spLocks noChangeShapeType="1"/>
                </xdr:cNvSpPr>
              </xdr:nvSpPr>
              <xdr:spPr bwMode="auto">
                <a:xfrm rot="-2700000">
                  <a:off x="847" y="254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</xdr:grpSp>
        <xdr:grpSp>
          <xdr:nvGrpSpPr>
            <xdr:cNvPr id="20" name="Group 75"/>
            <xdr:cNvGrpSpPr>
              <a:grpSpLocks/>
            </xdr:cNvGrpSpPr>
          </xdr:nvGrpSpPr>
          <xdr:grpSpPr bwMode="auto">
            <a:xfrm flipV="1">
              <a:off x="840" y="234"/>
              <a:ext cx="32" cy="32"/>
              <a:chOff x="840" y="209"/>
              <a:chExt cx="32" cy="32"/>
            </a:xfrm>
          </xdr:grpSpPr>
          <xdr:sp macro="" textlink="">
            <xdr:nvSpPr>
              <xdr:cNvPr id="21" name="Arc 76"/>
              <xdr:cNvSpPr>
                <a:spLocks/>
              </xdr:cNvSpPr>
            </xdr:nvSpPr>
            <xdr:spPr bwMode="auto">
              <a:xfrm rot="-2700000">
                <a:off x="840" y="209"/>
                <a:ext cx="23" cy="2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close/>
                  </a:path>
                </a:pathLst>
              </a:custGeom>
              <a:noFill/>
              <a:ln w="19050">
                <a:solidFill>
                  <a:srgbClr val="000000"/>
                </a:solidFill>
                <a:prstDash val="dash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grpSp>
            <xdr:nvGrpSpPr>
              <xdr:cNvPr id="22" name="Group 77"/>
              <xdr:cNvGrpSpPr>
                <a:grpSpLocks/>
              </xdr:cNvGrpSpPr>
            </xdr:nvGrpSpPr>
            <xdr:grpSpPr bwMode="auto">
              <a:xfrm>
                <a:off x="844" y="218"/>
                <a:ext cx="28" cy="23"/>
                <a:chOff x="847" y="254"/>
                <a:chExt cx="28" cy="23"/>
              </a:xfrm>
            </xdr:grpSpPr>
            <xdr:sp macro="" textlink="">
              <xdr:nvSpPr>
                <xdr:cNvPr id="23" name="Line 78"/>
                <xdr:cNvSpPr>
                  <a:spLocks noChangeShapeType="1"/>
                </xdr:cNvSpPr>
              </xdr:nvSpPr>
              <xdr:spPr bwMode="auto">
                <a:xfrm rot="2700000">
                  <a:off x="864" y="253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24" name="Line 79"/>
                <xdr:cNvSpPr>
                  <a:spLocks noChangeShapeType="1"/>
                </xdr:cNvSpPr>
              </xdr:nvSpPr>
              <xdr:spPr bwMode="auto">
                <a:xfrm rot="-2700000">
                  <a:off x="847" y="254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</xdr:grpSp>
      </xdr:grpSp>
      <xdr:sp macro="" textlink="">
        <xdr:nvSpPr>
          <xdr:cNvPr id="11" name="Text Box 82"/>
          <xdr:cNvSpPr txBox="1">
            <a:spLocks noChangeArrowheads="1"/>
          </xdr:cNvSpPr>
        </xdr:nvSpPr>
        <xdr:spPr bwMode="auto">
          <a:xfrm>
            <a:off x="443" y="121"/>
            <a:ext cx="12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l-GR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δ</a:t>
            </a:r>
          </a:p>
        </xdr:txBody>
      </xdr:sp>
      <xdr:sp macro="" textlink="">
        <xdr:nvSpPr>
          <xdr:cNvPr id="12" name="Text Box 83"/>
          <xdr:cNvSpPr txBox="1">
            <a:spLocks noChangeArrowheads="1"/>
          </xdr:cNvSpPr>
        </xdr:nvSpPr>
        <xdr:spPr bwMode="auto">
          <a:xfrm>
            <a:off x="444" y="99"/>
            <a:ext cx="12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l-GR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δ</a:t>
            </a:r>
          </a:p>
        </xdr:txBody>
      </xdr:sp>
      <xdr:sp macro="" textlink="">
        <xdr:nvSpPr>
          <xdr:cNvPr id="13" name="Text Box 84"/>
          <xdr:cNvSpPr txBox="1">
            <a:spLocks noChangeArrowheads="1"/>
          </xdr:cNvSpPr>
        </xdr:nvSpPr>
        <xdr:spPr bwMode="auto">
          <a:xfrm>
            <a:off x="490" y="108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A_s0</a:t>
            </a:r>
          </a:p>
        </xdr:txBody>
      </xdr:sp>
      <xdr:sp macro="" textlink="">
        <xdr:nvSpPr>
          <xdr:cNvPr id="14" name="Text Box 85"/>
          <xdr:cNvSpPr txBox="1">
            <a:spLocks noChangeArrowheads="1"/>
          </xdr:cNvSpPr>
        </xdr:nvSpPr>
        <xdr:spPr bwMode="auto">
          <a:xfrm>
            <a:off x="474" y="138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A_s1</a:t>
            </a:r>
          </a:p>
        </xdr:txBody>
      </xdr:sp>
      <xdr:sp macro="" textlink="">
        <xdr:nvSpPr>
          <xdr:cNvPr id="15" name="Text Box 86"/>
          <xdr:cNvSpPr txBox="1">
            <a:spLocks noChangeArrowheads="1"/>
          </xdr:cNvSpPr>
        </xdr:nvSpPr>
        <xdr:spPr bwMode="auto">
          <a:xfrm>
            <a:off x="478" y="82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A_s2</a:t>
            </a:r>
          </a:p>
        </xdr:txBody>
      </xdr:sp>
      <xdr:sp macro="" textlink="">
        <xdr:nvSpPr>
          <xdr:cNvPr id="16" name="Line 88"/>
          <xdr:cNvSpPr>
            <a:spLocks noChangeShapeType="1"/>
          </xdr:cNvSpPr>
        </xdr:nvSpPr>
        <xdr:spPr bwMode="auto">
          <a:xfrm flipV="1">
            <a:off x="472" y="117"/>
            <a:ext cx="20" cy="3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89"/>
          <xdr:cNvSpPr>
            <a:spLocks noChangeShapeType="1"/>
          </xdr:cNvSpPr>
        </xdr:nvSpPr>
        <xdr:spPr bwMode="auto">
          <a:xfrm>
            <a:off x="463" y="138"/>
            <a:ext cx="14" cy="8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94"/>
          <xdr:cNvSpPr>
            <a:spLocks noChangeShapeType="1"/>
          </xdr:cNvSpPr>
        </xdr:nvSpPr>
        <xdr:spPr bwMode="auto">
          <a:xfrm flipV="1">
            <a:off x="463" y="90"/>
            <a:ext cx="17" cy="9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7656" name="Drop Down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27662" name="Drop Down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7668" name="Drop Down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27671" name="Drop Down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7672" name="Drop Down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7673" name="Drop Down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27674" name="Drop Down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26775</xdr:colOff>
      <xdr:row>0</xdr:row>
      <xdr:rowOff>0</xdr:rowOff>
    </xdr:from>
    <xdr:to>
      <xdr:col>8</xdr:col>
      <xdr:colOff>0</xdr:colOff>
      <xdr:row>4</xdr:row>
      <xdr:rowOff>0</xdr:rowOff>
    </xdr:to>
    <xdr:pic>
      <xdr:nvPicPr>
        <xdr:cNvPr id="2" name="Picture 2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7400" y="0"/>
          <a:ext cx="6876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4</xdr:col>
      <xdr:colOff>0</xdr:colOff>
      <xdr:row>35</xdr:row>
      <xdr:rowOff>0</xdr:rowOff>
    </xdr:to>
    <xdr:graphicFrame macro="">
      <xdr:nvGraphicFramePr>
        <xdr:cNvPr id="3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4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38100</xdr:colOff>
      <xdr:row>4</xdr:row>
      <xdr:rowOff>123825</xdr:rowOff>
    </xdr:from>
    <xdr:to>
      <xdr:col>8</xdr:col>
      <xdr:colOff>0</xdr:colOff>
      <xdr:row>9</xdr:row>
      <xdr:rowOff>47625</xdr:rowOff>
    </xdr:to>
    <xdr:grpSp>
      <xdr:nvGrpSpPr>
        <xdr:cNvPr id="5" name="Group 41"/>
        <xdr:cNvGrpSpPr>
          <a:grpSpLocks/>
        </xdr:cNvGrpSpPr>
      </xdr:nvGrpSpPr>
      <xdr:grpSpPr bwMode="auto">
        <a:xfrm>
          <a:off x="3609975" y="809625"/>
          <a:ext cx="2105025" cy="695325"/>
          <a:chOff x="366" y="81"/>
          <a:chExt cx="221" cy="77"/>
        </a:xfrm>
      </xdr:grpSpPr>
      <xdr:grpSp>
        <xdr:nvGrpSpPr>
          <xdr:cNvPr id="6" name="Group 9"/>
          <xdr:cNvGrpSpPr>
            <a:grpSpLocks noChangeAspect="1"/>
          </xdr:cNvGrpSpPr>
        </xdr:nvGrpSpPr>
        <xdr:grpSpPr bwMode="auto">
          <a:xfrm>
            <a:off x="366" y="85"/>
            <a:ext cx="21" cy="68"/>
            <a:chOff x="466" y="85"/>
            <a:chExt cx="19" cy="68"/>
          </a:xfrm>
        </xdr:grpSpPr>
        <xdr:sp macro="" textlink="">
          <xdr:nvSpPr>
            <xdr:cNvPr id="21" name="Line 10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" name="Text Box 11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</a:t>
              </a:r>
            </a:p>
          </xdr:txBody>
        </xdr:sp>
      </xdr:grpSp>
      <xdr:grpSp>
        <xdr:nvGrpSpPr>
          <xdr:cNvPr id="7" name="Group 29"/>
          <xdr:cNvGrpSpPr>
            <a:grpSpLocks noChangeAspect="1"/>
          </xdr:cNvGrpSpPr>
        </xdr:nvGrpSpPr>
        <xdr:grpSpPr bwMode="auto">
          <a:xfrm>
            <a:off x="398" y="85"/>
            <a:ext cx="147" cy="67"/>
            <a:chOff x="633" y="118"/>
            <a:chExt cx="142" cy="71"/>
          </a:xfrm>
        </xdr:grpSpPr>
        <xdr:sp macro="" textlink="">
          <xdr:nvSpPr>
            <xdr:cNvPr id="18" name="PSASc01_1"/>
            <xdr:cNvSpPr>
              <a:spLocks noChangeAspect="1" noChangeArrowheads="1"/>
            </xdr:cNvSpPr>
          </xdr:nvSpPr>
          <xdr:spPr bwMode="auto">
            <a:xfrm>
              <a:off x="633" y="118"/>
              <a:ext cx="142" cy="71"/>
            </a:xfrm>
            <a:prstGeom prst="rect">
              <a:avLst/>
            </a:prstGeom>
            <a:solidFill>
              <a:srgbClr val="00FF00"/>
            </a:solidFill>
            <a:ln w="6350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" name="PSABe101_1"/>
            <xdr:cNvSpPr>
              <a:spLocks noChangeAspect="1" noChangeShapeType="1"/>
            </xdr:cNvSpPr>
          </xdr:nvSpPr>
          <xdr:spPr bwMode="auto">
            <a:xfrm>
              <a:off x="644" y="129"/>
              <a:ext cx="120" cy="0"/>
            </a:xfrm>
            <a:prstGeom prst="line">
              <a:avLst/>
            </a:prstGeom>
            <a:noFill/>
            <a:ln w="222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0" name="PSABe201_1"/>
            <xdr:cNvSpPr>
              <a:spLocks noChangeAspect="1" noChangeShapeType="1"/>
            </xdr:cNvSpPr>
          </xdr:nvSpPr>
          <xdr:spPr bwMode="auto">
            <a:xfrm>
              <a:off x="644" y="178"/>
              <a:ext cx="120" cy="0"/>
            </a:xfrm>
            <a:prstGeom prst="line">
              <a:avLst/>
            </a:prstGeom>
            <a:noFill/>
            <a:ln w="222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8" name="Group 30"/>
          <xdr:cNvGrpSpPr>
            <a:grpSpLocks/>
          </xdr:cNvGrpSpPr>
        </xdr:nvGrpSpPr>
        <xdr:grpSpPr bwMode="auto">
          <a:xfrm>
            <a:off x="554" y="81"/>
            <a:ext cx="32" cy="20"/>
            <a:chOff x="553" y="81"/>
            <a:chExt cx="29" cy="20"/>
          </a:xfrm>
        </xdr:grpSpPr>
        <xdr:sp macro="" textlink="">
          <xdr:nvSpPr>
            <xdr:cNvPr id="16" name="Line 13"/>
            <xdr:cNvSpPr>
              <a:spLocks noChangeAspect="1" noChangeShapeType="1"/>
            </xdr:cNvSpPr>
          </xdr:nvSpPr>
          <xdr:spPr bwMode="auto">
            <a:xfrm>
              <a:off x="553" y="84"/>
              <a:ext cx="0" cy="1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7" name="Text Box 14"/>
            <xdr:cNvSpPr txBox="1">
              <a:spLocks noChangeAspect="1" noChangeArrowheads="1"/>
            </xdr:cNvSpPr>
          </xdr:nvSpPr>
          <xdr:spPr bwMode="auto">
            <a:xfrm>
              <a:off x="554" y="81"/>
              <a:ext cx="28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H''</a:t>
              </a:r>
            </a:p>
          </xdr:txBody>
        </xdr:sp>
      </xdr:grpSp>
      <xdr:grpSp>
        <xdr:nvGrpSpPr>
          <xdr:cNvPr id="9" name="Group 31"/>
          <xdr:cNvGrpSpPr>
            <a:grpSpLocks/>
          </xdr:cNvGrpSpPr>
        </xdr:nvGrpSpPr>
        <xdr:grpSpPr bwMode="auto">
          <a:xfrm>
            <a:off x="555" y="138"/>
            <a:ext cx="32" cy="20"/>
            <a:chOff x="553" y="81"/>
            <a:chExt cx="29" cy="20"/>
          </a:xfrm>
        </xdr:grpSpPr>
        <xdr:sp macro="" textlink="">
          <xdr:nvSpPr>
            <xdr:cNvPr id="14" name="Line 32"/>
            <xdr:cNvSpPr>
              <a:spLocks noChangeAspect="1" noChangeShapeType="1"/>
            </xdr:cNvSpPr>
          </xdr:nvSpPr>
          <xdr:spPr bwMode="auto">
            <a:xfrm>
              <a:off x="553" y="83"/>
              <a:ext cx="0" cy="1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" name="Text Box 33"/>
            <xdr:cNvSpPr txBox="1">
              <a:spLocks noChangeAspect="1" noChangeArrowheads="1"/>
            </xdr:cNvSpPr>
          </xdr:nvSpPr>
          <xdr:spPr bwMode="auto">
            <a:xfrm>
              <a:off x="554" y="81"/>
              <a:ext cx="28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</a:t>
              </a:r>
            </a:p>
          </xdr:txBody>
        </xdr:sp>
      </xdr:grpSp>
      <xdr:sp macro="" textlink="">
        <xdr:nvSpPr>
          <xdr:cNvPr id="10" name="Text Box 36"/>
          <xdr:cNvSpPr txBox="1">
            <a:spLocks noChangeArrowheads="1"/>
          </xdr:cNvSpPr>
        </xdr:nvSpPr>
        <xdr:spPr bwMode="auto">
          <a:xfrm>
            <a:off x="551" y="99"/>
            <a:ext cx="3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A_s2</a:t>
            </a:r>
          </a:p>
        </xdr:txBody>
      </xdr:sp>
      <xdr:sp macro="" textlink="">
        <xdr:nvSpPr>
          <xdr:cNvPr id="11" name="Text Box 37"/>
          <xdr:cNvSpPr txBox="1">
            <a:spLocks noChangeArrowheads="1"/>
          </xdr:cNvSpPr>
        </xdr:nvSpPr>
        <xdr:spPr bwMode="auto">
          <a:xfrm>
            <a:off x="551" y="121"/>
            <a:ext cx="3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A_s1</a:t>
            </a:r>
          </a:p>
        </xdr:txBody>
      </xdr:sp>
      <xdr:sp macro="" textlink="">
        <xdr:nvSpPr>
          <xdr:cNvPr id="12" name="Line 38"/>
          <xdr:cNvSpPr>
            <a:spLocks noChangeShapeType="1"/>
          </xdr:cNvSpPr>
        </xdr:nvSpPr>
        <xdr:spPr bwMode="auto">
          <a:xfrm flipV="1">
            <a:off x="529" y="132"/>
            <a:ext cx="23" cy="1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39"/>
          <xdr:cNvSpPr>
            <a:spLocks noChangeShapeType="1"/>
          </xdr:cNvSpPr>
        </xdr:nvSpPr>
        <xdr:spPr bwMode="auto">
          <a:xfrm>
            <a:off x="528" y="96"/>
            <a:ext cx="25" cy="1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8676" name="Drop Down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28679" name="Drop Down 7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8689" name="Drop Down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11</xdr:row>
          <xdr:rowOff>114300</xdr:rowOff>
        </xdr:from>
        <xdr:to>
          <xdr:col>10</xdr:col>
          <xdr:colOff>409575</xdr:colOff>
          <xdr:row>13</xdr:row>
          <xdr:rowOff>9525</xdr:rowOff>
        </xdr:to>
        <xdr:sp macro="" textlink="">
          <xdr:nvSpPr>
            <xdr:cNvPr id="28692" name="Drop Down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8693" name="Drop Down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14</xdr:row>
          <xdr:rowOff>95250</xdr:rowOff>
        </xdr:from>
        <xdr:to>
          <xdr:col>10</xdr:col>
          <xdr:colOff>504825</xdr:colOff>
          <xdr:row>15</xdr:row>
          <xdr:rowOff>142875</xdr:rowOff>
        </xdr:to>
        <xdr:sp macro="" textlink="">
          <xdr:nvSpPr>
            <xdr:cNvPr id="28694" name="Drop Down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16</xdr:row>
          <xdr:rowOff>142875</xdr:rowOff>
        </xdr:from>
        <xdr:to>
          <xdr:col>10</xdr:col>
          <xdr:colOff>409575</xdr:colOff>
          <xdr:row>17</xdr:row>
          <xdr:rowOff>142875</xdr:rowOff>
        </xdr:to>
        <xdr:sp macro="" textlink="">
          <xdr:nvSpPr>
            <xdr:cNvPr id="28695" name="Drop Down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</xdr:row>
      <xdr:rowOff>0</xdr:rowOff>
    </xdr:from>
    <xdr:to>
      <xdr:col>20</xdr:col>
      <xdr:colOff>0</xdr:colOff>
      <xdr:row>64</xdr:row>
      <xdr:rowOff>0</xdr:rowOff>
    </xdr:to>
    <xdr:graphicFrame macro="">
      <xdr:nvGraphicFramePr>
        <xdr:cNvPr id="525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aon\Desktop\ob2016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r"/>
      <sheetName val="Sheet6"/>
      <sheetName val="Sheet4"/>
    </sheetNames>
    <definedNames>
      <definedName name="StB01KreisasymMN_0"/>
      <definedName name="StB01KreisasymQ_0"/>
      <definedName name="StB01KreisMN_0"/>
      <definedName name="StB01KreisQ_0"/>
      <definedName name="StB01RechteckMN_0"/>
      <definedName name="StB01RechteckQ_0"/>
      <definedName name="StB08Kreis_Q"/>
      <definedName name="StB08Kreisasym_Q"/>
      <definedName name="StB08KreisasymMN"/>
      <definedName name="StB08KreisasymMN_test"/>
      <definedName name="StB08KreisMN"/>
      <definedName name="StB08KreisMN_test"/>
      <definedName name="StB08Rechteck_Q"/>
      <definedName name="StB08RechteckMN"/>
      <definedName name="StB08RechteckMN_test"/>
      <definedName name="StBKreisasymMN_0"/>
      <definedName name="StBKreisasymQ_0"/>
      <definedName name="StBKreisMN_0"/>
      <definedName name="StBKreisQ_0"/>
      <definedName name="StBRechteckMN_0"/>
      <definedName name="StBRechteckQ_0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erthold.Klobe@bauer.d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9.xml"/><Relationship Id="rId11" Type="http://schemas.openxmlformats.org/officeDocument/2006/relationships/comments" Target="../comments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6.xml"/><Relationship Id="rId11" Type="http://schemas.openxmlformats.org/officeDocument/2006/relationships/comments" Target="../comments5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3.xml"/><Relationship Id="rId11" Type="http://schemas.openxmlformats.org/officeDocument/2006/relationships/comments" Target="../comments6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1.xml"/><Relationship Id="rId12" Type="http://schemas.openxmlformats.org/officeDocument/2006/relationships/comments" Target="../comments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01"/>
  <dimension ref="A1:J285"/>
  <sheetViews>
    <sheetView workbookViewId="0">
      <pane ySplit="1" topLeftCell="A2" activePane="bottomLeft" state="frozen"/>
      <selection pane="bottomLeft" activeCell="A2" sqref="A2"/>
    </sheetView>
  </sheetViews>
  <sheetFormatPr defaultColWidth="11.42578125" defaultRowHeight="12.75" x14ac:dyDescent="0.2"/>
  <cols>
    <col min="1" max="2" width="50.7109375" style="104" customWidth="1"/>
    <col min="3" max="10" width="50.7109375" style="67" customWidth="1"/>
  </cols>
  <sheetData>
    <row r="1" spans="1:10" s="101" customFormat="1" x14ac:dyDescent="0.2">
      <c r="A1" s="100" t="s">
        <v>218</v>
      </c>
      <c r="B1" s="100" t="s">
        <v>219</v>
      </c>
      <c r="C1" s="92" t="s">
        <v>220</v>
      </c>
      <c r="D1" s="92" t="s">
        <v>221</v>
      </c>
      <c r="E1" s="92" t="s">
        <v>222</v>
      </c>
      <c r="F1" s="92" t="s">
        <v>223</v>
      </c>
      <c r="G1" s="92" t="s">
        <v>224</v>
      </c>
      <c r="H1" s="92" t="s">
        <v>225</v>
      </c>
      <c r="I1" s="92" t="s">
        <v>226</v>
      </c>
      <c r="J1" s="92"/>
    </row>
    <row r="2" spans="1:10" x14ac:dyDescent="0.2">
      <c r="A2" s="108" t="s">
        <v>251</v>
      </c>
      <c r="B2" s="103"/>
    </row>
    <row r="3" spans="1:10" x14ac:dyDescent="0.2">
      <c r="A3" s="102" t="s">
        <v>227</v>
      </c>
      <c r="B3" s="103" t="s">
        <v>228</v>
      </c>
    </row>
    <row r="4" spans="1:10" x14ac:dyDescent="0.2">
      <c r="A4" s="102" t="s">
        <v>229</v>
      </c>
      <c r="B4" s="103" t="s">
        <v>230</v>
      </c>
    </row>
    <row r="5" spans="1:10" x14ac:dyDescent="0.2">
      <c r="A5" s="102" t="s">
        <v>52</v>
      </c>
      <c r="B5" s="103" t="s">
        <v>231</v>
      </c>
    </row>
    <row r="6" spans="1:10" x14ac:dyDescent="0.2">
      <c r="A6" s="102" t="s">
        <v>232</v>
      </c>
      <c r="B6" s="103" t="s">
        <v>233</v>
      </c>
    </row>
    <row r="7" spans="1:10" ht="25.5" x14ac:dyDescent="0.2">
      <c r="A7" s="102" t="s">
        <v>53</v>
      </c>
      <c r="B7" s="103" t="s">
        <v>234</v>
      </c>
    </row>
    <row r="8" spans="1:10" ht="25.5" x14ac:dyDescent="0.2">
      <c r="A8" s="102" t="s">
        <v>54</v>
      </c>
      <c r="B8" s="103" t="s">
        <v>235</v>
      </c>
    </row>
    <row r="9" spans="1:10" x14ac:dyDescent="0.2">
      <c r="A9" s="102" t="s">
        <v>55</v>
      </c>
      <c r="B9" s="103" t="s">
        <v>253</v>
      </c>
    </row>
    <row r="10" spans="1:10" x14ac:dyDescent="0.2">
      <c r="A10" s="104" t="s">
        <v>236</v>
      </c>
      <c r="B10" s="104" t="s">
        <v>237</v>
      </c>
    </row>
    <row r="11" spans="1:10" ht="25.5" x14ac:dyDescent="0.2">
      <c r="A11" s="104" t="s">
        <v>660</v>
      </c>
      <c r="B11" s="104" t="s">
        <v>659</v>
      </c>
    </row>
    <row r="12" spans="1:10" ht="25.5" x14ac:dyDescent="0.2">
      <c r="A12" s="104" t="s">
        <v>238</v>
      </c>
      <c r="B12" s="104" t="s">
        <v>239</v>
      </c>
    </row>
    <row r="13" spans="1:10" ht="25.5" x14ac:dyDescent="0.2">
      <c r="A13" s="104" t="s">
        <v>240</v>
      </c>
      <c r="B13" s="104" t="s">
        <v>241</v>
      </c>
    </row>
    <row r="14" spans="1:10" ht="25.5" x14ac:dyDescent="0.2">
      <c r="A14" s="104" t="s">
        <v>242</v>
      </c>
      <c r="B14" s="104" t="s">
        <v>243</v>
      </c>
    </row>
    <row r="15" spans="1:10" ht="25.5" x14ac:dyDescent="0.2">
      <c r="A15" s="104" t="s">
        <v>244</v>
      </c>
      <c r="B15" s="104" t="s">
        <v>245</v>
      </c>
    </row>
    <row r="16" spans="1:10" ht="25.5" x14ac:dyDescent="0.2">
      <c r="A16" s="104" t="s">
        <v>246</v>
      </c>
      <c r="B16" s="104" t="s">
        <v>247</v>
      </c>
    </row>
    <row r="17" spans="1:2" x14ac:dyDescent="0.2">
      <c r="A17" s="104" t="s">
        <v>304</v>
      </c>
      <c r="B17" s="104" t="s">
        <v>320</v>
      </c>
    </row>
    <row r="18" spans="1:2" ht="25.5" x14ac:dyDescent="0.2">
      <c r="A18" s="104" t="s">
        <v>310</v>
      </c>
      <c r="B18" s="104" t="s">
        <v>321</v>
      </c>
    </row>
    <row r="19" spans="1:2" x14ac:dyDescent="0.2">
      <c r="A19" s="104" t="s">
        <v>314</v>
      </c>
      <c r="B19" s="104" t="s">
        <v>322</v>
      </c>
    </row>
    <row r="20" spans="1:2" x14ac:dyDescent="0.2">
      <c r="A20" s="104" t="s">
        <v>193</v>
      </c>
      <c r="B20" s="104" t="s">
        <v>255</v>
      </c>
    </row>
    <row r="21" spans="1:2" ht="25.5" x14ac:dyDescent="0.2">
      <c r="A21" s="104" t="s">
        <v>306</v>
      </c>
      <c r="B21" s="104" t="s">
        <v>361</v>
      </c>
    </row>
    <row r="22" spans="1:2" ht="25.5" x14ac:dyDescent="0.2">
      <c r="A22" s="104" t="s">
        <v>307</v>
      </c>
      <c r="B22" s="104" t="s">
        <v>362</v>
      </c>
    </row>
    <row r="23" spans="1:2" ht="25.5" x14ac:dyDescent="0.2">
      <c r="A23" s="104" t="s">
        <v>308</v>
      </c>
      <c r="B23" s="104" t="s">
        <v>364</v>
      </c>
    </row>
    <row r="24" spans="1:2" ht="25.5" x14ac:dyDescent="0.2">
      <c r="A24" s="104" t="s">
        <v>309</v>
      </c>
      <c r="B24" s="104" t="s">
        <v>363</v>
      </c>
    </row>
    <row r="25" spans="1:2" ht="25.5" x14ac:dyDescent="0.2">
      <c r="A25" s="104" t="s">
        <v>279</v>
      </c>
      <c r="B25" s="104" t="s">
        <v>336</v>
      </c>
    </row>
    <row r="26" spans="1:2" ht="25.5" x14ac:dyDescent="0.2">
      <c r="A26" s="104" t="s">
        <v>312</v>
      </c>
      <c r="B26" s="104" t="s">
        <v>337</v>
      </c>
    </row>
    <row r="27" spans="1:2" ht="25.5" x14ac:dyDescent="0.2">
      <c r="A27" s="104" t="s">
        <v>280</v>
      </c>
      <c r="B27" s="104" t="s">
        <v>366</v>
      </c>
    </row>
    <row r="28" spans="1:2" x14ac:dyDescent="0.2">
      <c r="A28" s="104" t="s">
        <v>281</v>
      </c>
      <c r="B28" s="104" t="s">
        <v>365</v>
      </c>
    </row>
    <row r="29" spans="1:2" ht="25.5" x14ac:dyDescent="0.2">
      <c r="A29" s="104" t="s">
        <v>282</v>
      </c>
      <c r="B29" s="104" t="s">
        <v>353</v>
      </c>
    </row>
    <row r="30" spans="1:2" ht="25.5" x14ac:dyDescent="0.2">
      <c r="A30" s="104" t="s">
        <v>283</v>
      </c>
      <c r="B30" s="104" t="s">
        <v>348</v>
      </c>
    </row>
    <row r="31" spans="1:2" ht="25.5" x14ac:dyDescent="0.2">
      <c r="A31" s="104" t="s">
        <v>343</v>
      </c>
      <c r="B31" s="104" t="s">
        <v>349</v>
      </c>
    </row>
    <row r="32" spans="1:2" ht="25.5" x14ac:dyDescent="0.2">
      <c r="A32" s="104" t="s">
        <v>344</v>
      </c>
      <c r="B32" s="104" t="s">
        <v>350</v>
      </c>
    </row>
    <row r="33" spans="1:2" ht="25.5" x14ac:dyDescent="0.2">
      <c r="A33" s="104" t="s">
        <v>346</v>
      </c>
      <c r="B33" s="104" t="s">
        <v>351</v>
      </c>
    </row>
    <row r="34" spans="1:2" ht="25.5" x14ac:dyDescent="0.2">
      <c r="A34" s="104" t="s">
        <v>347</v>
      </c>
      <c r="B34" s="104" t="s">
        <v>352</v>
      </c>
    </row>
    <row r="35" spans="1:2" x14ac:dyDescent="0.2">
      <c r="A35" s="104" t="s">
        <v>20</v>
      </c>
      <c r="B35" s="104" t="s">
        <v>262</v>
      </c>
    </row>
    <row r="36" spans="1:2" ht="25.5" x14ac:dyDescent="0.2">
      <c r="A36" s="104" t="s">
        <v>284</v>
      </c>
      <c r="B36" s="104" t="s">
        <v>354</v>
      </c>
    </row>
    <row r="37" spans="1:2" ht="25.5" x14ac:dyDescent="0.2">
      <c r="A37" s="104" t="s">
        <v>285</v>
      </c>
      <c r="B37" s="104" t="s">
        <v>355</v>
      </c>
    </row>
    <row r="38" spans="1:2" x14ac:dyDescent="0.2">
      <c r="A38" s="104" t="s">
        <v>286</v>
      </c>
      <c r="B38" s="104" t="s">
        <v>356</v>
      </c>
    </row>
    <row r="39" spans="1:2" ht="25.5" x14ac:dyDescent="0.2">
      <c r="A39" s="104" t="s">
        <v>289</v>
      </c>
      <c r="B39" s="104" t="s">
        <v>358</v>
      </c>
    </row>
    <row r="40" spans="1:2" ht="25.5" x14ac:dyDescent="0.2">
      <c r="A40" s="104" t="s">
        <v>345</v>
      </c>
      <c r="B40" s="104" t="s">
        <v>359</v>
      </c>
    </row>
    <row r="41" spans="1:2" ht="25.5" x14ac:dyDescent="0.2">
      <c r="A41" s="104" t="s">
        <v>313</v>
      </c>
      <c r="B41" s="104" t="s">
        <v>360</v>
      </c>
    </row>
    <row r="42" spans="1:2" ht="25.5" x14ac:dyDescent="0.2">
      <c r="A42" s="104" t="s">
        <v>453</v>
      </c>
      <c r="B42" s="104" t="s">
        <v>456</v>
      </c>
    </row>
    <row r="43" spans="1:2" ht="25.5" x14ac:dyDescent="0.2">
      <c r="A43" s="104" t="s">
        <v>455</v>
      </c>
      <c r="B43" s="104" t="s">
        <v>457</v>
      </c>
    </row>
    <row r="44" spans="1:2" ht="25.5" x14ac:dyDescent="0.2">
      <c r="A44" s="104" t="s">
        <v>454</v>
      </c>
      <c r="B44" s="104" t="s">
        <v>458</v>
      </c>
    </row>
    <row r="45" spans="1:2" x14ac:dyDescent="0.2">
      <c r="A45" s="104" t="s">
        <v>305</v>
      </c>
      <c r="B45" s="104" t="s">
        <v>357</v>
      </c>
    </row>
    <row r="46" spans="1:2" ht="25.5" x14ac:dyDescent="0.2">
      <c r="A46" s="104" t="s">
        <v>342</v>
      </c>
      <c r="B46" s="104" t="s">
        <v>367</v>
      </c>
    </row>
    <row r="47" spans="1:2" ht="25.5" x14ac:dyDescent="0.2">
      <c r="A47" s="104" t="s">
        <v>301</v>
      </c>
      <c r="B47" s="104" t="s">
        <v>368</v>
      </c>
    </row>
    <row r="48" spans="1:2" ht="25.5" x14ac:dyDescent="0.2">
      <c r="A48" s="104" t="s">
        <v>302</v>
      </c>
      <c r="B48" s="104" t="s">
        <v>370</v>
      </c>
    </row>
    <row r="49" spans="1:2" x14ac:dyDescent="0.2">
      <c r="A49" s="104" t="s">
        <v>303</v>
      </c>
      <c r="B49" s="104" t="s">
        <v>369</v>
      </c>
    </row>
    <row r="50" spans="1:2" ht="25.5" x14ac:dyDescent="0.2">
      <c r="A50" s="104" t="s">
        <v>486</v>
      </c>
      <c r="B50" s="104" t="s">
        <v>490</v>
      </c>
    </row>
    <row r="51" spans="1:2" ht="25.5" x14ac:dyDescent="0.2">
      <c r="A51" s="104" t="s">
        <v>487</v>
      </c>
      <c r="B51" s="104" t="s">
        <v>491</v>
      </c>
    </row>
    <row r="52" spans="1:2" x14ac:dyDescent="0.2">
      <c r="A52" s="104" t="s">
        <v>488</v>
      </c>
      <c r="B52" s="104" t="s">
        <v>489</v>
      </c>
    </row>
    <row r="53" spans="1:2" ht="25.5" x14ac:dyDescent="0.2">
      <c r="A53" s="104" t="str">
        <f>"Mit der Einstellung ''" &amp; A$111 &amp; "'' werden die Anforderung nach DIN 1045 erfüllt."</f>
        <v>Mit der Einstellung ''Mindestquerbewehrung DIN 1045'' werden die Anforderung nach DIN 1045 erfüllt.</v>
      </c>
      <c r="B53" s="104" t="str">
        <f>"Selecting ''" &amp; B$111 &amp; "'' will result in a design accordant to DIN 1045."</f>
        <v>Selecting ''min. shear reinf. accord. DIN 1045'' will result in a design accordant to DIN 1045.</v>
      </c>
    </row>
    <row r="54" spans="1:2" ht="25.5" x14ac:dyDescent="0.2">
      <c r="A54" s="104" t="s">
        <v>492</v>
      </c>
      <c r="B54" s="104" t="s">
        <v>494</v>
      </c>
    </row>
    <row r="55" spans="1:2" x14ac:dyDescent="0.2">
      <c r="A55" s="104" t="s">
        <v>493</v>
      </c>
      <c r="B55" s="104" t="s">
        <v>371</v>
      </c>
    </row>
    <row r="56" spans="1:2" ht="25.5" x14ac:dyDescent="0.2">
      <c r="A56" s="104" t="s">
        <v>316</v>
      </c>
      <c r="B56" s="104" t="s">
        <v>372</v>
      </c>
    </row>
    <row r="57" spans="1:2" ht="25.5" x14ac:dyDescent="0.2">
      <c r="A57" s="104" t="s">
        <v>319</v>
      </c>
      <c r="B57" s="104" t="s">
        <v>374</v>
      </c>
    </row>
    <row r="58" spans="1:2" ht="25.5" x14ac:dyDescent="0.2">
      <c r="A58" s="104" t="s">
        <v>311</v>
      </c>
      <c r="B58" s="104" t="s">
        <v>375</v>
      </c>
    </row>
    <row r="59" spans="1:2" ht="25.5" x14ac:dyDescent="0.2">
      <c r="A59" s="104" t="s">
        <v>317</v>
      </c>
      <c r="B59" s="104" t="s">
        <v>376</v>
      </c>
    </row>
    <row r="60" spans="1:2" ht="25.5" x14ac:dyDescent="0.2">
      <c r="A60" s="104" t="s">
        <v>318</v>
      </c>
      <c r="B60" s="104" t="s">
        <v>377</v>
      </c>
    </row>
    <row r="61" spans="1:2" x14ac:dyDescent="0.2">
      <c r="A61" s="104" t="s">
        <v>315</v>
      </c>
      <c r="B61" s="104" t="s">
        <v>373</v>
      </c>
    </row>
    <row r="64" spans="1:2" x14ac:dyDescent="0.2">
      <c r="A64" s="109" t="s">
        <v>383</v>
      </c>
    </row>
    <row r="65" spans="1:2" x14ac:dyDescent="0.2">
      <c r="A65" s="104" t="s">
        <v>189</v>
      </c>
      <c r="B65" s="104" t="s">
        <v>252</v>
      </c>
    </row>
    <row r="66" spans="1:2" ht="25.5" x14ac:dyDescent="0.2">
      <c r="A66" s="104" t="s">
        <v>384</v>
      </c>
      <c r="B66" s="104" t="s">
        <v>485</v>
      </c>
    </row>
    <row r="67" spans="1:2" x14ac:dyDescent="0.2">
      <c r="A67" s="104" t="s">
        <v>386</v>
      </c>
      <c r="B67" s="104" t="s">
        <v>385</v>
      </c>
    </row>
    <row r="68" spans="1:2" x14ac:dyDescent="0.2">
      <c r="A68" s="104" t="s">
        <v>190</v>
      </c>
      <c r="B68" s="104" t="s">
        <v>254</v>
      </c>
    </row>
    <row r="69" spans="1:2" x14ac:dyDescent="0.2">
      <c r="A69" s="104" t="s">
        <v>213</v>
      </c>
      <c r="B69" s="104" t="s">
        <v>248</v>
      </c>
    </row>
    <row r="70" spans="1:2" x14ac:dyDescent="0.2">
      <c r="A70" s="104" t="s">
        <v>191</v>
      </c>
      <c r="B70" s="104" t="s">
        <v>191</v>
      </c>
    </row>
    <row r="71" spans="1:2" x14ac:dyDescent="0.2">
      <c r="A71" s="104" t="s">
        <v>3</v>
      </c>
      <c r="B71" s="104" t="s">
        <v>440</v>
      </c>
    </row>
    <row r="72" spans="1:2" x14ac:dyDescent="0.2">
      <c r="A72" s="104" t="s">
        <v>192</v>
      </c>
      <c r="B72" s="104" t="s">
        <v>192</v>
      </c>
    </row>
    <row r="73" spans="1:2" x14ac:dyDescent="0.2">
      <c r="A73" s="104" t="s">
        <v>390</v>
      </c>
      <c r="B73" s="104" t="s">
        <v>390</v>
      </c>
    </row>
    <row r="74" spans="1:2" x14ac:dyDescent="0.2">
      <c r="A74" s="104" t="s">
        <v>70</v>
      </c>
      <c r="B74" s="104" t="s">
        <v>438</v>
      </c>
    </row>
    <row r="75" spans="1:2" x14ac:dyDescent="0.2">
      <c r="A75" s="116" t="s">
        <v>387</v>
      </c>
      <c r="B75" s="116" t="s">
        <v>387</v>
      </c>
    </row>
    <row r="76" spans="1:2" x14ac:dyDescent="0.2">
      <c r="A76" s="104" t="s">
        <v>442</v>
      </c>
      <c r="B76" s="104" t="s">
        <v>439</v>
      </c>
    </row>
    <row r="77" spans="1:2" x14ac:dyDescent="0.2">
      <c r="A77" s="104" t="s">
        <v>434</v>
      </c>
      <c r="B77" s="104" t="s">
        <v>434</v>
      </c>
    </row>
    <row r="78" spans="1:2" x14ac:dyDescent="0.2">
      <c r="A78" s="104" t="s">
        <v>32</v>
      </c>
      <c r="B78" s="104" t="s">
        <v>435</v>
      </c>
    </row>
    <row r="79" spans="1:2" x14ac:dyDescent="0.2">
      <c r="A79" s="104" t="s">
        <v>389</v>
      </c>
      <c r="B79" s="104" t="s">
        <v>389</v>
      </c>
    </row>
    <row r="80" spans="1:2" x14ac:dyDescent="0.2">
      <c r="A80" s="104" t="s">
        <v>31</v>
      </c>
      <c r="B80" s="104" t="s">
        <v>436</v>
      </c>
    </row>
    <row r="81" spans="1:2" x14ac:dyDescent="0.2">
      <c r="A81" s="104" t="s">
        <v>388</v>
      </c>
      <c r="B81" s="104" t="s">
        <v>388</v>
      </c>
    </row>
    <row r="82" spans="1:2" x14ac:dyDescent="0.2">
      <c r="A82" s="104" t="s">
        <v>443</v>
      </c>
      <c r="B82" s="104" t="s">
        <v>441</v>
      </c>
    </row>
    <row r="83" spans="1:2" x14ac:dyDescent="0.2">
      <c r="A83" s="104" t="s">
        <v>495</v>
      </c>
      <c r="B83" s="104" t="s">
        <v>495</v>
      </c>
    </row>
    <row r="84" spans="1:2" x14ac:dyDescent="0.2">
      <c r="A84" s="104" t="s">
        <v>193</v>
      </c>
      <c r="B84" s="104" t="s">
        <v>255</v>
      </c>
    </row>
    <row r="85" spans="1:2" x14ac:dyDescent="0.2">
      <c r="A85" s="104" t="s">
        <v>432</v>
      </c>
      <c r="B85" s="104" t="s">
        <v>256</v>
      </c>
    </row>
    <row r="86" spans="1:2" x14ac:dyDescent="0.2">
      <c r="A86" s="104" t="s">
        <v>194</v>
      </c>
      <c r="B86" s="104" t="s">
        <v>194</v>
      </c>
    </row>
    <row r="87" spans="1:2" x14ac:dyDescent="0.2">
      <c r="A87" s="104" t="s">
        <v>214</v>
      </c>
      <c r="B87" s="104" t="s">
        <v>444</v>
      </c>
    </row>
    <row r="88" spans="1:2" x14ac:dyDescent="0.2">
      <c r="A88" s="104" t="s">
        <v>195</v>
      </c>
      <c r="B88" s="104" t="s">
        <v>195</v>
      </c>
    </row>
    <row r="89" spans="1:2" x14ac:dyDescent="0.2">
      <c r="A89" s="104" t="s">
        <v>200</v>
      </c>
      <c r="B89" s="104" t="s">
        <v>259</v>
      </c>
    </row>
    <row r="90" spans="1:2" x14ac:dyDescent="0.2">
      <c r="A90" s="104" t="s">
        <v>257</v>
      </c>
      <c r="B90" s="104" t="s">
        <v>257</v>
      </c>
    </row>
    <row r="91" spans="1:2" x14ac:dyDescent="0.2">
      <c r="A91" s="104" t="s">
        <v>196</v>
      </c>
      <c r="B91" s="104" t="s">
        <v>196</v>
      </c>
    </row>
    <row r="92" spans="1:2" x14ac:dyDescent="0.2">
      <c r="A92" s="104" t="s">
        <v>207</v>
      </c>
      <c r="B92" s="104" t="s">
        <v>260</v>
      </c>
    </row>
    <row r="93" spans="1:2" x14ac:dyDescent="0.2">
      <c r="A93" s="104" t="s">
        <v>162</v>
      </c>
      <c r="B93" s="104" t="s">
        <v>258</v>
      </c>
    </row>
    <row r="94" spans="1:2" x14ac:dyDescent="0.2">
      <c r="A94" s="104" t="s">
        <v>197</v>
      </c>
      <c r="B94" s="104" t="s">
        <v>197</v>
      </c>
    </row>
    <row r="95" spans="1:2" x14ac:dyDescent="0.2">
      <c r="A95" s="104" t="s">
        <v>198</v>
      </c>
      <c r="B95" s="104" t="s">
        <v>198</v>
      </c>
    </row>
    <row r="96" spans="1:2" x14ac:dyDescent="0.2">
      <c r="A96" s="104" t="s">
        <v>433</v>
      </c>
      <c r="B96" s="104" t="s">
        <v>261</v>
      </c>
    </row>
    <row r="97" spans="1:2" x14ac:dyDescent="0.2">
      <c r="A97" s="104" t="s">
        <v>199</v>
      </c>
      <c r="B97" s="104" t="s">
        <v>199</v>
      </c>
    </row>
    <row r="98" spans="1:2" x14ac:dyDescent="0.2">
      <c r="A98" s="104" t="s">
        <v>20</v>
      </c>
      <c r="B98" s="104" t="s">
        <v>262</v>
      </c>
    </row>
    <row r="99" spans="1:2" x14ac:dyDescent="0.2">
      <c r="A99" s="104" t="s">
        <v>215</v>
      </c>
      <c r="B99" s="104" t="s">
        <v>264</v>
      </c>
    </row>
    <row r="100" spans="1:2" x14ac:dyDescent="0.2">
      <c r="A100" s="104" t="s">
        <v>201</v>
      </c>
      <c r="B100" s="104" t="s">
        <v>201</v>
      </c>
    </row>
    <row r="101" spans="1:2" x14ac:dyDescent="0.2">
      <c r="A101" s="104" t="s">
        <v>216</v>
      </c>
      <c r="B101" s="104" t="s">
        <v>445</v>
      </c>
    </row>
    <row r="102" spans="1:2" x14ac:dyDescent="0.2">
      <c r="A102" s="104" t="s">
        <v>202</v>
      </c>
      <c r="B102" s="104" t="s">
        <v>202</v>
      </c>
    </row>
    <row r="103" spans="1:2" x14ac:dyDescent="0.2">
      <c r="A103" s="104" t="s">
        <v>203</v>
      </c>
      <c r="B103" s="104" t="s">
        <v>266</v>
      </c>
    </row>
    <row r="104" spans="1:2" x14ac:dyDescent="0.2">
      <c r="A104" s="104" t="s">
        <v>448</v>
      </c>
      <c r="B104" s="104" t="s">
        <v>448</v>
      </c>
    </row>
    <row r="105" spans="1:2" x14ac:dyDescent="0.2">
      <c r="A105" s="104" t="s">
        <v>205</v>
      </c>
      <c r="B105" s="104" t="s">
        <v>265</v>
      </c>
    </row>
    <row r="106" spans="1:2" x14ac:dyDescent="0.2">
      <c r="A106" s="104" t="s">
        <v>263</v>
      </c>
      <c r="B106" s="104" t="s">
        <v>263</v>
      </c>
    </row>
    <row r="107" spans="1:2" x14ac:dyDescent="0.2">
      <c r="A107" s="104" t="s">
        <v>206</v>
      </c>
      <c r="B107" s="104" t="s">
        <v>267</v>
      </c>
    </row>
    <row r="108" spans="1:2" x14ac:dyDescent="0.2">
      <c r="A108" s="104" t="s">
        <v>204</v>
      </c>
      <c r="B108" s="104" t="s">
        <v>204</v>
      </c>
    </row>
    <row r="109" spans="1:2" x14ac:dyDescent="0.2">
      <c r="A109" s="104" t="s">
        <v>187</v>
      </c>
      <c r="B109" s="104" t="s">
        <v>323</v>
      </c>
    </row>
    <row r="110" spans="1:2" x14ac:dyDescent="0.2">
      <c r="A110" s="104" t="s">
        <v>188</v>
      </c>
      <c r="B110" s="104" t="s">
        <v>324</v>
      </c>
    </row>
    <row r="111" spans="1:2" x14ac:dyDescent="0.2">
      <c r="A111" s="104" t="s">
        <v>300</v>
      </c>
      <c r="B111" s="104" t="s">
        <v>325</v>
      </c>
    </row>
    <row r="112" spans="1:2" x14ac:dyDescent="0.2">
      <c r="A112" s="104" t="s">
        <v>290</v>
      </c>
      <c r="B112" s="104" t="s">
        <v>326</v>
      </c>
    </row>
    <row r="113" spans="1:2" x14ac:dyDescent="0.2">
      <c r="A113" s="104" t="s">
        <v>291</v>
      </c>
      <c r="B113" s="104" t="s">
        <v>327</v>
      </c>
    </row>
    <row r="114" spans="1:2" x14ac:dyDescent="0.2">
      <c r="A114" s="104" t="s">
        <v>292</v>
      </c>
      <c r="B114" s="104" t="s">
        <v>328</v>
      </c>
    </row>
    <row r="115" spans="1:2" x14ac:dyDescent="0.2">
      <c r="A115" s="104" t="s">
        <v>293</v>
      </c>
      <c r="B115" s="104" t="s">
        <v>329</v>
      </c>
    </row>
    <row r="116" spans="1:2" x14ac:dyDescent="0.2">
      <c r="A116" s="104" t="s">
        <v>294</v>
      </c>
      <c r="B116" s="104" t="s">
        <v>330</v>
      </c>
    </row>
    <row r="117" spans="1:2" x14ac:dyDescent="0.2">
      <c r="A117" s="104" t="s">
        <v>295</v>
      </c>
      <c r="B117" s="104" t="s">
        <v>331</v>
      </c>
    </row>
    <row r="118" spans="1:2" x14ac:dyDescent="0.2">
      <c r="A118" s="104" t="s">
        <v>296</v>
      </c>
      <c r="B118" s="104" t="s">
        <v>332</v>
      </c>
    </row>
    <row r="119" spans="1:2" x14ac:dyDescent="0.2">
      <c r="A119" s="104" t="s">
        <v>297</v>
      </c>
      <c r="B119" s="104" t="s">
        <v>333</v>
      </c>
    </row>
    <row r="120" spans="1:2" x14ac:dyDescent="0.2">
      <c r="A120" s="104" t="s">
        <v>298</v>
      </c>
      <c r="B120" s="104" t="s">
        <v>334</v>
      </c>
    </row>
    <row r="121" spans="1:2" x14ac:dyDescent="0.2">
      <c r="A121" s="104" t="s">
        <v>299</v>
      </c>
      <c r="B121" s="104" t="s">
        <v>335</v>
      </c>
    </row>
    <row r="122" spans="1:2" x14ac:dyDescent="0.2">
      <c r="A122" s="104" t="s">
        <v>340</v>
      </c>
      <c r="B122" s="104" t="s">
        <v>339</v>
      </c>
    </row>
    <row r="123" spans="1:2" x14ac:dyDescent="0.2">
      <c r="A123" s="104" t="s">
        <v>341</v>
      </c>
      <c r="B123" s="104" t="s">
        <v>338</v>
      </c>
    </row>
    <row r="124" spans="1:2" x14ac:dyDescent="0.2">
      <c r="A124" s="104" t="s">
        <v>161</v>
      </c>
      <c r="B124" s="104" t="s">
        <v>268</v>
      </c>
    </row>
    <row r="125" spans="1:2" x14ac:dyDescent="0.2">
      <c r="A125" s="104" t="s">
        <v>468</v>
      </c>
      <c r="B125" s="104" t="s">
        <v>467</v>
      </c>
    </row>
    <row r="126" spans="1:2" x14ac:dyDescent="0.2">
      <c r="A126" s="104" t="s">
        <v>469</v>
      </c>
      <c r="B126" s="104" t="s">
        <v>472</v>
      </c>
    </row>
    <row r="127" spans="1:2" x14ac:dyDescent="0.2">
      <c r="A127" s="104" t="s">
        <v>470</v>
      </c>
      <c r="B127" s="104" t="s">
        <v>473</v>
      </c>
    </row>
    <row r="128" spans="1:2" x14ac:dyDescent="0.2">
      <c r="A128" s="104" t="s">
        <v>471</v>
      </c>
      <c r="B128" s="104" t="s">
        <v>474</v>
      </c>
    </row>
    <row r="129" spans="1:2" x14ac:dyDescent="0.2">
      <c r="A129" s="104" t="s">
        <v>250</v>
      </c>
      <c r="B129" s="104" t="s">
        <v>269</v>
      </c>
    </row>
    <row r="130" spans="1:2" x14ac:dyDescent="0.2">
      <c r="A130" s="104" t="s">
        <v>165</v>
      </c>
      <c r="B130" s="104" t="s">
        <v>270</v>
      </c>
    </row>
    <row r="131" spans="1:2" x14ac:dyDescent="0.2">
      <c r="A131" s="104" t="s">
        <v>208</v>
      </c>
      <c r="B131" s="104" t="s">
        <v>271</v>
      </c>
    </row>
    <row r="132" spans="1:2" x14ac:dyDescent="0.2">
      <c r="A132" s="104" t="s">
        <v>249</v>
      </c>
      <c r="B132" s="104" t="s">
        <v>272</v>
      </c>
    </row>
    <row r="133" spans="1:2" x14ac:dyDescent="0.2">
      <c r="A133" s="104" t="s">
        <v>287</v>
      </c>
      <c r="B133" s="104" t="s">
        <v>288</v>
      </c>
    </row>
    <row r="134" spans="1:2" x14ac:dyDescent="0.2">
      <c r="A134" s="104" t="s">
        <v>29</v>
      </c>
      <c r="B134" s="104" t="s">
        <v>273</v>
      </c>
    </row>
    <row r="135" spans="1:2" x14ac:dyDescent="0.2">
      <c r="A135" s="104" t="s">
        <v>475</v>
      </c>
      <c r="B135" s="104" t="s">
        <v>481</v>
      </c>
    </row>
    <row r="136" spans="1:2" x14ac:dyDescent="0.2">
      <c r="A136" s="104" t="s">
        <v>476</v>
      </c>
      <c r="B136" s="104" t="s">
        <v>482</v>
      </c>
    </row>
    <row r="137" spans="1:2" x14ac:dyDescent="0.2">
      <c r="A137" s="104" t="s">
        <v>477</v>
      </c>
      <c r="B137" s="104" t="s">
        <v>706</v>
      </c>
    </row>
    <row r="138" spans="1:2" x14ac:dyDescent="0.2">
      <c r="A138" s="104" t="s">
        <v>478</v>
      </c>
      <c r="B138" s="104" t="s">
        <v>707</v>
      </c>
    </row>
    <row r="139" spans="1:2" x14ac:dyDescent="0.2">
      <c r="A139" s="104" t="s">
        <v>479</v>
      </c>
      <c r="B139" s="104" t="s">
        <v>708</v>
      </c>
    </row>
    <row r="140" spans="1:2" x14ac:dyDescent="0.2">
      <c r="A140" s="104" t="s">
        <v>480</v>
      </c>
      <c r="B140" s="104" t="s">
        <v>483</v>
      </c>
    </row>
    <row r="141" spans="1:2" x14ac:dyDescent="0.2">
      <c r="A141" s="104" t="s">
        <v>212</v>
      </c>
      <c r="B141" s="104" t="s">
        <v>275</v>
      </c>
    </row>
    <row r="142" spans="1:2" x14ac:dyDescent="0.2">
      <c r="A142" s="104" t="str">
        <f>""</f>
        <v/>
      </c>
      <c r="B142" s="104" t="str">
        <f>""</f>
        <v/>
      </c>
    </row>
    <row r="143" spans="1:2" x14ac:dyDescent="0.2">
      <c r="A143" s="104" t="s">
        <v>209</v>
      </c>
      <c r="B143" s="104" t="s">
        <v>276</v>
      </c>
    </row>
    <row r="144" spans="1:2" x14ac:dyDescent="0.2">
      <c r="A144" s="104" t="s">
        <v>210</v>
      </c>
      <c r="B144" s="104" t="s">
        <v>278</v>
      </c>
    </row>
    <row r="145" spans="1:2" x14ac:dyDescent="0.2">
      <c r="A145" s="104" t="s">
        <v>211</v>
      </c>
      <c r="B145" s="104" t="s">
        <v>277</v>
      </c>
    </row>
    <row r="146" spans="1:2" x14ac:dyDescent="0.2">
      <c r="A146" s="104" t="s">
        <v>460</v>
      </c>
      <c r="B146" s="104" t="s">
        <v>461</v>
      </c>
    </row>
    <row r="147" spans="1:2" x14ac:dyDescent="0.2">
      <c r="A147" s="104" t="s">
        <v>28</v>
      </c>
      <c r="B147" s="104" t="s">
        <v>274</v>
      </c>
    </row>
    <row r="148" spans="1:2" x14ac:dyDescent="0.2">
      <c r="A148" s="104" t="s">
        <v>446</v>
      </c>
      <c r="B148" s="104" t="s">
        <v>447</v>
      </c>
    </row>
    <row r="149" spans="1:2" x14ac:dyDescent="0.2">
      <c r="A149" s="104" t="s">
        <v>392</v>
      </c>
      <c r="B149" s="104" t="s">
        <v>394</v>
      </c>
    </row>
    <row r="150" spans="1:2" x14ac:dyDescent="0.2">
      <c r="A150" s="104" t="s">
        <v>393</v>
      </c>
      <c r="B150" s="104" t="s">
        <v>395</v>
      </c>
    </row>
    <row r="151" spans="1:2" x14ac:dyDescent="0.2">
      <c r="A151" s="104" t="s">
        <v>484</v>
      </c>
      <c r="B151" s="104" t="s">
        <v>709</v>
      </c>
    </row>
    <row r="152" spans="1:2" x14ac:dyDescent="0.2">
      <c r="A152" s="104" t="s">
        <v>462</v>
      </c>
      <c r="B152" s="104" t="s">
        <v>462</v>
      </c>
    </row>
    <row r="153" spans="1:2" x14ac:dyDescent="0.2">
      <c r="A153" s="104" t="s">
        <v>463</v>
      </c>
      <c r="B153" s="104" t="s">
        <v>463</v>
      </c>
    </row>
    <row r="154" spans="1:2" x14ac:dyDescent="0.2">
      <c r="A154" s="104" t="s">
        <v>464</v>
      </c>
      <c r="B154" s="104" t="s">
        <v>464</v>
      </c>
    </row>
    <row r="155" spans="1:2" x14ac:dyDescent="0.2">
      <c r="A155" s="104" t="s">
        <v>465</v>
      </c>
      <c r="B155" s="104" t="s">
        <v>465</v>
      </c>
    </row>
    <row r="156" spans="1:2" x14ac:dyDescent="0.2">
      <c r="A156" s="104" t="s">
        <v>466</v>
      </c>
      <c r="B156" s="104" t="s">
        <v>466</v>
      </c>
    </row>
    <row r="159" spans="1:2" x14ac:dyDescent="0.2">
      <c r="A159" s="109" t="s">
        <v>595</v>
      </c>
    </row>
    <row r="160" spans="1:2" x14ac:dyDescent="0.2">
      <c r="A160" s="104" t="s">
        <v>523</v>
      </c>
      <c r="B160" s="104" t="s">
        <v>524</v>
      </c>
    </row>
    <row r="161" spans="1:10" ht="25.5" x14ac:dyDescent="0.2">
      <c r="A161" s="116" t="s">
        <v>604</v>
      </c>
      <c r="B161" s="104" t="s">
        <v>525</v>
      </c>
    </row>
    <row r="162" spans="1:10" x14ac:dyDescent="0.2">
      <c r="A162" s="104" t="s">
        <v>522</v>
      </c>
      <c r="B162" s="104" t="s">
        <v>526</v>
      </c>
    </row>
    <row r="163" spans="1:10" x14ac:dyDescent="0.2">
      <c r="A163" s="104" t="s">
        <v>515</v>
      </c>
      <c r="B163" s="104" t="s">
        <v>515</v>
      </c>
    </row>
    <row r="164" spans="1:10" x14ac:dyDescent="0.2">
      <c r="A164" s="104" t="s">
        <v>513</v>
      </c>
      <c r="B164" s="104" t="s">
        <v>513</v>
      </c>
    </row>
    <row r="165" spans="1:10" x14ac:dyDescent="0.2">
      <c r="A165" s="104" t="s">
        <v>682</v>
      </c>
      <c r="B165" s="104" t="s">
        <v>682</v>
      </c>
    </row>
    <row r="166" spans="1:10" x14ac:dyDescent="0.2">
      <c r="A166" s="104" t="s">
        <v>514</v>
      </c>
      <c r="B166" s="104" t="s">
        <v>514</v>
      </c>
    </row>
    <row r="167" spans="1:10" x14ac:dyDescent="0.2">
      <c r="A167" s="104" t="str">
        <f>""</f>
        <v/>
      </c>
      <c r="B167" s="104" t="str">
        <f>""</f>
        <v/>
      </c>
    </row>
    <row r="168" spans="1:10" s="7" customFormat="1" x14ac:dyDescent="0.2">
      <c r="A168" s="109" t="s">
        <v>546</v>
      </c>
      <c r="B168" s="109" t="s">
        <v>547</v>
      </c>
      <c r="C168" s="195"/>
      <c r="D168" s="195"/>
      <c r="E168" s="195"/>
      <c r="F168" s="195"/>
      <c r="G168" s="195"/>
      <c r="H168" s="195"/>
      <c r="I168" s="195"/>
      <c r="J168" s="195"/>
    </row>
    <row r="169" spans="1:10" x14ac:dyDescent="0.2">
      <c r="A169" s="104" t="s">
        <v>213</v>
      </c>
      <c r="B169" s="116" t="s">
        <v>550</v>
      </c>
    </row>
    <row r="170" spans="1:10" x14ac:dyDescent="0.2">
      <c r="A170" s="116" t="s">
        <v>552</v>
      </c>
      <c r="B170" s="116" t="s">
        <v>552</v>
      </c>
    </row>
    <row r="171" spans="1:10" x14ac:dyDescent="0.2">
      <c r="A171" s="116" t="s">
        <v>548</v>
      </c>
      <c r="B171" s="116" t="s">
        <v>549</v>
      </c>
    </row>
    <row r="172" spans="1:10" x14ac:dyDescent="0.2">
      <c r="A172" s="116" t="s">
        <v>551</v>
      </c>
      <c r="B172" s="116" t="s">
        <v>551</v>
      </c>
    </row>
    <row r="173" spans="1:10" x14ac:dyDescent="0.2">
      <c r="A173" s="104" t="s">
        <v>31</v>
      </c>
      <c r="B173" s="116" t="s">
        <v>553</v>
      </c>
    </row>
    <row r="174" spans="1:10" x14ac:dyDescent="0.2">
      <c r="A174" s="116" t="s">
        <v>388</v>
      </c>
      <c r="B174" s="116" t="s">
        <v>388</v>
      </c>
    </row>
    <row r="175" spans="1:10" x14ac:dyDescent="0.2">
      <c r="A175" s="104" t="s">
        <v>3</v>
      </c>
      <c r="B175" s="116" t="s">
        <v>440</v>
      </c>
    </row>
    <row r="176" spans="1:10" x14ac:dyDescent="0.2">
      <c r="A176" s="116" t="s">
        <v>554</v>
      </c>
      <c r="B176" s="116" t="s">
        <v>554</v>
      </c>
    </row>
    <row r="177" spans="1:10" x14ac:dyDescent="0.2">
      <c r="A177" s="116" t="s">
        <v>555</v>
      </c>
      <c r="B177" s="116" t="s">
        <v>555</v>
      </c>
    </row>
    <row r="178" spans="1:10" x14ac:dyDescent="0.2">
      <c r="A178" s="104" t="s">
        <v>442</v>
      </c>
      <c r="B178" s="116" t="s">
        <v>556</v>
      </c>
    </row>
    <row r="179" spans="1:10" x14ac:dyDescent="0.2">
      <c r="A179" s="116" t="s">
        <v>603</v>
      </c>
      <c r="B179" s="116" t="s">
        <v>603</v>
      </c>
    </row>
    <row r="180" spans="1:10" x14ac:dyDescent="0.2">
      <c r="A180" s="104" t="s">
        <v>605</v>
      </c>
      <c r="B180" s="116" t="s">
        <v>607</v>
      </c>
    </row>
    <row r="181" spans="1:10" x14ac:dyDescent="0.2">
      <c r="A181" s="116" t="s">
        <v>387</v>
      </c>
      <c r="B181" s="116" t="s">
        <v>387</v>
      </c>
    </row>
    <row r="182" spans="1:10" x14ac:dyDescent="0.2">
      <c r="A182" s="116" t="s">
        <v>656</v>
      </c>
      <c r="B182" s="116" t="s">
        <v>657</v>
      </c>
    </row>
    <row r="183" spans="1:10" x14ac:dyDescent="0.2">
      <c r="A183" s="116" t="s">
        <v>20</v>
      </c>
      <c r="B183" s="116" t="s">
        <v>658</v>
      </c>
    </row>
    <row r="184" spans="1:10" s="7" customFormat="1" x14ac:dyDescent="0.2">
      <c r="A184" s="109" t="s">
        <v>193</v>
      </c>
      <c r="B184" s="109" t="s">
        <v>255</v>
      </c>
      <c r="C184" s="195"/>
      <c r="D184" s="195"/>
      <c r="E184" s="195"/>
      <c r="F184" s="195"/>
      <c r="G184" s="195"/>
      <c r="H184" s="195"/>
      <c r="I184" s="195"/>
      <c r="J184" s="195"/>
    </row>
    <row r="185" spans="1:10" x14ac:dyDescent="0.2">
      <c r="A185" s="116" t="s">
        <v>557</v>
      </c>
      <c r="B185" s="116" t="s">
        <v>561</v>
      </c>
    </row>
    <row r="186" spans="1:10" x14ac:dyDescent="0.2">
      <c r="A186" s="116" t="s">
        <v>558</v>
      </c>
      <c r="B186" s="116" t="s">
        <v>558</v>
      </c>
    </row>
    <row r="187" spans="1:10" x14ac:dyDescent="0.2">
      <c r="A187" s="104" t="s">
        <v>432</v>
      </c>
      <c r="B187" s="116" t="s">
        <v>560</v>
      </c>
    </row>
    <row r="188" spans="1:10" x14ac:dyDescent="0.2">
      <c r="A188" s="116" t="s">
        <v>559</v>
      </c>
      <c r="B188" s="116" t="s">
        <v>559</v>
      </c>
    </row>
    <row r="189" spans="1:10" x14ac:dyDescent="0.2">
      <c r="A189" s="104" t="s">
        <v>214</v>
      </c>
      <c r="B189" s="104" t="s">
        <v>444</v>
      </c>
    </row>
    <row r="190" spans="1:10" x14ac:dyDescent="0.2">
      <c r="A190" s="104" t="s">
        <v>195</v>
      </c>
      <c r="B190" s="104" t="s">
        <v>195</v>
      </c>
    </row>
    <row r="191" spans="1:10" x14ac:dyDescent="0.2">
      <c r="A191" s="104" t="s">
        <v>200</v>
      </c>
      <c r="B191" s="104" t="s">
        <v>259</v>
      </c>
    </row>
    <row r="192" spans="1:10" x14ac:dyDescent="0.2">
      <c r="A192" s="104" t="s">
        <v>596</v>
      </c>
      <c r="B192" s="104" t="s">
        <v>596</v>
      </c>
    </row>
    <row r="193" spans="1:10" x14ac:dyDescent="0.2">
      <c r="A193" s="104" t="s">
        <v>597</v>
      </c>
      <c r="B193" s="104" t="s">
        <v>597</v>
      </c>
    </row>
    <row r="194" spans="1:10" x14ac:dyDescent="0.2">
      <c r="A194" s="104" t="s">
        <v>207</v>
      </c>
      <c r="B194" s="104" t="s">
        <v>260</v>
      </c>
    </row>
    <row r="195" spans="1:10" x14ac:dyDescent="0.2">
      <c r="A195" s="116" t="s">
        <v>599</v>
      </c>
      <c r="B195" s="116" t="s">
        <v>599</v>
      </c>
    </row>
    <row r="196" spans="1:10" x14ac:dyDescent="0.2">
      <c r="A196" s="116" t="s">
        <v>677</v>
      </c>
      <c r="B196" s="116" t="s">
        <v>677</v>
      </c>
    </row>
    <row r="197" spans="1:10" x14ac:dyDescent="0.2">
      <c r="A197" s="116" t="s">
        <v>575</v>
      </c>
      <c r="B197" s="104" t="s">
        <v>582</v>
      </c>
    </row>
    <row r="198" spans="1:10" x14ac:dyDescent="0.2">
      <c r="A198" s="116" t="s">
        <v>576</v>
      </c>
      <c r="B198" s="104" t="s">
        <v>581</v>
      </c>
    </row>
    <row r="199" spans="1:10" x14ac:dyDescent="0.2">
      <c r="A199" s="116" t="s">
        <v>577</v>
      </c>
      <c r="B199" s="104" t="s">
        <v>583</v>
      </c>
    </row>
    <row r="200" spans="1:10" x14ac:dyDescent="0.2">
      <c r="A200" s="116" t="s">
        <v>572</v>
      </c>
      <c r="B200" s="116" t="s">
        <v>684</v>
      </c>
    </row>
    <row r="201" spans="1:10" x14ac:dyDescent="0.2">
      <c r="A201" s="116" t="s">
        <v>564</v>
      </c>
      <c r="B201" s="116" t="s">
        <v>685</v>
      </c>
    </row>
    <row r="202" spans="1:10" x14ac:dyDescent="0.2">
      <c r="A202" s="116" t="s">
        <v>565</v>
      </c>
      <c r="B202" s="116" t="s">
        <v>683</v>
      </c>
    </row>
    <row r="203" spans="1:10" x14ac:dyDescent="0.2">
      <c r="A203" s="116" t="s">
        <v>566</v>
      </c>
      <c r="B203" s="116" t="s">
        <v>562</v>
      </c>
    </row>
    <row r="204" spans="1:10" x14ac:dyDescent="0.2">
      <c r="A204" s="116" t="s">
        <v>579</v>
      </c>
      <c r="B204" s="116" t="s">
        <v>579</v>
      </c>
    </row>
    <row r="205" spans="1:10" x14ac:dyDescent="0.2">
      <c r="A205" s="104" t="s">
        <v>433</v>
      </c>
      <c r="B205" s="104" t="s">
        <v>261</v>
      </c>
    </row>
    <row r="206" spans="1:10" x14ac:dyDescent="0.2">
      <c r="A206" s="116" t="s">
        <v>690</v>
      </c>
      <c r="B206" s="116" t="s">
        <v>690</v>
      </c>
    </row>
    <row r="207" spans="1:10" x14ac:dyDescent="0.2">
      <c r="A207" s="116" t="s">
        <v>691</v>
      </c>
      <c r="B207" s="116" t="s">
        <v>691</v>
      </c>
    </row>
    <row r="208" spans="1:10" s="7" customFormat="1" x14ac:dyDescent="0.2">
      <c r="A208" s="109" t="s">
        <v>20</v>
      </c>
      <c r="B208" s="109" t="s">
        <v>262</v>
      </c>
      <c r="C208" s="195"/>
      <c r="D208" s="195"/>
      <c r="E208" s="195"/>
      <c r="F208" s="195"/>
      <c r="G208" s="195"/>
      <c r="H208" s="195"/>
      <c r="I208" s="195"/>
      <c r="J208" s="195"/>
    </row>
    <row r="209" spans="1:2" x14ac:dyDescent="0.2">
      <c r="A209" s="104" t="s">
        <v>215</v>
      </c>
      <c r="B209" s="104" t="s">
        <v>264</v>
      </c>
    </row>
    <row r="210" spans="1:2" x14ac:dyDescent="0.2">
      <c r="A210" s="116" t="s">
        <v>567</v>
      </c>
      <c r="B210" s="116" t="s">
        <v>567</v>
      </c>
    </row>
    <row r="211" spans="1:2" x14ac:dyDescent="0.2">
      <c r="A211" s="104" t="s">
        <v>216</v>
      </c>
      <c r="B211" s="104" t="s">
        <v>445</v>
      </c>
    </row>
    <row r="212" spans="1:2" x14ac:dyDescent="0.2">
      <c r="A212" s="116" t="s">
        <v>568</v>
      </c>
      <c r="B212" s="116" t="s">
        <v>568</v>
      </c>
    </row>
    <row r="213" spans="1:2" x14ac:dyDescent="0.2">
      <c r="A213" s="104" t="s">
        <v>203</v>
      </c>
      <c r="B213" s="104" t="s">
        <v>266</v>
      </c>
    </row>
    <row r="214" spans="1:2" x14ac:dyDescent="0.2">
      <c r="A214" s="116" t="s">
        <v>569</v>
      </c>
      <c r="B214" s="116" t="s">
        <v>569</v>
      </c>
    </row>
    <row r="215" spans="1:2" x14ac:dyDescent="0.2">
      <c r="A215" s="104" t="s">
        <v>205</v>
      </c>
      <c r="B215" s="104" t="s">
        <v>265</v>
      </c>
    </row>
    <row r="216" spans="1:2" x14ac:dyDescent="0.2">
      <c r="A216" s="104" t="s">
        <v>598</v>
      </c>
      <c r="B216" s="104" t="s">
        <v>598</v>
      </c>
    </row>
    <row r="217" spans="1:2" x14ac:dyDescent="0.2">
      <c r="A217" s="116" t="s">
        <v>696</v>
      </c>
      <c r="B217" s="116" t="s">
        <v>696</v>
      </c>
    </row>
    <row r="218" spans="1:2" x14ac:dyDescent="0.2">
      <c r="A218" s="116" t="s">
        <v>601</v>
      </c>
      <c r="B218" s="116" t="s">
        <v>600</v>
      </c>
    </row>
    <row r="219" spans="1:2" x14ac:dyDescent="0.2">
      <c r="A219" s="116" t="s">
        <v>617</v>
      </c>
      <c r="B219" s="116" t="s">
        <v>617</v>
      </c>
    </row>
    <row r="220" spans="1:2" x14ac:dyDescent="0.2">
      <c r="A220" s="116" t="s">
        <v>619</v>
      </c>
      <c r="B220" s="116" t="s">
        <v>618</v>
      </c>
    </row>
    <row r="221" spans="1:2" x14ac:dyDescent="0.2">
      <c r="A221" s="116" t="s">
        <v>620</v>
      </c>
      <c r="B221" s="116" t="s">
        <v>620</v>
      </c>
    </row>
    <row r="222" spans="1:2" x14ac:dyDescent="0.2">
      <c r="A222" s="104" t="s">
        <v>187</v>
      </c>
      <c r="B222" s="104" t="s">
        <v>323</v>
      </c>
    </row>
    <row r="223" spans="1:2" x14ac:dyDescent="0.2">
      <c r="A223" s="104" t="s">
        <v>188</v>
      </c>
      <c r="B223" s="104" t="s">
        <v>324</v>
      </c>
    </row>
    <row r="224" spans="1:2" x14ac:dyDescent="0.2">
      <c r="A224" s="116" t="s">
        <v>624</v>
      </c>
      <c r="B224" s="116" t="s">
        <v>625</v>
      </c>
    </row>
    <row r="225" spans="1:10" x14ac:dyDescent="0.2">
      <c r="A225" s="116" t="s">
        <v>630</v>
      </c>
      <c r="B225" s="116" t="s">
        <v>631</v>
      </c>
    </row>
    <row r="226" spans="1:10" x14ac:dyDescent="0.2">
      <c r="A226" s="116" t="s">
        <v>614</v>
      </c>
      <c r="B226" s="116" t="s">
        <v>611</v>
      </c>
    </row>
    <row r="227" spans="1:10" x14ac:dyDescent="0.2">
      <c r="A227" s="116" t="s">
        <v>615</v>
      </c>
      <c r="B227" s="116" t="s">
        <v>612</v>
      </c>
    </row>
    <row r="228" spans="1:10" x14ac:dyDescent="0.2">
      <c r="A228" s="116" t="s">
        <v>616</v>
      </c>
      <c r="B228" s="116" t="s">
        <v>613</v>
      </c>
    </row>
    <row r="229" spans="1:10" s="7" customFormat="1" x14ac:dyDescent="0.2">
      <c r="A229" s="109" t="s">
        <v>570</v>
      </c>
      <c r="B229" s="109" t="s">
        <v>584</v>
      </c>
      <c r="C229" s="195"/>
      <c r="D229" s="195"/>
      <c r="E229" s="195"/>
      <c r="F229" s="195"/>
      <c r="G229" s="195"/>
      <c r="H229" s="195"/>
      <c r="I229" s="195"/>
      <c r="J229" s="195"/>
    </row>
    <row r="230" spans="1:10" x14ac:dyDescent="0.2">
      <c r="A230" s="116" t="s">
        <v>527</v>
      </c>
      <c r="B230" s="116" t="s">
        <v>528</v>
      </c>
    </row>
    <row r="231" spans="1:10" x14ac:dyDescent="0.2">
      <c r="A231" s="179" t="s">
        <v>529</v>
      </c>
      <c r="B231" s="179" t="s">
        <v>530</v>
      </c>
    </row>
    <row r="232" spans="1:10" x14ac:dyDescent="0.2">
      <c r="A232" s="179" t="s">
        <v>531</v>
      </c>
      <c r="B232" s="179" t="s">
        <v>532</v>
      </c>
    </row>
    <row r="233" spans="1:10" x14ac:dyDescent="0.2">
      <c r="A233" s="179" t="s">
        <v>533</v>
      </c>
      <c r="B233" s="179" t="s">
        <v>534</v>
      </c>
    </row>
    <row r="234" spans="1:10" x14ac:dyDescent="0.2">
      <c r="A234" s="179" t="s">
        <v>586</v>
      </c>
      <c r="B234" s="179" t="s">
        <v>587</v>
      </c>
    </row>
    <row r="235" spans="1:10" x14ac:dyDescent="0.2">
      <c r="A235" s="179" t="s">
        <v>165</v>
      </c>
      <c r="B235" s="179" t="s">
        <v>270</v>
      </c>
    </row>
    <row r="236" spans="1:10" x14ac:dyDescent="0.2">
      <c r="A236" s="179" t="s">
        <v>208</v>
      </c>
      <c r="B236" s="179" t="s">
        <v>271</v>
      </c>
    </row>
    <row r="237" spans="1:10" x14ac:dyDescent="0.2">
      <c r="A237" s="116" t="s">
        <v>571</v>
      </c>
      <c r="B237" s="116" t="s">
        <v>571</v>
      </c>
    </row>
    <row r="238" spans="1:10" x14ac:dyDescent="0.2">
      <c r="A238" s="104" t="s">
        <v>197</v>
      </c>
      <c r="B238" s="104" t="s">
        <v>197</v>
      </c>
    </row>
    <row r="239" spans="1:10" x14ac:dyDescent="0.2">
      <c r="A239" s="104" t="s">
        <v>204</v>
      </c>
      <c r="B239" s="104" t="s">
        <v>204</v>
      </c>
    </row>
    <row r="240" spans="1:10" s="7" customFormat="1" x14ac:dyDescent="0.2">
      <c r="A240" s="109" t="s">
        <v>161</v>
      </c>
      <c r="B240" s="109" t="s">
        <v>268</v>
      </c>
      <c r="C240" s="195"/>
      <c r="D240" s="195"/>
      <c r="E240" s="195"/>
      <c r="F240" s="195"/>
      <c r="G240" s="195"/>
      <c r="H240" s="195"/>
      <c r="I240" s="195"/>
      <c r="J240" s="195"/>
    </row>
    <row r="241" spans="1:10" x14ac:dyDescent="0.2">
      <c r="A241" s="104" t="s">
        <v>98</v>
      </c>
      <c r="B241" s="104" t="s">
        <v>538</v>
      </c>
    </row>
    <row r="242" spans="1:10" x14ac:dyDescent="0.2">
      <c r="A242" s="104" t="s">
        <v>537</v>
      </c>
      <c r="B242" s="104" t="s">
        <v>539</v>
      </c>
    </row>
    <row r="243" spans="1:10" x14ac:dyDescent="0.2">
      <c r="A243" s="104" t="s">
        <v>13</v>
      </c>
      <c r="B243" s="104" t="s">
        <v>540</v>
      </c>
    </row>
    <row r="244" spans="1:10" x14ac:dyDescent="0.2">
      <c r="A244" s="104" t="s">
        <v>249</v>
      </c>
      <c r="B244" s="104" t="s">
        <v>272</v>
      </c>
    </row>
    <row r="245" spans="1:10" x14ac:dyDescent="0.2">
      <c r="A245" s="116" t="s">
        <v>610</v>
      </c>
      <c r="B245" s="116" t="s">
        <v>609</v>
      </c>
    </row>
    <row r="246" spans="1:10" s="7" customFormat="1" x14ac:dyDescent="0.2">
      <c r="A246" s="109" t="s">
        <v>29</v>
      </c>
      <c r="B246" s="109" t="s">
        <v>273</v>
      </c>
      <c r="C246" s="195"/>
      <c r="D246" s="195"/>
      <c r="E246" s="195"/>
      <c r="F246" s="195"/>
      <c r="G246" s="195"/>
      <c r="H246" s="195"/>
      <c r="I246" s="195"/>
      <c r="J246" s="195"/>
    </row>
    <row r="247" spans="1:10" x14ac:dyDescent="0.2">
      <c r="A247" s="104" t="s">
        <v>647</v>
      </c>
      <c r="B247" s="104" t="s">
        <v>649</v>
      </c>
    </row>
    <row r="248" spans="1:10" x14ac:dyDescent="0.2">
      <c r="A248" s="104" t="s">
        <v>648</v>
      </c>
      <c r="B248" s="104" t="s">
        <v>650</v>
      </c>
    </row>
    <row r="249" spans="1:10" x14ac:dyDescent="0.2">
      <c r="A249" s="116" t="s">
        <v>645</v>
      </c>
      <c r="B249" s="116" t="s">
        <v>646</v>
      </c>
    </row>
    <row r="250" spans="1:10" x14ac:dyDescent="0.2">
      <c r="A250" s="116" t="s">
        <v>701</v>
      </c>
      <c r="B250" s="116" t="s">
        <v>701</v>
      </c>
    </row>
    <row r="251" spans="1:10" x14ac:dyDescent="0.2">
      <c r="A251" s="116" t="s">
        <v>702</v>
      </c>
      <c r="B251" s="116" t="s">
        <v>702</v>
      </c>
    </row>
    <row r="252" spans="1:10" x14ac:dyDescent="0.2">
      <c r="A252" s="116" t="s">
        <v>636</v>
      </c>
      <c r="B252" s="116" t="s">
        <v>639</v>
      </c>
    </row>
    <row r="253" spans="1:10" x14ac:dyDescent="0.2">
      <c r="A253" s="116" t="s">
        <v>638</v>
      </c>
      <c r="B253" s="116" t="s">
        <v>641</v>
      </c>
    </row>
    <row r="254" spans="1:10" x14ac:dyDescent="0.2">
      <c r="A254" s="116" t="s">
        <v>637</v>
      </c>
      <c r="B254" s="116" t="s">
        <v>640</v>
      </c>
    </row>
    <row r="255" spans="1:10" x14ac:dyDescent="0.2">
      <c r="A255" s="116" t="s">
        <v>699</v>
      </c>
      <c r="B255" s="116" t="s">
        <v>700</v>
      </c>
    </row>
    <row r="256" spans="1:10" x14ac:dyDescent="0.2">
      <c r="A256" s="403" t="s">
        <v>704</v>
      </c>
      <c r="B256" s="403" t="s">
        <v>705</v>
      </c>
    </row>
    <row r="257" spans="1:10" x14ac:dyDescent="0.2">
      <c r="A257" s="104" t="s">
        <v>626</v>
      </c>
      <c r="B257" s="116" t="s">
        <v>629</v>
      </c>
    </row>
    <row r="258" spans="1:10" x14ac:dyDescent="0.2">
      <c r="A258" s="104" t="s">
        <v>627</v>
      </c>
      <c r="B258" s="116" t="s">
        <v>628</v>
      </c>
    </row>
    <row r="259" spans="1:10" x14ac:dyDescent="0.2">
      <c r="A259" s="104" t="s">
        <v>651</v>
      </c>
      <c r="B259" s="104" t="s">
        <v>653</v>
      </c>
    </row>
    <row r="260" spans="1:10" x14ac:dyDescent="0.2">
      <c r="A260" s="104" t="s">
        <v>652</v>
      </c>
      <c r="B260" s="104" t="s">
        <v>654</v>
      </c>
    </row>
    <row r="261" spans="1:10" x14ac:dyDescent="0.2">
      <c r="A261" s="116" t="s">
        <v>643</v>
      </c>
      <c r="B261" s="116" t="s">
        <v>643</v>
      </c>
    </row>
    <row r="262" spans="1:10" x14ac:dyDescent="0.2">
      <c r="A262" s="116" t="s">
        <v>644</v>
      </c>
      <c r="B262" s="116" t="s">
        <v>644</v>
      </c>
    </row>
    <row r="263" spans="1:10" x14ac:dyDescent="0.2">
      <c r="A263" s="116" t="s">
        <v>697</v>
      </c>
      <c r="B263" s="116" t="s">
        <v>698</v>
      </c>
    </row>
    <row r="264" spans="1:10" s="7" customFormat="1" x14ac:dyDescent="0.2">
      <c r="A264" s="109" t="s">
        <v>28</v>
      </c>
      <c r="B264" s="109" t="s">
        <v>274</v>
      </c>
      <c r="C264" s="195"/>
      <c r="D264" s="195"/>
      <c r="E264" s="195"/>
      <c r="F264" s="195"/>
      <c r="G264" s="195"/>
      <c r="H264" s="195"/>
      <c r="I264" s="195"/>
      <c r="J264" s="195"/>
    </row>
    <row r="265" spans="1:10" x14ac:dyDescent="0.2">
      <c r="A265" s="116" t="s">
        <v>663</v>
      </c>
      <c r="B265" s="104" t="s">
        <v>664</v>
      </c>
    </row>
    <row r="266" spans="1:10" x14ac:dyDescent="0.2">
      <c r="A266" s="116" t="s">
        <v>4</v>
      </c>
      <c r="B266" s="116" t="s">
        <v>4</v>
      </c>
    </row>
    <row r="267" spans="1:10" x14ac:dyDescent="0.2">
      <c r="A267" s="116" t="s">
        <v>44</v>
      </c>
      <c r="B267" s="116" t="s">
        <v>44</v>
      </c>
    </row>
    <row r="268" spans="1:10" x14ac:dyDescent="0.2">
      <c r="A268" s="116" t="s">
        <v>666</v>
      </c>
      <c r="B268" s="116" t="s">
        <v>668</v>
      </c>
    </row>
    <row r="269" spans="1:10" x14ac:dyDescent="0.2">
      <c r="A269" s="116" t="s">
        <v>667</v>
      </c>
      <c r="B269" s="116" t="s">
        <v>669</v>
      </c>
    </row>
    <row r="270" spans="1:10" x14ac:dyDescent="0.2">
      <c r="A270" s="116" t="s">
        <v>671</v>
      </c>
      <c r="B270" s="116" t="s">
        <v>670</v>
      </c>
    </row>
    <row r="271" spans="1:10" x14ac:dyDescent="0.2">
      <c r="A271" s="116" t="s">
        <v>662</v>
      </c>
      <c r="B271" s="104" t="s">
        <v>665</v>
      </c>
    </row>
    <row r="272" spans="1:10" x14ac:dyDescent="0.2">
      <c r="A272" s="116" t="s">
        <v>661</v>
      </c>
      <c r="B272" s="104" t="s">
        <v>709</v>
      </c>
    </row>
    <row r="273" spans="1:2" x14ac:dyDescent="0.2">
      <c r="A273" s="116" t="s">
        <v>678</v>
      </c>
      <c r="B273" s="116" t="s">
        <v>679</v>
      </c>
    </row>
    <row r="274" spans="1:2" x14ac:dyDescent="0.2">
      <c r="A274" s="116" t="s">
        <v>672</v>
      </c>
      <c r="B274" s="116" t="s">
        <v>672</v>
      </c>
    </row>
    <row r="275" spans="1:2" x14ac:dyDescent="0.2">
      <c r="A275" s="116" t="s">
        <v>673</v>
      </c>
      <c r="B275" s="116" t="s">
        <v>673</v>
      </c>
    </row>
    <row r="276" spans="1:2" x14ac:dyDescent="0.2">
      <c r="A276" s="116" t="s">
        <v>674</v>
      </c>
      <c r="B276" s="116" t="s">
        <v>674</v>
      </c>
    </row>
    <row r="277" spans="1:2" x14ac:dyDescent="0.2">
      <c r="A277" s="116" t="s">
        <v>677</v>
      </c>
      <c r="B277" s="116" t="s">
        <v>677</v>
      </c>
    </row>
    <row r="278" spans="1:2" x14ac:dyDescent="0.2">
      <c r="A278" s="116" t="s">
        <v>680</v>
      </c>
      <c r="B278" s="116" t="s">
        <v>680</v>
      </c>
    </row>
    <row r="279" spans="1:2" x14ac:dyDescent="0.2">
      <c r="A279" s="116" t="s">
        <v>681</v>
      </c>
      <c r="B279" s="116" t="s">
        <v>681</v>
      </c>
    </row>
    <row r="280" spans="1:2" x14ac:dyDescent="0.2">
      <c r="A280" s="116" t="s">
        <v>675</v>
      </c>
      <c r="B280" s="116" t="s">
        <v>675</v>
      </c>
    </row>
    <row r="281" spans="1:2" x14ac:dyDescent="0.2">
      <c r="A281" s="116" t="s">
        <v>4</v>
      </c>
      <c r="B281" s="116" t="s">
        <v>4</v>
      </c>
    </row>
    <row r="282" spans="1:2" x14ac:dyDescent="0.2">
      <c r="A282" s="116" t="s">
        <v>676</v>
      </c>
      <c r="B282" s="116" t="s">
        <v>676</v>
      </c>
    </row>
    <row r="283" spans="1:2" x14ac:dyDescent="0.2">
      <c r="A283" s="116" t="s">
        <v>412</v>
      </c>
      <c r="B283" s="116" t="s">
        <v>412</v>
      </c>
    </row>
    <row r="284" spans="1:2" x14ac:dyDescent="0.2">
      <c r="A284" s="116" t="s">
        <v>687</v>
      </c>
      <c r="B284" s="116" t="s">
        <v>687</v>
      </c>
    </row>
    <row r="285" spans="1:2" x14ac:dyDescent="0.2">
      <c r="A285" s="116" t="s">
        <v>688</v>
      </c>
      <c r="B285" s="116" t="s">
        <v>688</v>
      </c>
    </row>
  </sheetData>
  <phoneticPr fontId="20" type="noConversion"/>
  <pageMargins left="0.59055118110236227" right="0.39370078740157483" top="0.78740157480314965" bottom="0.59055118110236227" header="0.51181102362204722" footer="0.39370078740157483"/>
  <pageSetup paperSize="9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02"/>
  <dimension ref="A1:B32"/>
  <sheetViews>
    <sheetView showGridLines="0" workbookViewId="0">
      <selection activeCell="A6" sqref="A5:A6"/>
    </sheetView>
  </sheetViews>
  <sheetFormatPr defaultColWidth="11.42578125" defaultRowHeight="12.75" x14ac:dyDescent="0.2"/>
  <cols>
    <col min="1" max="1" width="16.7109375" style="98" customWidth="1"/>
  </cols>
  <sheetData>
    <row r="1" spans="1:2" x14ac:dyDescent="0.2">
      <c r="A1" s="93">
        <v>42942</v>
      </c>
      <c r="B1" s="51" t="str">
        <f>INDEX(LA!$A3:$J3,,$A$5)</f>
        <v>(date of version)</v>
      </c>
    </row>
    <row r="2" spans="1:2" x14ac:dyDescent="0.2">
      <c r="A2" s="94" t="s">
        <v>51</v>
      </c>
      <c r="B2" s="51" t="str">
        <f>INDEX(LA!$A4:$J4,,$A$5)</f>
        <v>(author)</v>
      </c>
    </row>
    <row r="3" spans="1:2" x14ac:dyDescent="0.2">
      <c r="A3" s="95" t="s">
        <v>217</v>
      </c>
    </row>
    <row r="5" spans="1:2" s="51" customFormat="1" x14ac:dyDescent="0.2">
      <c r="A5" s="240">
        <v>2</v>
      </c>
    </row>
    <row r="7" spans="1:2" x14ac:dyDescent="0.2">
      <c r="A7" s="96" t="str">
        <f>INDEX(LA!$A5:$J5,,$A$5)</f>
        <v>License, Guarantee and Support</v>
      </c>
    </row>
    <row r="8" spans="1:2" x14ac:dyDescent="0.2">
      <c r="A8" s="97" t="str">
        <f>INDEX(LA!$A6:$J6,,$A$5)</f>
        <v>This Excel-workbook is released for free use.</v>
      </c>
    </row>
    <row r="9" spans="1:2" x14ac:dyDescent="0.2">
      <c r="A9" s="97" t="str">
        <f>INDEX(LA!$A7:$J7,,$A$5)</f>
        <v>Any kind of guarantee is expressly excluded.</v>
      </c>
    </row>
    <row r="10" spans="1:2" x14ac:dyDescent="0.2">
      <c r="A10" s="97" t="str">
        <f>INDEX(LA!$A8:$J8,,$A$5)</f>
        <v>Please communicate the observed errors to the author,</v>
      </c>
    </row>
    <row r="11" spans="1:2" x14ac:dyDescent="0.2">
      <c r="A11" s="98" t="str">
        <f>INDEX(LA!$A9:$J9,,$A$5)</f>
        <v>suggestions for improvement are welcome.</v>
      </c>
    </row>
    <row r="13" spans="1:2" x14ac:dyDescent="0.2">
      <c r="A13" s="99" t="str">
        <f>INDEX(LA!$A10:$J10,,$A$5)</f>
        <v>General Remarks concerning Data Input</v>
      </c>
    </row>
    <row r="14" spans="1:2" x14ac:dyDescent="0.2">
      <c r="A14" s="97" t="str">
        <f>INDEX(LA!$A11:$J11,,$A$5)</f>
        <v>Cells for input data are YELLOW or GREEN shaded. All cells except the input cells are</v>
      </c>
    </row>
    <row r="15" spans="1:2" x14ac:dyDescent="0.2">
      <c r="A15" s="97" t="str">
        <f>INDEX(LA!$A12:$J12,,$A$5)</f>
        <v>protected and cannot be changed or deleted.</v>
      </c>
    </row>
    <row r="16" spans="1:2" x14ac:dyDescent="0.2">
      <c r="A16" s="97" t="str">
        <f>INDEX(LA!$A13:$J13,,$A$5)</f>
        <v>ATTENTION: If "Drag and Drop" is used (equal to "Cut" and "Paste") the reference between</v>
      </c>
    </row>
    <row r="17" spans="1:1" x14ac:dyDescent="0.2">
      <c r="A17" s="98" t="str">
        <f>INDEX(LA!$A14:$J14,,$A$5)</f>
        <v>cells is changed and the calculation scheme of the worksheet will be disturbed.</v>
      </c>
    </row>
    <row r="18" spans="1:1" x14ac:dyDescent="0.2">
      <c r="A18" s="98" t="str">
        <f>INDEX(LA!$A15:$J15,,$A$5)</f>
        <v>Also insert or cut of rows/columns must be avoided because it may cause errors</v>
      </c>
    </row>
    <row r="19" spans="1:1" x14ac:dyDescent="0.2">
      <c r="A19" s="98" t="str">
        <f>INDEX(LA!$A16:$J16,,$A$5)</f>
        <v>concerning the cell references used inside the macros.</v>
      </c>
    </row>
    <row r="21" spans="1:1" hidden="1" x14ac:dyDescent="0.2"/>
    <row r="22" spans="1:1" hidden="1" x14ac:dyDescent="0.2">
      <c r="A22" s="68" t="str">
        <f>LA!A$1</f>
        <v>Deutsch</v>
      </c>
    </row>
    <row r="23" spans="1:1" hidden="1" x14ac:dyDescent="0.2">
      <c r="A23" s="68" t="str">
        <f>LA!B$1</f>
        <v>English</v>
      </c>
    </row>
    <row r="24" spans="1:1" hidden="1" x14ac:dyDescent="0.2">
      <c r="A24" s="68" t="str">
        <f>LA!C$1</f>
        <v>Francais</v>
      </c>
    </row>
    <row r="25" spans="1:1" hidden="1" x14ac:dyDescent="0.2">
      <c r="A25" s="68" t="str">
        <f>LA!D$1</f>
        <v>Espagnole</v>
      </c>
    </row>
    <row r="26" spans="1:1" hidden="1" x14ac:dyDescent="0.2">
      <c r="A26" s="68" t="str">
        <f>LA!E$1</f>
        <v>Rumänisch</v>
      </c>
    </row>
    <row r="27" spans="1:1" hidden="1" x14ac:dyDescent="0.2">
      <c r="A27" s="68" t="str">
        <f>LA!F$1</f>
        <v>Bulgarisch</v>
      </c>
    </row>
    <row r="28" spans="1:1" hidden="1" x14ac:dyDescent="0.2">
      <c r="A28" s="68" t="str">
        <f>LA!G$1</f>
        <v>Slovensky / Cesky</v>
      </c>
    </row>
    <row r="29" spans="1:1" hidden="1" x14ac:dyDescent="0.2">
      <c r="A29" s="68" t="str">
        <f>LA!H$1</f>
        <v>Russian/Ukrainian</v>
      </c>
    </row>
    <row r="30" spans="1:1" hidden="1" x14ac:dyDescent="0.2">
      <c r="A30" s="68" t="str">
        <f>LA!I$1</f>
        <v>Polski / Polish</v>
      </c>
    </row>
    <row r="31" spans="1:1" hidden="1" x14ac:dyDescent="0.2">
      <c r="A31" s="68">
        <f>LA!J$1</f>
        <v>0</v>
      </c>
    </row>
    <row r="32" spans="1:1" hidden="1" x14ac:dyDescent="0.2"/>
  </sheetData>
  <phoneticPr fontId="0" type="noConversion"/>
  <hyperlinks>
    <hyperlink ref="A3" r:id="rId1"/>
  </hyperlinks>
  <printOptions gridLinesSet="0"/>
  <pageMargins left="0.78740157480314965" right="0.59055118110236227" top="0.39370078740157483" bottom="0.59055118110236227" header="0.31496062992125984" footer="0.39370078740157483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Drop Down 1">
              <controlPr defaultSize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H34"/>
  <sheetViews>
    <sheetView showGridLines="0" workbookViewId="0">
      <selection activeCell="K37" sqref="K37"/>
    </sheetView>
  </sheetViews>
  <sheetFormatPr defaultColWidth="11.42578125" defaultRowHeight="12.75" x14ac:dyDescent="0.2"/>
  <cols>
    <col min="1" max="1" width="12.7109375" customWidth="1"/>
    <col min="2" max="2" width="8.7109375" customWidth="1"/>
    <col min="3" max="8" width="10.7109375" customWidth="1"/>
  </cols>
  <sheetData>
    <row r="1" spans="1:8" ht="50.25" x14ac:dyDescent="0.7">
      <c r="A1" s="25" t="s">
        <v>24</v>
      </c>
      <c r="B1" s="4"/>
      <c r="C1" s="410" t="s">
        <v>83</v>
      </c>
      <c r="D1" s="411"/>
      <c r="E1" s="411"/>
      <c r="F1" s="411"/>
      <c r="G1" s="4"/>
      <c r="H1" s="4"/>
    </row>
    <row r="2" spans="1:8" x14ac:dyDescent="0.2">
      <c r="A2" s="4"/>
      <c r="B2" s="4"/>
      <c r="C2" s="4"/>
      <c r="D2" s="4"/>
      <c r="E2" s="4"/>
      <c r="F2" s="4"/>
      <c r="G2" s="4"/>
      <c r="H2" s="4"/>
    </row>
    <row r="3" spans="1:8" ht="14.25" x14ac:dyDescent="0.2">
      <c r="A3" s="26" t="s">
        <v>67</v>
      </c>
      <c r="B3" s="24"/>
      <c r="C3" s="24"/>
      <c r="D3" s="24"/>
      <c r="E3" s="24"/>
      <c r="F3" s="24"/>
      <c r="G3" s="24"/>
      <c r="H3" s="24"/>
    </row>
    <row r="5" spans="1:8" x14ac:dyDescent="0.2">
      <c r="A5" s="7" t="s">
        <v>58</v>
      </c>
    </row>
    <row r="6" spans="1:8" x14ac:dyDescent="0.2">
      <c r="A6" s="1" t="s">
        <v>2</v>
      </c>
      <c r="B6" s="2" t="s">
        <v>9</v>
      </c>
      <c r="C6" s="3" t="s">
        <v>44</v>
      </c>
      <c r="D6" s="10">
        <v>750</v>
      </c>
    </row>
    <row r="7" spans="1:8" x14ac:dyDescent="0.2">
      <c r="A7" s="1" t="s">
        <v>3</v>
      </c>
      <c r="B7" s="2" t="s">
        <v>23</v>
      </c>
      <c r="C7" s="3" t="s">
        <v>44</v>
      </c>
      <c r="D7" s="10">
        <v>125</v>
      </c>
    </row>
    <row r="8" spans="1:8" x14ac:dyDescent="0.2">
      <c r="A8" s="1" t="s">
        <v>0</v>
      </c>
      <c r="B8" s="2" t="s">
        <v>7</v>
      </c>
      <c r="C8" s="3"/>
      <c r="D8" s="5">
        <v>25</v>
      </c>
    </row>
    <row r="9" spans="1:8" x14ac:dyDescent="0.2">
      <c r="A9" s="1" t="s">
        <v>1</v>
      </c>
      <c r="B9" s="2" t="s">
        <v>8</v>
      </c>
      <c r="C9" s="3"/>
      <c r="D9" s="5">
        <v>500</v>
      </c>
    </row>
    <row r="11" spans="1:8" x14ac:dyDescent="0.2">
      <c r="A11" s="7" t="s">
        <v>161</v>
      </c>
    </row>
    <row r="12" spans="1:8" x14ac:dyDescent="0.2">
      <c r="A12" s="1" t="s">
        <v>5</v>
      </c>
      <c r="B12" s="2" t="s">
        <v>11</v>
      </c>
      <c r="C12" s="3" t="s">
        <v>6</v>
      </c>
      <c r="D12" s="5">
        <v>20</v>
      </c>
    </row>
    <row r="13" spans="1:8" ht="14.25" x14ac:dyDescent="0.2">
      <c r="A13" s="1" t="s">
        <v>39</v>
      </c>
      <c r="B13" s="2" t="s">
        <v>10</v>
      </c>
      <c r="C13" s="3" t="s">
        <v>4</v>
      </c>
      <c r="D13" s="5">
        <v>-104</v>
      </c>
    </row>
    <row r="14" spans="1:8" x14ac:dyDescent="0.2">
      <c r="A14" s="1" t="s">
        <v>13</v>
      </c>
      <c r="B14" s="2" t="s">
        <v>14</v>
      </c>
      <c r="C14" s="3" t="s">
        <v>4</v>
      </c>
      <c r="D14" s="5">
        <v>300</v>
      </c>
    </row>
    <row r="15" spans="1:8" ht="14.25" x14ac:dyDescent="0.2">
      <c r="A15" s="9" t="s">
        <v>151</v>
      </c>
    </row>
    <row r="17" spans="1:5" x14ac:dyDescent="0.2">
      <c r="A17" s="7" t="s">
        <v>29</v>
      </c>
    </row>
    <row r="18" spans="1:5" x14ac:dyDescent="0.2">
      <c r="A18" s="6" t="s">
        <v>38</v>
      </c>
      <c r="B18" s="2" t="s">
        <v>25</v>
      </c>
      <c r="C18" s="3"/>
      <c r="D18" s="11" t="str">
        <f>[1]!StBKreisMN_0($D$6,$D$7,$D$8,$D$9,$D$12,$D$13,1)</f>
        <v>-3,5 / +2,3</v>
      </c>
      <c r="E18" s="12"/>
    </row>
    <row r="19" spans="1:5" x14ac:dyDescent="0.2">
      <c r="A19" s="6" t="s">
        <v>20</v>
      </c>
      <c r="B19" s="2" t="s">
        <v>18</v>
      </c>
      <c r="C19" s="3" t="s">
        <v>12</v>
      </c>
      <c r="D19" s="13">
        <f>[1]!StBKreisMN_0($D$6,$D$7,$D$8,$D$9,$D$12,$D$13,2)</f>
        <v>0</v>
      </c>
    </row>
    <row r="20" spans="1:5" x14ac:dyDescent="0.2">
      <c r="A20" s="1" t="s">
        <v>77</v>
      </c>
      <c r="B20" s="2"/>
      <c r="C20" s="2"/>
      <c r="D20" s="11">
        <f>[1]!StBKreisMN_0($D$6,$D$7,$D$8,$D$9,$D$12,$D$13,3)</f>
        <v>2</v>
      </c>
      <c r="E20" s="15"/>
    </row>
    <row r="21" spans="1:5" x14ac:dyDescent="0.2">
      <c r="A21" s="6" t="s">
        <v>75</v>
      </c>
      <c r="B21" s="2"/>
      <c r="C21" s="2"/>
      <c r="D21" s="3"/>
      <c r="E21" s="12"/>
    </row>
    <row r="22" spans="1:5" x14ac:dyDescent="0.2">
      <c r="A22" s="6" t="s">
        <v>76</v>
      </c>
      <c r="B22" s="2"/>
      <c r="C22" s="2"/>
      <c r="D22" s="3"/>
      <c r="E22" s="12"/>
    </row>
    <row r="23" spans="1:5" x14ac:dyDescent="0.2">
      <c r="A23" s="1" t="s">
        <v>78</v>
      </c>
      <c r="B23" s="2"/>
      <c r="C23" s="2"/>
      <c r="D23" s="3"/>
    </row>
    <row r="25" spans="1:5" x14ac:dyDescent="0.2">
      <c r="A25" s="7" t="s">
        <v>28</v>
      </c>
    </row>
    <row r="26" spans="1:5" x14ac:dyDescent="0.2">
      <c r="A26" s="1" t="s">
        <v>20</v>
      </c>
      <c r="B26" s="2" t="s">
        <v>19</v>
      </c>
      <c r="C26" s="3" t="s">
        <v>12</v>
      </c>
      <c r="D26" s="8">
        <f>D19</f>
        <v>0</v>
      </c>
    </row>
    <row r="27" spans="1:5" x14ac:dyDescent="0.2">
      <c r="A27" s="6" t="s">
        <v>38</v>
      </c>
      <c r="B27" s="2" t="s">
        <v>25</v>
      </c>
      <c r="C27" s="14"/>
      <c r="D27" s="11" t="str">
        <f>[1]!StBKreisQ_0($D$6,$D$7,$D$8,$D$9,$D$12,$D$13,$D$14,$D$26,1)</f>
        <v/>
      </c>
      <c r="E27" s="12"/>
    </row>
    <row r="28" spans="1:5" x14ac:dyDescent="0.2">
      <c r="A28" s="6" t="s">
        <v>36</v>
      </c>
      <c r="B28" s="2" t="s">
        <v>35</v>
      </c>
      <c r="C28" s="14" t="s">
        <v>44</v>
      </c>
      <c r="D28" s="16">
        <f>[1]!StBKreisQ_0($D$6,$D$7,$D$8,$D$9,$D$12,$D$13,$D$14,$D$26,2)</f>
        <v>375</v>
      </c>
      <c r="E28" s="12"/>
    </row>
    <row r="29" spans="1:5" x14ac:dyDescent="0.2">
      <c r="A29" s="6" t="s">
        <v>41</v>
      </c>
      <c r="B29" s="2" t="s">
        <v>26</v>
      </c>
      <c r="C29" s="14" t="s">
        <v>44</v>
      </c>
      <c r="D29" s="16">
        <f>[1]!StBKreisQ_0($D$6,$D$7,$D$8,$D$9,$D$12,$D$13,$D$14,$D$26,3)</f>
        <v>0</v>
      </c>
      <c r="E29" s="12"/>
    </row>
    <row r="30" spans="1:5" x14ac:dyDescent="0.2">
      <c r="A30" s="6" t="s">
        <v>42</v>
      </c>
      <c r="B30" s="2" t="s">
        <v>27</v>
      </c>
      <c r="C30" s="14" t="s">
        <v>44</v>
      </c>
      <c r="D30" s="16">
        <f>[1]!StBKreisQ_0($D$6,$D$7,$D$8,$D$9,$D$12,$D$13,$D$14,$D$26,4)</f>
        <v>0</v>
      </c>
      <c r="E30" s="12"/>
    </row>
    <row r="31" spans="1:5" x14ac:dyDescent="0.2">
      <c r="A31" s="6" t="s">
        <v>43</v>
      </c>
      <c r="B31" s="2" t="s">
        <v>15</v>
      </c>
      <c r="C31" s="14" t="s">
        <v>16</v>
      </c>
      <c r="D31" s="17">
        <f>[1]!StBKreisQ_0($D$6,$D$7,$D$8,$D$9,$D$12,$D$13,$D$14,$D$26,5)</f>
        <v>0</v>
      </c>
    </row>
    <row r="32" spans="1:5" x14ac:dyDescent="0.2">
      <c r="A32" s="6" t="s">
        <v>37</v>
      </c>
      <c r="B32" s="2" t="s">
        <v>21</v>
      </c>
      <c r="C32" s="14" t="s">
        <v>17</v>
      </c>
      <c r="D32" s="18">
        <f>[1]!StBKreisQ_0($D$6,$D$7,$D$8,$D$9,$D$12,$D$13,$D$14,$D$26,6)</f>
        <v>0</v>
      </c>
    </row>
    <row r="33" spans="1:4" x14ac:dyDescent="0.2">
      <c r="A33" s="6" t="s">
        <v>22</v>
      </c>
      <c r="B33" s="3"/>
      <c r="C33" s="19" t="str">
        <f>[1]!StBKreisQ_0($D$6,$D$7,$D$8,$D$9,$D$12,$D$13,$D$14,$D$26,7)</f>
        <v/>
      </c>
      <c r="D33" s="14"/>
    </row>
    <row r="34" spans="1:4" x14ac:dyDescent="0.2">
      <c r="A34" s="1" t="s">
        <v>40</v>
      </c>
      <c r="B34" s="3"/>
      <c r="C34" s="20" t="str">
        <f>[1]!StBKreisQ_0($D$6,$D$7,$D$8,$D$9,$D$12,$D$13,$D$14,$D$26,8)</f>
        <v/>
      </c>
      <c r="D34" s="14"/>
    </row>
  </sheetData>
  <sheetProtection sheet="1" objects="1" scenarios="1"/>
  <mergeCells count="1">
    <mergeCell ref="C1:F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H40"/>
  <sheetViews>
    <sheetView showGridLines="0" workbookViewId="0">
      <selection activeCell="A49" sqref="A49:C50"/>
    </sheetView>
  </sheetViews>
  <sheetFormatPr defaultColWidth="11.42578125" defaultRowHeight="12.75" x14ac:dyDescent="0.2"/>
  <cols>
    <col min="1" max="1" width="12.7109375" customWidth="1"/>
    <col min="2" max="2" width="8.7109375" customWidth="1"/>
    <col min="3" max="8" width="10.7109375" customWidth="1"/>
  </cols>
  <sheetData>
    <row r="1" spans="1:8" ht="50.25" x14ac:dyDescent="0.7">
      <c r="A1" s="25" t="s">
        <v>24</v>
      </c>
      <c r="B1" s="4"/>
      <c r="C1" s="412" t="s">
        <v>81</v>
      </c>
      <c r="D1" s="413"/>
      <c r="E1" s="413"/>
      <c r="F1" s="413"/>
      <c r="G1" s="413"/>
      <c r="H1" s="4"/>
    </row>
    <row r="2" spans="1:8" x14ac:dyDescent="0.2">
      <c r="A2" s="4"/>
      <c r="B2" s="4"/>
      <c r="C2" s="4"/>
      <c r="D2" s="4"/>
      <c r="E2" s="4"/>
      <c r="F2" s="4"/>
      <c r="G2" s="4"/>
      <c r="H2" s="4"/>
    </row>
    <row r="3" spans="1:8" ht="14.25" x14ac:dyDescent="0.2">
      <c r="A3" s="26" t="s">
        <v>67</v>
      </c>
      <c r="B3" s="24"/>
      <c r="C3" s="24"/>
      <c r="D3" s="24"/>
      <c r="E3" s="24"/>
      <c r="F3" s="24"/>
      <c r="G3" s="24"/>
      <c r="H3" s="24"/>
    </row>
    <row r="5" spans="1:8" x14ac:dyDescent="0.2">
      <c r="A5" s="7" t="s">
        <v>58</v>
      </c>
    </row>
    <row r="6" spans="1:8" x14ac:dyDescent="0.2">
      <c r="A6" s="1" t="s">
        <v>2</v>
      </c>
      <c r="B6" s="2" t="s">
        <v>9</v>
      </c>
      <c r="C6" s="3" t="s">
        <v>44</v>
      </c>
      <c r="D6" s="10">
        <v>750</v>
      </c>
    </row>
    <row r="7" spans="1:8" x14ac:dyDescent="0.2">
      <c r="A7" s="1" t="s">
        <v>3</v>
      </c>
      <c r="B7" s="2" t="s">
        <v>23</v>
      </c>
      <c r="C7" s="3" t="s">
        <v>44</v>
      </c>
      <c r="D7" s="10">
        <v>105</v>
      </c>
    </row>
    <row r="8" spans="1:8" x14ac:dyDescent="0.2">
      <c r="A8" s="1" t="s">
        <v>70</v>
      </c>
      <c r="B8" s="2" t="s">
        <v>150</v>
      </c>
      <c r="C8" s="3" t="s">
        <v>69</v>
      </c>
      <c r="D8" s="10">
        <v>90</v>
      </c>
    </row>
    <row r="9" spans="1:8" x14ac:dyDescent="0.2">
      <c r="A9" s="1" t="s">
        <v>71</v>
      </c>
      <c r="B9" s="2" t="s">
        <v>74</v>
      </c>
      <c r="C9" s="3" t="s">
        <v>12</v>
      </c>
      <c r="D9" s="10">
        <v>0</v>
      </c>
    </row>
    <row r="10" spans="1:8" x14ac:dyDescent="0.2">
      <c r="A10" s="1" t="s">
        <v>0</v>
      </c>
      <c r="B10" s="2" t="s">
        <v>7</v>
      </c>
      <c r="C10" s="3"/>
      <c r="D10" s="5">
        <v>25</v>
      </c>
    </row>
    <row r="11" spans="1:8" x14ac:dyDescent="0.2">
      <c r="A11" s="1" t="s">
        <v>1</v>
      </c>
      <c r="B11" s="2" t="s">
        <v>8</v>
      </c>
      <c r="C11" s="3"/>
      <c r="D11" s="5">
        <v>500</v>
      </c>
    </row>
    <row r="13" spans="1:8" x14ac:dyDescent="0.2">
      <c r="A13" s="7" t="s">
        <v>161</v>
      </c>
    </row>
    <row r="14" spans="1:8" ht="14.25" x14ac:dyDescent="0.2">
      <c r="A14" s="1" t="s">
        <v>154</v>
      </c>
      <c r="B14" s="2" t="s">
        <v>11</v>
      </c>
      <c r="C14" s="3" t="s">
        <v>6</v>
      </c>
      <c r="D14" s="5">
        <v>300</v>
      </c>
    </row>
    <row r="15" spans="1:8" ht="14.25" x14ac:dyDescent="0.2">
      <c r="A15" s="1" t="s">
        <v>155</v>
      </c>
      <c r="B15" s="2" t="s">
        <v>10</v>
      </c>
      <c r="C15" s="3" t="s">
        <v>4</v>
      </c>
      <c r="D15" s="5">
        <v>0</v>
      </c>
    </row>
    <row r="16" spans="1:8" x14ac:dyDescent="0.2">
      <c r="A16" s="1" t="s">
        <v>13</v>
      </c>
      <c r="B16" s="2" t="s">
        <v>14</v>
      </c>
      <c r="C16" s="3" t="s">
        <v>4</v>
      </c>
      <c r="D16" s="5">
        <v>300</v>
      </c>
    </row>
    <row r="17" spans="1:5" ht="14.25" x14ac:dyDescent="0.2">
      <c r="A17" s="9" t="s">
        <v>62</v>
      </c>
    </row>
    <row r="18" spans="1:5" ht="15.75" x14ac:dyDescent="0.3">
      <c r="A18" t="s">
        <v>50</v>
      </c>
    </row>
    <row r="19" spans="1:5" ht="14.25" x14ac:dyDescent="0.2">
      <c r="A19" s="9" t="s">
        <v>153</v>
      </c>
    </row>
    <row r="21" spans="1:5" x14ac:dyDescent="0.2">
      <c r="A21" s="7" t="s">
        <v>29</v>
      </c>
    </row>
    <row r="22" spans="1:5" x14ac:dyDescent="0.2">
      <c r="A22" s="6" t="s">
        <v>38</v>
      </c>
      <c r="B22" s="2" t="str">
        <f>IF($D$14&lt;0,"eps_b2 / eps_s2","eps_b1 / eps_s1")</f>
        <v>eps_b1 / eps_s1</v>
      </c>
      <c r="C22" s="3"/>
      <c r="D22" s="11" t="str">
        <f>[1]!StBKreisasymMN_0($D$6,$D$7,$D$8*PI()/180,$D$9,$D$10,$D$11,$D$14,$D$15,1)</f>
        <v>-2,2 / +5,0</v>
      </c>
      <c r="E22" s="12"/>
    </row>
    <row r="23" spans="1:5" x14ac:dyDescent="0.2">
      <c r="A23" s="1" t="str">
        <f>IF($D$14&lt;0,"""Druckseite""","Druckseite")</f>
        <v>Druckseite</v>
      </c>
      <c r="B23" s="2" t="s">
        <v>79</v>
      </c>
      <c r="C23" s="3" t="s">
        <v>12</v>
      </c>
      <c r="D23" s="13">
        <f>[1]!StBKreisasymMN_0($D$6,$D$7,$D$8*PI()/180,$D$9,$D$10,$D$11,$D$14,$D$15,2)</f>
        <v>0</v>
      </c>
      <c r="E23" s="12"/>
    </row>
    <row r="24" spans="1:5" x14ac:dyDescent="0.2">
      <c r="A24" s="1" t="str">
        <f>IF($D$14&lt;0,"""Zugseite""","Zugseite")</f>
        <v>Zugseite</v>
      </c>
      <c r="B24" s="2" t="s">
        <v>72</v>
      </c>
      <c r="C24" s="3" t="s">
        <v>12</v>
      </c>
      <c r="D24" s="13">
        <f>[1]!StBKreisasymMN_0($D$6,$D$7,$D$8*PI()/180,$D$9,$D$10,$D$11,$D$14,$D$15,3)</f>
        <v>19.935303479130283</v>
      </c>
      <c r="E24" s="12"/>
    </row>
    <row r="25" spans="1:5" x14ac:dyDescent="0.2">
      <c r="A25" s="1" t="s">
        <v>77</v>
      </c>
      <c r="B25" s="2"/>
      <c r="C25" s="2"/>
      <c r="D25" s="16" t="str">
        <f>[1]!StBKreisasymMN_0($D$6,$D$7,$D$8*PI()/180,$D$9,$D$10,$D$11,$D$14,$D$15,4)</f>
        <v/>
      </c>
      <c r="E25" s="15"/>
    </row>
    <row r="26" spans="1:5" x14ac:dyDescent="0.2">
      <c r="A26" s="6" t="s">
        <v>75</v>
      </c>
      <c r="B26" s="2"/>
      <c r="C26" s="2"/>
      <c r="D26" s="3"/>
      <c r="E26" s="12"/>
    </row>
    <row r="27" spans="1:5" x14ac:dyDescent="0.2">
      <c r="A27" s="6" t="s">
        <v>76</v>
      </c>
      <c r="B27" s="2"/>
      <c r="C27" s="2"/>
      <c r="D27" s="3"/>
      <c r="E27" s="12"/>
    </row>
    <row r="28" spans="1:5" x14ac:dyDescent="0.2">
      <c r="A28" s="1" t="s">
        <v>78</v>
      </c>
      <c r="B28" s="2"/>
      <c r="C28" s="2"/>
      <c r="D28" s="3"/>
    </row>
    <row r="30" spans="1:5" x14ac:dyDescent="0.2">
      <c r="A30" s="7" t="s">
        <v>28</v>
      </c>
    </row>
    <row r="31" spans="1:5" x14ac:dyDescent="0.2">
      <c r="A31" s="1" t="str">
        <f>IF($D$14&lt;0,"""Druckseite""","Druckseite")</f>
        <v>Druckseite</v>
      </c>
      <c r="B31" s="22" t="s">
        <v>80</v>
      </c>
      <c r="C31" s="3" t="s">
        <v>12</v>
      </c>
      <c r="D31" s="8">
        <f>D23</f>
        <v>0</v>
      </c>
    </row>
    <row r="32" spans="1:5" x14ac:dyDescent="0.2">
      <c r="A32" s="1" t="str">
        <f>IF($D$14&lt;0,"""Zugseite""","Zugseite")</f>
        <v>Zugseite</v>
      </c>
      <c r="B32" s="22" t="s">
        <v>73</v>
      </c>
      <c r="C32" s="3" t="s">
        <v>12</v>
      </c>
      <c r="D32" s="8">
        <f>D24</f>
        <v>19.935303479130283</v>
      </c>
    </row>
    <row r="33" spans="1:5" x14ac:dyDescent="0.2">
      <c r="A33" s="6" t="s">
        <v>38</v>
      </c>
      <c r="B33" s="2" t="str">
        <f>IF($D$14&lt;0,"eps_b2 / eps_s2","eps_b1 / eps_s1")</f>
        <v>eps_b1 / eps_s1</v>
      </c>
      <c r="C33" s="14"/>
      <c r="D33" s="11" t="str">
        <f>[1]!StBKreisasymQ_0($D$6,$D$7,$D$8*PI()/180,$D$9,$D$10,$D$11,$D$14,$D$15,$D$16,$D$31,$D$32,1)</f>
        <v>-2,2 / +5,0</v>
      </c>
      <c r="E33" s="12"/>
    </row>
    <row r="34" spans="1:5" x14ac:dyDescent="0.2">
      <c r="A34" s="6" t="s">
        <v>36</v>
      </c>
      <c r="B34" s="2" t="s">
        <v>35</v>
      </c>
      <c r="C34" s="14" t="s">
        <v>44</v>
      </c>
      <c r="D34" s="16">
        <f>[1]!StBKreisasymQ_0($D$6,$D$7,$D$8*PI()/180,$D$9,$D$10,$D$11,$D$14,$D$15,$D$16,$D$31,$D$32,2)</f>
        <v>543.38203519038598</v>
      </c>
      <c r="E34" s="12"/>
    </row>
    <row r="35" spans="1:5" x14ac:dyDescent="0.2">
      <c r="A35" s="6" t="s">
        <v>41</v>
      </c>
      <c r="B35" s="2" t="s">
        <v>26</v>
      </c>
      <c r="C35" s="14" t="s">
        <v>44</v>
      </c>
      <c r="D35" s="16">
        <f>[1]!StBKreisasymQ_0($D$6,$D$7,$D$8*PI()/180,$D$9,$D$10,$D$11,$D$14,$D$15,$D$16,$D$31,$D$32,3)</f>
        <v>452.00729704296617</v>
      </c>
      <c r="E35" s="12"/>
    </row>
    <row r="36" spans="1:5" x14ac:dyDescent="0.2">
      <c r="A36" s="6" t="s">
        <v>42</v>
      </c>
      <c r="B36" s="2" t="s">
        <v>27</v>
      </c>
      <c r="C36" s="14" t="s">
        <v>44</v>
      </c>
      <c r="D36" s="16">
        <f>[1]!StBKreisasymQ_0($D$6,$D$7,$D$8*PI()/180,$D$9,$D$10,$D$11,$D$14,$D$15,$D$16,$D$31,$D$32,4)</f>
        <v>660.09751780541569</v>
      </c>
      <c r="E36" s="12"/>
    </row>
    <row r="37" spans="1:5" x14ac:dyDescent="0.2">
      <c r="A37" s="6" t="s">
        <v>43</v>
      </c>
      <c r="B37" s="2" t="s">
        <v>15</v>
      </c>
      <c r="C37" s="14" t="s">
        <v>16</v>
      </c>
      <c r="D37" s="17">
        <f>[1]!StBKreisasymQ_0($D$6,$D$7,$D$8*PI()/180,$D$9,$D$10,$D$11,$D$14,$D$15,$D$16,$D$31,$D$32,5)</f>
        <v>1.0054667400670316</v>
      </c>
    </row>
    <row r="38" spans="1:5" x14ac:dyDescent="0.2">
      <c r="A38" s="6" t="s">
        <v>37</v>
      </c>
      <c r="B38" s="2" t="s">
        <v>21</v>
      </c>
      <c r="C38" s="14" t="s">
        <v>17</v>
      </c>
      <c r="D38" s="18">
        <f>[1]!StBKreisasymQ_0($D$6,$D$7,$D$8*PI()/180,$D$9,$D$10,$D$11,$D$14,$D$15,$D$16,$D$31,$D$32,6)</f>
        <v>12.975946823782118</v>
      </c>
    </row>
    <row r="39" spans="1:5" x14ac:dyDescent="0.2">
      <c r="A39" s="6" t="s">
        <v>22</v>
      </c>
      <c r="B39" s="3"/>
      <c r="C39" s="19" t="str">
        <f>[1]!StBKreisasymQ_0($D$6,$D$7,$D$8*PI()/180,$D$9,$D$10,$D$11,$D$14,$D$15,$D$16,$D$31,$D$32,7)</f>
        <v>2 (vermind. Schubdeck.)</v>
      </c>
      <c r="D39" s="14"/>
    </row>
    <row r="40" spans="1:5" x14ac:dyDescent="0.2">
      <c r="A40" s="1" t="s">
        <v>40</v>
      </c>
      <c r="B40" s="3"/>
      <c r="C40" s="20" t="str">
        <f>[1]!StBKreisasymQ_0($D$6,$D$7,$D$8*PI()/180,$D$9,$D$10,$D$11,$D$14,$D$15,$D$16,$D$31,$D$32,8)</f>
        <v/>
      </c>
      <c r="D40" s="14"/>
    </row>
  </sheetData>
  <sheetProtection sheet="1" objects="1" scenarios="1"/>
  <mergeCells count="1">
    <mergeCell ref="C1:G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H43"/>
  <sheetViews>
    <sheetView showGridLines="0" workbookViewId="0">
      <selection activeCell="A49" sqref="A49:C50"/>
    </sheetView>
  </sheetViews>
  <sheetFormatPr defaultColWidth="11.42578125" defaultRowHeight="12.75" x14ac:dyDescent="0.2"/>
  <cols>
    <col min="1" max="1" width="12.7109375" customWidth="1"/>
    <col min="2" max="2" width="8.7109375" customWidth="1"/>
    <col min="3" max="8" width="10.7109375" customWidth="1"/>
  </cols>
  <sheetData>
    <row r="1" spans="1:8" ht="50.25" x14ac:dyDescent="0.7">
      <c r="A1" s="25" t="s">
        <v>24</v>
      </c>
      <c r="B1" s="4"/>
      <c r="C1" s="410" t="s">
        <v>82</v>
      </c>
      <c r="D1" s="411"/>
      <c r="E1" s="411"/>
      <c r="F1" s="411"/>
      <c r="G1" s="4"/>
      <c r="H1" s="4"/>
    </row>
    <row r="2" spans="1:8" x14ac:dyDescent="0.2">
      <c r="A2" s="4"/>
      <c r="B2" s="4"/>
      <c r="C2" s="4"/>
      <c r="D2" s="4"/>
      <c r="E2" s="4"/>
      <c r="F2" s="4"/>
      <c r="G2" s="4"/>
      <c r="H2" s="4"/>
    </row>
    <row r="3" spans="1:8" ht="15" x14ac:dyDescent="0.2">
      <c r="A3" s="63" t="s">
        <v>68</v>
      </c>
      <c r="B3" s="24"/>
      <c r="C3" s="24"/>
      <c r="D3" s="24"/>
      <c r="E3" s="24"/>
      <c r="F3" s="24"/>
      <c r="G3" s="24"/>
      <c r="H3" s="24"/>
    </row>
    <row r="5" spans="1:8" x14ac:dyDescent="0.2">
      <c r="A5" s="7" t="s">
        <v>30</v>
      </c>
    </row>
    <row r="6" spans="1:8" x14ac:dyDescent="0.2">
      <c r="A6" s="1" t="s">
        <v>31</v>
      </c>
      <c r="B6" s="2" t="s">
        <v>33</v>
      </c>
      <c r="C6" s="3" t="s">
        <v>44</v>
      </c>
      <c r="D6" s="10">
        <v>1000</v>
      </c>
    </row>
    <row r="7" spans="1:8" x14ac:dyDescent="0.2">
      <c r="A7" s="1" t="s">
        <v>32</v>
      </c>
      <c r="B7" s="2" t="s">
        <v>34</v>
      </c>
      <c r="C7" s="3" t="s">
        <v>44</v>
      </c>
      <c r="D7" s="10">
        <v>600</v>
      </c>
    </row>
    <row r="8" spans="1:8" x14ac:dyDescent="0.2">
      <c r="A8" s="1" t="s">
        <v>0</v>
      </c>
      <c r="B8" s="2" t="s">
        <v>7</v>
      </c>
      <c r="C8" s="3"/>
      <c r="D8" s="5">
        <v>25</v>
      </c>
    </row>
    <row r="10" spans="1:8" x14ac:dyDescent="0.2">
      <c r="A10" s="7" t="s">
        <v>59</v>
      </c>
    </row>
    <row r="11" spans="1:8" x14ac:dyDescent="0.2">
      <c r="A11" s="1" t="s">
        <v>47</v>
      </c>
      <c r="B11" s="2"/>
      <c r="C11" s="2" t="s">
        <v>45</v>
      </c>
      <c r="D11" s="3" t="s">
        <v>44</v>
      </c>
      <c r="E11" s="10">
        <v>80</v>
      </c>
    </row>
    <row r="12" spans="1:8" x14ac:dyDescent="0.2">
      <c r="A12" s="1" t="s">
        <v>46</v>
      </c>
      <c r="B12" s="2"/>
      <c r="C12" s="2" t="s">
        <v>23</v>
      </c>
      <c r="D12" s="3" t="s">
        <v>44</v>
      </c>
      <c r="E12" s="10">
        <v>80</v>
      </c>
    </row>
    <row r="13" spans="1:8" ht="15.75" x14ac:dyDescent="0.3">
      <c r="A13" s="1" t="s">
        <v>65</v>
      </c>
      <c r="B13" s="2"/>
      <c r="C13" s="2" t="s">
        <v>66</v>
      </c>
      <c r="D13" s="3" t="s">
        <v>12</v>
      </c>
      <c r="E13" s="8">
        <v>0</v>
      </c>
    </row>
    <row r="14" spans="1:8" x14ac:dyDescent="0.2">
      <c r="A14" s="1" t="s">
        <v>1</v>
      </c>
      <c r="B14" s="2"/>
      <c r="C14" s="2" t="s">
        <v>8</v>
      </c>
      <c r="D14" s="3"/>
      <c r="E14" s="5">
        <v>500</v>
      </c>
    </row>
    <row r="15" spans="1:8" ht="14.25" x14ac:dyDescent="0.2">
      <c r="A15" s="9" t="s">
        <v>60</v>
      </c>
    </row>
    <row r="16" spans="1:8" x14ac:dyDescent="0.2">
      <c r="A16" t="s">
        <v>61</v>
      </c>
    </row>
    <row r="18" spans="1:5" x14ac:dyDescent="0.2">
      <c r="A18" s="7" t="s">
        <v>161</v>
      </c>
    </row>
    <row r="19" spans="1:5" ht="14.25" x14ac:dyDescent="0.2">
      <c r="A19" s="1" t="s">
        <v>63</v>
      </c>
      <c r="B19" s="2" t="s">
        <v>11</v>
      </c>
      <c r="C19" s="3" t="s">
        <v>6</v>
      </c>
      <c r="D19" s="5">
        <v>200</v>
      </c>
    </row>
    <row r="20" spans="1:5" ht="14.25" x14ac:dyDescent="0.2">
      <c r="A20" s="1" t="s">
        <v>64</v>
      </c>
      <c r="B20" s="2" t="s">
        <v>10</v>
      </c>
      <c r="C20" s="3" t="s">
        <v>4</v>
      </c>
      <c r="D20" s="5">
        <v>0</v>
      </c>
    </row>
    <row r="21" spans="1:5" x14ac:dyDescent="0.2">
      <c r="A21" s="1" t="s">
        <v>13</v>
      </c>
      <c r="B21" s="2" t="s">
        <v>14</v>
      </c>
      <c r="C21" s="3" t="s">
        <v>4</v>
      </c>
      <c r="D21" s="10">
        <v>400</v>
      </c>
    </row>
    <row r="22" spans="1:5" ht="14.25" x14ac:dyDescent="0.2">
      <c r="A22" s="9" t="s">
        <v>62</v>
      </c>
    </row>
    <row r="23" spans="1:5" ht="15.75" x14ac:dyDescent="0.3">
      <c r="A23" t="s">
        <v>50</v>
      </c>
    </row>
    <row r="24" spans="1:5" ht="14.25" x14ac:dyDescent="0.2">
      <c r="A24" s="9" t="s">
        <v>152</v>
      </c>
    </row>
    <row r="26" spans="1:5" x14ac:dyDescent="0.2">
      <c r="A26" s="7" t="s">
        <v>29</v>
      </c>
    </row>
    <row r="27" spans="1:5" x14ac:dyDescent="0.2">
      <c r="A27" s="6" t="s">
        <v>38</v>
      </c>
      <c r="B27" s="2" t="str">
        <f>IF($D$19&lt;0,"eps_b2 / eps_s2","eps_b1 / eps_s1")</f>
        <v>eps_b1 / eps_s1</v>
      </c>
      <c r="C27" s="3"/>
      <c r="D27" s="11" t="str">
        <f>[1]!StBRechteckMN_0($D$6,$D$7,$D$8,$E$11,$E$12,$E$13,$E$14,$D$19,$D$20,1)</f>
        <v>-1,1 / +5,0</v>
      </c>
      <c r="E27" s="4"/>
    </row>
    <row r="28" spans="1:5" ht="15.75" x14ac:dyDescent="0.3">
      <c r="A28" s="1" t="str">
        <f>IF($D$19&lt;0,"""Druckseite""","Druckseite")</f>
        <v>Druckseite</v>
      </c>
      <c r="B28" s="2" t="s">
        <v>49</v>
      </c>
      <c r="C28" s="3" t="s">
        <v>12</v>
      </c>
      <c r="D28" s="13">
        <f>[1]!StBRechteckMN_0($D$6,$D$7,$D$8,$E$11,$E$12,$E$13,$E$14,$D$19,$D$20,2)</f>
        <v>0</v>
      </c>
    </row>
    <row r="29" spans="1:5" ht="15.75" x14ac:dyDescent="0.3">
      <c r="A29" s="1" t="str">
        <f>IF($D$19&lt;0,"""Zugseite""","Zugseite")</f>
        <v>Zugseite</v>
      </c>
      <c r="B29" s="2" t="s">
        <v>48</v>
      </c>
      <c r="C29" s="3" t="s">
        <v>12</v>
      </c>
      <c r="D29" s="13">
        <f>[1]!StBRechteckMN_0($D$6,$D$7,$D$8,$E$11,$E$12,$E$13,$E$14,$D$19,$D$20,3)</f>
        <v>14.362662760142353</v>
      </c>
    </row>
    <row r="30" spans="1:5" x14ac:dyDescent="0.2">
      <c r="A30" s="1" t="s">
        <v>77</v>
      </c>
      <c r="B30" s="2"/>
      <c r="C30" s="2"/>
      <c r="D30" s="11" t="str">
        <f>[1]!StBRechteckMN_0($D$6,$D$7,$D$8,$E$11,$E$12,$E$13,$E$14,$D$19,$D$20,4)</f>
        <v/>
      </c>
      <c r="E30" s="15"/>
    </row>
    <row r="31" spans="1:5" x14ac:dyDescent="0.2">
      <c r="A31" s="6" t="s">
        <v>75</v>
      </c>
      <c r="B31" s="2"/>
      <c r="C31" s="2"/>
      <c r="D31" s="3"/>
      <c r="E31" s="12"/>
    </row>
    <row r="32" spans="1:5" x14ac:dyDescent="0.2">
      <c r="A32" s="6" t="s">
        <v>76</v>
      </c>
      <c r="B32" s="2"/>
      <c r="C32" s="2"/>
      <c r="D32" s="3"/>
      <c r="E32" s="12"/>
    </row>
    <row r="33" spans="1:8" x14ac:dyDescent="0.2">
      <c r="A33" s="1" t="s">
        <v>78</v>
      </c>
      <c r="B33" s="2"/>
      <c r="C33" s="2"/>
      <c r="D33" s="3"/>
    </row>
    <row r="35" spans="1:8" x14ac:dyDescent="0.2">
      <c r="A35" s="7" t="s">
        <v>28</v>
      </c>
    </row>
    <row r="36" spans="1:8" ht="15.75" x14ac:dyDescent="0.3">
      <c r="A36" s="1" t="str">
        <f>IF($D$19&lt;0,"""Druckseite""","Druckseite")</f>
        <v>Druckseite</v>
      </c>
      <c r="B36" s="2" t="s">
        <v>56</v>
      </c>
      <c r="C36" s="3" t="s">
        <v>12</v>
      </c>
      <c r="D36" s="8">
        <f>D28</f>
        <v>0</v>
      </c>
    </row>
    <row r="37" spans="1:8" ht="15.75" x14ac:dyDescent="0.3">
      <c r="A37" s="1" t="str">
        <f>IF($D$19&lt;0,"""Zugseite""","Zugseite")</f>
        <v>Zugseite</v>
      </c>
      <c r="B37" s="2" t="s">
        <v>57</v>
      </c>
      <c r="C37" s="3" t="s">
        <v>12</v>
      </c>
      <c r="D37" s="8">
        <f>D29</f>
        <v>14.362662760142353</v>
      </c>
    </row>
    <row r="38" spans="1:8" x14ac:dyDescent="0.2">
      <c r="A38" s="6" t="s">
        <v>38</v>
      </c>
      <c r="B38" s="2" t="str">
        <f>IF($D$19&lt;0,"eps_b2 / eps_s2","eps_b1 / eps_s1")</f>
        <v>eps_b1 / eps_s1</v>
      </c>
      <c r="C38" s="3"/>
      <c r="D38" s="11" t="str">
        <f>[1]!StBRechteckQ_0($D$6,$D$7,$D$8,$E$11,$E$12,$E$14,$D$19,$D$20,$D$21,$D$36,$D$37,1)</f>
        <v>-1,1 / +5,0</v>
      </c>
      <c r="E38" s="4"/>
    </row>
    <row r="39" spans="1:8" x14ac:dyDescent="0.2">
      <c r="A39" s="6" t="s">
        <v>41</v>
      </c>
      <c r="B39" s="2" t="s">
        <v>26</v>
      </c>
      <c r="C39" s="3" t="s">
        <v>44</v>
      </c>
      <c r="D39" s="16">
        <f>[1]!StBRechteckQ_0($D$6,$D$7,$D$8,$E$11,$E$12,$E$14,$D$19,$D$20,$D$21,$D$36,$D$37,3)</f>
        <v>487.46218697393408</v>
      </c>
      <c r="E39" s="4"/>
    </row>
    <row r="40" spans="1:8" x14ac:dyDescent="0.2">
      <c r="A40" s="6" t="s">
        <v>43</v>
      </c>
      <c r="B40" s="2" t="s">
        <v>15</v>
      </c>
      <c r="C40" s="3" t="s">
        <v>16</v>
      </c>
      <c r="D40" s="17">
        <f>[1]!StBRechteckQ_0($D$6,$D$7,$D$8,$E$11,$E$12,$E$14,$D$19,$D$20,$D$21,$D$36,$D$37,5)</f>
        <v>0.82057646867569056</v>
      </c>
      <c r="E40" s="4"/>
      <c r="H40" s="4"/>
    </row>
    <row r="41" spans="1:8" x14ac:dyDescent="0.2">
      <c r="A41" s="6" t="s">
        <v>37</v>
      </c>
      <c r="B41" s="2" t="s">
        <v>21</v>
      </c>
      <c r="C41" s="3" t="s">
        <v>17</v>
      </c>
      <c r="D41" s="18">
        <f>[1]!StBRechteckQ_0($D$6,$D$7,$D$8,$E$11,$E$12,$E$14,$D$19,$D$20,$D$21,$D$36,$D$37,6)</f>
        <v>13.092833851694072</v>
      </c>
      <c r="E41" s="4"/>
    </row>
    <row r="42" spans="1:8" x14ac:dyDescent="0.2">
      <c r="A42" s="1" t="s">
        <v>22</v>
      </c>
      <c r="B42" s="3"/>
      <c r="C42" s="19" t="str">
        <f>[1]!StBRechteckQ_0($D$6,$D$7,$D$8,$E$11,$E$12,$E$14,$D$19,$D$20,$D$21,$D$36,$D$37,7)</f>
        <v>2 (vermind. Schubdeck.)</v>
      </c>
      <c r="D42" s="14"/>
      <c r="E42" s="4"/>
    </row>
    <row r="43" spans="1:8" x14ac:dyDescent="0.2">
      <c r="A43" s="1" t="s">
        <v>40</v>
      </c>
      <c r="B43" s="3"/>
      <c r="C43" s="1" t="str">
        <f>[1]!StBRechteckQ_0($D$6,$D$7,$D$8,$E$11,$E$12,$E$14,$D$19,$D$20,$D$21,$D$36,$D$37,8)</f>
        <v/>
      </c>
      <c r="D43" s="3"/>
      <c r="E43" s="4"/>
    </row>
  </sheetData>
  <sheetProtection sheet="1" objects="1" scenarios="1"/>
  <mergeCells count="1">
    <mergeCell ref="C1:F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1"/>
  <dimension ref="A1:M59"/>
  <sheetViews>
    <sheetView showGridLines="0" workbookViewId="0">
      <selection activeCell="A49" sqref="A49:C50"/>
    </sheetView>
  </sheetViews>
  <sheetFormatPr defaultColWidth="11.42578125" defaultRowHeight="12.75" x14ac:dyDescent="0.2"/>
  <cols>
    <col min="1" max="5" width="6.7109375" customWidth="1"/>
    <col min="6" max="6" width="7.7109375" customWidth="1"/>
    <col min="7" max="12" width="6.7109375" customWidth="1"/>
    <col min="13" max="13" width="7.7109375" customWidth="1"/>
  </cols>
  <sheetData>
    <row r="1" spans="1:13" s="4" customFormat="1" ht="50.25" x14ac:dyDescent="0.7">
      <c r="A1" s="25" t="s">
        <v>24</v>
      </c>
      <c r="C1" s="27"/>
      <c r="D1" s="410" t="s">
        <v>186</v>
      </c>
      <c r="E1" s="411"/>
      <c r="F1" s="411"/>
      <c r="G1" s="411"/>
      <c r="H1" s="414"/>
      <c r="I1" s="414"/>
    </row>
    <row r="2" spans="1:13" s="4" customFormat="1" x14ac:dyDescent="0.2"/>
    <row r="3" spans="1:13" s="4" customFormat="1" ht="14.25" x14ac:dyDescent="0.2">
      <c r="A3" s="26" t="s">
        <v>67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5" spans="1:13" x14ac:dyDescent="0.2">
      <c r="A5" s="7" t="s">
        <v>84</v>
      </c>
      <c r="H5" s="7" t="s">
        <v>96</v>
      </c>
    </row>
    <row r="6" spans="1:13" ht="15.75" x14ac:dyDescent="0.3">
      <c r="A6" s="1" t="s">
        <v>2</v>
      </c>
      <c r="B6" s="2"/>
      <c r="C6" s="2"/>
      <c r="D6" s="2" t="s">
        <v>9</v>
      </c>
      <c r="E6" s="3" t="s">
        <v>44</v>
      </c>
      <c r="F6" s="10">
        <v>880</v>
      </c>
      <c r="H6" s="1" t="s">
        <v>128</v>
      </c>
      <c r="I6" s="2"/>
      <c r="J6" s="2"/>
      <c r="K6" s="2" t="s">
        <v>87</v>
      </c>
      <c r="L6" s="3"/>
      <c r="M6" s="5">
        <v>30</v>
      </c>
    </row>
    <row r="7" spans="1:13" ht="14.25" x14ac:dyDescent="0.2">
      <c r="A7" s="1" t="s">
        <v>3</v>
      </c>
      <c r="B7" s="2"/>
      <c r="C7" s="2"/>
      <c r="D7" s="2" t="s">
        <v>23</v>
      </c>
      <c r="E7" s="3" t="s">
        <v>44</v>
      </c>
      <c r="F7" s="10">
        <v>105</v>
      </c>
      <c r="H7" s="1" t="s">
        <v>129</v>
      </c>
      <c r="I7" s="2"/>
      <c r="J7" s="2"/>
      <c r="K7" s="28" t="s">
        <v>85</v>
      </c>
      <c r="L7" s="3" t="s">
        <v>86</v>
      </c>
      <c r="M7" s="29">
        <v>0.85</v>
      </c>
    </row>
    <row r="8" spans="1:13" ht="15.75" x14ac:dyDescent="0.3">
      <c r="H8" s="30" t="s">
        <v>130</v>
      </c>
      <c r="I8" s="31"/>
      <c r="J8" s="31"/>
      <c r="K8" s="32" t="s">
        <v>88</v>
      </c>
      <c r="L8" s="33" t="s">
        <v>86</v>
      </c>
      <c r="M8" s="48">
        <v>-2E-3</v>
      </c>
    </row>
    <row r="9" spans="1:13" ht="15.75" x14ac:dyDescent="0.3">
      <c r="A9" s="7" t="s">
        <v>97</v>
      </c>
      <c r="H9" s="41" t="s">
        <v>131</v>
      </c>
      <c r="I9" s="4"/>
      <c r="J9" s="4"/>
      <c r="K9" s="40" t="s">
        <v>89</v>
      </c>
      <c r="L9" s="42" t="s">
        <v>86</v>
      </c>
      <c r="M9" s="49">
        <v>-3.5000000000000001E-3</v>
      </c>
    </row>
    <row r="10" spans="1:13" ht="15.75" x14ac:dyDescent="0.3">
      <c r="A10" s="1" t="s">
        <v>119</v>
      </c>
      <c r="B10" s="2"/>
      <c r="C10" s="2"/>
      <c r="D10" s="2" t="s">
        <v>91</v>
      </c>
      <c r="E10" s="3"/>
      <c r="F10" s="5">
        <v>500</v>
      </c>
      <c r="H10" s="34" t="s">
        <v>132</v>
      </c>
      <c r="I10" s="35"/>
      <c r="J10" s="35"/>
      <c r="K10" s="35" t="s">
        <v>103</v>
      </c>
      <c r="L10" s="37" t="s">
        <v>86</v>
      </c>
      <c r="M10" s="50">
        <v>2</v>
      </c>
    </row>
    <row r="11" spans="1:13" ht="15.75" x14ac:dyDescent="0.3">
      <c r="A11" s="1" t="s">
        <v>120</v>
      </c>
      <c r="B11" s="2"/>
      <c r="C11" s="2"/>
      <c r="D11" s="2" t="s">
        <v>92</v>
      </c>
      <c r="E11" s="3"/>
      <c r="F11" s="10">
        <v>525</v>
      </c>
      <c r="H11" s="1" t="s">
        <v>105</v>
      </c>
      <c r="I11" s="2"/>
      <c r="J11" s="2"/>
      <c r="K11" s="28" t="s">
        <v>94</v>
      </c>
      <c r="L11" s="3" t="s">
        <v>86</v>
      </c>
      <c r="M11" s="29">
        <v>1.8</v>
      </c>
    </row>
    <row r="12" spans="1:13" ht="15.75" x14ac:dyDescent="0.3">
      <c r="A12" s="30" t="s">
        <v>121</v>
      </c>
      <c r="B12" s="31"/>
      <c r="C12" s="31"/>
      <c r="D12" s="38" t="s">
        <v>93</v>
      </c>
      <c r="E12" s="33"/>
      <c r="F12" s="39">
        <v>200000</v>
      </c>
      <c r="H12" s="9" t="s">
        <v>124</v>
      </c>
    </row>
    <row r="13" spans="1:13" ht="15.75" x14ac:dyDescent="0.3">
      <c r="A13" s="34" t="s">
        <v>122</v>
      </c>
      <c r="B13" s="35"/>
      <c r="C13" s="35"/>
      <c r="D13" s="36" t="s">
        <v>90</v>
      </c>
      <c r="E13" s="37" t="s">
        <v>86</v>
      </c>
      <c r="F13" s="47">
        <v>2.5000000000000001E-2</v>
      </c>
      <c r="H13" s="9" t="s">
        <v>125</v>
      </c>
    </row>
    <row r="14" spans="1:13" ht="15.75" x14ac:dyDescent="0.3">
      <c r="A14" s="1" t="s">
        <v>123</v>
      </c>
      <c r="B14" s="2"/>
      <c r="C14" s="2"/>
      <c r="D14" s="28" t="s">
        <v>95</v>
      </c>
      <c r="E14" s="3" t="s">
        <v>86</v>
      </c>
      <c r="F14" s="29">
        <v>1.1499999999999999</v>
      </c>
      <c r="H14" s="9" t="s">
        <v>126</v>
      </c>
    </row>
    <row r="15" spans="1:13" ht="15.75" x14ac:dyDescent="0.3">
      <c r="A15" s="43" t="s">
        <v>116</v>
      </c>
      <c r="B15" s="4"/>
      <c r="C15" s="4"/>
      <c r="D15" s="40"/>
      <c r="E15" s="4"/>
      <c r="H15" t="s">
        <v>106</v>
      </c>
    </row>
    <row r="16" spans="1:13" ht="15.75" x14ac:dyDescent="0.3">
      <c r="A16" s="9" t="s">
        <v>117</v>
      </c>
      <c r="B16" s="4"/>
      <c r="C16" s="4"/>
      <c r="D16" s="40"/>
      <c r="E16" s="4"/>
      <c r="H16" t="s">
        <v>108</v>
      </c>
    </row>
    <row r="17" spans="1:13" ht="15.75" x14ac:dyDescent="0.3">
      <c r="A17" s="9" t="s">
        <v>118</v>
      </c>
      <c r="H17" s="9" t="s">
        <v>127</v>
      </c>
    </row>
    <row r="18" spans="1:13" x14ac:dyDescent="0.2">
      <c r="H18" t="s">
        <v>109</v>
      </c>
    </row>
    <row r="19" spans="1:13" ht="15.75" x14ac:dyDescent="0.3">
      <c r="H19" t="s">
        <v>104</v>
      </c>
    </row>
    <row r="20" spans="1:13" ht="15.75" x14ac:dyDescent="0.3">
      <c r="H20" t="s">
        <v>110</v>
      </c>
    </row>
    <row r="21" spans="1:13" x14ac:dyDescent="0.2">
      <c r="H21" t="s">
        <v>107</v>
      </c>
    </row>
    <row r="23" spans="1:13" x14ac:dyDescent="0.2">
      <c r="F23" s="7" t="s">
        <v>165</v>
      </c>
      <c r="H23" s="7" t="s">
        <v>166</v>
      </c>
      <c r="J23" s="7" t="s">
        <v>167</v>
      </c>
    </row>
    <row r="24" spans="1:13" ht="14.25" x14ac:dyDescent="0.2">
      <c r="A24" s="7" t="s">
        <v>164</v>
      </c>
      <c r="F24" s="51" t="s">
        <v>157</v>
      </c>
      <c r="H24" s="51" t="s">
        <v>159</v>
      </c>
      <c r="J24" s="51" t="s">
        <v>158</v>
      </c>
    </row>
    <row r="25" spans="1:13" x14ac:dyDescent="0.2">
      <c r="A25" s="1" t="s">
        <v>98</v>
      </c>
      <c r="B25" s="2"/>
      <c r="C25" s="2"/>
      <c r="D25" s="2" t="s">
        <v>11</v>
      </c>
      <c r="E25" s="3" t="s">
        <v>6</v>
      </c>
      <c r="F25" s="5">
        <v>300</v>
      </c>
      <c r="G25" s="67"/>
      <c r="H25" s="5">
        <f>F25</f>
        <v>300</v>
      </c>
      <c r="I25" s="67"/>
      <c r="J25" s="5">
        <v>719</v>
      </c>
      <c r="M25" s="68">
        <f>IF($J25="",$F25*$F$28+$H25*$H$28,$J25)</f>
        <v>719</v>
      </c>
    </row>
    <row r="26" spans="1:13" ht="14.25" x14ac:dyDescent="0.2">
      <c r="A26" s="1" t="s">
        <v>170</v>
      </c>
      <c r="B26" s="2"/>
      <c r="C26" s="2"/>
      <c r="D26" s="2" t="s">
        <v>10</v>
      </c>
      <c r="E26" s="3" t="s">
        <v>4</v>
      </c>
      <c r="F26" s="5">
        <v>0</v>
      </c>
      <c r="G26" s="67"/>
      <c r="H26" s="5">
        <f>F26</f>
        <v>0</v>
      </c>
      <c r="I26" s="67"/>
      <c r="J26" s="5">
        <v>-1000</v>
      </c>
      <c r="M26" s="68">
        <f>IF($J26="",$F26*$F$28+$H26*$H$28,$J26)</f>
        <v>-1000</v>
      </c>
    </row>
    <row r="27" spans="1:13" x14ac:dyDescent="0.2">
      <c r="A27" s="1" t="s">
        <v>13</v>
      </c>
      <c r="B27" s="2"/>
      <c r="C27" s="2"/>
      <c r="D27" s="2" t="s">
        <v>14</v>
      </c>
      <c r="E27" s="3" t="s">
        <v>4</v>
      </c>
      <c r="F27" s="5">
        <v>200</v>
      </c>
      <c r="G27" s="67"/>
      <c r="H27" s="5">
        <f>F27</f>
        <v>200</v>
      </c>
      <c r="I27" s="67"/>
      <c r="J27" s="5">
        <v>700</v>
      </c>
      <c r="M27" s="68">
        <f>IF($J27="",$F27*$F$28+$H27*$H$28,$J27)</f>
        <v>700</v>
      </c>
    </row>
    <row r="28" spans="1:13" x14ac:dyDescent="0.2">
      <c r="A28" s="1" t="s">
        <v>162</v>
      </c>
      <c r="B28" s="2"/>
      <c r="C28" s="2"/>
      <c r="D28" s="28" t="s">
        <v>156</v>
      </c>
      <c r="E28" s="3" t="s">
        <v>86</v>
      </c>
      <c r="F28" s="29">
        <v>1.35</v>
      </c>
      <c r="G28" s="67"/>
      <c r="H28" s="29">
        <v>1.5</v>
      </c>
      <c r="I28" s="67"/>
      <c r="J28" s="29"/>
      <c r="M28" s="54">
        <f>IF(AND($J$25="",$J$26=""),($M$25+$M$26/$F$6*1000)/($F$25+$H$25+($F$26+$H$26)/$F$6*1000),$J$28)</f>
        <v>0</v>
      </c>
    </row>
    <row r="29" spans="1:13" ht="14.25" x14ac:dyDescent="0.2">
      <c r="A29" s="9" t="s">
        <v>169</v>
      </c>
    </row>
    <row r="30" spans="1:13" x14ac:dyDescent="0.2">
      <c r="A30" t="s">
        <v>171</v>
      </c>
    </row>
    <row r="31" spans="1:13" x14ac:dyDescent="0.2">
      <c r="A31" t="s">
        <v>172</v>
      </c>
    </row>
    <row r="32" spans="1:13" ht="14.25" x14ac:dyDescent="0.2">
      <c r="A32" s="9" t="s">
        <v>168</v>
      </c>
    </row>
    <row r="34" spans="1:13" x14ac:dyDescent="0.2">
      <c r="A34" s="7" t="s">
        <v>29</v>
      </c>
    </row>
    <row r="35" spans="1:13" ht="15.75" x14ac:dyDescent="0.3">
      <c r="A35" s="44" t="s">
        <v>99</v>
      </c>
      <c r="B35" s="31"/>
      <c r="C35" s="31"/>
      <c r="D35" s="32" t="s">
        <v>102</v>
      </c>
      <c r="E35" s="33" t="s">
        <v>86</v>
      </c>
      <c r="F35" s="45">
        <f>[1]!StB01KreisMN_0($F$6,$F$7,$M$6,$M$7,$M$8,$M$9,$M$10,$M$11,$F$10,$F$11,$F$12,$F$13,$F$14,$M$25,$M$26,1)</f>
        <v>-3.5000000000000001E-3</v>
      </c>
      <c r="H35" s="1" t="s">
        <v>77</v>
      </c>
      <c r="I35" s="2"/>
      <c r="J35" s="2"/>
      <c r="K35" s="2"/>
      <c r="L35" s="3"/>
      <c r="M35" s="11" t="str">
        <f>[1]!StB01KreisMN_0($F$6,$F$7,$M$6,$M$7,$M$8,$M$9,$M$10,$M$11,$F$10,$F$11,$F$12,$F$13,$F$14,$M$25,$M$26,6)</f>
        <v/>
      </c>
    </row>
    <row r="36" spans="1:13" x14ac:dyDescent="0.2">
      <c r="A36" s="34"/>
      <c r="B36" s="35"/>
      <c r="C36" s="35"/>
      <c r="D36" s="35"/>
      <c r="E36" s="37"/>
      <c r="F36" s="46">
        <f>[1]!StB01KreisMN_0($F$6,$F$7,$M$6,$M$7,$M$8,$M$9,$M$10,$M$11,$F$10,$F$11,$F$12,$F$13,$F$14,$M$25,$M$26,2)</f>
        <v>8.3435104868214583E-3</v>
      </c>
      <c r="H36" s="65" t="s">
        <v>75</v>
      </c>
      <c r="I36" s="2"/>
      <c r="J36" s="2"/>
      <c r="K36" s="2"/>
      <c r="L36" s="2"/>
      <c r="M36" s="3"/>
    </row>
    <row r="37" spans="1:13" ht="15.75" x14ac:dyDescent="0.3">
      <c r="A37" s="44" t="s">
        <v>100</v>
      </c>
      <c r="B37" s="31"/>
      <c r="C37" s="31"/>
      <c r="D37" s="32" t="s">
        <v>101</v>
      </c>
      <c r="E37" s="33" t="s">
        <v>86</v>
      </c>
      <c r="F37" s="45">
        <f>[1]!StB01KreisMN_0($F$6,$F$7,$M$6,$M$7,$M$8,$M$9,$M$10,$M$11,$F$10,$F$11,$F$12,$F$13,$F$14,$M$25,$M$26,3)</f>
        <v>-2.0868538623678942E-3</v>
      </c>
      <c r="H37" s="65" t="s">
        <v>76</v>
      </c>
      <c r="I37" s="2"/>
      <c r="J37" s="2"/>
      <c r="K37" s="2"/>
      <c r="L37" s="2"/>
      <c r="M37" s="3"/>
    </row>
    <row r="38" spans="1:13" x14ac:dyDescent="0.2">
      <c r="A38" s="34"/>
      <c r="B38" s="35"/>
      <c r="C38" s="35"/>
      <c r="D38" s="35"/>
      <c r="E38" s="37"/>
      <c r="F38" s="46">
        <f>[1]!StB01KreisMN_0($F$6,$F$7,$M$6,$M$7,$M$8,$M$9,$M$10,$M$11,$F$10,$F$11,$F$12,$F$13,$F$14,$M$25,$M$26,4)</f>
        <v>6.9303643491893524E-3</v>
      </c>
      <c r="H38" s="66" t="s">
        <v>78</v>
      </c>
      <c r="I38" s="2"/>
      <c r="J38" s="2"/>
      <c r="K38" s="2"/>
      <c r="L38" s="2"/>
      <c r="M38" s="3"/>
    </row>
    <row r="39" spans="1:13" ht="15.75" x14ac:dyDescent="0.3">
      <c r="A39" s="6" t="s">
        <v>20</v>
      </c>
      <c r="B39" s="2"/>
      <c r="C39" s="2"/>
      <c r="D39" s="2" t="s">
        <v>137</v>
      </c>
      <c r="E39" s="3" t="s">
        <v>12</v>
      </c>
      <c r="F39" s="13">
        <f>[1]!StB01KreisMN_0($F$6,$F$7,$M$6,$M$7,$M$8,$M$9,$M$10,$M$11,$F$10,$F$11,$F$12,$F$13,$F$14,$M$25,$M$26,5)</f>
        <v>33.057608721088542</v>
      </c>
    </row>
    <row r="40" spans="1:13" ht="15.75" x14ac:dyDescent="0.3">
      <c r="A40" s="6" t="s">
        <v>160</v>
      </c>
      <c r="B40" s="2"/>
      <c r="C40" s="2"/>
      <c r="D40" s="28" t="s">
        <v>163</v>
      </c>
      <c r="E40" s="3" t="s">
        <v>86</v>
      </c>
      <c r="F40" s="18">
        <f>[1]!StB01KreisMN_0($F$6,$F$7,$M$6,$M$7,$M$8,$M$9,$M$10,$M$11,$F$10,$F$11,$F$12,$F$13,$F$14,$M$25,$M$26,22)</f>
        <v>1.5983667247769908</v>
      </c>
      <c r="H40" s="6" t="s">
        <v>111</v>
      </c>
      <c r="I40" s="2"/>
      <c r="J40" s="2"/>
      <c r="K40" s="28" t="s">
        <v>35</v>
      </c>
      <c r="L40" s="3" t="s">
        <v>86</v>
      </c>
      <c r="M40" s="18">
        <f>$M$28*$F$40</f>
        <v>0</v>
      </c>
    </row>
    <row r="42" spans="1:13" x14ac:dyDescent="0.2">
      <c r="A42" s="7" t="s">
        <v>28</v>
      </c>
    </row>
    <row r="43" spans="1:13" ht="15.75" x14ac:dyDescent="0.25">
      <c r="A43" s="70">
        <v>1</v>
      </c>
      <c r="E43" s="70">
        <v>1</v>
      </c>
      <c r="G43" s="9" t="s">
        <v>183</v>
      </c>
    </row>
    <row r="44" spans="1:13" ht="15.75" x14ac:dyDescent="0.3">
      <c r="A44" s="1" t="s">
        <v>20</v>
      </c>
      <c r="B44" s="2"/>
      <c r="C44" s="2"/>
      <c r="D44" s="2" t="s">
        <v>138</v>
      </c>
      <c r="E44" s="3" t="s">
        <v>12</v>
      </c>
      <c r="F44" s="8">
        <f>$F$39</f>
        <v>33.057608721088542</v>
      </c>
    </row>
    <row r="45" spans="1:13" ht="15.75" x14ac:dyDescent="0.3">
      <c r="A45" s="44" t="s">
        <v>99</v>
      </c>
      <c r="B45" s="31"/>
      <c r="C45" s="31"/>
      <c r="D45" s="32" t="s">
        <v>102</v>
      </c>
      <c r="E45" s="33" t="s">
        <v>86</v>
      </c>
      <c r="F45" s="45">
        <f>[1]!StB01KreisQ_0($F$6,$F$7,$M$6,$M$7,$M$8,$M$9,$M$10,2400,$M$11,1.8,$F$10,$F$11,$F$12,$F$13,$F$14,$M$25,$M$26,$M$27,$F$44,IF($E$43=2,-1,1)*1)</f>
        <v>-3.5000000000000001E-3</v>
      </c>
      <c r="J45" s="1" t="s">
        <v>140</v>
      </c>
      <c r="K45" s="2"/>
      <c r="L45" s="3" t="s">
        <v>114</v>
      </c>
      <c r="M45" s="53">
        <f>[1]!StB01KreisQ_0($F$6,$F$7,$M$6,$M$7,$M$8,$M$9,$M$10,2400,$M$11,1.8,$F$10,$F$11,$F$12,$F$13,$F$14,$M$25,$M$26,$M$27,$F$44,IF($E$43=2,-1,1)*21)</f>
        <v>0.48426958460831188</v>
      </c>
    </row>
    <row r="46" spans="1:13" ht="15.75" x14ac:dyDescent="0.3">
      <c r="A46" s="34"/>
      <c r="B46" s="35"/>
      <c r="C46" s="35"/>
      <c r="D46" s="35"/>
      <c r="E46" s="37"/>
      <c r="F46" s="46">
        <f>[1]!StB01KreisQ_0($F$6,$F$7,$M$6,$M$7,$M$8,$M$9,$M$10,2400,$M$11,1.8,$F$10,$F$11,$F$12,$F$13,$F$14,$M$25,$M$26,$M$27,$F$44,IF($E$43=2,-1,1)*2)</f>
        <v>8.3427167338709675E-3</v>
      </c>
      <c r="J46" s="1" t="s">
        <v>141</v>
      </c>
      <c r="K46" s="2"/>
      <c r="L46" s="3" t="s">
        <v>114</v>
      </c>
      <c r="M46" s="53">
        <f>[1]!StB01KreisQ_0($F$6,$F$7,$M$6,$M$7,$M$8,$M$9,$M$10,2400,$M$11,1.8,$F$10,$F$11,$F$12,$F$13,$F$14,$M$25,$M$26,$M$27,$F$44,IF($E$43=2,-1,1)*22)</f>
        <v>0.80306203954264876</v>
      </c>
    </row>
    <row r="47" spans="1:13" ht="15.75" x14ac:dyDescent="0.3">
      <c r="A47" s="44" t="s">
        <v>100</v>
      </c>
      <c r="B47" s="31"/>
      <c r="C47" s="31"/>
      <c r="D47" s="32" t="s">
        <v>101</v>
      </c>
      <c r="E47" s="33" t="s">
        <v>86</v>
      </c>
      <c r="F47" s="45">
        <f>[1]!StB01KreisQ_0($F$6,$F$7,$M$6,$M$7,$M$8,$M$9,$M$10,2400,$M$11,1.8,$F$10,$F$11,$F$12,$F$13,$F$14,$M$25,$M$26,$M$27,$F$44,IF($E$43=2,-1,1)*3)</f>
        <v>-2.0869485715267594E-3</v>
      </c>
      <c r="J47" s="1" t="s">
        <v>142</v>
      </c>
      <c r="K47" s="2"/>
      <c r="L47" s="3" t="s">
        <v>86</v>
      </c>
      <c r="M47" s="54">
        <f>[1]!StB01KreisQ_0($F$6,$F$7,$M$6,$M$7,$M$8,$M$9,$M$10,2400,$M$11,1.8,$F$10,$F$11,$F$12,$F$13,$F$14,$M$25,$M$26,$M$27,$F$44,IF($E$43=2,-1,1)*23)</f>
        <v>2.1176517229909049</v>
      </c>
    </row>
    <row r="48" spans="1:13" ht="15.75" x14ac:dyDescent="0.3">
      <c r="A48" s="34"/>
      <c r="B48" s="35"/>
      <c r="C48" s="35"/>
      <c r="D48" s="35"/>
      <c r="E48" s="37"/>
      <c r="F48" s="46">
        <f>[1]!StB01KreisQ_0($F$6,$F$7,$M$6,$M$7,$M$8,$M$9,$M$10,2400,$M$11,1.8,$F$10,$F$11,$F$12,$F$13,$F$14,$M$25,$M$26,$M$27,$F$44,IF($E$43=2,-1,1)*4)</f>
        <v>6.9296653053977277E-3</v>
      </c>
      <c r="J48" s="1" t="s">
        <v>143</v>
      </c>
      <c r="K48" s="2"/>
      <c r="L48" s="3" t="s">
        <v>115</v>
      </c>
      <c r="M48" s="53">
        <f>[1]!StB01KreisQ_0($F$6,$F$7,$M$6,$M$7,$M$8,$M$9,$M$10,2400,$M$11,1.8,$F$10,$F$11,$F$12,$F$13,$F$14,$M$25,$M$26,$M$27,$F$44,IF($E$43=2,-1,1)*24)</f>
        <v>0.28251172327232543</v>
      </c>
    </row>
    <row r="49" spans="1:13" ht="15.75" x14ac:dyDescent="0.3">
      <c r="A49" s="6" t="s">
        <v>133</v>
      </c>
      <c r="B49" s="2"/>
      <c r="C49" s="2"/>
      <c r="D49" s="2" t="s">
        <v>139</v>
      </c>
      <c r="E49" s="14" t="s">
        <v>17</v>
      </c>
      <c r="F49" s="18">
        <f>[1]!StB01KreisQ_0($F$6,$F$7,$M$6,$M$7,$M$8,$M$9,$M$10,2400,$M$11,1.8,$F$10,$F$11,$F$12,$F$13,$F$14,$M$25,$M$26,$M$27,$F$44,IF($E$43=2,-1,1)*IF($A$43=2,15,5))</f>
        <v>15.699439473712461</v>
      </c>
      <c r="J49" s="1" t="s">
        <v>144</v>
      </c>
      <c r="K49" s="2"/>
      <c r="L49" s="3" t="s">
        <v>115</v>
      </c>
      <c r="M49" s="53">
        <f>[1]!StB01KreisQ_0($F$6,$F$7,$M$6,$M$7,$M$8,$M$9,$M$10,2400,$M$11,1.8,$F$10,$F$11,$F$12,$F$13,$F$14,$M$25,$M$26,$M$27,$F$44,IF($E$43=2,-1,1)*25)</f>
        <v>1.5954631480323678</v>
      </c>
    </row>
    <row r="50" spans="1:13" x14ac:dyDescent="0.2">
      <c r="A50" s="1" t="s">
        <v>113</v>
      </c>
      <c r="B50" s="2"/>
      <c r="C50" s="3"/>
      <c r="D50" s="20">
        <f>[1]!StB01KreisQ_0($F$6,$F$7,$M$6,$M$7,$M$8,$M$9,$M$10,2400,$M$11,1.8,$F$10,$F$11,$F$12,$F$13,$F$14,$M$25,$M$26,$M$27,$F$44,IF($E$43=2,-1,1)*6)</f>
        <v>1</v>
      </c>
      <c r="E50" s="52"/>
      <c r="F50" s="14"/>
    </row>
    <row r="51" spans="1:13" ht="14.25" x14ac:dyDescent="0.2">
      <c r="A51" s="71" t="s">
        <v>184</v>
      </c>
    </row>
    <row r="56" spans="1:13" hidden="1" x14ac:dyDescent="0.2"/>
    <row r="57" spans="1:13" hidden="1" x14ac:dyDescent="0.2">
      <c r="A57" t="s">
        <v>179</v>
      </c>
      <c r="E57" t="s">
        <v>181</v>
      </c>
    </row>
    <row r="58" spans="1:13" hidden="1" x14ac:dyDescent="0.2">
      <c r="A58" t="s">
        <v>180</v>
      </c>
      <c r="E58" t="s">
        <v>182</v>
      </c>
    </row>
    <row r="59" spans="1:13" hidden="1" x14ac:dyDescent="0.2"/>
  </sheetData>
  <sheetProtection sheet="1" objects="1" scenarios="1"/>
  <mergeCells count="1">
    <mergeCell ref="D1:I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Drop Down 2">
              <controlPr defaultSize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Drop Down 3">
              <controlPr defaultSize="0" autoLine="0" autoPict="0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2"/>
  <dimension ref="A1:M61"/>
  <sheetViews>
    <sheetView showGridLines="0" workbookViewId="0">
      <selection activeCell="A49" sqref="A49:C50"/>
    </sheetView>
  </sheetViews>
  <sheetFormatPr defaultColWidth="11.42578125" defaultRowHeight="12.75" x14ac:dyDescent="0.2"/>
  <cols>
    <col min="1" max="5" width="6.7109375" customWidth="1"/>
    <col min="6" max="6" width="7.7109375" customWidth="1"/>
    <col min="7" max="12" width="6.7109375" customWidth="1"/>
    <col min="13" max="13" width="7.7109375" customWidth="1"/>
  </cols>
  <sheetData>
    <row r="1" spans="1:13" s="4" customFormat="1" ht="50.25" x14ac:dyDescent="0.7">
      <c r="A1" s="25" t="s">
        <v>24</v>
      </c>
      <c r="C1" s="27"/>
      <c r="D1" s="412" t="s">
        <v>147</v>
      </c>
      <c r="E1" s="414"/>
      <c r="F1" s="414"/>
      <c r="G1" s="414"/>
      <c r="H1" s="414"/>
      <c r="I1" s="414"/>
      <c r="J1" s="414"/>
      <c r="K1" s="414"/>
    </row>
    <row r="2" spans="1:13" s="4" customFormat="1" x14ac:dyDescent="0.2"/>
    <row r="3" spans="1:13" s="4" customFormat="1" ht="14.25" x14ac:dyDescent="0.2">
      <c r="A3" s="26" t="s">
        <v>67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5" spans="1:13" x14ac:dyDescent="0.2">
      <c r="A5" s="7" t="s">
        <v>84</v>
      </c>
      <c r="H5" s="7" t="s">
        <v>96</v>
      </c>
    </row>
    <row r="6" spans="1:13" ht="15.75" x14ac:dyDescent="0.3">
      <c r="A6" s="1" t="s">
        <v>2</v>
      </c>
      <c r="B6" s="2"/>
      <c r="C6" s="2"/>
      <c r="D6" s="2" t="s">
        <v>9</v>
      </c>
      <c r="E6" s="3" t="s">
        <v>44</v>
      </c>
      <c r="F6" s="10">
        <v>750</v>
      </c>
      <c r="H6" s="1" t="s">
        <v>128</v>
      </c>
      <c r="I6" s="2"/>
      <c r="J6" s="2"/>
      <c r="K6" s="2" t="s">
        <v>87</v>
      </c>
      <c r="L6" s="3"/>
      <c r="M6" s="5">
        <v>20</v>
      </c>
    </row>
    <row r="7" spans="1:13" ht="14.25" x14ac:dyDescent="0.2">
      <c r="A7" s="1" t="s">
        <v>3</v>
      </c>
      <c r="B7" s="2"/>
      <c r="C7" s="2"/>
      <c r="D7" s="2" t="s">
        <v>23</v>
      </c>
      <c r="E7" s="3" t="s">
        <v>44</v>
      </c>
      <c r="F7" s="10">
        <v>105</v>
      </c>
      <c r="H7" s="1" t="s">
        <v>129</v>
      </c>
      <c r="I7" s="2"/>
      <c r="J7" s="2"/>
      <c r="K7" s="28" t="s">
        <v>85</v>
      </c>
      <c r="L7" s="3" t="s">
        <v>86</v>
      </c>
      <c r="M7" s="29">
        <v>0.85</v>
      </c>
    </row>
    <row r="8" spans="1:13" ht="15.75" x14ac:dyDescent="0.3">
      <c r="A8" s="1" t="s">
        <v>70</v>
      </c>
      <c r="B8" s="2"/>
      <c r="C8" s="2"/>
      <c r="D8" s="28" t="s">
        <v>34</v>
      </c>
      <c r="E8" s="3" t="s">
        <v>69</v>
      </c>
      <c r="F8" s="10">
        <v>90</v>
      </c>
      <c r="H8" s="30" t="s">
        <v>130</v>
      </c>
      <c r="I8" s="31"/>
      <c r="J8" s="31"/>
      <c r="K8" s="32" t="s">
        <v>88</v>
      </c>
      <c r="L8" s="33" t="s">
        <v>86</v>
      </c>
      <c r="M8" s="48">
        <v>-2E-3</v>
      </c>
    </row>
    <row r="9" spans="1:13" ht="15.75" x14ac:dyDescent="0.3">
      <c r="A9" s="1" t="s">
        <v>148</v>
      </c>
      <c r="B9" s="2"/>
      <c r="C9" s="2"/>
      <c r="D9" s="2" t="s">
        <v>149</v>
      </c>
      <c r="E9" s="3" t="s">
        <v>12</v>
      </c>
      <c r="F9" s="8">
        <v>0</v>
      </c>
      <c r="H9" s="41" t="s">
        <v>131</v>
      </c>
      <c r="I9" s="4"/>
      <c r="J9" s="4"/>
      <c r="K9" s="40" t="s">
        <v>89</v>
      </c>
      <c r="L9" s="42" t="s">
        <v>86</v>
      </c>
      <c r="M9" s="49">
        <v>-3.5000000000000001E-3</v>
      </c>
    </row>
    <row r="10" spans="1:13" ht="14.25" x14ac:dyDescent="0.2">
      <c r="H10" s="34" t="s">
        <v>132</v>
      </c>
      <c r="I10" s="35"/>
      <c r="J10" s="35"/>
      <c r="K10" s="35" t="s">
        <v>103</v>
      </c>
      <c r="L10" s="37" t="s">
        <v>86</v>
      </c>
      <c r="M10" s="50">
        <v>2</v>
      </c>
    </row>
    <row r="11" spans="1:13" ht="15.75" x14ac:dyDescent="0.3">
      <c r="A11" s="7" t="s">
        <v>97</v>
      </c>
      <c r="H11" s="1" t="s">
        <v>105</v>
      </c>
      <c r="I11" s="2"/>
      <c r="J11" s="2"/>
      <c r="K11" s="28" t="s">
        <v>94</v>
      </c>
      <c r="L11" s="3" t="s">
        <v>86</v>
      </c>
      <c r="M11" s="29">
        <v>1.5</v>
      </c>
    </row>
    <row r="12" spans="1:13" ht="15.75" x14ac:dyDescent="0.3">
      <c r="A12" s="1" t="s">
        <v>119</v>
      </c>
      <c r="B12" s="2"/>
      <c r="C12" s="2"/>
      <c r="D12" s="2" t="s">
        <v>91</v>
      </c>
      <c r="E12" s="3"/>
      <c r="F12" s="5">
        <v>500</v>
      </c>
      <c r="H12" s="9" t="s">
        <v>124</v>
      </c>
    </row>
    <row r="13" spans="1:13" ht="15.75" x14ac:dyDescent="0.3">
      <c r="A13" s="1" t="s">
        <v>120</v>
      </c>
      <c r="B13" s="2"/>
      <c r="C13" s="2"/>
      <c r="D13" s="2" t="s">
        <v>92</v>
      </c>
      <c r="E13" s="3"/>
      <c r="F13" s="10">
        <v>525</v>
      </c>
      <c r="H13" s="9" t="s">
        <v>125</v>
      </c>
    </row>
    <row r="14" spans="1:13" ht="15.75" x14ac:dyDescent="0.3">
      <c r="A14" s="30" t="s">
        <v>121</v>
      </c>
      <c r="B14" s="31"/>
      <c r="C14" s="31"/>
      <c r="D14" s="38" t="s">
        <v>93</v>
      </c>
      <c r="E14" s="33"/>
      <c r="F14" s="39">
        <v>200000</v>
      </c>
      <c r="H14" s="9" t="s">
        <v>126</v>
      </c>
    </row>
    <row r="15" spans="1:13" ht="15.75" x14ac:dyDescent="0.3">
      <c r="A15" s="34" t="s">
        <v>122</v>
      </c>
      <c r="B15" s="35"/>
      <c r="C15" s="35"/>
      <c r="D15" s="36" t="s">
        <v>90</v>
      </c>
      <c r="E15" s="37" t="s">
        <v>86</v>
      </c>
      <c r="F15" s="47">
        <v>2.5000000000000001E-2</v>
      </c>
      <c r="H15" t="s">
        <v>106</v>
      </c>
    </row>
    <row r="16" spans="1:13" ht="15.75" x14ac:dyDescent="0.3">
      <c r="A16" s="1" t="s">
        <v>123</v>
      </c>
      <c r="B16" s="2"/>
      <c r="C16" s="2"/>
      <c r="D16" s="28" t="s">
        <v>95</v>
      </c>
      <c r="E16" s="3" t="s">
        <v>86</v>
      </c>
      <c r="F16" s="29">
        <v>1.1499999999999999</v>
      </c>
      <c r="H16" t="s">
        <v>108</v>
      </c>
    </row>
    <row r="17" spans="1:13" ht="15.75" x14ac:dyDescent="0.3">
      <c r="A17" s="43" t="s">
        <v>116</v>
      </c>
      <c r="B17" s="4"/>
      <c r="C17" s="4"/>
      <c r="D17" s="40"/>
      <c r="E17" s="4"/>
      <c r="H17" s="9" t="s">
        <v>127</v>
      </c>
    </row>
    <row r="18" spans="1:13" ht="14.25" x14ac:dyDescent="0.2">
      <c r="A18" s="9" t="s">
        <v>117</v>
      </c>
      <c r="B18" s="4"/>
      <c r="C18" s="4"/>
      <c r="D18" s="40"/>
      <c r="E18" s="4"/>
      <c r="H18" t="s">
        <v>109</v>
      </c>
    </row>
    <row r="19" spans="1:13" ht="15.75" x14ac:dyDescent="0.3">
      <c r="A19" s="9" t="s">
        <v>118</v>
      </c>
      <c r="H19" t="s">
        <v>104</v>
      </c>
    </row>
    <row r="20" spans="1:13" ht="15.75" x14ac:dyDescent="0.3">
      <c r="H20" t="s">
        <v>110</v>
      </c>
    </row>
    <row r="21" spans="1:13" x14ac:dyDescent="0.2">
      <c r="H21" t="s">
        <v>107</v>
      </c>
    </row>
    <row r="23" spans="1:13" x14ac:dyDescent="0.2">
      <c r="F23" s="7" t="s">
        <v>165</v>
      </c>
      <c r="H23" s="7" t="s">
        <v>166</v>
      </c>
      <c r="J23" s="7" t="s">
        <v>167</v>
      </c>
    </row>
    <row r="24" spans="1:13" ht="14.25" x14ac:dyDescent="0.2">
      <c r="A24" s="7" t="s">
        <v>164</v>
      </c>
      <c r="F24" s="51" t="s">
        <v>157</v>
      </c>
      <c r="H24" s="51" t="s">
        <v>159</v>
      </c>
      <c r="J24" s="51" t="s">
        <v>158</v>
      </c>
    </row>
    <row r="25" spans="1:13" x14ac:dyDescent="0.2">
      <c r="A25" s="1" t="s">
        <v>98</v>
      </c>
      <c r="B25" s="2"/>
      <c r="C25" s="2"/>
      <c r="D25" s="2" t="s">
        <v>11</v>
      </c>
      <c r="E25" s="3" t="s">
        <v>6</v>
      </c>
      <c r="F25" s="5">
        <v>300</v>
      </c>
      <c r="G25" s="67"/>
      <c r="H25" s="5">
        <f>F25</f>
        <v>300</v>
      </c>
      <c r="I25" s="67"/>
      <c r="J25" s="5"/>
      <c r="M25" s="68">
        <f>IF($J25="",$F25*$F$28+$H25*$H$28,$J25)</f>
        <v>855</v>
      </c>
    </row>
    <row r="26" spans="1:13" ht="14.25" x14ac:dyDescent="0.2">
      <c r="A26" s="1" t="s">
        <v>170</v>
      </c>
      <c r="B26" s="2"/>
      <c r="C26" s="2"/>
      <c r="D26" s="2" t="s">
        <v>10</v>
      </c>
      <c r="E26" s="3" t="s">
        <v>4</v>
      </c>
      <c r="F26" s="5">
        <v>0</v>
      </c>
      <c r="G26" s="67"/>
      <c r="H26" s="5">
        <f>F26</f>
        <v>0</v>
      </c>
      <c r="I26" s="67"/>
      <c r="J26" s="5"/>
      <c r="M26" s="68">
        <f>IF($J26="",$F26*$F$28+$H26*$H$28,$J26)</f>
        <v>0</v>
      </c>
    </row>
    <row r="27" spans="1:13" x14ac:dyDescent="0.2">
      <c r="A27" s="1" t="s">
        <v>13</v>
      </c>
      <c r="B27" s="2"/>
      <c r="C27" s="2"/>
      <c r="D27" s="2" t="s">
        <v>14</v>
      </c>
      <c r="E27" s="3" t="s">
        <v>4</v>
      </c>
      <c r="F27" s="5">
        <v>200</v>
      </c>
      <c r="G27" s="67"/>
      <c r="H27" s="5">
        <f>F27</f>
        <v>200</v>
      </c>
      <c r="I27" s="67"/>
      <c r="J27" s="5"/>
      <c r="M27" s="68">
        <f>IF($J27="",$F27*$F$28+$H27*$H$28,$J27)</f>
        <v>570</v>
      </c>
    </row>
    <row r="28" spans="1:13" x14ac:dyDescent="0.2">
      <c r="A28" s="1" t="s">
        <v>162</v>
      </c>
      <c r="B28" s="2"/>
      <c r="C28" s="2"/>
      <c r="D28" s="28" t="s">
        <v>156</v>
      </c>
      <c r="E28" s="3" t="s">
        <v>86</v>
      </c>
      <c r="F28" s="29">
        <v>1.35</v>
      </c>
      <c r="G28" s="67"/>
      <c r="H28" s="29">
        <v>1.5</v>
      </c>
      <c r="I28" s="67"/>
      <c r="J28" s="29"/>
      <c r="M28" s="54">
        <f>IF(AND($J$25="",$J$26=""),($M$25+$M$26/$F$6*1000)/($F$25+$H$25+($F$26+$H$26)/$F$6*1000),$J$28)</f>
        <v>1.425</v>
      </c>
    </row>
    <row r="29" spans="1:13" ht="14.25" x14ac:dyDescent="0.2">
      <c r="A29" s="9" t="s">
        <v>169</v>
      </c>
    </row>
    <row r="30" spans="1:13" x14ac:dyDescent="0.2">
      <c r="A30" t="s">
        <v>171</v>
      </c>
    </row>
    <row r="31" spans="1:13" x14ac:dyDescent="0.2">
      <c r="A31" t="s">
        <v>172</v>
      </c>
    </row>
    <row r="32" spans="1:13" ht="14.25" x14ac:dyDescent="0.2">
      <c r="A32" s="9" t="s">
        <v>168</v>
      </c>
    </row>
    <row r="34" spans="1:13" x14ac:dyDescent="0.2">
      <c r="A34" s="7" t="s">
        <v>29</v>
      </c>
    </row>
    <row r="35" spans="1:13" ht="15.75" x14ac:dyDescent="0.3">
      <c r="A35" s="44" t="s">
        <v>99</v>
      </c>
      <c r="B35" s="31"/>
      <c r="C35" s="31"/>
      <c r="D35" s="32" t="s">
        <v>102</v>
      </c>
      <c r="E35" s="33" t="s">
        <v>86</v>
      </c>
      <c r="F35" s="45">
        <f>[1]!StB01KreisasymMN_0($F$6,$F$7,$F$8*PI()/180,$F$9,$M$6,$M$7,$M$8,$M$9,$M$10,$M$11,$F$12,$F$13,$F$14,$F$15,$F$16,$M$25,$M$26,1)</f>
        <v>-3.5000000000000001E-3</v>
      </c>
      <c r="H35" s="1" t="s">
        <v>77</v>
      </c>
      <c r="I35" s="2"/>
      <c r="J35" s="2"/>
      <c r="K35" s="2"/>
      <c r="L35" s="3"/>
      <c r="M35" s="11" t="str">
        <f>[1]!StB01KreisasymMN_0($F$6,$F$7,$F$8*PI()/180,$F$9,$M$6,$M$7,$M$8,$M$9,$M$10,$M$11,$F$12,$F$13,$F$14,$F$15,$F$16,$M$25,$M$26,7)</f>
        <v/>
      </c>
    </row>
    <row r="36" spans="1:13" x14ac:dyDescent="0.2">
      <c r="A36" s="34"/>
      <c r="B36" s="35"/>
      <c r="C36" s="35"/>
      <c r="D36" s="35"/>
      <c r="E36" s="37"/>
      <c r="F36" s="62">
        <f>[1]!StB01KreisasymMN_0($F$6,$F$7,$F$8*PI()/180,$F$9,$M$6,$M$7,$M$8,$M$9,$M$10,$M$11,$F$12,$F$13,$F$14,$F$15,$F$16,$M$25,$M$26,2)</f>
        <v>3.9270031951194589E-3</v>
      </c>
      <c r="H36" s="65" t="s">
        <v>75</v>
      </c>
      <c r="I36" s="2"/>
      <c r="J36" s="2"/>
      <c r="K36" s="2"/>
      <c r="L36" s="2"/>
      <c r="M36" s="3"/>
    </row>
    <row r="37" spans="1:13" ht="15.75" x14ac:dyDescent="0.3">
      <c r="A37" s="44" t="s">
        <v>100</v>
      </c>
      <c r="B37" s="31"/>
      <c r="C37" s="31"/>
      <c r="D37" s="32" t="s">
        <v>101</v>
      </c>
      <c r="E37" s="33" t="s">
        <v>86</v>
      </c>
      <c r="F37" s="45">
        <f>[1]!StB01KreisasymMN_0($F$6,$F$7,$F$8*PI()/180,$F$9,$M$6,$M$7,$M$8,$M$9,$M$10,$M$11,$F$12,$F$13,$F$14,$F$15,$F$16,$M$25,$M$26,3)</f>
        <v>-2.4602195526832759E-3</v>
      </c>
      <c r="H37" s="65" t="s">
        <v>76</v>
      </c>
      <c r="I37" s="2"/>
      <c r="J37" s="2"/>
      <c r="K37" s="2"/>
      <c r="L37" s="2"/>
      <c r="M37" s="3"/>
    </row>
    <row r="38" spans="1:13" x14ac:dyDescent="0.2">
      <c r="A38" s="34"/>
      <c r="B38" s="35"/>
      <c r="C38" s="35"/>
      <c r="D38" s="35"/>
      <c r="E38" s="37"/>
      <c r="F38" s="46">
        <f>[1]!StB01KreisasymMN_0($F$6,$F$7,$F$8*PI()/180,$F$9,$M$6,$M$7,$M$8,$M$9,$M$10,$M$11,$F$12,$F$13,$F$14,$F$15,$F$16,$M$25,$M$26,4)</f>
        <v>2.8872227478027347E-3</v>
      </c>
      <c r="H38" s="66" t="s">
        <v>78</v>
      </c>
      <c r="I38" s="2"/>
      <c r="J38" s="2"/>
      <c r="K38" s="2"/>
      <c r="L38" s="2"/>
      <c r="M38" s="3"/>
    </row>
    <row r="39" spans="1:13" ht="15.75" x14ac:dyDescent="0.3">
      <c r="A39" s="44" t="str">
        <f>IF($M$25&lt;0,"""Druckseite""","Druckseite")</f>
        <v>Druckseite</v>
      </c>
      <c r="B39" s="31"/>
      <c r="C39" s="31"/>
      <c r="D39" s="31" t="s">
        <v>49</v>
      </c>
      <c r="E39" s="33" t="s">
        <v>12</v>
      </c>
      <c r="F39" s="55">
        <f>[1]!StB01KreisasymMN_0($F$6,$F$7,$F$8*PI()/180,$F$9,$M$6,$M$7,$M$8,$M$9,$M$10,$M$11,$F$12,$F$13,$F$14,$F$15,$F$16,$M$25,$M$26,5)</f>
        <v>3.6532544546949133</v>
      </c>
    </row>
    <row r="40" spans="1:13" ht="15.75" x14ac:dyDescent="0.3">
      <c r="A40" s="56" t="str">
        <f>IF($M$25&lt;0,"""Zugseite""","Zugseite")</f>
        <v>Zugseite</v>
      </c>
      <c r="B40" s="35"/>
      <c r="C40" s="35"/>
      <c r="D40" s="35" t="s">
        <v>48</v>
      </c>
      <c r="E40" s="37" t="s">
        <v>12</v>
      </c>
      <c r="F40" s="57">
        <f>[1]!StB01KreisasymMN_0($F$6,$F$7,$F$8*PI()/180,$F$9,$M$6,$M$7,$M$8,$M$9,$M$10,$M$11,$F$12,$F$13,$F$14,$F$15,$F$16,$M$25,$M$26,6)</f>
        <v>44.745604060731061</v>
      </c>
    </row>
    <row r="41" spans="1:13" ht="15.75" x14ac:dyDescent="0.3">
      <c r="A41" s="6" t="s">
        <v>160</v>
      </c>
      <c r="B41" s="2"/>
      <c r="C41" s="2"/>
      <c r="D41" s="28" t="s">
        <v>163</v>
      </c>
      <c r="E41" s="3" t="s">
        <v>86</v>
      </c>
      <c r="F41" s="18">
        <f>[1]!StB01KreisasymMN_0($F$6,$F$7,$F$8*PI()/180,$F$9,$M$6,$M$7,$M$8,$M$9,$M$10,$M$11,$F$12,$F$13,$F$14,$F$15,$F$16,$M$25,$M$26,22)</f>
        <v>1.2960814385767165</v>
      </c>
      <c r="H41" s="6" t="s">
        <v>111</v>
      </c>
      <c r="I41" s="2"/>
      <c r="J41" s="2"/>
      <c r="K41" s="28" t="s">
        <v>35</v>
      </c>
      <c r="L41" s="3" t="s">
        <v>86</v>
      </c>
      <c r="M41" s="18">
        <f>$M$28*$F$41</f>
        <v>1.8469160499718211</v>
      </c>
    </row>
    <row r="43" spans="1:13" x14ac:dyDescent="0.2">
      <c r="A43" s="7" t="s">
        <v>28</v>
      </c>
    </row>
    <row r="44" spans="1:13" ht="15" customHeight="1" x14ac:dyDescent="0.2">
      <c r="A44" s="69">
        <v>1</v>
      </c>
      <c r="E44" s="5">
        <v>1</v>
      </c>
      <c r="G44" s="9" t="s">
        <v>183</v>
      </c>
    </row>
    <row r="45" spans="1:13" ht="15.75" x14ac:dyDescent="0.3">
      <c r="A45" s="44" t="str">
        <f>IF($M$25&lt;0,"""Druckseite""","Druckseite")</f>
        <v>Druckseite</v>
      </c>
      <c r="B45" s="31"/>
      <c r="C45" s="31"/>
      <c r="D45" s="61" t="s">
        <v>146</v>
      </c>
      <c r="E45" s="33" t="s">
        <v>12</v>
      </c>
      <c r="F45" s="58">
        <f>$F$39</f>
        <v>3.6532544546949133</v>
      </c>
    </row>
    <row r="46" spans="1:13" ht="15.75" x14ac:dyDescent="0.3">
      <c r="A46" s="56" t="str">
        <f>IF($M$25&lt;0,"""Zugseite""","Zugseite")</f>
        <v>Zugseite</v>
      </c>
      <c r="B46" s="35"/>
      <c r="C46" s="35"/>
      <c r="D46" s="60" t="s">
        <v>145</v>
      </c>
      <c r="E46" s="37" t="s">
        <v>12</v>
      </c>
      <c r="F46" s="59">
        <f>$F$40</f>
        <v>44.745604060731061</v>
      </c>
    </row>
    <row r="47" spans="1:13" ht="15.75" x14ac:dyDescent="0.3">
      <c r="A47" s="44" t="s">
        <v>99</v>
      </c>
      <c r="B47" s="31"/>
      <c r="C47" s="31"/>
      <c r="D47" s="32" t="s">
        <v>102</v>
      </c>
      <c r="E47" s="33" t="s">
        <v>86</v>
      </c>
      <c r="F47" s="45">
        <f>[1]!StB01KreisasymQ_0($F$6,$F$7,$F$8*PI()/180,$F$9,$M$6,$M$7,$M$8,$M$9,$M$10,2400,$M$11,1.8,$F$12,$F$13,$F$14,$F$15,$F$16,$M$25,$M$26,$M$27,$F$45,$F$46,IF($E$44=2,-1,1)*1)</f>
        <v>-3.5000000000000001E-3</v>
      </c>
      <c r="J47" s="1" t="s">
        <v>140</v>
      </c>
      <c r="K47" s="2"/>
      <c r="L47" s="3" t="s">
        <v>114</v>
      </c>
      <c r="M47" s="53">
        <f>[1]!StB01KreisasymQ_0($F$6,$F$7,$F$8*PI()/180,$F$9,$M$6,$M$7,$M$8,$M$9,$M$10,2400,$M$11,1.8,$F$12,$F$13,$F$14,$F$15,$F$16,$M$25,$M$26,$M$27,$F$45,$F$46,IF($E$44=2,-1,1)*21)</f>
        <v>0.42514662741746984</v>
      </c>
    </row>
    <row r="48" spans="1:13" ht="15.75" x14ac:dyDescent="0.3">
      <c r="A48" s="34"/>
      <c r="B48" s="35"/>
      <c r="C48" s="35"/>
      <c r="D48" s="35"/>
      <c r="E48" s="37"/>
      <c r="F48" s="46">
        <f>[1]!StB01KreisasymQ_0($F$6,$F$7,$F$8*PI()/180,$F$9,$M$6,$M$7,$M$8,$M$9,$M$10,2400,$M$11,1.8,$F$12,$F$13,$F$14,$F$15,$F$16,$M$25,$M$26,$M$27,$F$45,$F$46,IF($E$44=2,-1,1)*2)</f>
        <v>3.9270031951194589E-3</v>
      </c>
      <c r="J48" s="1" t="s">
        <v>141</v>
      </c>
      <c r="K48" s="2"/>
      <c r="L48" s="3" t="s">
        <v>114</v>
      </c>
      <c r="M48" s="53">
        <f>[1]!StB01KreisasymQ_0($F$6,$F$7,$F$8*PI()/180,$F$9,$M$6,$M$7,$M$8,$M$9,$M$10,2400,$M$11,1.8,$F$12,$F$13,$F$14,$F$15,$F$16,$M$25,$M$26,$M$27,$F$45,$F$46,IF($E$44=2,-1,1)*22)</f>
        <v>0.60710756612202943</v>
      </c>
    </row>
    <row r="49" spans="1:13" ht="15.75" x14ac:dyDescent="0.3">
      <c r="A49" s="44" t="s">
        <v>100</v>
      </c>
      <c r="B49" s="31"/>
      <c r="C49" s="31"/>
      <c r="D49" s="32" t="s">
        <v>101</v>
      </c>
      <c r="E49" s="33" t="s">
        <v>86</v>
      </c>
      <c r="F49" s="45">
        <f>[1]!StB01KreisasymQ_0($F$6,$F$7,$F$8*PI()/180,$F$9,$M$6,$M$7,$M$8,$M$9,$M$10,2400,$M$11,1.8,$F$12,$F$13,$F$14,$F$15,$F$16,$M$25,$M$26,$M$27,$F$45,$F$46,IF($E$44=2,-1,1)*3)</f>
        <v>-2.4602195526832759E-3</v>
      </c>
      <c r="J49" s="1" t="s">
        <v>142</v>
      </c>
      <c r="K49" s="2"/>
      <c r="L49" s="3" t="s">
        <v>86</v>
      </c>
      <c r="M49" s="54">
        <f>[1]!StB01KreisasymQ_0($F$6,$F$7,$F$8*PI()/180,$F$9,$M$6,$M$7,$M$8,$M$9,$M$10,2400,$M$11,1.8,$F$12,$F$13,$F$14,$F$15,$F$16,$M$25,$M$26,$M$27,$F$45,$F$46,IF($E$44=2,-1,1)*23)</f>
        <v>1.7021201466833977</v>
      </c>
    </row>
    <row r="50" spans="1:13" ht="15.75" x14ac:dyDescent="0.3">
      <c r="A50" s="34"/>
      <c r="B50" s="35"/>
      <c r="C50" s="35"/>
      <c r="D50" s="35"/>
      <c r="E50" s="37"/>
      <c r="F50" s="46">
        <f>[1]!StB01KreisasymQ_0($F$6,$F$7,$F$8*PI()/180,$F$9,$M$6,$M$7,$M$8,$M$9,$M$10,2400,$M$11,1.8,$F$12,$F$13,$F$14,$F$15,$F$16,$M$25,$M$26,$M$27,$F$45,$F$46,IF($E$44=2,-1,1)*4)</f>
        <v>2.8872227478027347E-3</v>
      </c>
      <c r="J50" s="1" t="s">
        <v>143</v>
      </c>
      <c r="K50" s="2"/>
      <c r="L50" s="3" t="s">
        <v>115</v>
      </c>
      <c r="M50" s="53">
        <f>[1]!StB01KreisasymQ_0($F$6,$F$7,$F$8*PI()/180,$F$9,$M$6,$M$7,$M$8,$M$9,$M$10,2400,$M$11,1.8,$F$12,$F$13,$F$14,$F$15,$F$16,$M$25,$M$26,$M$27,$F$45,$F$46,IF($E$44=2,-1,1)*24)</f>
        <v>0.16638219332062434</v>
      </c>
    </row>
    <row r="51" spans="1:13" ht="15.75" x14ac:dyDescent="0.3">
      <c r="A51" s="6" t="s">
        <v>133</v>
      </c>
      <c r="B51" s="2"/>
      <c r="C51" s="2"/>
      <c r="D51" s="2" t="s">
        <v>139</v>
      </c>
      <c r="E51" s="14" t="s">
        <v>17</v>
      </c>
      <c r="F51" s="18">
        <f>[1]!StB01KreisasymQ_0($F$6,$F$7,$F$8*PI()/180,$F$9,$M$6,$M$7,$M$8,$M$9,$M$10,2400,$M$11,1.8,$F$12,$F$13,$F$14,$F$15,$F$16,$M$25,$M$26,$M$27,$F$45,$F$46,IF($E$44=2,-1,1)*IF($A$44=2,15,5))</f>
        <v>18.11647676180981</v>
      </c>
      <c r="J51" s="1" t="s">
        <v>144</v>
      </c>
      <c r="K51" s="2"/>
      <c r="L51" s="3" t="s">
        <v>115</v>
      </c>
      <c r="M51" s="53">
        <f>[1]!StB01KreisasymQ_0($F$6,$F$7,$F$8*PI()/180,$F$9,$M$6,$M$7,$M$8,$M$9,$M$10,2400,$M$11,1.8,$F$12,$F$13,$F$14,$F$15,$F$16,$M$25,$M$26,$M$27,$F$45,$F$46,IF($E$44=2,-1,1)*25)</f>
        <v>0.95820708917995989</v>
      </c>
    </row>
    <row r="52" spans="1:13" x14ac:dyDescent="0.2">
      <c r="A52" s="1" t="s">
        <v>113</v>
      </c>
      <c r="B52" s="2"/>
      <c r="C52" s="3"/>
      <c r="D52" s="20" t="str">
        <f>[1]!StB01KreisasymQ_0($F$6,$F$7,$F$8*PI()/180,$F$9,$M$6,$M$7,$M$8,$M$9,$M$10,2400,$M$11,1.8,$F$12,$F$13,$F$14,$F$15,$F$16,$M$25,$M$26,$M$27,$F$45,$F$46,IF($E$44=2,-1,1)*6)</f>
        <v/>
      </c>
      <c r="E52" s="52"/>
      <c r="F52" s="14"/>
    </row>
    <row r="53" spans="1:13" ht="14.25" x14ac:dyDescent="0.2">
      <c r="A53" s="71" t="s">
        <v>184</v>
      </c>
    </row>
    <row r="58" spans="1:13" hidden="1" x14ac:dyDescent="0.2"/>
    <row r="59" spans="1:13" hidden="1" x14ac:dyDescent="0.2">
      <c r="A59" t="s">
        <v>179</v>
      </c>
      <c r="E59" t="s">
        <v>181</v>
      </c>
    </row>
    <row r="60" spans="1:13" hidden="1" x14ac:dyDescent="0.2">
      <c r="A60" t="s">
        <v>180</v>
      </c>
      <c r="E60" t="s">
        <v>182</v>
      </c>
    </row>
    <row r="61" spans="1:13" hidden="1" x14ac:dyDescent="0.2"/>
  </sheetData>
  <sheetProtection sheet="1" objects="1" scenarios="1"/>
  <dataConsolidate/>
  <mergeCells count="1">
    <mergeCell ref="D1:K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Drop Down 2">
              <controlPr defaultSize="0" autoLine="0" autoPict="0">
                <anchor moveWithCells="1">
                  <from>
                    <xdr:col>0</xdr:col>
                    <xdr:colOff>0</xdr:colOff>
                    <xdr:row>42</xdr:row>
                    <xdr:rowOff>152400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Drop Down 3">
              <controlPr defaultSize="0" autoLine="0" autoPict="0">
                <anchor moveWithCells="1">
                  <from>
                    <xdr:col>4</xdr:col>
                    <xdr:colOff>0</xdr:colOff>
                    <xdr:row>42</xdr:row>
                    <xdr:rowOff>152400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M61"/>
  <sheetViews>
    <sheetView showGridLines="0" workbookViewId="0">
      <selection activeCell="A49" sqref="A49:C50"/>
    </sheetView>
  </sheetViews>
  <sheetFormatPr defaultColWidth="11.42578125" defaultRowHeight="12.75" x14ac:dyDescent="0.2"/>
  <cols>
    <col min="1" max="5" width="6.7109375" customWidth="1"/>
    <col min="6" max="6" width="7.7109375" customWidth="1"/>
    <col min="7" max="12" width="6.7109375" customWidth="1"/>
    <col min="13" max="13" width="7.7109375" customWidth="1"/>
  </cols>
  <sheetData>
    <row r="1" spans="1:13" s="4" customFormat="1" ht="50.25" x14ac:dyDescent="0.7">
      <c r="A1" s="25" t="s">
        <v>24</v>
      </c>
      <c r="C1" s="27"/>
      <c r="D1" s="410" t="s">
        <v>134</v>
      </c>
      <c r="E1" s="411"/>
      <c r="F1" s="411"/>
      <c r="G1" s="411"/>
      <c r="H1" s="414"/>
      <c r="I1" s="414"/>
    </row>
    <row r="2" spans="1:13" s="4" customFormat="1" x14ac:dyDescent="0.2"/>
    <row r="3" spans="1:13" s="4" customFormat="1" ht="14.25" x14ac:dyDescent="0.2">
      <c r="A3" s="26" t="s">
        <v>67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5" spans="1:13" x14ac:dyDescent="0.2">
      <c r="A5" s="7" t="s">
        <v>84</v>
      </c>
      <c r="H5" s="7" t="s">
        <v>96</v>
      </c>
    </row>
    <row r="6" spans="1:13" ht="15.75" x14ac:dyDescent="0.3">
      <c r="A6" s="1" t="s">
        <v>31</v>
      </c>
      <c r="B6" s="2"/>
      <c r="C6" s="2"/>
      <c r="D6" s="2" t="s">
        <v>33</v>
      </c>
      <c r="E6" s="3" t="s">
        <v>44</v>
      </c>
      <c r="F6" s="10">
        <v>1000</v>
      </c>
      <c r="H6" s="1" t="s">
        <v>128</v>
      </c>
      <c r="I6" s="2"/>
      <c r="J6" s="2"/>
      <c r="K6" s="2" t="s">
        <v>87</v>
      </c>
      <c r="L6" s="3"/>
      <c r="M6" s="5">
        <v>20</v>
      </c>
    </row>
    <row r="7" spans="1:13" ht="14.25" x14ac:dyDescent="0.2">
      <c r="A7" s="1" t="s">
        <v>32</v>
      </c>
      <c r="B7" s="2"/>
      <c r="C7" s="2"/>
      <c r="D7" s="2" t="s">
        <v>34</v>
      </c>
      <c r="E7" s="3" t="s">
        <v>44</v>
      </c>
      <c r="F7" s="10">
        <v>800</v>
      </c>
      <c r="H7" s="1" t="s">
        <v>129</v>
      </c>
      <c r="I7" s="2"/>
      <c r="J7" s="2"/>
      <c r="K7" s="28" t="s">
        <v>85</v>
      </c>
      <c r="L7" s="3" t="s">
        <v>86</v>
      </c>
      <c r="M7" s="29">
        <v>0.85</v>
      </c>
    </row>
    <row r="8" spans="1:13" ht="15.75" x14ac:dyDescent="0.3">
      <c r="A8" s="1" t="s">
        <v>135</v>
      </c>
      <c r="B8" s="2"/>
      <c r="C8" s="2"/>
      <c r="D8" s="2" t="s">
        <v>45</v>
      </c>
      <c r="E8" s="3" t="s">
        <v>44</v>
      </c>
      <c r="F8" s="10">
        <v>70</v>
      </c>
      <c r="H8" s="30" t="s">
        <v>130</v>
      </c>
      <c r="I8" s="31"/>
      <c r="J8" s="31"/>
      <c r="K8" s="32" t="s">
        <v>88</v>
      </c>
      <c r="L8" s="33" t="s">
        <v>86</v>
      </c>
      <c r="M8" s="48">
        <v>-2E-3</v>
      </c>
    </row>
    <row r="9" spans="1:13" ht="15.75" x14ac:dyDescent="0.3">
      <c r="A9" s="1" t="s">
        <v>46</v>
      </c>
      <c r="B9" s="2"/>
      <c r="C9" s="2"/>
      <c r="D9" s="2" t="s">
        <v>23</v>
      </c>
      <c r="E9" s="3" t="s">
        <v>44</v>
      </c>
      <c r="F9" s="10">
        <v>70</v>
      </c>
      <c r="H9" s="41" t="s">
        <v>131</v>
      </c>
      <c r="I9" s="4"/>
      <c r="J9" s="4"/>
      <c r="K9" s="40" t="s">
        <v>89</v>
      </c>
      <c r="L9" s="42" t="s">
        <v>86</v>
      </c>
      <c r="M9" s="49">
        <v>-3.5000000000000001E-3</v>
      </c>
    </row>
    <row r="10" spans="1:13" ht="15.75" x14ac:dyDescent="0.3">
      <c r="A10" s="1" t="s">
        <v>136</v>
      </c>
      <c r="B10" s="2"/>
      <c r="C10" s="2"/>
      <c r="D10" s="2" t="s">
        <v>66</v>
      </c>
      <c r="E10" s="3" t="s">
        <v>12</v>
      </c>
      <c r="F10" s="8">
        <v>0</v>
      </c>
      <c r="H10" s="34" t="s">
        <v>132</v>
      </c>
      <c r="I10" s="35"/>
      <c r="J10" s="35"/>
      <c r="K10" s="35" t="s">
        <v>103</v>
      </c>
      <c r="L10" s="37" t="s">
        <v>86</v>
      </c>
      <c r="M10" s="50">
        <v>2</v>
      </c>
    </row>
    <row r="11" spans="1:13" ht="15.75" x14ac:dyDescent="0.3">
      <c r="H11" s="1" t="s">
        <v>105</v>
      </c>
      <c r="I11" s="2"/>
      <c r="J11" s="2"/>
      <c r="K11" s="28" t="s">
        <v>94</v>
      </c>
      <c r="L11" s="3" t="s">
        <v>86</v>
      </c>
      <c r="M11" s="29">
        <v>1.5</v>
      </c>
    </row>
    <row r="12" spans="1:13" ht="14.25" x14ac:dyDescent="0.2">
      <c r="A12" s="7" t="s">
        <v>97</v>
      </c>
      <c r="H12" s="9" t="s">
        <v>124</v>
      </c>
    </row>
    <row r="13" spans="1:13" ht="15.75" x14ac:dyDescent="0.3">
      <c r="A13" s="1" t="s">
        <v>119</v>
      </c>
      <c r="B13" s="2"/>
      <c r="C13" s="2"/>
      <c r="D13" s="2" t="s">
        <v>91</v>
      </c>
      <c r="E13" s="3"/>
      <c r="F13" s="5">
        <v>500</v>
      </c>
      <c r="H13" s="9" t="s">
        <v>125</v>
      </c>
    </row>
    <row r="14" spans="1:13" ht="15.75" x14ac:dyDescent="0.3">
      <c r="A14" s="1" t="s">
        <v>120</v>
      </c>
      <c r="B14" s="2"/>
      <c r="C14" s="2"/>
      <c r="D14" s="2" t="s">
        <v>92</v>
      </c>
      <c r="E14" s="3"/>
      <c r="F14" s="10">
        <v>525</v>
      </c>
      <c r="H14" s="9" t="s">
        <v>126</v>
      </c>
    </row>
    <row r="15" spans="1:13" ht="15.75" x14ac:dyDescent="0.3">
      <c r="A15" s="30" t="s">
        <v>121</v>
      </c>
      <c r="B15" s="31"/>
      <c r="C15" s="31"/>
      <c r="D15" s="38" t="s">
        <v>93</v>
      </c>
      <c r="E15" s="33"/>
      <c r="F15" s="39">
        <v>200000</v>
      </c>
      <c r="H15" t="s">
        <v>106</v>
      </c>
    </row>
    <row r="16" spans="1:13" ht="15.75" x14ac:dyDescent="0.3">
      <c r="A16" s="34" t="s">
        <v>122</v>
      </c>
      <c r="B16" s="35"/>
      <c r="C16" s="35"/>
      <c r="D16" s="36" t="s">
        <v>90</v>
      </c>
      <c r="E16" s="37" t="s">
        <v>86</v>
      </c>
      <c r="F16" s="47">
        <v>2.5000000000000001E-2</v>
      </c>
      <c r="H16" t="s">
        <v>108</v>
      </c>
    </row>
    <row r="17" spans="1:13" ht="15.75" x14ac:dyDescent="0.3">
      <c r="A17" s="1" t="s">
        <v>123</v>
      </c>
      <c r="B17" s="2"/>
      <c r="C17" s="2"/>
      <c r="D17" s="28" t="s">
        <v>95</v>
      </c>
      <c r="E17" s="3" t="s">
        <v>86</v>
      </c>
      <c r="F17" s="29">
        <v>1.1499999999999999</v>
      </c>
      <c r="H17" s="9" t="s">
        <v>127</v>
      </c>
    </row>
    <row r="18" spans="1:13" ht="14.25" x14ac:dyDescent="0.2">
      <c r="A18" s="43" t="s">
        <v>116</v>
      </c>
      <c r="B18" s="4"/>
      <c r="C18" s="4"/>
      <c r="D18" s="40"/>
      <c r="E18" s="4"/>
      <c r="H18" t="s">
        <v>109</v>
      </c>
    </row>
    <row r="19" spans="1:13" ht="15.75" x14ac:dyDescent="0.3">
      <c r="A19" s="9" t="s">
        <v>117</v>
      </c>
      <c r="B19" s="4"/>
      <c r="C19" s="4"/>
      <c r="D19" s="40"/>
      <c r="E19" s="4"/>
      <c r="H19" t="s">
        <v>104</v>
      </c>
    </row>
    <row r="20" spans="1:13" ht="15.75" x14ac:dyDescent="0.3">
      <c r="A20" s="9" t="s">
        <v>118</v>
      </c>
      <c r="H20" t="s">
        <v>110</v>
      </c>
    </row>
    <row r="21" spans="1:13" x14ac:dyDescent="0.2">
      <c r="H21" t="s">
        <v>107</v>
      </c>
    </row>
    <row r="23" spans="1:13" x14ac:dyDescent="0.2">
      <c r="F23" s="7" t="s">
        <v>165</v>
      </c>
      <c r="H23" s="7" t="s">
        <v>166</v>
      </c>
      <c r="J23" s="7" t="s">
        <v>167</v>
      </c>
    </row>
    <row r="24" spans="1:13" ht="14.25" x14ac:dyDescent="0.2">
      <c r="A24" s="7" t="s">
        <v>164</v>
      </c>
      <c r="F24" s="51" t="s">
        <v>157</v>
      </c>
      <c r="H24" s="51" t="s">
        <v>159</v>
      </c>
      <c r="J24" s="51" t="s">
        <v>158</v>
      </c>
    </row>
    <row r="25" spans="1:13" x14ac:dyDescent="0.2">
      <c r="A25" s="1" t="s">
        <v>98</v>
      </c>
      <c r="B25" s="2"/>
      <c r="C25" s="2"/>
      <c r="D25" s="2" t="s">
        <v>11</v>
      </c>
      <c r="E25" s="3" t="s">
        <v>6</v>
      </c>
      <c r="F25" s="5">
        <v>400</v>
      </c>
      <c r="G25" s="67"/>
      <c r="H25" s="5">
        <f>F25</f>
        <v>400</v>
      </c>
      <c r="I25" s="67"/>
      <c r="J25" s="5"/>
      <c r="M25" s="68">
        <f>IF($J25="",$F25*$F$28+$H25*$H$28,$J25)</f>
        <v>1140</v>
      </c>
    </row>
    <row r="26" spans="1:13" ht="14.25" x14ac:dyDescent="0.2">
      <c r="A26" s="1" t="s">
        <v>170</v>
      </c>
      <c r="B26" s="2"/>
      <c r="C26" s="2"/>
      <c r="D26" s="2" t="s">
        <v>10</v>
      </c>
      <c r="E26" s="3" t="s">
        <v>4</v>
      </c>
      <c r="F26" s="5">
        <v>-100</v>
      </c>
      <c r="G26" s="67"/>
      <c r="H26" s="5">
        <f>F26</f>
        <v>-100</v>
      </c>
      <c r="I26" s="67"/>
      <c r="J26" s="5"/>
      <c r="M26" s="68">
        <f>IF($J26="",$F26*$F$28+$H26*$H$28,$J26)</f>
        <v>-285</v>
      </c>
    </row>
    <row r="27" spans="1:13" x14ac:dyDescent="0.2">
      <c r="A27" s="1" t="s">
        <v>13</v>
      </c>
      <c r="B27" s="2"/>
      <c r="C27" s="2"/>
      <c r="D27" s="2" t="s">
        <v>14</v>
      </c>
      <c r="E27" s="3" t="s">
        <v>4</v>
      </c>
      <c r="F27" s="5">
        <v>300</v>
      </c>
      <c r="G27" s="67"/>
      <c r="H27" s="5">
        <f>F27</f>
        <v>300</v>
      </c>
      <c r="I27" s="67"/>
      <c r="J27" s="5"/>
      <c r="M27" s="68">
        <f>IF($J27="",$F27*$F$28+$H27*$H$28,$J27)</f>
        <v>855</v>
      </c>
    </row>
    <row r="28" spans="1:13" x14ac:dyDescent="0.2">
      <c r="A28" s="1" t="s">
        <v>162</v>
      </c>
      <c r="B28" s="2"/>
      <c r="C28" s="2"/>
      <c r="D28" s="28" t="s">
        <v>156</v>
      </c>
      <c r="E28" s="3" t="s">
        <v>86</v>
      </c>
      <c r="F28" s="29">
        <v>1.35</v>
      </c>
      <c r="G28" s="67"/>
      <c r="H28" s="29">
        <v>1.5</v>
      </c>
      <c r="I28" s="67"/>
      <c r="J28" s="29"/>
      <c r="M28" s="54">
        <f>IF(AND($J$25="",$J$26=""),($M$25+$M$26/$F$6*1000)/($F$25+$H$25+($F$26+$H$26)/$F$6*1000),$J$28)</f>
        <v>1.425</v>
      </c>
    </row>
    <row r="29" spans="1:13" ht="14.25" x14ac:dyDescent="0.2">
      <c r="A29" s="9" t="s">
        <v>169</v>
      </c>
    </row>
    <row r="30" spans="1:13" x14ac:dyDescent="0.2">
      <c r="A30" t="s">
        <v>171</v>
      </c>
    </row>
    <row r="31" spans="1:13" x14ac:dyDescent="0.2">
      <c r="A31" t="s">
        <v>172</v>
      </c>
    </row>
    <row r="32" spans="1:13" ht="14.25" x14ac:dyDescent="0.2">
      <c r="A32" s="9" t="s">
        <v>168</v>
      </c>
    </row>
    <row r="34" spans="1:13" x14ac:dyDescent="0.2">
      <c r="A34" s="7" t="s">
        <v>29</v>
      </c>
    </row>
    <row r="35" spans="1:13" ht="15.75" x14ac:dyDescent="0.3">
      <c r="A35" s="44" t="s">
        <v>99</v>
      </c>
      <c r="B35" s="31"/>
      <c r="C35" s="31"/>
      <c r="D35" s="32" t="s">
        <v>102</v>
      </c>
      <c r="E35" s="33" t="s">
        <v>86</v>
      </c>
      <c r="F35" s="45">
        <f>[1]!StB01RechteckMN_0($F$6,$F$7,$F$8,$F$9,$F$10,$M$6,$M$7,$M$8,$M$9,$M$10,$M$11,$F$13,$F$14,$F$15,$F$16,$F$17,$M$25,$M$26,1)</f>
        <v>-3.5000000000000001E-3</v>
      </c>
      <c r="H35" s="1" t="s">
        <v>77</v>
      </c>
      <c r="I35" s="2"/>
      <c r="J35" s="2"/>
      <c r="K35" s="2"/>
      <c r="L35" s="3"/>
      <c r="M35" s="11" t="str">
        <f>[1]!StB01RechteckMN_0($F$6,$F$7,$F$8,$F$9,$F$10,$M$6,$M$7,$M$8,$M$9,$M$10,$M$11,$F$13,$F$14,$F$15,$F$16,$F$17,$M$25,$M$26,7)</f>
        <v/>
      </c>
    </row>
    <row r="36" spans="1:13" x14ac:dyDescent="0.2">
      <c r="A36" s="34"/>
      <c r="B36" s="35"/>
      <c r="C36" s="35"/>
      <c r="D36" s="35"/>
      <c r="E36" s="37"/>
      <c r="F36" s="62">
        <f>[1]!StB01RechteckMN_0($F$6,$F$7,$F$8,$F$9,$F$10,$M$6,$M$7,$M$8,$M$9,$M$10,$M$11,$F$13,$F$14,$F$15,$F$16,$F$17,$M$25,$M$26,2)</f>
        <v>9.8852539062500005E-3</v>
      </c>
      <c r="H36" s="65" t="s">
        <v>75</v>
      </c>
      <c r="I36" s="2"/>
      <c r="J36" s="2"/>
      <c r="K36" s="2"/>
      <c r="L36" s="2"/>
      <c r="M36" s="3"/>
    </row>
    <row r="37" spans="1:13" ht="15.75" x14ac:dyDescent="0.3">
      <c r="A37" s="44" t="s">
        <v>100</v>
      </c>
      <c r="B37" s="31"/>
      <c r="C37" s="31"/>
      <c r="D37" s="32" t="s">
        <v>101</v>
      </c>
      <c r="E37" s="33" t="s">
        <v>86</v>
      </c>
      <c r="F37" s="45">
        <f>[1]!StB01RechteckMN_0($F$6,$F$7,$F$8,$F$9,$F$10,$M$6,$M$7,$M$8,$M$9,$M$10,$M$11,$F$13,$F$14,$F$15,$F$16,$F$17,$M$25,$M$26,3)</f>
        <v>-2.3287902832031249E-3</v>
      </c>
      <c r="H37" s="65" t="s">
        <v>76</v>
      </c>
      <c r="I37" s="2"/>
      <c r="J37" s="2"/>
      <c r="K37" s="2"/>
      <c r="L37" s="2"/>
      <c r="M37" s="3"/>
    </row>
    <row r="38" spans="1:13" x14ac:dyDescent="0.2">
      <c r="A38" s="34"/>
      <c r="B38" s="35"/>
      <c r="C38" s="35"/>
      <c r="D38" s="35"/>
      <c r="E38" s="37"/>
      <c r="F38" s="46">
        <f>[1]!StB01RechteckMN_0($F$6,$F$7,$F$8,$F$9,$F$10,$M$6,$M$7,$M$8,$M$9,$M$10,$M$11,$F$13,$F$14,$F$15,$F$16,$F$17,$M$25,$M$26,4)</f>
        <v>8.7140441894531257E-3</v>
      </c>
      <c r="H38" s="66" t="s">
        <v>78</v>
      </c>
      <c r="I38" s="2"/>
      <c r="J38" s="2"/>
      <c r="K38" s="2"/>
      <c r="L38" s="2"/>
      <c r="M38" s="3"/>
    </row>
    <row r="39" spans="1:13" ht="15.75" x14ac:dyDescent="0.3">
      <c r="A39" s="44" t="str">
        <f>IF($M$25&lt;0,"""Druckseite""","Druckseite")</f>
        <v>Druckseite</v>
      </c>
      <c r="B39" s="31"/>
      <c r="C39" s="31"/>
      <c r="D39" s="31" t="s">
        <v>49</v>
      </c>
      <c r="E39" s="33" t="s">
        <v>12</v>
      </c>
      <c r="F39" s="55">
        <f>[1]!StB01RechteckMN_0($F$6,$F$7,$F$8,$F$9,$F$10,$M$6,$M$7,$M$8,$M$9,$M$10,$M$11,$F$13,$F$14,$F$15,$F$16,$F$17,$M$25,$M$26,5)</f>
        <v>0</v>
      </c>
    </row>
    <row r="40" spans="1:13" ht="15.75" x14ac:dyDescent="0.3">
      <c r="A40" s="56" t="str">
        <f>IF($M$25&lt;0,"""Zugseite""","Zugseite")</f>
        <v>Zugseite</v>
      </c>
      <c r="B40" s="35"/>
      <c r="C40" s="35"/>
      <c r="D40" s="35" t="s">
        <v>48</v>
      </c>
      <c r="E40" s="37" t="s">
        <v>12</v>
      </c>
      <c r="F40" s="57">
        <f>[1]!StB01RechteckMN_0($F$6,$F$7,$F$8,$F$9,$F$10,$M$6,$M$7,$M$8,$M$9,$M$10,$M$11,$F$13,$F$14,$F$15,$F$16,$F$17,$M$25,$M$26,6)</f>
        <v>37.075202580422498</v>
      </c>
    </row>
    <row r="41" spans="1:13" ht="15.75" x14ac:dyDescent="0.3">
      <c r="A41" s="6" t="s">
        <v>160</v>
      </c>
      <c r="B41" s="2"/>
      <c r="C41" s="2"/>
      <c r="D41" s="28" t="s">
        <v>163</v>
      </c>
      <c r="E41" s="3" t="s">
        <v>86</v>
      </c>
      <c r="F41" s="18">
        <f>[1]!StB01RechteckMN_0($F$6,$F$7,$F$8,$F$9,$F$10,$M$6,$M$7,$M$8,$M$9,$M$10,$M$11,$F$13,$F$14,$F$15,$F$16,$F$17,$M$25,$M$26,22)</f>
        <v>1.3343938499094148</v>
      </c>
      <c r="H41" s="6" t="s">
        <v>111</v>
      </c>
      <c r="I41" s="2"/>
      <c r="J41" s="2"/>
      <c r="K41" s="28" t="s">
        <v>35</v>
      </c>
      <c r="L41" s="3" t="s">
        <v>86</v>
      </c>
      <c r="M41" s="18">
        <f>$M$28*$F$41</f>
        <v>1.9015112361209161</v>
      </c>
    </row>
    <row r="43" spans="1:13" x14ac:dyDescent="0.2">
      <c r="A43" s="7" t="s">
        <v>28</v>
      </c>
    </row>
    <row r="44" spans="1:13" ht="15" customHeight="1" x14ac:dyDescent="0.2">
      <c r="A44" s="69">
        <v>1</v>
      </c>
      <c r="E44" s="5">
        <v>1</v>
      </c>
      <c r="G44" s="9" t="s">
        <v>183</v>
      </c>
    </row>
    <row r="45" spans="1:13" ht="15.75" x14ac:dyDescent="0.3">
      <c r="A45" s="44" t="str">
        <f>IF($M$25&lt;0,"""Druckseite""","Druckseite")</f>
        <v>Druckseite</v>
      </c>
      <c r="B45" s="31"/>
      <c r="C45" s="31"/>
      <c r="D45" s="61" t="s">
        <v>146</v>
      </c>
      <c r="E45" s="33" t="s">
        <v>12</v>
      </c>
      <c r="F45" s="58">
        <f>$F$39</f>
        <v>0</v>
      </c>
    </row>
    <row r="46" spans="1:13" ht="15.75" x14ac:dyDescent="0.3">
      <c r="A46" s="56" t="str">
        <f>IF($M$25&lt;0,"""Zugseite""","Zugseite")</f>
        <v>Zugseite</v>
      </c>
      <c r="B46" s="35"/>
      <c r="C46" s="35"/>
      <c r="D46" s="60" t="s">
        <v>145</v>
      </c>
      <c r="E46" s="37" t="s">
        <v>12</v>
      </c>
      <c r="F46" s="59">
        <f>$F$40</f>
        <v>37.075202580422498</v>
      </c>
    </row>
    <row r="47" spans="1:13" ht="15.75" x14ac:dyDescent="0.3">
      <c r="A47" s="44" t="s">
        <v>99</v>
      </c>
      <c r="B47" s="31"/>
      <c r="C47" s="31"/>
      <c r="D47" s="32" t="s">
        <v>102</v>
      </c>
      <c r="E47" s="33" t="s">
        <v>86</v>
      </c>
      <c r="F47" s="45">
        <f>[1]!StB01RechteckQ_0($F$6,$F$7,$F$8,$F$9,$M$6,$M$7,$M$8,$M$9,$M$10,2400,$M$11,1.8,$F$13,$F$14,$F$15,$F$16,$F$17,$M$25,$M$26,$M$27,$F$45,$F$46,IF($E$44=2,-1,1)*1)</f>
        <v>-3.5000000000000001E-3</v>
      </c>
      <c r="J47" s="1" t="s">
        <v>140</v>
      </c>
      <c r="K47" s="2"/>
      <c r="L47" s="3" t="s">
        <v>114</v>
      </c>
      <c r="M47" s="53">
        <f>[1]!StB01RechteckQ_0($F$6,$F$7,$F$8,$F$9,$M$6,$M$7,$M$8,$M$9,$M$10,2400,$M$11,1.8,$F$13,$F$14,$F$15,$F$16,$F$17,$M$25,$M$26,$M$27,$F$45,$F$46,IF($E$44=2,-1,1)*21)</f>
        <v>0.64298589548539664</v>
      </c>
    </row>
    <row r="48" spans="1:13" x14ac:dyDescent="0.2">
      <c r="A48" s="34"/>
      <c r="B48" s="35"/>
      <c r="C48" s="35"/>
      <c r="D48" s="35"/>
      <c r="E48" s="37"/>
      <c r="F48" s="46">
        <f>[1]!StB01RechteckQ_0($F$6,$F$7,$F$8,$F$9,$M$6,$M$7,$M$8,$M$9,$M$10,2400,$M$11,1.8,$F$13,$F$14,$F$15,$F$16,$F$17,$M$25,$M$26,$M$27,$F$45,$F$46,IF($E$44=2,-1,1)*2)</f>
        <v>9.8852539062500005E-3</v>
      </c>
      <c r="J48" s="1" t="s">
        <v>142</v>
      </c>
      <c r="K48" s="2"/>
      <c r="L48" s="3" t="s">
        <v>86</v>
      </c>
      <c r="M48" s="54">
        <f>[1]!StB01RechteckQ_0($F$6,$F$7,$F$8,$F$9,$M$6,$M$7,$M$8,$M$9,$M$10,2400,$M$11,1.8,$F$13,$F$14,$F$15,$F$16,$F$17,$M$25,$M$26,$M$27,$F$45,$F$46,IF($E$44=2,-1,1)*23)</f>
        <v>2.3535686672506628</v>
      </c>
    </row>
    <row r="49" spans="1:13" ht="15.75" x14ac:dyDescent="0.3">
      <c r="A49" s="44" t="s">
        <v>100</v>
      </c>
      <c r="B49" s="31"/>
      <c r="C49" s="31"/>
      <c r="D49" s="32" t="s">
        <v>101</v>
      </c>
      <c r="E49" s="33" t="s">
        <v>86</v>
      </c>
      <c r="F49" s="45">
        <f>[1]!StB01RechteckQ_0($F$6,$F$7,$F$8,$F$9,$M$6,$M$7,$M$8,$M$9,$M$10,2400,$M$11,1.8,$F$13,$F$14,$F$15,$F$16,$F$17,$M$25,$M$26,$M$27,$F$45,$F$46,IF($E$44=2,-1,1)*3)</f>
        <v>-2.3287902832031249E-3</v>
      </c>
      <c r="J49" s="1" t="s">
        <v>143</v>
      </c>
      <c r="K49" s="2"/>
      <c r="L49" s="3" t="s">
        <v>115</v>
      </c>
      <c r="M49" s="53">
        <f>[1]!StB01RechteckQ_0($F$6,$F$7,$F$8,$F$9,$M$6,$M$7,$M$8,$M$9,$M$10,2400,$M$11,1.8,$F$13,$F$14,$F$15,$F$16,$F$17,$M$25,$M$26,$M$27,$F$45,$F$46,IF($E$44=2,-1,1)*24)</f>
        <v>0.27205410046333389</v>
      </c>
    </row>
    <row r="50" spans="1:13" ht="15.75" x14ac:dyDescent="0.3">
      <c r="A50" s="34"/>
      <c r="B50" s="35"/>
      <c r="C50" s="35"/>
      <c r="D50" s="35"/>
      <c r="E50" s="37"/>
      <c r="F50" s="46">
        <f>[1]!StB01RechteckQ_0($F$6,$F$7,$F$8,$F$9,$M$6,$M$7,$M$8,$M$9,$M$10,2400,$M$11,1.8,$F$13,$F$14,$F$15,$F$16,$F$17,$M$25,$M$26,$M$27,$F$45,$F$46,IF($E$44=2,-1,1)*4)</f>
        <v>8.7140441894531257E-3</v>
      </c>
      <c r="J50" s="1" t="s">
        <v>144</v>
      </c>
      <c r="K50" s="2"/>
      <c r="L50" s="3" t="s">
        <v>115</v>
      </c>
      <c r="M50" s="53">
        <f>[1]!StB01RechteckQ_0($F$6,$F$7,$F$8,$F$9,$M$6,$M$7,$M$8,$M$9,$M$10,2400,$M$11,1.8,$F$13,$F$14,$F$15,$F$16,$F$17,$M$25,$M$26,$M$27,$F$45,$F$46,IF($E$44=2,-1,1)*25)</f>
        <v>1.9670570189158127</v>
      </c>
    </row>
    <row r="51" spans="1:13" ht="15.75" x14ac:dyDescent="0.3">
      <c r="A51" s="6" t="s">
        <v>133</v>
      </c>
      <c r="B51" s="2"/>
      <c r="C51" s="2"/>
      <c r="D51" s="2" t="s">
        <v>139</v>
      </c>
      <c r="E51" s="14" t="s">
        <v>17</v>
      </c>
      <c r="F51" s="18">
        <f>[1]!StB01RechteckQ_0($F$6,$F$7,$F$8,$F$9,$M$6,$M$7,$M$8,$M$9,$M$10,2400,$M$11,1.8,$F$13,$F$14,$F$15,$F$16,$F$17,$M$25,$M$26,$M$27,$F$45,$F$46,IF($E$44=2,-1,1)*IF($A$44=2,15,5))</f>
        <v>12.994681238787129</v>
      </c>
    </row>
    <row r="52" spans="1:13" x14ac:dyDescent="0.2">
      <c r="A52" s="1" t="s">
        <v>113</v>
      </c>
      <c r="B52" s="2"/>
      <c r="C52" s="3"/>
      <c r="D52" s="20" t="str">
        <f>[1]!StB01RechteckQ_0($F$6,$F$7,$F$8,$F$9,$M$6,$M$7,$M$8,$M$9,$M$10,2400,$M$11,1.8,$F$13,$F$14,$F$15,$F$16,$F$17,$M$25,$M$26,$M$27,$F$45,$F$46,IF($E$44=2,-1,1)*6)</f>
        <v/>
      </c>
      <c r="E52" s="52"/>
      <c r="F52" s="14"/>
    </row>
    <row r="53" spans="1:13" ht="14.25" x14ac:dyDescent="0.2">
      <c r="A53" s="71" t="s">
        <v>184</v>
      </c>
    </row>
    <row r="58" spans="1:13" hidden="1" x14ac:dyDescent="0.2"/>
    <row r="59" spans="1:13" hidden="1" x14ac:dyDescent="0.2">
      <c r="A59" t="s">
        <v>179</v>
      </c>
      <c r="E59" t="s">
        <v>181</v>
      </c>
    </row>
    <row r="60" spans="1:13" hidden="1" x14ac:dyDescent="0.2">
      <c r="A60" t="s">
        <v>180</v>
      </c>
      <c r="E60" t="s">
        <v>182</v>
      </c>
    </row>
    <row r="61" spans="1:13" hidden="1" x14ac:dyDescent="0.2"/>
  </sheetData>
  <sheetProtection sheet="1" objects="1" scenarios="1"/>
  <mergeCells count="1">
    <mergeCell ref="D1:I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Drop Down 2">
              <controlPr defaultSize="0" autoLine="0" autoPict="0">
                <anchor moveWithCells="1">
                  <from>
                    <xdr:col>0</xdr:col>
                    <xdr:colOff>0</xdr:colOff>
                    <xdr:row>42</xdr:row>
                    <xdr:rowOff>152400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Drop Down 3">
              <controlPr defaultSize="0" autoLine="0" autoPict="0">
                <anchor moveWithCells="1">
                  <from>
                    <xdr:col>4</xdr:col>
                    <xdr:colOff>0</xdr:colOff>
                    <xdr:row>42</xdr:row>
                    <xdr:rowOff>152400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1"/>
  <dimension ref="A1:H125"/>
  <sheetViews>
    <sheetView showGridLines="0" workbookViewId="0">
      <selection activeCell="A49" sqref="A49:C50"/>
    </sheetView>
  </sheetViews>
  <sheetFormatPr defaultColWidth="11.42578125" defaultRowHeight="12.75" x14ac:dyDescent="0.2"/>
  <cols>
    <col min="1" max="8" width="10.7109375" customWidth="1"/>
  </cols>
  <sheetData>
    <row r="1" spans="1:2" x14ac:dyDescent="0.2">
      <c r="A1" s="84" t="s">
        <v>185</v>
      </c>
    </row>
    <row r="2" spans="1:2" x14ac:dyDescent="0.2">
      <c r="A2" s="84"/>
    </row>
    <row r="3" spans="1:2" x14ac:dyDescent="0.2">
      <c r="A3" s="84"/>
    </row>
    <row r="4" spans="1:2" x14ac:dyDescent="0.2">
      <c r="A4" s="110" t="str">
        <f>INDEX(LA!$A65:$J65,,Info!$A$5)</f>
        <v>Circular Cross Section - design of reinforced concrete</v>
      </c>
    </row>
    <row r="6" spans="1:2" x14ac:dyDescent="0.2">
      <c r="A6" s="426" t="str">
        <f>INDEX(LA!$A68:$J68,,Info!$A$5)</f>
        <v>Geometry</v>
      </c>
      <c r="B6" s="426"/>
    </row>
    <row r="7" spans="1:2" x14ac:dyDescent="0.2">
      <c r="A7" s="77" t="str">
        <f>INDEX(LA!$A69:$J69,,Info!$A$5)</f>
        <v>diameter</v>
      </c>
      <c r="B7" s="77" t="str">
        <f>INDEX(LA!$A71:$J71,,Info!$A$5)</f>
        <v>sep. to edge</v>
      </c>
    </row>
    <row r="8" spans="1:2" x14ac:dyDescent="0.2">
      <c r="A8" s="75" t="str">
        <f>INDEX(LA!$A70:$J70,,Info!$A$5)</f>
        <v>D [mm]</v>
      </c>
      <c r="B8" s="75" t="str">
        <f>INDEX(LA!$A72:$J72,,Info!$A$5)</f>
        <v>H' [mm]</v>
      </c>
    </row>
    <row r="9" spans="1:2" x14ac:dyDescent="0.2">
      <c r="A9" s="86">
        <v>880</v>
      </c>
      <c r="B9" s="86">
        <v>105</v>
      </c>
    </row>
    <row r="10" spans="1:2" s="51" customFormat="1" x14ac:dyDescent="0.2"/>
    <row r="11" spans="1:2" s="51" customFormat="1" x14ac:dyDescent="0.2"/>
    <row r="12" spans="1:2" s="51" customFormat="1" x14ac:dyDescent="0.2"/>
    <row r="13" spans="1:2" s="51" customFormat="1" x14ac:dyDescent="0.2"/>
    <row r="14" spans="1:2" s="51" customFormat="1" x14ac:dyDescent="0.2"/>
    <row r="15" spans="1:2" s="51" customFormat="1" x14ac:dyDescent="0.2"/>
    <row r="16" spans="1:2" s="51" customFormat="1" x14ac:dyDescent="0.2"/>
    <row r="17" spans="1:8" s="51" customFormat="1" x14ac:dyDescent="0.2"/>
    <row r="18" spans="1:8" s="51" customFormat="1" x14ac:dyDescent="0.2"/>
    <row r="19" spans="1:8" s="51" customFormat="1" x14ac:dyDescent="0.2"/>
    <row r="20" spans="1:8" s="51" customFormat="1" x14ac:dyDescent="0.2"/>
    <row r="21" spans="1:8" s="51" customFormat="1" x14ac:dyDescent="0.2"/>
    <row r="22" spans="1:8" s="51" customFormat="1" x14ac:dyDescent="0.2"/>
    <row r="23" spans="1:8" s="51" customFormat="1" x14ac:dyDescent="0.2"/>
    <row r="24" spans="1:8" s="51" customFormat="1" x14ac:dyDescent="0.2"/>
    <row r="25" spans="1:8" x14ac:dyDescent="0.2">
      <c r="A25" s="416" t="str">
        <f>INDEX(LA!$A84:$J84,,Info!$A$5)</f>
        <v>Concrete</v>
      </c>
      <c r="B25" s="417"/>
      <c r="C25" s="417"/>
      <c r="D25" s="417"/>
      <c r="E25" s="417"/>
      <c r="F25" s="417"/>
      <c r="G25" s="417"/>
      <c r="H25" s="418"/>
    </row>
    <row r="26" spans="1:8" x14ac:dyDescent="0.2">
      <c r="A26" s="77" t="str">
        <f>INDEX(LA!$A85:$J85,,Info!$A$5)</f>
        <v>mat. strength</v>
      </c>
      <c r="B26" s="77" t="str">
        <f>INDEX(LA!$A87:$J87,,Info!$A$5)</f>
        <v>reduct.factor</v>
      </c>
      <c r="C26" s="427" t="str">
        <f>INDEX(LA!$A89:$J89,,Info!$A$5)</f>
        <v>stress-strain curve</v>
      </c>
      <c r="D26" s="428" t="e">
        <f>INDEX(LA!#REF!,,Spra)</f>
        <v>#REF!</v>
      </c>
      <c r="E26" s="429" t="e">
        <f>INDEX(LA!#REF!,,Spra)</f>
        <v>#REF!</v>
      </c>
      <c r="F26" s="430" t="str">
        <f>INDEX(LA!$A93:$J93,,Info!$A$5)</f>
        <v>factor of safety</v>
      </c>
      <c r="G26" s="431" t="e">
        <f>INDEX(LA!$A91:$J91,,Spra)</f>
        <v>#NAME?</v>
      </c>
      <c r="H26" s="77" t="str">
        <f>INDEX(LA!$A96:$J96,,Info!$A$5)</f>
        <v>min.comp.reinf.</v>
      </c>
    </row>
    <row r="27" spans="1:8" x14ac:dyDescent="0.2">
      <c r="A27" s="147" t="str">
        <f>INDEX(LA!$A86:$J86,,Info!$A$5)</f>
        <v>f_ck [MN/m²]</v>
      </c>
      <c r="B27" s="76" t="str">
        <f>INDEX(LA!$A88:$J88,,Info!$A$5)</f>
        <v>α   [1]</v>
      </c>
      <c r="C27" s="78" t="str">
        <f>INDEX(LA!$A90:$J90,,Info!$A$5)</f>
        <v>ε_c2  [1]</v>
      </c>
      <c r="D27" s="79" t="str">
        <f>INDEX(LA!$A91:$J91,,Info!$A$5)</f>
        <v>ε_c2u [1]</v>
      </c>
      <c r="E27" s="79" t="str">
        <f>INDEX(LA!$A92:$J92,,Info!$A$5)</f>
        <v>exp. [1]</v>
      </c>
      <c r="F27" s="79" t="str">
        <f>INDEX(LA!$A94:$J94,,Info!$A$5)</f>
        <v>γ_c   [1]</v>
      </c>
      <c r="G27" s="79" t="str">
        <f>INDEX(LA!$A95:$J95,,Info!$A$5)</f>
        <v>γ_c,u  [1]</v>
      </c>
      <c r="H27" s="145" t="str">
        <f>INDEX(LA!$A97:$J97,,Info!$A$5)</f>
        <v>N_Ed,min [1]</v>
      </c>
    </row>
    <row r="28" spans="1:8" x14ac:dyDescent="0.2">
      <c r="A28" s="85">
        <v>20</v>
      </c>
      <c r="B28" s="89">
        <v>0.85</v>
      </c>
      <c r="C28" s="88">
        <v>2E-3</v>
      </c>
      <c r="D28" s="88">
        <v>3.5000000000000001E-3</v>
      </c>
      <c r="E28" s="89">
        <v>2</v>
      </c>
      <c r="F28" s="89">
        <v>1.5</v>
      </c>
      <c r="G28" s="89">
        <v>1.8</v>
      </c>
      <c r="H28" s="89">
        <v>0.15</v>
      </c>
    </row>
    <row r="30" spans="1:8" ht="15.75" customHeight="1" x14ac:dyDescent="0.25">
      <c r="A30" s="416" t="str">
        <f>INDEX(LA!$A98:$J98,,Info!$A$5)</f>
        <v>Reinforcement</v>
      </c>
      <c r="B30" s="417"/>
      <c r="C30" s="417"/>
      <c r="D30" s="417"/>
      <c r="E30" s="418"/>
      <c r="F30" s="83">
        <v>2</v>
      </c>
    </row>
    <row r="31" spans="1:8" ht="15.75" customHeight="1" x14ac:dyDescent="0.25">
      <c r="A31" s="77" t="str">
        <f>INDEX(LA!$A99:$J99,,Info!$A$5)</f>
        <v>yield stress</v>
      </c>
      <c r="B31" s="77" t="str">
        <f>INDEX(LA!$A101:$J101,,Info!$A$5)</f>
        <v>tens.strength</v>
      </c>
      <c r="C31" s="81" t="str">
        <f>INDEX(LA!$A103:$J103,,Info!$A$5)</f>
        <v>Young's m.</v>
      </c>
      <c r="D31" s="81" t="str">
        <f>INDEX(LA!$A105:$J105,,Info!$A$5)</f>
        <v>max. strain</v>
      </c>
      <c r="E31" s="75" t="str">
        <f>INDEX(LA!$A107:$J107,,Info!$A$5)</f>
        <v>FoS</v>
      </c>
      <c r="F31" s="82"/>
    </row>
    <row r="32" spans="1:8" ht="15.75" customHeight="1" x14ac:dyDescent="0.25">
      <c r="A32" s="147" t="str">
        <f>INDEX(LA!$A100:$J100,,Info!$A$5)</f>
        <v>f_yk [MN/m²]</v>
      </c>
      <c r="B32" s="147" t="str">
        <f>INDEX(LA!$A102:$J102,,Info!$A$5)</f>
        <v>f_tk [MN/m²]</v>
      </c>
      <c r="C32" s="76" t="str">
        <f>INDEX(LA!$A104:$J104,,Info!$A$5)</f>
        <v>E [MN/m²]</v>
      </c>
      <c r="D32" s="80" t="str">
        <f>INDEX(LA!$A106:$J106,,Info!$A$5)</f>
        <v>ε_s,u  [1]</v>
      </c>
      <c r="E32" s="80" t="str">
        <f>INDEX(LA!$A108:$J108,,Info!$A$5)</f>
        <v>γ_s   [1]</v>
      </c>
      <c r="F32" s="83">
        <v>1</v>
      </c>
    </row>
    <row r="33" spans="1:8" ht="15.75" customHeight="1" x14ac:dyDescent="0.25">
      <c r="A33" s="85">
        <v>500</v>
      </c>
      <c r="B33" s="86">
        <v>525</v>
      </c>
      <c r="C33" s="87">
        <v>200000</v>
      </c>
      <c r="D33" s="88">
        <v>2.5000000000000001E-2</v>
      </c>
      <c r="E33" s="89">
        <v>1.1499999999999999</v>
      </c>
      <c r="F33" s="83">
        <v>2</v>
      </c>
    </row>
    <row r="34" spans="1:8" s="51" customFormat="1" x14ac:dyDescent="0.2"/>
    <row r="35" spans="1:8" s="51" customFormat="1" x14ac:dyDescent="0.2">
      <c r="A35" s="7" t="str">
        <f>INDEX(LA!$A124:$J124,,Info!$A$5)</f>
        <v>Internal Forces</v>
      </c>
      <c r="C35" s="419" t="str">
        <f>INDEX(LA!$A129:$J129,,Info!$A$5)</f>
        <v>characteristic values</v>
      </c>
      <c r="D35" s="419"/>
      <c r="E35" s="419" t="str">
        <f>INDEX(LA!$A132:$J132,,Info!$A$5)</f>
        <v>design values</v>
      </c>
      <c r="F35" s="419"/>
    </row>
    <row r="36" spans="1:8" s="51" customFormat="1" x14ac:dyDescent="0.2">
      <c r="C36" s="105" t="str">
        <f>INDEX(LA!$A130:$J130,,Info!$A$5)</f>
        <v>permanent</v>
      </c>
      <c r="D36" s="105" t="str">
        <f>INDEX(LA!$A131:$J131,,Info!$A$5)</f>
        <v>transient</v>
      </c>
      <c r="E36" s="111" t="str">
        <f>""</f>
        <v/>
      </c>
      <c r="F36" s="112" t="str">
        <f>""</f>
        <v/>
      </c>
    </row>
    <row r="37" spans="1:8" s="51" customFormat="1" x14ac:dyDescent="0.2">
      <c r="A37" s="1" t="str">
        <f>INDEX(LA!$A125:$J125,,Info!$A$5)</f>
        <v>bend. moment  M [kNm]</v>
      </c>
      <c r="B37" s="90"/>
      <c r="C37" s="72">
        <v>190</v>
      </c>
      <c r="D37" s="72">
        <f>C37</f>
        <v>190</v>
      </c>
      <c r="E37" s="126">
        <v>7000</v>
      </c>
      <c r="F37" s="114">
        <f>IF(OR($E37="",$E37=" "),$C37*$C$40+$D37*$D$40,$E37)</f>
        <v>7000</v>
      </c>
    </row>
    <row r="38" spans="1:8" s="51" customFormat="1" x14ac:dyDescent="0.2">
      <c r="A38" s="1" t="str">
        <f>INDEX(LA!$A126:$J126,,Info!$A$5)</f>
        <v>normal force     N   [kN]</v>
      </c>
      <c r="B38" s="90"/>
      <c r="C38" s="72">
        <v>-500</v>
      </c>
      <c r="D38" s="72">
        <f>C38</f>
        <v>-500</v>
      </c>
      <c r="E38" s="126">
        <v>-1000</v>
      </c>
      <c r="F38" s="114">
        <f>IF(OR($E38="",$E38=" "),$C38*$C$40+$D38*$D$40,$E38)</f>
        <v>-1000</v>
      </c>
    </row>
    <row r="39" spans="1:8" s="51" customFormat="1" x14ac:dyDescent="0.2">
      <c r="A39" s="1" t="str">
        <f>INDEX(LA!$A127:$J127,,Info!$A$5)</f>
        <v>shear force       V   [kN]</v>
      </c>
      <c r="B39" s="90"/>
      <c r="C39" s="72">
        <v>30</v>
      </c>
      <c r="D39" s="72">
        <f>C39</f>
        <v>30</v>
      </c>
      <c r="E39" s="126">
        <v>400</v>
      </c>
      <c r="F39" s="114">
        <f>IF(OR($E39="",$E39=" "),$C39*$C$40+$D39*$D$40,$E39)</f>
        <v>400</v>
      </c>
    </row>
    <row r="40" spans="1:8" s="51" customFormat="1" x14ac:dyDescent="0.2">
      <c r="A40" s="1" t="str">
        <f>INDEX(LA!$A128:$J128,,Info!$A$5)</f>
        <v>FoS loads       γ_E  [1]</v>
      </c>
      <c r="B40" s="90"/>
      <c r="C40" s="73">
        <v>1.35</v>
      </c>
      <c r="D40" s="73">
        <v>1.5</v>
      </c>
      <c r="E40" s="73">
        <v>1.4</v>
      </c>
      <c r="F40" s="54">
        <f>IF(AND(OR($E$37="",$E37=" "),OR($E$38="",$E38=" ")),(ABS($F$37)/$A$9*1000+ABS($F$38))/(ABS($C$37+$D$37)/$A$9*1000+ABS($C$38+$D$38)),$E$40)</f>
        <v>1.4</v>
      </c>
    </row>
    <row r="41" spans="1:8" s="51" customFormat="1" x14ac:dyDescent="0.2">
      <c r="A41" s="51" t="str">
        <f>INDEX(LA!$A133:$J133,,Info!$A$5)</f>
        <v>normal force N: tension positive, compression negative</v>
      </c>
    </row>
    <row r="42" spans="1:8" s="51" customFormat="1" x14ac:dyDescent="0.2"/>
    <row r="43" spans="1:8" x14ac:dyDescent="0.2">
      <c r="A43" s="7" t="str">
        <f>INDEX(LA!$A134:$J134,,Info!$A$5)</f>
        <v>Longitudinal Reinforcement</v>
      </c>
    </row>
    <row r="44" spans="1:8" x14ac:dyDescent="0.2">
      <c r="A44" s="420" t="str">
        <f>INDEX(LA!$A135:$J135,,Info!$A$5)</f>
        <v>ultimate strain of concrete    ε_c [-]</v>
      </c>
      <c r="B44" s="421"/>
      <c r="C44" s="422"/>
      <c r="D44" s="45">
        <f>[1]!StB08KreisMN($A$9,$B$9,$A$28,$B$28,$C$28,$D$28,$E$28,$F$28,$G$28,$H$28,$A$33,$B$33,$C$33,$D$33,$E$33,$F$37,$F$38,1+($F$30-1)*10)</f>
        <v>-3.5000000000000001E-3</v>
      </c>
      <c r="F44" s="432" t="str">
        <f>IF($F$45="","",INDEX(LA!$A141:$J141,,Info!$A$5))</f>
        <v/>
      </c>
      <c r="G44" s="433"/>
      <c r="H44" s="434"/>
    </row>
    <row r="45" spans="1:8" x14ac:dyDescent="0.2">
      <c r="A45" s="423"/>
      <c r="B45" s="424"/>
      <c r="C45" s="425"/>
      <c r="D45" s="46">
        <f>[1]!StB08KreisMN($A$9,$B$9,$A$28,$B$28,$C$28,$D$28,$E$28,$F$28,$G$28,$H$28,$A$33,$B$33,$C$33,$D$33,$E$33,$F$37,$F$38,2+($F$30-1)*10)</f>
        <v>3.7874799093748353E-3</v>
      </c>
      <c r="F45" s="65" t="str">
        <f>INDEX($A$91:$A$94,[1]!StB08KreisMN($A$9,$B$9,$A$28,$B$28,$C$28,$D$28,$E$28,$F$28,$G$28,$H$28,$A$33,$B$33,$C$33,$D$33,$E$33,$F$37,$F$38,7+($F$30-1)*10),)</f>
        <v/>
      </c>
      <c r="G45" s="2"/>
      <c r="H45" s="3"/>
    </row>
    <row r="46" spans="1:8" x14ac:dyDescent="0.2">
      <c r="A46" s="420" t="str">
        <f>INDEX(LA!$A136:$J136,,Info!$A$5)</f>
        <v>ultimate strain of steel         ε_s [-]</v>
      </c>
      <c r="B46" s="421"/>
      <c r="C46" s="422"/>
      <c r="D46" s="45">
        <f>[1]!StB08KreisMN($A$9,$B$9,$A$28,$B$28,$C$28,$D$28,$E$28,$F$28,$G$28,$H$28,$A$33,$B$33,$C$33,$D$33,$E$33,$F$37,$F$38,3+($F$30-1)*10)</f>
        <v>-2.6304711471768663E-3</v>
      </c>
      <c r="F46" s="6" t="str">
        <f>INDEX(LA!$A146:$J146,,Info!$A$5)</f>
        <v>total FoS              γ  [1]</v>
      </c>
      <c r="G46" s="3"/>
      <c r="H46" s="18">
        <f>$F$40*$D$49</f>
        <v>1.6507420395057988</v>
      </c>
    </row>
    <row r="47" spans="1:8" x14ac:dyDescent="0.2">
      <c r="A47" s="423"/>
      <c r="B47" s="424"/>
      <c r="C47" s="425"/>
      <c r="D47" s="46">
        <f>[1]!StB08KreisMN($A$9,$B$9,$A$28,$B$28,$C$28,$D$28,$E$28,$F$28,$G$28,$H$28,$A$33,$B$33,$C$33,$D$33,$E$33,$F$37,$F$38,4+($F$30-1)*10)</f>
        <v>2.9179510565517015E-3</v>
      </c>
    </row>
    <row r="48" spans="1:8" x14ac:dyDescent="0.2">
      <c r="A48" s="113" t="str">
        <f>INDEX(LA!$A137:$J137,,Info!$A$5)</f>
        <v>reinforcement          req. A_s [cm²]</v>
      </c>
      <c r="B48" s="2"/>
      <c r="C48" s="2"/>
      <c r="D48" s="13">
        <f>[1]!StB08KreisMN($A$9,$B$9,$A$28,$B$28,$C$28,$D$28,$E$28,$F$28,$G$28,$H$28,$A$33,$B$33,$C$33,$D$33,$E$33,$F$37,$F$38,5+($F$30-1)*10)</f>
        <v>827.39000122702248</v>
      </c>
    </row>
    <row r="49" spans="1:8" x14ac:dyDescent="0.2">
      <c r="A49" s="113" t="str">
        <f>INDEX(LA!$A140:$J140,,Info!$A$5)</f>
        <v>FoS material resistance    γ_R  [1]</v>
      </c>
      <c r="B49" s="2"/>
      <c r="C49" s="2"/>
      <c r="D49" s="18">
        <f>[1]!StB08KreisMN($A$9,$B$9,$A$28,$B$28,$C$28,$D$28,$E$28,$F$28,$G$28,$H$28,$A$33,$B$33,$C$33,$D$33,$E$33,$F$37,$F$38,6+($F$30-1)*10)</f>
        <v>1.1791014567898563</v>
      </c>
    </row>
    <row r="50" spans="1:8" s="51" customFormat="1" x14ac:dyDescent="0.2"/>
    <row r="51" spans="1:8" x14ac:dyDescent="0.2">
      <c r="A51" s="7" t="str">
        <f>INDEX(LA!$A147:$J147,,Info!$A$5)</f>
        <v>Shear Reinforcement</v>
      </c>
    </row>
    <row r="52" spans="1:8" x14ac:dyDescent="0.2">
      <c r="A52" s="1" t="str">
        <f>INDEX(LA!$A148:$J148,,Info!$A$5)</f>
        <v>A_s     [cm²]</v>
      </c>
      <c r="B52" s="2"/>
      <c r="C52" s="74"/>
      <c r="D52" s="91">
        <f>IF(OR($C$52="",$C$52=" "),$D$48,$C$52)</f>
        <v>827.39000122702248</v>
      </c>
      <c r="F52" s="1" t="str">
        <f>INDEX(LA!$A152:$J152,,Info!$A$5)</f>
        <v>V_Rdct               [kN]</v>
      </c>
      <c r="G52" s="3"/>
      <c r="H52" s="114">
        <f>[1]!StB08Kreis_Q($A$9,$B$9,$A$28,$B$28,$C$28,$D$28,$E$28,$F$28,$G$28,$H$28,$A$33,$B$33,$C$33,$D$33,$E$33,$F$37,$F$38,$F$39,$D$52,($F$32-1)/10,IF($F$33=1,-1,1)*21)</f>
        <v>414.57506060873635</v>
      </c>
    </row>
    <row r="53" spans="1:8" x14ac:dyDescent="0.2">
      <c r="A53" s="420" t="str">
        <f>INDEX(LA!$A135:$J135,,Info!$A$5)</f>
        <v>ultimate strain of concrete    ε_c [-]</v>
      </c>
      <c r="B53" s="421"/>
      <c r="C53" s="422"/>
      <c r="D53" s="45">
        <f>[1]!StB08Kreis_Q($A$9,$B$9,$A$28,$B$28,$C$28,$D$28,$E$28,$F$28,$G$28,$H$28,$A$33,$B$33,$C$33,$D$33,$E$33,$F$37,$F$38,$F$39,$D$52,($F$32-1)/10,IF($F$33=1,-1,1)*1)</f>
        <v>-3.5000000000000001E-3</v>
      </c>
      <c r="F53" s="1" t="str">
        <f>INDEX(LA!$A153:$J153,,Info!$A$5)</f>
        <v>V_Rdmax           [kN]</v>
      </c>
      <c r="G53" s="3"/>
      <c r="H53" s="114">
        <f>[1]!StB08Kreis_Q($A$9,$B$9,$A$28,$B$28,$C$28,$D$28,$E$28,$F$28,$G$28,$H$28,$A$33,$B$33,$C$33,$D$33,$E$33,$F$37,$F$38,$F$39,$D$52,($F$32-1)/10,IF($F$33=1,-1,1)*22)</f>
        <v>1327.1544208448147</v>
      </c>
    </row>
    <row r="54" spans="1:8" x14ac:dyDescent="0.2">
      <c r="A54" s="423"/>
      <c r="B54" s="424"/>
      <c r="C54" s="425"/>
      <c r="D54" s="46">
        <f>[1]!StB08Kreis_Q($A$9,$B$9,$A$28,$B$28,$C$28,$D$28,$E$28,$F$28,$G$28,$H$28,$A$33,$B$33,$C$33,$D$33,$E$33,$F$37,$F$38,$F$39,$D$52,($F$32-1)/10,IF($F$33=1,-1,1)*2)</f>
        <v>3.7874849564002314E-3</v>
      </c>
      <c r="F54" s="1" t="str">
        <f>INDEX(LA!$A154:$J154,,Info!$A$5)</f>
        <v>cot(θ)                  [1]</v>
      </c>
      <c r="G54" s="3"/>
      <c r="H54" s="54">
        <f>[1]!StB08Kreis_Q($A$9,$B$9,$A$28,$B$28,$C$28,$D$28,$E$28,$F$28,$G$28,$H$28,$A$33,$B$33,$C$33,$D$33,$E$33,$F$37,$F$38,$F$39,$D$52,($F$32-1)/10,IF($F$33=1,-1,1)*23)</f>
        <v>2.4990905151531901</v>
      </c>
    </row>
    <row r="55" spans="1:8" x14ac:dyDescent="0.2">
      <c r="A55" s="420" t="str">
        <f>INDEX(LA!$A136:$J136,,Info!$A$5)</f>
        <v>ultimate strain of steel         ε_s [-]</v>
      </c>
      <c r="B55" s="421"/>
      <c r="C55" s="422"/>
      <c r="D55" s="45">
        <f>[1]!StB08Kreis_Q($A$9,$B$9,$A$28,$B$28,$C$28,$D$28,$E$28,$F$28,$G$28,$H$28,$A$33,$B$33,$C$33,$D$33,$E$33,$F$37,$F$38,$F$39,$D$52,($F$32-1)/10,IF($F$33=1,-1,1)*3)</f>
        <v>-2.6304705449749725E-3</v>
      </c>
      <c r="F55" s="1" t="str">
        <f>INDEX(LA!$A155:$J155,,Info!$A$5)</f>
        <v>z_i                     [m]</v>
      </c>
      <c r="G55" s="3"/>
      <c r="H55" s="53">
        <f>[1]!StB08Kreis_Q($A$9,$B$9,$A$28,$B$28,$C$28,$D$28,$E$28,$F$28,$G$28,$H$28,$A$33,$B$33,$C$33,$D$33,$E$33,$F$37,$F$38,$F$39,$D$52,($F$32-1)/10,IF($F$33=1,-1,1)*24)</f>
        <v>0.66735000000000011</v>
      </c>
    </row>
    <row r="56" spans="1:8" x14ac:dyDescent="0.2">
      <c r="A56" s="423"/>
      <c r="B56" s="424"/>
      <c r="C56" s="425"/>
      <c r="D56" s="46">
        <f>[1]!StB08Kreis_Q($A$9,$B$9,$A$28,$B$28,$C$28,$D$28,$E$28,$F$28,$G$28,$H$28,$A$33,$B$33,$C$33,$D$33,$E$33,$F$37,$F$38,$F$39,$D$52,($F$32-1)/10,IF($F$33=1,-1,1)*4)</f>
        <v>2.9179555013752038E-3</v>
      </c>
      <c r="F56" s="1" t="str">
        <f>INDEX(LA!$A156:$J156,,Info!$A$5)</f>
        <v>b_w                    [m]</v>
      </c>
      <c r="G56" s="3"/>
      <c r="H56" s="53">
        <f>[1]!StB08Kreis_Q($A$9,$B$9,$A$28,$B$28,$C$28,$D$28,$E$28,$F$28,$G$28,$H$28,$A$33,$B$33,$C$33,$D$33,$E$33,$F$37,$F$38,$F$39,$D$52,($F$32-1)/10,IF($F$33=1,-1,1)*25)</f>
        <v>0.77987969439842664</v>
      </c>
    </row>
    <row r="57" spans="1:8" x14ac:dyDescent="0.2">
      <c r="A57" s="113" t="str">
        <f>INDEX(LA!$A151:$J151,,Info!$A$5)</f>
        <v>shear reinforce.   req. a_s [cm²/m]</v>
      </c>
      <c r="B57" s="2"/>
      <c r="C57" s="2"/>
      <c r="D57" s="18">
        <f>[1]!StB08Kreis_Q($A$9,$B$9,$A$28,$B$28,$C$28,$D$28,$E$28,$F$28,$G$28,$H$28,$A$33,$B$33,$C$33,$D$33,$E$33,$F$37,$F$38,$F$39,$D$52,($F$32-1)/10,IF($F$33=1,-1,1)*5)</f>
        <v>5.5163546098825771</v>
      </c>
    </row>
    <row r="58" spans="1:8" s="51" customFormat="1" x14ac:dyDescent="0.2"/>
    <row r="59" spans="1:8" s="51" customFormat="1" x14ac:dyDescent="0.2"/>
    <row r="60" spans="1:8" s="51" customFormat="1" x14ac:dyDescent="0.2"/>
    <row r="61" spans="1:8" s="51" customFormat="1" x14ac:dyDescent="0.2"/>
    <row r="62" spans="1:8" s="51" customFormat="1" x14ac:dyDescent="0.2"/>
    <row r="63" spans="1:8" s="51" customFormat="1" x14ac:dyDescent="0.2"/>
    <row r="64" spans="1:8" s="51" customFormat="1" x14ac:dyDescent="0.2"/>
    <row r="65" spans="1:3" s="51" customFormat="1" hidden="1" x14ac:dyDescent="0.2">
      <c r="A65" s="51" t="s">
        <v>378</v>
      </c>
    </row>
    <row r="66" spans="1:3" s="51" customFormat="1" hidden="1" x14ac:dyDescent="0.2">
      <c r="A66" s="115" t="s">
        <v>459</v>
      </c>
      <c r="B66" s="51" t="s">
        <v>452</v>
      </c>
    </row>
    <row r="67" spans="1:3" s="51" customFormat="1" hidden="1" x14ac:dyDescent="0.2">
      <c r="A67" s="115" t="s">
        <v>450</v>
      </c>
      <c r="B67" s="125" t="s">
        <v>451</v>
      </c>
    </row>
    <row r="68" spans="1:3" s="51" customFormat="1" hidden="1" x14ac:dyDescent="0.2">
      <c r="A68" s="115" t="s">
        <v>379</v>
      </c>
      <c r="B68" s="51" t="s">
        <v>381</v>
      </c>
    </row>
    <row r="69" spans="1:3" s="51" customFormat="1" hidden="1" x14ac:dyDescent="0.2">
      <c r="A69" s="115" t="s">
        <v>380</v>
      </c>
      <c r="B69" s="51" t="s">
        <v>382</v>
      </c>
    </row>
    <row r="70" spans="1:3" s="51" customFormat="1" hidden="1" x14ac:dyDescent="0.2">
      <c r="A70" s="115"/>
    </row>
    <row r="72" spans="1:3" hidden="1" x14ac:dyDescent="0.2"/>
    <row r="73" spans="1:3" hidden="1" x14ac:dyDescent="0.2">
      <c r="A73" s="1" t="str">
        <f>INDEX(LA!$A109:$J109,,Info!$A$5)</f>
        <v>without min. reinforcement</v>
      </c>
      <c r="B73" s="2"/>
      <c r="C73" s="3"/>
    </row>
    <row r="74" spans="1:3" hidden="1" x14ac:dyDescent="0.2">
      <c r="A74" s="1" t="str">
        <f>INDEX(LA!$A110:$J110,,Info!$A$5)</f>
        <v>with min. reinforcement</v>
      </c>
      <c r="B74" s="2"/>
      <c r="C74" s="3"/>
    </row>
    <row r="75" spans="1:3" hidden="1" x14ac:dyDescent="0.2"/>
    <row r="76" spans="1:3" hidden="1" x14ac:dyDescent="0.2">
      <c r="A76" s="1" t="str">
        <f>INDEX(LA!$A111:$J111,,Info!$A$5)</f>
        <v>min. shear reinf. accord. DIN 1045</v>
      </c>
      <c r="B76" s="2"/>
      <c r="C76" s="3"/>
    </row>
    <row r="77" spans="1:3" hidden="1" x14ac:dyDescent="0.2">
      <c r="A77" s="1" t="str">
        <f>INDEX(LA!$A112:$J112,,Info!$A$5)</f>
        <v>10% of calculated shear reinforce.</v>
      </c>
      <c r="B77" s="2"/>
      <c r="C77" s="3"/>
    </row>
    <row r="78" spans="1:3" hidden="1" x14ac:dyDescent="0.2">
      <c r="A78" s="1" t="str">
        <f>INDEX(LA!$A113:$J113,,Info!$A$5)</f>
        <v>20% of calculated shear reinforce.</v>
      </c>
      <c r="B78" s="2"/>
      <c r="C78" s="3"/>
    </row>
    <row r="79" spans="1:3" hidden="1" x14ac:dyDescent="0.2">
      <c r="A79" s="1" t="str">
        <f>INDEX(LA!$A114:$J114,,Info!$A$5)</f>
        <v>30% of calculated shear reinforce.</v>
      </c>
      <c r="B79" s="2"/>
      <c r="C79" s="3"/>
    </row>
    <row r="80" spans="1:3" hidden="1" x14ac:dyDescent="0.2">
      <c r="A80" s="1" t="str">
        <f>INDEX(LA!$A115:$J115,,Info!$A$5)</f>
        <v>40% of calculated shear reinforce.</v>
      </c>
      <c r="B80" s="2"/>
      <c r="C80" s="3"/>
    </row>
    <row r="81" spans="1:3" hidden="1" x14ac:dyDescent="0.2">
      <c r="A81" s="1" t="str">
        <f>INDEX(LA!$A116:$J116,,Info!$A$5)</f>
        <v>50% of calculated shear reinforce.</v>
      </c>
      <c r="B81" s="2"/>
      <c r="C81" s="3"/>
    </row>
    <row r="82" spans="1:3" hidden="1" x14ac:dyDescent="0.2">
      <c r="A82" s="1" t="str">
        <f>INDEX(LA!$A117:$J117,,Info!$A$5)</f>
        <v>60% of calculated shear reinforce.</v>
      </c>
      <c r="B82" s="2"/>
      <c r="C82" s="3"/>
    </row>
    <row r="83" spans="1:3" hidden="1" x14ac:dyDescent="0.2">
      <c r="A83" s="1" t="str">
        <f>INDEX(LA!$A118:$J118,,Info!$A$5)</f>
        <v>70% of calculated shear reinforce.</v>
      </c>
      <c r="B83" s="2"/>
      <c r="C83" s="3"/>
    </row>
    <row r="84" spans="1:3" hidden="1" x14ac:dyDescent="0.2">
      <c r="A84" s="1" t="str">
        <f>INDEX(LA!$A119:$J119,,Info!$A$5)</f>
        <v>80% of calculated shear reinforce.</v>
      </c>
      <c r="B84" s="2"/>
      <c r="C84" s="3"/>
    </row>
    <row r="85" spans="1:3" hidden="1" x14ac:dyDescent="0.2">
      <c r="A85" s="1" t="str">
        <f>INDEX(LA!$A120:$J120,,Info!$A$5)</f>
        <v>90% of calculated shear reinforce.</v>
      </c>
      <c r="B85" s="2"/>
      <c r="C85" s="3"/>
    </row>
    <row r="86" spans="1:3" hidden="1" x14ac:dyDescent="0.2">
      <c r="A86" s="1" t="str">
        <f>INDEX(LA!$A121:$J121,,Info!$A$5)</f>
        <v>100% of calculated shear reinforce.</v>
      </c>
      <c r="B86" s="2"/>
      <c r="C86" s="3"/>
    </row>
    <row r="87" spans="1:3" hidden="1" x14ac:dyDescent="0.2"/>
    <row r="88" spans="1:3" hidden="1" x14ac:dyDescent="0.2">
      <c r="A88" s="1" t="str">
        <f>INDEX(LA!$A122:$J122,,Info!$A$5)</f>
        <v>shear: diagonal struts cot(θ) = 1</v>
      </c>
      <c r="B88" s="2"/>
      <c r="C88" s="3"/>
    </row>
    <row r="89" spans="1:3" hidden="1" x14ac:dyDescent="0.2">
      <c r="A89" s="1" t="str">
        <f>INDEX(LA!$A123:$J123,,Info!$A$5)</f>
        <v>shear: diagonal struts cot(θ) ≤ 3</v>
      </c>
      <c r="B89" s="2"/>
      <c r="C89" s="3"/>
    </row>
    <row r="90" spans="1:3" hidden="1" x14ac:dyDescent="0.2"/>
    <row r="91" spans="1:3" hidden="1" x14ac:dyDescent="0.2">
      <c r="A91" s="148" t="str">
        <f>INDEX(LA!$A142:$J142,,Info!$A$5)</f>
        <v/>
      </c>
      <c r="B91" s="2"/>
      <c r="C91" s="3"/>
    </row>
    <row r="92" spans="1:3" hidden="1" x14ac:dyDescent="0.2">
      <c r="A92" s="148" t="str">
        <f>INDEX(LA!$A143:$J143,,Info!$A$5)</f>
        <v>cross section completely compressed</v>
      </c>
      <c r="B92" s="2"/>
      <c r="C92" s="3"/>
    </row>
    <row r="93" spans="1:3" hidden="1" x14ac:dyDescent="0.2">
      <c r="A93" s="148" t="str">
        <f>INDEX(LA!$A144:$J144,,Info!$A$5)</f>
        <v>gap at most up to center of gravity</v>
      </c>
      <c r="B93" s="2"/>
      <c r="C93" s="3"/>
    </row>
    <row r="94" spans="1:3" hidden="1" x14ac:dyDescent="0.2">
      <c r="A94" s="148" t="str">
        <f>INDEX(LA!$A145:$J145,,Info!$A$5)</f>
        <v>gap beyond center of gravity</v>
      </c>
      <c r="B94" s="2"/>
      <c r="C94" s="3"/>
    </row>
    <row r="95" spans="1:3" s="51" customFormat="1" hidden="1" x14ac:dyDescent="0.2"/>
    <row r="96" spans="1:3" s="51" customFormat="1" hidden="1" x14ac:dyDescent="0.2"/>
    <row r="97" spans="1:4" s="51" customFormat="1" hidden="1" x14ac:dyDescent="0.2">
      <c r="A97" s="415" t="str">
        <f>A25</f>
        <v>Concrete</v>
      </c>
      <c r="B97" s="415"/>
      <c r="C97" s="415" t="str">
        <f>A30</f>
        <v>Reinforcement</v>
      </c>
      <c r="D97" s="415"/>
    </row>
    <row r="98" spans="1:4" s="51" customFormat="1" hidden="1" x14ac:dyDescent="0.2">
      <c r="A98" s="106">
        <v>0</v>
      </c>
      <c r="B98" s="106">
        <f t="shared" ref="B98:B123" si="0">B$124*(1-(($C$28-A98)/$C$28)^$E$28)</f>
        <v>0</v>
      </c>
      <c r="C98" s="106">
        <v>0</v>
      </c>
      <c r="D98" s="106">
        <v>0</v>
      </c>
    </row>
    <row r="99" spans="1:4" s="51" customFormat="1" hidden="1" x14ac:dyDescent="0.2">
      <c r="A99" s="106">
        <f>A98+$C$28/25</f>
        <v>8.0000000000000007E-5</v>
      </c>
      <c r="B99" s="106">
        <f t="shared" si="0"/>
        <v>1.3328000000000004</v>
      </c>
      <c r="C99" s="106">
        <f>$A$33/$C$33</f>
        <v>2.5000000000000001E-3</v>
      </c>
      <c r="D99" s="106">
        <f>$A$33</f>
        <v>500</v>
      </c>
    </row>
    <row r="100" spans="1:4" s="51" customFormat="1" hidden="1" x14ac:dyDescent="0.2">
      <c r="A100" s="106">
        <f t="shared" ref="A100:A123" si="1">A99+$C$28/25</f>
        <v>1.6000000000000001E-4</v>
      </c>
      <c r="B100" s="106">
        <f t="shared" si="0"/>
        <v>2.6111999999999993</v>
      </c>
      <c r="C100" s="107">
        <f>$D$33</f>
        <v>2.5000000000000001E-2</v>
      </c>
      <c r="D100" s="106">
        <f>$B$33</f>
        <v>525</v>
      </c>
    </row>
    <row r="101" spans="1:4" s="51" customFormat="1" hidden="1" x14ac:dyDescent="0.2">
      <c r="A101" s="106">
        <f t="shared" si="1"/>
        <v>2.4000000000000003E-4</v>
      </c>
      <c r="B101" s="106">
        <f t="shared" si="0"/>
        <v>3.8352000000000004</v>
      </c>
    </row>
    <row r="102" spans="1:4" s="51" customFormat="1" hidden="1" x14ac:dyDescent="0.2">
      <c r="A102" s="106">
        <f t="shared" si="1"/>
        <v>3.2000000000000003E-4</v>
      </c>
      <c r="B102" s="106">
        <f t="shared" si="0"/>
        <v>5.0048000000000021</v>
      </c>
    </row>
    <row r="103" spans="1:4" s="51" customFormat="1" hidden="1" x14ac:dyDescent="0.2">
      <c r="A103" s="106">
        <f t="shared" si="1"/>
        <v>4.0000000000000002E-4</v>
      </c>
      <c r="B103" s="106">
        <f t="shared" si="0"/>
        <v>6.1199999999999974</v>
      </c>
    </row>
    <row r="104" spans="1:4" s="51" customFormat="1" hidden="1" x14ac:dyDescent="0.2">
      <c r="A104" s="106">
        <f t="shared" si="1"/>
        <v>4.8000000000000001E-4</v>
      </c>
      <c r="B104" s="106">
        <f t="shared" si="0"/>
        <v>7.1807999999999996</v>
      </c>
    </row>
    <row r="105" spans="1:4" s="51" customFormat="1" hidden="1" x14ac:dyDescent="0.2">
      <c r="A105" s="106">
        <f t="shared" si="1"/>
        <v>5.6000000000000006E-4</v>
      </c>
      <c r="B105" s="106">
        <f t="shared" si="0"/>
        <v>8.1872000000000007</v>
      </c>
    </row>
    <row r="106" spans="1:4" s="51" customFormat="1" hidden="1" x14ac:dyDescent="0.2">
      <c r="A106" s="106">
        <f t="shared" si="1"/>
        <v>6.4000000000000005E-4</v>
      </c>
      <c r="B106" s="106">
        <f t="shared" si="0"/>
        <v>9.1391999999999971</v>
      </c>
    </row>
    <row r="107" spans="1:4" s="51" customFormat="1" hidden="1" x14ac:dyDescent="0.2">
      <c r="A107" s="106">
        <f t="shared" si="1"/>
        <v>7.2000000000000005E-4</v>
      </c>
      <c r="B107" s="106">
        <f t="shared" si="0"/>
        <v>10.036800000000003</v>
      </c>
    </row>
    <row r="108" spans="1:4" s="51" customFormat="1" hidden="1" x14ac:dyDescent="0.2">
      <c r="A108" s="106">
        <f t="shared" si="1"/>
        <v>8.0000000000000004E-4</v>
      </c>
      <c r="B108" s="106">
        <f t="shared" si="0"/>
        <v>10.879999999999999</v>
      </c>
    </row>
    <row r="109" spans="1:4" s="51" customFormat="1" hidden="1" x14ac:dyDescent="0.2">
      <c r="A109" s="106">
        <f t="shared" si="1"/>
        <v>8.8000000000000003E-4</v>
      </c>
      <c r="B109" s="106">
        <f t="shared" si="0"/>
        <v>11.668800000000003</v>
      </c>
    </row>
    <row r="110" spans="1:4" s="51" customFormat="1" hidden="1" x14ac:dyDescent="0.2">
      <c r="A110" s="106">
        <f t="shared" si="1"/>
        <v>9.6000000000000002E-4</v>
      </c>
      <c r="B110" s="106">
        <f t="shared" si="0"/>
        <v>12.4032</v>
      </c>
    </row>
    <row r="111" spans="1:4" s="51" customFormat="1" hidden="1" x14ac:dyDescent="0.2">
      <c r="A111" s="106">
        <f t="shared" si="1"/>
        <v>1.0400000000000001E-3</v>
      </c>
      <c r="B111" s="106">
        <f t="shared" si="0"/>
        <v>13.083200000000001</v>
      </c>
    </row>
    <row r="112" spans="1:4" s="51" customFormat="1" hidden="1" x14ac:dyDescent="0.2">
      <c r="A112" s="106">
        <f t="shared" si="1"/>
        <v>1.1200000000000001E-3</v>
      </c>
      <c r="B112" s="106">
        <f t="shared" si="0"/>
        <v>13.7088</v>
      </c>
    </row>
    <row r="113" spans="1:2" s="51" customFormat="1" hidden="1" x14ac:dyDescent="0.2">
      <c r="A113" s="106">
        <f t="shared" si="1"/>
        <v>1.2000000000000001E-3</v>
      </c>
      <c r="B113" s="106">
        <f t="shared" si="0"/>
        <v>14.280000000000001</v>
      </c>
    </row>
    <row r="114" spans="1:2" s="51" customFormat="1" hidden="1" x14ac:dyDescent="0.2">
      <c r="A114" s="106">
        <f t="shared" si="1"/>
        <v>1.2800000000000001E-3</v>
      </c>
      <c r="B114" s="106">
        <f t="shared" si="0"/>
        <v>14.796800000000001</v>
      </c>
    </row>
    <row r="115" spans="1:2" s="51" customFormat="1" hidden="1" x14ac:dyDescent="0.2">
      <c r="A115" s="106">
        <f t="shared" si="1"/>
        <v>1.3600000000000001E-3</v>
      </c>
      <c r="B115" s="106">
        <f t="shared" si="0"/>
        <v>15.259200000000002</v>
      </c>
    </row>
    <row r="116" spans="1:2" s="51" customFormat="1" hidden="1" x14ac:dyDescent="0.2">
      <c r="A116" s="106">
        <f t="shared" si="1"/>
        <v>1.4400000000000001E-3</v>
      </c>
      <c r="B116" s="106">
        <f t="shared" si="0"/>
        <v>15.667199999999999</v>
      </c>
    </row>
    <row r="117" spans="1:2" s="51" customFormat="1" hidden="1" x14ac:dyDescent="0.2">
      <c r="A117" s="106">
        <f t="shared" si="1"/>
        <v>1.5200000000000001E-3</v>
      </c>
      <c r="B117" s="106">
        <f t="shared" si="0"/>
        <v>16.020800000000001</v>
      </c>
    </row>
    <row r="118" spans="1:2" s="51" customFormat="1" hidden="1" x14ac:dyDescent="0.2">
      <c r="A118" s="106">
        <f t="shared" si="1"/>
        <v>1.6000000000000001E-3</v>
      </c>
      <c r="B118" s="106">
        <f t="shared" si="0"/>
        <v>16.32</v>
      </c>
    </row>
    <row r="119" spans="1:2" s="51" customFormat="1" hidden="1" x14ac:dyDescent="0.2">
      <c r="A119" s="106">
        <f t="shared" si="1"/>
        <v>1.6800000000000001E-3</v>
      </c>
      <c r="B119" s="106">
        <f t="shared" si="0"/>
        <v>16.564800000000002</v>
      </c>
    </row>
    <row r="120" spans="1:2" s="51" customFormat="1" hidden="1" x14ac:dyDescent="0.2">
      <c r="A120" s="106">
        <f t="shared" si="1"/>
        <v>1.7600000000000001E-3</v>
      </c>
      <c r="B120" s="106">
        <f t="shared" si="0"/>
        <v>16.755200000000002</v>
      </c>
    </row>
    <row r="121" spans="1:2" s="51" customFormat="1" hidden="1" x14ac:dyDescent="0.2">
      <c r="A121" s="106">
        <f t="shared" si="1"/>
        <v>1.8400000000000001E-3</v>
      </c>
      <c r="B121" s="106">
        <f t="shared" si="0"/>
        <v>16.891200000000001</v>
      </c>
    </row>
    <row r="122" spans="1:2" s="51" customFormat="1" hidden="1" x14ac:dyDescent="0.2">
      <c r="A122" s="106">
        <f t="shared" si="1"/>
        <v>1.92E-3</v>
      </c>
      <c r="B122" s="106">
        <f t="shared" si="0"/>
        <v>16.972799999999999</v>
      </c>
    </row>
    <row r="123" spans="1:2" s="51" customFormat="1" hidden="1" x14ac:dyDescent="0.2">
      <c r="A123" s="106">
        <f t="shared" si="1"/>
        <v>2E-3</v>
      </c>
      <c r="B123" s="106">
        <f t="shared" si="0"/>
        <v>17</v>
      </c>
    </row>
    <row r="124" spans="1:2" s="51" customFormat="1" hidden="1" x14ac:dyDescent="0.2">
      <c r="A124" s="107">
        <f>$D$28</f>
        <v>3.5000000000000001E-3</v>
      </c>
      <c r="B124" s="106">
        <f>$A$28*$B$28</f>
        <v>17</v>
      </c>
    </row>
    <row r="125" spans="1:2" s="51" customFormat="1" hidden="1" x14ac:dyDescent="0.2"/>
  </sheetData>
  <sheetProtection sheet="1" objects="1" scenarios="1"/>
  <mergeCells count="14">
    <mergeCell ref="A6:B6"/>
    <mergeCell ref="C26:E26"/>
    <mergeCell ref="F26:G26"/>
    <mergeCell ref="A25:H25"/>
    <mergeCell ref="F44:H44"/>
    <mergeCell ref="A97:B97"/>
    <mergeCell ref="C97:D97"/>
    <mergeCell ref="A30:E30"/>
    <mergeCell ref="C35:D35"/>
    <mergeCell ref="E35:F35"/>
    <mergeCell ref="A44:C45"/>
    <mergeCell ref="A46:C47"/>
    <mergeCell ref="A53:C54"/>
    <mergeCell ref="A55:C56"/>
  </mergeCells>
  <phoneticPr fontId="0" type="noConversion"/>
  <conditionalFormatting sqref="D57">
    <cfRule type="cellIs" dxfId="9" priority="1" stopIfTrue="1" operator="lessThan">
      <formula>-0.5</formula>
    </cfRule>
  </conditionalFormatting>
  <pageMargins left="0.86614173228346458" right="0.51181102362204722" top="0.39370078740157483" bottom="0.59055118110236227" header="0.31496062992125984" footer="0.39370078740157483"/>
  <pageSetup paperSize="9" orientation="portrait" r:id="rId1"/>
  <headerFooter alignWithMargins="0"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Drop Down 4">
              <controlPr defaultSize="0" autoLine="0" autoPict="0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Drop Down 7">
              <controlPr defaultSize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 Down 8">
              <controlPr defaultSize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2"/>
  <dimension ref="A1:H125"/>
  <sheetViews>
    <sheetView showGridLines="0" workbookViewId="0">
      <selection activeCell="A49" sqref="A49:C50"/>
    </sheetView>
  </sheetViews>
  <sheetFormatPr defaultColWidth="11.42578125" defaultRowHeight="12.75" x14ac:dyDescent="0.2"/>
  <cols>
    <col min="1" max="8" width="10.7109375" customWidth="1"/>
  </cols>
  <sheetData>
    <row r="1" spans="1:4" x14ac:dyDescent="0.2">
      <c r="A1" s="84" t="s">
        <v>185</v>
      </c>
    </row>
    <row r="2" spans="1:4" x14ac:dyDescent="0.2">
      <c r="A2" s="84"/>
    </row>
    <row r="3" spans="1:4" x14ac:dyDescent="0.2">
      <c r="A3" s="84"/>
    </row>
    <row r="4" spans="1:4" x14ac:dyDescent="0.2">
      <c r="A4" s="110" t="str">
        <f>INDEX(LA!$A66:$J66,,Info!$A$5)</f>
        <v>Circular Cross Section with sectional reinforcement - design of reinforced concrete</v>
      </c>
    </row>
    <row r="6" spans="1:4" x14ac:dyDescent="0.2">
      <c r="A6" s="416" t="str">
        <f>INDEX(LA!$A68:$J68,,Info!$A$5)</f>
        <v>Geometry</v>
      </c>
      <c r="B6" s="417"/>
      <c r="C6" s="417"/>
      <c r="D6" s="418"/>
    </row>
    <row r="7" spans="1:4" x14ac:dyDescent="0.2">
      <c r="A7" s="77" t="str">
        <f>INDEX(LA!$A69:$J69,,Info!$A$5)</f>
        <v>diameter</v>
      </c>
      <c r="B7" s="77" t="str">
        <f>INDEX(LA!$A71:$J71,,Info!$A$5)</f>
        <v>sep. to edge</v>
      </c>
      <c r="C7" s="77" t="str">
        <f>INDEX(LA!$A74:$J74,,Info!$A$5)</f>
        <v>reinf. section</v>
      </c>
      <c r="D7" s="77" t="str">
        <f>INDEX(LA!$A76:$J76,,Info!$A$5)</f>
        <v>base reinf.</v>
      </c>
    </row>
    <row r="8" spans="1:4" x14ac:dyDescent="0.2">
      <c r="A8" s="76" t="str">
        <f>INDEX(LA!$A70:$J70,,Info!$A$5)</f>
        <v>D [mm]</v>
      </c>
      <c r="B8" s="76" t="str">
        <f>INDEX(LA!$A72:$J72,,Info!$A$5)</f>
        <v>H' [mm]</v>
      </c>
      <c r="C8" s="76" t="str">
        <f>INDEX(LA!$A75:$J75,,Info!$A$5)</f>
        <v>δ   [°]</v>
      </c>
      <c r="D8" s="147" t="str">
        <f>INDEX(LA!$A77:$J77,,Info!$A$5)</f>
        <v>A_s0 [cm²]</v>
      </c>
    </row>
    <row r="9" spans="1:4" x14ac:dyDescent="0.2">
      <c r="A9" s="86">
        <v>880</v>
      </c>
      <c r="B9" s="86">
        <v>105</v>
      </c>
      <c r="C9" s="86">
        <v>90</v>
      </c>
      <c r="D9" s="127">
        <v>15</v>
      </c>
    </row>
    <row r="10" spans="1:4" s="51" customFormat="1" x14ac:dyDescent="0.2"/>
    <row r="11" spans="1:4" s="51" customFormat="1" x14ac:dyDescent="0.2"/>
    <row r="12" spans="1:4" s="51" customFormat="1" x14ac:dyDescent="0.2"/>
    <row r="13" spans="1:4" s="51" customFormat="1" x14ac:dyDescent="0.2"/>
    <row r="14" spans="1:4" s="51" customFormat="1" x14ac:dyDescent="0.2"/>
    <row r="15" spans="1:4" s="51" customFormat="1" x14ac:dyDescent="0.2"/>
    <row r="16" spans="1:4" s="51" customFormat="1" x14ac:dyDescent="0.2"/>
    <row r="17" spans="1:8" s="51" customFormat="1" x14ac:dyDescent="0.2"/>
    <row r="18" spans="1:8" s="51" customFormat="1" x14ac:dyDescent="0.2"/>
    <row r="19" spans="1:8" s="51" customFormat="1" x14ac:dyDescent="0.2"/>
    <row r="20" spans="1:8" s="51" customFormat="1" x14ac:dyDescent="0.2"/>
    <row r="21" spans="1:8" s="51" customFormat="1" x14ac:dyDescent="0.2"/>
    <row r="22" spans="1:8" s="51" customFormat="1" x14ac:dyDescent="0.2"/>
    <row r="23" spans="1:8" s="51" customFormat="1" x14ac:dyDescent="0.2"/>
    <row r="24" spans="1:8" s="51" customFormat="1" x14ac:dyDescent="0.2"/>
    <row r="25" spans="1:8" x14ac:dyDescent="0.2">
      <c r="A25" s="416" t="str">
        <f>INDEX(LA!$A84:$J84,,Info!$A$5)</f>
        <v>Concrete</v>
      </c>
      <c r="B25" s="417"/>
      <c r="C25" s="417"/>
      <c r="D25" s="417"/>
      <c r="E25" s="417"/>
      <c r="F25" s="417"/>
      <c r="G25" s="417"/>
      <c r="H25" s="418"/>
    </row>
    <row r="26" spans="1:8" x14ac:dyDescent="0.2">
      <c r="A26" s="77" t="str">
        <f>INDEX(LA!$A85:$J85,,Info!$A$5)</f>
        <v>mat. strength</v>
      </c>
      <c r="B26" s="77" t="str">
        <f>INDEX(LA!$A87:$J87,,Info!$A$5)</f>
        <v>reduct.factor</v>
      </c>
      <c r="C26" s="427" t="str">
        <f>INDEX(LA!$A89:$J89,,Info!$A$5)</f>
        <v>stress-strain curve</v>
      </c>
      <c r="D26" s="428" t="e">
        <f>INDEX(LA!#REF!,,Spra)</f>
        <v>#REF!</v>
      </c>
      <c r="E26" s="429" t="e">
        <f>INDEX(LA!#REF!,,Spra)</f>
        <v>#REF!</v>
      </c>
      <c r="F26" s="430" t="str">
        <f>INDEX(LA!$A93:$J93,,Info!$A$5)</f>
        <v>factor of safety</v>
      </c>
      <c r="G26" s="431" t="e">
        <f>INDEX(LA!$A91:$J91,,Spra)</f>
        <v>#NAME?</v>
      </c>
      <c r="H26" s="77" t="str">
        <f>INDEX(LA!$A96:$J96,,Info!$A$5)</f>
        <v>min.comp.reinf.</v>
      </c>
    </row>
    <row r="27" spans="1:8" x14ac:dyDescent="0.2">
      <c r="A27" s="147" t="str">
        <f>INDEX(LA!$A86:$J86,,Info!$A$5)</f>
        <v>f_ck [MN/m²]</v>
      </c>
      <c r="B27" s="76" t="str">
        <f>INDEX(LA!$A88:$J88,,Info!$A$5)</f>
        <v>α   [1]</v>
      </c>
      <c r="C27" s="78" t="str">
        <f>INDEX(LA!$A90:$J90,,Info!$A$5)</f>
        <v>ε_c2  [1]</v>
      </c>
      <c r="D27" s="79" t="str">
        <f>INDEX(LA!$A91:$J91,,Info!$A$5)</f>
        <v>ε_c2u [1]</v>
      </c>
      <c r="E27" s="79" t="str">
        <f>INDEX(LA!$A92:$J92,,Info!$A$5)</f>
        <v>exp. [1]</v>
      </c>
      <c r="F27" s="79" t="str">
        <f>INDEX(LA!$A94:$J94,,Info!$A$5)</f>
        <v>γ_c   [1]</v>
      </c>
      <c r="G27" s="79" t="str">
        <f>INDEX(LA!$A95:$J95,,Info!$A$5)</f>
        <v>γ_c,u  [1]</v>
      </c>
      <c r="H27" s="145" t="str">
        <f>INDEX(LA!$A97:$J97,,Info!$A$5)</f>
        <v>N_Ed,min [1]</v>
      </c>
    </row>
    <row r="28" spans="1:8" x14ac:dyDescent="0.2">
      <c r="A28" s="85">
        <v>20</v>
      </c>
      <c r="B28" s="89">
        <v>0.85</v>
      </c>
      <c r="C28" s="88">
        <v>2E-3</v>
      </c>
      <c r="D28" s="88">
        <v>3.5000000000000001E-3</v>
      </c>
      <c r="E28" s="89">
        <v>2</v>
      </c>
      <c r="F28" s="89">
        <v>1.5</v>
      </c>
      <c r="G28" s="89">
        <v>1.8</v>
      </c>
      <c r="H28" s="89">
        <v>0.15</v>
      </c>
    </row>
    <row r="30" spans="1:8" ht="15.75" customHeight="1" x14ac:dyDescent="0.25">
      <c r="A30" s="416" t="str">
        <f>INDEX(LA!$A98:$J98,,Info!$A$5)</f>
        <v>Reinforcement</v>
      </c>
      <c r="B30" s="417"/>
      <c r="C30" s="417"/>
      <c r="D30" s="417"/>
      <c r="E30" s="418"/>
      <c r="F30" s="83">
        <v>2</v>
      </c>
    </row>
    <row r="31" spans="1:8" ht="15.75" customHeight="1" x14ac:dyDescent="0.25">
      <c r="A31" s="77" t="str">
        <f>INDEX(LA!$A99:$J99,,Info!$A$5)</f>
        <v>yield stress</v>
      </c>
      <c r="B31" s="77" t="str">
        <f>INDEX(LA!$A101:$J101,,Info!$A$5)</f>
        <v>tens.strength</v>
      </c>
      <c r="C31" s="81" t="str">
        <f>INDEX(LA!$A103:$J103,,Info!$A$5)</f>
        <v>Young's m.</v>
      </c>
      <c r="D31" s="81" t="str">
        <f>INDEX(LA!$A105:$J105,,Info!$A$5)</f>
        <v>max. strain</v>
      </c>
      <c r="E31" s="75" t="str">
        <f>INDEX(LA!$A107:$J107,,Info!$A$5)</f>
        <v>FoS</v>
      </c>
      <c r="F31" s="82"/>
    </row>
    <row r="32" spans="1:8" ht="15.75" customHeight="1" x14ac:dyDescent="0.25">
      <c r="A32" s="147" t="str">
        <f>INDEX(LA!$A100:$J100,,Info!$A$5)</f>
        <v>f_yk [MN/m²]</v>
      </c>
      <c r="B32" s="147" t="str">
        <f>INDEX(LA!$A102:$J102,,Info!$A$5)</f>
        <v>f_tk [MN/m²]</v>
      </c>
      <c r="C32" s="76" t="str">
        <f>INDEX(LA!$A104:$J104,,Info!$A$5)</f>
        <v>E [MN/m²]</v>
      </c>
      <c r="D32" s="80" t="str">
        <f>INDEX(LA!$A106:$J106,,Info!$A$5)</f>
        <v>ε_s,u  [1]</v>
      </c>
      <c r="E32" s="80" t="str">
        <f>INDEX(LA!$A108:$J108,,Info!$A$5)</f>
        <v>γ_s   [1]</v>
      </c>
      <c r="F32" s="83">
        <v>1</v>
      </c>
    </row>
    <row r="33" spans="1:8" ht="15.75" customHeight="1" x14ac:dyDescent="0.25">
      <c r="A33" s="85">
        <v>500</v>
      </c>
      <c r="B33" s="86">
        <v>525</v>
      </c>
      <c r="C33" s="87">
        <v>200000</v>
      </c>
      <c r="D33" s="88">
        <v>2.5000000000000001E-2</v>
      </c>
      <c r="E33" s="89">
        <v>1.1499999999999999</v>
      </c>
      <c r="F33" s="83">
        <v>2</v>
      </c>
    </row>
    <row r="34" spans="1:8" s="51" customFormat="1" x14ac:dyDescent="0.2"/>
    <row r="35" spans="1:8" s="51" customFormat="1" x14ac:dyDescent="0.2">
      <c r="A35" s="7" t="str">
        <f>INDEX(LA!$A124:$J124,,Info!$A$5)</f>
        <v>Internal Forces</v>
      </c>
      <c r="C35" s="419" t="str">
        <f>INDEX(LA!$A129:$J129,,Info!$A$5)</f>
        <v>characteristic values</v>
      </c>
      <c r="D35" s="419"/>
      <c r="E35" s="419" t="str">
        <f>INDEX(LA!$A132:$J132,,Info!$A$5)</f>
        <v>design values</v>
      </c>
      <c r="F35" s="419"/>
    </row>
    <row r="36" spans="1:8" s="51" customFormat="1" x14ac:dyDescent="0.2">
      <c r="C36" s="105" t="str">
        <f>INDEX(LA!$A130:$J130,,Info!$A$5)</f>
        <v>permanent</v>
      </c>
      <c r="D36" s="105" t="str">
        <f>INDEX(LA!$A131:$J131,,Info!$A$5)</f>
        <v>transient</v>
      </c>
      <c r="E36" s="111" t="str">
        <f>""</f>
        <v/>
      </c>
      <c r="F36" s="112" t="str">
        <f>""</f>
        <v/>
      </c>
    </row>
    <row r="37" spans="1:8" s="51" customFormat="1" x14ac:dyDescent="0.2">
      <c r="A37" s="1" t="str">
        <f>INDEX(LA!$A125:$J125,,Info!$A$5)</f>
        <v>bend. moment  M [kNm]</v>
      </c>
      <c r="B37" s="90"/>
      <c r="C37" s="126">
        <v>0</v>
      </c>
      <c r="D37" s="126">
        <f>C37</f>
        <v>0</v>
      </c>
      <c r="E37" s="126">
        <v>1000</v>
      </c>
      <c r="F37" s="114">
        <f>IF(OR($E37="",$E37=" "),$C37*$C$40+$D37*$D$40,$E37)</f>
        <v>1000</v>
      </c>
    </row>
    <row r="38" spans="1:8" s="51" customFormat="1" x14ac:dyDescent="0.2">
      <c r="A38" s="1" t="str">
        <f>INDEX(LA!$A126:$J126,,Info!$A$5)</f>
        <v>normal force     N   [kN]</v>
      </c>
      <c r="B38" s="90"/>
      <c r="C38" s="126">
        <v>0</v>
      </c>
      <c r="D38" s="126">
        <f>C38</f>
        <v>0</v>
      </c>
      <c r="E38" s="126">
        <v>-1000</v>
      </c>
      <c r="F38" s="114">
        <f>IF(OR($E38="",$E38=" "),$C38*$C$40+$D38*$D$40,$E38)</f>
        <v>-1000</v>
      </c>
    </row>
    <row r="39" spans="1:8" s="51" customFormat="1" x14ac:dyDescent="0.2">
      <c r="A39" s="1" t="str">
        <f>INDEX(LA!$A127:$J127,,Info!$A$5)</f>
        <v>shear force       V   [kN]</v>
      </c>
      <c r="B39" s="90"/>
      <c r="C39" s="126">
        <v>29</v>
      </c>
      <c r="D39" s="126">
        <f>C39</f>
        <v>29</v>
      </c>
      <c r="E39" s="126">
        <v>400</v>
      </c>
      <c r="F39" s="114">
        <f>IF(OR($E39="",$E39=" "),$C39*$C$40+$D39*$D$40,$E39)</f>
        <v>400</v>
      </c>
    </row>
    <row r="40" spans="1:8" s="51" customFormat="1" x14ac:dyDescent="0.2">
      <c r="A40" s="1" t="str">
        <f>INDEX(LA!$A128:$J128,,Info!$A$5)</f>
        <v>FoS loads       γ_E  [1]</v>
      </c>
      <c r="B40" s="90"/>
      <c r="C40" s="73">
        <v>1.35</v>
      </c>
      <c r="D40" s="73">
        <v>1.5</v>
      </c>
      <c r="E40" s="73">
        <v>1.4</v>
      </c>
      <c r="F40" s="54">
        <f>IF(AND(OR($E$37="",$E37=" "),OR($E$38="",$E38=" ")),(ABS($F$37)/$A$9*1000+ABS($F$38))/(ABS($C$37+$D$37)/$A$9*1000+ABS($C$38+$D$38)),$E$40)</f>
        <v>1.4</v>
      </c>
    </row>
    <row r="41" spans="1:8" s="51" customFormat="1" x14ac:dyDescent="0.2">
      <c r="A41" s="51" t="str">
        <f>INDEX(LA!$A133:$J133,,Info!$A$5)</f>
        <v>normal force N: tension positive, compression negative</v>
      </c>
    </row>
    <row r="42" spans="1:8" s="51" customFormat="1" x14ac:dyDescent="0.2"/>
    <row r="43" spans="1:8" x14ac:dyDescent="0.2">
      <c r="A43" s="7" t="str">
        <f>INDEX(LA!$A134:$J134,,Info!$A$5)</f>
        <v>Longitudinal Reinforcement</v>
      </c>
    </row>
    <row r="44" spans="1:8" x14ac:dyDescent="0.2">
      <c r="A44" s="420" t="str">
        <f>INDEX(LA!$A135:$J135,,Info!$A$5)</f>
        <v>ultimate strain of concrete    ε_c [-]</v>
      </c>
      <c r="B44" s="421"/>
      <c r="C44" s="422"/>
      <c r="D44" s="45">
        <f>[1]!StB08KreisasymMN($A$9,$B$9,$C$9*PI()/180,$D$9,$A$28,$B$28,$C$28,$D$28,$E$28,$F$28,$G$28,$H$28,$A$33,$B$33,$C$33,$D$33,$E$33,$F$37,$F$38,1+($F$30-1)*10)</f>
        <v>-3.5000000000000001E-3</v>
      </c>
      <c r="F44" s="432" t="str">
        <f>IF($F$45="","",INDEX(LA!$A141:$J141,,Info!$A$5))</f>
        <v/>
      </c>
      <c r="G44" s="433"/>
      <c r="H44" s="434"/>
    </row>
    <row r="45" spans="1:8" x14ac:dyDescent="0.2">
      <c r="A45" s="423"/>
      <c r="B45" s="424"/>
      <c r="C45" s="425"/>
      <c r="D45" s="46">
        <f>[1]!StB08KreisasymMN($A$9,$B$9,$C$9*PI()/180,$D$9,$A$28,$B$28,$C$28,$D$28,$E$28,$F$28,$G$28,$H$28,$A$33,$B$33,$C$33,$D$33,$E$33,$F$37,$F$38,2+($F$30-1)*10)</f>
        <v>4.5313163699801885E-3</v>
      </c>
      <c r="F45" s="65" t="str">
        <f>INDEX($A$91:$A$94,[1]!StB08KreisasymMN($A$9,$B$9,$C$9*PI()/180,$D$9,$A$28,$B$28,$C$28,$D$28,$E$28,$F$28,$G$28,$H$28,$A$33,$B$33,$C$33,$D$33,$E$33,$F$37,$F$38,8+($F$30-1)*10),)</f>
        <v/>
      </c>
      <c r="G45" s="2"/>
      <c r="H45" s="3"/>
    </row>
    <row r="46" spans="1:8" x14ac:dyDescent="0.2">
      <c r="A46" s="420" t="str">
        <f>INDEX(LA!$A136:$J136,,Info!$A$5)</f>
        <v>ultimate strain of steel         ε_s [-]</v>
      </c>
      <c r="B46" s="421"/>
      <c r="C46" s="422"/>
      <c r="D46" s="45">
        <f>[1]!StB08KreisasymMN($A$9,$B$9,$C$9*PI()/180,$D$9,$A$28,$B$28,$C$28,$D$28,$E$28,$F$28,$G$28,$H$28,$A$33,$B$33,$C$33,$D$33,$E$33,$F$37,$F$38,3+($F$30-1)*10)</f>
        <v>-2.5417179331273638E-3</v>
      </c>
      <c r="F46" s="6" t="str">
        <f>INDEX(LA!$A146:$J146,,Info!$A$5)</f>
        <v>total FoS              γ  [1]</v>
      </c>
      <c r="G46" s="3"/>
      <c r="H46" s="18">
        <f>$F$40*$D$50</f>
        <v>1.9687461445293444</v>
      </c>
    </row>
    <row r="47" spans="1:8" x14ac:dyDescent="0.2">
      <c r="A47" s="423"/>
      <c r="B47" s="424"/>
      <c r="C47" s="425"/>
      <c r="D47" s="46">
        <f>[1]!StB08KreisasymMN($A$9,$B$9,$C$9*PI()/180,$D$9,$A$28,$B$28,$C$28,$D$28,$E$28,$F$28,$G$28,$H$28,$A$33,$B$33,$C$33,$D$33,$E$33,$F$37,$F$38,4+($F$30-1)*10)</f>
        <v>3.5730343031075526E-3</v>
      </c>
    </row>
    <row r="48" spans="1:8" x14ac:dyDescent="0.2">
      <c r="A48" s="119" t="str">
        <f>INDEX(LA!$A138:$J138,,Info!$A$5)</f>
        <v>reinforcement 2     req. A_s2 [cm²]</v>
      </c>
      <c r="B48" s="31"/>
      <c r="C48" s="33"/>
      <c r="D48" s="55">
        <f>[1]!StB08KreisasymMN($A$9,$B$9,$C$9*PI()/180,$D$9,$A$28,$B$28,$C$28,$D$28,$E$28,$F$28,$G$28,$H$28,$A$33,$B$33,$C$33,$D$33,$E$33,$F$37,$F$38,5+($F$30-1)*10)</f>
        <v>0</v>
      </c>
      <c r="F48" s="98"/>
      <c r="G48" s="98"/>
    </row>
    <row r="49" spans="1:8" x14ac:dyDescent="0.2">
      <c r="A49" s="120" t="str">
        <f>INDEX(LA!$A139:$J139,,Info!$A$5)</f>
        <v>reinforcement 1     req. A_s1 [cm²]</v>
      </c>
      <c r="B49" s="35"/>
      <c r="C49" s="37"/>
      <c r="D49" s="57">
        <f>[1]!StB08KreisasymMN($A$9,$B$9,$C$9*PI()/180,$D$9,$A$28,$B$28,$C$28,$D$28,$E$28,$F$28,$G$28,$H$28,$A$33,$B$33,$C$33,$D$33,$E$33,$F$37,$F$38,6+($F$30-1)*10)</f>
        <v>25.236986917061245</v>
      </c>
      <c r="F49" s="98"/>
      <c r="G49" s="98"/>
    </row>
    <row r="50" spans="1:8" x14ac:dyDescent="0.2">
      <c r="A50" s="113" t="str">
        <f>INDEX(LA!$A140:$J140,,Info!$A$5)</f>
        <v>FoS material resistance    γ_R  [1]</v>
      </c>
      <c r="B50" s="2"/>
      <c r="C50" s="2"/>
      <c r="D50" s="18">
        <f>[1]!StB08KreisasymMN($A$9,$B$9,$C$9*PI()/180,$D$9,$A$28,$B$28,$C$28,$D$28,$E$28,$F$28,$G$28,$H$28,$A$33,$B$33,$C$33,$D$33,$E$33,$F$37,$F$38,7+($F$30-1)*10)</f>
        <v>1.4062472460923889</v>
      </c>
    </row>
    <row r="51" spans="1:8" s="51" customFormat="1" x14ac:dyDescent="0.2"/>
    <row r="52" spans="1:8" x14ac:dyDescent="0.2">
      <c r="A52" s="7" t="str">
        <f>INDEX(LA!$A147:$J147,,Info!$A$5)</f>
        <v>Shear Reinforcement</v>
      </c>
    </row>
    <row r="53" spans="1:8" x14ac:dyDescent="0.2">
      <c r="A53" s="30" t="str">
        <f>INDEX(LA!$A149:$J149,,Info!$A$5)</f>
        <v>A_s2   [cm²]</v>
      </c>
      <c r="B53" s="33"/>
      <c r="C53" s="121"/>
      <c r="D53" s="118">
        <f>IF(OR($C$53="",$C$53=" "),$D$48,$C$53)</f>
        <v>0</v>
      </c>
      <c r="F53" s="1" t="str">
        <f>INDEX(LA!$A152:$J152,,Info!$A$5)</f>
        <v>V_Rdct               [kN]</v>
      </c>
      <c r="G53" s="3"/>
      <c r="H53" s="114">
        <f>[1]!StB08Kreisasym_Q($A$9,$B$9,$C$9*PI()/180,$D$9,$A$28,$B$28,$C$28,$D$28,$E$28,$F$28,$G$28,$H$28,$A$33,$B$33,$C$33,$D$33,$E$33,$F$37,$F$38,$F$39,$D$53,$D$54,($F$32-1)/10,IF($F$33=1,-1,1)*21)</f>
        <v>312.99747277370244</v>
      </c>
    </row>
    <row r="54" spans="1:8" x14ac:dyDescent="0.2">
      <c r="A54" s="34" t="str">
        <f>INDEX(LA!$A150:$J150,,Info!$A$5)</f>
        <v>A_s1   [cm²]</v>
      </c>
      <c r="B54" s="37"/>
      <c r="C54" s="122"/>
      <c r="D54" s="123">
        <f>IF(OR($C$54="",$C$54=" "),$D$49,$C$54)</f>
        <v>25.236986917061245</v>
      </c>
      <c r="F54" s="1" t="str">
        <f>INDEX(LA!$A153:$J153,,Info!$A$5)</f>
        <v>V_Rdmax           [kN]</v>
      </c>
      <c r="G54" s="3"/>
      <c r="H54" s="114">
        <f>[1]!StB08Kreisasym_Q($A$9,$B$9,$C$9*PI()/180,$D$9,$A$28,$B$28,$C$28,$D$28,$E$28,$F$28,$G$28,$H$28,$A$33,$B$33,$C$33,$D$33,$E$33,$F$37,$F$38,$F$39,$D$53,$D$54,($F$32-1)/10,IF($F$33=1,-1,1)*22)</f>
        <v>1327.1544208448147</v>
      </c>
    </row>
    <row r="55" spans="1:8" x14ac:dyDescent="0.2">
      <c r="A55" s="420" t="str">
        <f>INDEX(LA!$A135:$J135,,Info!$A$5)</f>
        <v>ultimate strain of concrete    ε_c [-]</v>
      </c>
      <c r="B55" s="421"/>
      <c r="C55" s="422"/>
      <c r="D55" s="45">
        <f>[1]!StB08Kreisasym_Q($A$9,$B$9,$C$9*PI()/180,$D$9,$A$28,$B$28,$C$28,$D$28,$E$28,$F$28,$G$28,$H$28,$A$33,$B$33,$C$33,$D$33,$E$33,$F$37,$F$38,$F$39,$D$53,$D$54,($F$32-1)/10,IF($F$33=1,-1,1)*1)</f>
        <v>-3.5000000000000001E-3</v>
      </c>
      <c r="F55" s="1" t="str">
        <f>INDEX(LA!$A154:$J154,,Info!$A$5)</f>
        <v>cot(θ)                  [1]</v>
      </c>
      <c r="G55" s="3"/>
      <c r="H55" s="54">
        <f>[1]!StB08Kreisasym_Q($A$9,$B$9,$C$9*PI()/180,$D$9,$A$28,$B$28,$C$28,$D$28,$E$28,$F$28,$G$28,$H$28,$A$33,$B$33,$C$33,$D$33,$E$33,$F$37,$F$38,$F$39,$D$53,$D$54,($F$32-1)/10,IF($F$33=1,-1,1)*23)</f>
        <v>2.4990905151531901</v>
      </c>
    </row>
    <row r="56" spans="1:8" x14ac:dyDescent="0.2">
      <c r="A56" s="423"/>
      <c r="B56" s="424"/>
      <c r="C56" s="425"/>
      <c r="D56" s="46">
        <f>[1]!StB08Kreisasym_Q($A$9,$B$9,$C$9*PI()/180,$D$9,$A$28,$B$28,$C$28,$D$28,$E$28,$F$28,$G$28,$H$28,$A$33,$B$33,$C$33,$D$33,$E$33,$F$37,$F$38,$F$39,$D$53,$D$54,($F$32-1)/10,IF($F$33=1,-1,1)*2)</f>
        <v>4.5313982710996174E-3</v>
      </c>
      <c r="F56" s="1" t="str">
        <f>INDEX(LA!$A155:$J155,,Info!$A$5)</f>
        <v>z_i                     [m]</v>
      </c>
      <c r="G56" s="3"/>
      <c r="H56" s="53">
        <f>[1]!StB08Kreisasym_Q($A$9,$B$9,$C$9*PI()/180,$D$9,$A$28,$B$28,$C$28,$D$28,$E$28,$F$28,$G$28,$H$28,$A$33,$B$33,$C$33,$D$33,$E$33,$F$37,$F$38,$F$39,$D$53,$D$54,($F$32-1)/10,IF($F$33=1,-1,1)*24)</f>
        <v>0.66735000000000011</v>
      </c>
    </row>
    <row r="57" spans="1:8" x14ac:dyDescent="0.2">
      <c r="A57" s="420" t="str">
        <f>INDEX(LA!$A136:$J136,,Info!$A$5)</f>
        <v>ultimate strain of steel         ε_s [-]</v>
      </c>
      <c r="B57" s="421"/>
      <c r="C57" s="422"/>
      <c r="D57" s="45">
        <f>[1]!StB08Kreisasym_Q($A$9,$B$9,$C$9*PI()/180,$D$9,$A$28,$B$28,$C$28,$D$28,$E$28,$F$28,$G$28,$H$28,$A$33,$B$33,$C$33,$D$33,$E$33,$F$37,$F$38,$F$39,$D$53,$D$54,($F$32-1)/10,IF($F$33=1,-1,1)*3)</f>
        <v>-2.5417081608347047E-3</v>
      </c>
      <c r="F57" s="1" t="str">
        <f>INDEX(LA!$A156:$J156,,Info!$A$5)</f>
        <v>b_w                    [m]</v>
      </c>
      <c r="G57" s="3"/>
      <c r="H57" s="53">
        <f>[1]!StB08Kreisasym_Q($A$9,$B$9,$C$9*PI()/180,$D$9,$A$28,$B$28,$C$28,$D$28,$E$28,$F$28,$G$28,$H$28,$A$33,$B$33,$C$33,$D$33,$E$33,$F$37,$F$38,$F$39,$D$53,$D$54,($F$32-1)/10,IF($F$33=1,-1,1)*25)</f>
        <v>0.77987969439842664</v>
      </c>
    </row>
    <row r="58" spans="1:8" x14ac:dyDescent="0.2">
      <c r="A58" s="423"/>
      <c r="B58" s="424"/>
      <c r="C58" s="425"/>
      <c r="D58" s="46">
        <f>[1]!StB08Kreisasym_Q($A$9,$B$9,$C$9*PI()/180,$D$9,$A$28,$B$28,$C$28,$D$28,$E$28,$F$28,$G$28,$H$28,$A$33,$B$33,$C$33,$D$33,$E$33,$F$37,$F$38,$F$39,$D$53,$D$54,($F$32-1)/10,IF($F$33=1,-1,1)*4)</f>
        <v>3.573106431934322E-3</v>
      </c>
    </row>
    <row r="59" spans="1:8" x14ac:dyDescent="0.2">
      <c r="A59" s="113" t="str">
        <f>INDEX(LA!$A151:$J151,,Info!$A$5)</f>
        <v>shear reinforce.   req. a_s [cm²/m]</v>
      </c>
      <c r="B59" s="2"/>
      <c r="C59" s="2"/>
      <c r="D59" s="18">
        <f>[1]!StB08Kreisasym_Q($A$9,$B$9,$C$9*PI()/180,$D$9,$A$28,$B$28,$C$28,$D$28,$E$28,$F$28,$G$28,$H$28,$A$33,$B$33,$C$33,$D$33,$E$33,$F$37,$F$38,$F$39,$D$53,$D$54,($F$32-1)/10,IF($F$33=1,-1,1)*5)</f>
        <v>5.5163546098825771</v>
      </c>
    </row>
    <row r="60" spans="1:8" s="51" customFormat="1" x14ac:dyDescent="0.2"/>
    <row r="61" spans="1:8" s="51" customFormat="1" x14ac:dyDescent="0.2"/>
    <row r="62" spans="1:8" s="51" customFormat="1" x14ac:dyDescent="0.2"/>
    <row r="63" spans="1:8" s="51" customFormat="1" x14ac:dyDescent="0.2"/>
    <row r="64" spans="1:8" s="51" customFormat="1" x14ac:dyDescent="0.2"/>
    <row r="65" spans="1:3" s="51" customFormat="1" hidden="1" x14ac:dyDescent="0.2">
      <c r="A65" s="51" t="s">
        <v>378</v>
      </c>
    </row>
    <row r="66" spans="1:3" s="51" customFormat="1" hidden="1" x14ac:dyDescent="0.2">
      <c r="A66" s="115" t="s">
        <v>459</v>
      </c>
      <c r="B66" s="51" t="s">
        <v>452</v>
      </c>
    </row>
    <row r="67" spans="1:3" s="51" customFormat="1" hidden="1" x14ac:dyDescent="0.2">
      <c r="A67" s="115" t="s">
        <v>450</v>
      </c>
      <c r="B67" s="125" t="s">
        <v>451</v>
      </c>
    </row>
    <row r="68" spans="1:3" s="51" customFormat="1" hidden="1" x14ac:dyDescent="0.2">
      <c r="A68" s="115" t="s">
        <v>379</v>
      </c>
      <c r="B68" s="51" t="s">
        <v>381</v>
      </c>
    </row>
    <row r="69" spans="1:3" s="51" customFormat="1" hidden="1" x14ac:dyDescent="0.2">
      <c r="A69" s="115" t="s">
        <v>396</v>
      </c>
      <c r="B69" s="51" t="s">
        <v>382</v>
      </c>
    </row>
    <row r="70" spans="1:3" s="51" customFormat="1" hidden="1" x14ac:dyDescent="0.2">
      <c r="A70"/>
      <c r="B70"/>
    </row>
    <row r="72" spans="1:3" hidden="1" x14ac:dyDescent="0.2"/>
    <row r="73" spans="1:3" hidden="1" x14ac:dyDescent="0.2">
      <c r="A73" s="1" t="str">
        <f>INDEX(LA!$A109:$J109,,Info!$A$5)</f>
        <v>without min. reinforcement</v>
      </c>
      <c r="B73" s="2"/>
      <c r="C73" s="3"/>
    </row>
    <row r="74" spans="1:3" hidden="1" x14ac:dyDescent="0.2">
      <c r="A74" s="1" t="str">
        <f>INDEX(LA!$A110:$J110,,Info!$A$5)</f>
        <v>with min. reinforcement</v>
      </c>
      <c r="B74" s="2"/>
      <c r="C74" s="3"/>
    </row>
    <row r="75" spans="1:3" hidden="1" x14ac:dyDescent="0.2"/>
    <row r="76" spans="1:3" hidden="1" x14ac:dyDescent="0.2">
      <c r="A76" s="1" t="str">
        <f>INDEX(LA!$A111:$J111,,Info!$A$5)</f>
        <v>min. shear reinf. accord. DIN 1045</v>
      </c>
      <c r="B76" s="2"/>
      <c r="C76" s="3"/>
    </row>
    <row r="77" spans="1:3" hidden="1" x14ac:dyDescent="0.2">
      <c r="A77" s="1" t="str">
        <f>INDEX(LA!$A112:$J112,,Info!$A$5)</f>
        <v>10% of calculated shear reinforce.</v>
      </c>
      <c r="B77" s="2"/>
      <c r="C77" s="3"/>
    </row>
    <row r="78" spans="1:3" hidden="1" x14ac:dyDescent="0.2">
      <c r="A78" s="1" t="str">
        <f>INDEX(LA!$A113:$J113,,Info!$A$5)</f>
        <v>20% of calculated shear reinforce.</v>
      </c>
      <c r="B78" s="2"/>
      <c r="C78" s="3"/>
    </row>
    <row r="79" spans="1:3" hidden="1" x14ac:dyDescent="0.2">
      <c r="A79" s="1" t="str">
        <f>INDEX(LA!$A114:$J114,,Info!$A$5)</f>
        <v>30% of calculated shear reinforce.</v>
      </c>
      <c r="B79" s="2"/>
      <c r="C79" s="3"/>
    </row>
    <row r="80" spans="1:3" hidden="1" x14ac:dyDescent="0.2">
      <c r="A80" s="1" t="str">
        <f>INDEX(LA!$A115:$J115,,Info!$A$5)</f>
        <v>40% of calculated shear reinforce.</v>
      </c>
      <c r="B80" s="2"/>
      <c r="C80" s="3"/>
    </row>
    <row r="81" spans="1:3" hidden="1" x14ac:dyDescent="0.2">
      <c r="A81" s="1" t="str">
        <f>INDEX(LA!$A116:$J116,,Info!$A$5)</f>
        <v>50% of calculated shear reinforce.</v>
      </c>
      <c r="B81" s="2"/>
      <c r="C81" s="3"/>
    </row>
    <row r="82" spans="1:3" hidden="1" x14ac:dyDescent="0.2">
      <c r="A82" s="1" t="str">
        <f>INDEX(LA!$A117:$J117,,Info!$A$5)</f>
        <v>60% of calculated shear reinforce.</v>
      </c>
      <c r="B82" s="2"/>
      <c r="C82" s="3"/>
    </row>
    <row r="83" spans="1:3" hidden="1" x14ac:dyDescent="0.2">
      <c r="A83" s="1" t="str">
        <f>INDEX(LA!$A118:$J118,,Info!$A$5)</f>
        <v>70% of calculated shear reinforce.</v>
      </c>
      <c r="B83" s="2"/>
      <c r="C83" s="3"/>
    </row>
    <row r="84" spans="1:3" hidden="1" x14ac:dyDescent="0.2">
      <c r="A84" s="1" t="str">
        <f>INDEX(LA!$A119:$J119,,Info!$A$5)</f>
        <v>80% of calculated shear reinforce.</v>
      </c>
      <c r="B84" s="2"/>
      <c r="C84" s="3"/>
    </row>
    <row r="85" spans="1:3" hidden="1" x14ac:dyDescent="0.2">
      <c r="A85" s="1" t="str">
        <f>INDEX(LA!$A120:$J120,,Info!$A$5)</f>
        <v>90% of calculated shear reinforce.</v>
      </c>
      <c r="B85" s="2"/>
      <c r="C85" s="3"/>
    </row>
    <row r="86" spans="1:3" hidden="1" x14ac:dyDescent="0.2">
      <c r="A86" s="1" t="str">
        <f>INDEX(LA!$A121:$J121,,Info!$A$5)</f>
        <v>100% of calculated shear reinforce.</v>
      </c>
      <c r="B86" s="2"/>
      <c r="C86" s="3"/>
    </row>
    <row r="87" spans="1:3" hidden="1" x14ac:dyDescent="0.2"/>
    <row r="88" spans="1:3" hidden="1" x14ac:dyDescent="0.2">
      <c r="A88" s="1" t="str">
        <f>INDEX(LA!$A122:$J122,,Info!$A$5)</f>
        <v>shear: diagonal struts cot(θ) = 1</v>
      </c>
      <c r="B88" s="2"/>
      <c r="C88" s="3"/>
    </row>
    <row r="89" spans="1:3" hidden="1" x14ac:dyDescent="0.2">
      <c r="A89" s="1" t="str">
        <f>INDEX(LA!$A123:$J123,,Info!$A$5)</f>
        <v>shear: diagonal struts cot(θ) ≤ 3</v>
      </c>
      <c r="B89" s="2"/>
      <c r="C89" s="3"/>
    </row>
    <row r="90" spans="1:3" hidden="1" x14ac:dyDescent="0.2"/>
    <row r="91" spans="1:3" hidden="1" x14ac:dyDescent="0.2">
      <c r="A91" s="148" t="str">
        <f>INDEX(LA!$A142:$J142,,Info!$A$5)</f>
        <v/>
      </c>
      <c r="B91" s="2"/>
      <c r="C91" s="3"/>
    </row>
    <row r="92" spans="1:3" hidden="1" x14ac:dyDescent="0.2">
      <c r="A92" s="148" t="str">
        <f>INDEX(LA!$A143:$J143,,Info!$A$5)</f>
        <v>cross section completely compressed</v>
      </c>
      <c r="B92" s="2"/>
      <c r="C92" s="3"/>
    </row>
    <row r="93" spans="1:3" hidden="1" x14ac:dyDescent="0.2">
      <c r="A93" s="148" t="str">
        <f>INDEX(LA!$A144:$J144,,Info!$A$5)</f>
        <v>gap at most up to center of gravity</v>
      </c>
      <c r="B93" s="2"/>
      <c r="C93" s="3"/>
    </row>
    <row r="94" spans="1:3" hidden="1" x14ac:dyDescent="0.2">
      <c r="A94" s="148" t="str">
        <f>INDEX(LA!$A145:$J145,,Info!$A$5)</f>
        <v>gap beyond center of gravity</v>
      </c>
      <c r="B94" s="2"/>
      <c r="C94" s="3"/>
    </row>
    <row r="95" spans="1:3" s="51" customFormat="1" hidden="1" x14ac:dyDescent="0.2"/>
    <row r="96" spans="1:3" s="51" customFormat="1" hidden="1" x14ac:dyDescent="0.2"/>
    <row r="97" spans="1:4" s="51" customFormat="1" hidden="1" x14ac:dyDescent="0.2">
      <c r="A97" s="415" t="str">
        <f>A25</f>
        <v>Concrete</v>
      </c>
      <c r="B97" s="415"/>
      <c r="C97" s="415" t="str">
        <f>A30</f>
        <v>Reinforcement</v>
      </c>
      <c r="D97" s="415"/>
    </row>
    <row r="98" spans="1:4" s="51" customFormat="1" hidden="1" x14ac:dyDescent="0.2">
      <c r="A98" s="106">
        <v>0</v>
      </c>
      <c r="B98" s="106">
        <f t="shared" ref="B98:B123" si="0">B$124*(1-(($C$28-A98)/$C$28)^$E$28)</f>
        <v>0</v>
      </c>
      <c r="C98" s="106">
        <v>0</v>
      </c>
      <c r="D98" s="106">
        <v>0</v>
      </c>
    </row>
    <row r="99" spans="1:4" s="51" customFormat="1" hidden="1" x14ac:dyDescent="0.2">
      <c r="A99" s="106">
        <f t="shared" ref="A99:A123" si="1">A98+$C$28/25</f>
        <v>8.0000000000000007E-5</v>
      </c>
      <c r="B99" s="106">
        <f t="shared" si="0"/>
        <v>1.3328000000000004</v>
      </c>
      <c r="C99" s="106">
        <f>$A$33/$C$33</f>
        <v>2.5000000000000001E-3</v>
      </c>
      <c r="D99" s="106">
        <f>$A$33</f>
        <v>500</v>
      </c>
    </row>
    <row r="100" spans="1:4" s="51" customFormat="1" hidden="1" x14ac:dyDescent="0.2">
      <c r="A100" s="106">
        <f t="shared" si="1"/>
        <v>1.6000000000000001E-4</v>
      </c>
      <c r="B100" s="106">
        <f t="shared" si="0"/>
        <v>2.6111999999999993</v>
      </c>
      <c r="C100" s="107">
        <f>$D$33</f>
        <v>2.5000000000000001E-2</v>
      </c>
      <c r="D100" s="106">
        <f>$B$33</f>
        <v>525</v>
      </c>
    </row>
    <row r="101" spans="1:4" s="51" customFormat="1" hidden="1" x14ac:dyDescent="0.2">
      <c r="A101" s="106">
        <f t="shared" si="1"/>
        <v>2.4000000000000003E-4</v>
      </c>
      <c r="B101" s="106">
        <f t="shared" si="0"/>
        <v>3.8352000000000004</v>
      </c>
    </row>
    <row r="102" spans="1:4" s="51" customFormat="1" hidden="1" x14ac:dyDescent="0.2">
      <c r="A102" s="106">
        <f t="shared" si="1"/>
        <v>3.2000000000000003E-4</v>
      </c>
      <c r="B102" s="106">
        <f t="shared" si="0"/>
        <v>5.0048000000000021</v>
      </c>
    </row>
    <row r="103" spans="1:4" s="51" customFormat="1" hidden="1" x14ac:dyDescent="0.2">
      <c r="A103" s="106">
        <f t="shared" si="1"/>
        <v>4.0000000000000002E-4</v>
      </c>
      <c r="B103" s="106">
        <f t="shared" si="0"/>
        <v>6.1199999999999974</v>
      </c>
    </row>
    <row r="104" spans="1:4" s="51" customFormat="1" hidden="1" x14ac:dyDescent="0.2">
      <c r="A104" s="106">
        <f t="shared" si="1"/>
        <v>4.8000000000000001E-4</v>
      </c>
      <c r="B104" s="106">
        <f t="shared" si="0"/>
        <v>7.1807999999999996</v>
      </c>
    </row>
    <row r="105" spans="1:4" s="51" customFormat="1" hidden="1" x14ac:dyDescent="0.2">
      <c r="A105" s="106">
        <f t="shared" si="1"/>
        <v>5.6000000000000006E-4</v>
      </c>
      <c r="B105" s="106">
        <f t="shared" si="0"/>
        <v>8.1872000000000007</v>
      </c>
    </row>
    <row r="106" spans="1:4" s="51" customFormat="1" hidden="1" x14ac:dyDescent="0.2">
      <c r="A106" s="106">
        <f t="shared" si="1"/>
        <v>6.4000000000000005E-4</v>
      </c>
      <c r="B106" s="106">
        <f t="shared" si="0"/>
        <v>9.1391999999999971</v>
      </c>
    </row>
    <row r="107" spans="1:4" s="51" customFormat="1" hidden="1" x14ac:dyDescent="0.2">
      <c r="A107" s="106">
        <f t="shared" si="1"/>
        <v>7.2000000000000005E-4</v>
      </c>
      <c r="B107" s="106">
        <f t="shared" si="0"/>
        <v>10.036800000000003</v>
      </c>
    </row>
    <row r="108" spans="1:4" s="51" customFormat="1" hidden="1" x14ac:dyDescent="0.2">
      <c r="A108" s="106">
        <f t="shared" si="1"/>
        <v>8.0000000000000004E-4</v>
      </c>
      <c r="B108" s="106">
        <f t="shared" si="0"/>
        <v>10.879999999999999</v>
      </c>
    </row>
    <row r="109" spans="1:4" s="51" customFormat="1" hidden="1" x14ac:dyDescent="0.2">
      <c r="A109" s="106">
        <f t="shared" si="1"/>
        <v>8.8000000000000003E-4</v>
      </c>
      <c r="B109" s="106">
        <f t="shared" si="0"/>
        <v>11.668800000000003</v>
      </c>
    </row>
    <row r="110" spans="1:4" s="51" customFormat="1" hidden="1" x14ac:dyDescent="0.2">
      <c r="A110" s="106">
        <f t="shared" si="1"/>
        <v>9.6000000000000002E-4</v>
      </c>
      <c r="B110" s="106">
        <f t="shared" si="0"/>
        <v>12.4032</v>
      </c>
    </row>
    <row r="111" spans="1:4" s="51" customFormat="1" hidden="1" x14ac:dyDescent="0.2">
      <c r="A111" s="106">
        <f t="shared" si="1"/>
        <v>1.0400000000000001E-3</v>
      </c>
      <c r="B111" s="106">
        <f t="shared" si="0"/>
        <v>13.083200000000001</v>
      </c>
    </row>
    <row r="112" spans="1:4" s="51" customFormat="1" hidden="1" x14ac:dyDescent="0.2">
      <c r="A112" s="106">
        <f t="shared" si="1"/>
        <v>1.1200000000000001E-3</v>
      </c>
      <c r="B112" s="106">
        <f t="shared" si="0"/>
        <v>13.7088</v>
      </c>
    </row>
    <row r="113" spans="1:2" s="51" customFormat="1" hidden="1" x14ac:dyDescent="0.2">
      <c r="A113" s="106">
        <f t="shared" si="1"/>
        <v>1.2000000000000001E-3</v>
      </c>
      <c r="B113" s="106">
        <f t="shared" si="0"/>
        <v>14.280000000000001</v>
      </c>
    </row>
    <row r="114" spans="1:2" s="51" customFormat="1" hidden="1" x14ac:dyDescent="0.2">
      <c r="A114" s="106">
        <f t="shared" si="1"/>
        <v>1.2800000000000001E-3</v>
      </c>
      <c r="B114" s="106">
        <f t="shared" si="0"/>
        <v>14.796800000000001</v>
      </c>
    </row>
    <row r="115" spans="1:2" s="51" customFormat="1" hidden="1" x14ac:dyDescent="0.2">
      <c r="A115" s="106">
        <f t="shared" si="1"/>
        <v>1.3600000000000001E-3</v>
      </c>
      <c r="B115" s="106">
        <f t="shared" si="0"/>
        <v>15.259200000000002</v>
      </c>
    </row>
    <row r="116" spans="1:2" s="51" customFormat="1" hidden="1" x14ac:dyDescent="0.2">
      <c r="A116" s="106">
        <f t="shared" si="1"/>
        <v>1.4400000000000001E-3</v>
      </c>
      <c r="B116" s="106">
        <f t="shared" si="0"/>
        <v>15.667199999999999</v>
      </c>
    </row>
    <row r="117" spans="1:2" s="51" customFormat="1" hidden="1" x14ac:dyDescent="0.2">
      <c r="A117" s="106">
        <f t="shared" si="1"/>
        <v>1.5200000000000001E-3</v>
      </c>
      <c r="B117" s="106">
        <f t="shared" si="0"/>
        <v>16.020800000000001</v>
      </c>
    </row>
    <row r="118" spans="1:2" s="51" customFormat="1" hidden="1" x14ac:dyDescent="0.2">
      <c r="A118" s="106">
        <f t="shared" si="1"/>
        <v>1.6000000000000001E-3</v>
      </c>
      <c r="B118" s="106">
        <f t="shared" si="0"/>
        <v>16.32</v>
      </c>
    </row>
    <row r="119" spans="1:2" s="51" customFormat="1" hidden="1" x14ac:dyDescent="0.2">
      <c r="A119" s="106">
        <f t="shared" si="1"/>
        <v>1.6800000000000001E-3</v>
      </c>
      <c r="B119" s="106">
        <f t="shared" si="0"/>
        <v>16.564800000000002</v>
      </c>
    </row>
    <row r="120" spans="1:2" s="51" customFormat="1" hidden="1" x14ac:dyDescent="0.2">
      <c r="A120" s="106">
        <f t="shared" si="1"/>
        <v>1.7600000000000001E-3</v>
      </c>
      <c r="B120" s="106">
        <f t="shared" si="0"/>
        <v>16.755200000000002</v>
      </c>
    </row>
    <row r="121" spans="1:2" s="51" customFormat="1" hidden="1" x14ac:dyDescent="0.2">
      <c r="A121" s="106">
        <f t="shared" si="1"/>
        <v>1.8400000000000001E-3</v>
      </c>
      <c r="B121" s="106">
        <f t="shared" si="0"/>
        <v>16.891200000000001</v>
      </c>
    </row>
    <row r="122" spans="1:2" s="51" customFormat="1" hidden="1" x14ac:dyDescent="0.2">
      <c r="A122" s="106">
        <f t="shared" si="1"/>
        <v>1.92E-3</v>
      </c>
      <c r="B122" s="106">
        <f t="shared" si="0"/>
        <v>16.972799999999999</v>
      </c>
    </row>
    <row r="123" spans="1:2" s="51" customFormat="1" hidden="1" x14ac:dyDescent="0.2">
      <c r="A123" s="106">
        <f t="shared" si="1"/>
        <v>2E-3</v>
      </c>
      <c r="B123" s="106">
        <f t="shared" si="0"/>
        <v>17</v>
      </c>
    </row>
    <row r="124" spans="1:2" s="51" customFormat="1" hidden="1" x14ac:dyDescent="0.2">
      <c r="A124" s="107">
        <f>$D$28</f>
        <v>3.5000000000000001E-3</v>
      </c>
      <c r="B124" s="106">
        <f>$A$28*$B$28</f>
        <v>17</v>
      </c>
    </row>
    <row r="125" spans="1:2" s="51" customFormat="1" hidden="1" x14ac:dyDescent="0.2"/>
  </sheetData>
  <sheetProtection sheet="1" objects="1" scenarios="1"/>
  <mergeCells count="14">
    <mergeCell ref="C26:E26"/>
    <mergeCell ref="F26:G26"/>
    <mergeCell ref="A6:D6"/>
    <mergeCell ref="A25:H25"/>
    <mergeCell ref="F44:H44"/>
    <mergeCell ref="A97:B97"/>
    <mergeCell ref="C97:D97"/>
    <mergeCell ref="A30:E30"/>
    <mergeCell ref="C35:D35"/>
    <mergeCell ref="E35:F35"/>
    <mergeCell ref="A44:C45"/>
    <mergeCell ref="A46:C47"/>
    <mergeCell ref="A55:C56"/>
    <mergeCell ref="A57:C58"/>
  </mergeCells>
  <phoneticPr fontId="0" type="noConversion"/>
  <conditionalFormatting sqref="D59">
    <cfRule type="cellIs" dxfId="8" priority="1" stopIfTrue="1" operator="lessThan">
      <formula>-0.5</formula>
    </cfRule>
  </conditionalFormatting>
  <pageMargins left="0.86614173228346458" right="0.51181102362204722" top="0.39370078740157483" bottom="0.59055118110236227" header="0.31496062992125984" footer="0.39370078740157483"/>
  <pageSetup paperSize="9" orientation="portrait" r:id="rId1"/>
  <headerFooter alignWithMargins="0"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Drop Down 1">
              <controlPr defaultSize="0" autoLine="0" autoPict="0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Drop Down 3">
              <controlPr defaultSize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3"/>
  <dimension ref="A1:I125"/>
  <sheetViews>
    <sheetView showGridLines="0" workbookViewId="0">
      <selection activeCell="A49" sqref="A49:C50"/>
    </sheetView>
  </sheetViews>
  <sheetFormatPr defaultColWidth="11.42578125" defaultRowHeight="12.75" x14ac:dyDescent="0.2"/>
  <cols>
    <col min="1" max="8" width="10.7109375" customWidth="1"/>
  </cols>
  <sheetData>
    <row r="1" spans="1:5" x14ac:dyDescent="0.2">
      <c r="A1" s="84" t="s">
        <v>185</v>
      </c>
    </row>
    <row r="2" spans="1:5" x14ac:dyDescent="0.2">
      <c r="A2" s="84"/>
    </row>
    <row r="3" spans="1:5" x14ac:dyDescent="0.2">
      <c r="A3" s="84"/>
    </row>
    <row r="4" spans="1:5" x14ac:dyDescent="0.2">
      <c r="A4" s="110" t="str">
        <f>INDEX(LA!$A67:$J67,,Info!$A$5)</f>
        <v>Rectangular Cross Section - design of reinforced concrete</v>
      </c>
    </row>
    <row r="6" spans="1:5" x14ac:dyDescent="0.2">
      <c r="A6" s="416" t="str">
        <f>INDEX(LA!$A68:$J68,,Info!$A$5)</f>
        <v>Geometry</v>
      </c>
      <c r="B6" s="417"/>
      <c r="C6" s="417"/>
      <c r="D6" s="417"/>
      <c r="E6" s="418"/>
    </row>
    <row r="7" spans="1:5" x14ac:dyDescent="0.2">
      <c r="A7" s="117" t="str">
        <f>INDEX(LA!$A78:$J78,,Info!$A$5)</f>
        <v>thickness</v>
      </c>
      <c r="B7" s="117" t="str">
        <f>INDEX(LA!$A80:$J80,,Info!$A$5)</f>
        <v>width</v>
      </c>
      <c r="C7" s="77" t="str">
        <f>INDEX(LA!$A71:$J71,,Info!$A$5)</f>
        <v>sep. to edge</v>
      </c>
      <c r="D7" s="77" t="str">
        <f>INDEX(LA!$A71:$J71,,Info!$A$5)</f>
        <v>sep. to edge</v>
      </c>
      <c r="E7" s="77" t="str">
        <f>INDEX(LA!$A82:$J82,,Info!$A$5)</f>
        <v>min.reinforce.</v>
      </c>
    </row>
    <row r="8" spans="1:5" x14ac:dyDescent="0.2">
      <c r="A8" s="75" t="str">
        <f>INDEX(LA!$A79:$J79,,Info!$A$5)</f>
        <v>d  [mm]</v>
      </c>
      <c r="B8" s="75" t="str">
        <f>INDEX(LA!$A81:$J81,,Info!$A$5)</f>
        <v>b  [mm]</v>
      </c>
      <c r="C8" s="75" t="str">
        <f>INDEX(LA!$A72:$J72,,Info!$A$5)</f>
        <v>H' [mm]</v>
      </c>
      <c r="D8" s="75" t="str">
        <f>INDEX(LA!$A73:$J73,,Info!$A$5)</f>
        <v>H'' [mm]</v>
      </c>
      <c r="E8" s="124" t="str">
        <f>INDEX(LA!$A83:$J83,,Info!$A$5)</f>
        <v>min.A_si [cm²]</v>
      </c>
    </row>
    <row r="9" spans="1:5" x14ac:dyDescent="0.2">
      <c r="A9" s="86">
        <v>800</v>
      </c>
      <c r="B9" s="86">
        <v>1000</v>
      </c>
      <c r="C9" s="86">
        <v>140</v>
      </c>
      <c r="D9" s="86">
        <v>140</v>
      </c>
      <c r="E9" s="86">
        <v>0</v>
      </c>
    </row>
    <row r="10" spans="1:5" s="51" customFormat="1" x14ac:dyDescent="0.2"/>
    <row r="11" spans="1:5" s="51" customFormat="1" x14ac:dyDescent="0.2"/>
    <row r="12" spans="1:5" s="51" customFormat="1" x14ac:dyDescent="0.2"/>
    <row r="13" spans="1:5" s="51" customFormat="1" x14ac:dyDescent="0.2"/>
    <row r="14" spans="1:5" s="51" customFormat="1" x14ac:dyDescent="0.2"/>
    <row r="15" spans="1:5" s="51" customFormat="1" x14ac:dyDescent="0.2"/>
    <row r="16" spans="1:5" s="51" customFormat="1" x14ac:dyDescent="0.2"/>
    <row r="17" spans="1:8" s="51" customFormat="1" x14ac:dyDescent="0.2"/>
    <row r="18" spans="1:8" s="51" customFormat="1" x14ac:dyDescent="0.2"/>
    <row r="19" spans="1:8" s="51" customFormat="1" x14ac:dyDescent="0.2"/>
    <row r="20" spans="1:8" s="51" customFormat="1" x14ac:dyDescent="0.2"/>
    <row r="21" spans="1:8" s="51" customFormat="1" x14ac:dyDescent="0.2"/>
    <row r="22" spans="1:8" s="51" customFormat="1" x14ac:dyDescent="0.2"/>
    <row r="23" spans="1:8" s="51" customFormat="1" x14ac:dyDescent="0.2"/>
    <row r="24" spans="1:8" s="51" customFormat="1" x14ac:dyDescent="0.2"/>
    <row r="25" spans="1:8" x14ac:dyDescent="0.2">
      <c r="A25" s="416" t="str">
        <f>INDEX(LA!$A84:$J84,,Info!$A$5)</f>
        <v>Concrete</v>
      </c>
      <c r="B25" s="417"/>
      <c r="C25" s="417"/>
      <c r="D25" s="417"/>
      <c r="E25" s="417"/>
      <c r="F25" s="417"/>
      <c r="G25" s="417"/>
      <c r="H25" s="418"/>
    </row>
    <row r="26" spans="1:8" x14ac:dyDescent="0.2">
      <c r="A26" s="77" t="str">
        <f>INDEX(LA!$A85:$J85,,Info!$A$5)</f>
        <v>mat. strength</v>
      </c>
      <c r="B26" s="77" t="str">
        <f>INDEX(LA!$A87:$J87,,Info!$A$5)</f>
        <v>reduct.factor</v>
      </c>
      <c r="C26" s="427" t="str">
        <f>INDEX(LA!$A89:$J89,,Info!$A$5)</f>
        <v>stress-strain curve</v>
      </c>
      <c r="D26" s="428" t="e">
        <f>INDEX(LA!#REF!,,Spra)</f>
        <v>#REF!</v>
      </c>
      <c r="E26" s="429" t="e">
        <f>INDEX(LA!#REF!,,Spra)</f>
        <v>#REF!</v>
      </c>
      <c r="F26" s="430" t="str">
        <f>INDEX(LA!$A93:$J93,,Info!$A$5)</f>
        <v>factor of safety</v>
      </c>
      <c r="G26" s="431" t="e">
        <f>INDEX(LA!$A91:$J91,,Spra)</f>
        <v>#NAME?</v>
      </c>
      <c r="H26" s="77" t="str">
        <f>INDEX(LA!$A96:$J96,,Info!$A$5)</f>
        <v>min.comp.reinf.</v>
      </c>
    </row>
    <row r="27" spans="1:8" x14ac:dyDescent="0.2">
      <c r="A27" s="147" t="str">
        <f>INDEX(LA!$A86:$J86,,Info!$A$5)</f>
        <v>f_ck [MN/m²]</v>
      </c>
      <c r="B27" s="76" t="str">
        <f>INDEX(LA!$A88:$J88,,Info!$A$5)</f>
        <v>α   [1]</v>
      </c>
      <c r="C27" s="78" t="str">
        <f>INDEX(LA!$A90:$J90,,Info!$A$5)</f>
        <v>ε_c2  [1]</v>
      </c>
      <c r="D27" s="79" t="str">
        <f>INDEX(LA!$A91:$J91,,Info!$A$5)</f>
        <v>ε_c2u [1]</v>
      </c>
      <c r="E27" s="79" t="str">
        <f>INDEX(LA!$A92:$J92,,Info!$A$5)</f>
        <v>exp. [1]</v>
      </c>
      <c r="F27" s="79" t="str">
        <f>INDEX(LA!$A94:$J94,,Info!$A$5)</f>
        <v>γ_c   [1]</v>
      </c>
      <c r="G27" s="79" t="str">
        <f>INDEX(LA!$A95:$J95,,Info!$A$5)</f>
        <v>γ_c,u  [1]</v>
      </c>
      <c r="H27" s="145" t="str">
        <f>INDEX(LA!$A97:$J97,,Info!$A$5)</f>
        <v>N_Ed,min [1]</v>
      </c>
    </row>
    <row r="28" spans="1:8" x14ac:dyDescent="0.2">
      <c r="A28" s="85">
        <v>25</v>
      </c>
      <c r="B28" s="89">
        <v>0.85</v>
      </c>
      <c r="C28" s="88">
        <v>2E-3</v>
      </c>
      <c r="D28" s="88">
        <v>3.5000000000000001E-3</v>
      </c>
      <c r="E28" s="89">
        <v>2</v>
      </c>
      <c r="F28" s="89">
        <v>1.5</v>
      </c>
      <c r="G28" s="89">
        <v>1.8</v>
      </c>
      <c r="H28" s="89">
        <v>0.15</v>
      </c>
    </row>
    <row r="30" spans="1:8" ht="15.75" customHeight="1" x14ac:dyDescent="0.25">
      <c r="A30" s="416" t="str">
        <f>INDEX(LA!$A98:$J98,,Info!$A$5)</f>
        <v>Reinforcement</v>
      </c>
      <c r="B30" s="417"/>
      <c r="C30" s="417"/>
      <c r="D30" s="417"/>
      <c r="E30" s="418"/>
      <c r="F30" s="83">
        <v>2</v>
      </c>
    </row>
    <row r="31" spans="1:8" ht="15.75" customHeight="1" x14ac:dyDescent="0.25">
      <c r="A31" s="77" t="str">
        <f>INDEX(LA!$A99:$J99,,Info!$A$5)</f>
        <v>yield stress</v>
      </c>
      <c r="B31" s="77" t="str">
        <f>INDEX(LA!$A101:$J101,,Info!$A$5)</f>
        <v>tens.strength</v>
      </c>
      <c r="C31" s="81" t="str">
        <f>INDEX(LA!$A103:$J103,,Info!$A$5)</f>
        <v>Young's m.</v>
      </c>
      <c r="D31" s="81" t="str">
        <f>INDEX(LA!$A105:$J105,,Info!$A$5)</f>
        <v>max. strain</v>
      </c>
      <c r="E31" s="75" t="str">
        <f>INDEX(LA!$A107:$J107,,Info!$A$5)</f>
        <v>FoS</v>
      </c>
      <c r="F31" s="82"/>
    </row>
    <row r="32" spans="1:8" ht="15.75" customHeight="1" x14ac:dyDescent="0.25">
      <c r="A32" s="147" t="str">
        <f>INDEX(LA!$A100:$J100,,Info!$A$5)</f>
        <v>f_yk [MN/m²]</v>
      </c>
      <c r="B32" s="147" t="str">
        <f>INDEX(LA!$A102:$J102,,Info!$A$5)</f>
        <v>f_tk [MN/m²]</v>
      </c>
      <c r="C32" s="76" t="str">
        <f>INDEX(LA!$A104:$J104,,Info!$A$5)</f>
        <v>E [MN/m²]</v>
      </c>
      <c r="D32" s="80" t="str">
        <f>INDEX(LA!$A106:$J106,,Info!$A$5)</f>
        <v>ε_s,u  [1]</v>
      </c>
      <c r="E32" s="80" t="str">
        <f>INDEX(LA!$A108:$J108,,Info!$A$5)</f>
        <v>γ_s   [1]</v>
      </c>
      <c r="F32" s="83">
        <v>1</v>
      </c>
    </row>
    <row r="33" spans="1:9" ht="15.75" customHeight="1" x14ac:dyDescent="0.25">
      <c r="A33" s="85">
        <v>500</v>
      </c>
      <c r="B33" s="86">
        <v>525</v>
      </c>
      <c r="C33" s="87">
        <v>200000</v>
      </c>
      <c r="D33" s="88">
        <v>2.5000000000000001E-2</v>
      </c>
      <c r="E33" s="89">
        <v>1.1499999999999999</v>
      </c>
      <c r="F33" s="83">
        <v>2</v>
      </c>
    </row>
    <row r="34" spans="1:9" s="51" customFormat="1" x14ac:dyDescent="0.2"/>
    <row r="35" spans="1:9" s="51" customFormat="1" x14ac:dyDescent="0.2">
      <c r="A35" s="7" t="str">
        <f>INDEX(LA!$A124:$J124,,Info!$A$5)</f>
        <v>Internal Forces</v>
      </c>
      <c r="C35" s="419" t="str">
        <f>INDEX(LA!$A129:$J129,,Info!$A$5)</f>
        <v>characteristic values</v>
      </c>
      <c r="D35" s="419"/>
      <c r="E35" s="419" t="str">
        <f>INDEX(LA!$A132:$J132,,Info!$A$5)</f>
        <v>design values</v>
      </c>
      <c r="F35" s="419"/>
    </row>
    <row r="36" spans="1:9" s="51" customFormat="1" x14ac:dyDescent="0.2">
      <c r="C36" s="105" t="str">
        <f>INDEX(LA!$A130:$J130,,Info!$A$5)</f>
        <v>permanent</v>
      </c>
      <c r="D36" s="105" t="str">
        <f>INDEX(LA!$A131:$J131,,Info!$A$5)</f>
        <v>transient</v>
      </c>
      <c r="E36" s="111" t="str">
        <f>""</f>
        <v/>
      </c>
      <c r="F36" s="112" t="str">
        <f>""</f>
        <v/>
      </c>
    </row>
    <row r="37" spans="1:9" s="51" customFormat="1" x14ac:dyDescent="0.2">
      <c r="A37" s="1" t="str">
        <f>INDEX(LA!$A125:$J125,,Info!$A$5)</f>
        <v>bend. moment  M [kNm]</v>
      </c>
      <c r="B37" s="90"/>
      <c r="C37" s="126">
        <v>1000</v>
      </c>
      <c r="D37" s="126">
        <v>300</v>
      </c>
      <c r="E37" s="126"/>
      <c r="F37" s="114">
        <f>IF(OR($E37="",$E37=" "),$C37*$C$40+$D37*$D$40,$E37)</f>
        <v>1800</v>
      </c>
    </row>
    <row r="38" spans="1:9" s="51" customFormat="1" x14ac:dyDescent="0.2">
      <c r="A38" s="1" t="str">
        <f>INDEX(LA!$A126:$J126,,Info!$A$5)</f>
        <v>normal force     N   [kN]</v>
      </c>
      <c r="B38" s="90"/>
      <c r="C38" s="126">
        <v>0</v>
      </c>
      <c r="D38" s="126">
        <v>-1000</v>
      </c>
      <c r="E38" s="126"/>
      <c r="F38" s="114">
        <f>IF(OR($E38="",$E38=" "),$C38*$C$40+$D38*$D$40,$E38)</f>
        <v>-1500</v>
      </c>
    </row>
    <row r="39" spans="1:9" s="51" customFormat="1" x14ac:dyDescent="0.2">
      <c r="A39" s="1" t="str">
        <f>INDEX(LA!$A127:$J127,,Info!$A$5)</f>
        <v>shear force       V   [kN]</v>
      </c>
      <c r="B39" s="90"/>
      <c r="C39" s="126">
        <v>200</v>
      </c>
      <c r="D39" s="126">
        <v>140</v>
      </c>
      <c r="E39" s="126"/>
      <c r="F39" s="114">
        <f>IF(OR($E39="",$E39=" "),$C39*$C$40+$D39*$D$40,$E39)</f>
        <v>480</v>
      </c>
    </row>
    <row r="40" spans="1:9" s="51" customFormat="1" x14ac:dyDescent="0.2">
      <c r="A40" s="1" t="str">
        <f>INDEX(LA!$A128:$J128,,Info!$A$5)</f>
        <v>FoS loads       γ_E  [1]</v>
      </c>
      <c r="B40" s="90"/>
      <c r="C40" s="73">
        <v>1.35</v>
      </c>
      <c r="D40" s="73">
        <v>1.5</v>
      </c>
      <c r="E40" s="73"/>
      <c r="F40" s="54">
        <f>IF(AND(OR($E$37="",$E37=" "),OR($E$38="",$E38=" ")),(ABS($F$37)/$A$9*1000+ABS($F$38))/(ABS($C$37+$D$37)/$A$9*1000+ABS($C$38+$D$38)),$E$40)</f>
        <v>1.4285714285714286</v>
      </c>
    </row>
    <row r="41" spans="1:9" s="51" customFormat="1" x14ac:dyDescent="0.2">
      <c r="A41" s="51" t="str">
        <f>INDEX(LA!$A133:$J133,,Info!$A$5)</f>
        <v>normal force N: tension positive, compression negative</v>
      </c>
    </row>
    <row r="42" spans="1:9" s="51" customFormat="1" x14ac:dyDescent="0.2"/>
    <row r="43" spans="1:9" x14ac:dyDescent="0.2">
      <c r="A43" s="7" t="str">
        <f>INDEX(LA!$A134:$J134,,Info!$A$5)</f>
        <v>Longitudinal Reinforcement</v>
      </c>
      <c r="I43" s="51"/>
    </row>
    <row r="44" spans="1:9" x14ac:dyDescent="0.2">
      <c r="A44" s="420" t="str">
        <f>INDEX(LA!$A135:$J135,,Info!$A$5)</f>
        <v>ultimate strain of concrete    ε_c [-]</v>
      </c>
      <c r="B44" s="421"/>
      <c r="C44" s="422"/>
      <c r="D44" s="45">
        <f>[1]!StB08RechteckMN($A$9,$B$9,$C$9,$D$9,$E$9,$A$28,$B$28,$C$28,$D$28,$E$28,$F$28,$G$28,$H$28,$A$33,$B$33,$C$33,$D$33,$E$33,$F$37,$F$38,1+($F$30-1)*10)</f>
        <v>-3.5000000000000001E-3</v>
      </c>
      <c r="F44" s="432" t="str">
        <f>IF($F$45="","",INDEX(LA!$A141:$J141,,Info!$A$5))</f>
        <v/>
      </c>
      <c r="G44" s="433"/>
      <c r="H44" s="434"/>
    </row>
    <row r="45" spans="1:9" x14ac:dyDescent="0.2">
      <c r="A45" s="423"/>
      <c r="B45" s="424"/>
      <c r="C45" s="425"/>
      <c r="D45" s="46">
        <f>[1]!StB08RechteckMN($A$9,$B$9,$C$9,$D$9,$E$9,$A$28,$B$28,$C$28,$D$28,$E$28,$F$28,$G$28,$H$28,$A$33,$B$33,$C$33,$D$33,$E$33,$F$37,$F$38,2+($F$30-1)*10)</f>
        <v>3.8561393222625567E-3</v>
      </c>
      <c r="F45" s="65" t="str">
        <f>INDEX($A$91:$A$94,[1]!StB08RechteckMN($A$9,$B$9,$C$9,$D$9,$E$9,$A$28,$B$28,$C$28,$D$28,$E$28,$F$28,$G$28,$H$28,$A$33,$B$33,$C$33,$D$33,$E$33,$F$37,$F$38,8+($F$30-1)*10),)</f>
        <v/>
      </c>
      <c r="G45" s="2"/>
      <c r="H45" s="3"/>
    </row>
    <row r="46" spans="1:9" x14ac:dyDescent="0.2">
      <c r="A46" s="420" t="str">
        <f>INDEX(LA!$A136:$J136,,Info!$A$5)</f>
        <v>ultimate strain of steel         ε_s [-]</v>
      </c>
      <c r="B46" s="421"/>
      <c r="C46" s="422"/>
      <c r="D46" s="45">
        <f>[1]!StB08RechteckMN($A$9,$B$9,$C$9,$D$9,$E$9,$A$28,$B$28,$C$28,$D$28,$E$28,$F$28,$G$28,$H$28,$A$33,$B$33,$C$33,$D$33,$E$33,$F$37,$F$38,3+($F$30-1)*10)</f>
        <v>-2.2126756186040524E-3</v>
      </c>
      <c r="F46" s="6" t="str">
        <f>INDEX(LA!$A146:$J146,,Info!$A$5)</f>
        <v>total FoS              γ  [1]</v>
      </c>
      <c r="G46" s="3"/>
      <c r="H46" s="18">
        <f>$F$40*$D$50</f>
        <v>1.9358199540110028</v>
      </c>
    </row>
    <row r="47" spans="1:9" x14ac:dyDescent="0.2">
      <c r="A47" s="423"/>
      <c r="B47" s="424"/>
      <c r="C47" s="425"/>
      <c r="D47" s="46">
        <f>[1]!StB08RechteckMN($A$9,$B$9,$C$9,$D$9,$E$9,$A$28,$B$28,$C$28,$D$28,$E$28,$F$28,$G$28,$H$28,$A$33,$B$33,$C$33,$D$33,$E$33,$F$37,$F$38,4+($F$30-1)*10)</f>
        <v>2.568814940866609E-3</v>
      </c>
      <c r="I47" s="51"/>
    </row>
    <row r="48" spans="1:9" x14ac:dyDescent="0.2">
      <c r="A48" s="119" t="str">
        <f>INDEX(LA!$A138:$J138,,Info!$A$5)</f>
        <v>reinforcement 2     req. A_s2 [cm²]</v>
      </c>
      <c r="B48" s="31"/>
      <c r="C48" s="33"/>
      <c r="D48" s="55">
        <f>[1]!StB08RechteckMN($A$9,$B$9,$C$9,$D$9,$E$9,$A$28,$B$28,$C$28,$D$28,$E$28,$F$28,$G$28,$H$28,$A$33,$B$33,$C$33,$D$33,$E$33,$F$37,$F$38,5+($F$30-1)*10)</f>
        <v>0</v>
      </c>
      <c r="F48" s="98"/>
      <c r="G48" s="98"/>
      <c r="I48" s="51"/>
    </row>
    <row r="49" spans="1:9" x14ac:dyDescent="0.2">
      <c r="A49" s="120" t="str">
        <f>INDEX(LA!$A139:$J139,,Info!$A$5)</f>
        <v>reinforcement 1     req. A_s1 [cm²]</v>
      </c>
      <c r="B49" s="35"/>
      <c r="C49" s="37"/>
      <c r="D49" s="57">
        <f>[1]!StB08RechteckMN($A$9,$B$9,$C$9,$D$9,$E$9,$A$28,$B$28,$C$28,$D$28,$E$28,$F$28,$G$28,$H$28,$A$33,$B$33,$C$33,$D$33,$E$33,$F$37,$F$38,6+($F$30-1)*10)</f>
        <v>65.89217145802337</v>
      </c>
      <c r="F49" s="98"/>
      <c r="G49" s="98"/>
      <c r="I49" s="51"/>
    </row>
    <row r="50" spans="1:9" x14ac:dyDescent="0.2">
      <c r="A50" s="113" t="str">
        <f>INDEX(LA!$A140:$J140,,Info!$A$5)</f>
        <v>FoS material resistance    γ_R  [1]</v>
      </c>
      <c r="B50" s="2"/>
      <c r="C50" s="2"/>
      <c r="D50" s="18">
        <f>[1]!StB08RechteckMN($A$9,$B$9,$C$9,$D$9,$E$9,$A$28,$B$28,$C$28,$D$28,$E$28,$F$28,$G$28,$H$28,$A$33,$B$33,$C$33,$D$33,$E$33,$F$37,$F$38,7+($F$30-1)*10)</f>
        <v>1.355073967807702</v>
      </c>
      <c r="I50" s="51"/>
    </row>
    <row r="51" spans="1:9" s="51" customFormat="1" x14ac:dyDescent="0.2"/>
    <row r="52" spans="1:9" x14ac:dyDescent="0.2">
      <c r="A52" s="7" t="str">
        <f>INDEX(LA!$A147:$J147,,Info!$A$5)</f>
        <v>Shear Reinforcement</v>
      </c>
    </row>
    <row r="53" spans="1:9" x14ac:dyDescent="0.2">
      <c r="A53" s="30" t="str">
        <f>INDEX(LA!$A149:$J149,,Info!$A$5)</f>
        <v>A_s2   [cm²]</v>
      </c>
      <c r="B53" s="33"/>
      <c r="C53" s="121"/>
      <c r="D53" s="118">
        <f>IF(OR($C$53="",$C$53=" "),$D$48,$C$53)</f>
        <v>0</v>
      </c>
      <c r="F53" s="1" t="str">
        <f>INDEX(LA!$A152:$J152,,Info!$A$5)</f>
        <v>V_Rdct               [kN]</v>
      </c>
      <c r="G53" s="3"/>
      <c r="H53" s="114">
        <f>[1]!StB08Rechteck_Q($A$9,$B$9,$C$9,$D$9,$A$28,$B$28,$C$28,$D$28,$E$28,$F$28,$G$28,$H$28,$A$33,$B$33,$C$33,$D$33,$E$33,$F$37,$F$38,$F$39,$D$53,$D$54,($F$32-1)/10,IF($F$33=1,-1,1)*21)</f>
        <v>447.55697018003696</v>
      </c>
    </row>
    <row r="54" spans="1:9" x14ac:dyDescent="0.2">
      <c r="A54" s="34" t="str">
        <f>INDEX(LA!$A150:$J150,,Info!$A$5)</f>
        <v>A_s1   [cm²]</v>
      </c>
      <c r="B54" s="37"/>
      <c r="C54" s="122"/>
      <c r="D54" s="123">
        <f>IF(OR($C$54="",$C$54=" "),$D$49,$C$54)</f>
        <v>65.89217145802337</v>
      </c>
      <c r="F54" s="1" t="str">
        <f>INDEX(LA!$A153:$J153,,Info!$A$5)</f>
        <v>V_Rdmax           [kN]</v>
      </c>
      <c r="G54" s="3"/>
      <c r="H54" s="114">
        <f>[1]!StB08Rechteck_Q($A$9,$B$9,$C$9,$D$9,$A$28,$B$28,$C$28,$D$28,$E$28,$F$28,$G$28,$H$28,$A$33,$B$33,$C$33,$D$33,$E$33,$F$37,$F$38,$F$39,$D$53,$D$54,($F$32-1)/10,IF($F$33=1,-1,1)*22)</f>
        <v>1893.3750000000002</v>
      </c>
    </row>
    <row r="55" spans="1:9" x14ac:dyDescent="0.2">
      <c r="A55" s="420" t="str">
        <f>INDEX(LA!$A135:$J135,,Info!$A$5)</f>
        <v>ultimate strain of concrete    ε_c [-]</v>
      </c>
      <c r="B55" s="421"/>
      <c r="C55" s="422"/>
      <c r="D55" s="45">
        <f>[1]!StB08Rechteck_Q($A$9,$B$9,$C$9,$D$9,$A$28,$B$28,$C$28,$D$28,$E$28,$F$28,$G$28,$H$28,$A$33,$B$33,$C$33,$D$33,$E$33,$F$37,$F$38,$F$39,$D$53,$D$54,($F$32-1)/10,IF($F$33=1,-1,1)*1)</f>
        <v>-3.5000000000000001E-3</v>
      </c>
      <c r="F55" s="1" t="str">
        <f>INDEX(LA!$A154:$J154,,Info!$A$5)</f>
        <v>cot(θ)                  [1]</v>
      </c>
      <c r="G55" s="3"/>
      <c r="H55" s="54">
        <f>[1]!StB08Rechteck_Q($A$9,$B$9,$C$9,$D$9,$A$28,$B$28,$C$28,$D$28,$E$28,$F$28,$G$28,$H$28,$A$33,$B$33,$C$33,$D$33,$E$33,$F$37,$F$38,$F$39,$D$53,$D$54,($F$32-1)/10,IF($F$33=1,-1,1)*23)</f>
        <v>2.264390841040266</v>
      </c>
    </row>
    <row r="56" spans="1:9" x14ac:dyDescent="0.2">
      <c r="A56" s="423"/>
      <c r="B56" s="424"/>
      <c r="C56" s="425"/>
      <c r="D56" s="46">
        <f>[1]!StB08Rechteck_Q($A$9,$B$9,$C$9,$D$9,$A$28,$B$28,$C$28,$D$28,$E$28,$F$28,$G$28,$H$28,$A$33,$B$33,$C$33,$D$33,$E$33,$F$37,$F$38,$F$39,$D$53,$D$54,($F$32-1)/10,IF($F$33=1,-1,1)*2)</f>
        <v>3.8589570664416348E-3</v>
      </c>
      <c r="F56" s="1" t="str">
        <f>INDEX(LA!$A155:$J155,,Info!$A$5)</f>
        <v>z_i                     [m]</v>
      </c>
      <c r="G56" s="3"/>
      <c r="H56" s="53">
        <f>[1]!StB08Rechteck_Q($A$9,$B$9,$C$9,$D$9,$A$28,$B$28,$C$28,$D$28,$E$28,$F$28,$G$28,$H$28,$A$33,$B$33,$C$33,$D$33,$E$33,$F$37,$F$38,$F$39,$D$53,$D$54,($F$32-1)/10,IF($F$33=1,-1,1)*24)</f>
        <v>0.59400000000000008</v>
      </c>
    </row>
    <row r="57" spans="1:9" x14ac:dyDescent="0.2">
      <c r="A57" s="420" t="str">
        <f>INDEX(LA!$A136:$J136,,Info!$A$5)</f>
        <v>ultimate strain of steel         ε_s [-]</v>
      </c>
      <c r="B57" s="421"/>
      <c r="C57" s="422"/>
      <c r="D57" s="45">
        <f>[1]!StB08Rechteck_Q($A$9,$B$9,$C$9,$D$9,$A$28,$B$28,$C$28,$D$28,$E$28,$F$28,$G$28,$H$28,$A$33,$B$33,$C$33,$D$33,$E$33,$F$37,$F$38,$F$39,$D$53,$D$54,($F$32-1)/10,IF($F$33=1,-1,1)*3)</f>
        <v>-2.2121825133727137E-3</v>
      </c>
    </row>
    <row r="58" spans="1:9" x14ac:dyDescent="0.2">
      <c r="A58" s="423"/>
      <c r="B58" s="424"/>
      <c r="C58" s="425"/>
      <c r="D58" s="46">
        <f>[1]!StB08Rechteck_Q($A$9,$B$9,$C$9,$D$9,$A$28,$B$28,$C$28,$D$28,$E$28,$F$28,$G$28,$H$28,$A$33,$B$33,$C$33,$D$33,$E$33,$F$37,$F$38,$F$39,$D$53,$D$54,($F$32-1)/10,IF($F$33=1,-1,1)*4)</f>
        <v>2.5711395798143485E-3</v>
      </c>
    </row>
    <row r="59" spans="1:9" x14ac:dyDescent="0.2">
      <c r="A59" s="113" t="str">
        <f>INDEX(LA!$A151:$J151,,Info!$A$5)</f>
        <v>shear reinforce.   req. a_s [cm²/m]</v>
      </c>
      <c r="B59" s="2"/>
      <c r="C59" s="2"/>
      <c r="D59" s="18">
        <f>[1]!StB08Rechteck_Q($A$9,$B$9,$C$9,$D$9,$A$28,$B$28,$C$28,$D$28,$E$28,$F$28,$G$28,$H$28,$A$33,$B$33,$C$33,$D$33,$E$33,$F$37,$F$38,$F$39,$D$53,$D$54,($F$32-1)/10,IF($F$33=1,-1,1)*5)</f>
        <v>8.2078845440481452</v>
      </c>
    </row>
    <row r="60" spans="1:9" s="51" customFormat="1" x14ac:dyDescent="0.2"/>
    <row r="61" spans="1:9" s="51" customFormat="1" x14ac:dyDescent="0.2"/>
    <row r="62" spans="1:9" s="51" customFormat="1" x14ac:dyDescent="0.2"/>
    <row r="63" spans="1:9" s="51" customFormat="1" x14ac:dyDescent="0.2"/>
    <row r="64" spans="1:9" s="51" customFormat="1" x14ac:dyDescent="0.2"/>
    <row r="65" spans="1:3" s="51" customFormat="1" hidden="1" x14ac:dyDescent="0.2">
      <c r="A65" s="51" t="s">
        <v>378</v>
      </c>
    </row>
    <row r="66" spans="1:3" s="51" customFormat="1" hidden="1" x14ac:dyDescent="0.2">
      <c r="A66" s="51" t="s">
        <v>391</v>
      </c>
      <c r="B66" s="125" t="s">
        <v>449</v>
      </c>
    </row>
    <row r="67" spans="1:3" s="51" customFormat="1" hidden="1" x14ac:dyDescent="0.2">
      <c r="A67" s="115" t="s">
        <v>459</v>
      </c>
      <c r="B67" s="51" t="s">
        <v>452</v>
      </c>
    </row>
    <row r="68" spans="1:3" s="51" customFormat="1" hidden="1" x14ac:dyDescent="0.2">
      <c r="A68" s="115" t="s">
        <v>450</v>
      </c>
      <c r="B68" s="125" t="s">
        <v>451</v>
      </c>
    </row>
    <row r="69" spans="1:3" s="51" customFormat="1" hidden="1" x14ac:dyDescent="0.2">
      <c r="A69" s="115" t="s">
        <v>379</v>
      </c>
      <c r="B69" s="51" t="s">
        <v>381</v>
      </c>
    </row>
    <row r="70" spans="1:3" s="51" customFormat="1" hidden="1" x14ac:dyDescent="0.2">
      <c r="A70" s="115" t="s">
        <v>396</v>
      </c>
      <c r="B70" s="51" t="s">
        <v>382</v>
      </c>
    </row>
    <row r="72" spans="1:3" hidden="1" x14ac:dyDescent="0.2"/>
    <row r="73" spans="1:3" hidden="1" x14ac:dyDescent="0.2">
      <c r="A73" s="1" t="str">
        <f>INDEX(LA!$A109:$J109,,Info!$A$5)</f>
        <v>without min. reinforcement</v>
      </c>
      <c r="B73" s="2"/>
      <c r="C73" s="3"/>
    </row>
    <row r="74" spans="1:3" hidden="1" x14ac:dyDescent="0.2">
      <c r="A74" s="1" t="str">
        <f>INDEX(LA!$A110:$J110,,Info!$A$5)</f>
        <v>with min. reinforcement</v>
      </c>
      <c r="B74" s="2"/>
      <c r="C74" s="3"/>
    </row>
    <row r="75" spans="1:3" hidden="1" x14ac:dyDescent="0.2"/>
    <row r="76" spans="1:3" hidden="1" x14ac:dyDescent="0.2">
      <c r="A76" s="1" t="str">
        <f>INDEX(LA!$A111:$J111,,Info!$A$5)</f>
        <v>min. shear reinf. accord. DIN 1045</v>
      </c>
      <c r="B76" s="2"/>
      <c r="C76" s="3"/>
    </row>
    <row r="77" spans="1:3" hidden="1" x14ac:dyDescent="0.2">
      <c r="A77" s="1" t="str">
        <f>INDEX(LA!$A112:$J112,,Info!$A$5)</f>
        <v>10% of calculated shear reinforce.</v>
      </c>
      <c r="B77" s="2"/>
      <c r="C77" s="3"/>
    </row>
    <row r="78" spans="1:3" hidden="1" x14ac:dyDescent="0.2">
      <c r="A78" s="1" t="str">
        <f>INDEX(LA!$A113:$J113,,Info!$A$5)</f>
        <v>20% of calculated shear reinforce.</v>
      </c>
      <c r="B78" s="2"/>
      <c r="C78" s="3"/>
    </row>
    <row r="79" spans="1:3" hidden="1" x14ac:dyDescent="0.2">
      <c r="A79" s="1" t="str">
        <f>INDEX(LA!$A114:$J114,,Info!$A$5)</f>
        <v>30% of calculated shear reinforce.</v>
      </c>
      <c r="B79" s="2"/>
      <c r="C79" s="3"/>
    </row>
    <row r="80" spans="1:3" hidden="1" x14ac:dyDescent="0.2">
      <c r="A80" s="1" t="str">
        <f>INDEX(LA!$A115:$J115,,Info!$A$5)</f>
        <v>40% of calculated shear reinforce.</v>
      </c>
      <c r="B80" s="2"/>
      <c r="C80" s="3"/>
    </row>
    <row r="81" spans="1:3" hidden="1" x14ac:dyDescent="0.2">
      <c r="A81" s="1" t="str">
        <f>INDEX(LA!$A116:$J116,,Info!$A$5)</f>
        <v>50% of calculated shear reinforce.</v>
      </c>
      <c r="B81" s="2"/>
      <c r="C81" s="3"/>
    </row>
    <row r="82" spans="1:3" hidden="1" x14ac:dyDescent="0.2">
      <c r="A82" s="1" t="str">
        <f>INDEX(LA!$A117:$J117,,Info!$A$5)</f>
        <v>60% of calculated shear reinforce.</v>
      </c>
      <c r="B82" s="2"/>
      <c r="C82" s="3"/>
    </row>
    <row r="83" spans="1:3" hidden="1" x14ac:dyDescent="0.2">
      <c r="A83" s="1" t="str">
        <f>INDEX(LA!$A118:$J118,,Info!$A$5)</f>
        <v>70% of calculated shear reinforce.</v>
      </c>
      <c r="B83" s="2"/>
      <c r="C83" s="3"/>
    </row>
    <row r="84" spans="1:3" hidden="1" x14ac:dyDescent="0.2">
      <c r="A84" s="1" t="str">
        <f>INDEX(LA!$A119:$J119,,Info!$A$5)</f>
        <v>80% of calculated shear reinforce.</v>
      </c>
      <c r="B84" s="2"/>
      <c r="C84" s="3"/>
    </row>
    <row r="85" spans="1:3" hidden="1" x14ac:dyDescent="0.2">
      <c r="A85" s="1" t="str">
        <f>INDEX(LA!$A120:$J120,,Info!$A$5)</f>
        <v>90% of calculated shear reinforce.</v>
      </c>
      <c r="B85" s="2"/>
      <c r="C85" s="3"/>
    </row>
    <row r="86" spans="1:3" hidden="1" x14ac:dyDescent="0.2">
      <c r="A86" s="1" t="str">
        <f>INDEX(LA!$A121:$J121,,Info!$A$5)</f>
        <v>100% of calculated shear reinforce.</v>
      </c>
      <c r="B86" s="2"/>
      <c r="C86" s="3"/>
    </row>
    <row r="87" spans="1:3" hidden="1" x14ac:dyDescent="0.2"/>
    <row r="88" spans="1:3" hidden="1" x14ac:dyDescent="0.2">
      <c r="A88" s="1" t="str">
        <f>INDEX(LA!$A122:$J122,,Info!$A$5)</f>
        <v>shear: diagonal struts cot(θ) = 1</v>
      </c>
      <c r="B88" s="2"/>
      <c r="C88" s="3"/>
    </row>
    <row r="89" spans="1:3" hidden="1" x14ac:dyDescent="0.2">
      <c r="A89" s="1" t="str">
        <f>INDEX(LA!$A123:$J123,,Info!$A$5)</f>
        <v>shear: diagonal struts cot(θ) ≤ 3</v>
      </c>
      <c r="B89" s="2"/>
      <c r="C89" s="3"/>
    </row>
    <row r="90" spans="1:3" hidden="1" x14ac:dyDescent="0.2"/>
    <row r="91" spans="1:3" hidden="1" x14ac:dyDescent="0.2">
      <c r="A91" s="148" t="str">
        <f>INDEX(LA!$A142:$J142,,Info!$A$5)</f>
        <v/>
      </c>
      <c r="B91" s="2"/>
      <c r="C91" s="3"/>
    </row>
    <row r="92" spans="1:3" hidden="1" x14ac:dyDescent="0.2">
      <c r="A92" s="148" t="str">
        <f>INDEX(LA!$A143:$J143,,Info!$A$5)</f>
        <v>cross section completely compressed</v>
      </c>
      <c r="B92" s="2"/>
      <c r="C92" s="3"/>
    </row>
    <row r="93" spans="1:3" hidden="1" x14ac:dyDescent="0.2">
      <c r="A93" s="148" t="str">
        <f>INDEX(LA!$A144:$J144,,Info!$A$5)</f>
        <v>gap at most up to center of gravity</v>
      </c>
      <c r="B93" s="2"/>
      <c r="C93" s="3"/>
    </row>
    <row r="94" spans="1:3" hidden="1" x14ac:dyDescent="0.2">
      <c r="A94" s="148" t="str">
        <f>INDEX(LA!$A145:$J145,,Info!$A$5)</f>
        <v>gap beyond center of gravity</v>
      </c>
      <c r="B94" s="2"/>
      <c r="C94" s="3"/>
    </row>
    <row r="95" spans="1:3" s="51" customFormat="1" hidden="1" x14ac:dyDescent="0.2"/>
    <row r="96" spans="1:3" s="51" customFormat="1" hidden="1" x14ac:dyDescent="0.2"/>
    <row r="97" spans="1:4" s="51" customFormat="1" hidden="1" x14ac:dyDescent="0.2">
      <c r="A97" s="415" t="str">
        <f>A25</f>
        <v>Concrete</v>
      </c>
      <c r="B97" s="415"/>
      <c r="C97" s="415" t="str">
        <f>A30</f>
        <v>Reinforcement</v>
      </c>
      <c r="D97" s="415"/>
    </row>
    <row r="98" spans="1:4" s="51" customFormat="1" hidden="1" x14ac:dyDescent="0.2">
      <c r="A98" s="106">
        <v>0</v>
      </c>
      <c r="B98" s="106">
        <f t="shared" ref="B98:B123" si="0">B$124*(1-(($C$28-A98)/$C$28)^$E$28)</f>
        <v>0</v>
      </c>
      <c r="C98" s="106">
        <v>0</v>
      </c>
      <c r="D98" s="106">
        <v>0</v>
      </c>
    </row>
    <row r="99" spans="1:4" s="51" customFormat="1" hidden="1" x14ac:dyDescent="0.2">
      <c r="A99" s="106">
        <f t="shared" ref="A99:A123" si="1">A98+$C$28/25</f>
        <v>8.0000000000000007E-5</v>
      </c>
      <c r="B99" s="106">
        <f t="shared" si="0"/>
        <v>1.6660000000000006</v>
      </c>
      <c r="C99" s="106">
        <f>$A$33/$C$33</f>
        <v>2.5000000000000001E-3</v>
      </c>
      <c r="D99" s="106">
        <f>$A$33</f>
        <v>500</v>
      </c>
    </row>
    <row r="100" spans="1:4" s="51" customFormat="1" hidden="1" x14ac:dyDescent="0.2">
      <c r="A100" s="106">
        <f t="shared" si="1"/>
        <v>1.6000000000000001E-4</v>
      </c>
      <c r="B100" s="106">
        <f t="shared" si="0"/>
        <v>3.2639999999999993</v>
      </c>
      <c r="C100" s="107">
        <f>$D$33</f>
        <v>2.5000000000000001E-2</v>
      </c>
      <c r="D100" s="106">
        <f>$B$33</f>
        <v>525</v>
      </c>
    </row>
    <row r="101" spans="1:4" s="51" customFormat="1" hidden="1" x14ac:dyDescent="0.2">
      <c r="A101" s="106">
        <f t="shared" si="1"/>
        <v>2.4000000000000003E-4</v>
      </c>
      <c r="B101" s="106">
        <f t="shared" si="0"/>
        <v>4.7940000000000005</v>
      </c>
    </row>
    <row r="102" spans="1:4" s="51" customFormat="1" hidden="1" x14ac:dyDescent="0.2">
      <c r="A102" s="106">
        <f t="shared" si="1"/>
        <v>3.2000000000000003E-4</v>
      </c>
      <c r="B102" s="106">
        <f t="shared" si="0"/>
        <v>6.256000000000002</v>
      </c>
    </row>
    <row r="103" spans="1:4" s="51" customFormat="1" hidden="1" x14ac:dyDescent="0.2">
      <c r="A103" s="106">
        <f t="shared" si="1"/>
        <v>4.0000000000000002E-4</v>
      </c>
      <c r="B103" s="106">
        <f t="shared" si="0"/>
        <v>7.6499999999999977</v>
      </c>
    </row>
    <row r="104" spans="1:4" s="51" customFormat="1" hidden="1" x14ac:dyDescent="0.2">
      <c r="A104" s="106">
        <f t="shared" si="1"/>
        <v>4.8000000000000001E-4</v>
      </c>
      <c r="B104" s="106">
        <f t="shared" si="0"/>
        <v>8.9759999999999991</v>
      </c>
    </row>
    <row r="105" spans="1:4" s="51" customFormat="1" hidden="1" x14ac:dyDescent="0.2">
      <c r="A105" s="106">
        <f t="shared" si="1"/>
        <v>5.6000000000000006E-4</v>
      </c>
      <c r="B105" s="106">
        <f t="shared" si="0"/>
        <v>10.234</v>
      </c>
    </row>
    <row r="106" spans="1:4" s="51" customFormat="1" hidden="1" x14ac:dyDescent="0.2">
      <c r="A106" s="106">
        <f t="shared" si="1"/>
        <v>6.4000000000000005E-4</v>
      </c>
      <c r="B106" s="106">
        <f t="shared" si="0"/>
        <v>11.423999999999998</v>
      </c>
    </row>
    <row r="107" spans="1:4" s="51" customFormat="1" hidden="1" x14ac:dyDescent="0.2">
      <c r="A107" s="106">
        <f t="shared" si="1"/>
        <v>7.2000000000000005E-4</v>
      </c>
      <c r="B107" s="106">
        <f t="shared" si="0"/>
        <v>12.546000000000003</v>
      </c>
    </row>
    <row r="108" spans="1:4" s="51" customFormat="1" hidden="1" x14ac:dyDescent="0.2">
      <c r="A108" s="106">
        <f t="shared" si="1"/>
        <v>8.0000000000000004E-4</v>
      </c>
      <c r="B108" s="106">
        <f t="shared" si="0"/>
        <v>13.599999999999998</v>
      </c>
    </row>
    <row r="109" spans="1:4" s="51" customFormat="1" hidden="1" x14ac:dyDescent="0.2">
      <c r="A109" s="106">
        <f t="shared" si="1"/>
        <v>8.8000000000000003E-4</v>
      </c>
      <c r="B109" s="106">
        <f t="shared" si="0"/>
        <v>14.586000000000002</v>
      </c>
    </row>
    <row r="110" spans="1:4" s="51" customFormat="1" hidden="1" x14ac:dyDescent="0.2">
      <c r="A110" s="106">
        <f t="shared" si="1"/>
        <v>9.6000000000000002E-4</v>
      </c>
      <c r="B110" s="106">
        <f t="shared" si="0"/>
        <v>15.504000000000001</v>
      </c>
    </row>
    <row r="111" spans="1:4" s="51" customFormat="1" hidden="1" x14ac:dyDescent="0.2">
      <c r="A111" s="106">
        <f t="shared" si="1"/>
        <v>1.0400000000000001E-3</v>
      </c>
      <c r="B111" s="106">
        <f t="shared" si="0"/>
        <v>16.354000000000003</v>
      </c>
    </row>
    <row r="112" spans="1:4" s="51" customFormat="1" hidden="1" x14ac:dyDescent="0.2">
      <c r="A112" s="106">
        <f t="shared" si="1"/>
        <v>1.1200000000000001E-3</v>
      </c>
      <c r="B112" s="106">
        <f t="shared" si="0"/>
        <v>17.135999999999999</v>
      </c>
    </row>
    <row r="113" spans="1:2" s="51" customFormat="1" hidden="1" x14ac:dyDescent="0.2">
      <c r="A113" s="106">
        <f t="shared" si="1"/>
        <v>1.2000000000000001E-3</v>
      </c>
      <c r="B113" s="106">
        <f t="shared" si="0"/>
        <v>17.850000000000001</v>
      </c>
    </row>
    <row r="114" spans="1:2" s="51" customFormat="1" hidden="1" x14ac:dyDescent="0.2">
      <c r="A114" s="106">
        <f t="shared" si="1"/>
        <v>1.2800000000000001E-3</v>
      </c>
      <c r="B114" s="106">
        <f t="shared" si="0"/>
        <v>18.496000000000002</v>
      </c>
    </row>
    <row r="115" spans="1:2" s="51" customFormat="1" hidden="1" x14ac:dyDescent="0.2">
      <c r="A115" s="106">
        <f t="shared" si="1"/>
        <v>1.3600000000000001E-3</v>
      </c>
      <c r="B115" s="106">
        <f t="shared" si="0"/>
        <v>19.074000000000002</v>
      </c>
    </row>
    <row r="116" spans="1:2" s="51" customFormat="1" hidden="1" x14ac:dyDescent="0.2">
      <c r="A116" s="106">
        <f t="shared" si="1"/>
        <v>1.4400000000000001E-3</v>
      </c>
      <c r="B116" s="106">
        <f t="shared" si="0"/>
        <v>19.584</v>
      </c>
    </row>
    <row r="117" spans="1:2" s="51" customFormat="1" hidden="1" x14ac:dyDescent="0.2">
      <c r="A117" s="106">
        <f t="shared" si="1"/>
        <v>1.5200000000000001E-3</v>
      </c>
      <c r="B117" s="106">
        <f t="shared" si="0"/>
        <v>20.026</v>
      </c>
    </row>
    <row r="118" spans="1:2" s="51" customFormat="1" hidden="1" x14ac:dyDescent="0.2">
      <c r="A118" s="106">
        <f t="shared" si="1"/>
        <v>1.6000000000000001E-3</v>
      </c>
      <c r="B118" s="106">
        <f t="shared" si="0"/>
        <v>20.399999999999999</v>
      </c>
    </row>
    <row r="119" spans="1:2" s="51" customFormat="1" hidden="1" x14ac:dyDescent="0.2">
      <c r="A119" s="106">
        <f t="shared" si="1"/>
        <v>1.6800000000000001E-3</v>
      </c>
      <c r="B119" s="106">
        <f t="shared" si="0"/>
        <v>20.706</v>
      </c>
    </row>
    <row r="120" spans="1:2" s="51" customFormat="1" hidden="1" x14ac:dyDescent="0.2">
      <c r="A120" s="106">
        <f t="shared" si="1"/>
        <v>1.7600000000000001E-3</v>
      </c>
      <c r="B120" s="106">
        <f t="shared" si="0"/>
        <v>20.943999999999999</v>
      </c>
    </row>
    <row r="121" spans="1:2" s="51" customFormat="1" hidden="1" x14ac:dyDescent="0.2">
      <c r="A121" s="106">
        <f t="shared" si="1"/>
        <v>1.8400000000000001E-3</v>
      </c>
      <c r="B121" s="106">
        <f t="shared" si="0"/>
        <v>21.114000000000001</v>
      </c>
    </row>
    <row r="122" spans="1:2" s="51" customFormat="1" hidden="1" x14ac:dyDescent="0.2">
      <c r="A122" s="106">
        <f t="shared" si="1"/>
        <v>1.92E-3</v>
      </c>
      <c r="B122" s="106">
        <f t="shared" si="0"/>
        <v>21.215999999999998</v>
      </c>
    </row>
    <row r="123" spans="1:2" s="51" customFormat="1" hidden="1" x14ac:dyDescent="0.2">
      <c r="A123" s="106">
        <f t="shared" si="1"/>
        <v>2E-3</v>
      </c>
      <c r="B123" s="106">
        <f t="shared" si="0"/>
        <v>21.25</v>
      </c>
    </row>
    <row r="124" spans="1:2" s="51" customFormat="1" hidden="1" x14ac:dyDescent="0.2">
      <c r="A124" s="107">
        <f>$D$28</f>
        <v>3.5000000000000001E-3</v>
      </c>
      <c r="B124" s="106">
        <f>$A$28*$B$28</f>
        <v>21.25</v>
      </c>
    </row>
    <row r="125" spans="1:2" s="51" customFormat="1" hidden="1" x14ac:dyDescent="0.2"/>
  </sheetData>
  <sheetProtection sheet="1" objects="1" scenarios="1"/>
  <mergeCells count="14">
    <mergeCell ref="C26:E26"/>
    <mergeCell ref="F26:G26"/>
    <mergeCell ref="A6:E6"/>
    <mergeCell ref="A25:H25"/>
    <mergeCell ref="A97:B97"/>
    <mergeCell ref="C97:D97"/>
    <mergeCell ref="A30:E30"/>
    <mergeCell ref="C35:D35"/>
    <mergeCell ref="E35:F35"/>
    <mergeCell ref="A44:C45"/>
    <mergeCell ref="A46:C47"/>
    <mergeCell ref="A55:C56"/>
    <mergeCell ref="A57:C58"/>
    <mergeCell ref="F44:H44"/>
  </mergeCells>
  <phoneticPr fontId="0" type="noConversion"/>
  <conditionalFormatting sqref="D59">
    <cfRule type="cellIs" dxfId="7" priority="1" stopIfTrue="1" operator="lessThan">
      <formula>-0.5</formula>
    </cfRule>
  </conditionalFormatting>
  <pageMargins left="0.86614173228346458" right="0.51181102362204722" top="0.39370078740157483" bottom="0.59055118110236227" header="0.31496062992125984" footer="0.39370078740157483"/>
  <pageSetup paperSize="9" orientation="portrait" r:id="rId1"/>
  <headerFooter alignWithMargins="0"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Drop Down 1">
              <controlPr defaultSize="0" autoLine="0" autoPict="0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Drop Down 3">
              <controlPr defaultSize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Drop Down 4">
              <controlPr defaultSize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0"/>
  <dimension ref="A1:BJ189"/>
  <sheetViews>
    <sheetView showGridLines="0" topLeftCell="A124" zoomScaleNormal="100" workbookViewId="0">
      <selection activeCell="A49" sqref="A49:C50"/>
    </sheetView>
  </sheetViews>
  <sheetFormatPr defaultColWidth="11.42578125" defaultRowHeight="12" x14ac:dyDescent="0.2"/>
  <cols>
    <col min="1" max="8" width="10.7109375" style="291" customWidth="1"/>
    <col min="9" max="16384" width="11.42578125" style="291"/>
  </cols>
  <sheetData>
    <row r="1" spans="1:8" ht="12.75" x14ac:dyDescent="0.2">
      <c r="A1" s="290" t="s">
        <v>185</v>
      </c>
    </row>
    <row r="2" spans="1:8" ht="12.75" x14ac:dyDescent="0.2">
      <c r="A2" s="290"/>
    </row>
    <row r="3" spans="1:8" ht="12.75" x14ac:dyDescent="0.2">
      <c r="A3" s="110" t="str">
        <f>INDEX(LA!$A160:$J160,,Info!$A$5)</f>
        <v>Design of Circular Cross Section</v>
      </c>
    </row>
    <row r="4" spans="1:8" ht="12.75" x14ac:dyDescent="0.2">
      <c r="A4" s="292">
        <v>4</v>
      </c>
    </row>
    <row r="6" spans="1:8" ht="12.75" x14ac:dyDescent="0.2">
      <c r="A6" s="452" t="str">
        <f>INDEX(LA!$A168:$J168,,Info!$A$5)</f>
        <v>Cross section</v>
      </c>
      <c r="B6" s="453"/>
    </row>
    <row r="7" spans="1:8" x14ac:dyDescent="0.2">
      <c r="A7" s="293" t="str">
        <f>INDEX(LA!$A169:$J169,,Info!$A$5)</f>
        <v>Diameter</v>
      </c>
      <c r="B7" s="293" t="str">
        <f>INDEX(LA!$A175:$J175,,Info!$A$5)</f>
        <v>sep. to edge</v>
      </c>
    </row>
    <row r="8" spans="1:8" x14ac:dyDescent="0.2">
      <c r="A8" s="294" t="str">
        <f>INDEX(LA!$A170:$J170,,Info!$A$5)</f>
        <v>D  [mm]</v>
      </c>
      <c r="B8" s="294" t="str">
        <f>INDEX(LA!$A176:$J176,,Info!$A$5)</f>
        <v>H'  [mm</v>
      </c>
    </row>
    <row r="9" spans="1:8" x14ac:dyDescent="0.2">
      <c r="A9" s="295">
        <v>880</v>
      </c>
      <c r="B9" s="295">
        <v>105</v>
      </c>
    </row>
    <row r="11" spans="1:8" ht="12.75" x14ac:dyDescent="0.2">
      <c r="A11" s="296"/>
      <c r="B11" s="297" t="str">
        <f>INDEX(LA!$A184:$J184,,Info!$A$5)</f>
        <v>Concrete</v>
      </c>
      <c r="C11" s="292">
        <v>4</v>
      </c>
      <c r="D11" s="298"/>
      <c r="E11" s="317"/>
      <c r="F11" s="454" t="str">
        <f>$A96</f>
        <v>unreinforced</v>
      </c>
      <c r="G11" s="455"/>
      <c r="H11" s="402"/>
    </row>
    <row r="12" spans="1:8" x14ac:dyDescent="0.2">
      <c r="A12" s="300" t="str">
        <f>$A86</f>
        <v>cylinder str.</v>
      </c>
      <c r="B12" s="300" t="str">
        <f>$A88</f>
        <v>reduct.factor</v>
      </c>
      <c r="C12" s="456" t="str">
        <f>$A90</f>
        <v>stress-strain curve</v>
      </c>
      <c r="D12" s="457"/>
      <c r="E12" s="458"/>
      <c r="F12" s="300" t="str">
        <f>$A97</f>
        <v>safety</v>
      </c>
      <c r="G12" s="293" t="str">
        <f>$A99</f>
        <v>min.comp.reinf.</v>
      </c>
      <c r="H12" s="300" t="str">
        <f>$A94</f>
        <v>E_cm</v>
      </c>
    </row>
    <row r="13" spans="1:8" x14ac:dyDescent="0.2">
      <c r="A13" s="294" t="str">
        <f>$A87</f>
        <v>f_ck [MPa]</v>
      </c>
      <c r="B13" s="294" t="str">
        <f>$A89</f>
        <v>α   [1]</v>
      </c>
      <c r="C13" s="301" t="str">
        <f>$A91</f>
        <v>ε_c2  [‰]</v>
      </c>
      <c r="D13" s="301" t="str">
        <f>$A92</f>
        <v>ε_c2u [‰]</v>
      </c>
      <c r="E13" s="301" t="str">
        <f>$A93</f>
        <v>exp. [1]</v>
      </c>
      <c r="F13" s="301" t="str">
        <f>$A98</f>
        <v>Δα_pl  [1]</v>
      </c>
      <c r="G13" s="302" t="str">
        <f>$A100</f>
        <v>N_Ed,min  [1]</v>
      </c>
      <c r="H13" s="294" t="str">
        <f>$A95</f>
        <v>[MPa]</v>
      </c>
    </row>
    <row r="14" spans="1:8" x14ac:dyDescent="0.2">
      <c r="A14" s="188">
        <f>IF(OR(A15="",A15=" "),INDEX($H$110:$H$118,$C$11,),A15)</f>
        <v>25</v>
      </c>
      <c r="B14" s="196">
        <f>IF(OR(B15="",B15=" "),INDEX($O$110:$O$118,$C$11,),B15)</f>
        <v>0.85</v>
      </c>
      <c r="C14" s="188">
        <f>IF(OR(C15="",C15=" "),INDEX($V$110:$V$118,$C$11,),C15)</f>
        <v>2</v>
      </c>
      <c r="D14" s="188">
        <f>IF(OR(D15="",D15=" "),INDEX($AC$110:$AC$118,$C$11,),D15)</f>
        <v>3.5</v>
      </c>
      <c r="E14" s="157">
        <f>IF(OR(E15="",E15=" "),INDEX($AJ$110:$AJ$118,$C$11,),E15)</f>
        <v>2</v>
      </c>
      <c r="F14" s="157">
        <f>IF(OR(F15="",F15=" "),INDEX($AX110:$AX$118,$C$11,),F15)</f>
        <v>0.15</v>
      </c>
      <c r="G14" s="196">
        <f>IF(OR(G15="",G15=" "),INDEX($BE$110:$BE$118,$C$11,),G15)</f>
        <v>0.15</v>
      </c>
      <c r="H14" s="196">
        <f>IF(OR(H15="",H15=" "),INDEX($AQ$110:$AQ$118,$C$11,),H15)</f>
        <v>31000</v>
      </c>
    </row>
    <row r="15" spans="1:8" x14ac:dyDescent="0.2">
      <c r="A15" s="303"/>
      <c r="B15" s="304"/>
      <c r="C15" s="303"/>
      <c r="D15" s="303"/>
      <c r="E15" s="305"/>
      <c r="F15" s="305"/>
      <c r="G15" s="306"/>
      <c r="H15" s="304"/>
    </row>
    <row r="17" spans="1:10" ht="12.75" x14ac:dyDescent="0.2">
      <c r="A17" s="296"/>
      <c r="B17" s="297" t="str">
        <f>INDEX(LA!$A208:$J208,,Info!$A$5)</f>
        <v>Reinforcement</v>
      </c>
      <c r="C17" s="292">
        <v>2</v>
      </c>
      <c r="D17" s="298"/>
      <c r="E17" s="292">
        <v>1</v>
      </c>
      <c r="F17" s="307"/>
      <c r="G17" s="400">
        <v>4</v>
      </c>
    </row>
    <row r="18" spans="1:10" ht="12.75" x14ac:dyDescent="0.2">
      <c r="A18" s="300" t="str">
        <f>$H86</f>
        <v>yield stress</v>
      </c>
      <c r="B18" s="300" t="str">
        <f>$H88</f>
        <v>tens.strength</v>
      </c>
      <c r="C18" s="300" t="str">
        <f>$H90</f>
        <v>Young's m.</v>
      </c>
      <c r="D18" s="300" t="str">
        <f>$H92</f>
        <v>max. strain</v>
      </c>
      <c r="E18" s="292">
        <v>2</v>
      </c>
      <c r="F18" s="307"/>
      <c r="G18" s="401" t="str">
        <f>IF(OR($E$18=1,$G$17=1,$G$20&lt;1),"",$H95)</f>
        <v>reinforce. bar</v>
      </c>
      <c r="H18" s="401" t="str">
        <f>IF(OR($E$18=1,$G$17=1,$H$20&lt;1),"",$H97)</f>
        <v>bar spacing</v>
      </c>
    </row>
    <row r="19" spans="1:10" x14ac:dyDescent="0.2">
      <c r="A19" s="294" t="str">
        <f>$H87</f>
        <v>f_yk  [MPa]</v>
      </c>
      <c r="B19" s="294" t="str">
        <f>$H89</f>
        <v>f_tk  [MPa]</v>
      </c>
      <c r="C19" s="294" t="str">
        <f>$H91</f>
        <v>E  [MPa]</v>
      </c>
      <c r="D19" s="294" t="str">
        <f>$H93</f>
        <v>ε_s,u  [‰]</v>
      </c>
      <c r="E19" s="308" t="str">
        <f>IF($E$18=1,"",$H94)</f>
        <v>max. σs [MPa]</v>
      </c>
      <c r="F19" s="307"/>
      <c r="G19" s="309" t="str">
        <f>IF(OR($E$18=1,$G$17=1,$G$20&lt;1),"",$H96)</f>
        <v>max. ds [mm]</v>
      </c>
      <c r="H19" s="309" t="str">
        <f>IF(OR($E$18=1,$G$17=1,$H$20&lt;1),"",$H98)</f>
        <v>max. s  [mm]</v>
      </c>
    </row>
    <row r="20" spans="1:10" x14ac:dyDescent="0.2">
      <c r="A20" s="165">
        <f>IF(OR(A21="",A21=" "),INDEX($H$121:$H$124,$C$17,),A21)</f>
        <v>500</v>
      </c>
      <c r="B20" s="165">
        <f>IF(OR(B21="",B21=" "),INDEX($O$121:$O$124,$C$17,),B21)</f>
        <v>525</v>
      </c>
      <c r="C20" s="165">
        <f>IF(OR(C21="",C21=" "),INDEX($V$121:$V$124,$C$17,),C21)</f>
        <v>200000</v>
      </c>
      <c r="D20" s="188">
        <f>IF(OR(D21="",D21=" "),INDEX($AC$121:$AC$124,$C$17,),D21)</f>
        <v>25</v>
      </c>
      <c r="E20" s="229">
        <f>IF($E$18=1,0,IF(OR(E21="",E21=" "),IF(AND($G$20&lt;1,$H$20&lt;1),200,IF($G$20&lt;1,$A$154,IF($H$20&lt;1,$A$139,MAX($A$139,$A$154)))),E21))</f>
        <v>157</v>
      </c>
      <c r="G20" s="165">
        <f>IF(OR($E$18=1,$G$17=1),0,IF(OR(G21="",G21=" "),28,G21))</f>
        <v>28</v>
      </c>
      <c r="H20" s="165">
        <f>IF(OR($E$18=1,$G$17=1),0,IF(OR(H21="",H21=" "),200,H21))</f>
        <v>200</v>
      </c>
    </row>
    <row r="21" spans="1:10" x14ac:dyDescent="0.2">
      <c r="A21" s="310"/>
      <c r="B21" s="304"/>
      <c r="C21" s="304"/>
      <c r="D21" s="303"/>
      <c r="E21" s="310"/>
      <c r="G21" s="310"/>
      <c r="H21" s="310"/>
    </row>
    <row r="32" spans="1:10" x14ac:dyDescent="0.2">
      <c r="J32" s="311"/>
    </row>
    <row r="37" spans="1:8" ht="12.75" x14ac:dyDescent="0.2">
      <c r="A37" s="312" t="str">
        <f>INDEX(LA!$A229:$J229,,Info!$A$5)</f>
        <v>Factors of safety</v>
      </c>
      <c r="B37" s="313"/>
      <c r="C37" s="314"/>
      <c r="D37" s="315" t="str">
        <f>$H$133</f>
        <v>permanent</v>
      </c>
      <c r="E37" s="315" t="str">
        <f>$H$134</f>
        <v>transient</v>
      </c>
      <c r="F37" s="315" t="str">
        <f>$H$135</f>
        <v>γ_c   [1]</v>
      </c>
      <c r="G37" s="315" t="str">
        <f>$H$136</f>
        <v>γ_s   [1]</v>
      </c>
    </row>
    <row r="38" spans="1:8" x14ac:dyDescent="0.2">
      <c r="A38" s="316" t="str">
        <f>INDEX(LA!$A230:$J230,,Info!$A$5)</f>
        <v>Design situation</v>
      </c>
      <c r="B38" s="298"/>
      <c r="C38" s="317"/>
      <c r="D38" s="157">
        <f>IF($A$4=1,1,IF(OR(D39="",D39=" "),INDEX($O$133:$O$136,$A$39,),D39))</f>
        <v>1.35</v>
      </c>
      <c r="E38" s="157">
        <f>IF($A$4=1,1,IF(OR(E39="",E39=" "),INDEX($V$133:$V$136,$A$39,),E39))</f>
        <v>1.5</v>
      </c>
      <c r="F38" s="157">
        <f>IF(OR(F39="",F39=" "),INDEX($AC$133:$AC$136,$A$39,),F39)</f>
        <v>1.5</v>
      </c>
      <c r="G38" s="157">
        <f>IF($A$4=1,$F$38,IF(OR(G39="",G39=" "),INDEX($AJ$133:$AJ$136,$A$39,),G39))</f>
        <v>1.1499999999999999</v>
      </c>
    </row>
    <row r="39" spans="1:8" ht="12.75" x14ac:dyDescent="0.2">
      <c r="A39" s="292">
        <v>1</v>
      </c>
      <c r="B39" s="318"/>
      <c r="C39" s="319"/>
      <c r="D39" s="305"/>
      <c r="E39" s="305"/>
      <c r="F39" s="305"/>
      <c r="G39" s="305"/>
    </row>
    <row r="41" spans="1:8" ht="12.75" x14ac:dyDescent="0.2">
      <c r="A41" s="320" t="str">
        <f>INDEX(LA!$A240:$J240,,Info!$A$5)</f>
        <v>Internal Forces</v>
      </c>
      <c r="B41" s="298"/>
      <c r="C41" s="298"/>
      <c r="D41" s="321" t="str">
        <f>D$37</f>
        <v>permanent</v>
      </c>
      <c r="E41" s="321" t="str">
        <f>E$37</f>
        <v>transient</v>
      </c>
      <c r="F41" s="459" t="str">
        <f>INDEX(LA!$A244:$J244,,Info!$A$5)</f>
        <v>design values</v>
      </c>
      <c r="G41" s="460"/>
      <c r="H41" s="308" t="str">
        <f>INDEX(LA!$A245:$J245,,Info!$A$5)</f>
        <v>characteristic</v>
      </c>
    </row>
    <row r="42" spans="1:8" x14ac:dyDescent="0.2">
      <c r="A42" s="322" t="str">
        <f>INDEX(LA!$A241:$J241,,Info!$A$5)</f>
        <v>Bending moment</v>
      </c>
      <c r="B42" s="313"/>
      <c r="C42" s="314" t="s">
        <v>594</v>
      </c>
      <c r="D42" s="152">
        <v>250</v>
      </c>
      <c r="E42" s="152">
        <v>150</v>
      </c>
      <c r="F42" s="304"/>
      <c r="G42" s="323">
        <f>IF(OR($F42="",$F42=" "),$D42*$D$38+$E42*E$38,$F42)</f>
        <v>562.5</v>
      </c>
      <c r="H42" s="323">
        <f>IF(OR($F42="",$F42=" "),$D42+$E42,$F42/$D$38)</f>
        <v>400</v>
      </c>
    </row>
    <row r="43" spans="1:8" x14ac:dyDescent="0.2">
      <c r="A43" s="322" t="str">
        <f>INDEX(LA!$A242:$J242,,Info!$A$5)</f>
        <v>Normal force</v>
      </c>
      <c r="B43" s="313"/>
      <c r="C43" s="314" t="s">
        <v>535</v>
      </c>
      <c r="D43" s="152">
        <v>-500</v>
      </c>
      <c r="E43" s="152">
        <v>-200</v>
      </c>
      <c r="F43" s="304"/>
      <c r="G43" s="323">
        <f>IF(OR($F43="",$F43=" "),$D43*$D$38+$E43*E$38,$F43)</f>
        <v>-975</v>
      </c>
      <c r="H43" s="323">
        <f>IF(OR($F43="",$F43=" "),$D43+$E43,$F43/$D$38)</f>
        <v>-700</v>
      </c>
    </row>
    <row r="44" spans="1:8" x14ac:dyDescent="0.2">
      <c r="A44" s="322" t="str">
        <f>INDEX(LA!$A243:$J243,,Info!$A$5)</f>
        <v>Shear force</v>
      </c>
      <c r="B44" s="313"/>
      <c r="C44" s="314" t="s">
        <v>536</v>
      </c>
      <c r="D44" s="152">
        <v>250</v>
      </c>
      <c r="E44" s="152">
        <v>100</v>
      </c>
      <c r="F44" s="304"/>
      <c r="G44" s="323">
        <f>IF(OR($F44="",$F44=" "),$D44*$D$38+$E44*E$38,$F44)</f>
        <v>487.5</v>
      </c>
      <c r="H44" s="323">
        <f>IF(OR($F44="",$F44=" "),$D44+$E44,$F44/$D$38)</f>
        <v>350</v>
      </c>
    </row>
    <row r="46" spans="1:8" ht="12.75" x14ac:dyDescent="0.2">
      <c r="A46" s="324" t="str">
        <f>INDEX(LA!$A246:$J246,,Info!$A$5)</f>
        <v>Longitudinal Reinforcement</v>
      </c>
      <c r="F46" s="291" t="str">
        <f>IF(AND($H$47&lt;0.000001,$H$48&lt;0.000001),INDEX(LA!$A257:$J257,,Info!$A$5),INDEX(LA!$A258:$J258,,Info!$A$5))</f>
        <v>working load (cracked concrete)</v>
      </c>
    </row>
    <row r="47" spans="1:8" ht="12.75" customHeight="1" x14ac:dyDescent="0.2">
      <c r="A47" s="439" t="str">
        <f>INDEX(LA!$A247:$J247,,Info!$A$5)</f>
        <v>ultimate strain of concrete    ε_c</v>
      </c>
      <c r="B47" s="440"/>
      <c r="C47" s="441"/>
      <c r="D47" s="325">
        <f>StB_K_MN($A$4-1,$F$38,$G$38,$G$42,$G$43,$H$42,$H$43,$A$9,$B$9,$C$53,$A$14,$B$14,$C$14/1000,$D$14/1000,$E$14,$F$14,$G$14,$A$20,$B$20,$C$20,$D$20/1000,$E$20,$E$17-1,11)</f>
        <v>-3.5000000000000001E-3</v>
      </c>
      <c r="F47" s="439" t="str">
        <f>INDEX(LA!$A259:$J259,,Info!$A$5)</f>
        <v>strain of concrete  ε_c</v>
      </c>
      <c r="G47" s="445"/>
      <c r="H47" s="326">
        <f>StB_K_MN($A$4-1,$F$38,$G$38,$G$42,$G$43,$H$42,$H$43,$A$9,$B$9,$C$53,$A$14,$B$14,$C$14/1000,$D$14/1000,$E$14,$F$14,$G$14,$A$20,$B$20,$C$20,$D$20/1000,$E$20,$E$17-1,21)</f>
        <v>-5.6701314449310314E-4</v>
      </c>
    </row>
    <row r="48" spans="1:8" x14ac:dyDescent="0.2">
      <c r="A48" s="442"/>
      <c r="B48" s="443"/>
      <c r="C48" s="444"/>
      <c r="D48" s="327">
        <f>StB_K_MN($A$4-1,$F$38,$G$38,$G$42,$G$43,$H$42,$H$43,$A$9,$B$9,$C$53,$A$14,$B$14,$C$14/1000,$D$14/1000,$E$14,$F$14,$G$14,$A$20,$B$20,$C$20,$D$20/1000,$E$20,$E$17-1,12)</f>
        <v>5.2232893414549458E-3</v>
      </c>
      <c r="F48" s="446"/>
      <c r="G48" s="447"/>
      <c r="H48" s="328">
        <f>StB_K_MN($A$4-1,$F$38,$G$38,$G$42,$G$43,$H$42,$H$43,$A$9,$B$9,$C$53,$A$14,$B$14,$C$14/1000,$D$14/1000,$E$14,$F$14,$G$14,$A$20,$B$20,$C$20,$D$20/1000,$E$20,$E$17-1,22)</f>
        <v>9.6817597441519463E-4</v>
      </c>
    </row>
    <row r="49" spans="1:8" ht="12" customHeight="1" x14ac:dyDescent="0.2">
      <c r="A49" s="439" t="str">
        <f>INDEX(LA!$A248:$J248,,Info!$A$5)</f>
        <v>ultimate strain of steel         ε_s</v>
      </c>
      <c r="B49" s="440"/>
      <c r="C49" s="441"/>
      <c r="D49" s="325">
        <f>StB_K_MN($A$4-1,$F$38,$G$38,$G$42,$G$43,$H$42,$H$43,$A$9,$B$9,$C$53,$A$14,$B$14,$C$14/1000,$D$14/1000,$E$14,$F$14,$G$14,$A$20,$B$20,$C$20,$D$20/1000,$E$20,$E$17-1,14)</f>
        <v>-2.4591529763036712E-3</v>
      </c>
      <c r="F49" s="439" t="str">
        <f>INDEX(LA!$A260:$J260,,Info!$A$5)</f>
        <v>strain of steel       ε_s</v>
      </c>
      <c r="G49" s="445"/>
      <c r="H49" s="326">
        <f>StB_K_MN($A$4-1,$F$38,$G$38,$G$42,$G$43,$H$42,$H$43,$A$9,$B$9,$C$53,$A$14,$B$14,$C$14/1000,$D$14/1000,$E$14,$F$14,$G$14,$A$20,$B$20,$C$20,$D$20/1000,$E$20,$E$17-1,24)</f>
        <v>-3.8383717007790851E-4</v>
      </c>
    </row>
    <row r="50" spans="1:8" ht="12" customHeight="1" x14ac:dyDescent="0.2">
      <c r="A50" s="442"/>
      <c r="B50" s="443"/>
      <c r="C50" s="444"/>
      <c r="D50" s="327">
        <f>StB_K_MN($A$4-1,$F$38,$G$38,$G$42,$G$43,$H$42,$H$43,$A$9,$B$9,$C$53,$A$14,$B$14,$C$14/1000,$D$14/1000,$E$14,$F$14,$G$14,$A$20,$B$20,$C$20,$D$20/1000,$E$20,$E$17-1,13)</f>
        <v>4.1824423177586169E-3</v>
      </c>
      <c r="F50" s="446"/>
      <c r="G50" s="447"/>
      <c r="H50" s="328">
        <f>StB_K_MN($A$4-1,$F$38,$G$38,$G$42,$G$43,$H$42,$H$43,$A$9,$B$9,$C$53,$A$14,$B$14,$C$14/1000,$D$14/1000,$E$14,$F$14,$G$14,$A$20,$B$20,$C$20,$D$20/1000,$E$20,$E$17-1,23)</f>
        <v>7.85E-4</v>
      </c>
    </row>
    <row r="51" spans="1:8" x14ac:dyDescent="0.2">
      <c r="A51" s="448" t="str">
        <f>INDEX(LA!$A249:$J249,,Info!$A$5)</f>
        <v>internal forces</v>
      </c>
      <c r="B51" s="449"/>
      <c r="C51" s="329" t="str">
        <f>INDEX(LA!$A250:$J250,,Info!$A$5)</f>
        <v>R_Md  [kNm]</v>
      </c>
      <c r="D51" s="330">
        <f>StB_K_MN($A$4-1,$F$38,$G$38,$G$42,$G$43,$H$42,$H$43,$A$9,$B$9,$C$53,$A$14,$B$14,$C$14/1000,$D$14/1000,$E$14,$F$14,$G$14,$A$20,$B$20,$C$20,$D$20/1000,$E$20,$E$17-1,15)</f>
        <v>1111.9223012723814</v>
      </c>
      <c r="F51" s="448" t="str">
        <f>INDEX(LA!$A249:$J249,,Info!$A$5)</f>
        <v>internal forces</v>
      </c>
      <c r="G51" s="299" t="str">
        <f>INDEX(LA!$A261:$J261,,Info!$A$5)</f>
        <v>R_Mk  [kNm]</v>
      </c>
      <c r="H51" s="330">
        <f>StB_K_MN($A$4-1,$F$38,$G$38,$G$42,$G$43,$H$42,$H$43,$A$9,$B$9,$C$53,$A$14,$B$14,$C$14/1000,$D$14/1000,$E$14,$F$14,$G$14,$A$20,$B$20,$C$20,$D$20/1000,$E$20,$E$17-1,25)</f>
        <v>399.99991727118493</v>
      </c>
    </row>
    <row r="52" spans="1:8" x14ac:dyDescent="0.2">
      <c r="A52" s="450"/>
      <c r="B52" s="451"/>
      <c r="C52" s="331" t="str">
        <f>INDEX(LA!$A251:$J251,,Info!$A$5)</f>
        <v>R_Nd   [kN]</v>
      </c>
      <c r="D52" s="332">
        <f>StB_K_MN($A$4-1,$F$38,$G$38,$G$42,$G$43,$H$42,$H$43,$A$9,$B$9,$C$53,$A$14,$B$14,$C$14/1000,$D$14/1000,$E$14,$F$14,$G$14,$A$20,$B$20,$C$20,$D$20/1000,$E$20,$E$17-1,16)</f>
        <v>-1927.3235563418677</v>
      </c>
      <c r="F52" s="450"/>
      <c r="G52" s="333" t="str">
        <f>INDEX(LA!$A262:$J262,,Info!$A$5)</f>
        <v>R_Nk   [kN]</v>
      </c>
      <c r="H52" s="332">
        <f>StB_K_MN($A$4-1,$F$38,$G$38,$G$42,$G$43,$H$42,$H$43,$A$9,$B$9,$C$53,$A$14,$B$14,$C$14/1000,$D$14/1000,$E$14,$F$14,$G$14,$A$20,$B$20,$C$20,$D$20/1000,$E$20,$E$17-1,26)</f>
        <v>-699.99456835757769</v>
      </c>
    </row>
    <row r="53" spans="1:8" x14ac:dyDescent="0.2">
      <c r="A53" s="435" t="str">
        <f>INDEX(LA!$A252:$J252,,Info!$A$5)</f>
        <v>reinforce.  A_s  [cm²]</v>
      </c>
      <c r="B53" s="437"/>
      <c r="C53" s="303"/>
      <c r="D53" s="188">
        <f>StB_K_MN($A$4-1,$F$38,$G$38,$G$42,$G$43,$H$42,$H$43,$A$9,$B$9,$C$53,$A$14,$B$14,$C$14/1000,$D$14/1000,$E$14,$F$14,$G$14,$A$20,$B$20,$C$20,$D$20/1000,$E$20,$E$17-1,17)</f>
        <v>59.527905092124023</v>
      </c>
      <c r="F53" s="439" t="str">
        <f>INDEX(LA!$A263:$J263,,Info!$A$5)</f>
        <v>reinforce. stress σs [MPa]</v>
      </c>
      <c r="G53" s="445"/>
      <c r="H53" s="330">
        <f>StB_K_MN($A$4-1,$F$38,$G$38,$G$42,$G$43,$H$42,$H$43,$A$9,$B$9,$C$53,$A$14,$B$14,$C$14/1000,$D$14/1000,$E$14,$F$14,$G$14,$A$20,$B$20,$C$20,$D$20/1000,$E$20,$E$17-1,28)</f>
        <v>-76.767434015581699</v>
      </c>
    </row>
    <row r="54" spans="1:8" x14ac:dyDescent="0.2">
      <c r="A54" s="435" t="str">
        <f>IF($H$79=0,INDEX(LA!$A255:$J255,,Info!$A$5),INDEX(LA!$A256:$J256,,Info!$A$5))</f>
        <v>utilization   =   req. A_s / A_s</v>
      </c>
      <c r="B54" s="436"/>
      <c r="C54" s="437"/>
      <c r="D54" s="157">
        <f>StB_K_MN($A$4-1,$F$38,$G$38,$G$42,$G$43,$H$42,$H$43,$A$9,$B$9,$C$53,$A$14,$B$14,$C$14/1000,$D$14/1000,$E$14,$F$14,$G$14,$A$20,$B$20,$C$20,$D$20/1000,$E$20,$E$17-1,19)</f>
        <v>0.31850699844479008</v>
      </c>
      <c r="F54" s="446"/>
      <c r="G54" s="447"/>
      <c r="H54" s="332">
        <f>StB_K_MN($A$4-1,$F$38,$G$38,$G$42,$G$43,$H$42,$H$43,$A$9,$B$9,$C$53,$A$14,$B$14,$C$14/1000,$D$14/1000,$E$14,$F$14,$G$14,$A$20,$B$20,$C$20,$D$20/1000,$E$20,$E$17-1,27)</f>
        <v>157</v>
      </c>
    </row>
    <row r="56" spans="1:8" ht="12.75" x14ac:dyDescent="0.2">
      <c r="A56" s="324" t="str">
        <f>INDEX(LA!$A264:$J264,,Info!$A$5)</f>
        <v>Shear Reinforcement</v>
      </c>
    </row>
    <row r="57" spans="1:8" x14ac:dyDescent="0.2">
      <c r="A57" s="435" t="str">
        <f>INDEX(LA!$A265:$J265,,Info!$A$5)</f>
        <v>internal force  /  lever arm</v>
      </c>
      <c r="B57" s="437"/>
      <c r="C57" s="315" t="str">
        <f>INDEX(LA!$A266:$J266,,Info!$A$5)</f>
        <v>[kN]</v>
      </c>
      <c r="D57" s="315" t="str">
        <f>INDEX(LA!$A267:$J267,,Info!$A$5)</f>
        <v>[mm]</v>
      </c>
      <c r="F57" s="435" t="str">
        <f>$A101</f>
        <v>min. a_s     [cm²/m]</v>
      </c>
      <c r="G57" s="437"/>
      <c r="H57" s="334">
        <f>StB_K_Q($A$4-1,$F$38,$G$38,$G$42,$G$43,$G$44,$A$9,$B$9,$D$53,$A$14,$B$14,$C$14/1000,$D$14/1000,$E$14,$F$14,$G$14,$A$20,$B$20,$C$20,$D$20/1000,$F$62,$G$62,$H$62,20)</f>
        <v>6.4011624898698374</v>
      </c>
    </row>
    <row r="58" spans="1:8" x14ac:dyDescent="0.2">
      <c r="A58" s="435" t="str">
        <f>INDEX(LA!$A268:$J268,,Info!$A$5)</f>
        <v>compress. concrete C_cu</v>
      </c>
      <c r="B58" s="437"/>
      <c r="C58" s="323">
        <f>StB_K_Q($A$4-1,$F$38,$G$38,$G$42,$G$43,$G$44,$A$9,$B$9,$D$53,$A$14,$B$14,$C$14/1000,$D$14/1000,$E$14,$F$14,$G$14,$A$20,$B$20,$C$20,$D$20/1000,$F$62,$G$62,$H$62,11)</f>
        <v>-2439.1209524991614</v>
      </c>
      <c r="D58" s="323">
        <f>StB_K_Q($A$4-1,$F$38,$G$38,$G$42,$G$43,$G$44,$A$9,$B$9,$D$53,$A$14,$B$14,$C$14/1000,$D$14/1000,$E$14,$F$14,$G$14,$A$20,$B$20,$C$20,$D$20/1000,$F$62,$G$62,$H$62,12)</f>
        <v>-266.54106029947314</v>
      </c>
    </row>
    <row r="59" spans="1:8" x14ac:dyDescent="0.2">
      <c r="A59" s="435" t="str">
        <f>INDEX(LA!$A269:$J269,,Info!$A$5)</f>
        <v>compress. reinf.      C_su</v>
      </c>
      <c r="B59" s="437"/>
      <c r="C59" s="323">
        <f>StB_K_Q($A$4-1,$F$38,$G$38,$G$42,$G$43,$G$44,$A$9,$B$9,$D$53,$A$14,$B$14,$C$14/1000,$D$14/1000,$E$14,$F$14,$G$14,$A$20,$B$20,$C$20,$D$20/1000,$F$62,$G$62,$H$62,15)</f>
        <v>-685.35407036985146</v>
      </c>
      <c r="D59" s="323">
        <f>StB_K_Q($A$4-1,$F$38,$G$38,$G$42,$G$43,$G$44,$A$9,$B$9,$D$53,$A$14,$B$14,$C$14/1000,$D$14/1000,$E$14,$F$14,$G$14,$A$20,$B$20,$C$20,$D$20/1000,$F$62,$G$62,$H$62,16)</f>
        <v>-282.89448271858436</v>
      </c>
      <c r="F59" s="321" t="str">
        <f>$A102</f>
        <v>V_Rdc</v>
      </c>
      <c r="G59" s="321" t="str">
        <f>$A104</f>
        <v>V_Rdmax</v>
      </c>
      <c r="H59" s="321" t="str">
        <f>$A106</f>
        <v>cot(θ)</v>
      </c>
    </row>
    <row r="60" spans="1:8" x14ac:dyDescent="0.2">
      <c r="A60" s="435" t="str">
        <f>INDEX(LA!$A270:$J270,,Info!$A$5)</f>
        <v>tension reinforce.     T_su</v>
      </c>
      <c r="B60" s="437"/>
      <c r="C60" s="323">
        <f>StB_K_Q($A$4-1,$F$38,$G$38,$G$42,$G$43,$G$44,$A$9,$B$9,$D$53,$A$14,$B$14,$C$14/1000,$D$14/1000,$E$14,$F$14,$G$14,$A$20,$B$20,$C$20,$D$20/1000,$F$62,$G$62,$H$62,13)</f>
        <v>1197.151466527145</v>
      </c>
      <c r="D60" s="323">
        <f>StB_K_Q($A$4-1,$F$38,$G$38,$G$42,$G$43,$G$44,$A$9,$B$9,$D$53,$A$14,$B$14,$C$14/1000,$D$14/1000,$E$14,$F$14,$G$14,$A$20,$B$20,$C$20,$D$20/1000,$F$62,$G$62,$H$62,14)</f>
        <v>223.79250969423074</v>
      </c>
      <c r="F60" s="294" t="str">
        <f>$A103</f>
        <v>[kN]</v>
      </c>
      <c r="G60" s="294" t="str">
        <f>$A105</f>
        <v>[kN]</v>
      </c>
      <c r="H60" s="294" t="str">
        <f>$A107</f>
        <v>[1]</v>
      </c>
    </row>
    <row r="61" spans="1:8" x14ac:dyDescent="0.2">
      <c r="A61" s="435" t="str">
        <f>INDEX(LA!$A271:$J271,,Info!$A$5)</f>
        <v>couple of forces</v>
      </c>
      <c r="B61" s="437"/>
      <c r="C61" s="330">
        <f>StB_K_Q($A$4-1,$F$38,$G$38,$G$42,$G$43,$G$44,$A$9,$B$9,$D$53,$A$14,$B$14,$C$14/1000,$D$14/1000,$E$14,$F$14,$G$14,$A$20,$B$20,$C$20,$D$20/1000,$F$62,$G$62,$H$62,17)</f>
        <v>1197.151466527145</v>
      </c>
      <c r="D61" s="323">
        <f>StB_K_Q($A$4-1,$F$38,$G$38,$G$42,$G$43,$G$44,$A$9,$B$9,$D$53,$A$14,$B$14,$C$14/1000,$D$14/1000,$E$14,$F$14,$G$14,$A$20,$B$20,$C$20,$D$20/1000,$F$62,$G$62,$H$62,18)</f>
        <v>493.92069568278174</v>
      </c>
      <c r="F61" s="334">
        <f>StB_K_Q($A$4-1,$F$38,$G$38,$G$42,$G$43,$G$44,$A$9,$B$9,$D$53,$A$14,$B$14,$C$14/1000,$D$14/1000,$E$14,$F$14,$G$14,$A$20,$B$20,$C$20,$D$20/1000,$F$62,$G$62,$H$62,21)</f>
        <v>297.79478837083366</v>
      </c>
      <c r="G61" s="334">
        <f>StB_K_Q($A$4-1,$F$38,$G$38,$G$42,$G$43,$G$44,$A$9,$B$9,$D$53,$A$14,$B$14,$C$14/1000,$D$14/1000,$E$14,$F$14,$G$14,$A$20,$B$20,$C$20,$D$20/1000,$F$62,$G$62,$H$62,22)</f>
        <v>1557.8995254423482</v>
      </c>
      <c r="H61" s="334">
        <f>StB_K_Q($A$4-1,$F$38,$G$38,$G$42,$G$43,$G$44,$A$9,$B$9,$D$53,$A$14,$B$14,$C$14/1000,$D$14/1000,$E$14,$F$14,$G$14,$A$20,$B$20,$C$20,$D$20/1000,$F$62,$G$62,$H$62,23)</f>
        <v>2.8838637204402802</v>
      </c>
    </row>
    <row r="62" spans="1:8" x14ac:dyDescent="0.2">
      <c r="A62" s="435" t="str">
        <f>INDEX(LA!$A272:$J272,,Info!$A$5)</f>
        <v>shear reinforce.   req. a_s [cm²/m]</v>
      </c>
      <c r="B62" s="436"/>
      <c r="C62" s="437"/>
      <c r="D62" s="157">
        <f>StB_K_Q($A$4-1,$F$38,$G$38,$G$42,$G$43,$G$44,$A$9,$B$9,$D$53,$A$14,$B$14,$C$14/1000,$D$14/1000,$E$14,$F$14,$G$14,$A$20,$B$20,$C$20,$D$20/1000,$F$62,$G$62,$H$62,19)</f>
        <v>6.4011624898698374</v>
      </c>
      <c r="F62" s="305"/>
      <c r="G62" s="305"/>
      <c r="H62" s="305"/>
    </row>
    <row r="70" spans="1:8" x14ac:dyDescent="0.2">
      <c r="A70" s="291" t="s">
        <v>378</v>
      </c>
    </row>
    <row r="71" spans="1:8" x14ac:dyDescent="0.2">
      <c r="A71" s="291" t="s">
        <v>632</v>
      </c>
      <c r="B71" s="335" t="s">
        <v>634</v>
      </c>
    </row>
    <row r="72" spans="1:8" x14ac:dyDescent="0.2">
      <c r="A72" s="291" t="s">
        <v>633</v>
      </c>
      <c r="B72" s="335" t="s">
        <v>634</v>
      </c>
    </row>
    <row r="73" spans="1:8" x14ac:dyDescent="0.2">
      <c r="A73" s="336" t="s">
        <v>593</v>
      </c>
      <c r="B73" s="335" t="s">
        <v>580</v>
      </c>
    </row>
    <row r="74" spans="1:8" x14ac:dyDescent="0.2">
      <c r="A74" s="336" t="s">
        <v>396</v>
      </c>
      <c r="B74" s="291" t="s">
        <v>642</v>
      </c>
    </row>
    <row r="77" spans="1:8" x14ac:dyDescent="0.2">
      <c r="A77" s="336"/>
    </row>
    <row r="78" spans="1:8" x14ac:dyDescent="0.2">
      <c r="A78" s="337" t="s">
        <v>512</v>
      </c>
      <c r="H78" s="337" t="s">
        <v>686</v>
      </c>
    </row>
    <row r="79" spans="1:8" x14ac:dyDescent="0.2">
      <c r="A79" s="338">
        <v>1</v>
      </c>
      <c r="B79" s="364" t="str">
        <f>INDEX(LA!$A163:$J163,,Info!$A$5)</f>
        <v>DIN 1045:1988</v>
      </c>
      <c r="C79" s="313"/>
      <c r="D79" s="313"/>
      <c r="E79" s="314"/>
      <c r="H79" s="338">
        <f>IF(AND($D$49="",$D$50=""),0,1)</f>
        <v>1</v>
      </c>
    </row>
    <row r="80" spans="1:8" x14ac:dyDescent="0.2">
      <c r="A80" s="338">
        <v>2</v>
      </c>
      <c r="B80" s="364" t="str">
        <f>INDEX(LA!$A164:$J164,,Info!$A$5)</f>
        <v>DIN 1045:2008</v>
      </c>
      <c r="C80" s="313"/>
      <c r="D80" s="313"/>
      <c r="E80" s="314"/>
    </row>
    <row r="81" spans="1:13" x14ac:dyDescent="0.2">
      <c r="A81" s="338">
        <v>3</v>
      </c>
      <c r="B81" s="364" t="str">
        <f>INDEX(LA!$A165:$J165,,Info!$A$5)</f>
        <v>EN 1992-1-1:2004  (Eurocode 2)</v>
      </c>
      <c r="C81" s="313"/>
      <c r="D81" s="313"/>
      <c r="E81" s="314"/>
    </row>
    <row r="82" spans="1:13" x14ac:dyDescent="0.2">
      <c r="A82" s="338">
        <v>4</v>
      </c>
      <c r="B82" s="364" t="str">
        <f>INDEX(LA!$A166:$J166,,Info!$A$5)</f>
        <v>DIN EN 1992-1-1:2004 + AC:2010 + NA:2011</v>
      </c>
      <c r="C82" s="313"/>
      <c r="D82" s="313"/>
      <c r="E82" s="314"/>
    </row>
    <row r="83" spans="1:13" x14ac:dyDescent="0.2">
      <c r="A83" s="338">
        <v>5</v>
      </c>
      <c r="B83" s="364" t="str">
        <f>INDEX(LA!$A167:$J167,,Info!$A$5)</f>
        <v/>
      </c>
      <c r="C83" s="313"/>
      <c r="D83" s="313"/>
      <c r="E83" s="314"/>
    </row>
    <row r="85" spans="1:13" x14ac:dyDescent="0.2">
      <c r="A85" s="337" t="str">
        <f>B11</f>
        <v>Concrete</v>
      </c>
      <c r="B85" s="337">
        <v>1</v>
      </c>
      <c r="C85" s="337">
        <v>2</v>
      </c>
      <c r="D85" s="337">
        <v>3</v>
      </c>
      <c r="E85" s="337">
        <v>4</v>
      </c>
      <c r="F85" s="337">
        <v>5</v>
      </c>
      <c r="H85" s="337" t="str">
        <f>B17</f>
        <v>Reinforcement</v>
      </c>
      <c r="I85" s="337">
        <v>1</v>
      </c>
      <c r="J85" s="337">
        <v>2</v>
      </c>
      <c r="K85" s="337">
        <v>3</v>
      </c>
      <c r="L85" s="337">
        <v>4</v>
      </c>
      <c r="M85" s="337">
        <v>5</v>
      </c>
    </row>
    <row r="86" spans="1:13" x14ac:dyDescent="0.2">
      <c r="A86" s="339" t="str">
        <f>INDEX(B86:F86,,$A$4)</f>
        <v>cylinder str.</v>
      </c>
      <c r="B86" s="365" t="str">
        <f>INDEX(LA!$A185:$J185,,Info!$A$5)</f>
        <v>cube strength</v>
      </c>
      <c r="C86" s="365" t="str">
        <f>INDEX(LA!$A187:$J187,,Info!$A$5)</f>
        <v>cylinder str.</v>
      </c>
      <c r="D86" s="365" t="str">
        <f>INDEX(LA!$A187:$J187,,Info!$A$5)</f>
        <v>cylinder str.</v>
      </c>
      <c r="E86" s="365" t="str">
        <f>INDEX(LA!$A187:$J187,,Info!$A$5)</f>
        <v>cylinder str.</v>
      </c>
      <c r="F86" s="365" t="str">
        <f>""</f>
        <v/>
      </c>
      <c r="H86" s="339" t="str">
        <f>INDEX(I86:M86,,$A$4)</f>
        <v>yield stress</v>
      </c>
      <c r="I86" s="365" t="str">
        <f>INDEX(LA!$A209:$J209,,Info!$A$5)</f>
        <v>yield stress</v>
      </c>
      <c r="J86" s="365" t="str">
        <f>INDEX(LA!$A209:$J209,,Info!$A$5)</f>
        <v>yield stress</v>
      </c>
      <c r="K86" s="365" t="str">
        <f>INDEX(LA!$A209:$J209,,Info!$A$5)</f>
        <v>yield stress</v>
      </c>
      <c r="L86" s="365" t="str">
        <f>INDEX(LA!$A209:$J209,,Info!$A$5)</f>
        <v>yield stress</v>
      </c>
      <c r="M86" s="365" t="str">
        <f>""</f>
        <v/>
      </c>
    </row>
    <row r="87" spans="1:13" x14ac:dyDescent="0.2">
      <c r="A87" s="340" t="str">
        <f t="shared" ref="A87:A107" si="0">INDEX(B87:F87,,$A$4)</f>
        <v>f_ck [MPa]</v>
      </c>
      <c r="B87" s="366" t="str">
        <f>INDEX(LA!$A186:$J186,,Info!$A$5)</f>
        <v>β_WN [MPa]</v>
      </c>
      <c r="C87" s="366" t="str">
        <f>INDEX(LA!$A188:$J188,,Info!$A$5)</f>
        <v>f_ck [MPa]</v>
      </c>
      <c r="D87" s="366" t="str">
        <f>INDEX(LA!$A188:$J188,,Info!$A$5)</f>
        <v>f_ck [MPa]</v>
      </c>
      <c r="E87" s="366" t="str">
        <f>INDEX(LA!$A188:$J188,,Info!$A$5)</f>
        <v>f_ck [MPa]</v>
      </c>
      <c r="F87" s="366" t="str">
        <f>""</f>
        <v/>
      </c>
      <c r="H87" s="340" t="str">
        <f t="shared" ref="H87:H98" si="1">INDEX(I87:M87,,$A$4)</f>
        <v>f_yk  [MPa]</v>
      </c>
      <c r="I87" s="366" t="str">
        <f>INDEX(LA!$A210:$J210,,Info!$A$5)</f>
        <v>f_yk  [MPa]</v>
      </c>
      <c r="J87" s="366" t="str">
        <f>INDEX(LA!$A210:$J210,,Info!$A$5)</f>
        <v>f_yk  [MPa]</v>
      </c>
      <c r="K87" s="366" t="str">
        <f>INDEX(LA!$A210:$J210,,Info!$A$5)</f>
        <v>f_yk  [MPa]</v>
      </c>
      <c r="L87" s="366" t="str">
        <f>INDEX(LA!$A210:$J210,,Info!$A$5)</f>
        <v>f_yk  [MPa]</v>
      </c>
      <c r="M87" s="366" t="str">
        <f>""</f>
        <v/>
      </c>
    </row>
    <row r="88" spans="1:13" x14ac:dyDescent="0.2">
      <c r="A88" s="340" t="str">
        <f t="shared" si="0"/>
        <v>reduct.factor</v>
      </c>
      <c r="B88" s="366" t="str">
        <f>INDEX(LA!$A189:$J189,,Info!$A$5)</f>
        <v>reduct.factor</v>
      </c>
      <c r="C88" s="366" t="str">
        <f>INDEX(LA!$A189:$J189,,Info!$A$5)</f>
        <v>reduct.factor</v>
      </c>
      <c r="D88" s="366" t="str">
        <f>INDEX(LA!$A189:$J189,,Info!$A$5)</f>
        <v>reduct.factor</v>
      </c>
      <c r="E88" s="366" t="str">
        <f>INDEX(LA!$A189:$J189,,Info!$A$5)</f>
        <v>reduct.factor</v>
      </c>
      <c r="F88" s="366" t="str">
        <f>""</f>
        <v/>
      </c>
      <c r="H88" s="340" t="str">
        <f t="shared" si="1"/>
        <v>tens.strength</v>
      </c>
      <c r="I88" s="366" t="str">
        <f>INDEX(LA!$A211:$J211,,Info!$A$5)</f>
        <v>tens.strength</v>
      </c>
      <c r="J88" s="366" t="str">
        <f>INDEX(LA!$A211:$J211,,Info!$A$5)</f>
        <v>tens.strength</v>
      </c>
      <c r="K88" s="366" t="str">
        <f>INDEX(LA!$A211:$J211,,Info!$A$5)</f>
        <v>tens.strength</v>
      </c>
      <c r="L88" s="366" t="str">
        <f>INDEX(LA!$A211:$J211,,Info!$A$5)</f>
        <v>tens.strength</v>
      </c>
      <c r="M88" s="366" t="str">
        <f>""</f>
        <v/>
      </c>
    </row>
    <row r="89" spans="1:13" x14ac:dyDescent="0.2">
      <c r="A89" s="340" t="str">
        <f t="shared" si="0"/>
        <v>α   [1]</v>
      </c>
      <c r="B89" s="366" t="str">
        <f>INDEX(LA!$A190:$J190,,Info!$A$5)</f>
        <v>α   [1]</v>
      </c>
      <c r="C89" s="366" t="str">
        <f>INDEX(LA!$A190:$J190,,Info!$A$5)</f>
        <v>α   [1]</v>
      </c>
      <c r="D89" s="366" t="str">
        <f>INDEX(LA!$A190:$J190,,Info!$A$5)</f>
        <v>α   [1]</v>
      </c>
      <c r="E89" s="366" t="str">
        <f>INDEX(LA!$A190:$J190,,Info!$A$5)</f>
        <v>α   [1]</v>
      </c>
      <c r="F89" s="366" t="str">
        <f>""</f>
        <v/>
      </c>
      <c r="H89" s="340" t="str">
        <f t="shared" si="1"/>
        <v>f_tk  [MPa]</v>
      </c>
      <c r="I89" s="366" t="str">
        <f>INDEX(LA!$A212:$J212,,Info!$A$5)</f>
        <v>f_tk  [MPa]</v>
      </c>
      <c r="J89" s="366" t="str">
        <f>INDEX(LA!$A212:$J212,,Info!$A$5)</f>
        <v>f_tk  [MPa]</v>
      </c>
      <c r="K89" s="366" t="str">
        <f>INDEX(LA!$A212:$J212,,Info!$A$5)</f>
        <v>f_tk  [MPa]</v>
      </c>
      <c r="L89" s="366" t="str">
        <f>INDEX(LA!$A212:$J212,,Info!$A$5)</f>
        <v>f_tk  [MPa]</v>
      </c>
      <c r="M89" s="366" t="str">
        <f>""</f>
        <v/>
      </c>
    </row>
    <row r="90" spans="1:13" x14ac:dyDescent="0.2">
      <c r="A90" s="340" t="str">
        <f t="shared" si="0"/>
        <v>stress-strain curve</v>
      </c>
      <c r="B90" s="366" t="str">
        <f>INDEX(LA!$A191:$J191,,Info!$A$5)</f>
        <v>stress-strain curve</v>
      </c>
      <c r="C90" s="366" t="str">
        <f>INDEX(LA!$A191:$J191,,Info!$A$5)</f>
        <v>stress-strain curve</v>
      </c>
      <c r="D90" s="366" t="str">
        <f>INDEX(LA!$A191:$J191,,Info!$A$5)</f>
        <v>stress-strain curve</v>
      </c>
      <c r="E90" s="366" t="str">
        <f>INDEX(LA!$A191:$J191,,Info!$A$5)</f>
        <v>stress-strain curve</v>
      </c>
      <c r="F90" s="366" t="str">
        <f>""</f>
        <v/>
      </c>
      <c r="H90" s="340" t="str">
        <f t="shared" si="1"/>
        <v>Young's m.</v>
      </c>
      <c r="I90" s="366" t="str">
        <f>INDEX(LA!$A213:$J213,,Info!$A$5)</f>
        <v>Young's m.</v>
      </c>
      <c r="J90" s="366" t="str">
        <f>INDEX(LA!$A213:$J213,,Info!$A$5)</f>
        <v>Young's m.</v>
      </c>
      <c r="K90" s="366" t="str">
        <f>INDEX(LA!$A213:$J213,,Info!$A$5)</f>
        <v>Young's m.</v>
      </c>
      <c r="L90" s="366" t="str">
        <f>INDEX(LA!$A213:$J213,,Info!$A$5)</f>
        <v>Young's m.</v>
      </c>
      <c r="M90" s="366" t="str">
        <f>""</f>
        <v/>
      </c>
    </row>
    <row r="91" spans="1:13" x14ac:dyDescent="0.2">
      <c r="A91" s="340" t="str">
        <f t="shared" si="0"/>
        <v>ε_c2  [‰]</v>
      </c>
      <c r="B91" s="366" t="str">
        <f>INDEX(LA!$A192:$J192,,Info!$A$5)</f>
        <v>ε_c2  [‰]</v>
      </c>
      <c r="C91" s="366" t="str">
        <f>INDEX(LA!$A192:$J192,,Info!$A$5)</f>
        <v>ε_c2  [‰]</v>
      </c>
      <c r="D91" s="366" t="str">
        <f>INDEX(LA!$A192:$J192,,Info!$A$5)</f>
        <v>ε_c2  [‰]</v>
      </c>
      <c r="E91" s="366" t="str">
        <f>INDEX(LA!$A192:$J192,,Info!$A$5)</f>
        <v>ε_c2  [‰]</v>
      </c>
      <c r="F91" s="366" t="str">
        <f>""</f>
        <v/>
      </c>
      <c r="H91" s="340" t="str">
        <f t="shared" si="1"/>
        <v>E  [MPa]</v>
      </c>
      <c r="I91" s="366" t="str">
        <f>INDEX(LA!$A214:$J214,,Info!$A$5)</f>
        <v>E  [MPa]</v>
      </c>
      <c r="J91" s="366" t="str">
        <f>INDEX(LA!$A214:$J214,,Info!$A$5)</f>
        <v>E  [MPa]</v>
      </c>
      <c r="K91" s="366" t="str">
        <f>INDEX(LA!$A214:$J214,,Info!$A$5)</f>
        <v>E  [MPa]</v>
      </c>
      <c r="L91" s="366" t="str">
        <f>INDEX(LA!$A214:$J214,,Info!$A$5)</f>
        <v>E  [MPa]</v>
      </c>
      <c r="M91" s="366" t="str">
        <f>""</f>
        <v/>
      </c>
    </row>
    <row r="92" spans="1:13" x14ac:dyDescent="0.2">
      <c r="A92" s="340" t="str">
        <f t="shared" si="0"/>
        <v>ε_c2u [‰]</v>
      </c>
      <c r="B92" s="366" t="str">
        <f>INDEX(LA!$A193:$J193,,Info!$A$5)</f>
        <v>ε_c2u [‰]</v>
      </c>
      <c r="C92" s="366" t="str">
        <f>INDEX(LA!$A193:$J193,,Info!$A$5)</f>
        <v>ε_c2u [‰]</v>
      </c>
      <c r="D92" s="366" t="str">
        <f>INDEX(LA!$A193:$J193,,Info!$A$5)</f>
        <v>ε_c2u [‰]</v>
      </c>
      <c r="E92" s="366" t="str">
        <f>INDEX(LA!$A193:$J193,,Info!$A$5)</f>
        <v>ε_c2u [‰]</v>
      </c>
      <c r="F92" s="366" t="str">
        <f>""</f>
        <v/>
      </c>
      <c r="H92" s="340" t="str">
        <f t="shared" si="1"/>
        <v>max. strain</v>
      </c>
      <c r="I92" s="366" t="str">
        <f>INDEX(LA!$A215:$J215,,Info!$A$5)</f>
        <v>max. strain</v>
      </c>
      <c r="J92" s="366" t="str">
        <f>INDEX(LA!$A215:$J215,,Info!$A$5)</f>
        <v>max. strain</v>
      </c>
      <c r="K92" s="366" t="str">
        <f>INDEX(LA!$A215:$J215,,Info!$A$5)</f>
        <v>max. strain</v>
      </c>
      <c r="L92" s="366" t="str">
        <f>INDEX(LA!$A215:$J215,,Info!$A$5)</f>
        <v>max. strain</v>
      </c>
      <c r="M92" s="366" t="str">
        <f>""</f>
        <v/>
      </c>
    </row>
    <row r="93" spans="1:13" x14ac:dyDescent="0.2">
      <c r="A93" s="340" t="str">
        <f t="shared" si="0"/>
        <v>exp. [1]</v>
      </c>
      <c r="B93" s="366" t="str">
        <f>INDEX(LA!$A194:$J194,,Info!$A$5)</f>
        <v>exp. [1]</v>
      </c>
      <c r="C93" s="366" t="str">
        <f>INDEX(LA!$A194:$J194,,Info!$A$5)</f>
        <v>exp. [1]</v>
      </c>
      <c r="D93" s="366" t="str">
        <f>INDEX(LA!$A194:$J194,,Info!$A$5)</f>
        <v>exp. [1]</v>
      </c>
      <c r="E93" s="366" t="str">
        <f>INDEX(LA!$A194:$J194,,Info!$A$5)</f>
        <v>exp. [1]</v>
      </c>
      <c r="F93" s="366" t="str">
        <f>""</f>
        <v/>
      </c>
      <c r="H93" s="340" t="str">
        <f t="shared" si="1"/>
        <v>ε_s,u  [‰]</v>
      </c>
      <c r="I93" s="366" t="str">
        <f>INDEX(LA!$A216:$J216,,Info!$A$5)</f>
        <v>ε_s,u  [‰]</v>
      </c>
      <c r="J93" s="366" t="str">
        <f>INDEX(LA!$A216:$J216,,Info!$A$5)</f>
        <v>ε_s,u  [‰]</v>
      </c>
      <c r="K93" s="366" t="str">
        <f>INDEX(LA!$A216:$J216,,Info!$A$5)</f>
        <v>ε_s,u  [‰]</v>
      </c>
      <c r="L93" s="366" t="str">
        <f>INDEX(LA!$A216:$J216,,Info!$A$5)</f>
        <v>ε_s,u  [‰]</v>
      </c>
      <c r="M93" s="366" t="str">
        <f>""</f>
        <v/>
      </c>
    </row>
    <row r="94" spans="1:13" x14ac:dyDescent="0.2">
      <c r="A94" s="340" t="str">
        <f t="shared" si="0"/>
        <v>E_cm</v>
      </c>
      <c r="B94" s="366" t="str">
        <f>INDEX(LA!$A195:$J195,,Info!$A$5)</f>
        <v>E_cm</v>
      </c>
      <c r="C94" s="366" t="str">
        <f>INDEX(LA!$A195:$J195,,Info!$A$5)</f>
        <v>E_cm</v>
      </c>
      <c r="D94" s="366" t="str">
        <f>INDEX(LA!$A195:$J195,,Info!$A$5)</f>
        <v>E_cm</v>
      </c>
      <c r="E94" s="366" t="str">
        <f>INDEX(LA!$A195:$J195,,Info!$A$5)</f>
        <v>E_cm</v>
      </c>
      <c r="F94" s="366" t="str">
        <f>""</f>
        <v/>
      </c>
      <c r="H94" s="340" t="str">
        <f t="shared" si="1"/>
        <v>max. σs [MPa]</v>
      </c>
      <c r="I94" s="366" t="str">
        <f>INDEX(LA!$A217:$J217,,Info!$A$5)</f>
        <v>max. σs [MPa]</v>
      </c>
      <c r="J94" s="366" t="str">
        <f>INDEX(LA!$A217:$J217,,Info!$A$5)</f>
        <v>max. σs [MPa]</v>
      </c>
      <c r="K94" s="366" t="str">
        <f>INDEX(LA!$A217:$J217,,Info!$A$5)</f>
        <v>max. σs [MPa]</v>
      </c>
      <c r="L94" s="366" t="str">
        <f>INDEX(LA!$A217:$J217,,Info!$A$5)</f>
        <v>max. σs [MPa]</v>
      </c>
      <c r="M94" s="366" t="str">
        <f>""</f>
        <v/>
      </c>
    </row>
    <row r="95" spans="1:13" x14ac:dyDescent="0.2">
      <c r="A95" s="340" t="str">
        <f t="shared" si="0"/>
        <v>[MPa]</v>
      </c>
      <c r="B95" s="366" t="str">
        <f>INDEX(LA!$A196:$J196,,Info!$A$5)</f>
        <v>[MPa]</v>
      </c>
      <c r="C95" s="366" t="str">
        <f>INDEX(LA!$A196:$J196,,Info!$A$5)</f>
        <v>[MPa]</v>
      </c>
      <c r="D95" s="366" t="str">
        <f>INDEX(LA!$A196:$J196,,Info!$A$5)</f>
        <v>[MPa]</v>
      </c>
      <c r="E95" s="366" t="str">
        <f>INDEX(LA!$A196:$J196,,Info!$A$5)</f>
        <v>[MPa]</v>
      </c>
      <c r="F95" s="366" t="str">
        <f>""</f>
        <v/>
      </c>
      <c r="H95" s="341" t="str">
        <f t="shared" si="1"/>
        <v>reinforce. bar</v>
      </c>
      <c r="I95" s="368" t="str">
        <f>INDEX(LA!$A218:$J218,,Info!$A$5)</f>
        <v>reinforce. bar</v>
      </c>
      <c r="J95" s="368" t="str">
        <f>INDEX(LA!$A218:$J218,,Info!$A$5)</f>
        <v>reinforce. bar</v>
      </c>
      <c r="K95" s="368" t="str">
        <f>INDEX(LA!$A218:$J218,,Info!$A$5)</f>
        <v>reinforce. bar</v>
      </c>
      <c r="L95" s="368" t="str">
        <f>INDEX(LA!$A218:$J218,,Info!$A$5)</f>
        <v>reinforce. bar</v>
      </c>
      <c r="M95" s="368" t="str">
        <f>""</f>
        <v/>
      </c>
    </row>
    <row r="96" spans="1:13" x14ac:dyDescent="0.2">
      <c r="A96" s="340" t="str">
        <f t="shared" si="0"/>
        <v>unreinforced</v>
      </c>
      <c r="B96" s="366" t="str">
        <f>INDEX(LA!$A197:$J197,,Info!$A$5)</f>
        <v>compression-loaded</v>
      </c>
      <c r="C96" s="366" t="str">
        <f>INDEX(LA!$A198:$J198,,Info!$A$5)</f>
        <v>unreinforced</v>
      </c>
      <c r="D96" s="366" t="str">
        <f>INDEX(LA!$A198:$J198,,Info!$A$5)</f>
        <v>unreinforced</v>
      </c>
      <c r="E96" s="366" t="str">
        <f>INDEX(LA!$A198:$J198,,Info!$A$5)</f>
        <v>unreinforced</v>
      </c>
      <c r="F96" s="366" t="str">
        <f>""</f>
        <v/>
      </c>
      <c r="H96" s="341" t="str">
        <f t="shared" si="1"/>
        <v>max. ds [mm]</v>
      </c>
      <c r="I96" s="368" t="str">
        <f>INDEX(LA!$A219:$J219,,Info!$A$5)</f>
        <v>max. ds [mm]</v>
      </c>
      <c r="J96" s="368" t="str">
        <f>INDEX(LA!$A219:$J219,,Info!$A$5)</f>
        <v>max. ds [mm]</v>
      </c>
      <c r="K96" s="368" t="str">
        <f>INDEX(LA!$A219:$J219,,Info!$A$5)</f>
        <v>max. ds [mm]</v>
      </c>
      <c r="L96" s="368" t="str">
        <f>INDEX(LA!$A219:$J219,,Info!$A$5)</f>
        <v>max. ds [mm]</v>
      </c>
      <c r="M96" s="368" t="str">
        <f>""</f>
        <v/>
      </c>
    </row>
    <row r="97" spans="1:62" x14ac:dyDescent="0.2">
      <c r="A97" s="340" t="str">
        <f t="shared" si="0"/>
        <v>safety</v>
      </c>
      <c r="B97" s="366" t="str">
        <f>INDEX(LA!$A199:$J199,,Info!$A$5)</f>
        <v>safety</v>
      </c>
      <c r="C97" s="366" t="str">
        <f>INDEX(LA!$A199:$J199,,Info!$A$5)</f>
        <v>safety</v>
      </c>
      <c r="D97" s="366" t="str">
        <f>INDEX(LA!$A199:$J199,,Info!$A$5)</f>
        <v>safety</v>
      </c>
      <c r="E97" s="366" t="str">
        <f>INDEX(LA!$A199:$J199,,Info!$A$5)</f>
        <v>safety</v>
      </c>
      <c r="F97" s="366" t="str">
        <f>""</f>
        <v/>
      </c>
      <c r="H97" s="341" t="str">
        <f t="shared" si="1"/>
        <v>bar spacing</v>
      </c>
      <c r="I97" s="368" t="str">
        <f>INDEX(LA!$A220:$J220,,Info!$A$5)</f>
        <v>bar spacing</v>
      </c>
      <c r="J97" s="368" t="str">
        <f>INDEX(LA!$A220:$J220,,Info!$A$5)</f>
        <v>bar spacing</v>
      </c>
      <c r="K97" s="368" t="str">
        <f>INDEX(LA!$A220:$J220,,Info!$A$5)</f>
        <v>bar spacing</v>
      </c>
      <c r="L97" s="368" t="str">
        <f>INDEX(LA!$A220:$J220,,Info!$A$5)</f>
        <v>bar spacing</v>
      </c>
      <c r="M97" s="368" t="str">
        <f>""</f>
        <v/>
      </c>
    </row>
    <row r="98" spans="1:62" x14ac:dyDescent="0.2">
      <c r="A98" s="340" t="str">
        <f t="shared" si="0"/>
        <v>Δα_pl  [1]</v>
      </c>
      <c r="B98" s="366" t="str">
        <f>INDEX(LA!$A200:$J200,,Info!$A$5)</f>
        <v>Δγ_pl  [1]</v>
      </c>
      <c r="C98" s="366" t="str">
        <f>INDEX(LA!$A201:$J201,,Info!$A$5)</f>
        <v>Δγ_c,pl  [1]</v>
      </c>
      <c r="D98" s="366" t="str">
        <f>INDEX(LA!$A202:$J202,,Info!$A$5)</f>
        <v>Δα_pl  [1]</v>
      </c>
      <c r="E98" s="366" t="str">
        <f>INDEX(LA!$A202:$J202,,Info!$A$5)</f>
        <v>Δα_pl  [1]</v>
      </c>
      <c r="F98" s="366" t="str">
        <f>""</f>
        <v/>
      </c>
      <c r="H98" s="342" t="str">
        <f t="shared" si="1"/>
        <v>max. s  [mm]</v>
      </c>
      <c r="I98" s="369" t="str">
        <f>INDEX(LA!$A221:$J221,,Info!$A$5)</f>
        <v>max. s  [mm]</v>
      </c>
      <c r="J98" s="369" t="str">
        <f>INDEX(LA!$A221:$J221,,Info!$A$5)</f>
        <v>max. s  [mm]</v>
      </c>
      <c r="K98" s="369" t="str">
        <f>INDEX(LA!$A221:$J221,,Info!$A$5)</f>
        <v>max. s  [mm]</v>
      </c>
      <c r="L98" s="369" t="str">
        <f>INDEX(LA!$A221:$J221,,Info!$A$5)</f>
        <v>max. s  [mm]</v>
      </c>
      <c r="M98" s="369" t="str">
        <f>""</f>
        <v/>
      </c>
    </row>
    <row r="99" spans="1:62" x14ac:dyDescent="0.2">
      <c r="A99" s="340" t="str">
        <f t="shared" si="0"/>
        <v>min.comp.reinf.</v>
      </c>
      <c r="B99" s="366" t="str">
        <f>INDEX(LA!$A203:$J203,,Info!$A$5)</f>
        <v>strain limits</v>
      </c>
      <c r="C99" s="366" t="str">
        <f>INDEX(LA!$A205:$J205,,Info!$A$5)</f>
        <v>min.comp.reinf.</v>
      </c>
      <c r="D99" s="366" t="str">
        <f>INDEX(LA!$A205:$J205,,Info!$A$5)</f>
        <v>min.comp.reinf.</v>
      </c>
      <c r="E99" s="366" t="str">
        <f>INDEX(LA!$A205:$J205,,Info!$A$5)</f>
        <v>min.comp.reinf.</v>
      </c>
      <c r="F99" s="366" t="str">
        <f>""</f>
        <v/>
      </c>
    </row>
    <row r="100" spans="1:62" x14ac:dyDescent="0.2">
      <c r="A100" s="340" t="str">
        <f t="shared" si="0"/>
        <v>N_Ed,min  [1]</v>
      </c>
      <c r="B100" s="366" t="str">
        <f>INDEX(LA!$A204:$J204,,Info!$A$5)</f>
        <v>ε_s  ε_s  [‰]</v>
      </c>
      <c r="C100" s="366" t="str">
        <f>INDEX(LA!$A206:$J206,,Info!$A$5)</f>
        <v>N_Ed,min  [1]</v>
      </c>
      <c r="D100" s="366" t="str">
        <f>INDEX(LA!$A207:$J207,,Info!$A$5)</f>
        <v>N_Ed   A_s[%]</v>
      </c>
      <c r="E100" s="366" t="str">
        <f>INDEX(LA!$A206:$J206,,Info!$A$5)</f>
        <v>N_Ed,min  [1]</v>
      </c>
      <c r="F100" s="366" t="str">
        <f>""</f>
        <v/>
      </c>
    </row>
    <row r="101" spans="1:62" x14ac:dyDescent="0.2">
      <c r="A101" s="340" t="str">
        <f t="shared" si="0"/>
        <v>min. a_s     [cm²/m]</v>
      </c>
      <c r="B101" s="366" t="str">
        <f>INDEX(LA!$A273:$J273,,Info!$A$5)</f>
        <v>basic value  τ_0    [MPa]</v>
      </c>
      <c r="C101" s="366" t="str">
        <f>INDEX(LA!$A278:$J278,,Info!$A$5)</f>
        <v>min. a_s     [cm²/m]</v>
      </c>
      <c r="D101" s="366" t="str">
        <f>INDEX(LA!$A278:$J278,,Info!$A$5)</f>
        <v>min. a_s     [cm²/m]</v>
      </c>
      <c r="E101" s="366" t="str">
        <f>INDEX(LA!$A278:$J278,,Info!$A$5)</f>
        <v>min. a_s     [cm²/m]</v>
      </c>
      <c r="F101" s="366" t="str">
        <f>""</f>
        <v/>
      </c>
    </row>
    <row r="102" spans="1:62" x14ac:dyDescent="0.2">
      <c r="A102" s="340" t="str">
        <f t="shared" si="0"/>
        <v>V_Rdc</v>
      </c>
      <c r="B102" s="366" t="str">
        <f>INDEX(LA!$A274:$J274,,Info!$A$5)</f>
        <v>τ_012</v>
      </c>
      <c r="C102" s="366" t="str">
        <f>INDEX(LA!$A279:$J279,,Info!$A$5)</f>
        <v>V_Rdc</v>
      </c>
      <c r="D102" s="366" t="str">
        <f>INDEX(LA!$A279:$J279,,Info!$A$5)</f>
        <v>V_Rdc</v>
      </c>
      <c r="E102" s="366" t="str">
        <f>INDEX(LA!$A279:$J279,,Info!$A$5)</f>
        <v>V_Rdc</v>
      </c>
      <c r="F102" s="366" t="str">
        <f>""</f>
        <v/>
      </c>
    </row>
    <row r="103" spans="1:62" x14ac:dyDescent="0.2">
      <c r="A103" s="340" t="str">
        <f t="shared" si="0"/>
        <v>[kN]</v>
      </c>
      <c r="B103" s="366" t="str">
        <f>INDEX(LA!$A277:$J277,,Info!$A$5)</f>
        <v>[MPa]</v>
      </c>
      <c r="C103" s="366" t="str">
        <f>INDEX(LA!$A281:$J281,,Info!$A$5)</f>
        <v>[kN]</v>
      </c>
      <c r="D103" s="366" t="str">
        <f>INDEX(LA!$A281:$J281,,Info!$A$5)</f>
        <v>[kN]</v>
      </c>
      <c r="E103" s="366" t="str">
        <f>INDEX(LA!$A281:$J281,,Info!$A$5)</f>
        <v>[kN]</v>
      </c>
      <c r="F103" s="366" t="str">
        <f>""</f>
        <v/>
      </c>
    </row>
    <row r="104" spans="1:62" x14ac:dyDescent="0.2">
      <c r="A104" s="340" t="str">
        <f t="shared" si="0"/>
        <v>V_Rdmax</v>
      </c>
      <c r="B104" s="366" t="str">
        <f>INDEX(LA!$A275:$J275,,Info!$A$5)</f>
        <v>τ_02</v>
      </c>
      <c r="C104" s="340" t="str">
        <f t="shared" ref="C104:E105" si="2">IF($H$79=0,$G106,$H104)</f>
        <v>V_Rdmax</v>
      </c>
      <c r="D104" s="340" t="str">
        <f t="shared" si="2"/>
        <v>V_Rdmax</v>
      </c>
      <c r="E104" s="340" t="str">
        <f t="shared" si="2"/>
        <v>V_Rdmax</v>
      </c>
      <c r="F104" s="366" t="str">
        <f>""</f>
        <v/>
      </c>
      <c r="G104" s="391" t="str">
        <f>INDEX(LA!$A284:$J284,,Info!$A$5)</f>
        <v>τ_cp</v>
      </c>
      <c r="H104" s="391" t="str">
        <f>INDEX(LA!$A280:$J280,,Info!$A$5)</f>
        <v>V_Rdmax</v>
      </c>
    </row>
    <row r="105" spans="1:62" x14ac:dyDescent="0.2">
      <c r="A105" s="340" t="str">
        <f t="shared" si="0"/>
        <v>[kN]</v>
      </c>
      <c r="B105" s="366" t="str">
        <f>INDEX(LA!$A277:$J277,,Info!$A$5)</f>
        <v>[MPa]</v>
      </c>
      <c r="C105" s="340" t="str">
        <f t="shared" si="2"/>
        <v>[kN]</v>
      </c>
      <c r="D105" s="340" t="str">
        <f t="shared" si="2"/>
        <v>[kN]</v>
      </c>
      <c r="E105" s="340" t="str">
        <f t="shared" si="2"/>
        <v>[kN]</v>
      </c>
      <c r="F105" s="366" t="str">
        <f>""</f>
        <v/>
      </c>
      <c r="G105" s="391" t="str">
        <f>INDEX(LA!$A277:$J277,,Info!$A$5)</f>
        <v>[MPa]</v>
      </c>
      <c r="H105" s="391" t="str">
        <f>INDEX(LA!$A281:$J281,,Info!$A$5)</f>
        <v>[kN]</v>
      </c>
    </row>
    <row r="106" spans="1:62" x14ac:dyDescent="0.2">
      <c r="A106" s="340" t="str">
        <f t="shared" si="0"/>
        <v>cot(θ)</v>
      </c>
      <c r="B106" s="366" t="str">
        <f>INDEX(LA!$A276:$J276,,Info!$A$5)</f>
        <v>τ_03</v>
      </c>
      <c r="C106" s="340" t="str">
        <f>IF($H$79=0,#REF!,$H106)</f>
        <v>cot(θ)</v>
      </c>
      <c r="D106" s="340" t="str">
        <f>IF($H$79=0,#REF!,$H106)</f>
        <v>cot(θ)</v>
      </c>
      <c r="E106" s="340" t="str">
        <f>IF($H$79=0,#REF!,$H106)</f>
        <v>cot(θ)</v>
      </c>
      <c r="F106" s="366" t="str">
        <f>""</f>
        <v/>
      </c>
      <c r="G106" s="391" t="str">
        <f>INDEX(LA!$A285:$J285,,Info!$A$5)</f>
        <v>f_cvd</v>
      </c>
      <c r="H106" s="391" t="str">
        <f>INDEX(LA!$A282:$J282,,Info!$A$5)</f>
        <v>cot(θ)</v>
      </c>
    </row>
    <row r="107" spans="1:62" x14ac:dyDescent="0.2">
      <c r="A107" s="343" t="str">
        <f t="shared" si="0"/>
        <v>[1]</v>
      </c>
      <c r="B107" s="367" t="str">
        <f>INDEX(LA!$A277:$J277,,Info!$A$5)</f>
        <v>[MPa]</v>
      </c>
      <c r="C107" s="343" t="str">
        <f>IF($H$79=0,#REF!,$H107)</f>
        <v>[1]</v>
      </c>
      <c r="D107" s="343" t="str">
        <f>IF($H$79=0,#REF!,$H107)</f>
        <v>[1]</v>
      </c>
      <c r="E107" s="343" t="str">
        <f>IF($H$79=0,#REF!,$H107)</f>
        <v>[1]</v>
      </c>
      <c r="F107" s="367" t="str">
        <f>""</f>
        <v/>
      </c>
      <c r="G107" s="391" t="str">
        <f>INDEX(LA!$A277:$J277,,Info!$A$5)</f>
        <v>[MPa]</v>
      </c>
      <c r="H107" s="391" t="str">
        <f>INDEX(LA!$A283:$J283,,Info!$A$5)</f>
        <v>[1]</v>
      </c>
    </row>
    <row r="109" spans="1:62" x14ac:dyDescent="0.2">
      <c r="A109" s="170" t="str">
        <f>B11</f>
        <v>Concrete</v>
      </c>
      <c r="B109" s="170">
        <v>1</v>
      </c>
      <c r="C109" s="170">
        <v>2</v>
      </c>
      <c r="D109" s="170">
        <v>3</v>
      </c>
      <c r="E109" s="170">
        <v>4</v>
      </c>
      <c r="F109" s="170">
        <v>5</v>
      </c>
      <c r="H109" s="344" t="s">
        <v>404</v>
      </c>
      <c r="I109" s="170">
        <v>1</v>
      </c>
      <c r="J109" s="170">
        <v>2</v>
      </c>
      <c r="K109" s="170">
        <v>3</v>
      </c>
      <c r="L109" s="170">
        <v>4</v>
      </c>
      <c r="M109" s="170">
        <v>5</v>
      </c>
      <c r="O109" s="344" t="s">
        <v>405</v>
      </c>
      <c r="P109" s="170">
        <v>1</v>
      </c>
      <c r="Q109" s="170">
        <v>2</v>
      </c>
      <c r="R109" s="170">
        <v>3</v>
      </c>
      <c r="S109" s="170">
        <v>4</v>
      </c>
      <c r="T109" s="170">
        <v>5</v>
      </c>
      <c r="V109" s="344" t="s">
        <v>497</v>
      </c>
      <c r="W109" s="170">
        <v>1</v>
      </c>
      <c r="X109" s="170">
        <v>2</v>
      </c>
      <c r="Y109" s="170">
        <v>3</v>
      </c>
      <c r="Z109" s="170">
        <v>4</v>
      </c>
      <c r="AA109" s="170">
        <v>5</v>
      </c>
      <c r="AC109" s="344" t="s">
        <v>498</v>
      </c>
      <c r="AD109" s="170">
        <v>1</v>
      </c>
      <c r="AE109" s="170">
        <v>2</v>
      </c>
      <c r="AF109" s="170">
        <v>3</v>
      </c>
      <c r="AG109" s="170">
        <v>4</v>
      </c>
      <c r="AH109" s="170">
        <v>5</v>
      </c>
      <c r="AJ109" s="344" t="s">
        <v>563</v>
      </c>
      <c r="AK109" s="170">
        <v>1</v>
      </c>
      <c r="AL109" s="170">
        <v>2</v>
      </c>
      <c r="AM109" s="170">
        <v>3</v>
      </c>
      <c r="AN109" s="170">
        <v>4</v>
      </c>
      <c r="AO109" s="170">
        <v>5</v>
      </c>
      <c r="AQ109" s="344" t="s">
        <v>599</v>
      </c>
      <c r="AR109" s="170">
        <v>1</v>
      </c>
      <c r="AS109" s="170">
        <v>2</v>
      </c>
      <c r="AT109" s="170">
        <v>3</v>
      </c>
      <c r="AU109" s="170">
        <v>4</v>
      </c>
      <c r="AV109" s="170">
        <v>5</v>
      </c>
      <c r="AX109" s="344" t="s">
        <v>499</v>
      </c>
      <c r="AY109" s="170">
        <v>1</v>
      </c>
      <c r="AZ109" s="170">
        <v>2</v>
      </c>
      <c r="BA109" s="170">
        <v>3</v>
      </c>
      <c r="BB109" s="170">
        <v>4</v>
      </c>
      <c r="BC109" s="170">
        <v>5</v>
      </c>
      <c r="BE109" s="344" t="s">
        <v>635</v>
      </c>
      <c r="BF109" s="170">
        <v>1</v>
      </c>
      <c r="BG109" s="170">
        <v>2</v>
      </c>
      <c r="BH109" s="170">
        <v>3</v>
      </c>
      <c r="BI109" s="170">
        <v>4</v>
      </c>
      <c r="BJ109" s="170">
        <v>5</v>
      </c>
    </row>
    <row r="110" spans="1:62" x14ac:dyDescent="0.2">
      <c r="A110" s="284" t="str">
        <f>INDEX(B110:F110,,$A$4)</f>
        <v>C 12/15</v>
      </c>
      <c r="B110" s="370" t="s">
        <v>541</v>
      </c>
      <c r="C110" s="370" t="s">
        <v>500</v>
      </c>
      <c r="D110" s="370" t="s">
        <v>500</v>
      </c>
      <c r="E110" s="370" t="s">
        <v>500</v>
      </c>
      <c r="F110" s="370" t="str">
        <f>""</f>
        <v/>
      </c>
      <c r="H110" s="345">
        <f>INDEX(I110:M110,,$A$4)</f>
        <v>12</v>
      </c>
      <c r="I110" s="375">
        <v>15</v>
      </c>
      <c r="J110" s="375">
        <v>12</v>
      </c>
      <c r="K110" s="375">
        <v>12</v>
      </c>
      <c r="L110" s="375">
        <v>12</v>
      </c>
      <c r="M110" s="375" t="str">
        <f>""</f>
        <v/>
      </c>
      <c r="O110" s="346">
        <f>INDEX(P110:T110,,$A$4)</f>
        <v>0.85</v>
      </c>
      <c r="P110" s="378">
        <f>10.5/15</f>
        <v>0.7</v>
      </c>
      <c r="Q110" s="378">
        <v>0.85</v>
      </c>
      <c r="R110" s="378">
        <f>1/1.1</f>
        <v>0.90909090909090906</v>
      </c>
      <c r="S110" s="378">
        <v>0.85</v>
      </c>
      <c r="T110" s="378" t="str">
        <f>""</f>
        <v/>
      </c>
      <c r="V110" s="345">
        <f>INDEX(W110:AA110,,$A$4)</f>
        <v>2</v>
      </c>
      <c r="W110" s="375">
        <v>2</v>
      </c>
      <c r="X110" s="375">
        <v>2</v>
      </c>
      <c r="Y110" s="375">
        <v>2</v>
      </c>
      <c r="Z110" s="375">
        <v>2</v>
      </c>
      <c r="AA110" s="375" t="str">
        <f>""</f>
        <v/>
      </c>
      <c r="AC110" s="345">
        <f>INDEX(AD110:AH110,,$A$4)</f>
        <v>3.5</v>
      </c>
      <c r="AD110" s="375">
        <v>3.5</v>
      </c>
      <c r="AE110" s="375">
        <v>3.5</v>
      </c>
      <c r="AF110" s="375">
        <v>3.5</v>
      </c>
      <c r="AG110" s="375">
        <v>3.5</v>
      </c>
      <c r="AH110" s="375" t="str">
        <f>""</f>
        <v/>
      </c>
      <c r="AJ110" s="347">
        <f>INDEX(AK110:AO110,,$A$4)</f>
        <v>2</v>
      </c>
      <c r="AK110" s="381">
        <v>2</v>
      </c>
      <c r="AL110" s="381">
        <v>2</v>
      </c>
      <c r="AM110" s="381">
        <v>2</v>
      </c>
      <c r="AN110" s="381">
        <v>2</v>
      </c>
      <c r="AO110" s="381" t="str">
        <f>""</f>
        <v/>
      </c>
      <c r="AQ110" s="346">
        <f>INDEX(AR110:AV110,,$A$4)</f>
        <v>27000</v>
      </c>
      <c r="AR110" s="378">
        <v>30000</v>
      </c>
      <c r="AS110" s="370">
        <v>21800</v>
      </c>
      <c r="AT110" s="370">
        <v>27000</v>
      </c>
      <c r="AU110" s="370">
        <v>27000</v>
      </c>
      <c r="AV110" s="378" t="s">
        <v>496</v>
      </c>
      <c r="AX110" s="346">
        <f>INDEX(AY110:BC110,,$A$4)</f>
        <v>0.15</v>
      </c>
      <c r="AY110" s="378">
        <v>0.35</v>
      </c>
      <c r="AZ110" s="378">
        <v>0.3</v>
      </c>
      <c r="BA110" s="378">
        <f t="shared" ref="BA110:BA118" si="3">0.2/1.1</f>
        <v>0.18181818181818182</v>
      </c>
      <c r="BB110" s="378">
        <v>0.15</v>
      </c>
      <c r="BC110" s="378" t="s">
        <v>496</v>
      </c>
      <c r="BE110" s="346">
        <f>INDEX(BF110:BJ110,,$A$4)</f>
        <v>0.15</v>
      </c>
      <c r="BF110" s="384" t="s">
        <v>692</v>
      </c>
      <c r="BG110" s="381">
        <v>0.15</v>
      </c>
      <c r="BH110" s="384" t="s">
        <v>693</v>
      </c>
      <c r="BI110" s="381">
        <v>0.15</v>
      </c>
      <c r="BJ110" s="381" t="s">
        <v>496</v>
      </c>
    </row>
    <row r="111" spans="1:62" x14ac:dyDescent="0.2">
      <c r="A111" s="285" t="str">
        <f t="shared" ref="A111:A118" si="4">INDEX(B111:F111,,$A$4)</f>
        <v>C 16/20</v>
      </c>
      <c r="B111" s="371" t="s">
        <v>542</v>
      </c>
      <c r="C111" s="371" t="s">
        <v>501</v>
      </c>
      <c r="D111" s="371" t="s">
        <v>501</v>
      </c>
      <c r="E111" s="371" t="s">
        <v>501</v>
      </c>
      <c r="F111" s="371" t="str">
        <f>""</f>
        <v/>
      </c>
      <c r="H111" s="348">
        <f t="shared" ref="H111:H118" si="5">INDEX(I111:M111,,$A$4)</f>
        <v>15</v>
      </c>
      <c r="I111" s="376">
        <v>25</v>
      </c>
      <c r="J111" s="376">
        <v>15</v>
      </c>
      <c r="K111" s="376">
        <v>15</v>
      </c>
      <c r="L111" s="376">
        <v>15</v>
      </c>
      <c r="M111" s="376" t="str">
        <f>""</f>
        <v/>
      </c>
      <c r="O111" s="349">
        <f t="shared" ref="O111:O118" si="6">INDEX(P111:T111,,$A$4)</f>
        <v>0.85</v>
      </c>
      <c r="P111" s="379">
        <f>17.5/25</f>
        <v>0.7</v>
      </c>
      <c r="Q111" s="379">
        <v>0.85</v>
      </c>
      <c r="R111" s="379">
        <f t="shared" ref="R111:R118" si="7">1/1.1</f>
        <v>0.90909090909090906</v>
      </c>
      <c r="S111" s="379">
        <v>0.85</v>
      </c>
      <c r="T111" s="379" t="str">
        <f>""</f>
        <v/>
      </c>
      <c r="V111" s="348">
        <f t="shared" ref="V111:V118" si="8">INDEX(W111:AA111,,$A$4)</f>
        <v>2</v>
      </c>
      <c r="W111" s="376">
        <v>2</v>
      </c>
      <c r="X111" s="376">
        <v>2</v>
      </c>
      <c r="Y111" s="376">
        <v>2</v>
      </c>
      <c r="Z111" s="376">
        <v>2</v>
      </c>
      <c r="AA111" s="376" t="str">
        <f>""</f>
        <v/>
      </c>
      <c r="AC111" s="348">
        <f t="shared" ref="AC111:AC118" si="9">INDEX(AD111:AH111,,$A$4)</f>
        <v>3.5</v>
      </c>
      <c r="AD111" s="376">
        <v>3.5</v>
      </c>
      <c r="AE111" s="376">
        <v>3.5</v>
      </c>
      <c r="AF111" s="376">
        <v>3.5</v>
      </c>
      <c r="AG111" s="376">
        <v>3.5</v>
      </c>
      <c r="AH111" s="376" t="str">
        <f>""</f>
        <v/>
      </c>
      <c r="AJ111" s="350">
        <f t="shared" ref="AJ111:AJ118" si="10">INDEX(AK111:AO111,,$A$4)</f>
        <v>2</v>
      </c>
      <c r="AK111" s="382">
        <v>2</v>
      </c>
      <c r="AL111" s="382">
        <v>2</v>
      </c>
      <c r="AM111" s="382">
        <v>2</v>
      </c>
      <c r="AN111" s="382">
        <v>2</v>
      </c>
      <c r="AO111" s="382" t="str">
        <f>""</f>
        <v/>
      </c>
      <c r="AQ111" s="349">
        <f t="shared" ref="AQ111:AQ118" si="11">INDEX(AR111:AV111,,$A$4)</f>
        <v>29000</v>
      </c>
      <c r="AR111" s="379">
        <v>30000</v>
      </c>
      <c r="AS111" s="371">
        <v>23400</v>
      </c>
      <c r="AT111" s="371">
        <v>29000</v>
      </c>
      <c r="AU111" s="371">
        <v>29000</v>
      </c>
      <c r="AV111" s="379" t="s">
        <v>496</v>
      </c>
      <c r="AX111" s="349">
        <f t="shared" ref="AX111:AX118" si="12">INDEX(AY111:BC111,,$A$4)</f>
        <v>0.15</v>
      </c>
      <c r="AY111" s="379">
        <v>0.35</v>
      </c>
      <c r="AZ111" s="379">
        <v>0.3</v>
      </c>
      <c r="BA111" s="379">
        <f t="shared" si="3"/>
        <v>0.18181818181818182</v>
      </c>
      <c r="BB111" s="379">
        <v>0.15</v>
      </c>
      <c r="BC111" s="379" t="s">
        <v>496</v>
      </c>
      <c r="BE111" s="349">
        <f t="shared" ref="BE111:BE118" si="13">INDEX(BF111:BJ111,,$A$4)</f>
        <v>0.15</v>
      </c>
      <c r="BF111" s="385" t="s">
        <v>692</v>
      </c>
      <c r="BG111" s="382">
        <v>0.15</v>
      </c>
      <c r="BH111" s="385" t="s">
        <v>693</v>
      </c>
      <c r="BI111" s="382">
        <v>0.15</v>
      </c>
      <c r="BJ111" s="382" t="s">
        <v>496</v>
      </c>
    </row>
    <row r="112" spans="1:62" x14ac:dyDescent="0.2">
      <c r="A112" s="285" t="str">
        <f t="shared" si="4"/>
        <v>C 20/25</v>
      </c>
      <c r="B112" s="371" t="s">
        <v>544</v>
      </c>
      <c r="C112" s="371" t="s">
        <v>502</v>
      </c>
      <c r="D112" s="371" t="s">
        <v>502</v>
      </c>
      <c r="E112" s="371" t="s">
        <v>502</v>
      </c>
      <c r="F112" s="371" t="str">
        <f>""</f>
        <v/>
      </c>
      <c r="H112" s="348">
        <f t="shared" si="5"/>
        <v>20</v>
      </c>
      <c r="I112" s="376">
        <v>35</v>
      </c>
      <c r="J112" s="376">
        <v>20</v>
      </c>
      <c r="K112" s="376">
        <v>20</v>
      </c>
      <c r="L112" s="376">
        <v>20</v>
      </c>
      <c r="M112" s="376" t="str">
        <f>""</f>
        <v/>
      </c>
      <c r="O112" s="349">
        <f t="shared" si="6"/>
        <v>0.85</v>
      </c>
      <c r="P112" s="379">
        <f>23/35</f>
        <v>0.65714285714285714</v>
      </c>
      <c r="Q112" s="379">
        <v>0.85</v>
      </c>
      <c r="R112" s="379">
        <f t="shared" si="7"/>
        <v>0.90909090909090906</v>
      </c>
      <c r="S112" s="379">
        <v>0.85</v>
      </c>
      <c r="T112" s="379" t="str">
        <f>""</f>
        <v/>
      </c>
      <c r="V112" s="348">
        <f t="shared" si="8"/>
        <v>2</v>
      </c>
      <c r="W112" s="376">
        <v>2</v>
      </c>
      <c r="X112" s="376">
        <v>2</v>
      </c>
      <c r="Y112" s="376">
        <v>2</v>
      </c>
      <c r="Z112" s="376">
        <v>2</v>
      </c>
      <c r="AA112" s="376" t="str">
        <f>""</f>
        <v/>
      </c>
      <c r="AC112" s="348">
        <f t="shared" si="9"/>
        <v>3.5</v>
      </c>
      <c r="AD112" s="376">
        <v>3.5</v>
      </c>
      <c r="AE112" s="376">
        <v>3.5</v>
      </c>
      <c r="AF112" s="376">
        <v>3.5</v>
      </c>
      <c r="AG112" s="376">
        <v>3.5</v>
      </c>
      <c r="AH112" s="376" t="str">
        <f>""</f>
        <v/>
      </c>
      <c r="AJ112" s="350">
        <f t="shared" si="10"/>
        <v>2</v>
      </c>
      <c r="AK112" s="382">
        <v>2</v>
      </c>
      <c r="AL112" s="382">
        <v>2</v>
      </c>
      <c r="AM112" s="382">
        <v>2</v>
      </c>
      <c r="AN112" s="382">
        <v>2</v>
      </c>
      <c r="AO112" s="382" t="str">
        <f>""</f>
        <v/>
      </c>
      <c r="AQ112" s="349">
        <f t="shared" si="11"/>
        <v>30000</v>
      </c>
      <c r="AR112" s="379">
        <v>30000</v>
      </c>
      <c r="AS112" s="371">
        <v>24900</v>
      </c>
      <c r="AT112" s="371">
        <v>30000</v>
      </c>
      <c r="AU112" s="371">
        <v>30000</v>
      </c>
      <c r="AV112" s="379" t="s">
        <v>496</v>
      </c>
      <c r="AX112" s="349">
        <f t="shared" si="12"/>
        <v>0.15</v>
      </c>
      <c r="AY112" s="379">
        <v>0.35</v>
      </c>
      <c r="AZ112" s="379">
        <v>0.3</v>
      </c>
      <c r="BA112" s="379">
        <f t="shared" si="3"/>
        <v>0.18181818181818182</v>
      </c>
      <c r="BB112" s="379">
        <v>0.15</v>
      </c>
      <c r="BC112" s="379" t="s">
        <v>496</v>
      </c>
      <c r="BE112" s="349">
        <f t="shared" si="13"/>
        <v>0.15</v>
      </c>
      <c r="BF112" s="385" t="s">
        <v>692</v>
      </c>
      <c r="BG112" s="382">
        <v>0.15</v>
      </c>
      <c r="BH112" s="385" t="s">
        <v>693</v>
      </c>
      <c r="BI112" s="382">
        <v>0.15</v>
      </c>
      <c r="BJ112" s="382" t="s">
        <v>496</v>
      </c>
    </row>
    <row r="113" spans="1:62" x14ac:dyDescent="0.2">
      <c r="A113" s="285" t="str">
        <f t="shared" si="4"/>
        <v>C 25/30</v>
      </c>
      <c r="B113" s="371" t="s">
        <v>543</v>
      </c>
      <c r="C113" s="371" t="s">
        <v>503</v>
      </c>
      <c r="D113" s="371" t="s">
        <v>503</v>
      </c>
      <c r="E113" s="371" t="s">
        <v>503</v>
      </c>
      <c r="F113" s="372" t="str">
        <f>""</f>
        <v/>
      </c>
      <c r="H113" s="348">
        <f t="shared" si="5"/>
        <v>25</v>
      </c>
      <c r="I113" s="376">
        <v>45</v>
      </c>
      <c r="J113" s="376">
        <v>25</v>
      </c>
      <c r="K113" s="376">
        <v>25</v>
      </c>
      <c r="L113" s="376">
        <v>25</v>
      </c>
      <c r="M113" s="376" t="str">
        <f>""</f>
        <v/>
      </c>
      <c r="O113" s="349">
        <f t="shared" si="6"/>
        <v>0.85</v>
      </c>
      <c r="P113" s="379">
        <f>27/45</f>
        <v>0.6</v>
      </c>
      <c r="Q113" s="379">
        <v>0.85</v>
      </c>
      <c r="R113" s="379">
        <f t="shared" si="7"/>
        <v>0.90909090909090906</v>
      </c>
      <c r="S113" s="379">
        <v>0.85</v>
      </c>
      <c r="T113" s="379" t="str">
        <f>""</f>
        <v/>
      </c>
      <c r="V113" s="348">
        <f t="shared" si="8"/>
        <v>2</v>
      </c>
      <c r="W113" s="376">
        <v>2</v>
      </c>
      <c r="X113" s="376">
        <v>2</v>
      </c>
      <c r="Y113" s="376">
        <v>2</v>
      </c>
      <c r="Z113" s="376">
        <v>2</v>
      </c>
      <c r="AA113" s="376" t="str">
        <f>""</f>
        <v/>
      </c>
      <c r="AC113" s="348">
        <f t="shared" si="9"/>
        <v>3.5</v>
      </c>
      <c r="AD113" s="376">
        <v>3.5</v>
      </c>
      <c r="AE113" s="376">
        <v>3.5</v>
      </c>
      <c r="AF113" s="376">
        <v>3.5</v>
      </c>
      <c r="AG113" s="376">
        <v>3.5</v>
      </c>
      <c r="AH113" s="376" t="str">
        <f>""</f>
        <v/>
      </c>
      <c r="AJ113" s="350">
        <f t="shared" si="10"/>
        <v>2</v>
      </c>
      <c r="AK113" s="382">
        <v>2</v>
      </c>
      <c r="AL113" s="382">
        <v>2</v>
      </c>
      <c r="AM113" s="382">
        <v>2</v>
      </c>
      <c r="AN113" s="382">
        <v>2</v>
      </c>
      <c r="AO113" s="382" t="str">
        <f>""</f>
        <v/>
      </c>
      <c r="AQ113" s="349">
        <f t="shared" si="11"/>
        <v>31000</v>
      </c>
      <c r="AR113" s="379">
        <v>30000</v>
      </c>
      <c r="AS113" s="371">
        <v>26700</v>
      </c>
      <c r="AT113" s="371">
        <v>31000</v>
      </c>
      <c r="AU113" s="371">
        <v>31000</v>
      </c>
      <c r="AV113" s="379" t="s">
        <v>496</v>
      </c>
      <c r="AX113" s="349">
        <f t="shared" si="12"/>
        <v>0.15</v>
      </c>
      <c r="AY113" s="379">
        <v>0.35</v>
      </c>
      <c r="AZ113" s="379">
        <v>0.3</v>
      </c>
      <c r="BA113" s="379">
        <f t="shared" si="3"/>
        <v>0.18181818181818182</v>
      </c>
      <c r="BB113" s="379">
        <v>0.15</v>
      </c>
      <c r="BC113" s="379" t="s">
        <v>496</v>
      </c>
      <c r="BE113" s="349">
        <f t="shared" si="13"/>
        <v>0.15</v>
      </c>
      <c r="BF113" s="385" t="s">
        <v>692</v>
      </c>
      <c r="BG113" s="382">
        <v>0.15</v>
      </c>
      <c r="BH113" s="385" t="s">
        <v>693</v>
      </c>
      <c r="BI113" s="382">
        <v>0.15</v>
      </c>
      <c r="BJ113" s="382" t="s">
        <v>496</v>
      </c>
    </row>
    <row r="114" spans="1:62" x14ac:dyDescent="0.2">
      <c r="A114" s="285" t="str">
        <f t="shared" si="4"/>
        <v>C 30/37</v>
      </c>
      <c r="B114" s="371" t="s">
        <v>545</v>
      </c>
      <c r="C114" s="371" t="s">
        <v>504</v>
      </c>
      <c r="D114" s="371" t="s">
        <v>504</v>
      </c>
      <c r="E114" s="371" t="s">
        <v>504</v>
      </c>
      <c r="F114" s="371" t="str">
        <f>""</f>
        <v/>
      </c>
      <c r="H114" s="348">
        <f t="shared" si="5"/>
        <v>30</v>
      </c>
      <c r="I114" s="376">
        <v>55</v>
      </c>
      <c r="J114" s="376">
        <v>30</v>
      </c>
      <c r="K114" s="376">
        <v>30</v>
      </c>
      <c r="L114" s="376">
        <v>30</v>
      </c>
      <c r="M114" s="376" t="str">
        <f>""</f>
        <v/>
      </c>
      <c r="O114" s="349">
        <f t="shared" si="6"/>
        <v>0.85</v>
      </c>
      <c r="P114" s="379">
        <f>30/55</f>
        <v>0.54545454545454541</v>
      </c>
      <c r="Q114" s="379">
        <v>0.85</v>
      </c>
      <c r="R114" s="379">
        <f t="shared" si="7"/>
        <v>0.90909090909090906</v>
      </c>
      <c r="S114" s="379">
        <v>0.85</v>
      </c>
      <c r="T114" s="379" t="str">
        <f>""</f>
        <v/>
      </c>
      <c r="V114" s="348">
        <f t="shared" si="8"/>
        <v>2</v>
      </c>
      <c r="W114" s="376">
        <v>2</v>
      </c>
      <c r="X114" s="376">
        <v>2</v>
      </c>
      <c r="Y114" s="376">
        <v>2</v>
      </c>
      <c r="Z114" s="376">
        <v>2</v>
      </c>
      <c r="AA114" s="376" t="str">
        <f>""</f>
        <v/>
      </c>
      <c r="AC114" s="348">
        <f t="shared" si="9"/>
        <v>3.5</v>
      </c>
      <c r="AD114" s="376">
        <v>3.5</v>
      </c>
      <c r="AE114" s="376">
        <v>3.5</v>
      </c>
      <c r="AF114" s="376">
        <v>3.5</v>
      </c>
      <c r="AG114" s="376">
        <v>3.5</v>
      </c>
      <c r="AH114" s="376" t="str">
        <f>""</f>
        <v/>
      </c>
      <c r="AJ114" s="350">
        <f t="shared" si="10"/>
        <v>2</v>
      </c>
      <c r="AK114" s="382">
        <v>2</v>
      </c>
      <c r="AL114" s="382">
        <v>2</v>
      </c>
      <c r="AM114" s="382">
        <v>2</v>
      </c>
      <c r="AN114" s="382">
        <v>2</v>
      </c>
      <c r="AO114" s="382" t="str">
        <f>""</f>
        <v/>
      </c>
      <c r="AQ114" s="349">
        <f t="shared" si="11"/>
        <v>33000</v>
      </c>
      <c r="AR114" s="379">
        <v>30000</v>
      </c>
      <c r="AS114" s="371">
        <v>28300</v>
      </c>
      <c r="AT114" s="371">
        <v>33000</v>
      </c>
      <c r="AU114" s="371">
        <v>33000</v>
      </c>
      <c r="AV114" s="379" t="s">
        <v>496</v>
      </c>
      <c r="AX114" s="349">
        <f t="shared" si="12"/>
        <v>0.15</v>
      </c>
      <c r="AY114" s="379">
        <v>0.35</v>
      </c>
      <c r="AZ114" s="379">
        <v>0.3</v>
      </c>
      <c r="BA114" s="379">
        <f t="shared" si="3"/>
        <v>0.18181818181818182</v>
      </c>
      <c r="BB114" s="379">
        <v>0.15</v>
      </c>
      <c r="BC114" s="379" t="s">
        <v>496</v>
      </c>
      <c r="BE114" s="349">
        <f t="shared" si="13"/>
        <v>0.15</v>
      </c>
      <c r="BF114" s="385" t="s">
        <v>692</v>
      </c>
      <c r="BG114" s="382">
        <v>0.15</v>
      </c>
      <c r="BH114" s="385" t="s">
        <v>693</v>
      </c>
      <c r="BI114" s="382">
        <v>0.15</v>
      </c>
      <c r="BJ114" s="382" t="s">
        <v>496</v>
      </c>
    </row>
    <row r="115" spans="1:62" x14ac:dyDescent="0.2">
      <c r="A115" s="285" t="str">
        <f t="shared" si="4"/>
        <v>C 35/45</v>
      </c>
      <c r="B115" s="372" t="str">
        <f>""</f>
        <v/>
      </c>
      <c r="C115" s="372" t="s">
        <v>505</v>
      </c>
      <c r="D115" s="372" t="s">
        <v>505</v>
      </c>
      <c r="E115" s="372" t="s">
        <v>505</v>
      </c>
      <c r="F115" s="371" t="str">
        <f>""</f>
        <v/>
      </c>
      <c r="H115" s="348">
        <f t="shared" si="5"/>
        <v>35</v>
      </c>
      <c r="I115" s="376" t="str">
        <f>""</f>
        <v/>
      </c>
      <c r="J115" s="376">
        <v>35</v>
      </c>
      <c r="K115" s="376">
        <v>35</v>
      </c>
      <c r="L115" s="376">
        <v>35</v>
      </c>
      <c r="M115" s="376" t="str">
        <f>""</f>
        <v/>
      </c>
      <c r="O115" s="349">
        <f t="shared" si="6"/>
        <v>0.85</v>
      </c>
      <c r="P115" s="379" t="str">
        <f>""</f>
        <v/>
      </c>
      <c r="Q115" s="379">
        <v>0.85</v>
      </c>
      <c r="R115" s="379">
        <f t="shared" si="7"/>
        <v>0.90909090909090906</v>
      </c>
      <c r="S115" s="379">
        <v>0.85</v>
      </c>
      <c r="T115" s="379" t="str">
        <f>""</f>
        <v/>
      </c>
      <c r="V115" s="348">
        <f t="shared" si="8"/>
        <v>2</v>
      </c>
      <c r="W115" s="376" t="str">
        <f>""</f>
        <v/>
      </c>
      <c r="X115" s="376">
        <v>2</v>
      </c>
      <c r="Y115" s="376">
        <v>2</v>
      </c>
      <c r="Z115" s="376">
        <v>2</v>
      </c>
      <c r="AA115" s="376" t="str">
        <f>""</f>
        <v/>
      </c>
      <c r="AC115" s="348">
        <f t="shared" si="9"/>
        <v>3.5</v>
      </c>
      <c r="AD115" s="376" t="str">
        <f>""</f>
        <v/>
      </c>
      <c r="AE115" s="376">
        <v>3.5</v>
      </c>
      <c r="AF115" s="376">
        <v>3.5</v>
      </c>
      <c r="AG115" s="376">
        <v>3.5</v>
      </c>
      <c r="AH115" s="376" t="str">
        <f>""</f>
        <v/>
      </c>
      <c r="AJ115" s="350">
        <f t="shared" si="10"/>
        <v>2</v>
      </c>
      <c r="AK115" s="382" t="str">
        <f>""</f>
        <v/>
      </c>
      <c r="AL115" s="382">
        <v>2</v>
      </c>
      <c r="AM115" s="382">
        <v>2</v>
      </c>
      <c r="AN115" s="382">
        <v>2</v>
      </c>
      <c r="AO115" s="382" t="str">
        <f>""</f>
        <v/>
      </c>
      <c r="AQ115" s="349">
        <f t="shared" si="11"/>
        <v>34000</v>
      </c>
      <c r="AR115" s="379" t="str">
        <f>""</f>
        <v/>
      </c>
      <c r="AS115" s="371">
        <v>29900</v>
      </c>
      <c r="AT115" s="371">
        <v>34000</v>
      </c>
      <c r="AU115" s="371">
        <v>34000</v>
      </c>
      <c r="AV115" s="379" t="s">
        <v>496</v>
      </c>
      <c r="AX115" s="349">
        <f t="shared" si="12"/>
        <v>0.15</v>
      </c>
      <c r="AY115" s="379" t="str">
        <f>""</f>
        <v/>
      </c>
      <c r="AZ115" s="379">
        <v>0.3</v>
      </c>
      <c r="BA115" s="379">
        <f t="shared" si="3"/>
        <v>0.18181818181818182</v>
      </c>
      <c r="BB115" s="379">
        <v>0.15</v>
      </c>
      <c r="BC115" s="379" t="s">
        <v>496</v>
      </c>
      <c r="BE115" s="349">
        <f t="shared" si="13"/>
        <v>0.15</v>
      </c>
      <c r="BF115" s="385" t="str">
        <f>""</f>
        <v/>
      </c>
      <c r="BG115" s="382">
        <v>0.15</v>
      </c>
      <c r="BH115" s="385" t="s">
        <v>693</v>
      </c>
      <c r="BI115" s="382">
        <v>0.15</v>
      </c>
      <c r="BJ115" s="382" t="s">
        <v>496</v>
      </c>
    </row>
    <row r="116" spans="1:62" x14ac:dyDescent="0.2">
      <c r="A116" s="285" t="str">
        <f t="shared" si="4"/>
        <v>C 40/50</v>
      </c>
      <c r="B116" s="372" t="str">
        <f>""</f>
        <v/>
      </c>
      <c r="C116" s="372" t="s">
        <v>506</v>
      </c>
      <c r="D116" s="372" t="s">
        <v>506</v>
      </c>
      <c r="E116" s="372" t="s">
        <v>506</v>
      </c>
      <c r="F116" s="371" t="str">
        <f>""</f>
        <v/>
      </c>
      <c r="H116" s="348">
        <f t="shared" si="5"/>
        <v>40</v>
      </c>
      <c r="I116" s="376" t="str">
        <f>""</f>
        <v/>
      </c>
      <c r="J116" s="376">
        <v>40</v>
      </c>
      <c r="K116" s="376">
        <v>40</v>
      </c>
      <c r="L116" s="376">
        <v>40</v>
      </c>
      <c r="M116" s="376" t="str">
        <f>""</f>
        <v/>
      </c>
      <c r="O116" s="349">
        <f t="shared" si="6"/>
        <v>0.85</v>
      </c>
      <c r="P116" s="379" t="str">
        <f>""</f>
        <v/>
      </c>
      <c r="Q116" s="379">
        <v>0.85</v>
      </c>
      <c r="R116" s="379">
        <f t="shared" si="7"/>
        <v>0.90909090909090906</v>
      </c>
      <c r="S116" s="379">
        <v>0.85</v>
      </c>
      <c r="T116" s="379" t="str">
        <f>""</f>
        <v/>
      </c>
      <c r="V116" s="348">
        <f t="shared" si="8"/>
        <v>2</v>
      </c>
      <c r="W116" s="376" t="str">
        <f>""</f>
        <v/>
      </c>
      <c r="X116" s="376">
        <v>2</v>
      </c>
      <c r="Y116" s="376">
        <v>2</v>
      </c>
      <c r="Z116" s="376">
        <v>2</v>
      </c>
      <c r="AA116" s="376" t="str">
        <f>""</f>
        <v/>
      </c>
      <c r="AC116" s="348">
        <f t="shared" si="9"/>
        <v>3.5</v>
      </c>
      <c r="AD116" s="376" t="str">
        <f>""</f>
        <v/>
      </c>
      <c r="AE116" s="376">
        <v>3.5</v>
      </c>
      <c r="AF116" s="376">
        <v>3.5</v>
      </c>
      <c r="AG116" s="376">
        <v>3.5</v>
      </c>
      <c r="AH116" s="376" t="str">
        <f>""</f>
        <v/>
      </c>
      <c r="AJ116" s="350">
        <f t="shared" si="10"/>
        <v>2</v>
      </c>
      <c r="AK116" s="382" t="str">
        <f>""</f>
        <v/>
      </c>
      <c r="AL116" s="382">
        <v>2</v>
      </c>
      <c r="AM116" s="382">
        <v>2</v>
      </c>
      <c r="AN116" s="382">
        <v>2</v>
      </c>
      <c r="AO116" s="382" t="str">
        <f>""</f>
        <v/>
      </c>
      <c r="AQ116" s="349">
        <f t="shared" si="11"/>
        <v>35000</v>
      </c>
      <c r="AR116" s="379" t="str">
        <f>""</f>
        <v/>
      </c>
      <c r="AS116" s="371">
        <v>31400</v>
      </c>
      <c r="AT116" s="371">
        <v>35000</v>
      </c>
      <c r="AU116" s="371">
        <v>35000</v>
      </c>
      <c r="AV116" s="379" t="s">
        <v>496</v>
      </c>
      <c r="AX116" s="349">
        <f t="shared" si="12"/>
        <v>0.15</v>
      </c>
      <c r="AY116" s="379" t="str">
        <f>""</f>
        <v/>
      </c>
      <c r="AZ116" s="379">
        <v>0.3</v>
      </c>
      <c r="BA116" s="379">
        <f t="shared" si="3"/>
        <v>0.18181818181818182</v>
      </c>
      <c r="BB116" s="379">
        <v>0.15</v>
      </c>
      <c r="BC116" s="379" t="s">
        <v>496</v>
      </c>
      <c r="BE116" s="349">
        <f t="shared" si="13"/>
        <v>0.15</v>
      </c>
      <c r="BF116" s="385" t="str">
        <f>""</f>
        <v/>
      </c>
      <c r="BG116" s="382">
        <v>0.15</v>
      </c>
      <c r="BH116" s="385" t="s">
        <v>693</v>
      </c>
      <c r="BI116" s="382">
        <v>0.15</v>
      </c>
      <c r="BJ116" s="382" t="s">
        <v>496</v>
      </c>
    </row>
    <row r="117" spans="1:62" x14ac:dyDescent="0.2">
      <c r="A117" s="285" t="str">
        <f t="shared" si="4"/>
        <v>C 45/55</v>
      </c>
      <c r="B117" s="372" t="str">
        <f>""</f>
        <v/>
      </c>
      <c r="C117" s="372" t="s">
        <v>507</v>
      </c>
      <c r="D117" s="372" t="s">
        <v>507</v>
      </c>
      <c r="E117" s="372" t="s">
        <v>507</v>
      </c>
      <c r="F117" s="371" t="str">
        <f>""</f>
        <v/>
      </c>
      <c r="H117" s="348">
        <f t="shared" si="5"/>
        <v>45</v>
      </c>
      <c r="I117" s="376" t="str">
        <f>""</f>
        <v/>
      </c>
      <c r="J117" s="376">
        <v>45</v>
      </c>
      <c r="K117" s="376">
        <v>45</v>
      </c>
      <c r="L117" s="376">
        <v>45</v>
      </c>
      <c r="M117" s="376" t="str">
        <f>""</f>
        <v/>
      </c>
      <c r="O117" s="349">
        <f t="shared" si="6"/>
        <v>0.85</v>
      </c>
      <c r="P117" s="379" t="str">
        <f>""</f>
        <v/>
      </c>
      <c r="Q117" s="379">
        <v>0.85</v>
      </c>
      <c r="R117" s="379">
        <f t="shared" si="7"/>
        <v>0.90909090909090906</v>
      </c>
      <c r="S117" s="379">
        <v>0.85</v>
      </c>
      <c r="T117" s="379" t="str">
        <f>""</f>
        <v/>
      </c>
      <c r="V117" s="348">
        <f t="shared" si="8"/>
        <v>2</v>
      </c>
      <c r="W117" s="376" t="str">
        <f>""</f>
        <v/>
      </c>
      <c r="X117" s="376">
        <v>2</v>
      </c>
      <c r="Y117" s="376">
        <v>2</v>
      </c>
      <c r="Z117" s="376">
        <v>2</v>
      </c>
      <c r="AA117" s="376" t="str">
        <f>""</f>
        <v/>
      </c>
      <c r="AC117" s="348">
        <f t="shared" si="9"/>
        <v>3.5</v>
      </c>
      <c r="AD117" s="376" t="str">
        <f>""</f>
        <v/>
      </c>
      <c r="AE117" s="376">
        <v>3.5</v>
      </c>
      <c r="AF117" s="376">
        <v>3.5</v>
      </c>
      <c r="AG117" s="376">
        <v>3.5</v>
      </c>
      <c r="AH117" s="376" t="str">
        <f>""</f>
        <v/>
      </c>
      <c r="AJ117" s="350">
        <f t="shared" si="10"/>
        <v>2</v>
      </c>
      <c r="AK117" s="382" t="str">
        <f>""</f>
        <v/>
      </c>
      <c r="AL117" s="382">
        <v>2</v>
      </c>
      <c r="AM117" s="382">
        <v>2</v>
      </c>
      <c r="AN117" s="382">
        <v>2</v>
      </c>
      <c r="AO117" s="382" t="str">
        <f>""</f>
        <v/>
      </c>
      <c r="AQ117" s="349">
        <f t="shared" si="11"/>
        <v>36000</v>
      </c>
      <c r="AR117" s="379" t="str">
        <f>""</f>
        <v/>
      </c>
      <c r="AS117" s="371">
        <v>32800</v>
      </c>
      <c r="AT117" s="371">
        <v>36000</v>
      </c>
      <c r="AU117" s="371">
        <v>36000</v>
      </c>
      <c r="AV117" s="379" t="s">
        <v>496</v>
      </c>
      <c r="AX117" s="349">
        <f t="shared" si="12"/>
        <v>0.15</v>
      </c>
      <c r="AY117" s="379" t="str">
        <f>""</f>
        <v/>
      </c>
      <c r="AZ117" s="379">
        <v>0.3</v>
      </c>
      <c r="BA117" s="379">
        <f t="shared" si="3"/>
        <v>0.18181818181818182</v>
      </c>
      <c r="BB117" s="379">
        <v>0.15</v>
      </c>
      <c r="BC117" s="379" t="s">
        <v>496</v>
      </c>
      <c r="BE117" s="349">
        <f t="shared" si="13"/>
        <v>0.15</v>
      </c>
      <c r="BF117" s="385" t="str">
        <f>""</f>
        <v/>
      </c>
      <c r="BG117" s="382">
        <v>0.15</v>
      </c>
      <c r="BH117" s="385" t="s">
        <v>693</v>
      </c>
      <c r="BI117" s="382">
        <v>0.15</v>
      </c>
      <c r="BJ117" s="382" t="s">
        <v>496</v>
      </c>
    </row>
    <row r="118" spans="1:62" x14ac:dyDescent="0.2">
      <c r="A118" s="286" t="str">
        <f t="shared" si="4"/>
        <v>C 50/60</v>
      </c>
      <c r="B118" s="373" t="str">
        <f>""</f>
        <v/>
      </c>
      <c r="C118" s="373" t="s">
        <v>508</v>
      </c>
      <c r="D118" s="373" t="s">
        <v>508</v>
      </c>
      <c r="E118" s="373" t="s">
        <v>508</v>
      </c>
      <c r="F118" s="374" t="str">
        <f>""</f>
        <v/>
      </c>
      <c r="H118" s="351">
        <f t="shared" si="5"/>
        <v>50</v>
      </c>
      <c r="I118" s="377" t="str">
        <f>""</f>
        <v/>
      </c>
      <c r="J118" s="377">
        <v>50</v>
      </c>
      <c r="K118" s="377">
        <v>50</v>
      </c>
      <c r="L118" s="377">
        <v>50</v>
      </c>
      <c r="M118" s="377" t="str">
        <f>""</f>
        <v/>
      </c>
      <c r="O118" s="352">
        <f t="shared" si="6"/>
        <v>0.85</v>
      </c>
      <c r="P118" s="353" t="str">
        <f>""</f>
        <v/>
      </c>
      <c r="Q118" s="353">
        <v>0.85</v>
      </c>
      <c r="R118" s="353">
        <f t="shared" si="7"/>
        <v>0.90909090909090906</v>
      </c>
      <c r="S118" s="353">
        <v>0.85</v>
      </c>
      <c r="T118" s="353" t="str">
        <f>""</f>
        <v/>
      </c>
      <c r="V118" s="351">
        <f t="shared" si="8"/>
        <v>2</v>
      </c>
      <c r="W118" s="377" t="str">
        <f>""</f>
        <v/>
      </c>
      <c r="X118" s="377">
        <v>2</v>
      </c>
      <c r="Y118" s="377">
        <v>2</v>
      </c>
      <c r="Z118" s="377">
        <v>2</v>
      </c>
      <c r="AA118" s="377" t="str">
        <f>""</f>
        <v/>
      </c>
      <c r="AC118" s="351">
        <f t="shared" si="9"/>
        <v>3.5</v>
      </c>
      <c r="AD118" s="377" t="str">
        <f>""</f>
        <v/>
      </c>
      <c r="AE118" s="377">
        <v>3.5</v>
      </c>
      <c r="AF118" s="377">
        <v>3.5</v>
      </c>
      <c r="AG118" s="377">
        <v>3.5</v>
      </c>
      <c r="AH118" s="377" t="str">
        <f>""</f>
        <v/>
      </c>
      <c r="AJ118" s="354">
        <f t="shared" si="10"/>
        <v>2</v>
      </c>
      <c r="AK118" s="383" t="str">
        <f>""</f>
        <v/>
      </c>
      <c r="AL118" s="383">
        <v>2</v>
      </c>
      <c r="AM118" s="383">
        <v>2</v>
      </c>
      <c r="AN118" s="383">
        <v>2</v>
      </c>
      <c r="AO118" s="383" t="str">
        <f>""</f>
        <v/>
      </c>
      <c r="AQ118" s="352">
        <f t="shared" si="11"/>
        <v>37000</v>
      </c>
      <c r="AR118" s="380" t="str">
        <f>""</f>
        <v/>
      </c>
      <c r="AS118" s="374">
        <v>34300</v>
      </c>
      <c r="AT118" s="374">
        <v>37000</v>
      </c>
      <c r="AU118" s="374">
        <v>37000</v>
      </c>
      <c r="AV118" s="380" t="s">
        <v>496</v>
      </c>
      <c r="AX118" s="352">
        <f t="shared" si="12"/>
        <v>0.15</v>
      </c>
      <c r="AY118" s="380" t="str">
        <f>""</f>
        <v/>
      </c>
      <c r="AZ118" s="380">
        <v>0.3</v>
      </c>
      <c r="BA118" s="380">
        <f t="shared" si="3"/>
        <v>0.18181818181818182</v>
      </c>
      <c r="BB118" s="380">
        <v>0.15</v>
      </c>
      <c r="BC118" s="380" t="s">
        <v>496</v>
      </c>
      <c r="BE118" s="352">
        <f t="shared" si="13"/>
        <v>0.15</v>
      </c>
      <c r="BF118" s="386" t="str">
        <f>""</f>
        <v/>
      </c>
      <c r="BG118" s="383">
        <v>0.15</v>
      </c>
      <c r="BH118" s="386" t="s">
        <v>693</v>
      </c>
      <c r="BI118" s="383">
        <v>0.15</v>
      </c>
      <c r="BJ118" s="383" t="s">
        <v>496</v>
      </c>
    </row>
    <row r="120" spans="1:62" x14ac:dyDescent="0.2">
      <c r="A120" s="170" t="str">
        <f>B17</f>
        <v>Reinforcement</v>
      </c>
      <c r="B120" s="170">
        <v>1</v>
      </c>
      <c r="C120" s="170">
        <v>2</v>
      </c>
      <c r="D120" s="170">
        <v>3</v>
      </c>
      <c r="E120" s="170">
        <v>4</v>
      </c>
      <c r="F120" s="170">
        <v>5</v>
      </c>
      <c r="H120" s="344" t="s">
        <v>413</v>
      </c>
      <c r="I120" s="170">
        <v>1</v>
      </c>
      <c r="J120" s="170">
        <v>2</v>
      </c>
      <c r="K120" s="170">
        <v>3</v>
      </c>
      <c r="L120" s="170">
        <v>4</v>
      </c>
      <c r="M120" s="170">
        <v>5</v>
      </c>
      <c r="O120" s="344" t="s">
        <v>414</v>
      </c>
      <c r="P120" s="170">
        <v>1</v>
      </c>
      <c r="Q120" s="170">
        <v>2</v>
      </c>
      <c r="R120" s="170">
        <v>3</v>
      </c>
      <c r="S120" s="170">
        <v>4</v>
      </c>
      <c r="T120" s="170">
        <v>5</v>
      </c>
      <c r="V120" s="344" t="s">
        <v>415</v>
      </c>
      <c r="W120" s="170">
        <v>1</v>
      </c>
      <c r="X120" s="170">
        <v>2</v>
      </c>
      <c r="Y120" s="170">
        <v>3</v>
      </c>
      <c r="Z120" s="170">
        <v>4</v>
      </c>
      <c r="AA120" s="170">
        <v>5</v>
      </c>
      <c r="AC120" s="344" t="s">
        <v>509</v>
      </c>
      <c r="AD120" s="170">
        <v>1</v>
      </c>
      <c r="AE120" s="170">
        <v>2</v>
      </c>
      <c r="AF120" s="170">
        <v>3</v>
      </c>
      <c r="AG120" s="170">
        <v>4</v>
      </c>
      <c r="AH120" s="170">
        <v>5</v>
      </c>
    </row>
    <row r="121" spans="1:62" x14ac:dyDescent="0.2">
      <c r="A121" s="284" t="str">
        <f>INDEX(B121:F121,,$A$4)</f>
        <v>B500A</v>
      </c>
      <c r="B121" s="370" t="s">
        <v>573</v>
      </c>
      <c r="C121" s="370" t="s">
        <v>510</v>
      </c>
      <c r="D121" s="370" t="s">
        <v>694</v>
      </c>
      <c r="E121" s="370" t="s">
        <v>694</v>
      </c>
      <c r="F121" s="370" t="str">
        <f>""</f>
        <v/>
      </c>
      <c r="H121" s="346">
        <f>INDEX(I121:M121,,$A$4)</f>
        <v>500</v>
      </c>
      <c r="I121" s="378">
        <v>420</v>
      </c>
      <c r="J121" s="378">
        <v>500</v>
      </c>
      <c r="K121" s="378">
        <v>500</v>
      </c>
      <c r="L121" s="378">
        <v>500</v>
      </c>
      <c r="M121" s="370" t="str">
        <f>""</f>
        <v/>
      </c>
      <c r="O121" s="346">
        <f>INDEX(P121:T121,,$A$4)</f>
        <v>525</v>
      </c>
      <c r="P121" s="378">
        <v>420</v>
      </c>
      <c r="Q121" s="378">
        <v>525</v>
      </c>
      <c r="R121" s="378">
        <v>525</v>
      </c>
      <c r="S121" s="378">
        <v>525</v>
      </c>
      <c r="T121" s="378" t="str">
        <f>""</f>
        <v/>
      </c>
      <c r="V121" s="346">
        <f>INDEX(W121:AA121,,$A$4)</f>
        <v>200000</v>
      </c>
      <c r="W121" s="378">
        <v>210000</v>
      </c>
      <c r="X121" s="378">
        <v>200000</v>
      </c>
      <c r="Y121" s="378">
        <v>200000</v>
      </c>
      <c r="Z121" s="378">
        <v>200000</v>
      </c>
      <c r="AA121" s="378" t="str">
        <f>""</f>
        <v/>
      </c>
      <c r="AC121" s="345">
        <f>INDEX(AD121:AH121,,$A$4)</f>
        <v>25</v>
      </c>
      <c r="AD121" s="375">
        <v>5</v>
      </c>
      <c r="AE121" s="375">
        <v>25</v>
      </c>
      <c r="AF121" s="375">
        <v>25</v>
      </c>
      <c r="AG121" s="375">
        <v>25</v>
      </c>
      <c r="AH121" s="375" t="str">
        <f>""</f>
        <v/>
      </c>
    </row>
    <row r="122" spans="1:62" x14ac:dyDescent="0.2">
      <c r="A122" s="285" t="str">
        <f>INDEX(B122:F122,,$A$4)</f>
        <v>B500B</v>
      </c>
      <c r="B122" s="371" t="s">
        <v>574</v>
      </c>
      <c r="C122" s="371" t="s">
        <v>511</v>
      </c>
      <c r="D122" s="371" t="s">
        <v>695</v>
      </c>
      <c r="E122" s="371" t="s">
        <v>695</v>
      </c>
      <c r="F122" s="371" t="str">
        <f>""</f>
        <v/>
      </c>
      <c r="H122" s="349">
        <f>INDEX(I122:M122,,$A$4)</f>
        <v>500</v>
      </c>
      <c r="I122" s="379">
        <v>500</v>
      </c>
      <c r="J122" s="379">
        <v>500</v>
      </c>
      <c r="K122" s="379">
        <v>500</v>
      </c>
      <c r="L122" s="379">
        <v>500</v>
      </c>
      <c r="M122" s="371" t="str">
        <f>""</f>
        <v/>
      </c>
      <c r="O122" s="349">
        <f>INDEX(P122:T122,,$A$4)</f>
        <v>525</v>
      </c>
      <c r="P122" s="379">
        <v>500</v>
      </c>
      <c r="Q122" s="379">
        <v>540</v>
      </c>
      <c r="R122" s="379">
        <v>525</v>
      </c>
      <c r="S122" s="379">
        <v>525</v>
      </c>
      <c r="T122" s="379" t="str">
        <f>""</f>
        <v/>
      </c>
      <c r="V122" s="349">
        <f>INDEX(W122:AA122,,$A$4)</f>
        <v>200000</v>
      </c>
      <c r="W122" s="379">
        <v>210000</v>
      </c>
      <c r="X122" s="379">
        <v>200000</v>
      </c>
      <c r="Y122" s="379">
        <v>200000</v>
      </c>
      <c r="Z122" s="379">
        <v>200000</v>
      </c>
      <c r="AA122" s="379" t="str">
        <f>""</f>
        <v/>
      </c>
      <c r="AC122" s="348">
        <f>INDEX(AD122:AH122,,$A$4)</f>
        <v>25</v>
      </c>
      <c r="AD122" s="376">
        <v>5</v>
      </c>
      <c r="AE122" s="376">
        <v>50</v>
      </c>
      <c r="AF122" s="376">
        <v>25</v>
      </c>
      <c r="AG122" s="376">
        <v>25</v>
      </c>
      <c r="AH122" s="376" t="str">
        <f>""</f>
        <v/>
      </c>
    </row>
    <row r="123" spans="1:62" x14ac:dyDescent="0.2">
      <c r="A123" s="285" t="str">
        <f>INDEX(B123:F123,,$A$4)</f>
        <v/>
      </c>
      <c r="B123" s="371" t="str">
        <f>""</f>
        <v/>
      </c>
      <c r="C123" s="371" t="str">
        <f>""</f>
        <v/>
      </c>
      <c r="D123" s="371" t="str">
        <f>""</f>
        <v/>
      </c>
      <c r="E123" s="371" t="str">
        <f>""</f>
        <v/>
      </c>
      <c r="F123" s="371" t="str">
        <f>""</f>
        <v/>
      </c>
      <c r="H123" s="349" t="str">
        <f>INDEX(I123:M123,,$A$4)</f>
        <v/>
      </c>
      <c r="I123" s="371" t="str">
        <f>""</f>
        <v/>
      </c>
      <c r="J123" s="371" t="str">
        <f>""</f>
        <v/>
      </c>
      <c r="K123" s="371" t="str">
        <f>""</f>
        <v/>
      </c>
      <c r="L123" s="371" t="str">
        <f>""</f>
        <v/>
      </c>
      <c r="M123" s="371" t="str">
        <f>""</f>
        <v/>
      </c>
      <c r="O123" s="349" t="str">
        <f>INDEX(P123:T123,,$A$4)</f>
        <v/>
      </c>
      <c r="P123" s="379" t="str">
        <f>""</f>
        <v/>
      </c>
      <c r="Q123" s="379" t="str">
        <f>""</f>
        <v/>
      </c>
      <c r="R123" s="379" t="str">
        <f>""</f>
        <v/>
      </c>
      <c r="S123" s="379" t="str">
        <f>""</f>
        <v/>
      </c>
      <c r="T123" s="379" t="str">
        <f>""</f>
        <v/>
      </c>
      <c r="V123" s="349" t="str">
        <f>INDEX(W123:AA123,,$A$4)</f>
        <v/>
      </c>
      <c r="W123" s="379" t="str">
        <f>""</f>
        <v/>
      </c>
      <c r="X123" s="379" t="str">
        <f>""</f>
        <v/>
      </c>
      <c r="Y123" s="379" t="str">
        <f>""</f>
        <v/>
      </c>
      <c r="Z123" s="379" t="str">
        <f>""</f>
        <v/>
      </c>
      <c r="AA123" s="379" t="str">
        <f>""</f>
        <v/>
      </c>
      <c r="AC123" s="348" t="str">
        <f>INDEX(AD123:AH123,,$A$4)</f>
        <v/>
      </c>
      <c r="AD123" s="376" t="str">
        <f>""</f>
        <v/>
      </c>
      <c r="AE123" s="376" t="str">
        <f>""</f>
        <v/>
      </c>
      <c r="AF123" s="376" t="str">
        <f>""</f>
        <v/>
      </c>
      <c r="AG123" s="376" t="str">
        <f>""</f>
        <v/>
      </c>
      <c r="AH123" s="376" t="str">
        <f>""</f>
        <v/>
      </c>
    </row>
    <row r="124" spans="1:62" x14ac:dyDescent="0.2">
      <c r="A124" s="286" t="str">
        <f>INDEX(B124:F124,,$A$4)</f>
        <v/>
      </c>
      <c r="B124" s="374" t="str">
        <f>""</f>
        <v/>
      </c>
      <c r="C124" s="374" t="str">
        <f>""</f>
        <v/>
      </c>
      <c r="D124" s="374" t="str">
        <f>""</f>
        <v/>
      </c>
      <c r="E124" s="374" t="str">
        <f>""</f>
        <v/>
      </c>
      <c r="F124" s="374" t="str">
        <f>""</f>
        <v/>
      </c>
      <c r="H124" s="352" t="str">
        <f>INDEX(I124:M124,,$A$4)</f>
        <v/>
      </c>
      <c r="I124" s="374" t="str">
        <f>""</f>
        <v/>
      </c>
      <c r="J124" s="374" t="str">
        <f>""</f>
        <v/>
      </c>
      <c r="K124" s="374" t="str">
        <f>""</f>
        <v/>
      </c>
      <c r="L124" s="374" t="str">
        <f>""</f>
        <v/>
      </c>
      <c r="M124" s="374" t="str">
        <f>""</f>
        <v/>
      </c>
      <c r="O124" s="352" t="str">
        <f>INDEX(P124:T124,,$A$4)</f>
        <v/>
      </c>
      <c r="P124" s="380" t="str">
        <f>""</f>
        <v/>
      </c>
      <c r="Q124" s="380" t="str">
        <f>""</f>
        <v/>
      </c>
      <c r="R124" s="380" t="str">
        <f>""</f>
        <v/>
      </c>
      <c r="S124" s="380" t="str">
        <f>""</f>
        <v/>
      </c>
      <c r="T124" s="380" t="str">
        <f>""</f>
        <v/>
      </c>
      <c r="V124" s="352" t="str">
        <f>INDEX(W124:AA124,,$A$4)</f>
        <v/>
      </c>
      <c r="W124" s="380" t="str">
        <f>""</f>
        <v/>
      </c>
      <c r="X124" s="380" t="str">
        <f>""</f>
        <v/>
      </c>
      <c r="Y124" s="380" t="str">
        <f>""</f>
        <v/>
      </c>
      <c r="Z124" s="380" t="str">
        <f>""</f>
        <v/>
      </c>
      <c r="AA124" s="380" t="str">
        <f>""</f>
        <v/>
      </c>
      <c r="AC124" s="351" t="str">
        <f>INDEX(AD124:AH124,,$A$4)</f>
        <v/>
      </c>
      <c r="AD124" s="377" t="str">
        <f>""</f>
        <v/>
      </c>
      <c r="AE124" s="377" t="str">
        <f>""</f>
        <v/>
      </c>
      <c r="AF124" s="377" t="str">
        <f>""</f>
        <v/>
      </c>
      <c r="AG124" s="377" t="str">
        <f>""</f>
        <v/>
      </c>
      <c r="AH124" s="377" t="str">
        <f>""</f>
        <v/>
      </c>
    </row>
    <row r="126" spans="1:62" x14ac:dyDescent="0.2">
      <c r="A126" s="337" t="s">
        <v>578</v>
      </c>
      <c r="B126" s="337">
        <v>1</v>
      </c>
      <c r="C126" s="337">
        <v>2</v>
      </c>
      <c r="D126" s="337">
        <v>3</v>
      </c>
      <c r="E126" s="337">
        <v>4</v>
      </c>
      <c r="F126" s="337">
        <v>5</v>
      </c>
      <c r="H126" s="337" t="s">
        <v>602</v>
      </c>
      <c r="I126" s="337">
        <v>1</v>
      </c>
      <c r="J126" s="337">
        <v>2</v>
      </c>
      <c r="K126" s="337">
        <v>3</v>
      </c>
      <c r="L126" s="337">
        <v>4</v>
      </c>
      <c r="M126" s="337">
        <v>5</v>
      </c>
      <c r="O126" s="337" t="s">
        <v>602</v>
      </c>
      <c r="P126" s="337">
        <v>1</v>
      </c>
      <c r="Q126" s="337">
        <v>2</v>
      </c>
      <c r="R126" s="337">
        <v>3</v>
      </c>
      <c r="S126" s="337">
        <v>4</v>
      </c>
      <c r="T126" s="337">
        <v>5</v>
      </c>
    </row>
    <row r="127" spans="1:62" x14ac:dyDescent="0.2">
      <c r="A127" s="355" t="str">
        <f>INDEX(B127:F127,,$A$4)</f>
        <v>without min. reinforcement</v>
      </c>
      <c r="B127" s="387" t="str">
        <f>INDEX(LA!$A222:$J222,,Info!$A$5)</f>
        <v>without min. reinforcement</v>
      </c>
      <c r="C127" s="387" t="str">
        <f>INDEX(LA!$A222:$J222,,Info!$A$5)</f>
        <v>without min. reinforcement</v>
      </c>
      <c r="D127" s="387" t="str">
        <f>INDEX(LA!$A222:$J222,,Info!$A$5)</f>
        <v>without min. reinforcement</v>
      </c>
      <c r="E127" s="387" t="str">
        <f>INDEX(LA!$A222:$J222,,Info!$A$5)</f>
        <v>without min. reinforcement</v>
      </c>
      <c r="F127" s="387" t="str">
        <f>""</f>
        <v/>
      </c>
      <c r="H127" s="355" t="str">
        <f>INDEX(I127:M127,,$A$4)</f>
        <v>without crack width limit</v>
      </c>
      <c r="I127" s="387" t="str">
        <f>INDEX(LA!$A224:$J224,,Info!$A$5)</f>
        <v>without crack width limit</v>
      </c>
      <c r="J127" s="387" t="str">
        <f>INDEX(LA!$A224:$J224,,Info!$A$5)</f>
        <v>without crack width limit</v>
      </c>
      <c r="K127" s="387" t="str">
        <f>INDEX(LA!$A224:$J224,,Info!$A$5)</f>
        <v>without crack width limit</v>
      </c>
      <c r="L127" s="387" t="str">
        <f>INDEX(LA!$A224:$J224,,Info!$A$5)</f>
        <v>without crack width limit</v>
      </c>
      <c r="M127" s="387" t="str">
        <f>""</f>
        <v/>
      </c>
      <c r="O127" s="355" t="str">
        <f>IF($E$18=1,"",INDEX(P127:T127,,$A$4))</f>
        <v/>
      </c>
      <c r="P127" s="387" t="str">
        <f>""</f>
        <v/>
      </c>
      <c r="Q127" s="387" t="str">
        <f>""</f>
        <v/>
      </c>
      <c r="R127" s="387" t="str">
        <f>""</f>
        <v/>
      </c>
      <c r="S127" s="387" t="str">
        <f>""</f>
        <v/>
      </c>
      <c r="T127" s="387" t="str">
        <f>""</f>
        <v/>
      </c>
    </row>
    <row r="128" spans="1:62" x14ac:dyDescent="0.2">
      <c r="A128" s="342" t="str">
        <f>INDEX(B128:F128,,$A$4)</f>
        <v>with min. reinforcement</v>
      </c>
      <c r="B128" s="369" t="str">
        <f>INDEX(LA!$A223:$J223,,Info!$A$5)</f>
        <v>with min. reinforcement</v>
      </c>
      <c r="C128" s="369" t="str">
        <f>INDEX(LA!$A223:$J223,,Info!$A$5)</f>
        <v>with min. reinforcement</v>
      </c>
      <c r="D128" s="369" t="str">
        <f>INDEX(LA!$A223:$J223,,Info!$A$5)</f>
        <v>with min. reinforcement</v>
      </c>
      <c r="E128" s="369" t="str">
        <f>INDEX(LA!$A223:$J223,,Info!$A$5)</f>
        <v>with min. reinforcement</v>
      </c>
      <c r="F128" s="369" t="str">
        <f>""</f>
        <v/>
      </c>
      <c r="H128" s="342" t="str">
        <f>INDEX(I128:M128,,$A$4)</f>
        <v>with crack width limit</v>
      </c>
      <c r="I128" s="369" t="str">
        <f>INDEX(LA!$A225:$J225,,Info!$A$5)</f>
        <v>with crack width limit</v>
      </c>
      <c r="J128" s="369" t="str">
        <f>INDEX(LA!$A225:$J225,,Info!$A$5)</f>
        <v>with crack width limit</v>
      </c>
      <c r="K128" s="369" t="str">
        <f>INDEX(LA!$A225:$J225,,Info!$A$5)</f>
        <v>with crack width limit</v>
      </c>
      <c r="L128" s="369" t="str">
        <f>INDEX(LA!$A225:$J225,,Info!$A$5)</f>
        <v>with crack width limit</v>
      </c>
      <c r="M128" s="369" t="str">
        <f>""</f>
        <v/>
      </c>
      <c r="O128" s="341" t="str">
        <f>IF($E$18=1,"",INDEX(P128:T128,,$A$4))</f>
        <v>crack width = 0.40 mm</v>
      </c>
      <c r="P128" s="368" t="str">
        <f>INDEX(LA!$A226:$J226,,Info!$A$5)</f>
        <v>crack width = 0.40 mm</v>
      </c>
      <c r="Q128" s="368" t="str">
        <f>INDEX(LA!$A226:$J226,,Info!$A$5)</f>
        <v>crack width = 0.40 mm</v>
      </c>
      <c r="R128" s="368" t="str">
        <f>INDEX(LA!$A226:$J226,,Info!$A$5)</f>
        <v>crack width = 0.40 mm</v>
      </c>
      <c r="S128" s="368" t="str">
        <f>INDEX(LA!$A226:$J226,,Info!$A$5)</f>
        <v>crack width = 0.40 mm</v>
      </c>
      <c r="T128" s="368" t="str">
        <f>""</f>
        <v/>
      </c>
    </row>
    <row r="129" spans="1:41" x14ac:dyDescent="0.2">
      <c r="O129" s="341" t="str">
        <f>IF($E$18=1,"",INDEX(P129:T129,,$A$4))</f>
        <v>crack width = 0.30 mm</v>
      </c>
      <c r="P129" s="368" t="str">
        <f>INDEX(LA!$A227:$J227,,Info!$A$5)</f>
        <v>crack width = 0.30 mm</v>
      </c>
      <c r="Q129" s="368" t="str">
        <f>INDEX(LA!$A227:$J227,,Info!$A$5)</f>
        <v>crack width = 0.30 mm</v>
      </c>
      <c r="R129" s="368" t="str">
        <f>INDEX(LA!$A227:$J227,,Info!$A$5)</f>
        <v>crack width = 0.30 mm</v>
      </c>
      <c r="S129" s="368" t="str">
        <f>INDEX(LA!$A227:$J227,,Info!$A$5)</f>
        <v>crack width = 0.30 mm</v>
      </c>
      <c r="T129" s="368" t="str">
        <f>""</f>
        <v/>
      </c>
    </row>
    <row r="130" spans="1:41" x14ac:dyDescent="0.2">
      <c r="O130" s="342" t="str">
        <f>IF($E$18=1,"",INDEX(P130:T130,,$A$4))</f>
        <v>crack width = 0.20 mm</v>
      </c>
      <c r="P130" s="369" t="str">
        <f>INDEX(LA!$A228:$J228,,Info!$A$5)</f>
        <v>crack width = 0.20 mm</v>
      </c>
      <c r="Q130" s="369" t="str">
        <f>INDEX(LA!$A228:$J228,,Info!$A$5)</f>
        <v>crack width = 0.20 mm</v>
      </c>
      <c r="R130" s="369" t="str">
        <f>INDEX(LA!$A228:$J228,,Info!$A$5)</f>
        <v>crack width = 0.20 mm</v>
      </c>
      <c r="S130" s="369" t="str">
        <f>INDEX(LA!$A228:$J228,,Info!$A$5)</f>
        <v>crack width = 0.20 mm</v>
      </c>
      <c r="T130" s="369" t="str">
        <f>""</f>
        <v/>
      </c>
    </row>
    <row r="132" spans="1:41" x14ac:dyDescent="0.2">
      <c r="A132" s="170" t="s">
        <v>588</v>
      </c>
      <c r="B132" s="170">
        <v>1</v>
      </c>
      <c r="C132" s="170">
        <v>2</v>
      </c>
      <c r="D132" s="170">
        <v>3</v>
      </c>
      <c r="E132" s="337">
        <v>4</v>
      </c>
      <c r="F132" s="337">
        <v>5</v>
      </c>
      <c r="H132" s="337" t="s">
        <v>589</v>
      </c>
      <c r="I132" s="337">
        <v>1</v>
      </c>
      <c r="J132" s="337">
        <v>2</v>
      </c>
      <c r="K132" s="337">
        <v>3</v>
      </c>
      <c r="L132" s="337">
        <v>4</v>
      </c>
      <c r="M132" s="337">
        <v>5</v>
      </c>
      <c r="O132" s="337" t="s">
        <v>590</v>
      </c>
      <c r="P132" s="337">
        <v>1</v>
      </c>
      <c r="Q132" s="337">
        <v>2</v>
      </c>
      <c r="R132" s="337">
        <v>3</v>
      </c>
      <c r="S132" s="337">
        <v>4</v>
      </c>
      <c r="T132" s="337">
        <v>5</v>
      </c>
      <c r="V132" s="337" t="s">
        <v>591</v>
      </c>
      <c r="W132" s="337">
        <v>1</v>
      </c>
      <c r="X132" s="337">
        <v>2</v>
      </c>
      <c r="Y132" s="337">
        <v>3</v>
      </c>
      <c r="Z132" s="337">
        <v>4</v>
      </c>
      <c r="AA132" s="337">
        <v>5</v>
      </c>
      <c r="AC132" s="337" t="s">
        <v>409</v>
      </c>
      <c r="AD132" s="337">
        <v>1</v>
      </c>
      <c r="AE132" s="337">
        <v>2</v>
      </c>
      <c r="AF132" s="337">
        <v>3</v>
      </c>
      <c r="AG132" s="337">
        <v>4</v>
      </c>
      <c r="AH132" s="337">
        <v>5</v>
      </c>
      <c r="AJ132" s="337" t="s">
        <v>417</v>
      </c>
      <c r="AK132" s="337">
        <v>1</v>
      </c>
      <c r="AL132" s="337">
        <v>2</v>
      </c>
      <c r="AM132" s="337">
        <v>3</v>
      </c>
      <c r="AN132" s="337">
        <v>4</v>
      </c>
      <c r="AO132" s="337">
        <v>5</v>
      </c>
    </row>
    <row r="133" spans="1:41" x14ac:dyDescent="0.2">
      <c r="A133" s="287" t="str">
        <f>INDEX(B133:F133,,$A$4) &amp; $G133</f>
        <v>BS-P: Persistent situation</v>
      </c>
      <c r="B133" s="388" t="s">
        <v>516</v>
      </c>
      <c r="C133" s="388" t="s">
        <v>516</v>
      </c>
      <c r="D133" s="388" t="s">
        <v>517</v>
      </c>
      <c r="E133" s="388" t="s">
        <v>517</v>
      </c>
      <c r="F133" s="370" t="str">
        <f>""</f>
        <v/>
      </c>
      <c r="G133" s="391" t="str">
        <f>INDEX(LA!$A231:$J231,,Info!$A$5)</f>
        <v>: Persistent situation</v>
      </c>
      <c r="H133" s="339" t="str">
        <f>INDEX(I133:M133,,$A$4)</f>
        <v>permanent</v>
      </c>
      <c r="I133" s="365" t="str">
        <f>""</f>
        <v/>
      </c>
      <c r="J133" s="365" t="str">
        <f>INDEX(LA!$A235:$J235,,Info!$A$5)</f>
        <v>permanent</v>
      </c>
      <c r="K133" s="365" t="str">
        <f>INDEX(LA!$A235:$J235,,Info!$A$5)</f>
        <v>permanent</v>
      </c>
      <c r="L133" s="365" t="str">
        <f>INDEX(LA!$A235:$J235,,Info!$A$5)</f>
        <v>permanent</v>
      </c>
      <c r="M133" s="365" t="str">
        <f>""</f>
        <v/>
      </c>
      <c r="O133" s="356">
        <f>INDEX(P133:T133,,$A$4)</f>
        <v>1.35</v>
      </c>
      <c r="P133" s="394" t="str">
        <f>""</f>
        <v/>
      </c>
      <c r="Q133" s="394">
        <v>1.35</v>
      </c>
      <c r="R133" s="394">
        <v>1.35</v>
      </c>
      <c r="S133" s="394">
        <v>1.35</v>
      </c>
      <c r="T133" s="394" t="str">
        <f>""</f>
        <v/>
      </c>
      <c r="V133" s="356">
        <f>INDEX(W133:AA133,,$A$4)</f>
        <v>1.5</v>
      </c>
      <c r="W133" s="394" t="str">
        <f>""</f>
        <v/>
      </c>
      <c r="X133" s="394">
        <v>1.5</v>
      </c>
      <c r="Y133" s="394">
        <v>1.5</v>
      </c>
      <c r="Z133" s="394">
        <v>1.5</v>
      </c>
      <c r="AA133" s="394" t="str">
        <f>""</f>
        <v/>
      </c>
      <c r="AC133" s="356">
        <f>INDEX(AD133:AH133,,$A$4)</f>
        <v>1.5</v>
      </c>
      <c r="AD133" s="394">
        <v>1.75</v>
      </c>
      <c r="AE133" s="394">
        <v>1.5</v>
      </c>
      <c r="AF133" s="394">
        <v>1.5</v>
      </c>
      <c r="AG133" s="394">
        <v>1.5</v>
      </c>
      <c r="AH133" s="394" t="str">
        <f>""</f>
        <v/>
      </c>
      <c r="AJ133" s="356">
        <f>INDEX(AK133:AO133,,$A$4)</f>
        <v>1.1499999999999999</v>
      </c>
      <c r="AK133" s="394">
        <v>1.75</v>
      </c>
      <c r="AL133" s="394">
        <v>1.1499999999999999</v>
      </c>
      <c r="AM133" s="394">
        <v>1.1499999999999999</v>
      </c>
      <c r="AN133" s="394">
        <v>1.1499999999999999</v>
      </c>
      <c r="AO133" s="394" t="str">
        <f>""</f>
        <v/>
      </c>
    </row>
    <row r="134" spans="1:41" x14ac:dyDescent="0.2">
      <c r="A134" s="288" t="str">
        <f>INDEX(B134:F134,,$A$4) &amp; $G134</f>
        <v>BS-T: Transient situation</v>
      </c>
      <c r="B134" s="389" t="s">
        <v>518</v>
      </c>
      <c r="C134" s="389" t="s">
        <v>518</v>
      </c>
      <c r="D134" s="389" t="s">
        <v>519</v>
      </c>
      <c r="E134" s="389" t="s">
        <v>519</v>
      </c>
      <c r="F134" s="371" t="str">
        <f>""</f>
        <v/>
      </c>
      <c r="G134" s="391" t="str">
        <f>INDEX(LA!$A232:$J232,,Info!$A$5)</f>
        <v>: Transient situation</v>
      </c>
      <c r="H134" s="340" t="str">
        <f>INDEX(I134:M134,,$A$4)</f>
        <v>transient</v>
      </c>
      <c r="I134" s="366" t="str">
        <f>""</f>
        <v/>
      </c>
      <c r="J134" s="366" t="str">
        <f>INDEX(LA!$A236:$J236,,Info!$A$5)</f>
        <v>transient</v>
      </c>
      <c r="K134" s="366" t="str">
        <f>INDEX(LA!$A236:$J236,,Info!$A$5)</f>
        <v>transient</v>
      </c>
      <c r="L134" s="366" t="str">
        <f>INDEX(LA!$A236:$J236,,Info!$A$5)</f>
        <v>transient</v>
      </c>
      <c r="M134" s="366" t="str">
        <f>""</f>
        <v/>
      </c>
      <c r="O134" s="357">
        <f>INDEX(P134:T134,,$A$4)</f>
        <v>1.2</v>
      </c>
      <c r="P134" s="395" t="str">
        <f>""</f>
        <v/>
      </c>
      <c r="Q134" s="395">
        <v>1.2</v>
      </c>
      <c r="R134" s="395">
        <v>1.2</v>
      </c>
      <c r="S134" s="395">
        <v>1.2</v>
      </c>
      <c r="T134" s="395" t="str">
        <f>""</f>
        <v/>
      </c>
      <c r="V134" s="357">
        <f>INDEX(W134:AA134,,$A$4)</f>
        <v>1.3</v>
      </c>
      <c r="W134" s="395" t="str">
        <f>""</f>
        <v/>
      </c>
      <c r="X134" s="395">
        <v>1.3</v>
      </c>
      <c r="Y134" s="395">
        <v>1.3</v>
      </c>
      <c r="Z134" s="395">
        <v>1.3</v>
      </c>
      <c r="AA134" s="395" t="str">
        <f>""</f>
        <v/>
      </c>
      <c r="AC134" s="357">
        <f>INDEX(AD134:AH134,,$A$4)</f>
        <v>1.5</v>
      </c>
      <c r="AD134" s="395">
        <v>1.75</v>
      </c>
      <c r="AE134" s="395">
        <v>1.5</v>
      </c>
      <c r="AF134" s="395">
        <v>1.5</v>
      </c>
      <c r="AG134" s="395">
        <v>1.5</v>
      </c>
      <c r="AH134" s="395" t="str">
        <f>""</f>
        <v/>
      </c>
      <c r="AJ134" s="357">
        <f>INDEX(AK134:AO134,,$A$4)</f>
        <v>1.1499999999999999</v>
      </c>
      <c r="AK134" s="395">
        <v>1.75</v>
      </c>
      <c r="AL134" s="395">
        <v>1.1499999999999999</v>
      </c>
      <c r="AM134" s="395">
        <v>1.1499999999999999</v>
      </c>
      <c r="AN134" s="395">
        <v>1.1499999999999999</v>
      </c>
      <c r="AO134" s="395" t="str">
        <f>""</f>
        <v/>
      </c>
    </row>
    <row r="135" spans="1:41" x14ac:dyDescent="0.2">
      <c r="A135" s="288" t="str">
        <f>INDEX(B135:F135,,$A$4) &amp; $G135</f>
        <v>BS-A: Accidential situation</v>
      </c>
      <c r="B135" s="389" t="s">
        <v>520</v>
      </c>
      <c r="C135" s="389" t="s">
        <v>520</v>
      </c>
      <c r="D135" s="389" t="s">
        <v>521</v>
      </c>
      <c r="E135" s="389" t="s">
        <v>521</v>
      </c>
      <c r="F135" s="371" t="str">
        <f>""</f>
        <v/>
      </c>
      <c r="G135" s="391" t="str">
        <f>INDEX(LA!$A233:$J233,,Info!$A$5)</f>
        <v>: Accidential situation</v>
      </c>
      <c r="H135" s="340" t="str">
        <f>INDEX(I135:M135,,$A$4)</f>
        <v>γ_c   [1]</v>
      </c>
      <c r="I135" s="366" t="str">
        <f>INDEX(LA!$A237:$J237,,Info!$A$5)</f>
        <v>γ   [1]</v>
      </c>
      <c r="J135" s="366" t="str">
        <f>INDEX(LA!$A238:$J238,,Info!$A$5)</f>
        <v>γ_c   [1]</v>
      </c>
      <c r="K135" s="366" t="str">
        <f>INDEX(LA!$A238:$J238,,Info!$A$5)</f>
        <v>γ_c   [1]</v>
      </c>
      <c r="L135" s="366" t="str">
        <f>INDEX(LA!$A238:$J238,,Info!$A$5)</f>
        <v>γ_c   [1]</v>
      </c>
      <c r="M135" s="366" t="str">
        <f>""</f>
        <v/>
      </c>
      <c r="O135" s="357">
        <f>INDEX(P135:T135,,$A$4)</f>
        <v>1.1000000000000001</v>
      </c>
      <c r="P135" s="395" t="str">
        <f>""</f>
        <v/>
      </c>
      <c r="Q135" s="395">
        <v>1.1000000000000001</v>
      </c>
      <c r="R135" s="395">
        <v>1.1000000000000001</v>
      </c>
      <c r="S135" s="395">
        <v>1.1000000000000001</v>
      </c>
      <c r="T135" s="395" t="str">
        <f>""</f>
        <v/>
      </c>
      <c r="V135" s="357">
        <f>INDEX(W135:AA135,,$A$4)</f>
        <v>1.1000000000000001</v>
      </c>
      <c r="W135" s="395" t="str">
        <f>""</f>
        <v/>
      </c>
      <c r="X135" s="395">
        <v>1.1000000000000001</v>
      </c>
      <c r="Y135" s="395">
        <v>1.1000000000000001</v>
      </c>
      <c r="Z135" s="395">
        <v>1.1000000000000001</v>
      </c>
      <c r="AA135" s="395" t="str">
        <f>""</f>
        <v/>
      </c>
      <c r="AC135" s="357">
        <f>INDEX(AD135:AH135,,$A$4)</f>
        <v>1.3</v>
      </c>
      <c r="AD135" s="395">
        <v>1.3</v>
      </c>
      <c r="AE135" s="395">
        <v>1.3</v>
      </c>
      <c r="AF135" s="395">
        <v>1.2</v>
      </c>
      <c r="AG135" s="395">
        <v>1.3</v>
      </c>
      <c r="AH135" s="395" t="str">
        <f>""</f>
        <v/>
      </c>
      <c r="AJ135" s="357">
        <f>INDEX(AK135:AO135,,$A$4)</f>
        <v>1</v>
      </c>
      <c r="AK135" s="395">
        <v>1.3</v>
      </c>
      <c r="AL135" s="395">
        <v>1</v>
      </c>
      <c r="AM135" s="395">
        <v>1</v>
      </c>
      <c r="AN135" s="395">
        <v>1</v>
      </c>
      <c r="AO135" s="395" t="str">
        <f>""</f>
        <v/>
      </c>
    </row>
    <row r="136" spans="1:41" x14ac:dyDescent="0.2">
      <c r="A136" s="289" t="str">
        <f>INDEX(B136:F136,,$A$4) &amp; $G136</f>
        <v>BS-E: Seismic action</v>
      </c>
      <c r="B136" s="390" t="s">
        <v>520</v>
      </c>
      <c r="C136" s="390" t="s">
        <v>520</v>
      </c>
      <c r="D136" s="390" t="s">
        <v>585</v>
      </c>
      <c r="E136" s="390" t="s">
        <v>585</v>
      </c>
      <c r="F136" s="374" t="str">
        <f>""</f>
        <v/>
      </c>
      <c r="G136" s="391" t="str">
        <f>INDEX(LA!$A234:$J234,,Info!$A$5)</f>
        <v>: Seismic action</v>
      </c>
      <c r="H136" s="343" t="str">
        <f>INDEX(I136:M136,,$A$4)</f>
        <v>γ_s   [1]</v>
      </c>
      <c r="I136" s="367" t="str">
        <f>""</f>
        <v/>
      </c>
      <c r="J136" s="367" t="str">
        <f>INDEX(LA!$A239:$J239,,Info!$A$5)</f>
        <v>γ_s   [1]</v>
      </c>
      <c r="K136" s="367" t="str">
        <f>INDEX(LA!$A239:$J239,,Info!$A$5)</f>
        <v>γ_s   [1]</v>
      </c>
      <c r="L136" s="367" t="str">
        <f>INDEX(LA!$A239:$J239,,Info!$A$5)</f>
        <v>γ_s   [1]</v>
      </c>
      <c r="M136" s="367" t="str">
        <f>""</f>
        <v/>
      </c>
      <c r="O136" s="358">
        <f>INDEX(P136:T136,,$A$4)</f>
        <v>1</v>
      </c>
      <c r="P136" s="396" t="str">
        <f>""</f>
        <v/>
      </c>
      <c r="Q136" s="396">
        <v>1.1000000000000001</v>
      </c>
      <c r="R136" s="396">
        <v>1</v>
      </c>
      <c r="S136" s="396">
        <v>1</v>
      </c>
      <c r="T136" s="396" t="str">
        <f>""</f>
        <v/>
      </c>
      <c r="V136" s="358">
        <f>INDEX(W136:AA136,,$A$4)</f>
        <v>1</v>
      </c>
      <c r="W136" s="396" t="str">
        <f>""</f>
        <v/>
      </c>
      <c r="X136" s="396">
        <v>1.1000000000000001</v>
      </c>
      <c r="Y136" s="396">
        <v>1</v>
      </c>
      <c r="Z136" s="396">
        <v>1</v>
      </c>
      <c r="AA136" s="396" t="str">
        <f>""</f>
        <v/>
      </c>
      <c r="AC136" s="358">
        <f>INDEX(AD136:AH136,,$A$4)</f>
        <v>1.3</v>
      </c>
      <c r="AD136" s="396">
        <v>1.3</v>
      </c>
      <c r="AE136" s="396">
        <v>1.3</v>
      </c>
      <c r="AF136" s="396">
        <v>1.2</v>
      </c>
      <c r="AG136" s="396">
        <v>1.3</v>
      </c>
      <c r="AH136" s="396" t="str">
        <f>""</f>
        <v/>
      </c>
      <c r="AJ136" s="358">
        <f>INDEX(AK136:AO136,,$A$4)</f>
        <v>1</v>
      </c>
      <c r="AK136" s="396">
        <v>1.3</v>
      </c>
      <c r="AL136" s="396">
        <v>1</v>
      </c>
      <c r="AM136" s="396">
        <v>1</v>
      </c>
      <c r="AN136" s="396">
        <v>1</v>
      </c>
      <c r="AO136" s="396" t="str">
        <f>""</f>
        <v/>
      </c>
    </row>
    <row r="138" spans="1:41" x14ac:dyDescent="0.2">
      <c r="A138" s="344" t="s">
        <v>623</v>
      </c>
      <c r="C138" s="344" t="s">
        <v>689</v>
      </c>
      <c r="D138" s="344" t="s">
        <v>622</v>
      </c>
      <c r="E138" s="344" t="s">
        <v>623</v>
      </c>
      <c r="F138" s="344" t="s">
        <v>621</v>
      </c>
      <c r="G138" s="359">
        <v>0.4</v>
      </c>
      <c r="H138" s="359">
        <v>0.3</v>
      </c>
      <c r="I138" s="359">
        <v>0.2</v>
      </c>
      <c r="K138" s="344">
        <v>3</v>
      </c>
      <c r="L138" s="344" t="s">
        <v>622</v>
      </c>
      <c r="M138" s="344" t="s">
        <v>623</v>
      </c>
      <c r="N138" s="344" t="s">
        <v>621</v>
      </c>
      <c r="O138" s="359">
        <v>0.4</v>
      </c>
      <c r="P138" s="359">
        <v>0.3</v>
      </c>
      <c r="Q138" s="359">
        <v>0.2</v>
      </c>
      <c r="S138" s="344">
        <v>4</v>
      </c>
      <c r="T138" s="344" t="s">
        <v>622</v>
      </c>
      <c r="U138" s="344" t="s">
        <v>623</v>
      </c>
      <c r="V138" s="344" t="s">
        <v>621</v>
      </c>
      <c r="W138" s="359">
        <v>0.4</v>
      </c>
      <c r="X138" s="359">
        <v>0.3</v>
      </c>
      <c r="Y138" s="359">
        <v>0.2</v>
      </c>
    </row>
    <row r="139" spans="1:41" x14ac:dyDescent="0.2">
      <c r="A139" s="338">
        <f>IF(OR($A$4=1,$A$4=2),C139,IF($A$4=3,K139,S139))</f>
        <v>157</v>
      </c>
      <c r="C139" s="338">
        <f>ROUND(fInterSig(E139:E146,F139:F146,D139,8),0)</f>
        <v>160</v>
      </c>
      <c r="D139" s="360">
        <f>$G$20</f>
        <v>28</v>
      </c>
      <c r="E139" s="392">
        <v>160</v>
      </c>
      <c r="F139" s="339">
        <f>INDEX(G139:I139,,$G$17-1)</f>
        <v>28</v>
      </c>
      <c r="G139" s="365">
        <v>56</v>
      </c>
      <c r="H139" s="365">
        <v>42</v>
      </c>
      <c r="I139" s="365">
        <v>28</v>
      </c>
      <c r="K139" s="338">
        <f>ROUND(fInterSig(M139:M146,N139:N146,L139,8),0)</f>
        <v>360</v>
      </c>
      <c r="L139" s="360">
        <v>5</v>
      </c>
      <c r="M139" s="392">
        <v>160</v>
      </c>
      <c r="N139" s="339">
        <f>INDEX(O139:Q139,,$G$17-1)</f>
        <v>25</v>
      </c>
      <c r="O139" s="365">
        <v>40</v>
      </c>
      <c r="P139" s="365">
        <v>32</v>
      </c>
      <c r="Q139" s="365">
        <v>25</v>
      </c>
      <c r="S139" s="338">
        <f>ROUND(fInterSig(U139:U151,V139:V151,T139,13),0)</f>
        <v>157</v>
      </c>
      <c r="T139" s="360">
        <f>$G$20</f>
        <v>28</v>
      </c>
      <c r="U139" s="392">
        <v>160</v>
      </c>
      <c r="V139" s="339">
        <f t="shared" ref="V139:V151" si="14">INDEX(W139:Y139,,$G$17-1)</f>
        <v>27</v>
      </c>
      <c r="W139" s="365">
        <v>54</v>
      </c>
      <c r="X139" s="365">
        <v>41</v>
      </c>
      <c r="Y139" s="365">
        <v>27</v>
      </c>
    </row>
    <row r="140" spans="1:41" x14ac:dyDescent="0.2">
      <c r="E140" s="393">
        <v>200</v>
      </c>
      <c r="F140" s="340">
        <f t="shared" ref="F140:F146" si="15">INDEX(G140:I140,,$G$17-1)</f>
        <v>18</v>
      </c>
      <c r="G140" s="366">
        <v>36</v>
      </c>
      <c r="H140" s="366">
        <v>27</v>
      </c>
      <c r="I140" s="366">
        <v>18</v>
      </c>
      <c r="M140" s="393">
        <v>200</v>
      </c>
      <c r="N140" s="340">
        <f t="shared" ref="N140:N146" si="16">INDEX(O140:Q140,,$G$17-1)</f>
        <v>16</v>
      </c>
      <c r="O140" s="366">
        <v>32</v>
      </c>
      <c r="P140" s="366">
        <v>25</v>
      </c>
      <c r="Q140" s="366">
        <v>16</v>
      </c>
      <c r="U140" s="393">
        <v>180</v>
      </c>
      <c r="V140" s="340">
        <f t="shared" si="14"/>
        <v>21</v>
      </c>
      <c r="W140" s="366">
        <v>43</v>
      </c>
      <c r="X140" s="366">
        <v>32</v>
      </c>
      <c r="Y140" s="366">
        <v>21</v>
      </c>
    </row>
    <row r="141" spans="1:41" x14ac:dyDescent="0.2">
      <c r="E141" s="393">
        <v>240</v>
      </c>
      <c r="F141" s="340">
        <f t="shared" si="15"/>
        <v>13</v>
      </c>
      <c r="G141" s="366">
        <v>25</v>
      </c>
      <c r="H141" s="366">
        <v>19</v>
      </c>
      <c r="I141" s="366">
        <v>13</v>
      </c>
      <c r="M141" s="393">
        <v>240</v>
      </c>
      <c r="N141" s="340">
        <f t="shared" si="16"/>
        <v>12</v>
      </c>
      <c r="O141" s="366">
        <v>20</v>
      </c>
      <c r="P141" s="366">
        <v>16</v>
      </c>
      <c r="Q141" s="366">
        <v>12</v>
      </c>
      <c r="U141" s="393">
        <v>200</v>
      </c>
      <c r="V141" s="340">
        <f t="shared" si="14"/>
        <v>17</v>
      </c>
      <c r="W141" s="366">
        <v>35</v>
      </c>
      <c r="X141" s="366">
        <v>26</v>
      </c>
      <c r="Y141" s="366">
        <v>17</v>
      </c>
    </row>
    <row r="142" spans="1:41" x14ac:dyDescent="0.2">
      <c r="E142" s="393">
        <v>280</v>
      </c>
      <c r="F142" s="340">
        <f t="shared" si="15"/>
        <v>9</v>
      </c>
      <c r="G142" s="366">
        <v>18</v>
      </c>
      <c r="H142" s="366">
        <v>14</v>
      </c>
      <c r="I142" s="366">
        <v>9</v>
      </c>
      <c r="M142" s="393">
        <v>280</v>
      </c>
      <c r="N142" s="340">
        <f t="shared" si="16"/>
        <v>8</v>
      </c>
      <c r="O142" s="366">
        <v>16</v>
      </c>
      <c r="P142" s="366">
        <v>12</v>
      </c>
      <c r="Q142" s="366">
        <v>8</v>
      </c>
      <c r="U142" s="393">
        <v>220</v>
      </c>
      <c r="V142" s="340">
        <f t="shared" si="14"/>
        <v>14</v>
      </c>
      <c r="W142" s="366">
        <v>29</v>
      </c>
      <c r="X142" s="366">
        <v>22</v>
      </c>
      <c r="Y142" s="366">
        <v>14</v>
      </c>
    </row>
    <row r="143" spans="1:41" x14ac:dyDescent="0.2">
      <c r="E143" s="393">
        <v>320</v>
      </c>
      <c r="F143" s="340">
        <f t="shared" si="15"/>
        <v>7</v>
      </c>
      <c r="G143" s="366">
        <v>14</v>
      </c>
      <c r="H143" s="366">
        <v>11</v>
      </c>
      <c r="I143" s="366">
        <v>7</v>
      </c>
      <c r="M143" s="393">
        <v>320</v>
      </c>
      <c r="N143" s="340">
        <f t="shared" si="16"/>
        <v>6</v>
      </c>
      <c r="O143" s="366">
        <v>12</v>
      </c>
      <c r="P143" s="366">
        <v>10</v>
      </c>
      <c r="Q143" s="366">
        <v>6</v>
      </c>
      <c r="U143" s="393">
        <v>240</v>
      </c>
      <c r="V143" s="340">
        <f t="shared" si="14"/>
        <v>12</v>
      </c>
      <c r="W143" s="366">
        <v>24</v>
      </c>
      <c r="X143" s="366">
        <v>18</v>
      </c>
      <c r="Y143" s="366">
        <v>12</v>
      </c>
    </row>
    <row r="144" spans="1:41" x14ac:dyDescent="0.2">
      <c r="E144" s="393">
        <v>360</v>
      </c>
      <c r="F144" s="340">
        <f t="shared" si="15"/>
        <v>6</v>
      </c>
      <c r="G144" s="366">
        <v>11</v>
      </c>
      <c r="H144" s="366">
        <v>8</v>
      </c>
      <c r="I144" s="366">
        <v>6</v>
      </c>
      <c r="M144" s="393">
        <v>360</v>
      </c>
      <c r="N144" s="340">
        <f t="shared" si="16"/>
        <v>5</v>
      </c>
      <c r="O144" s="366">
        <v>10</v>
      </c>
      <c r="P144" s="366">
        <v>8</v>
      </c>
      <c r="Q144" s="366">
        <v>5</v>
      </c>
      <c r="U144" s="393">
        <v>260</v>
      </c>
      <c r="V144" s="340">
        <f t="shared" si="14"/>
        <v>10</v>
      </c>
      <c r="W144" s="366">
        <v>21</v>
      </c>
      <c r="X144" s="366">
        <v>15</v>
      </c>
      <c r="Y144" s="366">
        <v>10</v>
      </c>
    </row>
    <row r="145" spans="1:25" x14ac:dyDescent="0.2">
      <c r="E145" s="366">
        <v>400</v>
      </c>
      <c r="F145" s="340">
        <f t="shared" si="15"/>
        <v>5</v>
      </c>
      <c r="G145" s="366">
        <v>9</v>
      </c>
      <c r="H145" s="366">
        <v>7</v>
      </c>
      <c r="I145" s="366">
        <v>5</v>
      </c>
      <c r="M145" s="366">
        <v>400</v>
      </c>
      <c r="N145" s="340">
        <f t="shared" si="16"/>
        <v>4</v>
      </c>
      <c r="O145" s="366">
        <v>8</v>
      </c>
      <c r="P145" s="366">
        <v>6</v>
      </c>
      <c r="Q145" s="366">
        <v>4</v>
      </c>
      <c r="U145" s="366">
        <v>280</v>
      </c>
      <c r="V145" s="340">
        <f t="shared" si="14"/>
        <v>9</v>
      </c>
      <c r="W145" s="366">
        <v>18</v>
      </c>
      <c r="X145" s="366">
        <v>13</v>
      </c>
      <c r="Y145" s="366">
        <v>9</v>
      </c>
    </row>
    <row r="146" spans="1:25" x14ac:dyDescent="0.2">
      <c r="E146" s="367">
        <v>450</v>
      </c>
      <c r="F146" s="343">
        <f t="shared" si="15"/>
        <v>4</v>
      </c>
      <c r="G146" s="367">
        <v>7</v>
      </c>
      <c r="H146" s="367">
        <v>5</v>
      </c>
      <c r="I146" s="367">
        <v>4</v>
      </c>
      <c r="M146" s="367">
        <v>450</v>
      </c>
      <c r="N146" s="343" t="str">
        <f t="shared" si="16"/>
        <v/>
      </c>
      <c r="O146" s="367">
        <v>6</v>
      </c>
      <c r="P146" s="367">
        <v>5</v>
      </c>
      <c r="Q146" s="367" t="str">
        <f>""</f>
        <v/>
      </c>
      <c r="U146" s="366">
        <v>300</v>
      </c>
      <c r="V146" s="340">
        <f t="shared" si="14"/>
        <v>8</v>
      </c>
      <c r="W146" s="366">
        <v>15</v>
      </c>
      <c r="X146" s="366">
        <v>12</v>
      </c>
      <c r="Y146" s="366">
        <v>8</v>
      </c>
    </row>
    <row r="147" spans="1:25" x14ac:dyDescent="0.2">
      <c r="U147" s="366">
        <v>320</v>
      </c>
      <c r="V147" s="340">
        <f t="shared" si="14"/>
        <v>7</v>
      </c>
      <c r="W147" s="366">
        <v>14</v>
      </c>
      <c r="X147" s="366">
        <v>10</v>
      </c>
      <c r="Y147" s="366">
        <v>7</v>
      </c>
    </row>
    <row r="148" spans="1:25" x14ac:dyDescent="0.2">
      <c r="D148" s="291" t="s">
        <v>731</v>
      </c>
      <c r="E148" s="409" t="s">
        <v>727</v>
      </c>
      <c r="H148" s="291" t="str">
        <f>"["&amp;E148&amp;"]"</f>
        <v>[160,200,240,280,320,360,400,450]</v>
      </c>
      <c r="M148" s="409" t="s">
        <v>727</v>
      </c>
      <c r="P148" s="291" t="str">
        <f>"["&amp;M148&amp;"]"</f>
        <v>[160,200,240,280,320,360,400,450]</v>
      </c>
      <c r="U148" s="366">
        <v>340</v>
      </c>
      <c r="V148" s="340">
        <f t="shared" si="14"/>
        <v>6</v>
      </c>
      <c r="W148" s="366">
        <v>12</v>
      </c>
      <c r="X148" s="366">
        <v>9</v>
      </c>
      <c r="Y148" s="366">
        <v>6</v>
      </c>
    </row>
    <row r="149" spans="1:25" x14ac:dyDescent="0.2">
      <c r="E149" s="409" t="s">
        <v>728</v>
      </c>
      <c r="H149" s="291" t="str">
        <f>"["&amp;E149&amp;"]"</f>
        <v>[56,36,25,18,14,11,9,7]</v>
      </c>
      <c r="M149" s="409" t="s">
        <v>732</v>
      </c>
      <c r="P149" s="291" t="str">
        <f t="shared" ref="P149:P151" si="17">"["&amp;M149&amp;"]"</f>
        <v>[40,32,20,16,12,10,8,6]</v>
      </c>
      <c r="U149" s="366">
        <v>360</v>
      </c>
      <c r="V149" s="340">
        <f t="shared" si="14"/>
        <v>5</v>
      </c>
      <c r="W149" s="366">
        <v>11</v>
      </c>
      <c r="X149" s="366">
        <v>8</v>
      </c>
      <c r="Y149" s="366">
        <v>5</v>
      </c>
    </row>
    <row r="150" spans="1:25" x14ac:dyDescent="0.2">
      <c r="E150" s="409" t="s">
        <v>729</v>
      </c>
      <c r="H150" s="291" t="str">
        <f>"["&amp;E150&amp;"]"</f>
        <v>[42,27,19,14,11,8,7,5]</v>
      </c>
      <c r="M150" s="409" t="s">
        <v>733</v>
      </c>
      <c r="P150" s="291" t="str">
        <f t="shared" si="17"/>
        <v>[32,25,16,12,10,8,6,5]</v>
      </c>
      <c r="U150" s="366">
        <v>400</v>
      </c>
      <c r="V150" s="340">
        <f t="shared" si="14"/>
        <v>4</v>
      </c>
      <c r="W150" s="366">
        <v>9</v>
      </c>
      <c r="X150" s="366">
        <v>7</v>
      </c>
      <c r="Y150" s="366">
        <v>4</v>
      </c>
    </row>
    <row r="151" spans="1:25" x14ac:dyDescent="0.2">
      <c r="E151" s="409" t="s">
        <v>730</v>
      </c>
      <c r="H151" s="291" t="str">
        <f>"["&amp;E151&amp;"]"</f>
        <v>[28,18,13,9,7,6,5,4]</v>
      </c>
      <c r="M151" s="409" t="s">
        <v>740</v>
      </c>
      <c r="P151" s="291" t="str">
        <f t="shared" si="17"/>
        <v>[25,16,12,8,6,5,4,xx]</v>
      </c>
      <c r="U151" s="367">
        <v>450</v>
      </c>
      <c r="V151" s="343">
        <f t="shared" si="14"/>
        <v>3</v>
      </c>
      <c r="W151" s="367">
        <v>7</v>
      </c>
      <c r="X151" s="367">
        <v>5</v>
      </c>
      <c r="Y151" s="367">
        <v>3</v>
      </c>
    </row>
    <row r="153" spans="1:25" x14ac:dyDescent="0.2">
      <c r="A153" s="344" t="s">
        <v>623</v>
      </c>
      <c r="B153" s="344" t="s">
        <v>622</v>
      </c>
      <c r="C153" s="344" t="s">
        <v>623</v>
      </c>
      <c r="D153" s="344" t="s">
        <v>622</v>
      </c>
      <c r="E153" s="359">
        <v>0.4</v>
      </c>
      <c r="F153" s="359">
        <v>0.3</v>
      </c>
      <c r="G153" s="359">
        <v>0.2</v>
      </c>
      <c r="U153" s="409" t="s">
        <v>734</v>
      </c>
      <c r="X153" s="291" t="str">
        <f>"["&amp;U153&amp;"]"</f>
        <v>[160,180,200,220,240,260,280,300,320,340,360,400,450]</v>
      </c>
    </row>
    <row r="154" spans="1:25" x14ac:dyDescent="0.2">
      <c r="A154" s="338">
        <f>ROUND(fInterSig(C154:C159,D154:D159,B154,6),0)</f>
        <v>40</v>
      </c>
      <c r="B154" s="338">
        <v>350</v>
      </c>
      <c r="C154" s="392">
        <v>160</v>
      </c>
      <c r="D154" s="339">
        <f t="shared" ref="D154:D159" si="18">INDEX(E154:G154,,$G$17-1)</f>
        <v>200</v>
      </c>
      <c r="E154" s="365" t="str">
        <f>""</f>
        <v/>
      </c>
      <c r="F154" s="365">
        <v>300</v>
      </c>
      <c r="G154" s="365">
        <v>200</v>
      </c>
      <c r="U154" s="409" t="s">
        <v>735</v>
      </c>
      <c r="X154" s="291" t="str">
        <f t="shared" ref="X154:X156" si="19">"["&amp;U154&amp;"]"</f>
        <v>[54,43,35,29,24,21,18,15,14,12,11,9,7]</v>
      </c>
    </row>
    <row r="155" spans="1:25" x14ac:dyDescent="0.2">
      <c r="C155" s="393">
        <v>200</v>
      </c>
      <c r="D155" s="340">
        <f t="shared" si="18"/>
        <v>150</v>
      </c>
      <c r="E155" s="366">
        <v>300</v>
      </c>
      <c r="F155" s="366">
        <v>250</v>
      </c>
      <c r="G155" s="366">
        <v>150</v>
      </c>
      <c r="U155" s="409" t="s">
        <v>736</v>
      </c>
      <c r="X155" s="291" t="str">
        <f t="shared" si="19"/>
        <v>[41,32,26,22,18,15,13,12,10,9,8,7,5]</v>
      </c>
    </row>
    <row r="156" spans="1:25" x14ac:dyDescent="0.2">
      <c r="C156" s="393">
        <v>240</v>
      </c>
      <c r="D156" s="340">
        <f t="shared" si="18"/>
        <v>100</v>
      </c>
      <c r="E156" s="366">
        <v>250</v>
      </c>
      <c r="F156" s="366">
        <v>200</v>
      </c>
      <c r="G156" s="366">
        <v>100</v>
      </c>
      <c r="U156" s="409" t="s">
        <v>737</v>
      </c>
      <c r="X156" s="291" t="str">
        <f t="shared" si="19"/>
        <v>[27,21,17,14,12,10,9,8,7,6,5,4,3]</v>
      </c>
    </row>
    <row r="157" spans="1:25" x14ac:dyDescent="0.2">
      <c r="C157" s="393">
        <v>280</v>
      </c>
      <c r="D157" s="340">
        <f t="shared" si="18"/>
        <v>50</v>
      </c>
      <c r="E157" s="366">
        <v>200</v>
      </c>
      <c r="F157" s="366">
        <v>150</v>
      </c>
      <c r="G157" s="366">
        <v>50</v>
      </c>
      <c r="U157" s="409"/>
    </row>
    <row r="158" spans="1:25" x14ac:dyDescent="0.2">
      <c r="C158" s="393">
        <v>320</v>
      </c>
      <c r="D158" s="340" t="str">
        <f t="shared" si="18"/>
        <v/>
      </c>
      <c r="E158" s="366">
        <v>150</v>
      </c>
      <c r="F158" s="366">
        <v>100</v>
      </c>
      <c r="G158" s="366" t="str">
        <f>""</f>
        <v/>
      </c>
      <c r="U158" s="409"/>
    </row>
    <row r="159" spans="1:25" x14ac:dyDescent="0.2">
      <c r="C159" s="397">
        <v>360</v>
      </c>
      <c r="D159" s="343" t="str">
        <f t="shared" si="18"/>
        <v/>
      </c>
      <c r="E159" s="367">
        <v>100</v>
      </c>
      <c r="F159" s="367">
        <v>50</v>
      </c>
      <c r="G159" s="367" t="str">
        <f>""</f>
        <v/>
      </c>
      <c r="U159" s="409"/>
    </row>
    <row r="160" spans="1:25" x14ac:dyDescent="0.2">
      <c r="U160" s="409"/>
    </row>
    <row r="161" spans="1:21" x14ac:dyDescent="0.2">
      <c r="A161" s="291" t="s">
        <v>592</v>
      </c>
      <c r="F161" s="409" t="s">
        <v>738</v>
      </c>
      <c r="I161" s="291" t="str">
        <f t="shared" ref="I161:I164" si="20">"["&amp;F161&amp;"]"</f>
        <v>[160,200,240,280,320,360]</v>
      </c>
      <c r="L161" s="291" t="s">
        <v>747</v>
      </c>
      <c r="U161" s="409"/>
    </row>
    <row r="162" spans="1:21" x14ac:dyDescent="0.2">
      <c r="A162" s="438" t="str">
        <f>B11</f>
        <v>Concrete</v>
      </c>
      <c r="B162" s="438"/>
      <c r="C162" s="438" t="str">
        <f>B17</f>
        <v>Reinforcement</v>
      </c>
      <c r="D162" s="438"/>
      <c r="F162" s="409" t="s">
        <v>739</v>
      </c>
      <c r="I162" s="291" t="str">
        <f t="shared" si="20"/>
        <v>[xx,300,250,200,150,100]</v>
      </c>
      <c r="L162" s="291" t="s">
        <v>745</v>
      </c>
      <c r="U162" s="409"/>
    </row>
    <row r="163" spans="1:21" x14ac:dyDescent="0.2">
      <c r="A163" s="361">
        <v>0</v>
      </c>
      <c r="B163" s="361">
        <f t="shared" ref="B163:B188" si="21">B$189*(1-(($C$14-A163)/$C$14)^$E$14)</f>
        <v>0</v>
      </c>
      <c r="C163" s="362">
        <v>0</v>
      </c>
      <c r="D163" s="362">
        <v>0</v>
      </c>
      <c r="F163" s="409" t="s">
        <v>741</v>
      </c>
      <c r="I163" s="291" t="str">
        <f t="shared" si="20"/>
        <v>[300,250,200,150,100,50]</v>
      </c>
      <c r="L163" s="291" t="s">
        <v>746</v>
      </c>
      <c r="U163" s="409"/>
    </row>
    <row r="164" spans="1:21" x14ac:dyDescent="0.2">
      <c r="A164" s="361">
        <f t="shared" ref="A164:A188" si="22">A163+$C$14/25</f>
        <v>0.08</v>
      </c>
      <c r="B164" s="361">
        <f t="shared" si="21"/>
        <v>1.6660000000000006</v>
      </c>
      <c r="C164" s="362">
        <f>$A$20/$C$20*1000</f>
        <v>2.5</v>
      </c>
      <c r="D164" s="362">
        <f>$A$20</f>
        <v>500</v>
      </c>
      <c r="F164" s="409" t="s">
        <v>742</v>
      </c>
      <c r="I164" s="291" t="str">
        <f t="shared" si="20"/>
        <v>[200,150,100,50,xx,xx]</v>
      </c>
      <c r="L164" s="291" t="s">
        <v>744</v>
      </c>
    </row>
    <row r="165" spans="1:21" x14ac:dyDescent="0.2">
      <c r="A165" s="361">
        <f t="shared" si="22"/>
        <v>0.16</v>
      </c>
      <c r="B165" s="361">
        <f t="shared" si="21"/>
        <v>3.2639999999999993</v>
      </c>
      <c r="C165" s="362">
        <f>$D$20</f>
        <v>25</v>
      </c>
      <c r="D165" s="362">
        <f>$B$20</f>
        <v>525</v>
      </c>
      <c r="F165" s="409" t="s">
        <v>743</v>
      </c>
    </row>
    <row r="166" spans="1:21" x14ac:dyDescent="0.2">
      <c r="A166" s="361">
        <f t="shared" si="22"/>
        <v>0.24</v>
      </c>
      <c r="B166" s="361">
        <f t="shared" si="21"/>
        <v>4.7940000000000005</v>
      </c>
    </row>
    <row r="167" spans="1:21" x14ac:dyDescent="0.2">
      <c r="A167" s="361">
        <f t="shared" si="22"/>
        <v>0.32</v>
      </c>
      <c r="B167" s="361">
        <f t="shared" si="21"/>
        <v>6.256000000000002</v>
      </c>
    </row>
    <row r="168" spans="1:21" x14ac:dyDescent="0.2">
      <c r="A168" s="361">
        <f t="shared" si="22"/>
        <v>0.4</v>
      </c>
      <c r="B168" s="361">
        <f t="shared" si="21"/>
        <v>7.6499999999999977</v>
      </c>
    </row>
    <row r="169" spans="1:21" x14ac:dyDescent="0.2">
      <c r="A169" s="361">
        <f t="shared" si="22"/>
        <v>0.48000000000000004</v>
      </c>
      <c r="B169" s="361">
        <f t="shared" si="21"/>
        <v>8.9759999999999991</v>
      </c>
    </row>
    <row r="170" spans="1:21" x14ac:dyDescent="0.2">
      <c r="A170" s="361">
        <f t="shared" si="22"/>
        <v>0.56000000000000005</v>
      </c>
      <c r="B170" s="361">
        <f t="shared" si="21"/>
        <v>10.234</v>
      </c>
    </row>
    <row r="171" spans="1:21" x14ac:dyDescent="0.2">
      <c r="A171" s="361">
        <f t="shared" si="22"/>
        <v>0.64</v>
      </c>
      <c r="B171" s="361">
        <f t="shared" si="21"/>
        <v>11.424000000000001</v>
      </c>
    </row>
    <row r="172" spans="1:21" x14ac:dyDescent="0.2">
      <c r="A172" s="361">
        <f t="shared" si="22"/>
        <v>0.72</v>
      </c>
      <c r="B172" s="361">
        <f t="shared" si="21"/>
        <v>12.546000000000001</v>
      </c>
    </row>
    <row r="173" spans="1:21" x14ac:dyDescent="0.2">
      <c r="A173" s="361">
        <f t="shared" si="22"/>
        <v>0.79999999999999993</v>
      </c>
      <c r="B173" s="361">
        <f t="shared" si="21"/>
        <v>13.599999999999998</v>
      </c>
    </row>
    <row r="174" spans="1:21" x14ac:dyDescent="0.2">
      <c r="A174" s="361">
        <f t="shared" si="22"/>
        <v>0.87999999999999989</v>
      </c>
      <c r="B174" s="361">
        <f t="shared" si="21"/>
        <v>14.585999999999999</v>
      </c>
    </row>
    <row r="175" spans="1:21" x14ac:dyDescent="0.2">
      <c r="A175" s="361">
        <f t="shared" si="22"/>
        <v>0.95999999999999985</v>
      </c>
      <c r="B175" s="361">
        <f t="shared" si="21"/>
        <v>15.504000000000001</v>
      </c>
    </row>
    <row r="176" spans="1:21" x14ac:dyDescent="0.2">
      <c r="A176" s="361">
        <f t="shared" si="22"/>
        <v>1.0399999999999998</v>
      </c>
      <c r="B176" s="361">
        <f t="shared" si="21"/>
        <v>16.353999999999999</v>
      </c>
    </row>
    <row r="177" spans="1:9" x14ac:dyDescent="0.2">
      <c r="A177" s="361">
        <f t="shared" si="22"/>
        <v>1.1199999999999999</v>
      </c>
      <c r="B177" s="361">
        <f t="shared" si="21"/>
        <v>17.135999999999999</v>
      </c>
    </row>
    <row r="178" spans="1:9" x14ac:dyDescent="0.2">
      <c r="A178" s="361">
        <f t="shared" si="22"/>
        <v>1.2</v>
      </c>
      <c r="B178" s="361">
        <f t="shared" si="21"/>
        <v>17.849999999999998</v>
      </c>
    </row>
    <row r="179" spans="1:9" x14ac:dyDescent="0.2">
      <c r="A179" s="361">
        <f t="shared" si="22"/>
        <v>1.28</v>
      </c>
      <c r="B179" s="361">
        <f t="shared" si="21"/>
        <v>18.496000000000002</v>
      </c>
    </row>
    <row r="180" spans="1:9" x14ac:dyDescent="0.2">
      <c r="A180" s="361">
        <f t="shared" si="22"/>
        <v>1.36</v>
      </c>
      <c r="B180" s="361">
        <f t="shared" si="21"/>
        <v>19.074000000000002</v>
      </c>
    </row>
    <row r="181" spans="1:9" x14ac:dyDescent="0.2">
      <c r="A181" s="361">
        <f t="shared" si="22"/>
        <v>1.4400000000000002</v>
      </c>
      <c r="B181" s="361">
        <f t="shared" si="21"/>
        <v>19.584000000000003</v>
      </c>
    </row>
    <row r="182" spans="1:9" x14ac:dyDescent="0.2">
      <c r="A182" s="361">
        <f t="shared" si="22"/>
        <v>1.5200000000000002</v>
      </c>
      <c r="B182" s="361">
        <f t="shared" si="21"/>
        <v>20.026</v>
      </c>
    </row>
    <row r="183" spans="1:9" x14ac:dyDescent="0.2">
      <c r="A183" s="361">
        <f t="shared" si="22"/>
        <v>1.6000000000000003</v>
      </c>
      <c r="B183" s="361">
        <f t="shared" si="21"/>
        <v>20.400000000000002</v>
      </c>
    </row>
    <row r="184" spans="1:9" x14ac:dyDescent="0.2">
      <c r="A184" s="361">
        <f t="shared" si="22"/>
        <v>1.6800000000000004</v>
      </c>
      <c r="B184" s="361">
        <f t="shared" si="21"/>
        <v>20.706</v>
      </c>
    </row>
    <row r="185" spans="1:9" x14ac:dyDescent="0.2">
      <c r="A185" s="361">
        <f t="shared" si="22"/>
        <v>1.7600000000000005</v>
      </c>
      <c r="B185" s="361">
        <f t="shared" si="21"/>
        <v>20.943999999999999</v>
      </c>
      <c r="I185" s="363"/>
    </row>
    <row r="186" spans="1:9" x14ac:dyDescent="0.2">
      <c r="A186" s="361">
        <f t="shared" si="22"/>
        <v>1.8400000000000005</v>
      </c>
      <c r="B186" s="361">
        <f t="shared" si="21"/>
        <v>21.114000000000001</v>
      </c>
    </row>
    <row r="187" spans="1:9" x14ac:dyDescent="0.2">
      <c r="A187" s="361">
        <f t="shared" si="22"/>
        <v>1.9200000000000006</v>
      </c>
      <c r="B187" s="361">
        <f t="shared" si="21"/>
        <v>21.216000000000001</v>
      </c>
    </row>
    <row r="188" spans="1:9" x14ac:dyDescent="0.2">
      <c r="A188" s="361">
        <f t="shared" si="22"/>
        <v>2.0000000000000004</v>
      </c>
      <c r="B188" s="361">
        <f t="shared" si="21"/>
        <v>21.25</v>
      </c>
    </row>
    <row r="189" spans="1:9" x14ac:dyDescent="0.2">
      <c r="A189" s="362">
        <f>$D$14</f>
        <v>3.5</v>
      </c>
      <c r="B189" s="361">
        <f>$A$14*$B$14</f>
        <v>21.25</v>
      </c>
    </row>
  </sheetData>
  <mergeCells count="22">
    <mergeCell ref="A6:B6"/>
    <mergeCell ref="F11:G11"/>
    <mergeCell ref="C12:E12"/>
    <mergeCell ref="F41:G41"/>
    <mergeCell ref="A47:C48"/>
    <mergeCell ref="F47:G48"/>
    <mergeCell ref="A49:C50"/>
    <mergeCell ref="F49:G50"/>
    <mergeCell ref="A51:B52"/>
    <mergeCell ref="F51:F52"/>
    <mergeCell ref="A53:B53"/>
    <mergeCell ref="F53:G54"/>
    <mergeCell ref="A54:C54"/>
    <mergeCell ref="A62:C62"/>
    <mergeCell ref="A162:B162"/>
    <mergeCell ref="C162:D162"/>
    <mergeCell ref="A57:B57"/>
    <mergeCell ref="F57:G57"/>
    <mergeCell ref="A58:B58"/>
    <mergeCell ref="A59:B59"/>
    <mergeCell ref="A60:B60"/>
    <mergeCell ref="A61:B61"/>
  </mergeCells>
  <conditionalFormatting sqref="D62">
    <cfRule type="cellIs" dxfId="6" priority="1" stopIfTrue="1" operator="lessThan">
      <formula>-0.5</formula>
    </cfRule>
  </conditionalFormatting>
  <pageMargins left="0.86614173228346458" right="0.51181102362204722" top="0.39370078740157483" bottom="0.59055118110236227" header="0.31496062992125984" footer="0.39370078740157483"/>
  <pageSetup paperSize="9" orientation="portrait" r:id="rId1"/>
  <headerFooter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Drop Down 1">
              <controlPr defaultSize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Drop Down 2">
              <controlPr defaultSize="0" autoLine="0" autoPict="0">
                <anchor moveWithCells="1">
                  <from>
                    <xdr:col>4</xdr:col>
                    <xdr:colOff>0</xdr:colOff>
                    <xdr:row>15</xdr:row>
                    <xdr:rowOff>152400</xdr:rowOff>
                  </from>
                  <to>
                    <xdr:col>6</xdr:col>
                    <xdr:colOff>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Drop Down 3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Drop Down 4">
              <controlPr defaultSize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Drop Down 5">
              <controlPr defaultSize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Drop Down 6">
              <controlPr defaultSize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1"/>
  <dimension ref="A1:BJ190"/>
  <sheetViews>
    <sheetView showGridLines="0" tabSelected="1" topLeftCell="A30" zoomScaleNormal="100" workbookViewId="0">
      <selection activeCell="A49" sqref="A49:C50"/>
    </sheetView>
  </sheetViews>
  <sheetFormatPr defaultColWidth="11.42578125" defaultRowHeight="12" x14ac:dyDescent="0.2"/>
  <cols>
    <col min="1" max="8" width="10.7109375" style="149" customWidth="1"/>
    <col min="9" max="16384" width="11.42578125" style="149"/>
  </cols>
  <sheetData>
    <row r="1" spans="1:8" ht="12.75" x14ac:dyDescent="0.2">
      <c r="A1" s="84" t="s">
        <v>185</v>
      </c>
    </row>
    <row r="2" spans="1:8" ht="12.75" x14ac:dyDescent="0.2">
      <c r="A2" s="84"/>
    </row>
    <row r="3" spans="1:8" ht="12.75" x14ac:dyDescent="0.2">
      <c r="A3" s="110" t="str">
        <f>INDEX(LA!$A160:$J160,,Info!$A$5)</f>
        <v>Design of Circular Cross Section</v>
      </c>
    </row>
    <row r="4" spans="1:8" ht="15.75" x14ac:dyDescent="0.25">
      <c r="A4" s="83">
        <v>4</v>
      </c>
    </row>
    <row r="6" spans="1:8" ht="12.75" x14ac:dyDescent="0.2">
      <c r="A6" s="416" t="str">
        <f>INDEX(LA!$A168:$J168,,Info!$A$5)</f>
        <v>Cross section</v>
      </c>
      <c r="B6" s="418"/>
    </row>
    <row r="7" spans="1:8" x14ac:dyDescent="0.2">
      <c r="A7" s="151" t="str">
        <f>INDEX(LA!$A169:$J169,,Info!$A$5)</f>
        <v>Diameter</v>
      </c>
      <c r="B7" s="151" t="str">
        <f>INDEX(LA!$A175:$J175,,Info!$A$5)</f>
        <v>sep. to edge</v>
      </c>
    </row>
    <row r="8" spans="1:8" x14ac:dyDescent="0.2">
      <c r="A8" s="105" t="str">
        <f>INDEX(LA!$A170:$J170,,Info!$A$5)</f>
        <v>D  [mm]</v>
      </c>
      <c r="B8" s="105" t="str">
        <f>INDEX(LA!$A176:$J176,,Info!$A$5)</f>
        <v>H'  [mm</v>
      </c>
    </row>
    <row r="9" spans="1:8" x14ac:dyDescent="0.2">
      <c r="A9" s="152">
        <v>900</v>
      </c>
      <c r="B9" s="152">
        <v>105</v>
      </c>
    </row>
    <row r="11" spans="1:8" ht="15.75" x14ac:dyDescent="0.25">
      <c r="A11" s="163"/>
      <c r="B11" s="186" t="str">
        <f>INDEX(LA!$A184:$J184,,Info!$A$5)</f>
        <v>Concrete</v>
      </c>
      <c r="C11" s="83">
        <v>7</v>
      </c>
      <c r="D11" s="153"/>
      <c r="E11" s="154"/>
      <c r="F11" s="470" t="str">
        <f>$A96</f>
        <v>unreinforced</v>
      </c>
      <c r="G11" s="471"/>
      <c r="H11" s="398"/>
    </row>
    <row r="12" spans="1:8" x14ac:dyDescent="0.2">
      <c r="A12" s="150" t="str">
        <f>$A86</f>
        <v>cylinder str.</v>
      </c>
      <c r="B12" s="150" t="str">
        <f>$A88</f>
        <v>reduct.factor</v>
      </c>
      <c r="C12" s="472" t="str">
        <f>$A90</f>
        <v>stress-strain curve</v>
      </c>
      <c r="D12" s="473"/>
      <c r="E12" s="474"/>
      <c r="F12" s="150" t="str">
        <f>$A97</f>
        <v>safety</v>
      </c>
      <c r="G12" s="151" t="str">
        <f>$A99</f>
        <v>min.comp.reinf.</v>
      </c>
      <c r="H12" s="150" t="str">
        <f>$A94</f>
        <v>E_cm</v>
      </c>
    </row>
    <row r="13" spans="1:8" x14ac:dyDescent="0.2">
      <c r="A13" s="105" t="str">
        <f>$A87</f>
        <v>f_ck [MPa]</v>
      </c>
      <c r="B13" s="105" t="str">
        <f>$A89</f>
        <v>α   [1]</v>
      </c>
      <c r="C13" s="164" t="str">
        <f>$A91</f>
        <v>ε_c2  [‰]</v>
      </c>
      <c r="D13" s="164" t="str">
        <f>$A92</f>
        <v>ε_c2u [‰]</v>
      </c>
      <c r="E13" s="164" t="str">
        <f>$A93</f>
        <v>exp. [1]</v>
      </c>
      <c r="F13" s="164" t="str">
        <f>$A98</f>
        <v>Δα_pl  [1]</v>
      </c>
      <c r="G13" s="245" t="str">
        <f>$A100</f>
        <v>N_Ed,min  [1]</v>
      </c>
      <c r="H13" s="105" t="str">
        <f>$A95</f>
        <v>[MPa]</v>
      </c>
    </row>
    <row r="14" spans="1:8" x14ac:dyDescent="0.2">
      <c r="A14" s="188">
        <f>IF(OR(A15="",A15=" "),INDEX($H$110:$H$118,$C$11,),A15)</f>
        <v>40</v>
      </c>
      <c r="B14" s="196">
        <f>IF(OR(B15="",B15=" "),INDEX($O$110:$O$118,$C$11,),B15)</f>
        <v>0.85</v>
      </c>
      <c r="C14" s="188">
        <f>IF(OR(C15="",C15=" "),INDEX($V$110:$V$118,$C$11,),C15)</f>
        <v>2</v>
      </c>
      <c r="D14" s="188">
        <f>IF(OR(D15="",D15=" "),INDEX($AC$110:$AC$118,$C$11,),D15)</f>
        <v>3.5</v>
      </c>
      <c r="E14" s="157">
        <f>IF(OR(E15="",E15=" "),INDEX($AJ$110:$AJ$118,$C$11,),E15)</f>
        <v>2</v>
      </c>
      <c r="F14" s="196">
        <f>IF(OR(F15="",F15=" "),INDEX($AX110:$AX$118,$C$11,),F15)</f>
        <v>0.15</v>
      </c>
      <c r="G14" s="196">
        <f>IF(OR(G15="",G15=" "),INDEX($BE$110:$BE$118,$C$11,),G15)</f>
        <v>0.15</v>
      </c>
      <c r="H14" s="196">
        <f>IF(OR(H15="",H15=" "),INDEX($AQ$110:$AQ$118,$C$11,),H15)</f>
        <v>35000</v>
      </c>
    </row>
    <row r="15" spans="1:8" x14ac:dyDescent="0.2">
      <c r="A15" s="189"/>
      <c r="B15" s="161"/>
      <c r="C15" s="189"/>
      <c r="D15" s="189"/>
      <c r="E15" s="158"/>
      <c r="F15" s="161"/>
      <c r="G15" s="246"/>
      <c r="H15" s="161"/>
    </row>
    <row r="17" spans="1:10" ht="15.75" x14ac:dyDescent="0.25">
      <c r="A17" s="163"/>
      <c r="B17" s="186" t="str">
        <f>INDEX(LA!$A208:$J208,,Info!$A$5)</f>
        <v>Reinforcement</v>
      </c>
      <c r="C17" s="83">
        <v>2</v>
      </c>
      <c r="D17" s="153"/>
      <c r="E17" s="83">
        <v>1</v>
      </c>
      <c r="F17" s="211"/>
      <c r="G17" s="83">
        <v>3</v>
      </c>
    </row>
    <row r="18" spans="1:10" ht="15.75" x14ac:dyDescent="0.25">
      <c r="A18" s="150" t="str">
        <f>$H86</f>
        <v>yield stress</v>
      </c>
      <c r="B18" s="150" t="str">
        <f>$H88</f>
        <v>tens.strength</v>
      </c>
      <c r="C18" s="150" t="str">
        <f>$H90</f>
        <v>Young's m.</v>
      </c>
      <c r="D18" s="150" t="str">
        <f>$H92</f>
        <v>max. strain</v>
      </c>
      <c r="E18" s="83">
        <v>1</v>
      </c>
      <c r="F18" s="211"/>
      <c r="G18" s="151" t="str">
        <f>IF(OR($E$18=1,$G$17=1,$G$20&lt;1),"",$H95)</f>
        <v/>
      </c>
      <c r="H18" s="151" t="str">
        <f>IF(OR($E$18=1,$G$17=1,$H$20&lt;1),"",$H97)</f>
        <v/>
      </c>
    </row>
    <row r="19" spans="1:10" x14ac:dyDescent="0.2">
      <c r="A19" s="105" t="str">
        <f>$H87</f>
        <v>f_yk  [MPa]</v>
      </c>
      <c r="B19" s="105" t="str">
        <f>$H89</f>
        <v>f_tk  [MPa]</v>
      </c>
      <c r="C19" s="105" t="str">
        <f>$H91</f>
        <v>E  [MPa]</v>
      </c>
      <c r="D19" s="105" t="str">
        <f>$H93</f>
        <v>ε_s,u  [‰]</v>
      </c>
      <c r="E19" s="221" t="str">
        <f>IF($E$18=1,"",$H94)</f>
        <v/>
      </c>
      <c r="F19" s="211"/>
      <c r="G19" s="226" t="str">
        <f>IF(OR($E$18=1,$G$17=1,$G$20&lt;1),"",$H96)</f>
        <v/>
      </c>
      <c r="H19" s="223" t="str">
        <f>IF(OR($E$18=1,$G$17=1,$H$20&lt;1),"",$H98)</f>
        <v/>
      </c>
    </row>
    <row r="20" spans="1:10" x14ac:dyDescent="0.2">
      <c r="A20" s="165">
        <f>IF(OR(A21="",A21=" "),INDEX($H$121:$H$124,$C$17,),A21)</f>
        <v>500</v>
      </c>
      <c r="B20" s="165">
        <f>IF(OR(B21="",B21=" "),INDEX($O$121:$O$124,$C$17,),B21)</f>
        <v>525</v>
      </c>
      <c r="C20" s="165">
        <f>IF(OR(C21="",C21=" "),INDEX($V$121:$V$124,$C$17,),C21)</f>
        <v>200000</v>
      </c>
      <c r="D20" s="188">
        <f>IF(OR(D21="",D21=" "),INDEX($AC$121:$AC$124,$C$17,),D21)</f>
        <v>25</v>
      </c>
      <c r="E20" s="229">
        <f>IF($E$18=1,0,IF(OR(E21="",E21=" "),IF(AND($G$20&lt;1,$H$20&lt;1),200,IF($G$20&lt;1,$A$154,IF($H$20&lt;1,$A$139,MAX($A$139,$A$154)))),E21))</f>
        <v>0</v>
      </c>
      <c r="G20" s="165">
        <f>IF(OR($E$18=1,$G$17=1),0,IF(OR(G21="",G21=" "),28,G21))</f>
        <v>0</v>
      </c>
      <c r="H20" s="165">
        <f>IF(OR($E$18=1,$G$17=1),0,IF(OR(H21="",H21=" "),200,H21))</f>
        <v>0</v>
      </c>
    </row>
    <row r="21" spans="1:10" x14ac:dyDescent="0.2">
      <c r="A21" s="166"/>
      <c r="B21" s="161"/>
      <c r="C21" s="161"/>
      <c r="D21" s="189"/>
      <c r="E21" s="166"/>
      <c r="G21" s="166"/>
      <c r="H21" s="166"/>
    </row>
    <row r="32" spans="1:10" x14ac:dyDescent="0.2">
      <c r="J32" s="220"/>
    </row>
    <row r="37" spans="1:8" ht="12.75" x14ac:dyDescent="0.2">
      <c r="A37" s="201" t="str">
        <f>INDEX(LA!$A229:$J229,,Info!$A$5)</f>
        <v>Factors of safety</v>
      </c>
      <c r="B37" s="159"/>
      <c r="C37" s="160"/>
      <c r="D37" s="218" t="str">
        <f>$H$133</f>
        <v>permanent</v>
      </c>
      <c r="E37" s="218" t="str">
        <f>$H$134</f>
        <v>transient</v>
      </c>
      <c r="F37" s="218" t="str">
        <f>$H$135</f>
        <v>γ_c   [1]</v>
      </c>
      <c r="G37" s="218" t="str">
        <f>$H$136</f>
        <v>γ_s   [1]</v>
      </c>
    </row>
    <row r="38" spans="1:8" x14ac:dyDescent="0.2">
      <c r="A38" s="167" t="str">
        <f>INDEX(LA!$A230:$J230,,Info!$A$5)</f>
        <v>Design situation</v>
      </c>
      <c r="B38" s="153"/>
      <c r="C38" s="154"/>
      <c r="D38" s="157">
        <f>IF($A$4=1,1,IF(OR(D39="",D39=" "),INDEX($O$133:$O$136,$A$39,),D39))</f>
        <v>1.35</v>
      </c>
      <c r="E38" s="157">
        <f>IF($A$4=1,1,IF(OR(E39="",E39=" "),INDEX($V$133:$V$136,$A$39,),E39))</f>
        <v>1.5</v>
      </c>
      <c r="F38" s="157">
        <f>IF(OR(F39="",F39=" "),INDEX($AC$133:$AC$136,$A$39,),F39)</f>
        <v>1.5</v>
      </c>
      <c r="G38" s="157">
        <f>IF($A$4=1,$F$38,IF(OR(G39="",G39=" "),INDEX($AJ$133:$AJ$136,$A$39,),G39))</f>
        <v>1.1499999999999999</v>
      </c>
    </row>
    <row r="39" spans="1:8" ht="15.75" x14ac:dyDescent="0.25">
      <c r="A39" s="83">
        <v>1</v>
      </c>
      <c r="B39" s="155"/>
      <c r="C39" s="156"/>
      <c r="D39" s="158"/>
      <c r="E39" s="158"/>
      <c r="F39" s="158"/>
      <c r="G39" s="158"/>
    </row>
    <row r="41" spans="1:8" ht="12.75" x14ac:dyDescent="0.2">
      <c r="A41" s="202" t="str">
        <f>INDEX(LA!$A240:$J240,,Info!$A$5)</f>
        <v>Internal Forces</v>
      </c>
      <c r="B41" s="153"/>
      <c r="C41" s="153"/>
      <c r="D41" s="217" t="str">
        <f>D$37</f>
        <v>permanent</v>
      </c>
      <c r="E41" s="217" t="str">
        <f>E$37</f>
        <v>transient</v>
      </c>
      <c r="F41" s="475" t="str">
        <f>INDEX(LA!$A244:$J244,,Info!$A$5)</f>
        <v>design values</v>
      </c>
      <c r="G41" s="476"/>
      <c r="H41" s="221" t="str">
        <f>INDEX(LA!$A245:$J245,,Info!$A$5)</f>
        <v>characteristic</v>
      </c>
    </row>
    <row r="42" spans="1:8" x14ac:dyDescent="0.2">
      <c r="A42" s="66" t="str">
        <f>INDEX(LA!$A241:$J241,,Info!$A$5)</f>
        <v>Bending moment</v>
      </c>
      <c r="B42" s="159"/>
      <c r="C42" s="160" t="s">
        <v>594</v>
      </c>
      <c r="D42" s="152"/>
      <c r="E42" s="152"/>
      <c r="F42" s="161"/>
      <c r="G42" s="162">
        <f>IF(OR($F42="",$F42=" "),$D42*$D$38+$E42*E$38,$F42)</f>
        <v>0</v>
      </c>
      <c r="H42" s="162">
        <f>IF(OR($F42="",$F42=" "),$D42+$E42,$F42/$D$38)</f>
        <v>0</v>
      </c>
    </row>
    <row r="43" spans="1:8" x14ac:dyDescent="0.2">
      <c r="A43" s="66" t="str">
        <f>INDEX(LA!$A242:$J242,,Info!$A$5)</f>
        <v>Normal force</v>
      </c>
      <c r="B43" s="159"/>
      <c r="C43" s="160" t="s">
        <v>535</v>
      </c>
      <c r="D43" s="152"/>
      <c r="E43" s="152"/>
      <c r="F43" s="161"/>
      <c r="G43" s="162">
        <f>IF(OR($F43="",$F43=" "),$D43*$D$38+$E43*E$38,$F43)</f>
        <v>0</v>
      </c>
      <c r="H43" s="162">
        <f>IF(OR($F43="",$F43=" "),$D43+$E43,$F43/$D$38)</f>
        <v>0</v>
      </c>
    </row>
    <row r="44" spans="1:8" x14ac:dyDescent="0.2">
      <c r="A44" s="66" t="str">
        <f>INDEX(LA!$A243:$J243,,Info!$A$5)</f>
        <v>Shear force</v>
      </c>
      <c r="B44" s="159"/>
      <c r="C44" s="160" t="s">
        <v>536</v>
      </c>
      <c r="D44" s="152"/>
      <c r="E44" s="152"/>
      <c r="F44" s="161"/>
      <c r="G44" s="162">
        <f>IF(OR($F44="",$F44=" "),$D44*$D$38+$E44*E$38,$F44)</f>
        <v>0</v>
      </c>
      <c r="H44" s="162">
        <f>IF(OR($F44="",$F44=" "),$D44+$E44,$F44/$D$38)</f>
        <v>0</v>
      </c>
    </row>
    <row r="46" spans="1:8" ht="12.75" x14ac:dyDescent="0.2">
      <c r="A46" s="7" t="str">
        <f>INDEX(LA!$A246:$J246,,Info!$A$5)</f>
        <v>Longitudinal Reinforcement</v>
      </c>
      <c r="F46" s="149" t="str">
        <f>IF(AND($H$47&lt;0.000001,$H$48&lt;0.000001),INDEX(LA!$A257:$J257,,Info!$A$5),INDEX(LA!$A258:$J258,,Info!$A$5))</f>
        <v>working load</v>
      </c>
    </row>
    <row r="47" spans="1:8" ht="12.75" customHeight="1" x14ac:dyDescent="0.2">
      <c r="A47" s="461" t="str">
        <f>INDEX(LA!$A247:$J247,,Info!$A$5)</f>
        <v>ultimate strain of concrete    ε_c</v>
      </c>
      <c r="B47" s="465"/>
      <c r="C47" s="466"/>
      <c r="D47" s="203">
        <f>StB_K_MN($A$4-1,$F$38,$G$38,$G$42,$G$43,$H$42,$H$43,$A$9,$B$9,$C$53,$A$14,$B$14,$C$14/1000,$D$14/1000,$E$14,$F$14,$G$14,$A$20,$B$20,$C$20,$D$20/1000,$E$20,$E$17-1,11)</f>
        <v>0</v>
      </c>
      <c r="F47" s="461" t="str">
        <f>INDEX(LA!$A259:$J259,,Info!$A$5)</f>
        <v>strain of concrete  ε_c</v>
      </c>
      <c r="G47" s="462"/>
      <c r="H47" s="230">
        <f>StB_K_MN($A$4-1,$F$38,$G$38,$G$42,$G$43,$H$42,$H$43,$A$9,$B$9,$C$53,$A$14,$B$14,$C$14/1000,$D$14/1000,$E$14,$F$14,$G$14,$A$20,$B$20,$C$20,$D$20/1000,$E$20,$E$17-1,21)</f>
        <v>0</v>
      </c>
    </row>
    <row r="48" spans="1:8" x14ac:dyDescent="0.2">
      <c r="A48" s="467"/>
      <c r="B48" s="468"/>
      <c r="C48" s="469"/>
      <c r="D48" s="204">
        <f>StB_K_MN($A$4-1,$F$38,$G$38,$G$42,$G$43,$H$42,$H$43,$A$9,$B$9,$C$53,$A$14,$B$14,$C$14/1000,$D$14/1000,$E$14,$F$14,$G$14,$A$20,$B$20,$C$20,$D$20/1000,$E$20,$E$17-1,12)</f>
        <v>0</v>
      </c>
      <c r="F48" s="463"/>
      <c r="G48" s="464"/>
      <c r="H48" s="231">
        <f>StB_K_MN($A$4-1,$F$38,$G$38,$G$42,$G$43,$H$42,$H$43,$A$9,$B$9,$C$53,$A$14,$B$14,$C$14/1000,$D$14/1000,$E$14,$F$14,$G$14,$A$20,$B$20,$C$20,$D$20/1000,$E$20,$E$17-1,22)</f>
        <v>0</v>
      </c>
    </row>
    <row r="49" spans="1:8" ht="12" customHeight="1" x14ac:dyDescent="0.2">
      <c r="A49" s="461" t="str">
        <f>INDEX(LA!$A248:$J248,,Info!$A$5)</f>
        <v>ultimate strain of steel         ε_s</v>
      </c>
      <c r="B49" s="465"/>
      <c r="C49" s="466"/>
      <c r="D49" s="203" t="str">
        <f>StB_K_MN($A$4-1,$F$38,$G$38,$G$42,$G$43,$H$42,$H$43,$A$9,$B$9,$C$53,$A$14,$B$14,$C$14/1000,$D$14/1000,$E$14,$F$14,$G$14,$A$20,$B$20,$C$20,$D$20/1000,$E$20,$E$17-1,14)</f>
        <v/>
      </c>
      <c r="F49" s="461" t="str">
        <f>INDEX(LA!$A260:$J260,,Info!$A$5)</f>
        <v>strain of steel       ε_s</v>
      </c>
      <c r="G49" s="462"/>
      <c r="H49" s="230" t="str">
        <f>StB_K_MN($A$4-1,$F$38,$G$38,$G$42,$G$43,$H$42,$H$43,$A$9,$B$9,$C$53,$A$14,$B$14,$C$14/1000,$D$14/1000,$E$14,$F$14,$G$14,$A$20,$B$20,$C$20,$D$20/1000,$E$20,$E$17-1,24)</f>
        <v/>
      </c>
    </row>
    <row r="50" spans="1:8" ht="12" customHeight="1" x14ac:dyDescent="0.2">
      <c r="A50" s="467"/>
      <c r="B50" s="468"/>
      <c r="C50" s="469"/>
      <c r="D50" s="204" t="str">
        <f>StB_K_MN($A$4-1,$F$38,$G$38,$G$42,$G$43,$H$42,$H$43,$A$9,$B$9,$C$53,$A$14,$B$14,$C$14/1000,$D$14/1000,$E$14,$F$14,$G$14,$A$20,$B$20,$C$20,$D$20/1000,$E$20,$E$17-1,13)</f>
        <v/>
      </c>
      <c r="F50" s="463"/>
      <c r="G50" s="464"/>
      <c r="H50" s="231" t="str">
        <f>StB_K_MN($A$4-1,$F$38,$G$38,$G$42,$G$43,$H$42,$H$43,$A$9,$B$9,$C$53,$A$14,$B$14,$C$14/1000,$D$14/1000,$E$14,$F$14,$G$14,$A$20,$B$20,$C$20,$D$20/1000,$E$20,$E$17-1,23)</f>
        <v/>
      </c>
    </row>
    <row r="51" spans="1:8" x14ac:dyDescent="0.2">
      <c r="A51" s="480" t="str">
        <f>INDEX(LA!$A249:$J249,,Info!$A$5)</f>
        <v>internal forces</v>
      </c>
      <c r="B51" s="481"/>
      <c r="C51" s="233" t="str">
        <f>INDEX(LA!$A250:$J250,,Info!$A$5)</f>
        <v>R_Md  [kNm]</v>
      </c>
      <c r="D51" s="224">
        <f>StB_K_MN($A$4-1,$F$38,$G$38,$G$42,$G$43,$H$42,$H$43,$A$9,$B$9,$C$53,$A$14,$B$14,$C$14/1000,$D$14/1000,$E$14,$F$14,$G$14,$A$20,$B$20,$C$20,$D$20/1000,$E$20,$E$17-1,15)</f>
        <v>0</v>
      </c>
      <c r="F51" s="480" t="str">
        <f>INDEX(LA!$A249:$J249,,Info!$A$5)</f>
        <v>internal forces</v>
      </c>
      <c r="G51" s="222" t="str">
        <f>INDEX(LA!$A261:$J261,,Info!$A$5)</f>
        <v>R_Mk  [kNm]</v>
      </c>
      <c r="H51" s="224">
        <f>StB_K_MN($A$4-1,$F$38,$G$38,$G$42,$G$43,$H$42,$H$43,$A$9,$B$9,$C$53,$A$14,$B$14,$C$14/1000,$D$14/1000,$E$14,$F$14,$G$14,$A$20,$B$20,$C$20,$D$20/1000,$E$20,$E$17-1,25)</f>
        <v>0</v>
      </c>
    </row>
    <row r="52" spans="1:8" x14ac:dyDescent="0.2">
      <c r="A52" s="482"/>
      <c r="B52" s="483"/>
      <c r="C52" s="234" t="str">
        <f>INDEX(LA!$A251:$J251,,Info!$A$5)</f>
        <v>R_Nd   [kN]</v>
      </c>
      <c r="D52" s="225">
        <f>StB_K_MN($A$4-1,$F$38,$G$38,$G$42,$G$43,$H$42,$H$43,$A$9,$B$9,$C$53,$A$14,$B$14,$C$14/1000,$D$14/1000,$E$14,$F$14,$G$14,$A$20,$B$20,$C$20,$D$20/1000,$E$20,$E$17-1,16)</f>
        <v>6.8371087212257367E-5</v>
      </c>
      <c r="F52" s="482"/>
      <c r="G52" s="112" t="str">
        <f>INDEX(LA!$A262:$J262,,Info!$A$5)</f>
        <v>R_Nk   [kN]</v>
      </c>
      <c r="H52" s="225">
        <f>StB_K_MN($A$4-1,$F$38,$G$38,$G$42,$G$43,$H$42,$H$43,$A$9,$B$9,$C$53,$A$14,$B$14,$C$14/1000,$D$14/1000,$E$14,$F$14,$G$14,$A$20,$B$20,$C$20,$D$20/1000,$E$20,$E$17-1,26)</f>
        <v>-1171.5017666984343</v>
      </c>
    </row>
    <row r="53" spans="1:8" x14ac:dyDescent="0.2">
      <c r="A53" s="478" t="str">
        <f>INDEX(LA!$A252:$J252,,Info!$A$5)</f>
        <v>reinforce.  A_s  [cm²]</v>
      </c>
      <c r="B53" s="479"/>
      <c r="C53" s="189"/>
      <c r="D53" s="219">
        <f>StB_K_MN($A$4-1,$F$38,$G$38,$G$42,$G$43,$H$42,$H$43,$A$9,$B$9,$C$53,$A$14,$B$14,$C$14/1000,$D$14/1000,$E$14,$F$14,$G$14,$A$20,$B$20,$C$20,$D$20/1000,$E$20,$E$17-1,17)</f>
        <v>0</v>
      </c>
      <c r="F53" s="461" t="str">
        <f>INDEX(LA!$A263:$J263,,Info!$A$5)</f>
        <v>reinforce. stress σs [MPa]</v>
      </c>
      <c r="G53" s="462"/>
      <c r="H53" s="224" t="str">
        <f>StB_K_MN($A$4-1,$F$38,$G$38,$G$42,$G$43,$H$42,$H$43,$A$9,$B$9,$C$53,$A$14,$B$14,$C$14/1000,$D$14/1000,$E$14,$F$14,$G$14,$A$20,$B$20,$C$20,$D$20/1000,$E$20,$E$17-1,28)</f>
        <v/>
      </c>
    </row>
    <row r="54" spans="1:8" x14ac:dyDescent="0.2">
      <c r="A54" s="478" t="str">
        <f>IF($H$79=0,INDEX(LA!$A255:$J255,,Info!$A$5),INDEX(LA!$A256:$J256,,Info!$A$5))</f>
        <v>utilization   =   N_d / R_Nu</v>
      </c>
      <c r="B54" s="484"/>
      <c r="C54" s="479"/>
      <c r="D54" s="207">
        <f>StB_K_MN($A$4-1,$F$38,$G$38,$G$42,$G$43,$H$42,$H$43,$A$9,$B$9,$C$53,$A$14,$B$14,$C$14/1000,$D$14/1000,$E$14,$F$14,$G$14,$A$20,$B$20,$C$20,$D$20/1000,$E$20,$E$17-1,19)</f>
        <v>0</v>
      </c>
      <c r="F54" s="463"/>
      <c r="G54" s="464"/>
      <c r="H54" s="225" t="str">
        <f>StB_K_MN($A$4-1,$F$38,$G$38,$G$42,$G$43,$H$42,$H$43,$A$9,$B$9,$C$53,$A$14,$B$14,$C$14/1000,$D$14/1000,$E$14,$F$14,$G$14,$A$20,$B$20,$C$20,$D$20/1000,$E$20,$E$17-1,27)</f>
        <v/>
      </c>
    </row>
    <row r="56" spans="1:8" ht="12.75" x14ac:dyDescent="0.2">
      <c r="A56" s="7" t="str">
        <f>INDEX(LA!$A264:$J264,,Info!$A$5)</f>
        <v>Shear Reinforcement</v>
      </c>
    </row>
    <row r="57" spans="1:8" x14ac:dyDescent="0.2">
      <c r="A57" s="478" t="str">
        <f>INDEX(LA!$A265:$J265,,Info!$A$5)</f>
        <v>internal force  /  lever arm</v>
      </c>
      <c r="B57" s="479"/>
      <c r="C57" s="239" t="str">
        <f>INDEX(LA!$A266:$J266,,Info!$A$5)</f>
        <v>[kN]</v>
      </c>
      <c r="D57" s="239" t="str">
        <f>INDEX(LA!$A267:$J267,,Info!$A$5)</f>
        <v>[mm]</v>
      </c>
      <c r="F57" s="478" t="str">
        <f>$A101</f>
        <v>min. a_s     [cm²/m]</v>
      </c>
      <c r="G57" s="479"/>
      <c r="H57" s="227">
        <f>StB_K_Q($A$4-1,$F$38,$G$38,$G$42,$G$43,$G$44,$A$9,$B$9,$D$53,$A$14,$B$14,$C$14/1000,$D$14/1000,$E$14,$F$14,$G$14,$A$20,$B$20,$C$20,$D$20/1000,$F$62,$G$62,$H$62,20)</f>
        <v>0</v>
      </c>
    </row>
    <row r="58" spans="1:8" x14ac:dyDescent="0.2">
      <c r="A58" s="478" t="str">
        <f>INDEX(LA!$A268:$J268,,Info!$A$5)</f>
        <v>compress. concrete C_cu</v>
      </c>
      <c r="B58" s="479"/>
      <c r="C58" s="162" t="str">
        <f>StB_K_Q($A$4-1,$F$38,$G$38,$G$42,$G$43,$G$44,$A$9,$B$9,$D$53,$A$14,$B$14,$C$14/1000,$D$14/1000,$E$14,$F$14,$G$14,$A$20,$B$20,$C$20,$D$20/1000,$F$62,$G$62,$H$62,11)</f>
        <v/>
      </c>
      <c r="D58" s="162" t="str">
        <f>StB_K_Q($A$4-1,$F$38,$G$38,$G$42,$G$43,$G$44,$A$9,$B$9,$D$53,$A$14,$B$14,$C$14/1000,$D$14/1000,$E$14,$F$14,$G$14,$A$20,$B$20,$C$20,$D$20/1000,$F$62,$G$62,$H$62,12)</f>
        <v/>
      </c>
    </row>
    <row r="59" spans="1:8" x14ac:dyDescent="0.2">
      <c r="A59" s="478" t="str">
        <f>INDEX(LA!$A269:$J269,,Info!$A$5)</f>
        <v>compress. reinf.      C_su</v>
      </c>
      <c r="B59" s="479"/>
      <c r="C59" s="162" t="str">
        <f>StB_K_Q($A$4-1,$F$38,$G$38,$G$42,$G$43,$G$44,$A$9,$B$9,$D$53,$A$14,$B$14,$C$14/1000,$D$14/1000,$E$14,$F$14,$G$14,$A$20,$B$20,$C$20,$D$20/1000,$F$62,$G$62,$H$62,15)</f>
        <v/>
      </c>
      <c r="D59" s="162" t="str">
        <f>StB_K_Q($A$4-1,$F$38,$G$38,$G$42,$G$43,$G$44,$A$9,$B$9,$D$53,$A$14,$B$14,$C$14/1000,$D$14/1000,$E$14,$F$14,$G$14,$A$20,$B$20,$C$20,$D$20/1000,$F$62,$G$62,$H$62,16)</f>
        <v/>
      </c>
      <c r="F59" s="238" t="str">
        <f>$A102</f>
        <v>V_Rdc</v>
      </c>
      <c r="G59" s="238" t="str">
        <f>$A104</f>
        <v>τ_cp</v>
      </c>
      <c r="H59" s="238" t="str">
        <f>$A106</f>
        <v>f_cvd</v>
      </c>
    </row>
    <row r="60" spans="1:8" x14ac:dyDescent="0.2">
      <c r="A60" s="478" t="str">
        <f>INDEX(LA!$A270:$J270,,Info!$A$5)</f>
        <v>tension reinforce.     T_su</v>
      </c>
      <c r="B60" s="479"/>
      <c r="C60" s="162" t="str">
        <f>StB_K_Q($A$4-1,$F$38,$G$38,$G$42,$G$43,$G$44,$A$9,$B$9,$D$53,$A$14,$B$14,$C$14/1000,$D$14/1000,$E$14,$F$14,$G$14,$A$20,$B$20,$C$20,$D$20/1000,$F$62,$G$62,$H$62,13)</f>
        <v/>
      </c>
      <c r="D60" s="162" t="str">
        <f>StB_K_Q($A$4-1,$F$38,$G$38,$G$42,$G$43,$G$44,$A$9,$B$9,$D$53,$A$14,$B$14,$C$14/1000,$D$14/1000,$E$14,$F$14,$G$14,$A$20,$B$20,$C$20,$D$20/1000,$F$62,$G$62,$H$62,14)</f>
        <v/>
      </c>
      <c r="F60" s="105" t="str">
        <f>$A103</f>
        <v>[kN]</v>
      </c>
      <c r="G60" s="105" t="str">
        <f>$A105</f>
        <v>[MPa]</v>
      </c>
      <c r="H60" s="105" t="str">
        <f>$A107</f>
        <v>[MPa]</v>
      </c>
    </row>
    <row r="61" spans="1:8" x14ac:dyDescent="0.2">
      <c r="A61" s="478" t="str">
        <f>INDEX(LA!$A271:$J271,,Info!$A$5)</f>
        <v>couple of forces</v>
      </c>
      <c r="B61" s="479"/>
      <c r="C61" s="224" t="str">
        <f>StB_K_Q($A$4-1,$F$38,$G$38,$G$42,$G$43,$G$44,$A$9,$B$9,$D$53,$A$14,$B$14,$C$14/1000,$D$14/1000,$E$14,$F$14,$G$14,$A$20,$B$20,$C$20,$D$20/1000,$F$62,$G$62,$H$62,17)</f>
        <v/>
      </c>
      <c r="D61" s="162" t="str">
        <f>StB_K_Q($A$4-1,$F$38,$G$38,$G$42,$G$43,$G$44,$A$9,$B$9,$D$53,$A$14,$B$14,$C$14/1000,$D$14/1000,$E$14,$F$14,$G$14,$A$20,$B$20,$C$20,$D$20/1000,$F$62,$G$62,$H$62,18)</f>
        <v/>
      </c>
      <c r="F61" s="227">
        <f>StB_K_Q($A$4-1,$F$38,$G$38,$G$42,$G$43,$G$44,$A$9,$B$9,$D$53,$A$14,$B$14,$C$14/1000,$D$14/1000,$E$14,$F$14,$G$14,$A$20,$B$20,$C$20,$D$20/1000,$F$62,$G$62,$H$62,21)</f>
        <v>843.28146884182399</v>
      </c>
      <c r="G61" s="227">
        <f>StB_K_Q($A$4-1,$F$38,$G$38,$G$42,$G$43,$G$44,$A$9,$B$9,$D$53,$A$14,$B$14,$C$14/1000,$D$14/1000,$E$14,$F$14,$G$14,$A$20,$B$20,$C$20,$D$20/1000,$F$62,$G$62,$H$62,22)</f>
        <v>0</v>
      </c>
      <c r="H61" s="227">
        <f>StB_K_Q($A$4-1,$F$38,$G$38,$G$42,$G$43,$G$44,$A$9,$B$9,$D$53,$A$14,$B$14,$C$14/1000,$D$14/1000,$E$14,$F$14,$G$14,$A$20,$B$20,$C$20,$D$20/1000,$F$62,$G$62,$H$62,23)</f>
        <v>1.9883320619847487</v>
      </c>
    </row>
    <row r="62" spans="1:8" x14ac:dyDescent="0.2">
      <c r="A62" s="478" t="str">
        <f>INDEX(LA!$A272:$J272,,Info!$A$5)</f>
        <v>shear reinforce.   req. a_s [cm²/m]</v>
      </c>
      <c r="B62" s="484"/>
      <c r="C62" s="479"/>
      <c r="D62" s="207">
        <f>StB_K_Q($A$4-1,$F$38,$G$38,$G$42,$G$43,$G$44,$A$9,$B$9,$D$53,$A$14,$B$14,$C$14/1000,$D$14/1000,$E$14,$F$14,$G$14,$A$20,$B$20,$C$20,$D$20/1000,$F$62,$G$62,$H$62,19)</f>
        <v>0</v>
      </c>
      <c r="F62" s="158"/>
      <c r="G62" s="158"/>
      <c r="H62" s="158"/>
    </row>
    <row r="70" spans="1:8" hidden="1" x14ac:dyDescent="0.2">
      <c r="A70" s="149" t="s">
        <v>378</v>
      </c>
    </row>
    <row r="71" spans="1:8" hidden="1" x14ac:dyDescent="0.2">
      <c r="A71" s="149" t="s">
        <v>632</v>
      </c>
      <c r="B71" s="168" t="s">
        <v>634</v>
      </c>
    </row>
    <row r="72" spans="1:8" hidden="1" x14ac:dyDescent="0.2">
      <c r="A72" s="149" t="s">
        <v>633</v>
      </c>
      <c r="B72" s="168" t="s">
        <v>634</v>
      </c>
    </row>
    <row r="73" spans="1:8" hidden="1" x14ac:dyDescent="0.2">
      <c r="A73" s="169" t="s">
        <v>593</v>
      </c>
      <c r="B73" s="168" t="s">
        <v>580</v>
      </c>
    </row>
    <row r="74" spans="1:8" hidden="1" x14ac:dyDescent="0.2">
      <c r="A74" s="169" t="s">
        <v>396</v>
      </c>
      <c r="B74" s="149" t="s">
        <v>642</v>
      </c>
    </row>
    <row r="75" spans="1:8" hidden="1" x14ac:dyDescent="0.2"/>
    <row r="77" spans="1:8" hidden="1" x14ac:dyDescent="0.2">
      <c r="A77" s="169"/>
    </row>
    <row r="78" spans="1:8" hidden="1" x14ac:dyDescent="0.2">
      <c r="A78" s="171" t="s">
        <v>512</v>
      </c>
      <c r="H78" s="171" t="s">
        <v>686</v>
      </c>
    </row>
    <row r="79" spans="1:8" hidden="1" x14ac:dyDescent="0.2">
      <c r="A79" s="218">
        <v>1</v>
      </c>
      <c r="B79" s="250" t="str">
        <f>'StB-Werte'!B79</f>
        <v>DIN 1045:1988</v>
      </c>
      <c r="C79" s="159"/>
      <c r="D79" s="159"/>
      <c r="E79" s="160"/>
      <c r="H79" s="241">
        <f>IF(AND($D$49="",$D$50=""),0,1)</f>
        <v>0</v>
      </c>
    </row>
    <row r="80" spans="1:8" hidden="1" x14ac:dyDescent="0.2">
      <c r="A80" s="218">
        <v>2</v>
      </c>
      <c r="B80" s="250" t="str">
        <f>'StB-Werte'!B80</f>
        <v>DIN 1045:2008</v>
      </c>
      <c r="C80" s="159"/>
      <c r="D80" s="159"/>
      <c r="E80" s="160"/>
    </row>
    <row r="81" spans="1:13" hidden="1" x14ac:dyDescent="0.2">
      <c r="A81" s="218">
        <v>3</v>
      </c>
      <c r="B81" s="250" t="str">
        <f>'StB-Werte'!B81</f>
        <v>EN 1992-1-1:2004  (Eurocode 2)</v>
      </c>
      <c r="C81" s="159"/>
      <c r="D81" s="159"/>
      <c r="E81" s="160"/>
    </row>
    <row r="82" spans="1:13" hidden="1" x14ac:dyDescent="0.2">
      <c r="A82" s="218">
        <v>4</v>
      </c>
      <c r="B82" s="250" t="str">
        <f>'StB-Werte'!B82</f>
        <v>DIN EN 1992-1-1:2004 + AC:2010 + NA:2011</v>
      </c>
      <c r="C82" s="159"/>
      <c r="D82" s="159"/>
      <c r="E82" s="160"/>
    </row>
    <row r="83" spans="1:13" hidden="1" x14ac:dyDescent="0.2">
      <c r="A83" s="218">
        <v>5</v>
      </c>
      <c r="B83" s="250" t="str">
        <f>'StB-Werte'!B83</f>
        <v/>
      </c>
      <c r="C83" s="159"/>
      <c r="D83" s="159"/>
      <c r="E83" s="160"/>
    </row>
    <row r="84" spans="1:13" hidden="1" x14ac:dyDescent="0.2"/>
    <row r="85" spans="1:13" hidden="1" x14ac:dyDescent="0.2">
      <c r="A85" s="171" t="str">
        <f>B11</f>
        <v>Concrete</v>
      </c>
      <c r="B85" s="171">
        <v>1</v>
      </c>
      <c r="C85" s="171">
        <v>2</v>
      </c>
      <c r="D85" s="171">
        <v>3</v>
      </c>
      <c r="E85" s="171">
        <v>4</v>
      </c>
      <c r="F85" s="171">
        <v>5</v>
      </c>
      <c r="H85" s="171" t="str">
        <f>B17</f>
        <v>Reinforcement</v>
      </c>
      <c r="I85" s="171">
        <v>1</v>
      </c>
      <c r="J85" s="171">
        <v>2</v>
      </c>
      <c r="K85" s="171">
        <v>3</v>
      </c>
      <c r="L85" s="171">
        <v>4</v>
      </c>
      <c r="M85" s="171">
        <v>5</v>
      </c>
    </row>
    <row r="86" spans="1:13" hidden="1" x14ac:dyDescent="0.2">
      <c r="A86" s="399" t="str">
        <f>INDEX(B86:F86,,$A$4)</f>
        <v>cylinder str.</v>
      </c>
      <c r="B86" s="251" t="str">
        <f>'StB-Werte'!B86</f>
        <v>cube strength</v>
      </c>
      <c r="C86" s="251" t="str">
        <f>'StB-Werte'!C86</f>
        <v>cylinder str.</v>
      </c>
      <c r="D86" s="251" t="str">
        <f>'StB-Werte'!D86</f>
        <v>cylinder str.</v>
      </c>
      <c r="E86" s="251" t="str">
        <f>'StB-Werte'!E86</f>
        <v>cylinder str.</v>
      </c>
      <c r="F86" s="251" t="str">
        <f>'StB-Werte'!F86</f>
        <v/>
      </c>
      <c r="H86" s="235" t="str">
        <f>INDEX(I86:M86,,$A$4)</f>
        <v>yield stress</v>
      </c>
      <c r="I86" s="251" t="str">
        <f>'StB-Werte'!I86</f>
        <v>yield stress</v>
      </c>
      <c r="J86" s="251" t="str">
        <f>'StB-Werte'!J86</f>
        <v>yield stress</v>
      </c>
      <c r="K86" s="251" t="str">
        <f>'StB-Werte'!K86</f>
        <v>yield stress</v>
      </c>
      <c r="L86" s="251" t="str">
        <f>'StB-Werte'!L86</f>
        <v>yield stress</v>
      </c>
      <c r="M86" s="251" t="str">
        <f>'StB-Werte'!M86</f>
        <v/>
      </c>
    </row>
    <row r="87" spans="1:13" hidden="1" x14ac:dyDescent="0.2">
      <c r="A87" s="150" t="str">
        <f t="shared" ref="A87:A107" si="0">INDEX(B87:F87,,$A$4)</f>
        <v>f_ck [MPa]</v>
      </c>
      <c r="B87" s="252" t="str">
        <f>'StB-Werte'!B87</f>
        <v>β_WN [MPa]</v>
      </c>
      <c r="C87" s="252" t="str">
        <f>'StB-Werte'!C87</f>
        <v>f_ck [MPa]</v>
      </c>
      <c r="D87" s="252" t="str">
        <f>'StB-Werte'!D87</f>
        <v>f_ck [MPa]</v>
      </c>
      <c r="E87" s="252" t="str">
        <f>'StB-Werte'!E87</f>
        <v>f_ck [MPa]</v>
      </c>
      <c r="F87" s="252" t="str">
        <f>'StB-Werte'!F87</f>
        <v/>
      </c>
      <c r="H87" s="150" t="str">
        <f t="shared" ref="H87:H93" si="1">INDEX(I87:M87,,$A$4)</f>
        <v>f_yk  [MPa]</v>
      </c>
      <c r="I87" s="252" t="str">
        <f>'StB-Werte'!I87</f>
        <v>f_yk  [MPa]</v>
      </c>
      <c r="J87" s="252" t="str">
        <f>'StB-Werte'!J87</f>
        <v>f_yk  [MPa]</v>
      </c>
      <c r="K87" s="252" t="str">
        <f>'StB-Werte'!K87</f>
        <v>f_yk  [MPa]</v>
      </c>
      <c r="L87" s="252" t="str">
        <f>'StB-Werte'!L87</f>
        <v>f_yk  [MPa]</v>
      </c>
      <c r="M87" s="252" t="str">
        <f>'StB-Werte'!M87</f>
        <v/>
      </c>
    </row>
    <row r="88" spans="1:13" hidden="1" x14ac:dyDescent="0.2">
      <c r="A88" s="150" t="str">
        <f t="shared" si="0"/>
        <v>reduct.factor</v>
      </c>
      <c r="B88" s="252" t="str">
        <f>'StB-Werte'!B88</f>
        <v>reduct.factor</v>
      </c>
      <c r="C88" s="252" t="str">
        <f>'StB-Werte'!C88</f>
        <v>reduct.factor</v>
      </c>
      <c r="D88" s="252" t="str">
        <f>'StB-Werte'!D88</f>
        <v>reduct.factor</v>
      </c>
      <c r="E88" s="252" t="str">
        <f>'StB-Werte'!E88</f>
        <v>reduct.factor</v>
      </c>
      <c r="F88" s="252" t="str">
        <f>'StB-Werte'!F88</f>
        <v/>
      </c>
      <c r="H88" s="150" t="str">
        <f t="shared" si="1"/>
        <v>tens.strength</v>
      </c>
      <c r="I88" s="252" t="str">
        <f>'StB-Werte'!I88</f>
        <v>tens.strength</v>
      </c>
      <c r="J88" s="252" t="str">
        <f>'StB-Werte'!J88</f>
        <v>tens.strength</v>
      </c>
      <c r="K88" s="252" t="str">
        <f>'StB-Werte'!K88</f>
        <v>tens.strength</v>
      </c>
      <c r="L88" s="252" t="str">
        <f>'StB-Werte'!L88</f>
        <v>tens.strength</v>
      </c>
      <c r="M88" s="252" t="str">
        <f>'StB-Werte'!M88</f>
        <v/>
      </c>
    </row>
    <row r="89" spans="1:13" hidden="1" x14ac:dyDescent="0.2">
      <c r="A89" s="150" t="str">
        <f t="shared" si="0"/>
        <v>α   [1]</v>
      </c>
      <c r="B89" s="252" t="str">
        <f>'StB-Werte'!B89</f>
        <v>α   [1]</v>
      </c>
      <c r="C89" s="252" t="str">
        <f>'StB-Werte'!C89</f>
        <v>α   [1]</v>
      </c>
      <c r="D89" s="252" t="str">
        <f>'StB-Werte'!D89</f>
        <v>α   [1]</v>
      </c>
      <c r="E89" s="252" t="str">
        <f>'StB-Werte'!E89</f>
        <v>α   [1]</v>
      </c>
      <c r="F89" s="252" t="str">
        <f>'StB-Werte'!F89</f>
        <v/>
      </c>
      <c r="H89" s="150" t="str">
        <f t="shared" si="1"/>
        <v>f_tk  [MPa]</v>
      </c>
      <c r="I89" s="252" t="str">
        <f>'StB-Werte'!I89</f>
        <v>f_tk  [MPa]</v>
      </c>
      <c r="J89" s="252" t="str">
        <f>'StB-Werte'!J89</f>
        <v>f_tk  [MPa]</v>
      </c>
      <c r="K89" s="252" t="str">
        <f>'StB-Werte'!K89</f>
        <v>f_tk  [MPa]</v>
      </c>
      <c r="L89" s="252" t="str">
        <f>'StB-Werte'!L89</f>
        <v>f_tk  [MPa]</v>
      </c>
      <c r="M89" s="252" t="str">
        <f>'StB-Werte'!M89</f>
        <v/>
      </c>
    </row>
    <row r="90" spans="1:13" hidden="1" x14ac:dyDescent="0.2">
      <c r="A90" s="150" t="str">
        <f t="shared" si="0"/>
        <v>stress-strain curve</v>
      </c>
      <c r="B90" s="252" t="str">
        <f>'StB-Werte'!B90</f>
        <v>stress-strain curve</v>
      </c>
      <c r="C90" s="252" t="str">
        <f>'StB-Werte'!C90</f>
        <v>stress-strain curve</v>
      </c>
      <c r="D90" s="252" t="str">
        <f>'StB-Werte'!D90</f>
        <v>stress-strain curve</v>
      </c>
      <c r="E90" s="252" t="str">
        <f>'StB-Werte'!E90</f>
        <v>stress-strain curve</v>
      </c>
      <c r="F90" s="252" t="str">
        <f>'StB-Werte'!F90</f>
        <v/>
      </c>
      <c r="H90" s="150" t="str">
        <f t="shared" si="1"/>
        <v>Young's m.</v>
      </c>
      <c r="I90" s="252" t="str">
        <f>'StB-Werte'!I90</f>
        <v>Young's m.</v>
      </c>
      <c r="J90" s="252" t="str">
        <f>'StB-Werte'!J90</f>
        <v>Young's m.</v>
      </c>
      <c r="K90" s="252" t="str">
        <f>'StB-Werte'!K90</f>
        <v>Young's m.</v>
      </c>
      <c r="L90" s="252" t="str">
        <f>'StB-Werte'!L90</f>
        <v>Young's m.</v>
      </c>
      <c r="M90" s="252" t="str">
        <f>'StB-Werte'!M90</f>
        <v/>
      </c>
    </row>
    <row r="91" spans="1:13" hidden="1" x14ac:dyDescent="0.2">
      <c r="A91" s="150" t="str">
        <f t="shared" si="0"/>
        <v>ε_c2  [‰]</v>
      </c>
      <c r="B91" s="252" t="str">
        <f>'StB-Werte'!B91</f>
        <v>ε_c2  [‰]</v>
      </c>
      <c r="C91" s="252" t="str">
        <f>'StB-Werte'!C91</f>
        <v>ε_c2  [‰]</v>
      </c>
      <c r="D91" s="252" t="str">
        <f>'StB-Werte'!D91</f>
        <v>ε_c2  [‰]</v>
      </c>
      <c r="E91" s="252" t="str">
        <f>'StB-Werte'!E91</f>
        <v>ε_c2  [‰]</v>
      </c>
      <c r="F91" s="252" t="str">
        <f>'StB-Werte'!F91</f>
        <v/>
      </c>
      <c r="H91" s="150" t="str">
        <f t="shared" si="1"/>
        <v>E  [MPa]</v>
      </c>
      <c r="I91" s="252" t="str">
        <f>'StB-Werte'!I91</f>
        <v>E  [MPa]</v>
      </c>
      <c r="J91" s="252" t="str">
        <f>'StB-Werte'!J91</f>
        <v>E  [MPa]</v>
      </c>
      <c r="K91" s="252" t="str">
        <f>'StB-Werte'!K91</f>
        <v>E  [MPa]</v>
      </c>
      <c r="L91" s="252" t="str">
        <f>'StB-Werte'!L91</f>
        <v>E  [MPa]</v>
      </c>
      <c r="M91" s="252" t="str">
        <f>'StB-Werte'!M91</f>
        <v/>
      </c>
    </row>
    <row r="92" spans="1:13" hidden="1" x14ac:dyDescent="0.2">
      <c r="A92" s="150" t="str">
        <f t="shared" si="0"/>
        <v>ε_c2u [‰]</v>
      </c>
      <c r="B92" s="252" t="str">
        <f>'StB-Werte'!B92</f>
        <v>ε_c2u [‰]</v>
      </c>
      <c r="C92" s="252" t="str">
        <f>'StB-Werte'!C92</f>
        <v>ε_c2u [‰]</v>
      </c>
      <c r="D92" s="252" t="str">
        <f>'StB-Werte'!D92</f>
        <v>ε_c2u [‰]</v>
      </c>
      <c r="E92" s="252" t="str">
        <f>'StB-Werte'!E92</f>
        <v>ε_c2u [‰]</v>
      </c>
      <c r="F92" s="252" t="str">
        <f>'StB-Werte'!F92</f>
        <v/>
      </c>
      <c r="H92" s="150" t="str">
        <f t="shared" si="1"/>
        <v>max. strain</v>
      </c>
      <c r="I92" s="252" t="str">
        <f>'StB-Werte'!I92</f>
        <v>max. strain</v>
      </c>
      <c r="J92" s="252" t="str">
        <f>'StB-Werte'!J92</f>
        <v>max. strain</v>
      </c>
      <c r="K92" s="252" t="str">
        <f>'StB-Werte'!K92</f>
        <v>max. strain</v>
      </c>
      <c r="L92" s="252" t="str">
        <f>'StB-Werte'!L92</f>
        <v>max. strain</v>
      </c>
      <c r="M92" s="252" t="str">
        <f>'StB-Werte'!M92</f>
        <v/>
      </c>
    </row>
    <row r="93" spans="1:13" hidden="1" x14ac:dyDescent="0.2">
      <c r="A93" s="150" t="str">
        <f t="shared" si="0"/>
        <v>exp. [1]</v>
      </c>
      <c r="B93" s="252" t="str">
        <f>'StB-Werte'!B93</f>
        <v>exp. [1]</v>
      </c>
      <c r="C93" s="252" t="str">
        <f>'StB-Werte'!C93</f>
        <v>exp. [1]</v>
      </c>
      <c r="D93" s="252" t="str">
        <f>'StB-Werte'!D93</f>
        <v>exp. [1]</v>
      </c>
      <c r="E93" s="252" t="str">
        <f>'StB-Werte'!E93</f>
        <v>exp. [1]</v>
      </c>
      <c r="F93" s="252" t="str">
        <f>'StB-Werte'!F93</f>
        <v/>
      </c>
      <c r="H93" s="150" t="str">
        <f t="shared" si="1"/>
        <v>ε_s,u  [‰]</v>
      </c>
      <c r="I93" s="252" t="str">
        <f>'StB-Werte'!I93</f>
        <v>ε_s,u  [‰]</v>
      </c>
      <c r="J93" s="252" t="str">
        <f>'StB-Werte'!J93</f>
        <v>ε_s,u  [‰]</v>
      </c>
      <c r="K93" s="252" t="str">
        <f>'StB-Werte'!K93</f>
        <v>ε_s,u  [‰]</v>
      </c>
      <c r="L93" s="252" t="str">
        <f>'StB-Werte'!L93</f>
        <v>ε_s,u  [‰]</v>
      </c>
      <c r="M93" s="252" t="str">
        <f>'StB-Werte'!M93</f>
        <v/>
      </c>
    </row>
    <row r="94" spans="1:13" hidden="1" x14ac:dyDescent="0.2">
      <c r="A94" s="150" t="str">
        <f t="shared" si="0"/>
        <v>E_cm</v>
      </c>
      <c r="B94" s="252" t="str">
        <f>'StB-Werte'!B94</f>
        <v>E_cm</v>
      </c>
      <c r="C94" s="252" t="str">
        <f>'StB-Werte'!C94</f>
        <v>E_cm</v>
      </c>
      <c r="D94" s="252" t="str">
        <f>'StB-Werte'!D94</f>
        <v>E_cm</v>
      </c>
      <c r="E94" s="252" t="str">
        <f>'StB-Werte'!E94</f>
        <v>E_cm</v>
      </c>
      <c r="F94" s="252" t="str">
        <f>'StB-Werte'!F94</f>
        <v/>
      </c>
      <c r="H94" s="150" t="str">
        <f>INDEX(I94:M94,,$A$4)</f>
        <v>max. σs [MPa]</v>
      </c>
      <c r="I94" s="252" t="str">
        <f>'StB-Werte'!I94</f>
        <v>max. σs [MPa]</v>
      </c>
      <c r="J94" s="252" t="str">
        <f>'StB-Werte'!J94</f>
        <v>max. σs [MPa]</v>
      </c>
      <c r="K94" s="252" t="str">
        <f>'StB-Werte'!K94</f>
        <v>max. σs [MPa]</v>
      </c>
      <c r="L94" s="252" t="str">
        <f>'StB-Werte'!L94</f>
        <v>max. σs [MPa]</v>
      </c>
      <c r="M94" s="252" t="str">
        <f>'StB-Werte'!M94</f>
        <v/>
      </c>
    </row>
    <row r="95" spans="1:13" hidden="1" x14ac:dyDescent="0.2">
      <c r="A95" s="150" t="str">
        <f t="shared" si="0"/>
        <v>[MPa]</v>
      </c>
      <c r="B95" s="252" t="str">
        <f>'StB-Werte'!B95</f>
        <v>[MPa]</v>
      </c>
      <c r="C95" s="252" t="str">
        <f>'StB-Werte'!C95</f>
        <v>[MPa]</v>
      </c>
      <c r="D95" s="252" t="str">
        <f>'StB-Werte'!D95</f>
        <v>[MPa]</v>
      </c>
      <c r="E95" s="252" t="str">
        <f>'StB-Werte'!E95</f>
        <v>[MPa]</v>
      </c>
      <c r="F95" s="252" t="str">
        <f>'StB-Werte'!F95</f>
        <v/>
      </c>
      <c r="H95" s="211" t="str">
        <f>INDEX(I95:M95,,$A$4)</f>
        <v>reinforce. bar</v>
      </c>
      <c r="I95" s="254" t="str">
        <f>'StB-Werte'!I95</f>
        <v>reinforce. bar</v>
      </c>
      <c r="J95" s="254" t="str">
        <f>'StB-Werte'!J95</f>
        <v>reinforce. bar</v>
      </c>
      <c r="K95" s="254" t="str">
        <f>'StB-Werte'!K95</f>
        <v>reinforce. bar</v>
      </c>
      <c r="L95" s="254" t="str">
        <f>'StB-Werte'!L95</f>
        <v>reinforce. bar</v>
      </c>
      <c r="M95" s="254" t="str">
        <f>'StB-Werte'!M95</f>
        <v/>
      </c>
    </row>
    <row r="96" spans="1:13" hidden="1" x14ac:dyDescent="0.2">
      <c r="A96" s="150" t="str">
        <f t="shared" si="0"/>
        <v>unreinforced</v>
      </c>
      <c r="B96" s="252" t="str">
        <f>'StB-Werte'!B96</f>
        <v>compression-loaded</v>
      </c>
      <c r="C96" s="252" t="str">
        <f>'StB-Werte'!C96</f>
        <v>unreinforced</v>
      </c>
      <c r="D96" s="252" t="str">
        <f>'StB-Werte'!D96</f>
        <v>unreinforced</v>
      </c>
      <c r="E96" s="252" t="str">
        <f>'StB-Werte'!E96</f>
        <v>unreinforced</v>
      </c>
      <c r="F96" s="252" t="str">
        <f>'StB-Werte'!F96</f>
        <v/>
      </c>
      <c r="H96" s="211" t="str">
        <f>INDEX(I96:M96,,$A$4)</f>
        <v>max. ds [mm]</v>
      </c>
      <c r="I96" s="254" t="str">
        <f>'StB-Werte'!I96</f>
        <v>max. ds [mm]</v>
      </c>
      <c r="J96" s="254" t="str">
        <f>'StB-Werte'!J96</f>
        <v>max. ds [mm]</v>
      </c>
      <c r="K96" s="254" t="str">
        <f>'StB-Werte'!K96</f>
        <v>max. ds [mm]</v>
      </c>
      <c r="L96" s="254" t="str">
        <f>'StB-Werte'!L96</f>
        <v>max. ds [mm]</v>
      </c>
      <c r="M96" s="254" t="str">
        <f>'StB-Werte'!M96</f>
        <v/>
      </c>
    </row>
    <row r="97" spans="1:62" hidden="1" x14ac:dyDescent="0.2">
      <c r="A97" s="150" t="str">
        <f t="shared" si="0"/>
        <v>safety</v>
      </c>
      <c r="B97" s="252" t="str">
        <f>'StB-Werte'!B97</f>
        <v>safety</v>
      </c>
      <c r="C97" s="252" t="str">
        <f>'StB-Werte'!C97</f>
        <v>safety</v>
      </c>
      <c r="D97" s="252" t="str">
        <f>'StB-Werte'!D97</f>
        <v>safety</v>
      </c>
      <c r="E97" s="252" t="str">
        <f>'StB-Werte'!E97</f>
        <v>safety</v>
      </c>
      <c r="F97" s="252" t="str">
        <f>'StB-Werte'!F97</f>
        <v/>
      </c>
      <c r="H97" s="211" t="str">
        <f>INDEX(I97:M97,,$A$4)</f>
        <v>bar spacing</v>
      </c>
      <c r="I97" s="254" t="str">
        <f>'StB-Werte'!I97</f>
        <v>bar spacing</v>
      </c>
      <c r="J97" s="254" t="str">
        <f>'StB-Werte'!J97</f>
        <v>bar spacing</v>
      </c>
      <c r="K97" s="254" t="str">
        <f>'StB-Werte'!K97</f>
        <v>bar spacing</v>
      </c>
      <c r="L97" s="254" t="str">
        <f>'StB-Werte'!L97</f>
        <v>bar spacing</v>
      </c>
      <c r="M97" s="254" t="str">
        <f>'StB-Werte'!M97</f>
        <v/>
      </c>
    </row>
    <row r="98" spans="1:62" hidden="1" x14ac:dyDescent="0.2">
      <c r="A98" s="150" t="str">
        <f t="shared" si="0"/>
        <v>Δα_pl  [1]</v>
      </c>
      <c r="B98" s="252" t="str">
        <f>'StB-Werte'!B98</f>
        <v>Δγ_pl  [1]</v>
      </c>
      <c r="C98" s="252" t="str">
        <f>'StB-Werte'!C98</f>
        <v>Δγ_c,pl  [1]</v>
      </c>
      <c r="D98" s="252" t="str">
        <f>'StB-Werte'!D98</f>
        <v>Δα_pl  [1]</v>
      </c>
      <c r="E98" s="252" t="str">
        <f>'StB-Werte'!E98</f>
        <v>Δα_pl  [1]</v>
      </c>
      <c r="F98" s="252" t="str">
        <f>'StB-Werte'!F98</f>
        <v/>
      </c>
      <c r="H98" s="191" t="str">
        <f>INDEX(I98:M98,,$A$4)</f>
        <v>max. s  [mm]</v>
      </c>
      <c r="I98" s="255" t="str">
        <f>'StB-Werte'!I98</f>
        <v>max. s  [mm]</v>
      </c>
      <c r="J98" s="255" t="str">
        <f>'StB-Werte'!J98</f>
        <v>max. s  [mm]</v>
      </c>
      <c r="K98" s="255" t="str">
        <f>'StB-Werte'!K98</f>
        <v>max. s  [mm]</v>
      </c>
      <c r="L98" s="255" t="str">
        <f>'StB-Werte'!L98</f>
        <v>max. s  [mm]</v>
      </c>
      <c r="M98" s="255" t="str">
        <f>'StB-Werte'!M98</f>
        <v/>
      </c>
    </row>
    <row r="99" spans="1:62" hidden="1" x14ac:dyDescent="0.2">
      <c r="A99" s="150" t="str">
        <f t="shared" si="0"/>
        <v>min.comp.reinf.</v>
      </c>
      <c r="B99" s="252" t="str">
        <f>'StB-Werte'!B99</f>
        <v>strain limits</v>
      </c>
      <c r="C99" s="252" t="str">
        <f>'StB-Werte'!C99</f>
        <v>min.comp.reinf.</v>
      </c>
      <c r="D99" s="252" t="str">
        <f>'StB-Werte'!D99</f>
        <v>min.comp.reinf.</v>
      </c>
      <c r="E99" s="252" t="str">
        <f>'StB-Werte'!E99</f>
        <v>min.comp.reinf.</v>
      </c>
      <c r="F99" s="252" t="str">
        <f>'StB-Werte'!F99</f>
        <v/>
      </c>
    </row>
    <row r="100" spans="1:62" hidden="1" x14ac:dyDescent="0.2">
      <c r="A100" s="150" t="str">
        <f t="shared" si="0"/>
        <v>N_Ed,min  [1]</v>
      </c>
      <c r="B100" s="252" t="str">
        <f>'StB-Werte'!B100</f>
        <v>ε_s  ε_s  [‰]</v>
      </c>
      <c r="C100" s="252" t="str">
        <f>'StB-Werte'!C100</f>
        <v>N_Ed,min  [1]</v>
      </c>
      <c r="D100" s="252" t="str">
        <f>'StB-Werte'!D100</f>
        <v>N_Ed   A_s[%]</v>
      </c>
      <c r="E100" s="252" t="str">
        <f>'StB-Werte'!E100</f>
        <v>N_Ed,min  [1]</v>
      </c>
      <c r="F100" s="252" t="str">
        <f>'StB-Werte'!F100</f>
        <v/>
      </c>
    </row>
    <row r="101" spans="1:62" hidden="1" x14ac:dyDescent="0.2">
      <c r="A101" s="150" t="str">
        <f t="shared" si="0"/>
        <v>min. a_s     [cm²/m]</v>
      </c>
      <c r="B101" s="252" t="str">
        <f>'StB-Werte'!B101</f>
        <v>basic value  τ_0    [MPa]</v>
      </c>
      <c r="C101" s="252" t="str">
        <f>'StB-Werte'!C101</f>
        <v>min. a_s     [cm²/m]</v>
      </c>
      <c r="D101" s="252" t="str">
        <f>'StB-Werte'!D101</f>
        <v>min. a_s     [cm²/m]</v>
      </c>
      <c r="E101" s="252" t="str">
        <f>'StB-Werte'!E101</f>
        <v>min. a_s     [cm²/m]</v>
      </c>
      <c r="F101" s="252" t="str">
        <f>'StB-Werte'!F101</f>
        <v/>
      </c>
    </row>
    <row r="102" spans="1:62" hidden="1" x14ac:dyDescent="0.2">
      <c r="A102" s="150" t="str">
        <f t="shared" si="0"/>
        <v>V_Rdc</v>
      </c>
      <c r="B102" s="252" t="str">
        <f>'StB-Werte'!B102</f>
        <v>τ_012</v>
      </c>
      <c r="C102" s="252" t="str">
        <f>'StB-Werte'!C102</f>
        <v>V_Rdc</v>
      </c>
      <c r="D102" s="252" t="str">
        <f>'StB-Werte'!D102</f>
        <v>V_Rdc</v>
      </c>
      <c r="E102" s="252" t="str">
        <f>'StB-Werte'!E102</f>
        <v>V_Rdc</v>
      </c>
      <c r="F102" s="252" t="str">
        <f>'StB-Werte'!F102</f>
        <v/>
      </c>
    </row>
    <row r="103" spans="1:62" hidden="1" x14ac:dyDescent="0.2">
      <c r="A103" s="150" t="str">
        <f t="shared" si="0"/>
        <v>[kN]</v>
      </c>
      <c r="B103" s="252" t="str">
        <f>'StB-Werte'!B103</f>
        <v>[MPa]</v>
      </c>
      <c r="C103" s="252" t="str">
        <f>'StB-Werte'!C103</f>
        <v>[kN]</v>
      </c>
      <c r="D103" s="252" t="str">
        <f>'StB-Werte'!D103</f>
        <v>[kN]</v>
      </c>
      <c r="E103" s="252" t="str">
        <f>'StB-Werte'!E103</f>
        <v>[kN]</v>
      </c>
      <c r="F103" s="252" t="str">
        <f>'StB-Werte'!F103</f>
        <v/>
      </c>
    </row>
    <row r="104" spans="1:62" hidden="1" x14ac:dyDescent="0.2">
      <c r="A104" s="150" t="str">
        <f t="shared" si="0"/>
        <v>τ_cp</v>
      </c>
      <c r="B104" s="252" t="str">
        <f>'StB-Werte'!B104</f>
        <v>τ_02</v>
      </c>
      <c r="C104" s="366" t="str">
        <f t="shared" ref="C104:E107" si="2">IF($H$79=0,$G104,$H104)</f>
        <v>τ_cp</v>
      </c>
      <c r="D104" s="366" t="str">
        <f t="shared" si="2"/>
        <v>τ_cp</v>
      </c>
      <c r="E104" s="366" t="str">
        <f t="shared" si="2"/>
        <v>τ_cp</v>
      </c>
      <c r="F104" s="252" t="str">
        <f>'StB-Werte'!F104</f>
        <v/>
      </c>
      <c r="G104" s="268" t="str">
        <f>'StB-Werte'!G104</f>
        <v>τ_cp</v>
      </c>
      <c r="H104" s="268" t="str">
        <f>'StB-Werte'!H104</f>
        <v>V_Rdmax</v>
      </c>
    </row>
    <row r="105" spans="1:62" hidden="1" x14ac:dyDescent="0.2">
      <c r="A105" s="150" t="str">
        <f t="shared" si="0"/>
        <v>[MPa]</v>
      </c>
      <c r="B105" s="252" t="str">
        <f>'StB-Werte'!B105</f>
        <v>[MPa]</v>
      </c>
      <c r="C105" s="366" t="str">
        <f t="shared" si="2"/>
        <v>[MPa]</v>
      </c>
      <c r="D105" s="366" t="str">
        <f t="shared" si="2"/>
        <v>[MPa]</v>
      </c>
      <c r="E105" s="366" t="str">
        <f t="shared" si="2"/>
        <v>[MPa]</v>
      </c>
      <c r="F105" s="252" t="str">
        <f>'StB-Werte'!F105</f>
        <v/>
      </c>
      <c r="G105" s="268" t="str">
        <f>'StB-Werte'!G105</f>
        <v>[MPa]</v>
      </c>
      <c r="H105" s="268" t="str">
        <f>'StB-Werte'!H105</f>
        <v>[kN]</v>
      </c>
    </row>
    <row r="106" spans="1:62" hidden="1" x14ac:dyDescent="0.2">
      <c r="A106" s="150" t="str">
        <f t="shared" si="0"/>
        <v>f_cvd</v>
      </c>
      <c r="B106" s="252" t="str">
        <f>'StB-Werte'!B106</f>
        <v>τ_03</v>
      </c>
      <c r="C106" s="366" t="str">
        <f t="shared" si="2"/>
        <v>f_cvd</v>
      </c>
      <c r="D106" s="366" t="str">
        <f t="shared" si="2"/>
        <v>f_cvd</v>
      </c>
      <c r="E106" s="366" t="str">
        <f t="shared" si="2"/>
        <v>f_cvd</v>
      </c>
      <c r="F106" s="252" t="str">
        <f>'StB-Werte'!F106</f>
        <v/>
      </c>
      <c r="G106" s="268" t="str">
        <f>'StB-Werte'!G106</f>
        <v>f_cvd</v>
      </c>
      <c r="H106" s="268" t="str">
        <f>'StB-Werte'!H106</f>
        <v>cot(θ)</v>
      </c>
    </row>
    <row r="107" spans="1:62" hidden="1" x14ac:dyDescent="0.2">
      <c r="A107" s="105" t="str">
        <f t="shared" si="0"/>
        <v>[MPa]</v>
      </c>
      <c r="B107" s="253" t="str">
        <f>'StB-Werte'!B107</f>
        <v>[MPa]</v>
      </c>
      <c r="C107" s="367" t="str">
        <f t="shared" si="2"/>
        <v>[MPa]</v>
      </c>
      <c r="D107" s="367" t="str">
        <f t="shared" si="2"/>
        <v>[MPa]</v>
      </c>
      <c r="E107" s="367" t="str">
        <f t="shared" si="2"/>
        <v>[MPa]</v>
      </c>
      <c r="F107" s="253" t="str">
        <f>'StB-Werte'!F107</f>
        <v/>
      </c>
      <c r="G107" s="268" t="str">
        <f>'StB-Werte'!G107</f>
        <v>[MPa]</v>
      </c>
      <c r="H107" s="268" t="str">
        <f>'StB-Werte'!H107</f>
        <v>[1]</v>
      </c>
    </row>
    <row r="108" spans="1:62" hidden="1" x14ac:dyDescent="0.2"/>
    <row r="109" spans="1:62" hidden="1" x14ac:dyDescent="0.2">
      <c r="A109" s="170" t="str">
        <f>B11</f>
        <v>Concrete</v>
      </c>
      <c r="B109" s="212">
        <v>1</v>
      </c>
      <c r="C109" s="212">
        <v>2</v>
      </c>
      <c r="D109" s="212">
        <v>3</v>
      </c>
      <c r="E109" s="212">
        <v>4</v>
      </c>
      <c r="F109" s="212">
        <v>5</v>
      </c>
      <c r="H109" s="213" t="s">
        <v>404</v>
      </c>
      <c r="I109" s="212">
        <v>1</v>
      </c>
      <c r="J109" s="212">
        <v>2</v>
      </c>
      <c r="K109" s="212">
        <v>3</v>
      </c>
      <c r="L109" s="212">
        <v>4</v>
      </c>
      <c r="M109" s="212">
        <v>5</v>
      </c>
      <c r="O109" s="213" t="s">
        <v>405</v>
      </c>
      <c r="P109" s="212">
        <v>1</v>
      </c>
      <c r="Q109" s="212">
        <v>2</v>
      </c>
      <c r="R109" s="212">
        <v>3</v>
      </c>
      <c r="S109" s="212">
        <v>4</v>
      </c>
      <c r="T109" s="212">
        <v>5</v>
      </c>
      <c r="V109" s="213" t="s">
        <v>497</v>
      </c>
      <c r="W109" s="212">
        <v>1</v>
      </c>
      <c r="X109" s="212">
        <v>2</v>
      </c>
      <c r="Y109" s="212">
        <v>3</v>
      </c>
      <c r="Z109" s="212">
        <v>4</v>
      </c>
      <c r="AA109" s="212">
        <v>5</v>
      </c>
      <c r="AC109" s="213" t="s">
        <v>498</v>
      </c>
      <c r="AD109" s="212">
        <v>1</v>
      </c>
      <c r="AE109" s="212">
        <v>2</v>
      </c>
      <c r="AF109" s="212">
        <v>3</v>
      </c>
      <c r="AG109" s="212">
        <v>4</v>
      </c>
      <c r="AH109" s="212">
        <v>5</v>
      </c>
      <c r="AJ109" s="213" t="s">
        <v>563</v>
      </c>
      <c r="AK109" s="212">
        <v>1</v>
      </c>
      <c r="AL109" s="212">
        <v>2</v>
      </c>
      <c r="AM109" s="212">
        <v>3</v>
      </c>
      <c r="AN109" s="212">
        <v>4</v>
      </c>
      <c r="AO109" s="212">
        <v>5</v>
      </c>
      <c r="AQ109" s="213" t="s">
        <v>599</v>
      </c>
      <c r="AR109" s="212">
        <v>1</v>
      </c>
      <c r="AS109" s="212">
        <v>2</v>
      </c>
      <c r="AT109" s="212">
        <v>3</v>
      </c>
      <c r="AU109" s="212">
        <v>4</v>
      </c>
      <c r="AV109" s="212">
        <v>5</v>
      </c>
      <c r="AX109" s="213" t="s">
        <v>499</v>
      </c>
      <c r="AY109" s="212">
        <v>1</v>
      </c>
      <c r="AZ109" s="212">
        <v>2</v>
      </c>
      <c r="BA109" s="212">
        <v>3</v>
      </c>
      <c r="BB109" s="212">
        <v>4</v>
      </c>
      <c r="BC109" s="212">
        <v>5</v>
      </c>
      <c r="BE109" s="213" t="s">
        <v>635</v>
      </c>
      <c r="BF109" s="212">
        <v>1</v>
      </c>
      <c r="BG109" s="212">
        <v>2</v>
      </c>
      <c r="BH109" s="212">
        <v>3</v>
      </c>
      <c r="BI109" s="212">
        <v>4</v>
      </c>
      <c r="BJ109" s="212">
        <v>5</v>
      </c>
    </row>
    <row r="110" spans="1:62" hidden="1" x14ac:dyDescent="0.2">
      <c r="A110" s="180" t="str">
        <f>INDEX(B110:F110,,$A$4)</f>
        <v>C 12/15</v>
      </c>
      <c r="B110" s="256" t="str">
        <f>'StB-Werte'!B110</f>
        <v>B 15</v>
      </c>
      <c r="C110" s="256" t="str">
        <f>'StB-Werte'!C110</f>
        <v>C 12/15</v>
      </c>
      <c r="D110" s="256" t="str">
        <f>'StB-Werte'!D110</f>
        <v>C 12/15</v>
      </c>
      <c r="E110" s="256" t="str">
        <f>'StB-Werte'!E110</f>
        <v>C 12/15</v>
      </c>
      <c r="F110" s="256" t="str">
        <f>'StB-Werte'!F110</f>
        <v/>
      </c>
      <c r="H110" s="183">
        <f>INDEX(I110:M110,,$A$4)</f>
        <v>12</v>
      </c>
      <c r="I110" s="262">
        <f>'StB-Werte'!I110</f>
        <v>15</v>
      </c>
      <c r="J110" s="262">
        <f>'StB-Werte'!J110</f>
        <v>12</v>
      </c>
      <c r="K110" s="262">
        <f>'StB-Werte'!K110</f>
        <v>12</v>
      </c>
      <c r="L110" s="262">
        <f>'StB-Werte'!L110</f>
        <v>12</v>
      </c>
      <c r="M110" s="262" t="str">
        <f>'StB-Werte'!M110</f>
        <v/>
      </c>
      <c r="O110" s="187">
        <f>INDEX(P110:T110,,$A$4)</f>
        <v>0.85</v>
      </c>
      <c r="P110" s="265">
        <f>'StB-Werte'!P110</f>
        <v>0.7</v>
      </c>
      <c r="Q110" s="265">
        <f>'StB-Werte'!Q110</f>
        <v>0.85</v>
      </c>
      <c r="R110" s="265">
        <f>'StB-Werte'!R110</f>
        <v>0.90909090909090906</v>
      </c>
      <c r="S110" s="265">
        <f>'StB-Werte'!S110</f>
        <v>0.85</v>
      </c>
      <c r="T110" s="265" t="str">
        <f>'StB-Werte'!T110</f>
        <v/>
      </c>
      <c r="V110" s="183">
        <f>INDEX(W110:AA110,,$A$4)</f>
        <v>2</v>
      </c>
      <c r="W110" s="262">
        <f>'StB-Werte'!W110</f>
        <v>2</v>
      </c>
      <c r="X110" s="262">
        <f>'StB-Werte'!X110</f>
        <v>2</v>
      </c>
      <c r="Y110" s="262">
        <f>'StB-Werte'!Y110</f>
        <v>2</v>
      </c>
      <c r="Z110" s="262">
        <f>'StB-Werte'!Z110</f>
        <v>2</v>
      </c>
      <c r="AA110" s="262" t="str">
        <f>'StB-Werte'!AA110</f>
        <v/>
      </c>
      <c r="AC110" s="183">
        <f>INDEX(AD110:AH110,,$A$4)</f>
        <v>3.5</v>
      </c>
      <c r="AD110" s="262">
        <f>'StB-Werte'!AD110</f>
        <v>3.5</v>
      </c>
      <c r="AE110" s="262">
        <f>'StB-Werte'!AE110</f>
        <v>3.5</v>
      </c>
      <c r="AF110" s="262">
        <f>'StB-Werte'!AF110</f>
        <v>3.5</v>
      </c>
      <c r="AG110" s="262">
        <f>'StB-Werte'!AG110</f>
        <v>3.5</v>
      </c>
      <c r="AH110" s="262" t="str">
        <f>'StB-Werte'!AH110</f>
        <v/>
      </c>
      <c r="AJ110" s="192">
        <f>INDEX(AK110:AO110,,$A$4)</f>
        <v>2</v>
      </c>
      <c r="AK110" s="278">
        <f>'StB-Werte'!AK110</f>
        <v>2</v>
      </c>
      <c r="AL110" s="278">
        <f>'StB-Werte'!AL110</f>
        <v>2</v>
      </c>
      <c r="AM110" s="278">
        <f>'StB-Werte'!AM110</f>
        <v>2</v>
      </c>
      <c r="AN110" s="278">
        <f>'StB-Werte'!AN110</f>
        <v>2</v>
      </c>
      <c r="AO110" s="278" t="str">
        <f>'StB-Werte'!AO110</f>
        <v/>
      </c>
      <c r="AQ110" s="187">
        <f>INDEX(AR110:AV110,,$A$4)</f>
        <v>27000</v>
      </c>
      <c r="AR110" s="265">
        <f>'StB-Werte'!AR110</f>
        <v>30000</v>
      </c>
      <c r="AS110" s="256">
        <f>'StB-Werte'!AS110</f>
        <v>21800</v>
      </c>
      <c r="AT110" s="256">
        <f>'StB-Werte'!AT110</f>
        <v>27000</v>
      </c>
      <c r="AU110" s="256">
        <f>'StB-Werte'!AU110</f>
        <v>27000</v>
      </c>
      <c r="AV110" s="265" t="str">
        <f>'StB-Werte'!AV110</f>
        <v/>
      </c>
      <c r="AX110" s="192">
        <f>INDEX(AY110:BC110,,$A$4)</f>
        <v>0.15</v>
      </c>
      <c r="AY110" s="278">
        <f>'StB-Werte'!AY110</f>
        <v>0.35</v>
      </c>
      <c r="AZ110" s="278">
        <f>'StB-Werte'!AZ110</f>
        <v>0.3</v>
      </c>
      <c r="BA110" s="278">
        <f>'StB-Werte'!BA110</f>
        <v>0.18181818181818182</v>
      </c>
      <c r="BB110" s="278">
        <f>'StB-Werte'!BB110</f>
        <v>0.15</v>
      </c>
      <c r="BC110" s="278" t="str">
        <f>'StB-Werte'!BC110</f>
        <v/>
      </c>
      <c r="BE110" s="187">
        <f>INDEX(BF110:BJ110,,$A$4)</f>
        <v>0.15</v>
      </c>
      <c r="BF110" s="281" t="str">
        <f>'StB-Werte'!BF110</f>
        <v>3.0   0.0</v>
      </c>
      <c r="BG110" s="278">
        <f>'StB-Werte'!BG110</f>
        <v>0.15</v>
      </c>
      <c r="BH110" s="281" t="str">
        <f>'StB-Werte'!BH110</f>
        <v>0.10   0.2</v>
      </c>
      <c r="BI110" s="278">
        <f>'StB-Werte'!BI110</f>
        <v>0.15</v>
      </c>
      <c r="BJ110" s="278" t="str">
        <f>'StB-Werte'!BJ110</f>
        <v/>
      </c>
    </row>
    <row r="111" spans="1:62" hidden="1" x14ac:dyDescent="0.2">
      <c r="A111" s="181" t="str">
        <f t="shared" ref="A111:A118" si="3">INDEX(B111:F111,,$A$4)</f>
        <v>C 16/20</v>
      </c>
      <c r="B111" s="257" t="str">
        <f>'StB-Werte'!B111</f>
        <v>B 25</v>
      </c>
      <c r="C111" s="257" t="str">
        <f>'StB-Werte'!C111</f>
        <v>C 16/20</v>
      </c>
      <c r="D111" s="257" t="str">
        <f>'StB-Werte'!D111</f>
        <v>C 16/20</v>
      </c>
      <c r="E111" s="257" t="str">
        <f>'StB-Werte'!E111</f>
        <v>C 16/20</v>
      </c>
      <c r="F111" s="257" t="str">
        <f>'StB-Werte'!F111</f>
        <v/>
      </c>
      <c r="H111" s="184">
        <f t="shared" ref="H111:H118" si="4">INDEX(I111:M111,,$A$4)</f>
        <v>15</v>
      </c>
      <c r="I111" s="263">
        <f>'StB-Werte'!I111</f>
        <v>25</v>
      </c>
      <c r="J111" s="263">
        <f>'StB-Werte'!J111</f>
        <v>15</v>
      </c>
      <c r="K111" s="263">
        <f>'StB-Werte'!K111</f>
        <v>15</v>
      </c>
      <c r="L111" s="263">
        <f>'StB-Werte'!L111</f>
        <v>15</v>
      </c>
      <c r="M111" s="263" t="str">
        <f>'StB-Werte'!M111</f>
        <v/>
      </c>
      <c r="O111" s="214">
        <f t="shared" ref="O111:O118" si="5">INDEX(P111:T111,,$A$4)</f>
        <v>0.85</v>
      </c>
      <c r="P111" s="266">
        <f>'StB-Werte'!P111</f>
        <v>0.7</v>
      </c>
      <c r="Q111" s="266">
        <f>'StB-Werte'!Q111</f>
        <v>0.85</v>
      </c>
      <c r="R111" s="266">
        <f>'StB-Werte'!R111</f>
        <v>0.90909090909090906</v>
      </c>
      <c r="S111" s="266">
        <f>'StB-Werte'!S111</f>
        <v>0.85</v>
      </c>
      <c r="T111" s="266" t="str">
        <f>'StB-Werte'!T111</f>
        <v/>
      </c>
      <c r="V111" s="184">
        <f t="shared" ref="V111:V118" si="6">INDEX(W111:AA111,,$A$4)</f>
        <v>2</v>
      </c>
      <c r="W111" s="263">
        <f>'StB-Werte'!W111</f>
        <v>2</v>
      </c>
      <c r="X111" s="263">
        <f>'StB-Werte'!X111</f>
        <v>2</v>
      </c>
      <c r="Y111" s="263">
        <f>'StB-Werte'!Y111</f>
        <v>2</v>
      </c>
      <c r="Z111" s="263">
        <f>'StB-Werte'!Z111</f>
        <v>2</v>
      </c>
      <c r="AA111" s="263" t="str">
        <f>'StB-Werte'!AA111</f>
        <v/>
      </c>
      <c r="AC111" s="184">
        <f t="shared" ref="AC111:AC118" si="7">INDEX(AD111:AH111,,$A$4)</f>
        <v>3.5</v>
      </c>
      <c r="AD111" s="263">
        <f>'StB-Werte'!AD111</f>
        <v>3.5</v>
      </c>
      <c r="AE111" s="263">
        <f>'StB-Werte'!AE111</f>
        <v>3.5</v>
      </c>
      <c r="AF111" s="263">
        <f>'StB-Werte'!AF111</f>
        <v>3.5</v>
      </c>
      <c r="AG111" s="263">
        <f>'StB-Werte'!AG111</f>
        <v>3.5</v>
      </c>
      <c r="AH111" s="263" t="str">
        <f>'StB-Werte'!AH111</f>
        <v/>
      </c>
      <c r="AJ111" s="193">
        <f t="shared" ref="AJ111:AJ118" si="8">INDEX(AK111:AO111,,$A$4)</f>
        <v>2</v>
      </c>
      <c r="AK111" s="279">
        <f>'StB-Werte'!AK111</f>
        <v>2</v>
      </c>
      <c r="AL111" s="279">
        <f>'StB-Werte'!AL111</f>
        <v>2</v>
      </c>
      <c r="AM111" s="279">
        <f>'StB-Werte'!AM111</f>
        <v>2</v>
      </c>
      <c r="AN111" s="279">
        <f>'StB-Werte'!AN111</f>
        <v>2</v>
      </c>
      <c r="AO111" s="279" t="str">
        <f>'StB-Werte'!AO111</f>
        <v/>
      </c>
      <c r="AQ111" s="214">
        <f t="shared" ref="AQ111:AQ118" si="9">INDEX(AR111:AV111,,$A$4)</f>
        <v>29000</v>
      </c>
      <c r="AR111" s="266">
        <f>'StB-Werte'!AR111</f>
        <v>30000</v>
      </c>
      <c r="AS111" s="257">
        <f>'StB-Werte'!AS111</f>
        <v>23400</v>
      </c>
      <c r="AT111" s="257">
        <f>'StB-Werte'!AT111</f>
        <v>29000</v>
      </c>
      <c r="AU111" s="257">
        <f>'StB-Werte'!AU111</f>
        <v>29000</v>
      </c>
      <c r="AV111" s="266" t="str">
        <f>'StB-Werte'!AV111</f>
        <v/>
      </c>
      <c r="AX111" s="193">
        <f t="shared" ref="AX111:AX118" si="10">INDEX(AY111:BC111,,$A$4)</f>
        <v>0.15</v>
      </c>
      <c r="AY111" s="279">
        <f>'StB-Werte'!AY111</f>
        <v>0.35</v>
      </c>
      <c r="AZ111" s="279">
        <f>'StB-Werte'!AZ111</f>
        <v>0.3</v>
      </c>
      <c r="BA111" s="279">
        <f>'StB-Werte'!BA111</f>
        <v>0.18181818181818182</v>
      </c>
      <c r="BB111" s="279">
        <f>'StB-Werte'!BB111</f>
        <v>0.15</v>
      </c>
      <c r="BC111" s="279" t="str">
        <f>'StB-Werte'!BC111</f>
        <v/>
      </c>
      <c r="BE111" s="214">
        <f t="shared" ref="BE111:BE118" si="11">INDEX(BF111:BJ111,,$A$4)</f>
        <v>0.15</v>
      </c>
      <c r="BF111" s="282" t="str">
        <f>'StB-Werte'!BF111</f>
        <v>3.0   0.0</v>
      </c>
      <c r="BG111" s="279">
        <f>'StB-Werte'!BG111</f>
        <v>0.15</v>
      </c>
      <c r="BH111" s="282" t="str">
        <f>'StB-Werte'!BH111</f>
        <v>0.10   0.2</v>
      </c>
      <c r="BI111" s="279">
        <f>'StB-Werte'!BI111</f>
        <v>0.15</v>
      </c>
      <c r="BJ111" s="279" t="str">
        <f>'StB-Werte'!BJ111</f>
        <v/>
      </c>
    </row>
    <row r="112" spans="1:62" hidden="1" x14ac:dyDescent="0.2">
      <c r="A112" s="181" t="str">
        <f t="shared" si="3"/>
        <v>C 20/25</v>
      </c>
      <c r="B112" s="257" t="str">
        <f>'StB-Werte'!B112</f>
        <v>B 35</v>
      </c>
      <c r="C112" s="257" t="str">
        <f>'StB-Werte'!C112</f>
        <v>C 20/25</v>
      </c>
      <c r="D112" s="257" t="str">
        <f>'StB-Werte'!D112</f>
        <v>C 20/25</v>
      </c>
      <c r="E112" s="257" t="str">
        <f>'StB-Werte'!E112</f>
        <v>C 20/25</v>
      </c>
      <c r="F112" s="257" t="str">
        <f>'StB-Werte'!F112</f>
        <v/>
      </c>
      <c r="H112" s="184">
        <f t="shared" si="4"/>
        <v>20</v>
      </c>
      <c r="I112" s="263">
        <f>'StB-Werte'!I112</f>
        <v>35</v>
      </c>
      <c r="J112" s="263">
        <f>'StB-Werte'!J112</f>
        <v>20</v>
      </c>
      <c r="K112" s="263">
        <f>'StB-Werte'!K112</f>
        <v>20</v>
      </c>
      <c r="L112" s="263">
        <f>'StB-Werte'!L112</f>
        <v>20</v>
      </c>
      <c r="M112" s="263" t="str">
        <f>'StB-Werte'!M112</f>
        <v/>
      </c>
      <c r="O112" s="214">
        <f t="shared" si="5"/>
        <v>0.85</v>
      </c>
      <c r="P112" s="266">
        <f>'StB-Werte'!P112</f>
        <v>0.65714285714285714</v>
      </c>
      <c r="Q112" s="266">
        <f>'StB-Werte'!Q112</f>
        <v>0.85</v>
      </c>
      <c r="R112" s="266">
        <f>'StB-Werte'!R112</f>
        <v>0.90909090909090906</v>
      </c>
      <c r="S112" s="266">
        <f>'StB-Werte'!S112</f>
        <v>0.85</v>
      </c>
      <c r="T112" s="266" t="str">
        <f>'StB-Werte'!T112</f>
        <v/>
      </c>
      <c r="V112" s="184">
        <f t="shared" si="6"/>
        <v>2</v>
      </c>
      <c r="W112" s="263">
        <f>'StB-Werte'!W112</f>
        <v>2</v>
      </c>
      <c r="X112" s="263">
        <f>'StB-Werte'!X112</f>
        <v>2</v>
      </c>
      <c r="Y112" s="263">
        <f>'StB-Werte'!Y112</f>
        <v>2</v>
      </c>
      <c r="Z112" s="263">
        <f>'StB-Werte'!Z112</f>
        <v>2</v>
      </c>
      <c r="AA112" s="263" t="str">
        <f>'StB-Werte'!AA112</f>
        <v/>
      </c>
      <c r="AC112" s="184">
        <f t="shared" si="7"/>
        <v>3.5</v>
      </c>
      <c r="AD112" s="263">
        <f>'StB-Werte'!AD112</f>
        <v>3.5</v>
      </c>
      <c r="AE112" s="263">
        <f>'StB-Werte'!AE112</f>
        <v>3.5</v>
      </c>
      <c r="AF112" s="263">
        <f>'StB-Werte'!AF112</f>
        <v>3.5</v>
      </c>
      <c r="AG112" s="263">
        <f>'StB-Werte'!AG112</f>
        <v>3.5</v>
      </c>
      <c r="AH112" s="263" t="str">
        <f>'StB-Werte'!AH112</f>
        <v/>
      </c>
      <c r="AJ112" s="193">
        <f t="shared" si="8"/>
        <v>2</v>
      </c>
      <c r="AK112" s="279">
        <f>'StB-Werte'!AK112</f>
        <v>2</v>
      </c>
      <c r="AL112" s="279">
        <f>'StB-Werte'!AL112</f>
        <v>2</v>
      </c>
      <c r="AM112" s="279">
        <f>'StB-Werte'!AM112</f>
        <v>2</v>
      </c>
      <c r="AN112" s="279">
        <f>'StB-Werte'!AN112</f>
        <v>2</v>
      </c>
      <c r="AO112" s="279" t="str">
        <f>'StB-Werte'!AO112</f>
        <v/>
      </c>
      <c r="AQ112" s="214">
        <f t="shared" si="9"/>
        <v>30000</v>
      </c>
      <c r="AR112" s="266">
        <f>'StB-Werte'!AR112</f>
        <v>30000</v>
      </c>
      <c r="AS112" s="257">
        <f>'StB-Werte'!AS112</f>
        <v>24900</v>
      </c>
      <c r="AT112" s="257">
        <f>'StB-Werte'!AT112</f>
        <v>30000</v>
      </c>
      <c r="AU112" s="257">
        <f>'StB-Werte'!AU112</f>
        <v>30000</v>
      </c>
      <c r="AV112" s="266" t="str">
        <f>'StB-Werte'!AV112</f>
        <v/>
      </c>
      <c r="AX112" s="193">
        <f t="shared" si="10"/>
        <v>0.15</v>
      </c>
      <c r="AY112" s="279">
        <f>'StB-Werte'!AY112</f>
        <v>0.35</v>
      </c>
      <c r="AZ112" s="279">
        <f>'StB-Werte'!AZ112</f>
        <v>0.3</v>
      </c>
      <c r="BA112" s="279">
        <f>'StB-Werte'!BA112</f>
        <v>0.18181818181818182</v>
      </c>
      <c r="BB112" s="279">
        <f>'StB-Werte'!BB112</f>
        <v>0.15</v>
      </c>
      <c r="BC112" s="279" t="str">
        <f>'StB-Werte'!BC112</f>
        <v/>
      </c>
      <c r="BE112" s="214">
        <f t="shared" si="11"/>
        <v>0.15</v>
      </c>
      <c r="BF112" s="282" t="str">
        <f>'StB-Werte'!BF112</f>
        <v>3.0   0.0</v>
      </c>
      <c r="BG112" s="279">
        <f>'StB-Werte'!BG112</f>
        <v>0.15</v>
      </c>
      <c r="BH112" s="282" t="str">
        <f>'StB-Werte'!BH112</f>
        <v>0.10   0.2</v>
      </c>
      <c r="BI112" s="279">
        <f>'StB-Werte'!BI112</f>
        <v>0.15</v>
      </c>
      <c r="BJ112" s="279" t="str">
        <f>'StB-Werte'!BJ112</f>
        <v/>
      </c>
    </row>
    <row r="113" spans="1:62" hidden="1" x14ac:dyDescent="0.2">
      <c r="A113" s="181" t="str">
        <f t="shared" si="3"/>
        <v>C 25/30</v>
      </c>
      <c r="B113" s="257" t="str">
        <f>'StB-Werte'!B113</f>
        <v>B 45</v>
      </c>
      <c r="C113" s="257" t="str">
        <f>'StB-Werte'!C113</f>
        <v>C 25/30</v>
      </c>
      <c r="D113" s="257" t="str">
        <f>'StB-Werte'!D113</f>
        <v>C 25/30</v>
      </c>
      <c r="E113" s="257" t="str">
        <f>'StB-Werte'!E113</f>
        <v>C 25/30</v>
      </c>
      <c r="F113" s="258" t="str">
        <f>'StB-Werte'!F113</f>
        <v/>
      </c>
      <c r="H113" s="184">
        <f t="shared" si="4"/>
        <v>25</v>
      </c>
      <c r="I113" s="263">
        <f>'StB-Werte'!I113</f>
        <v>45</v>
      </c>
      <c r="J113" s="263">
        <f>'StB-Werte'!J113</f>
        <v>25</v>
      </c>
      <c r="K113" s="263">
        <f>'StB-Werte'!K113</f>
        <v>25</v>
      </c>
      <c r="L113" s="263">
        <f>'StB-Werte'!L113</f>
        <v>25</v>
      </c>
      <c r="M113" s="263" t="str">
        <f>'StB-Werte'!M113</f>
        <v/>
      </c>
      <c r="O113" s="214">
        <f t="shared" si="5"/>
        <v>0.85</v>
      </c>
      <c r="P113" s="266">
        <f>'StB-Werte'!P113</f>
        <v>0.6</v>
      </c>
      <c r="Q113" s="266">
        <f>'StB-Werte'!Q113</f>
        <v>0.85</v>
      </c>
      <c r="R113" s="266">
        <f>'StB-Werte'!R113</f>
        <v>0.90909090909090906</v>
      </c>
      <c r="S113" s="266">
        <f>'StB-Werte'!S113</f>
        <v>0.85</v>
      </c>
      <c r="T113" s="266" t="str">
        <f>'StB-Werte'!T113</f>
        <v/>
      </c>
      <c r="V113" s="184">
        <f t="shared" si="6"/>
        <v>2</v>
      </c>
      <c r="W113" s="263">
        <f>'StB-Werte'!W113</f>
        <v>2</v>
      </c>
      <c r="X113" s="263">
        <f>'StB-Werte'!X113</f>
        <v>2</v>
      </c>
      <c r="Y113" s="263">
        <f>'StB-Werte'!Y113</f>
        <v>2</v>
      </c>
      <c r="Z113" s="263">
        <f>'StB-Werte'!Z113</f>
        <v>2</v>
      </c>
      <c r="AA113" s="263" t="str">
        <f>'StB-Werte'!AA113</f>
        <v/>
      </c>
      <c r="AC113" s="184">
        <f t="shared" si="7"/>
        <v>3.5</v>
      </c>
      <c r="AD113" s="263">
        <f>'StB-Werte'!AD113</f>
        <v>3.5</v>
      </c>
      <c r="AE113" s="263">
        <f>'StB-Werte'!AE113</f>
        <v>3.5</v>
      </c>
      <c r="AF113" s="263">
        <f>'StB-Werte'!AF113</f>
        <v>3.5</v>
      </c>
      <c r="AG113" s="263">
        <f>'StB-Werte'!AG113</f>
        <v>3.5</v>
      </c>
      <c r="AH113" s="263" t="str">
        <f>'StB-Werte'!AH113</f>
        <v/>
      </c>
      <c r="AJ113" s="193">
        <f t="shared" si="8"/>
        <v>2</v>
      </c>
      <c r="AK113" s="279">
        <f>'StB-Werte'!AK113</f>
        <v>2</v>
      </c>
      <c r="AL113" s="279">
        <f>'StB-Werte'!AL113</f>
        <v>2</v>
      </c>
      <c r="AM113" s="279">
        <f>'StB-Werte'!AM113</f>
        <v>2</v>
      </c>
      <c r="AN113" s="279">
        <f>'StB-Werte'!AN113</f>
        <v>2</v>
      </c>
      <c r="AO113" s="279" t="str">
        <f>'StB-Werte'!AO113</f>
        <v/>
      </c>
      <c r="AQ113" s="214">
        <f t="shared" si="9"/>
        <v>31000</v>
      </c>
      <c r="AR113" s="266">
        <f>'StB-Werte'!AR113</f>
        <v>30000</v>
      </c>
      <c r="AS113" s="257">
        <f>'StB-Werte'!AS113</f>
        <v>26700</v>
      </c>
      <c r="AT113" s="257">
        <f>'StB-Werte'!AT113</f>
        <v>31000</v>
      </c>
      <c r="AU113" s="257">
        <f>'StB-Werte'!AU113</f>
        <v>31000</v>
      </c>
      <c r="AV113" s="266" t="str">
        <f>'StB-Werte'!AV113</f>
        <v/>
      </c>
      <c r="AX113" s="193">
        <f t="shared" si="10"/>
        <v>0.15</v>
      </c>
      <c r="AY113" s="279">
        <f>'StB-Werte'!AY113</f>
        <v>0.35</v>
      </c>
      <c r="AZ113" s="279">
        <f>'StB-Werte'!AZ113</f>
        <v>0.3</v>
      </c>
      <c r="BA113" s="279">
        <f>'StB-Werte'!BA113</f>
        <v>0.18181818181818182</v>
      </c>
      <c r="BB113" s="279">
        <f>'StB-Werte'!BB113</f>
        <v>0.15</v>
      </c>
      <c r="BC113" s="279" t="str">
        <f>'StB-Werte'!BC113</f>
        <v/>
      </c>
      <c r="BE113" s="214">
        <f t="shared" si="11"/>
        <v>0.15</v>
      </c>
      <c r="BF113" s="282" t="str">
        <f>'StB-Werte'!BF113</f>
        <v>3.0   0.0</v>
      </c>
      <c r="BG113" s="279">
        <f>'StB-Werte'!BG113</f>
        <v>0.15</v>
      </c>
      <c r="BH113" s="282" t="str">
        <f>'StB-Werte'!BH113</f>
        <v>0.10   0.2</v>
      </c>
      <c r="BI113" s="279">
        <f>'StB-Werte'!BI113</f>
        <v>0.15</v>
      </c>
      <c r="BJ113" s="279" t="str">
        <f>'StB-Werte'!BJ113</f>
        <v/>
      </c>
    </row>
    <row r="114" spans="1:62" hidden="1" x14ac:dyDescent="0.2">
      <c r="A114" s="181" t="str">
        <f t="shared" si="3"/>
        <v>C 30/37</v>
      </c>
      <c r="B114" s="257" t="str">
        <f>'StB-Werte'!B114</f>
        <v>B 55</v>
      </c>
      <c r="C114" s="257" t="str">
        <f>'StB-Werte'!C114</f>
        <v>C 30/37</v>
      </c>
      <c r="D114" s="257" t="str">
        <f>'StB-Werte'!D114</f>
        <v>C 30/37</v>
      </c>
      <c r="E114" s="257" t="str">
        <f>'StB-Werte'!E114</f>
        <v>C 30/37</v>
      </c>
      <c r="F114" s="257" t="str">
        <f>'StB-Werte'!F114</f>
        <v/>
      </c>
      <c r="H114" s="184">
        <f t="shared" si="4"/>
        <v>30</v>
      </c>
      <c r="I114" s="263">
        <f>'StB-Werte'!I114</f>
        <v>55</v>
      </c>
      <c r="J114" s="263">
        <f>'StB-Werte'!J114</f>
        <v>30</v>
      </c>
      <c r="K114" s="263">
        <f>'StB-Werte'!K114</f>
        <v>30</v>
      </c>
      <c r="L114" s="263">
        <f>'StB-Werte'!L114</f>
        <v>30</v>
      </c>
      <c r="M114" s="263" t="str">
        <f>'StB-Werte'!M114</f>
        <v/>
      </c>
      <c r="O114" s="214">
        <f t="shared" si="5"/>
        <v>0.85</v>
      </c>
      <c r="P114" s="266">
        <f>'StB-Werte'!P114</f>
        <v>0.54545454545454541</v>
      </c>
      <c r="Q114" s="266">
        <f>'StB-Werte'!Q114</f>
        <v>0.85</v>
      </c>
      <c r="R114" s="266">
        <f>'StB-Werte'!R114</f>
        <v>0.90909090909090906</v>
      </c>
      <c r="S114" s="266">
        <f>'StB-Werte'!S114</f>
        <v>0.85</v>
      </c>
      <c r="T114" s="266" t="str">
        <f>'StB-Werte'!T114</f>
        <v/>
      </c>
      <c r="V114" s="184">
        <f t="shared" si="6"/>
        <v>2</v>
      </c>
      <c r="W114" s="263">
        <f>'StB-Werte'!W114</f>
        <v>2</v>
      </c>
      <c r="X114" s="263">
        <f>'StB-Werte'!X114</f>
        <v>2</v>
      </c>
      <c r="Y114" s="263">
        <f>'StB-Werte'!Y114</f>
        <v>2</v>
      </c>
      <c r="Z114" s="263">
        <f>'StB-Werte'!Z114</f>
        <v>2</v>
      </c>
      <c r="AA114" s="263" t="str">
        <f>'StB-Werte'!AA114</f>
        <v/>
      </c>
      <c r="AC114" s="184">
        <f t="shared" si="7"/>
        <v>3.5</v>
      </c>
      <c r="AD114" s="263">
        <f>'StB-Werte'!AD114</f>
        <v>3.5</v>
      </c>
      <c r="AE114" s="263">
        <f>'StB-Werte'!AE114</f>
        <v>3.5</v>
      </c>
      <c r="AF114" s="263">
        <f>'StB-Werte'!AF114</f>
        <v>3.5</v>
      </c>
      <c r="AG114" s="263">
        <f>'StB-Werte'!AG114</f>
        <v>3.5</v>
      </c>
      <c r="AH114" s="263" t="str">
        <f>'StB-Werte'!AH114</f>
        <v/>
      </c>
      <c r="AJ114" s="193">
        <f t="shared" si="8"/>
        <v>2</v>
      </c>
      <c r="AK114" s="279">
        <f>'StB-Werte'!AK114</f>
        <v>2</v>
      </c>
      <c r="AL114" s="279">
        <f>'StB-Werte'!AL114</f>
        <v>2</v>
      </c>
      <c r="AM114" s="279">
        <f>'StB-Werte'!AM114</f>
        <v>2</v>
      </c>
      <c r="AN114" s="279">
        <f>'StB-Werte'!AN114</f>
        <v>2</v>
      </c>
      <c r="AO114" s="279" t="str">
        <f>'StB-Werte'!AO114</f>
        <v/>
      </c>
      <c r="AQ114" s="214">
        <f t="shared" si="9"/>
        <v>33000</v>
      </c>
      <c r="AR114" s="266">
        <f>'StB-Werte'!AR114</f>
        <v>30000</v>
      </c>
      <c r="AS114" s="257">
        <f>'StB-Werte'!AS114</f>
        <v>28300</v>
      </c>
      <c r="AT114" s="257">
        <f>'StB-Werte'!AT114</f>
        <v>33000</v>
      </c>
      <c r="AU114" s="257">
        <f>'StB-Werte'!AU114</f>
        <v>33000</v>
      </c>
      <c r="AV114" s="266" t="str">
        <f>'StB-Werte'!AV114</f>
        <v/>
      </c>
      <c r="AX114" s="193">
        <f t="shared" si="10"/>
        <v>0.15</v>
      </c>
      <c r="AY114" s="279">
        <f>'StB-Werte'!AY114</f>
        <v>0.35</v>
      </c>
      <c r="AZ114" s="279">
        <f>'StB-Werte'!AZ114</f>
        <v>0.3</v>
      </c>
      <c r="BA114" s="279">
        <f>'StB-Werte'!BA114</f>
        <v>0.18181818181818182</v>
      </c>
      <c r="BB114" s="279">
        <f>'StB-Werte'!BB114</f>
        <v>0.15</v>
      </c>
      <c r="BC114" s="279" t="str">
        <f>'StB-Werte'!BC114</f>
        <v/>
      </c>
      <c r="BE114" s="214">
        <f t="shared" si="11"/>
        <v>0.15</v>
      </c>
      <c r="BF114" s="282" t="str">
        <f>'StB-Werte'!BF114</f>
        <v>3.0   0.0</v>
      </c>
      <c r="BG114" s="279">
        <f>'StB-Werte'!BG114</f>
        <v>0.15</v>
      </c>
      <c r="BH114" s="282" t="str">
        <f>'StB-Werte'!BH114</f>
        <v>0.10   0.2</v>
      </c>
      <c r="BI114" s="279">
        <f>'StB-Werte'!BI114</f>
        <v>0.15</v>
      </c>
      <c r="BJ114" s="279" t="str">
        <f>'StB-Werte'!BJ114</f>
        <v/>
      </c>
    </row>
    <row r="115" spans="1:62" hidden="1" x14ac:dyDescent="0.2">
      <c r="A115" s="181" t="str">
        <f t="shared" si="3"/>
        <v>C 35/45</v>
      </c>
      <c r="B115" s="258" t="str">
        <f>'StB-Werte'!B115</f>
        <v/>
      </c>
      <c r="C115" s="258" t="str">
        <f>'StB-Werte'!C115</f>
        <v>C 35/45</v>
      </c>
      <c r="D115" s="258" t="str">
        <f>'StB-Werte'!D115</f>
        <v>C 35/45</v>
      </c>
      <c r="E115" s="258" t="str">
        <f>'StB-Werte'!E115</f>
        <v>C 35/45</v>
      </c>
      <c r="F115" s="257" t="str">
        <f>'StB-Werte'!F115</f>
        <v/>
      </c>
      <c r="H115" s="184">
        <f t="shared" si="4"/>
        <v>35</v>
      </c>
      <c r="I115" s="263" t="str">
        <f>'StB-Werte'!I115</f>
        <v/>
      </c>
      <c r="J115" s="263">
        <f>'StB-Werte'!J115</f>
        <v>35</v>
      </c>
      <c r="K115" s="263">
        <f>'StB-Werte'!K115</f>
        <v>35</v>
      </c>
      <c r="L115" s="263">
        <f>'StB-Werte'!L115</f>
        <v>35</v>
      </c>
      <c r="M115" s="263" t="str">
        <f>'StB-Werte'!M115</f>
        <v/>
      </c>
      <c r="O115" s="214">
        <f t="shared" si="5"/>
        <v>0.85</v>
      </c>
      <c r="P115" s="266" t="str">
        <f>'StB-Werte'!P115</f>
        <v/>
      </c>
      <c r="Q115" s="266">
        <f>'StB-Werte'!Q115</f>
        <v>0.85</v>
      </c>
      <c r="R115" s="266">
        <f>'StB-Werte'!R115</f>
        <v>0.90909090909090906</v>
      </c>
      <c r="S115" s="266">
        <f>'StB-Werte'!S115</f>
        <v>0.85</v>
      </c>
      <c r="T115" s="266" t="str">
        <f>'StB-Werte'!T115</f>
        <v/>
      </c>
      <c r="V115" s="184">
        <f t="shared" si="6"/>
        <v>2</v>
      </c>
      <c r="W115" s="263" t="str">
        <f>'StB-Werte'!W115</f>
        <v/>
      </c>
      <c r="X115" s="263">
        <f>'StB-Werte'!X115</f>
        <v>2</v>
      </c>
      <c r="Y115" s="263">
        <f>'StB-Werte'!Y115</f>
        <v>2</v>
      </c>
      <c r="Z115" s="263">
        <f>'StB-Werte'!Z115</f>
        <v>2</v>
      </c>
      <c r="AA115" s="263" t="str">
        <f>'StB-Werte'!AA115</f>
        <v/>
      </c>
      <c r="AC115" s="184">
        <f t="shared" si="7"/>
        <v>3.5</v>
      </c>
      <c r="AD115" s="263" t="str">
        <f>'StB-Werte'!AD115</f>
        <v/>
      </c>
      <c r="AE115" s="263">
        <f>'StB-Werte'!AE115</f>
        <v>3.5</v>
      </c>
      <c r="AF115" s="263">
        <f>'StB-Werte'!AF115</f>
        <v>3.5</v>
      </c>
      <c r="AG115" s="263">
        <f>'StB-Werte'!AG115</f>
        <v>3.5</v>
      </c>
      <c r="AH115" s="263" t="str">
        <f>'StB-Werte'!AH115</f>
        <v/>
      </c>
      <c r="AJ115" s="193">
        <f t="shared" si="8"/>
        <v>2</v>
      </c>
      <c r="AK115" s="279" t="str">
        <f>'StB-Werte'!AK115</f>
        <v/>
      </c>
      <c r="AL115" s="279">
        <f>'StB-Werte'!AL115</f>
        <v>2</v>
      </c>
      <c r="AM115" s="279">
        <f>'StB-Werte'!AM115</f>
        <v>2</v>
      </c>
      <c r="AN115" s="279">
        <f>'StB-Werte'!AN115</f>
        <v>2</v>
      </c>
      <c r="AO115" s="279" t="str">
        <f>'StB-Werte'!AO115</f>
        <v/>
      </c>
      <c r="AQ115" s="214">
        <f t="shared" si="9"/>
        <v>34000</v>
      </c>
      <c r="AR115" s="266" t="str">
        <f>'StB-Werte'!AR115</f>
        <v/>
      </c>
      <c r="AS115" s="257">
        <f>'StB-Werte'!AS115</f>
        <v>29900</v>
      </c>
      <c r="AT115" s="257">
        <f>'StB-Werte'!AT115</f>
        <v>34000</v>
      </c>
      <c r="AU115" s="257">
        <f>'StB-Werte'!AU115</f>
        <v>34000</v>
      </c>
      <c r="AV115" s="266" t="str">
        <f>'StB-Werte'!AV115</f>
        <v/>
      </c>
      <c r="AX115" s="193">
        <f t="shared" si="10"/>
        <v>0.15</v>
      </c>
      <c r="AY115" s="279" t="str">
        <f>'StB-Werte'!AY115</f>
        <v/>
      </c>
      <c r="AZ115" s="279">
        <f>'StB-Werte'!AZ115</f>
        <v>0.3</v>
      </c>
      <c r="BA115" s="279">
        <f>'StB-Werte'!BA115</f>
        <v>0.18181818181818182</v>
      </c>
      <c r="BB115" s="279">
        <f>'StB-Werte'!BB115</f>
        <v>0.15</v>
      </c>
      <c r="BC115" s="279" t="str">
        <f>'StB-Werte'!BC115</f>
        <v/>
      </c>
      <c r="BE115" s="214">
        <f t="shared" si="11"/>
        <v>0.15</v>
      </c>
      <c r="BF115" s="282" t="str">
        <f>'StB-Werte'!BF115</f>
        <v/>
      </c>
      <c r="BG115" s="279">
        <f>'StB-Werte'!BG115</f>
        <v>0.15</v>
      </c>
      <c r="BH115" s="282" t="str">
        <f>'StB-Werte'!BH115</f>
        <v>0.10   0.2</v>
      </c>
      <c r="BI115" s="279">
        <f>'StB-Werte'!BI115</f>
        <v>0.15</v>
      </c>
      <c r="BJ115" s="279" t="str">
        <f>'StB-Werte'!BJ115</f>
        <v/>
      </c>
    </row>
    <row r="116" spans="1:62" hidden="1" x14ac:dyDescent="0.2">
      <c r="A116" s="181" t="str">
        <f t="shared" si="3"/>
        <v>C 40/50</v>
      </c>
      <c r="B116" s="258" t="str">
        <f>'StB-Werte'!B116</f>
        <v/>
      </c>
      <c r="C116" s="258" t="str">
        <f>'StB-Werte'!C116</f>
        <v>C 40/50</v>
      </c>
      <c r="D116" s="258" t="str">
        <f>'StB-Werte'!D116</f>
        <v>C 40/50</v>
      </c>
      <c r="E116" s="258" t="str">
        <f>'StB-Werte'!E116</f>
        <v>C 40/50</v>
      </c>
      <c r="F116" s="257" t="str">
        <f>'StB-Werte'!F116</f>
        <v/>
      </c>
      <c r="H116" s="184">
        <f t="shared" si="4"/>
        <v>40</v>
      </c>
      <c r="I116" s="263" t="str">
        <f>'StB-Werte'!I116</f>
        <v/>
      </c>
      <c r="J116" s="263">
        <f>'StB-Werte'!J116</f>
        <v>40</v>
      </c>
      <c r="K116" s="263">
        <f>'StB-Werte'!K116</f>
        <v>40</v>
      </c>
      <c r="L116" s="263">
        <f>'StB-Werte'!L116</f>
        <v>40</v>
      </c>
      <c r="M116" s="263" t="str">
        <f>'StB-Werte'!M116</f>
        <v/>
      </c>
      <c r="O116" s="214">
        <f t="shared" si="5"/>
        <v>0.85</v>
      </c>
      <c r="P116" s="266" t="str">
        <f>'StB-Werte'!P116</f>
        <v/>
      </c>
      <c r="Q116" s="266">
        <f>'StB-Werte'!Q116</f>
        <v>0.85</v>
      </c>
      <c r="R116" s="266">
        <f>'StB-Werte'!R116</f>
        <v>0.90909090909090906</v>
      </c>
      <c r="S116" s="266">
        <f>'StB-Werte'!S116</f>
        <v>0.85</v>
      </c>
      <c r="T116" s="266" t="str">
        <f>'StB-Werte'!T116</f>
        <v/>
      </c>
      <c r="V116" s="184">
        <f t="shared" si="6"/>
        <v>2</v>
      </c>
      <c r="W116" s="263" t="str">
        <f>'StB-Werte'!W116</f>
        <v/>
      </c>
      <c r="X116" s="263">
        <f>'StB-Werte'!X116</f>
        <v>2</v>
      </c>
      <c r="Y116" s="263">
        <f>'StB-Werte'!Y116</f>
        <v>2</v>
      </c>
      <c r="Z116" s="263">
        <f>'StB-Werte'!Z116</f>
        <v>2</v>
      </c>
      <c r="AA116" s="263" t="str">
        <f>'StB-Werte'!AA116</f>
        <v/>
      </c>
      <c r="AC116" s="184">
        <f t="shared" si="7"/>
        <v>3.5</v>
      </c>
      <c r="AD116" s="263" t="str">
        <f>'StB-Werte'!AD116</f>
        <v/>
      </c>
      <c r="AE116" s="263">
        <f>'StB-Werte'!AE116</f>
        <v>3.5</v>
      </c>
      <c r="AF116" s="263">
        <f>'StB-Werte'!AF116</f>
        <v>3.5</v>
      </c>
      <c r="AG116" s="263">
        <f>'StB-Werte'!AG116</f>
        <v>3.5</v>
      </c>
      <c r="AH116" s="263" t="str">
        <f>'StB-Werte'!AH116</f>
        <v/>
      </c>
      <c r="AJ116" s="193">
        <f t="shared" si="8"/>
        <v>2</v>
      </c>
      <c r="AK116" s="279" t="str">
        <f>'StB-Werte'!AK116</f>
        <v/>
      </c>
      <c r="AL116" s="279">
        <f>'StB-Werte'!AL116</f>
        <v>2</v>
      </c>
      <c r="AM116" s="279">
        <f>'StB-Werte'!AM116</f>
        <v>2</v>
      </c>
      <c r="AN116" s="279">
        <f>'StB-Werte'!AN116</f>
        <v>2</v>
      </c>
      <c r="AO116" s="279" t="str">
        <f>'StB-Werte'!AO116</f>
        <v/>
      </c>
      <c r="AQ116" s="214">
        <f t="shared" si="9"/>
        <v>35000</v>
      </c>
      <c r="AR116" s="266" t="str">
        <f>'StB-Werte'!AR116</f>
        <v/>
      </c>
      <c r="AS116" s="257">
        <f>'StB-Werte'!AS116</f>
        <v>31400</v>
      </c>
      <c r="AT116" s="257">
        <f>'StB-Werte'!AT116</f>
        <v>35000</v>
      </c>
      <c r="AU116" s="257">
        <f>'StB-Werte'!AU116</f>
        <v>35000</v>
      </c>
      <c r="AV116" s="266" t="str">
        <f>'StB-Werte'!AV116</f>
        <v/>
      </c>
      <c r="AX116" s="193">
        <f t="shared" si="10"/>
        <v>0.15</v>
      </c>
      <c r="AY116" s="279" t="str">
        <f>'StB-Werte'!AY116</f>
        <v/>
      </c>
      <c r="AZ116" s="279">
        <f>'StB-Werte'!AZ116</f>
        <v>0.3</v>
      </c>
      <c r="BA116" s="279">
        <f>'StB-Werte'!BA116</f>
        <v>0.18181818181818182</v>
      </c>
      <c r="BB116" s="279">
        <f>'StB-Werte'!BB116</f>
        <v>0.15</v>
      </c>
      <c r="BC116" s="279" t="str">
        <f>'StB-Werte'!BC116</f>
        <v/>
      </c>
      <c r="BE116" s="214">
        <f t="shared" si="11"/>
        <v>0.15</v>
      </c>
      <c r="BF116" s="282" t="str">
        <f>'StB-Werte'!BF116</f>
        <v/>
      </c>
      <c r="BG116" s="279">
        <f>'StB-Werte'!BG116</f>
        <v>0.15</v>
      </c>
      <c r="BH116" s="282" t="str">
        <f>'StB-Werte'!BH116</f>
        <v>0.10   0.2</v>
      </c>
      <c r="BI116" s="279">
        <f>'StB-Werte'!BI116</f>
        <v>0.15</v>
      </c>
      <c r="BJ116" s="279" t="str">
        <f>'StB-Werte'!BJ116</f>
        <v/>
      </c>
    </row>
    <row r="117" spans="1:62" hidden="1" x14ac:dyDescent="0.2">
      <c r="A117" s="181" t="str">
        <f t="shared" si="3"/>
        <v>C 45/55</v>
      </c>
      <c r="B117" s="258" t="str">
        <f>'StB-Werte'!B117</f>
        <v/>
      </c>
      <c r="C117" s="258" t="str">
        <f>'StB-Werte'!C117</f>
        <v>C 45/55</v>
      </c>
      <c r="D117" s="258" t="str">
        <f>'StB-Werte'!D117</f>
        <v>C 45/55</v>
      </c>
      <c r="E117" s="258" t="str">
        <f>'StB-Werte'!E117</f>
        <v>C 45/55</v>
      </c>
      <c r="F117" s="257" t="str">
        <f>'StB-Werte'!F117</f>
        <v/>
      </c>
      <c r="H117" s="184">
        <f t="shared" si="4"/>
        <v>45</v>
      </c>
      <c r="I117" s="263" t="str">
        <f>'StB-Werte'!I117</f>
        <v/>
      </c>
      <c r="J117" s="263">
        <f>'StB-Werte'!J117</f>
        <v>45</v>
      </c>
      <c r="K117" s="263">
        <f>'StB-Werte'!K117</f>
        <v>45</v>
      </c>
      <c r="L117" s="263">
        <f>'StB-Werte'!L117</f>
        <v>45</v>
      </c>
      <c r="M117" s="263" t="str">
        <f>'StB-Werte'!M117</f>
        <v/>
      </c>
      <c r="O117" s="214">
        <f t="shared" si="5"/>
        <v>0.85</v>
      </c>
      <c r="P117" s="266" t="str">
        <f>'StB-Werte'!P117</f>
        <v/>
      </c>
      <c r="Q117" s="266">
        <f>'StB-Werte'!Q117</f>
        <v>0.85</v>
      </c>
      <c r="R117" s="266">
        <f>'StB-Werte'!R117</f>
        <v>0.90909090909090906</v>
      </c>
      <c r="S117" s="266">
        <f>'StB-Werte'!S117</f>
        <v>0.85</v>
      </c>
      <c r="T117" s="266" t="str">
        <f>'StB-Werte'!T117</f>
        <v/>
      </c>
      <c r="V117" s="184">
        <f t="shared" si="6"/>
        <v>2</v>
      </c>
      <c r="W117" s="263" t="str">
        <f>'StB-Werte'!W117</f>
        <v/>
      </c>
      <c r="X117" s="263">
        <f>'StB-Werte'!X117</f>
        <v>2</v>
      </c>
      <c r="Y117" s="263">
        <f>'StB-Werte'!Y117</f>
        <v>2</v>
      </c>
      <c r="Z117" s="263">
        <f>'StB-Werte'!Z117</f>
        <v>2</v>
      </c>
      <c r="AA117" s="263" t="str">
        <f>'StB-Werte'!AA117</f>
        <v/>
      </c>
      <c r="AC117" s="184">
        <f t="shared" si="7"/>
        <v>3.5</v>
      </c>
      <c r="AD117" s="263" t="str">
        <f>'StB-Werte'!AD117</f>
        <v/>
      </c>
      <c r="AE117" s="263">
        <f>'StB-Werte'!AE117</f>
        <v>3.5</v>
      </c>
      <c r="AF117" s="263">
        <f>'StB-Werte'!AF117</f>
        <v>3.5</v>
      </c>
      <c r="AG117" s="263">
        <f>'StB-Werte'!AG117</f>
        <v>3.5</v>
      </c>
      <c r="AH117" s="263" t="str">
        <f>'StB-Werte'!AH117</f>
        <v/>
      </c>
      <c r="AJ117" s="193">
        <f t="shared" si="8"/>
        <v>2</v>
      </c>
      <c r="AK117" s="279" t="str">
        <f>'StB-Werte'!AK117</f>
        <v/>
      </c>
      <c r="AL117" s="279">
        <f>'StB-Werte'!AL117</f>
        <v>2</v>
      </c>
      <c r="AM117" s="279">
        <f>'StB-Werte'!AM117</f>
        <v>2</v>
      </c>
      <c r="AN117" s="279">
        <f>'StB-Werte'!AN117</f>
        <v>2</v>
      </c>
      <c r="AO117" s="279" t="str">
        <f>'StB-Werte'!AO117</f>
        <v/>
      </c>
      <c r="AQ117" s="214">
        <f t="shared" si="9"/>
        <v>36000</v>
      </c>
      <c r="AR117" s="266" t="str">
        <f>'StB-Werte'!AR117</f>
        <v/>
      </c>
      <c r="AS117" s="257">
        <f>'StB-Werte'!AS117</f>
        <v>32800</v>
      </c>
      <c r="AT117" s="257">
        <f>'StB-Werte'!AT117</f>
        <v>36000</v>
      </c>
      <c r="AU117" s="257">
        <f>'StB-Werte'!AU117</f>
        <v>36000</v>
      </c>
      <c r="AV117" s="266" t="str">
        <f>'StB-Werte'!AV117</f>
        <v/>
      </c>
      <c r="AX117" s="193">
        <f t="shared" si="10"/>
        <v>0.15</v>
      </c>
      <c r="AY117" s="279" t="str">
        <f>'StB-Werte'!AY117</f>
        <v/>
      </c>
      <c r="AZ117" s="279">
        <f>'StB-Werte'!AZ117</f>
        <v>0.3</v>
      </c>
      <c r="BA117" s="279">
        <f>'StB-Werte'!BA117</f>
        <v>0.18181818181818182</v>
      </c>
      <c r="BB117" s="279">
        <f>'StB-Werte'!BB117</f>
        <v>0.15</v>
      </c>
      <c r="BC117" s="279" t="str">
        <f>'StB-Werte'!BC117</f>
        <v/>
      </c>
      <c r="BE117" s="214">
        <f t="shared" si="11"/>
        <v>0.15</v>
      </c>
      <c r="BF117" s="282" t="str">
        <f>'StB-Werte'!BF117</f>
        <v/>
      </c>
      <c r="BG117" s="279">
        <f>'StB-Werte'!BG117</f>
        <v>0.15</v>
      </c>
      <c r="BH117" s="282" t="str">
        <f>'StB-Werte'!BH117</f>
        <v>0.10   0.2</v>
      </c>
      <c r="BI117" s="279">
        <f>'StB-Werte'!BI117</f>
        <v>0.15</v>
      </c>
      <c r="BJ117" s="279" t="str">
        <f>'StB-Werte'!BJ117</f>
        <v/>
      </c>
    </row>
    <row r="118" spans="1:62" hidden="1" x14ac:dyDescent="0.2">
      <c r="A118" s="182" t="str">
        <f t="shared" si="3"/>
        <v>C 50/60</v>
      </c>
      <c r="B118" s="259" t="str">
        <f>'StB-Werte'!B118</f>
        <v/>
      </c>
      <c r="C118" s="259" t="str">
        <f>'StB-Werte'!C118</f>
        <v>C 50/60</v>
      </c>
      <c r="D118" s="259" t="str">
        <f>'StB-Werte'!D118</f>
        <v>C 50/60</v>
      </c>
      <c r="E118" s="259" t="str">
        <f>'StB-Werte'!E118</f>
        <v>C 50/60</v>
      </c>
      <c r="F118" s="260" t="str">
        <f>'StB-Werte'!F118</f>
        <v/>
      </c>
      <c r="H118" s="185">
        <f t="shared" si="4"/>
        <v>50</v>
      </c>
      <c r="I118" s="264" t="str">
        <f>'StB-Werte'!I118</f>
        <v/>
      </c>
      <c r="J118" s="264">
        <f>'StB-Werte'!J118</f>
        <v>50</v>
      </c>
      <c r="K118" s="264">
        <f>'StB-Werte'!K118</f>
        <v>50</v>
      </c>
      <c r="L118" s="264">
        <f>'StB-Werte'!L118</f>
        <v>50</v>
      </c>
      <c r="M118" s="264" t="str">
        <f>'StB-Werte'!M118</f>
        <v/>
      </c>
      <c r="O118" s="215">
        <f t="shared" si="5"/>
        <v>0.85</v>
      </c>
      <c r="P118" s="274" t="str">
        <f>'StB-Werte'!P118</f>
        <v/>
      </c>
      <c r="Q118" s="274">
        <f>'StB-Werte'!Q118</f>
        <v>0.85</v>
      </c>
      <c r="R118" s="274">
        <f>'StB-Werte'!R118</f>
        <v>0.90909090909090906</v>
      </c>
      <c r="S118" s="274">
        <f>'StB-Werte'!S118</f>
        <v>0.85</v>
      </c>
      <c r="T118" s="274" t="str">
        <f>'StB-Werte'!T118</f>
        <v/>
      </c>
      <c r="V118" s="185">
        <f t="shared" si="6"/>
        <v>2</v>
      </c>
      <c r="W118" s="264" t="str">
        <f>'StB-Werte'!W118</f>
        <v/>
      </c>
      <c r="X118" s="264">
        <f>'StB-Werte'!X118</f>
        <v>2</v>
      </c>
      <c r="Y118" s="264">
        <f>'StB-Werte'!Y118</f>
        <v>2</v>
      </c>
      <c r="Z118" s="264">
        <f>'StB-Werte'!Z118</f>
        <v>2</v>
      </c>
      <c r="AA118" s="264" t="str">
        <f>'StB-Werte'!AA118</f>
        <v/>
      </c>
      <c r="AC118" s="185">
        <f t="shared" si="7"/>
        <v>3.5</v>
      </c>
      <c r="AD118" s="264" t="str">
        <f>'StB-Werte'!AD118</f>
        <v/>
      </c>
      <c r="AE118" s="264">
        <f>'StB-Werte'!AE118</f>
        <v>3.5</v>
      </c>
      <c r="AF118" s="264">
        <f>'StB-Werte'!AF118</f>
        <v>3.5</v>
      </c>
      <c r="AG118" s="264">
        <f>'StB-Werte'!AG118</f>
        <v>3.5</v>
      </c>
      <c r="AH118" s="264" t="str">
        <f>'StB-Werte'!AH118</f>
        <v/>
      </c>
      <c r="AJ118" s="194">
        <f t="shared" si="8"/>
        <v>2</v>
      </c>
      <c r="AK118" s="280" t="str">
        <f>'StB-Werte'!AK118</f>
        <v/>
      </c>
      <c r="AL118" s="280">
        <f>'StB-Werte'!AL118</f>
        <v>2</v>
      </c>
      <c r="AM118" s="280">
        <f>'StB-Werte'!AM118</f>
        <v>2</v>
      </c>
      <c r="AN118" s="280">
        <f>'StB-Werte'!AN118</f>
        <v>2</v>
      </c>
      <c r="AO118" s="280" t="str">
        <f>'StB-Werte'!AO118</f>
        <v/>
      </c>
      <c r="AQ118" s="215">
        <f t="shared" si="9"/>
        <v>37000</v>
      </c>
      <c r="AR118" s="274" t="str">
        <f>'StB-Werte'!AR118</f>
        <v/>
      </c>
      <c r="AS118" s="260">
        <f>'StB-Werte'!AS118</f>
        <v>34300</v>
      </c>
      <c r="AT118" s="260">
        <f>'StB-Werte'!AT118</f>
        <v>37000</v>
      </c>
      <c r="AU118" s="260">
        <f>'StB-Werte'!AU118</f>
        <v>37000</v>
      </c>
      <c r="AV118" s="274" t="str">
        <f>'StB-Werte'!AV118</f>
        <v/>
      </c>
      <c r="AX118" s="194">
        <f t="shared" si="10"/>
        <v>0.15</v>
      </c>
      <c r="AY118" s="280" t="str">
        <f>'StB-Werte'!AY118</f>
        <v/>
      </c>
      <c r="AZ118" s="280">
        <f>'StB-Werte'!AZ118</f>
        <v>0.3</v>
      </c>
      <c r="BA118" s="280">
        <f>'StB-Werte'!BA118</f>
        <v>0.18181818181818182</v>
      </c>
      <c r="BB118" s="280">
        <f>'StB-Werte'!BB118</f>
        <v>0.15</v>
      </c>
      <c r="BC118" s="280" t="str">
        <f>'StB-Werte'!BC118</f>
        <v/>
      </c>
      <c r="BE118" s="215">
        <f t="shared" si="11"/>
        <v>0.15</v>
      </c>
      <c r="BF118" s="283" t="str">
        <f>'StB-Werte'!BF118</f>
        <v/>
      </c>
      <c r="BG118" s="280">
        <f>'StB-Werte'!BG118</f>
        <v>0.15</v>
      </c>
      <c r="BH118" s="283" t="str">
        <f>'StB-Werte'!BH118</f>
        <v>0.10   0.2</v>
      </c>
      <c r="BI118" s="280">
        <f>'StB-Werte'!BI118</f>
        <v>0.15</v>
      </c>
      <c r="BJ118" s="280" t="str">
        <f>'StB-Werte'!BJ118</f>
        <v/>
      </c>
    </row>
    <row r="119" spans="1:62" hidden="1" x14ac:dyDescent="0.2"/>
    <row r="120" spans="1:62" hidden="1" x14ac:dyDescent="0.2">
      <c r="A120" s="170" t="str">
        <f>B17</f>
        <v>Reinforcement</v>
      </c>
      <c r="B120" s="212">
        <v>1</v>
      </c>
      <c r="C120" s="212">
        <v>2</v>
      </c>
      <c r="D120" s="212">
        <v>3</v>
      </c>
      <c r="E120" s="212">
        <v>4</v>
      </c>
      <c r="F120" s="212">
        <v>5</v>
      </c>
      <c r="H120" s="213" t="s">
        <v>413</v>
      </c>
      <c r="I120" s="212">
        <v>1</v>
      </c>
      <c r="J120" s="212">
        <v>2</v>
      </c>
      <c r="K120" s="212">
        <v>3</v>
      </c>
      <c r="L120" s="212">
        <v>4</v>
      </c>
      <c r="M120" s="212">
        <v>5</v>
      </c>
      <c r="O120" s="213" t="s">
        <v>414</v>
      </c>
      <c r="P120" s="212">
        <v>1</v>
      </c>
      <c r="Q120" s="212">
        <v>2</v>
      </c>
      <c r="R120" s="212">
        <v>3</v>
      </c>
      <c r="S120" s="212">
        <v>4</v>
      </c>
      <c r="T120" s="212">
        <v>5</v>
      </c>
      <c r="V120" s="213" t="s">
        <v>415</v>
      </c>
      <c r="W120" s="212">
        <v>1</v>
      </c>
      <c r="X120" s="212">
        <v>2</v>
      </c>
      <c r="Y120" s="212">
        <v>3</v>
      </c>
      <c r="Z120" s="212">
        <v>4</v>
      </c>
      <c r="AA120" s="212">
        <v>5</v>
      </c>
      <c r="AC120" s="213" t="s">
        <v>509</v>
      </c>
      <c r="AD120" s="212">
        <v>1</v>
      </c>
      <c r="AE120" s="212">
        <v>2</v>
      </c>
      <c r="AF120" s="212">
        <v>3</v>
      </c>
      <c r="AG120" s="212">
        <v>4</v>
      </c>
      <c r="AH120" s="212">
        <v>5</v>
      </c>
    </row>
    <row r="121" spans="1:62" hidden="1" x14ac:dyDescent="0.2">
      <c r="A121" s="180" t="str">
        <f>INDEX(B121:F121,,$A$4)</f>
        <v>B500A</v>
      </c>
      <c r="B121" s="256" t="str">
        <f>'StB-Werte'!B121</f>
        <v>BSt 420</v>
      </c>
      <c r="C121" s="256" t="str">
        <f>'StB-Werte'!C121</f>
        <v>BSt 500 A</v>
      </c>
      <c r="D121" s="256" t="str">
        <f>'StB-Werte'!D121</f>
        <v>B500A</v>
      </c>
      <c r="E121" s="256" t="str">
        <f>'StB-Werte'!E121</f>
        <v>B500A</v>
      </c>
      <c r="F121" s="256" t="str">
        <f>'StB-Werte'!F121</f>
        <v/>
      </c>
      <c r="H121" s="187">
        <f>INDEX(I121:M121,,$A$4)</f>
        <v>500</v>
      </c>
      <c r="I121" s="265">
        <f>'StB-Werte'!I121</f>
        <v>420</v>
      </c>
      <c r="J121" s="265">
        <f>'StB-Werte'!J121</f>
        <v>500</v>
      </c>
      <c r="K121" s="265">
        <f>'StB-Werte'!K121</f>
        <v>500</v>
      </c>
      <c r="L121" s="265">
        <f>'StB-Werte'!L121</f>
        <v>500</v>
      </c>
      <c r="M121" s="256" t="str">
        <f>'StB-Werte'!M121</f>
        <v/>
      </c>
      <c r="O121" s="187">
        <f>INDEX(P121:T121,,$A$4)</f>
        <v>525</v>
      </c>
      <c r="P121" s="265">
        <f>'StB-Werte'!P121</f>
        <v>420</v>
      </c>
      <c r="Q121" s="265">
        <f>'StB-Werte'!Q121</f>
        <v>525</v>
      </c>
      <c r="R121" s="265">
        <f>'StB-Werte'!R121</f>
        <v>525</v>
      </c>
      <c r="S121" s="265">
        <f>'StB-Werte'!S121</f>
        <v>525</v>
      </c>
      <c r="T121" s="265" t="str">
        <f>'StB-Werte'!T121</f>
        <v/>
      </c>
      <c r="V121" s="187">
        <f>INDEX(W121:AA121,,$A$4)</f>
        <v>200000</v>
      </c>
      <c r="W121" s="265">
        <f>'StB-Werte'!W121</f>
        <v>210000</v>
      </c>
      <c r="X121" s="265">
        <f>'StB-Werte'!X121</f>
        <v>200000</v>
      </c>
      <c r="Y121" s="265">
        <f>'StB-Werte'!Y121</f>
        <v>200000</v>
      </c>
      <c r="Z121" s="265">
        <f>'StB-Werte'!Z121</f>
        <v>200000</v>
      </c>
      <c r="AA121" s="265" t="str">
        <f>'StB-Werte'!AA121</f>
        <v/>
      </c>
      <c r="AC121" s="183">
        <f>INDEX(AD121:AH121,,$A$4)</f>
        <v>25</v>
      </c>
      <c r="AD121" s="262">
        <f>'StB-Werte'!AD121</f>
        <v>5</v>
      </c>
      <c r="AE121" s="262">
        <f>'StB-Werte'!AE121</f>
        <v>25</v>
      </c>
      <c r="AF121" s="262">
        <f>'StB-Werte'!AF121</f>
        <v>25</v>
      </c>
      <c r="AG121" s="262">
        <f>'StB-Werte'!AG121</f>
        <v>25</v>
      </c>
      <c r="AH121" s="262" t="str">
        <f>'StB-Werte'!AH121</f>
        <v/>
      </c>
    </row>
    <row r="122" spans="1:62" hidden="1" x14ac:dyDescent="0.2">
      <c r="A122" s="181" t="str">
        <f>INDEX(B122:F122,,$A$4)</f>
        <v>B500B</v>
      </c>
      <c r="B122" s="257" t="str">
        <f>'StB-Werte'!B122</f>
        <v>BSt 500</v>
      </c>
      <c r="C122" s="257" t="str">
        <f>'StB-Werte'!C122</f>
        <v>BSt 500 B</v>
      </c>
      <c r="D122" s="257" t="str">
        <f>'StB-Werte'!D122</f>
        <v>B500B</v>
      </c>
      <c r="E122" s="257" t="str">
        <f>'StB-Werte'!E122</f>
        <v>B500B</v>
      </c>
      <c r="F122" s="257" t="str">
        <f>'StB-Werte'!F122</f>
        <v/>
      </c>
      <c r="H122" s="214">
        <f>INDEX(I122:M122,,$A$4)</f>
        <v>500</v>
      </c>
      <c r="I122" s="266">
        <f>'StB-Werte'!I122</f>
        <v>500</v>
      </c>
      <c r="J122" s="266">
        <f>'StB-Werte'!J122</f>
        <v>500</v>
      </c>
      <c r="K122" s="266">
        <f>'StB-Werte'!K122</f>
        <v>500</v>
      </c>
      <c r="L122" s="266">
        <f>'StB-Werte'!L122</f>
        <v>500</v>
      </c>
      <c r="M122" s="257" t="str">
        <f>'StB-Werte'!M122</f>
        <v/>
      </c>
      <c r="O122" s="214">
        <f>INDEX(P122:T122,,$A$4)</f>
        <v>525</v>
      </c>
      <c r="P122" s="266">
        <f>'StB-Werte'!P122</f>
        <v>500</v>
      </c>
      <c r="Q122" s="266">
        <f>'StB-Werte'!Q122</f>
        <v>540</v>
      </c>
      <c r="R122" s="266">
        <f>'StB-Werte'!R122</f>
        <v>525</v>
      </c>
      <c r="S122" s="266">
        <f>'StB-Werte'!S122</f>
        <v>525</v>
      </c>
      <c r="T122" s="266" t="str">
        <f>'StB-Werte'!T122</f>
        <v/>
      </c>
      <c r="V122" s="214">
        <f>INDEX(W122:AA122,,$A$4)</f>
        <v>200000</v>
      </c>
      <c r="W122" s="266">
        <f>'StB-Werte'!W122</f>
        <v>210000</v>
      </c>
      <c r="X122" s="266">
        <f>'StB-Werte'!X122</f>
        <v>200000</v>
      </c>
      <c r="Y122" s="266">
        <f>'StB-Werte'!Y122</f>
        <v>200000</v>
      </c>
      <c r="Z122" s="266">
        <f>'StB-Werte'!Z122</f>
        <v>200000</v>
      </c>
      <c r="AA122" s="266" t="str">
        <f>'StB-Werte'!AA122</f>
        <v/>
      </c>
      <c r="AC122" s="184">
        <f>INDEX(AD122:AH122,,$A$4)</f>
        <v>25</v>
      </c>
      <c r="AD122" s="263">
        <f>'StB-Werte'!AD122</f>
        <v>5</v>
      </c>
      <c r="AE122" s="263">
        <f>'StB-Werte'!AE122</f>
        <v>50</v>
      </c>
      <c r="AF122" s="263">
        <f>'StB-Werte'!AF122</f>
        <v>25</v>
      </c>
      <c r="AG122" s="263">
        <f>'StB-Werte'!AG122</f>
        <v>25</v>
      </c>
      <c r="AH122" s="263" t="str">
        <f>'StB-Werte'!AH122</f>
        <v/>
      </c>
    </row>
    <row r="123" spans="1:62" hidden="1" x14ac:dyDescent="0.2">
      <c r="A123" s="181" t="str">
        <f>INDEX(B123:F123,,$A$4)</f>
        <v/>
      </c>
      <c r="B123" s="257" t="str">
        <f>'StB-Werte'!B123</f>
        <v/>
      </c>
      <c r="C123" s="257" t="str">
        <f>'StB-Werte'!C123</f>
        <v/>
      </c>
      <c r="D123" s="257" t="str">
        <f>'StB-Werte'!D123</f>
        <v/>
      </c>
      <c r="E123" s="257" t="str">
        <f>'StB-Werte'!E123</f>
        <v/>
      </c>
      <c r="F123" s="257" t="str">
        <f>'StB-Werte'!F123</f>
        <v/>
      </c>
      <c r="H123" s="214" t="str">
        <f>INDEX(I123:M123,,$A$4)</f>
        <v/>
      </c>
      <c r="I123" s="257" t="str">
        <f>'StB-Werte'!I123</f>
        <v/>
      </c>
      <c r="J123" s="257" t="str">
        <f>'StB-Werte'!J123</f>
        <v/>
      </c>
      <c r="K123" s="257" t="str">
        <f>'StB-Werte'!K123</f>
        <v/>
      </c>
      <c r="L123" s="257" t="str">
        <f>'StB-Werte'!L123</f>
        <v/>
      </c>
      <c r="M123" s="257" t="str">
        <f>'StB-Werte'!M123</f>
        <v/>
      </c>
      <c r="O123" s="214" t="str">
        <f>INDEX(P123:T123,,$A$4)</f>
        <v/>
      </c>
      <c r="P123" s="266" t="str">
        <f>'StB-Werte'!P123</f>
        <v/>
      </c>
      <c r="Q123" s="266" t="str">
        <f>'StB-Werte'!Q123</f>
        <v/>
      </c>
      <c r="R123" s="266" t="str">
        <f>'StB-Werte'!R123</f>
        <v/>
      </c>
      <c r="S123" s="266" t="str">
        <f>'StB-Werte'!S123</f>
        <v/>
      </c>
      <c r="T123" s="266" t="str">
        <f>'StB-Werte'!T123</f>
        <v/>
      </c>
      <c r="V123" s="214" t="str">
        <f>INDEX(W123:AA123,,$A$4)</f>
        <v/>
      </c>
      <c r="W123" s="266" t="str">
        <f>'StB-Werte'!W123</f>
        <v/>
      </c>
      <c r="X123" s="266" t="str">
        <f>'StB-Werte'!X123</f>
        <v/>
      </c>
      <c r="Y123" s="266" t="str">
        <f>'StB-Werte'!Y123</f>
        <v/>
      </c>
      <c r="Z123" s="266" t="str">
        <f>'StB-Werte'!Z123</f>
        <v/>
      </c>
      <c r="AA123" s="266" t="str">
        <f>'StB-Werte'!AA123</f>
        <v/>
      </c>
      <c r="AC123" s="184" t="str">
        <f>INDEX(AD123:AH123,,$A$4)</f>
        <v/>
      </c>
      <c r="AD123" s="263" t="str">
        <f>'StB-Werte'!AD123</f>
        <v/>
      </c>
      <c r="AE123" s="263" t="str">
        <f>'StB-Werte'!AE123</f>
        <v/>
      </c>
      <c r="AF123" s="263" t="str">
        <f>'StB-Werte'!AF123</f>
        <v/>
      </c>
      <c r="AG123" s="263" t="str">
        <f>'StB-Werte'!AG123</f>
        <v/>
      </c>
      <c r="AH123" s="263" t="str">
        <f>'StB-Werte'!AH123</f>
        <v/>
      </c>
    </row>
    <row r="124" spans="1:62" hidden="1" x14ac:dyDescent="0.2">
      <c r="A124" s="182" t="str">
        <f>INDEX(B124:F124,,$A$4)</f>
        <v/>
      </c>
      <c r="B124" s="260" t="str">
        <f>'StB-Werte'!B124</f>
        <v/>
      </c>
      <c r="C124" s="260" t="str">
        <f>'StB-Werte'!C124</f>
        <v/>
      </c>
      <c r="D124" s="260" t="str">
        <f>'StB-Werte'!D124</f>
        <v/>
      </c>
      <c r="E124" s="260" t="str">
        <f>'StB-Werte'!E124</f>
        <v/>
      </c>
      <c r="F124" s="260" t="str">
        <f>'StB-Werte'!F124</f>
        <v/>
      </c>
      <c r="H124" s="215" t="str">
        <f>INDEX(I124:M124,,$A$4)</f>
        <v/>
      </c>
      <c r="I124" s="260" t="str">
        <f>'StB-Werte'!I124</f>
        <v/>
      </c>
      <c r="J124" s="260" t="str">
        <f>'StB-Werte'!J124</f>
        <v/>
      </c>
      <c r="K124" s="260" t="str">
        <f>'StB-Werte'!K124</f>
        <v/>
      </c>
      <c r="L124" s="260" t="str">
        <f>'StB-Werte'!L124</f>
        <v/>
      </c>
      <c r="M124" s="260" t="str">
        <f>'StB-Werte'!M124</f>
        <v/>
      </c>
      <c r="O124" s="215" t="str">
        <f>INDEX(P124:T124,,$A$4)</f>
        <v/>
      </c>
      <c r="P124" s="274" t="str">
        <f>'StB-Werte'!P124</f>
        <v/>
      </c>
      <c r="Q124" s="274" t="str">
        <f>'StB-Werte'!Q124</f>
        <v/>
      </c>
      <c r="R124" s="274" t="str">
        <f>'StB-Werte'!R124</f>
        <v/>
      </c>
      <c r="S124" s="274" t="str">
        <f>'StB-Werte'!S124</f>
        <v/>
      </c>
      <c r="T124" s="274" t="str">
        <f>'StB-Werte'!T124</f>
        <v/>
      </c>
      <c r="V124" s="215" t="str">
        <f>INDEX(W124:AA124,,$A$4)</f>
        <v/>
      </c>
      <c r="W124" s="274" t="str">
        <f>'StB-Werte'!W124</f>
        <v/>
      </c>
      <c r="X124" s="274" t="str">
        <f>'StB-Werte'!X124</f>
        <v/>
      </c>
      <c r="Y124" s="274" t="str">
        <f>'StB-Werte'!Y124</f>
        <v/>
      </c>
      <c r="Z124" s="274" t="str">
        <f>'StB-Werte'!Z124</f>
        <v/>
      </c>
      <c r="AA124" s="274" t="str">
        <f>'StB-Werte'!AA124</f>
        <v/>
      </c>
      <c r="AC124" s="185" t="str">
        <f>INDEX(AD124:AH124,,$A$4)</f>
        <v/>
      </c>
      <c r="AD124" s="264" t="str">
        <f>'StB-Werte'!AD124</f>
        <v/>
      </c>
      <c r="AE124" s="264" t="str">
        <f>'StB-Werte'!AE124</f>
        <v/>
      </c>
      <c r="AF124" s="264" t="str">
        <f>'StB-Werte'!AF124</f>
        <v/>
      </c>
      <c r="AG124" s="264" t="str">
        <f>'StB-Werte'!AG124</f>
        <v/>
      </c>
      <c r="AH124" s="264" t="str">
        <f>'StB-Werte'!AH124</f>
        <v/>
      </c>
    </row>
    <row r="125" spans="1:62" hidden="1" x14ac:dyDescent="0.2"/>
    <row r="126" spans="1:62" hidden="1" x14ac:dyDescent="0.2">
      <c r="A126" s="171" t="s">
        <v>578</v>
      </c>
      <c r="B126" s="171">
        <v>1</v>
      </c>
      <c r="C126" s="171">
        <v>2</v>
      </c>
      <c r="D126" s="171">
        <v>3</v>
      </c>
      <c r="E126" s="171">
        <v>4</v>
      </c>
      <c r="F126" s="171">
        <v>5</v>
      </c>
      <c r="H126" s="171" t="s">
        <v>602</v>
      </c>
      <c r="I126" s="171">
        <v>1</v>
      </c>
      <c r="J126" s="171">
        <v>2</v>
      </c>
      <c r="K126" s="171">
        <v>3</v>
      </c>
      <c r="L126" s="171">
        <v>4</v>
      </c>
      <c r="M126" s="171">
        <v>5</v>
      </c>
      <c r="O126" s="171" t="s">
        <v>602</v>
      </c>
      <c r="P126" s="171">
        <v>1</v>
      </c>
      <c r="Q126" s="171">
        <v>2</v>
      </c>
      <c r="R126" s="171">
        <v>3</v>
      </c>
      <c r="S126" s="171">
        <v>4</v>
      </c>
      <c r="T126" s="171">
        <v>5</v>
      </c>
    </row>
    <row r="127" spans="1:62" hidden="1" x14ac:dyDescent="0.2">
      <c r="A127" s="190" t="str">
        <f>INDEX(B127:F127,,$A$4)</f>
        <v>without min. reinforcement</v>
      </c>
      <c r="B127" s="261" t="str">
        <f>'StB-Werte'!B127</f>
        <v>without min. reinforcement</v>
      </c>
      <c r="C127" s="261" t="str">
        <f>'StB-Werte'!C127</f>
        <v>without min. reinforcement</v>
      </c>
      <c r="D127" s="261" t="str">
        <f>'StB-Werte'!D127</f>
        <v>without min. reinforcement</v>
      </c>
      <c r="E127" s="261" t="str">
        <f>'StB-Werte'!E127</f>
        <v>without min. reinforcement</v>
      </c>
      <c r="F127" s="261" t="str">
        <f>'StB-Werte'!F127</f>
        <v/>
      </c>
      <c r="H127" s="190" t="str">
        <f>INDEX(I127:M127,,$A$4)</f>
        <v>without crack width limit</v>
      </c>
      <c r="I127" s="261" t="str">
        <f>'StB-Werte'!I127</f>
        <v>without crack width limit</v>
      </c>
      <c r="J127" s="261" t="str">
        <f>'StB-Werte'!J127</f>
        <v>without crack width limit</v>
      </c>
      <c r="K127" s="261" t="str">
        <f>'StB-Werte'!K127</f>
        <v>without crack width limit</v>
      </c>
      <c r="L127" s="261" t="str">
        <f>'StB-Werte'!L127</f>
        <v>without crack width limit</v>
      </c>
      <c r="M127" s="261" t="str">
        <f>'StB-Werte'!M127</f>
        <v/>
      </c>
      <c r="O127" s="190" t="str">
        <f>IF($E$18=1,"",INDEX(P127:T127,,$A$4))</f>
        <v/>
      </c>
      <c r="P127" s="261" t="str">
        <f>'StB-Werte'!P127</f>
        <v/>
      </c>
      <c r="Q127" s="261" t="str">
        <f>'StB-Werte'!Q127</f>
        <v/>
      </c>
      <c r="R127" s="261" t="str">
        <f>'StB-Werte'!R127</f>
        <v/>
      </c>
      <c r="S127" s="261" t="str">
        <f>'StB-Werte'!S127</f>
        <v/>
      </c>
      <c r="T127" s="261" t="str">
        <f>'StB-Werte'!T127</f>
        <v/>
      </c>
    </row>
    <row r="128" spans="1:62" hidden="1" x14ac:dyDescent="0.2">
      <c r="A128" s="191" t="str">
        <f>INDEX(B128:F128,,$A$4)</f>
        <v>with min. reinforcement</v>
      </c>
      <c r="B128" s="255" t="str">
        <f>'StB-Werte'!B128</f>
        <v>with min. reinforcement</v>
      </c>
      <c r="C128" s="255" t="str">
        <f>'StB-Werte'!C128</f>
        <v>with min. reinforcement</v>
      </c>
      <c r="D128" s="255" t="str">
        <f>'StB-Werte'!D128</f>
        <v>with min. reinforcement</v>
      </c>
      <c r="E128" s="255" t="str">
        <f>'StB-Werte'!E128</f>
        <v>with min. reinforcement</v>
      </c>
      <c r="F128" s="255" t="str">
        <f>'StB-Werte'!F128</f>
        <v/>
      </c>
      <c r="H128" s="191" t="str">
        <f>INDEX(I128:M128,,$A$4)</f>
        <v>with crack width limit</v>
      </c>
      <c r="I128" s="255" t="str">
        <f>'StB-Werte'!I128</f>
        <v>with crack width limit</v>
      </c>
      <c r="J128" s="255" t="str">
        <f>'StB-Werte'!J128</f>
        <v>with crack width limit</v>
      </c>
      <c r="K128" s="255" t="str">
        <f>'StB-Werte'!K128</f>
        <v>with crack width limit</v>
      </c>
      <c r="L128" s="255" t="str">
        <f>'StB-Werte'!L128</f>
        <v>with crack width limit</v>
      </c>
      <c r="M128" s="255" t="str">
        <f>'StB-Werte'!M128</f>
        <v/>
      </c>
      <c r="O128" s="211" t="str">
        <f>IF($E$18=1,"",INDEX(P128:T128,,$A$4))</f>
        <v/>
      </c>
      <c r="P128" s="254" t="str">
        <f>'StB-Werte'!P128</f>
        <v>crack width = 0.40 mm</v>
      </c>
      <c r="Q128" s="254" t="str">
        <f>'StB-Werte'!Q128</f>
        <v>crack width = 0.40 mm</v>
      </c>
      <c r="R128" s="254" t="str">
        <f>'StB-Werte'!R128</f>
        <v>crack width = 0.40 mm</v>
      </c>
      <c r="S128" s="254" t="str">
        <f>'StB-Werte'!S128</f>
        <v>crack width = 0.40 mm</v>
      </c>
      <c r="T128" s="254" t="str">
        <f>'StB-Werte'!T128</f>
        <v/>
      </c>
    </row>
    <row r="129" spans="1:41" hidden="1" x14ac:dyDescent="0.2">
      <c r="O129" s="211" t="str">
        <f>IF($E$18=1,"",INDEX(P129:T129,,$A$4))</f>
        <v/>
      </c>
      <c r="P129" s="254" t="str">
        <f>'StB-Werte'!P129</f>
        <v>crack width = 0.30 mm</v>
      </c>
      <c r="Q129" s="254" t="str">
        <f>'StB-Werte'!Q129</f>
        <v>crack width = 0.30 mm</v>
      </c>
      <c r="R129" s="254" t="str">
        <f>'StB-Werte'!R129</f>
        <v>crack width = 0.30 mm</v>
      </c>
      <c r="S129" s="254" t="str">
        <f>'StB-Werte'!S129</f>
        <v>crack width = 0.30 mm</v>
      </c>
      <c r="T129" s="254" t="str">
        <f>'StB-Werte'!T129</f>
        <v/>
      </c>
    </row>
    <row r="130" spans="1:41" hidden="1" x14ac:dyDescent="0.2">
      <c r="O130" s="191" t="str">
        <f>IF($E$18=1,"",INDEX(P130:T130,,$A$4))</f>
        <v/>
      </c>
      <c r="P130" s="255" t="str">
        <f>'StB-Werte'!P130</f>
        <v>crack width = 0.20 mm</v>
      </c>
      <c r="Q130" s="255" t="str">
        <f>'StB-Werte'!Q130</f>
        <v>crack width = 0.20 mm</v>
      </c>
      <c r="R130" s="255" t="str">
        <f>'StB-Werte'!R130</f>
        <v>crack width = 0.20 mm</v>
      </c>
      <c r="S130" s="255" t="str">
        <f>'StB-Werte'!S130</f>
        <v>crack width = 0.20 mm</v>
      </c>
      <c r="T130" s="255" t="str">
        <f>'StB-Werte'!T130</f>
        <v/>
      </c>
    </row>
    <row r="131" spans="1:41" hidden="1" x14ac:dyDescent="0.2"/>
    <row r="132" spans="1:41" hidden="1" x14ac:dyDescent="0.2">
      <c r="A132" s="170" t="s">
        <v>588</v>
      </c>
      <c r="B132" s="212">
        <v>1</v>
      </c>
      <c r="C132" s="212">
        <v>2</v>
      </c>
      <c r="D132" s="212">
        <v>3</v>
      </c>
      <c r="E132" s="171">
        <v>4</v>
      </c>
      <c r="F132" s="171">
        <v>5</v>
      </c>
      <c r="H132" s="171" t="s">
        <v>589</v>
      </c>
      <c r="I132" s="171">
        <v>1</v>
      </c>
      <c r="J132" s="171">
        <v>2</v>
      </c>
      <c r="K132" s="171">
        <v>3</v>
      </c>
      <c r="L132" s="171">
        <v>4</v>
      </c>
      <c r="M132" s="171">
        <v>5</v>
      </c>
      <c r="O132" s="171" t="s">
        <v>590</v>
      </c>
      <c r="P132" s="171">
        <v>1</v>
      </c>
      <c r="Q132" s="171">
        <v>2</v>
      </c>
      <c r="R132" s="171">
        <v>3</v>
      </c>
      <c r="S132" s="171">
        <v>4</v>
      </c>
      <c r="T132" s="171">
        <v>5</v>
      </c>
      <c r="V132" s="171" t="s">
        <v>591</v>
      </c>
      <c r="W132" s="171">
        <v>1</v>
      </c>
      <c r="X132" s="171">
        <v>2</v>
      </c>
      <c r="Y132" s="171">
        <v>3</v>
      </c>
      <c r="Z132" s="171">
        <v>4</v>
      </c>
      <c r="AA132" s="171">
        <v>5</v>
      </c>
      <c r="AC132" s="171" t="s">
        <v>409</v>
      </c>
      <c r="AD132" s="171">
        <v>1</v>
      </c>
      <c r="AE132" s="171">
        <v>2</v>
      </c>
      <c r="AF132" s="171">
        <v>3</v>
      </c>
      <c r="AG132" s="171">
        <v>4</v>
      </c>
      <c r="AH132" s="171">
        <v>5</v>
      </c>
      <c r="AJ132" s="171" t="s">
        <v>417</v>
      </c>
      <c r="AK132" s="171">
        <v>1</v>
      </c>
      <c r="AL132" s="171">
        <v>2</v>
      </c>
      <c r="AM132" s="171">
        <v>3</v>
      </c>
      <c r="AN132" s="171">
        <v>4</v>
      </c>
      <c r="AO132" s="171">
        <v>5</v>
      </c>
    </row>
    <row r="133" spans="1:41" hidden="1" x14ac:dyDescent="0.2">
      <c r="A133" s="172" t="str">
        <f>INDEX(B133:F133,,$A$4) &amp; $G133</f>
        <v>BS-P: Persistent situation</v>
      </c>
      <c r="B133" s="267" t="str">
        <f>'StB-Werte'!B133</f>
        <v>LF 1</v>
      </c>
      <c r="C133" s="267" t="str">
        <f>'StB-Werte'!C133</f>
        <v>LF 1</v>
      </c>
      <c r="D133" s="267" t="str">
        <f>'StB-Werte'!D133</f>
        <v>BS-P</v>
      </c>
      <c r="E133" s="267" t="str">
        <f>'StB-Werte'!E133</f>
        <v>BS-P</v>
      </c>
      <c r="F133" s="256" t="str">
        <f>'StB-Werte'!F133</f>
        <v/>
      </c>
      <c r="G133" s="268" t="str">
        <f>'StB-Werte'!G133</f>
        <v>: Persistent situation</v>
      </c>
      <c r="H133" s="217" t="str">
        <f>INDEX(I133:M133,,$A$4)</f>
        <v>permanent</v>
      </c>
      <c r="I133" s="251" t="str">
        <f>'StB-Werte'!I133</f>
        <v/>
      </c>
      <c r="J133" s="251" t="str">
        <f>'StB-Werte'!J133</f>
        <v>permanent</v>
      </c>
      <c r="K133" s="251" t="str">
        <f>'StB-Werte'!K133</f>
        <v>permanent</v>
      </c>
      <c r="L133" s="251" t="str">
        <f>'StB-Werte'!L133</f>
        <v>permanent</v>
      </c>
      <c r="M133" s="251" t="str">
        <f>'StB-Werte'!M133</f>
        <v/>
      </c>
      <c r="O133" s="176">
        <f>INDEX(P133:T133,,$A$4)</f>
        <v>1.35</v>
      </c>
      <c r="P133" s="275" t="str">
        <f>'StB-Werte'!P133</f>
        <v/>
      </c>
      <c r="Q133" s="275">
        <f>'StB-Werte'!Q133</f>
        <v>1.35</v>
      </c>
      <c r="R133" s="275">
        <f>'StB-Werte'!R133</f>
        <v>1.35</v>
      </c>
      <c r="S133" s="275">
        <f>'StB-Werte'!S133</f>
        <v>1.35</v>
      </c>
      <c r="T133" s="275" t="str">
        <f>'StB-Werte'!T133</f>
        <v/>
      </c>
      <c r="V133" s="176">
        <f>INDEX(W133:AA133,,$A$4)</f>
        <v>1.5</v>
      </c>
      <c r="W133" s="275" t="str">
        <f>'StB-Werte'!W133</f>
        <v/>
      </c>
      <c r="X133" s="275">
        <f>'StB-Werte'!X133</f>
        <v>1.5</v>
      </c>
      <c r="Y133" s="275">
        <f>'StB-Werte'!Y133</f>
        <v>1.5</v>
      </c>
      <c r="Z133" s="275">
        <f>'StB-Werte'!Z133</f>
        <v>1.5</v>
      </c>
      <c r="AA133" s="275" t="str">
        <f>'StB-Werte'!AA133</f>
        <v/>
      </c>
      <c r="AC133" s="176">
        <f>INDEX(AD133:AH133,,$A$4)</f>
        <v>1.5</v>
      </c>
      <c r="AD133" s="275">
        <f>'StB-Werte'!AD133</f>
        <v>1.75</v>
      </c>
      <c r="AE133" s="275">
        <f>'StB-Werte'!AE133</f>
        <v>1.5</v>
      </c>
      <c r="AF133" s="275">
        <f>'StB-Werte'!AF133</f>
        <v>1.5</v>
      </c>
      <c r="AG133" s="275">
        <f>'StB-Werte'!AG133</f>
        <v>1.5</v>
      </c>
      <c r="AH133" s="275" t="str">
        <f>'StB-Werte'!AH133</f>
        <v/>
      </c>
      <c r="AJ133" s="176">
        <f>INDEX(AK133:AO133,,$A$4)</f>
        <v>1.1499999999999999</v>
      </c>
      <c r="AK133" s="275">
        <f>'StB-Werte'!AK133</f>
        <v>1.75</v>
      </c>
      <c r="AL133" s="275">
        <f>'StB-Werte'!AL133</f>
        <v>1.1499999999999999</v>
      </c>
      <c r="AM133" s="275">
        <f>'StB-Werte'!AM133</f>
        <v>1.1499999999999999</v>
      </c>
      <c r="AN133" s="275">
        <f>'StB-Werte'!AN133</f>
        <v>1.1499999999999999</v>
      </c>
      <c r="AO133" s="275" t="str">
        <f>'StB-Werte'!AO133</f>
        <v/>
      </c>
    </row>
    <row r="134" spans="1:41" hidden="1" x14ac:dyDescent="0.2">
      <c r="A134" s="173" t="str">
        <f>INDEX(B134:F134,,$A$4) &amp; $G134</f>
        <v>BS-T: Transient situation</v>
      </c>
      <c r="B134" s="269" t="str">
        <f>'StB-Werte'!B134</f>
        <v>LF 2</v>
      </c>
      <c r="C134" s="269" t="str">
        <f>'StB-Werte'!C134</f>
        <v>LF 2</v>
      </c>
      <c r="D134" s="269" t="str">
        <f>'StB-Werte'!D134</f>
        <v>BS-T</v>
      </c>
      <c r="E134" s="269" t="str">
        <f>'StB-Werte'!E134</f>
        <v>BS-T</v>
      </c>
      <c r="F134" s="257" t="str">
        <f>'StB-Werte'!F134</f>
        <v/>
      </c>
      <c r="G134" s="268" t="str">
        <f>'StB-Werte'!G134</f>
        <v>: Transient situation</v>
      </c>
      <c r="H134" s="150" t="str">
        <f>INDEX(I134:M134,,$A$4)</f>
        <v>transient</v>
      </c>
      <c r="I134" s="252" t="str">
        <f>'StB-Werte'!I134</f>
        <v/>
      </c>
      <c r="J134" s="252" t="str">
        <f>'StB-Werte'!J134</f>
        <v>transient</v>
      </c>
      <c r="K134" s="252" t="str">
        <f>'StB-Werte'!K134</f>
        <v>transient</v>
      </c>
      <c r="L134" s="252" t="str">
        <f>'StB-Werte'!L134</f>
        <v>transient</v>
      </c>
      <c r="M134" s="252" t="str">
        <f>'StB-Werte'!M134</f>
        <v/>
      </c>
      <c r="O134" s="177">
        <f>INDEX(P134:T134,,$A$4)</f>
        <v>1.2</v>
      </c>
      <c r="P134" s="276" t="str">
        <f>'StB-Werte'!P134</f>
        <v/>
      </c>
      <c r="Q134" s="276">
        <f>'StB-Werte'!Q134</f>
        <v>1.2</v>
      </c>
      <c r="R134" s="276">
        <f>'StB-Werte'!R134</f>
        <v>1.2</v>
      </c>
      <c r="S134" s="276">
        <f>'StB-Werte'!S134</f>
        <v>1.2</v>
      </c>
      <c r="T134" s="276" t="str">
        <f>'StB-Werte'!T134</f>
        <v/>
      </c>
      <c r="V134" s="177">
        <f>INDEX(W134:AA134,,$A$4)</f>
        <v>1.3</v>
      </c>
      <c r="W134" s="276" t="str">
        <f>'StB-Werte'!W134</f>
        <v/>
      </c>
      <c r="X134" s="276">
        <f>'StB-Werte'!X134</f>
        <v>1.3</v>
      </c>
      <c r="Y134" s="276">
        <f>'StB-Werte'!Y134</f>
        <v>1.3</v>
      </c>
      <c r="Z134" s="276">
        <f>'StB-Werte'!Z134</f>
        <v>1.3</v>
      </c>
      <c r="AA134" s="276" t="str">
        <f>'StB-Werte'!AA134</f>
        <v/>
      </c>
      <c r="AC134" s="177">
        <f>INDEX(AD134:AH134,,$A$4)</f>
        <v>1.5</v>
      </c>
      <c r="AD134" s="276">
        <f>'StB-Werte'!AD134</f>
        <v>1.75</v>
      </c>
      <c r="AE134" s="276">
        <f>'StB-Werte'!AE134</f>
        <v>1.5</v>
      </c>
      <c r="AF134" s="276">
        <f>'StB-Werte'!AF134</f>
        <v>1.5</v>
      </c>
      <c r="AG134" s="276">
        <f>'StB-Werte'!AG134</f>
        <v>1.5</v>
      </c>
      <c r="AH134" s="276" t="str">
        <f>'StB-Werte'!AH134</f>
        <v/>
      </c>
      <c r="AJ134" s="177">
        <f>INDEX(AK134:AO134,,$A$4)</f>
        <v>1.1499999999999999</v>
      </c>
      <c r="AK134" s="276">
        <f>'StB-Werte'!AK134</f>
        <v>1.75</v>
      </c>
      <c r="AL134" s="276">
        <f>'StB-Werte'!AL134</f>
        <v>1.1499999999999999</v>
      </c>
      <c r="AM134" s="276">
        <f>'StB-Werte'!AM134</f>
        <v>1.1499999999999999</v>
      </c>
      <c r="AN134" s="276">
        <f>'StB-Werte'!AN134</f>
        <v>1.1499999999999999</v>
      </c>
      <c r="AO134" s="276" t="str">
        <f>'StB-Werte'!AO134</f>
        <v/>
      </c>
    </row>
    <row r="135" spans="1:41" hidden="1" x14ac:dyDescent="0.2">
      <c r="A135" s="173" t="str">
        <f>INDEX(B135:F135,,$A$4) &amp; $G135</f>
        <v>BS-A: Accidential situation</v>
      </c>
      <c r="B135" s="269" t="str">
        <f>'StB-Werte'!B135</f>
        <v>LF 3</v>
      </c>
      <c r="C135" s="269" t="str">
        <f>'StB-Werte'!C135</f>
        <v>LF 3</v>
      </c>
      <c r="D135" s="269" t="str">
        <f>'StB-Werte'!D135</f>
        <v>BS-A</v>
      </c>
      <c r="E135" s="269" t="str">
        <f>'StB-Werte'!E135</f>
        <v>BS-A</v>
      </c>
      <c r="F135" s="257" t="str">
        <f>'StB-Werte'!F135</f>
        <v/>
      </c>
      <c r="G135" s="268" t="str">
        <f>'StB-Werte'!G135</f>
        <v>: Accidential situation</v>
      </c>
      <c r="H135" s="150" t="str">
        <f>INDEX(I135:M135,,$A$4)</f>
        <v>γ_c   [1]</v>
      </c>
      <c r="I135" s="252" t="str">
        <f>'StB-Werte'!I135</f>
        <v>γ   [1]</v>
      </c>
      <c r="J135" s="252" t="str">
        <f>'StB-Werte'!J135</f>
        <v>γ_c   [1]</v>
      </c>
      <c r="K135" s="252" t="str">
        <f>'StB-Werte'!K135</f>
        <v>γ_c   [1]</v>
      </c>
      <c r="L135" s="252" t="str">
        <f>'StB-Werte'!L135</f>
        <v>γ_c   [1]</v>
      </c>
      <c r="M135" s="252" t="str">
        <f>'StB-Werte'!M135</f>
        <v/>
      </c>
      <c r="O135" s="177">
        <f>INDEX(P135:T135,,$A$4)</f>
        <v>1.1000000000000001</v>
      </c>
      <c r="P135" s="276" t="str">
        <f>'StB-Werte'!P135</f>
        <v/>
      </c>
      <c r="Q135" s="276">
        <f>'StB-Werte'!Q135</f>
        <v>1.1000000000000001</v>
      </c>
      <c r="R135" s="276">
        <f>'StB-Werte'!R135</f>
        <v>1.1000000000000001</v>
      </c>
      <c r="S135" s="276">
        <f>'StB-Werte'!S135</f>
        <v>1.1000000000000001</v>
      </c>
      <c r="T135" s="276" t="str">
        <f>'StB-Werte'!T135</f>
        <v/>
      </c>
      <c r="V135" s="177">
        <f>INDEX(W135:AA135,,$A$4)</f>
        <v>1.1000000000000001</v>
      </c>
      <c r="W135" s="276" t="str">
        <f>'StB-Werte'!W135</f>
        <v/>
      </c>
      <c r="X135" s="276">
        <f>'StB-Werte'!X135</f>
        <v>1.1000000000000001</v>
      </c>
      <c r="Y135" s="276">
        <f>'StB-Werte'!Y135</f>
        <v>1.1000000000000001</v>
      </c>
      <c r="Z135" s="276">
        <f>'StB-Werte'!Z135</f>
        <v>1.1000000000000001</v>
      </c>
      <c r="AA135" s="276" t="str">
        <f>'StB-Werte'!AA135</f>
        <v/>
      </c>
      <c r="AC135" s="177">
        <f>INDEX(AD135:AH135,,$A$4)</f>
        <v>1.3</v>
      </c>
      <c r="AD135" s="276">
        <f>'StB-Werte'!AD135</f>
        <v>1.3</v>
      </c>
      <c r="AE135" s="276">
        <f>'StB-Werte'!AE135</f>
        <v>1.3</v>
      </c>
      <c r="AF135" s="276">
        <f>'StB-Werte'!AF135</f>
        <v>1.2</v>
      </c>
      <c r="AG135" s="276">
        <f>'StB-Werte'!AG135</f>
        <v>1.3</v>
      </c>
      <c r="AH135" s="276" t="str">
        <f>'StB-Werte'!AH135</f>
        <v/>
      </c>
      <c r="AJ135" s="177">
        <f>INDEX(AK135:AO135,,$A$4)</f>
        <v>1</v>
      </c>
      <c r="AK135" s="276">
        <f>'StB-Werte'!AK135</f>
        <v>1.3</v>
      </c>
      <c r="AL135" s="276">
        <f>'StB-Werte'!AL135</f>
        <v>1</v>
      </c>
      <c r="AM135" s="276">
        <f>'StB-Werte'!AM135</f>
        <v>1</v>
      </c>
      <c r="AN135" s="276">
        <f>'StB-Werte'!AN135</f>
        <v>1</v>
      </c>
      <c r="AO135" s="276" t="str">
        <f>'StB-Werte'!AO135</f>
        <v/>
      </c>
    </row>
    <row r="136" spans="1:41" hidden="1" x14ac:dyDescent="0.2">
      <c r="A136" s="174" t="str">
        <f>INDEX(B136:F136,,$A$4) &amp; $G136</f>
        <v>BS-E: Seismic action</v>
      </c>
      <c r="B136" s="270" t="str">
        <f>'StB-Werte'!B136</f>
        <v>LF 3</v>
      </c>
      <c r="C136" s="270" t="str">
        <f>'StB-Werte'!C136</f>
        <v>LF 3</v>
      </c>
      <c r="D136" s="270" t="str">
        <f>'StB-Werte'!D136</f>
        <v>BS-E</v>
      </c>
      <c r="E136" s="270" t="str">
        <f>'StB-Werte'!E136</f>
        <v>BS-E</v>
      </c>
      <c r="F136" s="260" t="str">
        <f>'StB-Werte'!F136</f>
        <v/>
      </c>
      <c r="G136" s="268" t="str">
        <f>'StB-Werte'!G136</f>
        <v>: Seismic action</v>
      </c>
      <c r="H136" s="105" t="str">
        <f>INDEX(I136:M136,,$A$4)</f>
        <v>γ_s   [1]</v>
      </c>
      <c r="I136" s="253" t="str">
        <f>'StB-Werte'!I136</f>
        <v/>
      </c>
      <c r="J136" s="253" t="str">
        <f>'StB-Werte'!J136</f>
        <v>γ_s   [1]</v>
      </c>
      <c r="K136" s="253" t="str">
        <f>'StB-Werte'!K136</f>
        <v>γ_s   [1]</v>
      </c>
      <c r="L136" s="253" t="str">
        <f>'StB-Werte'!L136</f>
        <v>γ_s   [1]</v>
      </c>
      <c r="M136" s="253" t="str">
        <f>'StB-Werte'!M136</f>
        <v/>
      </c>
      <c r="O136" s="178">
        <f>INDEX(P136:T136,,$A$4)</f>
        <v>1</v>
      </c>
      <c r="P136" s="277" t="str">
        <f>'StB-Werte'!P136</f>
        <v/>
      </c>
      <c r="Q136" s="277">
        <f>'StB-Werte'!Q136</f>
        <v>1.1000000000000001</v>
      </c>
      <c r="R136" s="277">
        <f>'StB-Werte'!R136</f>
        <v>1</v>
      </c>
      <c r="S136" s="277">
        <f>'StB-Werte'!S136</f>
        <v>1</v>
      </c>
      <c r="T136" s="277" t="str">
        <f>'StB-Werte'!T136</f>
        <v/>
      </c>
      <c r="V136" s="178">
        <f>INDEX(W136:AA136,,$A$4)</f>
        <v>1</v>
      </c>
      <c r="W136" s="277" t="str">
        <f>'StB-Werte'!W136</f>
        <v/>
      </c>
      <c r="X136" s="277">
        <f>'StB-Werte'!X136</f>
        <v>1.1000000000000001</v>
      </c>
      <c r="Y136" s="277">
        <f>'StB-Werte'!Y136</f>
        <v>1</v>
      </c>
      <c r="Z136" s="277">
        <f>'StB-Werte'!Z136</f>
        <v>1</v>
      </c>
      <c r="AA136" s="277" t="str">
        <f>'StB-Werte'!AA136</f>
        <v/>
      </c>
      <c r="AC136" s="178">
        <f>INDEX(AD136:AH136,,$A$4)</f>
        <v>1.3</v>
      </c>
      <c r="AD136" s="277">
        <f>'StB-Werte'!AD136</f>
        <v>1.3</v>
      </c>
      <c r="AE136" s="277">
        <f>'StB-Werte'!AE136</f>
        <v>1.3</v>
      </c>
      <c r="AF136" s="277">
        <f>'StB-Werte'!AF136</f>
        <v>1.2</v>
      </c>
      <c r="AG136" s="277">
        <f>'StB-Werte'!AG136</f>
        <v>1.3</v>
      </c>
      <c r="AH136" s="277" t="str">
        <f>'StB-Werte'!AH136</f>
        <v/>
      </c>
      <c r="AJ136" s="178">
        <f>INDEX(AK136:AO136,,$A$4)</f>
        <v>1</v>
      </c>
      <c r="AK136" s="277">
        <f>'StB-Werte'!AK136</f>
        <v>1.3</v>
      </c>
      <c r="AL136" s="277">
        <f>'StB-Werte'!AL136</f>
        <v>1</v>
      </c>
      <c r="AM136" s="277">
        <f>'StB-Werte'!AM136</f>
        <v>1</v>
      </c>
      <c r="AN136" s="277">
        <f>'StB-Werte'!AN136</f>
        <v>1</v>
      </c>
      <c r="AO136" s="277" t="str">
        <f>'StB-Werte'!AO136</f>
        <v/>
      </c>
    </row>
    <row r="137" spans="1:41" hidden="1" x14ac:dyDescent="0.2"/>
    <row r="138" spans="1:41" hidden="1" x14ac:dyDescent="0.2">
      <c r="A138" s="213" t="s">
        <v>623</v>
      </c>
      <c r="C138" s="213" t="s">
        <v>689</v>
      </c>
      <c r="D138" s="213" t="s">
        <v>622</v>
      </c>
      <c r="E138" s="213" t="s">
        <v>623</v>
      </c>
      <c r="F138" s="213" t="s">
        <v>621</v>
      </c>
      <c r="G138" s="228">
        <v>0.4</v>
      </c>
      <c r="H138" s="228">
        <v>0.3</v>
      </c>
      <c r="I138" s="228">
        <v>0.2</v>
      </c>
      <c r="K138" s="213">
        <v>3</v>
      </c>
      <c r="L138" s="213" t="s">
        <v>622</v>
      </c>
      <c r="M138" s="213" t="s">
        <v>623</v>
      </c>
      <c r="N138" s="213" t="s">
        <v>621</v>
      </c>
      <c r="O138" s="228">
        <v>0.4</v>
      </c>
      <c r="P138" s="228">
        <v>0.3</v>
      </c>
      <c r="Q138" s="228">
        <v>0.2</v>
      </c>
      <c r="S138" s="213">
        <v>4</v>
      </c>
      <c r="T138" s="213" t="s">
        <v>622</v>
      </c>
      <c r="U138" s="213" t="s">
        <v>623</v>
      </c>
      <c r="V138" s="213" t="s">
        <v>621</v>
      </c>
      <c r="W138" s="228">
        <v>0.4</v>
      </c>
      <c r="X138" s="228">
        <v>0.3</v>
      </c>
      <c r="Y138" s="228">
        <v>0.2</v>
      </c>
    </row>
    <row r="139" spans="1:41" hidden="1" x14ac:dyDescent="0.2">
      <c r="A139" s="236">
        <f>IF(OR($A$4=1,$A$4=2),C139,IF($A$4=3,K139,S139))</f>
        <v>450</v>
      </c>
      <c r="C139" s="243">
        <f>ROUND(fInterSig(E139:E146,F139:F146,D139,8),0)</f>
        <v>450</v>
      </c>
      <c r="D139" s="244">
        <f>$G$20</f>
        <v>0</v>
      </c>
      <c r="E139" s="271">
        <f>'StB-Werte'!E139</f>
        <v>160</v>
      </c>
      <c r="F139" s="242">
        <f>INDEX(G139:I139,,$G$17-1)</f>
        <v>42</v>
      </c>
      <c r="G139" s="251">
        <f>'StB-Werte'!G139</f>
        <v>56</v>
      </c>
      <c r="H139" s="251">
        <f>'StB-Werte'!H139</f>
        <v>42</v>
      </c>
      <c r="I139" s="251">
        <f>'StB-Werte'!I139</f>
        <v>28</v>
      </c>
      <c r="K139" s="243">
        <f>ROUND(fInterSig(M139:M146,N139:N146,L139,8),0)</f>
        <v>450</v>
      </c>
      <c r="L139" s="244">
        <f>$G$20</f>
        <v>0</v>
      </c>
      <c r="M139" s="271">
        <f>'StB-Werte'!M139</f>
        <v>160</v>
      </c>
      <c r="N139" s="242">
        <f>INDEX(O139:Q139,,$G$17-1)</f>
        <v>32</v>
      </c>
      <c r="O139" s="251">
        <f>'StB-Werte'!O139</f>
        <v>40</v>
      </c>
      <c r="P139" s="251">
        <f>'StB-Werte'!P139</f>
        <v>32</v>
      </c>
      <c r="Q139" s="251">
        <f>'StB-Werte'!Q139</f>
        <v>25</v>
      </c>
      <c r="S139" s="243">
        <f>ROUND(fInterSig(U139:U151,V139:V151,T139,13),0)</f>
        <v>450</v>
      </c>
      <c r="T139" s="244">
        <f>$G$20</f>
        <v>0</v>
      </c>
      <c r="U139" s="271">
        <f>'StB-Werte'!U139</f>
        <v>160</v>
      </c>
      <c r="V139" s="242">
        <f t="shared" ref="V139:V151" si="12">INDEX(W139:Y139,,$G$17-1)</f>
        <v>41</v>
      </c>
      <c r="W139" s="251">
        <f>'StB-Werte'!W139</f>
        <v>54</v>
      </c>
      <c r="X139" s="251">
        <f>'StB-Werte'!X139</f>
        <v>41</v>
      </c>
      <c r="Y139" s="251">
        <f>'StB-Werte'!Y139</f>
        <v>27</v>
      </c>
    </row>
    <row r="140" spans="1:41" hidden="1" x14ac:dyDescent="0.2">
      <c r="E140" s="272">
        <f>'StB-Werte'!E140</f>
        <v>200</v>
      </c>
      <c r="F140" s="150">
        <f t="shared" ref="F140:F146" si="13">INDEX(G140:I140,,$G$17-1)</f>
        <v>27</v>
      </c>
      <c r="G140" s="252">
        <f>'StB-Werte'!G140</f>
        <v>36</v>
      </c>
      <c r="H140" s="252">
        <f>'StB-Werte'!H140</f>
        <v>27</v>
      </c>
      <c r="I140" s="252">
        <f>'StB-Werte'!I140</f>
        <v>18</v>
      </c>
      <c r="M140" s="272">
        <f>'StB-Werte'!M140</f>
        <v>200</v>
      </c>
      <c r="N140" s="150">
        <f t="shared" ref="N140:N146" si="14">INDEX(O140:Q140,,$G$17-1)</f>
        <v>25</v>
      </c>
      <c r="O140" s="252">
        <f>'StB-Werte'!O140</f>
        <v>32</v>
      </c>
      <c r="P140" s="252">
        <f>'StB-Werte'!P140</f>
        <v>25</v>
      </c>
      <c r="Q140" s="252">
        <f>'StB-Werte'!Q140</f>
        <v>16</v>
      </c>
      <c r="U140" s="272">
        <f>'StB-Werte'!U140</f>
        <v>180</v>
      </c>
      <c r="V140" s="150">
        <f t="shared" si="12"/>
        <v>32</v>
      </c>
      <c r="W140" s="252">
        <f>'StB-Werte'!W140</f>
        <v>43</v>
      </c>
      <c r="X140" s="252">
        <f>'StB-Werte'!X140</f>
        <v>32</v>
      </c>
      <c r="Y140" s="252">
        <f>'StB-Werte'!Y140</f>
        <v>21</v>
      </c>
    </row>
    <row r="141" spans="1:41" hidden="1" x14ac:dyDescent="0.2">
      <c r="E141" s="272">
        <f>'StB-Werte'!E141</f>
        <v>240</v>
      </c>
      <c r="F141" s="150">
        <f t="shared" si="13"/>
        <v>19</v>
      </c>
      <c r="G141" s="252">
        <f>'StB-Werte'!G141</f>
        <v>25</v>
      </c>
      <c r="H141" s="252">
        <f>'StB-Werte'!H141</f>
        <v>19</v>
      </c>
      <c r="I141" s="252">
        <f>'StB-Werte'!I141</f>
        <v>13</v>
      </c>
      <c r="M141" s="272">
        <f>'StB-Werte'!M141</f>
        <v>240</v>
      </c>
      <c r="N141" s="150">
        <f t="shared" si="14"/>
        <v>16</v>
      </c>
      <c r="O141" s="252">
        <f>'StB-Werte'!O141</f>
        <v>20</v>
      </c>
      <c r="P141" s="252">
        <f>'StB-Werte'!P141</f>
        <v>16</v>
      </c>
      <c r="Q141" s="252">
        <f>'StB-Werte'!Q141</f>
        <v>12</v>
      </c>
      <c r="U141" s="272">
        <f>'StB-Werte'!U141</f>
        <v>200</v>
      </c>
      <c r="V141" s="150">
        <f t="shared" si="12"/>
        <v>26</v>
      </c>
      <c r="W141" s="252">
        <f>'StB-Werte'!W141</f>
        <v>35</v>
      </c>
      <c r="X141" s="252">
        <f>'StB-Werte'!X141</f>
        <v>26</v>
      </c>
      <c r="Y141" s="252">
        <f>'StB-Werte'!Y141</f>
        <v>17</v>
      </c>
    </row>
    <row r="142" spans="1:41" hidden="1" x14ac:dyDescent="0.2">
      <c r="E142" s="272">
        <f>'StB-Werte'!E142</f>
        <v>280</v>
      </c>
      <c r="F142" s="150">
        <f t="shared" si="13"/>
        <v>14</v>
      </c>
      <c r="G142" s="252">
        <f>'StB-Werte'!G142</f>
        <v>18</v>
      </c>
      <c r="H142" s="252">
        <f>'StB-Werte'!H142</f>
        <v>14</v>
      </c>
      <c r="I142" s="252">
        <f>'StB-Werte'!I142</f>
        <v>9</v>
      </c>
      <c r="M142" s="272">
        <f>'StB-Werte'!M142</f>
        <v>280</v>
      </c>
      <c r="N142" s="150">
        <f t="shared" si="14"/>
        <v>12</v>
      </c>
      <c r="O142" s="252">
        <f>'StB-Werte'!O142</f>
        <v>16</v>
      </c>
      <c r="P142" s="252">
        <f>'StB-Werte'!P142</f>
        <v>12</v>
      </c>
      <c r="Q142" s="252">
        <f>'StB-Werte'!Q142</f>
        <v>8</v>
      </c>
      <c r="U142" s="272">
        <f>'StB-Werte'!U142</f>
        <v>220</v>
      </c>
      <c r="V142" s="150">
        <f t="shared" si="12"/>
        <v>22</v>
      </c>
      <c r="W142" s="252">
        <f>'StB-Werte'!W142</f>
        <v>29</v>
      </c>
      <c r="X142" s="252">
        <f>'StB-Werte'!X142</f>
        <v>22</v>
      </c>
      <c r="Y142" s="252">
        <f>'StB-Werte'!Y142</f>
        <v>14</v>
      </c>
    </row>
    <row r="143" spans="1:41" hidden="1" x14ac:dyDescent="0.2">
      <c r="E143" s="272">
        <f>'StB-Werte'!E143</f>
        <v>320</v>
      </c>
      <c r="F143" s="150">
        <f t="shared" si="13"/>
        <v>11</v>
      </c>
      <c r="G143" s="252">
        <f>'StB-Werte'!G143</f>
        <v>14</v>
      </c>
      <c r="H143" s="252">
        <f>'StB-Werte'!H143</f>
        <v>11</v>
      </c>
      <c r="I143" s="252">
        <f>'StB-Werte'!I143</f>
        <v>7</v>
      </c>
      <c r="M143" s="272">
        <f>'StB-Werte'!M143</f>
        <v>320</v>
      </c>
      <c r="N143" s="150">
        <f t="shared" si="14"/>
        <v>10</v>
      </c>
      <c r="O143" s="252">
        <f>'StB-Werte'!O143</f>
        <v>12</v>
      </c>
      <c r="P143" s="252">
        <f>'StB-Werte'!P143</f>
        <v>10</v>
      </c>
      <c r="Q143" s="252">
        <f>'StB-Werte'!Q143</f>
        <v>6</v>
      </c>
      <c r="U143" s="272">
        <f>'StB-Werte'!U143</f>
        <v>240</v>
      </c>
      <c r="V143" s="150">
        <f t="shared" si="12"/>
        <v>18</v>
      </c>
      <c r="W143" s="252">
        <f>'StB-Werte'!W143</f>
        <v>24</v>
      </c>
      <c r="X143" s="252">
        <f>'StB-Werte'!X143</f>
        <v>18</v>
      </c>
      <c r="Y143" s="252">
        <f>'StB-Werte'!Y143</f>
        <v>12</v>
      </c>
    </row>
    <row r="144" spans="1:41" hidden="1" x14ac:dyDescent="0.2">
      <c r="E144" s="272">
        <f>'StB-Werte'!E144</f>
        <v>360</v>
      </c>
      <c r="F144" s="150">
        <f t="shared" si="13"/>
        <v>8</v>
      </c>
      <c r="G144" s="252">
        <f>'StB-Werte'!G144</f>
        <v>11</v>
      </c>
      <c r="H144" s="252">
        <f>'StB-Werte'!H144</f>
        <v>8</v>
      </c>
      <c r="I144" s="252">
        <f>'StB-Werte'!I144</f>
        <v>6</v>
      </c>
      <c r="M144" s="272">
        <f>'StB-Werte'!M144</f>
        <v>360</v>
      </c>
      <c r="N144" s="150">
        <f t="shared" si="14"/>
        <v>8</v>
      </c>
      <c r="O144" s="252">
        <f>'StB-Werte'!O144</f>
        <v>10</v>
      </c>
      <c r="P144" s="252">
        <f>'StB-Werte'!P144</f>
        <v>8</v>
      </c>
      <c r="Q144" s="252">
        <f>'StB-Werte'!Q144</f>
        <v>5</v>
      </c>
      <c r="U144" s="272">
        <f>'StB-Werte'!U144</f>
        <v>260</v>
      </c>
      <c r="V144" s="150">
        <f t="shared" si="12"/>
        <v>15</v>
      </c>
      <c r="W144" s="252">
        <f>'StB-Werte'!W144</f>
        <v>21</v>
      </c>
      <c r="X144" s="252">
        <f>'StB-Werte'!X144</f>
        <v>15</v>
      </c>
      <c r="Y144" s="252">
        <f>'StB-Werte'!Y144</f>
        <v>10</v>
      </c>
    </row>
    <row r="145" spans="1:25" hidden="1" x14ac:dyDescent="0.2">
      <c r="E145" s="252">
        <f>'StB-Werte'!E145</f>
        <v>400</v>
      </c>
      <c r="F145" s="150">
        <f t="shared" si="13"/>
        <v>7</v>
      </c>
      <c r="G145" s="252">
        <f>'StB-Werte'!G145</f>
        <v>9</v>
      </c>
      <c r="H145" s="252">
        <f>'StB-Werte'!H145</f>
        <v>7</v>
      </c>
      <c r="I145" s="252">
        <f>'StB-Werte'!I145</f>
        <v>5</v>
      </c>
      <c r="M145" s="252">
        <f>'StB-Werte'!M145</f>
        <v>400</v>
      </c>
      <c r="N145" s="150">
        <f t="shared" si="14"/>
        <v>6</v>
      </c>
      <c r="O145" s="252">
        <f>'StB-Werte'!O145</f>
        <v>8</v>
      </c>
      <c r="P145" s="252">
        <f>'StB-Werte'!P145</f>
        <v>6</v>
      </c>
      <c r="Q145" s="252">
        <f>'StB-Werte'!Q145</f>
        <v>4</v>
      </c>
      <c r="U145" s="252">
        <f>'StB-Werte'!U145</f>
        <v>280</v>
      </c>
      <c r="V145" s="150">
        <f t="shared" si="12"/>
        <v>13</v>
      </c>
      <c r="W145" s="252">
        <f>'StB-Werte'!W145</f>
        <v>18</v>
      </c>
      <c r="X145" s="252">
        <f>'StB-Werte'!X145</f>
        <v>13</v>
      </c>
      <c r="Y145" s="252">
        <f>'StB-Werte'!Y145</f>
        <v>9</v>
      </c>
    </row>
    <row r="146" spans="1:25" hidden="1" x14ac:dyDescent="0.2">
      <c r="E146" s="253">
        <f>'StB-Werte'!E146</f>
        <v>450</v>
      </c>
      <c r="F146" s="105">
        <f t="shared" si="13"/>
        <v>5</v>
      </c>
      <c r="G146" s="253">
        <f>'StB-Werte'!G146</f>
        <v>7</v>
      </c>
      <c r="H146" s="253">
        <f>'StB-Werte'!H146</f>
        <v>5</v>
      </c>
      <c r="I146" s="253">
        <f>'StB-Werte'!I146</f>
        <v>4</v>
      </c>
      <c r="M146" s="253">
        <f>'StB-Werte'!M146</f>
        <v>450</v>
      </c>
      <c r="N146" s="105">
        <f t="shared" si="14"/>
        <v>5</v>
      </c>
      <c r="O146" s="253">
        <f>'StB-Werte'!O146</f>
        <v>6</v>
      </c>
      <c r="P146" s="253">
        <f>'StB-Werte'!P146</f>
        <v>5</v>
      </c>
      <c r="Q146" s="253" t="str">
        <f>'StB-Werte'!Q146</f>
        <v/>
      </c>
      <c r="U146" s="252">
        <f>'StB-Werte'!U146</f>
        <v>300</v>
      </c>
      <c r="V146" s="150">
        <f t="shared" si="12"/>
        <v>12</v>
      </c>
      <c r="W146" s="252">
        <f>'StB-Werte'!W146</f>
        <v>15</v>
      </c>
      <c r="X146" s="252">
        <f>'StB-Werte'!X146</f>
        <v>12</v>
      </c>
      <c r="Y146" s="252">
        <f>'StB-Werte'!Y146</f>
        <v>8</v>
      </c>
    </row>
    <row r="147" spans="1:25" hidden="1" x14ac:dyDescent="0.2">
      <c r="U147" s="252">
        <f>'StB-Werte'!U147</f>
        <v>320</v>
      </c>
      <c r="V147" s="150">
        <f t="shared" si="12"/>
        <v>10</v>
      </c>
      <c r="W147" s="252">
        <f>'StB-Werte'!W147</f>
        <v>14</v>
      </c>
      <c r="X147" s="252">
        <f>'StB-Werte'!X147</f>
        <v>10</v>
      </c>
      <c r="Y147" s="252">
        <f>'StB-Werte'!Y147</f>
        <v>7</v>
      </c>
    </row>
    <row r="148" spans="1:25" hidden="1" x14ac:dyDescent="0.2">
      <c r="U148" s="252">
        <f>'StB-Werte'!U148</f>
        <v>340</v>
      </c>
      <c r="V148" s="150">
        <f t="shared" si="12"/>
        <v>9</v>
      </c>
      <c r="W148" s="252">
        <f>'StB-Werte'!W148</f>
        <v>12</v>
      </c>
      <c r="X148" s="252">
        <f>'StB-Werte'!X148</f>
        <v>9</v>
      </c>
      <c r="Y148" s="252">
        <f>'StB-Werte'!Y148</f>
        <v>6</v>
      </c>
    </row>
    <row r="149" spans="1:25" hidden="1" x14ac:dyDescent="0.2">
      <c r="U149" s="252">
        <f>'StB-Werte'!U149</f>
        <v>360</v>
      </c>
      <c r="V149" s="150">
        <f t="shared" si="12"/>
        <v>8</v>
      </c>
      <c r="W149" s="252">
        <f>'StB-Werte'!W149</f>
        <v>11</v>
      </c>
      <c r="X149" s="252">
        <f>'StB-Werte'!X149</f>
        <v>8</v>
      </c>
      <c r="Y149" s="252">
        <f>'StB-Werte'!Y149</f>
        <v>5</v>
      </c>
    </row>
    <row r="150" spans="1:25" hidden="1" x14ac:dyDescent="0.2">
      <c r="U150" s="252">
        <f>'StB-Werte'!U150</f>
        <v>400</v>
      </c>
      <c r="V150" s="150">
        <f t="shared" si="12"/>
        <v>7</v>
      </c>
      <c r="W150" s="252">
        <f>'StB-Werte'!W150</f>
        <v>9</v>
      </c>
      <c r="X150" s="252">
        <f>'StB-Werte'!X150</f>
        <v>7</v>
      </c>
      <c r="Y150" s="252">
        <f>'StB-Werte'!Y150</f>
        <v>4</v>
      </c>
    </row>
    <row r="151" spans="1:25" hidden="1" x14ac:dyDescent="0.2">
      <c r="U151" s="253">
        <f>'StB-Werte'!U151</f>
        <v>450</v>
      </c>
      <c r="V151" s="105">
        <f t="shared" si="12"/>
        <v>5</v>
      </c>
      <c r="W151" s="253">
        <f>'StB-Werte'!W151</f>
        <v>7</v>
      </c>
      <c r="X151" s="253">
        <f>'StB-Werte'!X151</f>
        <v>5</v>
      </c>
      <c r="Y151" s="253">
        <f>'StB-Werte'!Y151</f>
        <v>3</v>
      </c>
    </row>
    <row r="152" spans="1:25" hidden="1" x14ac:dyDescent="0.2"/>
    <row r="153" spans="1:25" hidden="1" x14ac:dyDescent="0.2">
      <c r="A153" s="213" t="s">
        <v>623</v>
      </c>
      <c r="B153" s="213" t="s">
        <v>622</v>
      </c>
      <c r="C153" s="213" t="s">
        <v>623</v>
      </c>
      <c r="D153" s="213" t="s">
        <v>622</v>
      </c>
      <c r="E153" s="228">
        <v>0.4</v>
      </c>
      <c r="F153" s="228">
        <v>0.3</v>
      </c>
      <c r="G153" s="228">
        <v>0.2</v>
      </c>
    </row>
    <row r="154" spans="1:25" hidden="1" x14ac:dyDescent="0.2">
      <c r="A154" s="243">
        <f>ROUND(fInterSig(C154:C159,D154:D159,B154,6),0)</f>
        <v>360</v>
      </c>
      <c r="B154" s="243">
        <f>$H$20</f>
        <v>0</v>
      </c>
      <c r="C154" s="271">
        <f>'StB-Werte'!C154</f>
        <v>160</v>
      </c>
      <c r="D154" s="242">
        <f t="shared" ref="D154:D159" si="15">INDEX(E154:G154,,$G$17-1)</f>
        <v>300</v>
      </c>
      <c r="E154" s="251" t="str">
        <f>'StB-Werte'!E154</f>
        <v/>
      </c>
      <c r="F154" s="251">
        <f>'StB-Werte'!F154</f>
        <v>300</v>
      </c>
      <c r="G154" s="251">
        <f>'StB-Werte'!G154</f>
        <v>200</v>
      </c>
    </row>
    <row r="155" spans="1:25" hidden="1" x14ac:dyDescent="0.2">
      <c r="C155" s="272">
        <f>'StB-Werte'!C155</f>
        <v>200</v>
      </c>
      <c r="D155" s="150">
        <f t="shared" si="15"/>
        <v>250</v>
      </c>
      <c r="E155" s="252">
        <f>'StB-Werte'!E155</f>
        <v>300</v>
      </c>
      <c r="F155" s="252">
        <f>'StB-Werte'!F155</f>
        <v>250</v>
      </c>
      <c r="G155" s="252">
        <f>'StB-Werte'!G155</f>
        <v>150</v>
      </c>
    </row>
    <row r="156" spans="1:25" hidden="1" x14ac:dyDescent="0.2">
      <c r="C156" s="272">
        <f>'StB-Werte'!C156</f>
        <v>240</v>
      </c>
      <c r="D156" s="150">
        <f t="shared" si="15"/>
        <v>200</v>
      </c>
      <c r="E156" s="252">
        <f>'StB-Werte'!E156</f>
        <v>250</v>
      </c>
      <c r="F156" s="252">
        <f>'StB-Werte'!F156</f>
        <v>200</v>
      </c>
      <c r="G156" s="252">
        <f>'StB-Werte'!G156</f>
        <v>100</v>
      </c>
    </row>
    <row r="157" spans="1:25" hidden="1" x14ac:dyDescent="0.2">
      <c r="C157" s="272">
        <f>'StB-Werte'!C157</f>
        <v>280</v>
      </c>
      <c r="D157" s="150">
        <f t="shared" si="15"/>
        <v>150</v>
      </c>
      <c r="E157" s="252">
        <f>'StB-Werte'!E157</f>
        <v>200</v>
      </c>
      <c r="F157" s="252">
        <f>'StB-Werte'!F157</f>
        <v>150</v>
      </c>
      <c r="G157" s="252">
        <f>'StB-Werte'!G157</f>
        <v>50</v>
      </c>
    </row>
    <row r="158" spans="1:25" hidden="1" x14ac:dyDescent="0.2">
      <c r="C158" s="272">
        <f>'StB-Werte'!C158</f>
        <v>320</v>
      </c>
      <c r="D158" s="150">
        <f t="shared" si="15"/>
        <v>100</v>
      </c>
      <c r="E158" s="252">
        <f>'StB-Werte'!E158</f>
        <v>150</v>
      </c>
      <c r="F158" s="252">
        <f>'StB-Werte'!F158</f>
        <v>100</v>
      </c>
      <c r="G158" s="252" t="str">
        <f>'StB-Werte'!G158</f>
        <v/>
      </c>
    </row>
    <row r="159" spans="1:25" hidden="1" x14ac:dyDescent="0.2">
      <c r="C159" s="273">
        <f>'StB-Werte'!C159</f>
        <v>360</v>
      </c>
      <c r="D159" s="105">
        <f t="shared" si="15"/>
        <v>50</v>
      </c>
      <c r="E159" s="253">
        <f>'StB-Werte'!E159</f>
        <v>100</v>
      </c>
      <c r="F159" s="253">
        <f>'StB-Werte'!F159</f>
        <v>50</v>
      </c>
      <c r="G159" s="253" t="str">
        <f>'StB-Werte'!G159</f>
        <v/>
      </c>
    </row>
    <row r="160" spans="1:25" hidden="1" x14ac:dyDescent="0.2"/>
    <row r="161" spans="1:4" hidden="1" x14ac:dyDescent="0.2">
      <c r="A161" s="149" t="s">
        <v>592</v>
      </c>
    </row>
    <row r="162" spans="1:4" hidden="1" x14ac:dyDescent="0.2">
      <c r="A162" s="477" t="str">
        <f>B11</f>
        <v>Concrete</v>
      </c>
      <c r="B162" s="477"/>
      <c r="C162" s="477" t="str">
        <f>B17</f>
        <v>Reinforcement</v>
      </c>
      <c r="D162" s="477"/>
    </row>
    <row r="163" spans="1:4" hidden="1" x14ac:dyDescent="0.2">
      <c r="A163" s="175">
        <v>0</v>
      </c>
      <c r="B163" s="175">
        <f t="shared" ref="B163:B188" si="16">B$189*(1-(($C$14-A163)/$C$14)^$E$14)</f>
        <v>0</v>
      </c>
      <c r="C163" s="210">
        <v>0</v>
      </c>
      <c r="D163" s="210">
        <v>0</v>
      </c>
    </row>
    <row r="164" spans="1:4" hidden="1" x14ac:dyDescent="0.2">
      <c r="A164" s="175">
        <f t="shared" ref="A164:A188" si="17">A163+$C$14/25</f>
        <v>0.08</v>
      </c>
      <c r="B164" s="175">
        <f t="shared" si="16"/>
        <v>2.6656000000000009</v>
      </c>
      <c r="C164" s="210">
        <f>$A$20/$C$20*1000</f>
        <v>2.5</v>
      </c>
      <c r="D164" s="210">
        <f>$A$20</f>
        <v>500</v>
      </c>
    </row>
    <row r="165" spans="1:4" hidden="1" x14ac:dyDescent="0.2">
      <c r="A165" s="175">
        <f t="shared" si="17"/>
        <v>0.16</v>
      </c>
      <c r="B165" s="175">
        <f t="shared" si="16"/>
        <v>5.2223999999999986</v>
      </c>
      <c r="C165" s="210">
        <f>$D$20</f>
        <v>25</v>
      </c>
      <c r="D165" s="210">
        <f>$B$20</f>
        <v>525</v>
      </c>
    </row>
    <row r="166" spans="1:4" hidden="1" x14ac:dyDescent="0.2">
      <c r="A166" s="175">
        <f t="shared" si="17"/>
        <v>0.24</v>
      </c>
      <c r="B166" s="175">
        <f t="shared" si="16"/>
        <v>7.6704000000000008</v>
      </c>
    </row>
    <row r="167" spans="1:4" hidden="1" x14ac:dyDescent="0.2">
      <c r="A167" s="175">
        <f t="shared" si="17"/>
        <v>0.32</v>
      </c>
      <c r="B167" s="175">
        <f t="shared" si="16"/>
        <v>10.009600000000004</v>
      </c>
    </row>
    <row r="168" spans="1:4" hidden="1" x14ac:dyDescent="0.2">
      <c r="A168" s="175">
        <f t="shared" si="17"/>
        <v>0.4</v>
      </c>
      <c r="B168" s="175">
        <f t="shared" si="16"/>
        <v>12.239999999999995</v>
      </c>
    </row>
    <row r="169" spans="1:4" hidden="1" x14ac:dyDescent="0.2">
      <c r="A169" s="175">
        <f t="shared" si="17"/>
        <v>0.48000000000000004</v>
      </c>
      <c r="B169" s="175">
        <f t="shared" si="16"/>
        <v>14.361599999999999</v>
      </c>
    </row>
    <row r="170" spans="1:4" hidden="1" x14ac:dyDescent="0.2">
      <c r="A170" s="175">
        <f t="shared" si="17"/>
        <v>0.56000000000000005</v>
      </c>
      <c r="B170" s="175">
        <f t="shared" si="16"/>
        <v>16.374400000000001</v>
      </c>
    </row>
    <row r="171" spans="1:4" hidden="1" x14ac:dyDescent="0.2">
      <c r="A171" s="175">
        <f t="shared" si="17"/>
        <v>0.64</v>
      </c>
      <c r="B171" s="175">
        <f t="shared" si="16"/>
        <v>18.278400000000001</v>
      </c>
    </row>
    <row r="172" spans="1:4" hidden="1" x14ac:dyDescent="0.2">
      <c r="A172" s="175">
        <f t="shared" si="17"/>
        <v>0.72</v>
      </c>
      <c r="B172" s="175">
        <f t="shared" si="16"/>
        <v>20.073600000000003</v>
      </c>
    </row>
    <row r="173" spans="1:4" hidden="1" x14ac:dyDescent="0.2">
      <c r="A173" s="175">
        <f t="shared" si="17"/>
        <v>0.79999999999999993</v>
      </c>
      <c r="B173" s="175">
        <f t="shared" si="16"/>
        <v>21.759999999999998</v>
      </c>
    </row>
    <row r="174" spans="1:4" hidden="1" x14ac:dyDescent="0.2">
      <c r="A174" s="175">
        <f t="shared" si="17"/>
        <v>0.87999999999999989</v>
      </c>
      <c r="B174" s="175">
        <f t="shared" si="16"/>
        <v>23.337599999999995</v>
      </c>
    </row>
    <row r="175" spans="1:4" hidden="1" x14ac:dyDescent="0.2">
      <c r="A175" s="175">
        <f t="shared" si="17"/>
        <v>0.95999999999999985</v>
      </c>
      <c r="B175" s="175">
        <f t="shared" si="16"/>
        <v>24.8064</v>
      </c>
    </row>
    <row r="176" spans="1:4" hidden="1" x14ac:dyDescent="0.2">
      <c r="A176" s="175">
        <f t="shared" si="17"/>
        <v>1.0399999999999998</v>
      </c>
      <c r="B176" s="175">
        <f t="shared" si="16"/>
        <v>26.166399999999999</v>
      </c>
    </row>
    <row r="177" spans="1:2" hidden="1" x14ac:dyDescent="0.2">
      <c r="A177" s="175">
        <f t="shared" si="17"/>
        <v>1.1199999999999999</v>
      </c>
      <c r="B177" s="175">
        <f t="shared" si="16"/>
        <v>27.4176</v>
      </c>
    </row>
    <row r="178" spans="1:2" hidden="1" x14ac:dyDescent="0.2">
      <c r="A178" s="175">
        <f t="shared" si="17"/>
        <v>1.2</v>
      </c>
      <c r="B178" s="175">
        <f t="shared" si="16"/>
        <v>28.56</v>
      </c>
    </row>
    <row r="179" spans="1:2" hidden="1" x14ac:dyDescent="0.2">
      <c r="A179" s="175">
        <f t="shared" si="17"/>
        <v>1.28</v>
      </c>
      <c r="B179" s="175">
        <f t="shared" si="16"/>
        <v>29.593600000000002</v>
      </c>
    </row>
    <row r="180" spans="1:2" hidden="1" x14ac:dyDescent="0.2">
      <c r="A180" s="175">
        <f t="shared" si="17"/>
        <v>1.36</v>
      </c>
      <c r="B180" s="175">
        <f t="shared" si="16"/>
        <v>30.518400000000003</v>
      </c>
    </row>
    <row r="181" spans="1:2" hidden="1" x14ac:dyDescent="0.2">
      <c r="A181" s="175">
        <f t="shared" si="17"/>
        <v>1.4400000000000002</v>
      </c>
      <c r="B181" s="175">
        <f t="shared" si="16"/>
        <v>31.334400000000002</v>
      </c>
    </row>
    <row r="182" spans="1:2" hidden="1" x14ac:dyDescent="0.2">
      <c r="A182" s="175">
        <f t="shared" si="17"/>
        <v>1.5200000000000002</v>
      </c>
      <c r="B182" s="175">
        <f t="shared" si="16"/>
        <v>32.041600000000003</v>
      </c>
    </row>
    <row r="183" spans="1:2" hidden="1" x14ac:dyDescent="0.2">
      <c r="A183" s="175">
        <f t="shared" si="17"/>
        <v>1.6000000000000003</v>
      </c>
      <c r="B183" s="175">
        <f t="shared" si="16"/>
        <v>32.64</v>
      </c>
    </row>
    <row r="184" spans="1:2" hidden="1" x14ac:dyDescent="0.2">
      <c r="A184" s="175">
        <f t="shared" si="17"/>
        <v>1.6800000000000004</v>
      </c>
      <c r="B184" s="175">
        <f t="shared" si="16"/>
        <v>33.129600000000003</v>
      </c>
    </row>
    <row r="185" spans="1:2" hidden="1" x14ac:dyDescent="0.2">
      <c r="A185" s="175">
        <f t="shared" si="17"/>
        <v>1.7600000000000005</v>
      </c>
      <c r="B185" s="175">
        <f t="shared" si="16"/>
        <v>33.510400000000004</v>
      </c>
    </row>
    <row r="186" spans="1:2" hidden="1" x14ac:dyDescent="0.2">
      <c r="A186" s="175">
        <f t="shared" si="17"/>
        <v>1.8400000000000005</v>
      </c>
      <c r="B186" s="175">
        <f t="shared" si="16"/>
        <v>33.782400000000003</v>
      </c>
    </row>
    <row r="187" spans="1:2" hidden="1" x14ac:dyDescent="0.2">
      <c r="A187" s="175">
        <f t="shared" si="17"/>
        <v>1.9200000000000006</v>
      </c>
      <c r="B187" s="175">
        <f t="shared" si="16"/>
        <v>33.945599999999999</v>
      </c>
    </row>
    <row r="188" spans="1:2" hidden="1" x14ac:dyDescent="0.2">
      <c r="A188" s="175">
        <f t="shared" si="17"/>
        <v>2.0000000000000004</v>
      </c>
      <c r="B188" s="175">
        <f t="shared" si="16"/>
        <v>34</v>
      </c>
    </row>
    <row r="189" spans="1:2" hidden="1" x14ac:dyDescent="0.2">
      <c r="A189" s="210">
        <f>$D$14</f>
        <v>3.5</v>
      </c>
      <c r="B189" s="175">
        <f>$A$14*$B$14</f>
        <v>34</v>
      </c>
    </row>
    <row r="190" spans="1:2" hidden="1" x14ac:dyDescent="0.2"/>
  </sheetData>
  <mergeCells count="22">
    <mergeCell ref="A162:B162"/>
    <mergeCell ref="C162:D162"/>
    <mergeCell ref="A53:B53"/>
    <mergeCell ref="A51:B52"/>
    <mergeCell ref="F53:G54"/>
    <mergeCell ref="F51:F52"/>
    <mergeCell ref="A54:C54"/>
    <mergeCell ref="A57:B57"/>
    <mergeCell ref="A58:B58"/>
    <mergeCell ref="A59:B59"/>
    <mergeCell ref="A60:B60"/>
    <mergeCell ref="F57:G57"/>
    <mergeCell ref="A61:B61"/>
    <mergeCell ref="A62:C62"/>
    <mergeCell ref="F47:G48"/>
    <mergeCell ref="F49:G50"/>
    <mergeCell ref="A6:B6"/>
    <mergeCell ref="A49:C50"/>
    <mergeCell ref="F11:G11"/>
    <mergeCell ref="C12:E12"/>
    <mergeCell ref="F41:G41"/>
    <mergeCell ref="A47:C48"/>
  </mergeCells>
  <conditionalFormatting sqref="D62">
    <cfRule type="cellIs" dxfId="5" priority="1" stopIfTrue="1" operator="lessThan">
      <formula>-0.5</formula>
    </cfRule>
  </conditionalFormatting>
  <pageMargins left="0.86614173228346458" right="0.51181102362204722" top="0.39370078740157483" bottom="0.39370078740157483" header="0.31496062992125984" footer="0.39370078740157483"/>
  <pageSetup paperSize="9" orientation="portrait" r:id="rId1"/>
  <headerFooter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2" r:id="rId4" name="Drop Down 8">
              <controlPr defaultSize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5" name="Drop Down 10">
              <controlPr defaultSize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6" name="Drop Down 11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7" name="Drop Down 12">
              <controlPr defaultSize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Drop Down 13">
              <controlPr defaultSize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9" name="Drop Down 14">
              <controlPr defaultSize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10" name="Drop Down 18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2"/>
  <dimension ref="A1:BJ190"/>
  <sheetViews>
    <sheetView showGridLines="0" zoomScaleNormal="100" workbookViewId="0"/>
  </sheetViews>
  <sheetFormatPr defaultColWidth="11.42578125" defaultRowHeight="12" x14ac:dyDescent="0.2"/>
  <cols>
    <col min="1" max="8" width="10.7109375" style="149" customWidth="1"/>
    <col min="9" max="16384" width="11.42578125" style="149"/>
  </cols>
  <sheetData>
    <row r="1" spans="1:8" ht="12.75" x14ac:dyDescent="0.2">
      <c r="A1" s="84" t="s">
        <v>185</v>
      </c>
    </row>
    <row r="2" spans="1:8" ht="12.75" x14ac:dyDescent="0.2">
      <c r="A2" s="84"/>
    </row>
    <row r="3" spans="1:8" ht="12.75" x14ac:dyDescent="0.2">
      <c r="A3" s="110" t="str">
        <f>INDEX(LA!$A161:$J161,,Info!$A$5)</f>
        <v>Design of Circular Cross Section with Sectional Reinforcement</v>
      </c>
    </row>
    <row r="4" spans="1:8" ht="15.75" x14ac:dyDescent="0.25">
      <c r="A4" s="83">
        <v>4</v>
      </c>
    </row>
    <row r="6" spans="1:8" ht="12.75" x14ac:dyDescent="0.2">
      <c r="A6" s="416" t="str">
        <f>INDEX(LA!$A168:$J168,,Info!$A$5)</f>
        <v>Cross section</v>
      </c>
      <c r="B6" s="417"/>
      <c r="C6" s="417"/>
      <c r="D6" s="232" t="str">
        <f>INDEX(LA!$A180:$J180,,Info!$A$5)</f>
        <v>additional reinf.</v>
      </c>
    </row>
    <row r="7" spans="1:8" x14ac:dyDescent="0.2">
      <c r="A7" s="151" t="str">
        <f>INDEX(LA!$A169:$J169,,Info!$A$5)</f>
        <v>Diameter</v>
      </c>
      <c r="B7" s="151" t="str">
        <f>INDEX(LA!$A175:$J175,,Info!$A$5)</f>
        <v>sep. to edge</v>
      </c>
      <c r="C7" s="151" t="str">
        <f>INDEX(LA!$A178:$J178,,Info!$A$5)</f>
        <v>Base reinf.</v>
      </c>
      <c r="D7" s="105" t="str">
        <f>INDEX(LA!$A181:$J181,,Info!$A$5)</f>
        <v>δ   [°]</v>
      </c>
    </row>
    <row r="8" spans="1:8" x14ac:dyDescent="0.2">
      <c r="A8" s="105" t="str">
        <f>INDEX(LA!$A170:$J170,,Info!$A$5)</f>
        <v>D  [mm]</v>
      </c>
      <c r="B8" s="105" t="str">
        <f>INDEX(LA!$A176:$J176,,Info!$A$5)</f>
        <v>H'  [mm</v>
      </c>
      <c r="C8" s="105" t="str">
        <f>INDEX(LA!$A179:$J179,,Info!$A$5)</f>
        <v>A_s0  [cm²]</v>
      </c>
      <c r="D8" s="196">
        <f>MIN(MAX($D$9,0),180)</f>
        <v>90</v>
      </c>
    </row>
    <row r="9" spans="1:8" x14ac:dyDescent="0.2">
      <c r="A9" s="152">
        <v>880</v>
      </c>
      <c r="B9" s="152">
        <v>105</v>
      </c>
      <c r="C9" s="216">
        <v>15</v>
      </c>
      <c r="D9" s="152">
        <v>90</v>
      </c>
    </row>
    <row r="11" spans="1:8" ht="15.75" x14ac:dyDescent="0.25">
      <c r="A11" s="163"/>
      <c r="B11" s="186" t="str">
        <f>INDEX(LA!$A184:$J184,,Info!$A$5)</f>
        <v>Concrete</v>
      </c>
      <c r="C11" s="83">
        <v>4</v>
      </c>
      <c r="D11" s="153"/>
      <c r="E11" s="154"/>
      <c r="F11" s="470" t="str">
        <f>$A96</f>
        <v>unreinforced</v>
      </c>
      <c r="G11" s="471"/>
      <c r="H11" s="398"/>
    </row>
    <row r="12" spans="1:8" x14ac:dyDescent="0.2">
      <c r="A12" s="150" t="str">
        <f>$A86</f>
        <v>cylinder str.</v>
      </c>
      <c r="B12" s="150" t="str">
        <f>$A88</f>
        <v>reduct.factor</v>
      </c>
      <c r="C12" s="472" t="str">
        <f>$A90</f>
        <v>stress-strain curve</v>
      </c>
      <c r="D12" s="473"/>
      <c r="E12" s="474"/>
      <c r="F12" s="150" t="str">
        <f>$A97</f>
        <v>safety</v>
      </c>
      <c r="G12" s="151" t="str">
        <f>$A99</f>
        <v>min.comp.reinf.</v>
      </c>
      <c r="H12" s="150" t="str">
        <f>$A94</f>
        <v>E_cm</v>
      </c>
    </row>
    <row r="13" spans="1:8" x14ac:dyDescent="0.2">
      <c r="A13" s="105" t="str">
        <f>$A87</f>
        <v>f_ck [MPa]</v>
      </c>
      <c r="B13" s="105" t="str">
        <f>$A89</f>
        <v>α   [1]</v>
      </c>
      <c r="C13" s="164" t="str">
        <f>$A91</f>
        <v>ε_c2  [‰]</v>
      </c>
      <c r="D13" s="164" t="str">
        <f>$A92</f>
        <v>ε_c2u [‰]</v>
      </c>
      <c r="E13" s="164" t="str">
        <f>$A93</f>
        <v>exp. [1]</v>
      </c>
      <c r="F13" s="164" t="str">
        <f>$A98</f>
        <v>Δα_pl  [1]</v>
      </c>
      <c r="G13" s="245" t="str">
        <f>$A100</f>
        <v>N_Ed,min  [1]</v>
      </c>
      <c r="H13" s="105" t="str">
        <f>$A95</f>
        <v>[MPa]</v>
      </c>
    </row>
    <row r="14" spans="1:8" x14ac:dyDescent="0.2">
      <c r="A14" s="188">
        <f>IF(OR(A15="",A15=" "),INDEX($H$110:$H$118,$C$11,),A15)</f>
        <v>25</v>
      </c>
      <c r="B14" s="196">
        <f>IF(OR(B15="",B15=" "),INDEX($O$110:$O$118,$C$11,),B15)</f>
        <v>0.85</v>
      </c>
      <c r="C14" s="188">
        <f>IF(OR(C15="",C15=" "),INDEX($V$110:$V$118,$C$11,),C15)</f>
        <v>2</v>
      </c>
      <c r="D14" s="188">
        <f>IF(OR(D15="",D15=" "),INDEX($AC$110:$AC$118,$C$11,),D15)</f>
        <v>3.5</v>
      </c>
      <c r="E14" s="157">
        <f>IF(OR(E15="",E15=" "),INDEX($AJ$110:$AJ$118,$C$11,),E15)</f>
        <v>2</v>
      </c>
      <c r="F14" s="196">
        <f>IF(OR(F15="",F15=" "),INDEX($AX110:$AX$118,$C$11,),F15)</f>
        <v>0.15</v>
      </c>
      <c r="G14" s="157">
        <f>IF(OR(G15="",G15=" "),INDEX($BE$110:$BE$118,$C$11,),G15)</f>
        <v>0.15</v>
      </c>
      <c r="H14" s="196">
        <f>IF(OR(H15="",H15=" "),INDEX($AQ$110:$AQ$118,$C$11,),H15)</f>
        <v>31000</v>
      </c>
    </row>
    <row r="15" spans="1:8" x14ac:dyDescent="0.2">
      <c r="A15" s="189"/>
      <c r="B15" s="161"/>
      <c r="C15" s="189"/>
      <c r="D15" s="189"/>
      <c r="E15" s="158"/>
      <c r="F15" s="161"/>
      <c r="G15" s="158"/>
      <c r="H15" s="161"/>
    </row>
    <row r="17" spans="1:8" ht="15.75" x14ac:dyDescent="0.25">
      <c r="A17" s="163"/>
      <c r="B17" s="186" t="str">
        <f>INDEX(LA!$A208:$J208,,Info!$A$5)</f>
        <v>Reinforcement</v>
      </c>
      <c r="C17" s="83">
        <v>2</v>
      </c>
      <c r="D17" s="153"/>
      <c r="E17" s="83">
        <v>1</v>
      </c>
      <c r="F17" s="211"/>
      <c r="G17" s="83">
        <v>3</v>
      </c>
    </row>
    <row r="18" spans="1:8" ht="15.75" x14ac:dyDescent="0.25">
      <c r="A18" s="150" t="str">
        <f>$H86</f>
        <v>yield stress</v>
      </c>
      <c r="B18" s="150" t="str">
        <f>$H88</f>
        <v>tens.strength</v>
      </c>
      <c r="C18" s="150" t="str">
        <f>$H90</f>
        <v>Young's m.</v>
      </c>
      <c r="D18" s="150" t="str">
        <f>$H92</f>
        <v>max. strain</v>
      </c>
      <c r="E18" s="83">
        <v>2</v>
      </c>
      <c r="F18" s="211"/>
      <c r="G18" s="151" t="str">
        <f>IF(OR($E$18=1,$G$17=1,$G$20&lt;1),"",$H95)</f>
        <v>reinforce. bar</v>
      </c>
      <c r="H18" s="151" t="str">
        <f>IF(OR($E$18=1,$G$17=1,$H$20&lt;1),"",$H97)</f>
        <v>bar spacing</v>
      </c>
    </row>
    <row r="19" spans="1:8" x14ac:dyDescent="0.2">
      <c r="A19" s="105" t="str">
        <f>$H87</f>
        <v>f_yk  [MPa]</v>
      </c>
      <c r="B19" s="105" t="str">
        <f>$H89</f>
        <v>f_tk  [MPa]</v>
      </c>
      <c r="C19" s="105" t="str">
        <f>$H91</f>
        <v>E  [MPa]</v>
      </c>
      <c r="D19" s="105" t="str">
        <f>$H93</f>
        <v>ε_s,u  [‰]</v>
      </c>
      <c r="E19" s="221" t="str">
        <f>IF($E$18=1,"",$H94)</f>
        <v>max. σs [MPa]</v>
      </c>
      <c r="F19" s="211"/>
      <c r="G19" s="226" t="str">
        <f>IF(OR($E$18=1,$G$17=1,$G$20&lt;1),"",$H96)</f>
        <v>max. ds [mm]</v>
      </c>
      <c r="H19" s="223" t="str">
        <f>IF(OR($E$18=1,$G$17=1,$H$20&lt;1),"",$H98)</f>
        <v>max. s  [mm]</v>
      </c>
    </row>
    <row r="20" spans="1:8" x14ac:dyDescent="0.2">
      <c r="A20" s="165">
        <f>IF(OR(A21="",A21=" "),INDEX($H$121:$H$124,$C$17,),A21)</f>
        <v>500</v>
      </c>
      <c r="B20" s="165">
        <f>IF(OR(B21="",B21=" "),INDEX($O$121:$O$124,$C$17,),B21)</f>
        <v>525</v>
      </c>
      <c r="C20" s="165">
        <f>IF(OR(C21="",C21=" "),INDEX($V$121:$V$124,$C$17,),C21)</f>
        <v>200000</v>
      </c>
      <c r="D20" s="188">
        <f>IF(OR(D21="",D21=" "),INDEX($AC$121:$AC$124,$C$17,),D21)</f>
        <v>25</v>
      </c>
      <c r="E20" s="229">
        <f>IF($E$18=1,0,IF(OR(E21="",E21=" "),IF(AND($G$20&lt;1,$H$20&lt;1),200,IF($G$20&lt;1,$A$154,IF($H$20&lt;1,$A$139,MAX($A$139,$A$154)))),E21))</f>
        <v>240</v>
      </c>
      <c r="G20" s="165">
        <f>IF(OR($E$18=1,$G$17=1),0,IF(OR(G21="",G21=" "),28,G21))</f>
        <v>28</v>
      </c>
      <c r="H20" s="165">
        <f>IF(OR($E$18=1,$G$17=1),0,IF(OR(H21="",H21=" "),200,H21))</f>
        <v>200</v>
      </c>
    </row>
    <row r="21" spans="1:8" x14ac:dyDescent="0.2">
      <c r="A21" s="166"/>
      <c r="B21" s="161"/>
      <c r="C21" s="161"/>
      <c r="D21" s="189"/>
      <c r="E21" s="166"/>
      <c r="G21" s="166"/>
      <c r="H21" s="166"/>
    </row>
    <row r="37" spans="1:8" ht="12.75" x14ac:dyDescent="0.2">
      <c r="A37" s="201" t="str">
        <f>INDEX(LA!$A229:$J229,,Info!$A$5)</f>
        <v>Factors of safety</v>
      </c>
      <c r="B37" s="159"/>
      <c r="C37" s="160"/>
      <c r="D37" s="218" t="str">
        <f>$H$133</f>
        <v>permanent</v>
      </c>
      <c r="E37" s="218" t="str">
        <f>$H$134</f>
        <v>transient</v>
      </c>
      <c r="F37" s="218" t="str">
        <f>$H$135</f>
        <v>γ_c   [1]</v>
      </c>
      <c r="G37" s="218" t="str">
        <f>$H$136</f>
        <v>γ_s   [1]</v>
      </c>
    </row>
    <row r="38" spans="1:8" x14ac:dyDescent="0.2">
      <c r="A38" s="167" t="str">
        <f>INDEX(LA!$A230:$J230,,Info!$A$5)</f>
        <v>Design situation</v>
      </c>
      <c r="B38" s="153"/>
      <c r="C38" s="154"/>
      <c r="D38" s="157">
        <f>IF($A$4=1,1,IF(OR(D39="",D39=" "),INDEX($O$133:$O$136,$A$39,),D39))</f>
        <v>1.35</v>
      </c>
      <c r="E38" s="157">
        <f>IF($A$4=1,1,IF(OR(E39="",E39=" "),INDEX($V$133:$V$136,$A$39,),E39))</f>
        <v>1.5</v>
      </c>
      <c r="F38" s="157">
        <f>IF(OR(F39="",F39=" "),INDEX($AC$133:$AC$136,$A$39,),F39)</f>
        <v>1.5</v>
      </c>
      <c r="G38" s="157">
        <f>IF($A$4=1,$F$38,IF(OR(G39="",G39=" "),INDEX($AJ$133:$AJ$136,$A$39,),G39))</f>
        <v>1.1499999999999999</v>
      </c>
    </row>
    <row r="39" spans="1:8" ht="15.75" x14ac:dyDescent="0.25">
      <c r="A39" s="83">
        <v>1</v>
      </c>
      <c r="B39" s="155"/>
      <c r="C39" s="156"/>
      <c r="D39" s="158"/>
      <c r="E39" s="158"/>
      <c r="F39" s="158"/>
      <c r="G39" s="158"/>
    </row>
    <row r="41" spans="1:8" ht="12.75" x14ac:dyDescent="0.2">
      <c r="A41" s="202" t="str">
        <f>INDEX(LA!$A240:$J240,,Info!$A$5)</f>
        <v>Internal Forces</v>
      </c>
      <c r="B41" s="153"/>
      <c r="C41" s="153"/>
      <c r="D41" s="217" t="str">
        <f>D$37</f>
        <v>permanent</v>
      </c>
      <c r="E41" s="217" t="str">
        <f>E$37</f>
        <v>transient</v>
      </c>
      <c r="F41" s="475" t="str">
        <f>INDEX(LA!$A244:$J244,,Info!$A$5)</f>
        <v>design values</v>
      </c>
      <c r="G41" s="476"/>
      <c r="H41" s="221" t="str">
        <f>INDEX(LA!$A245:$J245,,Info!$A$5)</f>
        <v>characteristic</v>
      </c>
    </row>
    <row r="42" spans="1:8" x14ac:dyDescent="0.2">
      <c r="A42" s="66" t="str">
        <f>INDEX(LA!$A241:$J241,,Info!$A$5)</f>
        <v>Bending moment</v>
      </c>
      <c r="B42" s="159"/>
      <c r="C42" s="160" t="s">
        <v>594</v>
      </c>
      <c r="D42" s="152">
        <v>300</v>
      </c>
      <c r="E42" s="152">
        <v>200</v>
      </c>
      <c r="F42" s="161"/>
      <c r="G42" s="162">
        <f>IF(OR($F42="",$F42=" "),$D42*$D$38+$E42*E$38,$F42)</f>
        <v>705</v>
      </c>
      <c r="H42" s="162">
        <f>IF(OR($F42="",$F42=" "),$D42+$E42,$F42/$D$38)</f>
        <v>500</v>
      </c>
    </row>
    <row r="43" spans="1:8" x14ac:dyDescent="0.2">
      <c r="A43" s="66" t="str">
        <f>INDEX(LA!$A242:$J242,,Info!$A$5)</f>
        <v>Normal force</v>
      </c>
      <c r="B43" s="159"/>
      <c r="C43" s="160" t="s">
        <v>535</v>
      </c>
      <c r="D43" s="152">
        <v>-500</v>
      </c>
      <c r="E43" s="152">
        <v>-200</v>
      </c>
      <c r="F43" s="161"/>
      <c r="G43" s="162">
        <f>IF(OR($F43="",$F43=" "),$D43*$D$38+$E43*E$38,$F43)</f>
        <v>-975</v>
      </c>
      <c r="H43" s="162">
        <f>IF(OR($F43="",$F43=" "),$D43+$E43,$F43/$D$38)</f>
        <v>-700</v>
      </c>
    </row>
    <row r="44" spans="1:8" x14ac:dyDescent="0.2">
      <c r="A44" s="66" t="str">
        <f>INDEX(LA!$A243:$J243,,Info!$A$5)</f>
        <v>Shear force</v>
      </c>
      <c r="B44" s="159"/>
      <c r="C44" s="160" t="s">
        <v>536</v>
      </c>
      <c r="D44" s="152">
        <v>250</v>
      </c>
      <c r="E44" s="152">
        <v>100</v>
      </c>
      <c r="F44" s="161"/>
      <c r="G44" s="162">
        <f>IF(OR($F44="",$F44=" "),$D44*$D$38+$E44*E$38,$F44)</f>
        <v>487.5</v>
      </c>
      <c r="H44" s="162">
        <f>IF(OR($F44="",$F44=" "),$D44+$E44,$F44/$D$38)</f>
        <v>350</v>
      </c>
    </row>
    <row r="46" spans="1:8" ht="12.75" x14ac:dyDescent="0.2">
      <c r="A46" s="7" t="str">
        <f>INDEX(LA!$A246:$J246,,Info!$A$5)</f>
        <v>Longitudinal Reinforcement</v>
      </c>
      <c r="F46" s="149" t="str">
        <f>IF(AND($H$47&lt;0.000001,$H$48&lt;0.000001),INDEX(LA!$A257:$J257,,Info!$A$5),INDEX(LA!$A258:$J258,,Info!$A$5))</f>
        <v>working load (cracked concrete)</v>
      </c>
    </row>
    <row r="47" spans="1:8" ht="12.75" customHeight="1" x14ac:dyDescent="0.2">
      <c r="A47" s="461" t="str">
        <f>INDEX(LA!$A247:$J247,,Info!$A$5)</f>
        <v>ultimate strain of concrete    ε_c</v>
      </c>
      <c r="B47" s="465"/>
      <c r="C47" s="466"/>
      <c r="D47" s="203">
        <f>StB_Ks_MN($A$4-1,$F$38,$G$38,$G$42,$G$43,$H$42,$H$43,$A$9,$B$9,$C$9,$D$8*PI()/180,$C$54,$C$53,$A$14,$B$14,$C$14/1000,$D$14/1000,$E$14,$F$14,$G$14,$A$20,$B$20,$C$20,$D$20/1000,$E$20,$E$17-1,11)</f>
        <v>-3.5000000000000001E-3</v>
      </c>
      <c r="F47" s="461" t="str">
        <f>INDEX(LA!$A259:$J259,,Info!$A$5)</f>
        <v>strain of concrete  ε_c</v>
      </c>
      <c r="G47" s="462"/>
      <c r="H47" s="230">
        <f>StB_Ks_MN($A$4-1,$F$38,$G$38,$G$42,$G$43,$H$42,$H$43,$A$9,$B$9,$C$9,$D$8*PI()/180,$C$54,$C$53,$A$14,$B$14,$C$14/1000,$D$14/1000,$E$14,$F$14,$G$14,$A$20,$B$20,$C$20,$D$20/1000,$E$20,$E$17-1,21)</f>
        <v>-7.8055441379547134E-4</v>
      </c>
    </row>
    <row r="48" spans="1:8" x14ac:dyDescent="0.2">
      <c r="A48" s="467"/>
      <c r="B48" s="468"/>
      <c r="C48" s="469"/>
      <c r="D48" s="204">
        <f>StB_Ks_MN($A$4-1,$F$38,$G$38,$G$42,$G$43,$H$42,$H$43,$A$9,$B$9,$C$9,$D$8*PI()/180,$C$54,$C$53,$A$14,$B$14,$C$14/1000,$D$14/1000,$E$14,$F$14,$G$14,$A$20,$B$20,$C$20,$D$20/1000,$E$20,$E$17-1,12)</f>
        <v>6.1904662378579698E-3</v>
      </c>
      <c r="F48" s="463"/>
      <c r="G48" s="464"/>
      <c r="H48" s="231">
        <f>StB_Ks_MN($A$4-1,$F$38,$G$38,$G$42,$G$43,$H$42,$H$43,$A$9,$B$9,$C$9,$D$8*PI()/180,$C$54,$C$53,$A$14,$B$14,$C$14/1000,$D$14/1000,$E$14,$F$14,$G$14,$A$20,$B$20,$C$20,$D$20/1000,$E$20,$E$17-1,22)</f>
        <v>1.4683331786432576E-3</v>
      </c>
    </row>
    <row r="49" spans="1:8" ht="12" customHeight="1" x14ac:dyDescent="0.2">
      <c r="A49" s="461" t="str">
        <f>INDEX(LA!$A248:$J248,,Info!$A$5)</f>
        <v>ultimate strain of steel         ε_s</v>
      </c>
      <c r="B49" s="465"/>
      <c r="C49" s="466"/>
      <c r="D49" s="203">
        <f>StB_Ks_MN($A$4-1,$F$38,$G$38,$G$42,$G$43,$H$42,$H$43,$A$9,$B$9,$C$9,$D$8*PI()/180,$C$54,$C$53,$A$14,$B$14,$C$14/1000,$D$14/1000,$E$14,$F$14,$G$14,$A$20,$B$20,$C$20,$D$20/1000,$E$20,$E$17-1,14)</f>
        <v>-2.3437511875283104E-3</v>
      </c>
      <c r="F49" s="461" t="str">
        <f>INDEX(LA!$A260:$J260,,Info!$A$5)</f>
        <v>strain of steel       ε_s</v>
      </c>
      <c r="G49" s="462"/>
      <c r="H49" s="230">
        <f>StB_Ks_MN($A$4-1,$F$38,$G$38,$G$42,$G$43,$H$42,$H$43,$A$9,$B$9,$C$9,$D$8*PI()/180,$C$54,$C$53,$A$14,$B$14,$C$14/1000,$D$14/1000,$E$14,$F$14,$G$14,$A$20,$B$20,$C$20,$D$20/1000,$E$20,$E$17-1,24)</f>
        <v>-5.1222123515221388E-4</v>
      </c>
    </row>
    <row r="50" spans="1:8" ht="12" customHeight="1" x14ac:dyDescent="0.2">
      <c r="A50" s="467"/>
      <c r="B50" s="468"/>
      <c r="C50" s="469"/>
      <c r="D50" s="204">
        <f>StB_Ks_MN($A$4-1,$F$38,$G$38,$G$42,$G$43,$H$42,$H$43,$A$9,$B$9,$C$9,$D$8*PI()/180,$C$54,$C$53,$A$14,$B$14,$C$14/1000,$D$14/1000,$E$14,$F$14,$G$14,$A$20,$B$20,$C$20,$D$20/1000,$E$20,$E$17-1,13)</f>
        <v>5.0342174253862806E-3</v>
      </c>
      <c r="F50" s="463"/>
      <c r="G50" s="464"/>
      <c r="H50" s="231">
        <f>StB_Ks_MN($A$4-1,$F$38,$G$38,$G$42,$G$43,$H$42,$H$43,$A$9,$B$9,$C$9,$D$8*PI()/180,$C$54,$C$53,$A$14,$B$14,$C$14/1000,$D$14/1000,$E$14,$F$14,$G$14,$A$20,$B$20,$C$20,$D$20/1000,$E$20,$E$17-1,23)</f>
        <v>1.2000000000000001E-3</v>
      </c>
    </row>
    <row r="51" spans="1:8" ht="12" customHeight="1" x14ac:dyDescent="0.2">
      <c r="A51" s="480" t="str">
        <f>INDEX(LA!$A249:$J249,,Info!$A$5)</f>
        <v>internal forces</v>
      </c>
      <c r="B51" s="481"/>
      <c r="C51" s="233" t="str">
        <f>INDEX(LA!$A250:$J250,,Info!$A$5)</f>
        <v>R_Md  [kNm]</v>
      </c>
      <c r="D51" s="224">
        <f>StB_Ks_MN($A$4-1,$F$38,$G$38,$G$42,$G$43,$H$42,$H$43,$A$9,$B$9,$C$9,$D$8*PI()/180,$C$54,$C$53,$A$14,$B$14,$C$14/1000,$D$14/1000,$E$14,$F$14,$G$14,$A$20,$B$20,$C$20,$D$20/1000,$E$20,$E$17-1,15)</f>
        <v>911.90847051183403</v>
      </c>
      <c r="F51" s="480" t="str">
        <f>INDEX(LA!$A249:$J249,,Info!$A$5)</f>
        <v>internal forces</v>
      </c>
      <c r="G51" s="222" t="str">
        <f>INDEX(LA!$A261:$J261,,Info!$A$5)</f>
        <v>R_Mk  [kNm]</v>
      </c>
      <c r="H51" s="224">
        <f>StB_Ks_MN($A$4-1,$F$38,$G$38,$G$42,$G$43,$H$42,$H$43,$A$9,$B$9,$C$9,$D$8*PI()/180,$C$54,$C$53,$A$14,$B$14,$C$14/1000,$D$14/1000,$E$14,$F$14,$G$14,$A$20,$B$20,$C$20,$D$20/1000,$E$20,$E$17-1,25)</f>
        <v>500.00008830650597</v>
      </c>
    </row>
    <row r="52" spans="1:8" ht="12" customHeight="1" x14ac:dyDescent="0.2">
      <c r="A52" s="482"/>
      <c r="B52" s="483"/>
      <c r="C52" s="234" t="str">
        <f>INDEX(LA!$A251:$J251,,Info!$A$5)</f>
        <v>R_Nd   [kN]</v>
      </c>
      <c r="D52" s="225">
        <f>StB_Ks_MN($A$4-1,$F$38,$G$38,$G$42,$G$43,$H$42,$H$43,$A$9,$B$9,$C$9,$D$8*PI()/180,$C$54,$C$53,$A$14,$B$14,$C$14/1000,$D$14/1000,$E$14,$F$14,$G$14,$A$20,$B$20,$C$20,$D$20/1000,$E$20,$E$17-1,16)</f>
        <v>-1261.0339938508389</v>
      </c>
      <c r="F52" s="482"/>
      <c r="G52" s="112" t="str">
        <f>INDEX(LA!$A262:$J262,,Info!$A$5)</f>
        <v>R_Nk   [kN]</v>
      </c>
      <c r="H52" s="225">
        <f>StB_Ks_MN($A$4-1,$F$38,$G$38,$G$42,$G$43,$H$42,$H$43,$A$9,$B$9,$C$9,$D$8*PI()/180,$C$54,$C$53,$A$14,$B$14,$C$14/1000,$D$14/1000,$E$14,$F$14,$G$14,$A$20,$B$20,$C$20,$D$20/1000,$E$20,$E$17-1,26)</f>
        <v>-700.00846306424955</v>
      </c>
    </row>
    <row r="53" spans="1:8" x14ac:dyDescent="0.2">
      <c r="A53" s="470" t="str">
        <f>INDEX(LA!$A254:$J254,,Info!$A$5)</f>
        <v>reinforce.  A_s2  [cm²]</v>
      </c>
      <c r="B53" s="485"/>
      <c r="C53" s="208"/>
      <c r="D53" s="205">
        <f>StB_Ks_MN($A$4-1,$F$38,$G$38,$G$42,$G$43,$H$42,$H$43,$A$9,$B$9,$C$9,$D$8*PI()/180,$C$54,$C$53,$A$14,$B$14,$C$14/1000,$D$14/1000,$E$14,$F$14,$G$14,$A$20,$B$20,$C$20,$D$20/1000,$E$20,$E$17-1,18)</f>
        <v>0</v>
      </c>
      <c r="F53" s="461" t="str">
        <f>INDEX(LA!$A263:$J263,,Info!$A$5)</f>
        <v>reinforce. stress σs [MPa]</v>
      </c>
      <c r="G53" s="462"/>
      <c r="H53" s="224">
        <f>StB_Ks_MN($A$4-1,$F$38,$G$38,$G$42,$G$43,$H$42,$H$43,$A$9,$B$9,$C$9,$D$8*PI()/180,$C$54,$C$53,$A$14,$B$14,$C$14/1000,$D$14/1000,$E$14,$F$14,$G$14,$A$20,$B$20,$C$20,$D$20/1000,$E$20,$E$17-1,28)</f>
        <v>-102.44424703044277</v>
      </c>
    </row>
    <row r="54" spans="1:8" x14ac:dyDescent="0.2">
      <c r="A54" s="486" t="str">
        <f>INDEX(LA!$A253:$J253,,Info!$A$5)</f>
        <v>reinforce.  A_s1  [cm²]</v>
      </c>
      <c r="B54" s="487"/>
      <c r="C54" s="209"/>
      <c r="D54" s="206">
        <f>StB_Ks_MN($A$4-1,$F$38,$G$38,$G$42,$G$43,$H$42,$H$43,$A$9,$B$9,$C$9,$D$8*PI()/180,$C$54,$C$53,$A$14,$B$14,$C$14/1000,$D$14/1000,$E$14,$F$14,$G$14,$A$20,$B$20,$C$20,$D$20/1000,$E$20,$E$17-1,17)</f>
        <v>15.296344513206504</v>
      </c>
      <c r="F54" s="463"/>
      <c r="G54" s="464"/>
      <c r="H54" s="225">
        <f>StB_Ks_MN($A$4-1,$F$38,$G$38,$G$42,$G$43,$H$42,$H$43,$A$9,$B$9,$C$9,$D$8*PI()/180,$C$54,$C$53,$A$14,$B$14,$C$14/1000,$D$14/1000,$E$14,$F$14,$G$14,$A$20,$B$20,$C$20,$D$20/1000,$E$20,$E$17-1,27)</f>
        <v>240.00000000000003</v>
      </c>
    </row>
    <row r="55" spans="1:8" x14ac:dyDescent="0.2">
      <c r="A55" s="478" t="str">
        <f>IF($H$79=0,INDEX(LA!$A255:$J255,,Info!$A$5),INDEX(LA!$A256:$J256,,Info!$A$5))</f>
        <v>utilization   =   req. A_s / A_s</v>
      </c>
      <c r="B55" s="484"/>
      <c r="C55" s="479"/>
      <c r="D55" s="207">
        <f>StB_Ks_MN($A$4-1,$F$38,$G$38,$G$42,$G$43,$H$42,$H$43,$A$9,$B$9,$C$9,$D$8*PI()/180,$C$54,$C$53,$A$14,$B$14,$C$14/1000,$D$14/1000,$E$14,$F$14,$G$14,$A$20,$B$20,$C$20,$D$20/1000,$E$20,$E$17-1,19)</f>
        <v>0.76167698169392295</v>
      </c>
    </row>
    <row r="57" spans="1:8" ht="12.75" x14ac:dyDescent="0.2">
      <c r="A57" s="7" t="str">
        <f>INDEX(LA!$A264:$J264,,Info!$A$5)</f>
        <v>Shear Reinforcement</v>
      </c>
    </row>
    <row r="58" spans="1:8" x14ac:dyDescent="0.2">
      <c r="A58" s="478" t="str">
        <f>INDEX(LA!$A265:$J265,,Info!$A$5)</f>
        <v>internal force  /  lever arm</v>
      </c>
      <c r="B58" s="479"/>
      <c r="C58" s="239" t="str">
        <f>INDEX(LA!$A266:$J266,,Info!$A$5)</f>
        <v>[kN]</v>
      </c>
      <c r="D58" s="239" t="str">
        <f>INDEX(LA!$A267:$J267,,Info!$A$5)</f>
        <v>[mm]</v>
      </c>
      <c r="F58" s="478" t="str">
        <f>$A101</f>
        <v>min. a_s     [cm²/m]</v>
      </c>
      <c r="G58" s="479"/>
      <c r="H58" s="227">
        <f>StB_Ks_Q($A$4-1,$F$38,$G$38,$G$42,$G$43,$G$44,$A$9,$B$9,$C$9,$D$8*PI()/180,$D$54,$D$53,$A$14,$B$14,$C$14/1000,$D$14/1000,$E$14,$F$14,$G$14,$A$20,$B$20,$C$20,$D$20/1000,$F$63,$G$63,$H$63,20)</f>
        <v>6.4011624898698374</v>
      </c>
    </row>
    <row r="59" spans="1:8" x14ac:dyDescent="0.2">
      <c r="A59" s="478" t="str">
        <f>INDEX(LA!$A268:$J268,,Info!$A$5)</f>
        <v>compress. concrete C_cu</v>
      </c>
      <c r="B59" s="479"/>
      <c r="C59" s="162">
        <f>StB_Ks_Q($A$4-1,$F$38,$G$38,$G$42,$G$43,$G$44,$A$9,$B$9,$C$9,$D$8*PI()/180,$D$54,$D$53,$A$14,$B$14,$C$14/1000,$D$14/1000,$E$14,$F$14,$G$14,$A$20,$B$20,$C$20,$D$20/1000,$F$63,$G$63,$H$63,11)</f>
        <v>-2110.33761984797</v>
      </c>
      <c r="D59" s="162">
        <f>StB_Ks_Q($A$4-1,$F$38,$G$38,$G$42,$G$43,$G$44,$A$9,$B$9,$C$9,$D$8*PI()/180,$D$54,$D$53,$A$14,$B$14,$C$14/1000,$D$14/1000,$E$14,$F$14,$G$14,$A$20,$B$20,$C$20,$D$20/1000,$F$63,$G$63,$H$63,12)</f>
        <v>-283.31217778949531</v>
      </c>
    </row>
    <row r="60" spans="1:8" x14ac:dyDescent="0.2">
      <c r="A60" s="478" t="str">
        <f>INDEX(LA!$A269:$J269,,Info!$A$5)</f>
        <v>compress. reinf.      C_su</v>
      </c>
      <c r="B60" s="479"/>
      <c r="C60" s="162">
        <f>StB_Ks_Q($A$4-1,$F$38,$G$38,$G$42,$G$43,$G$44,$A$9,$B$9,$C$9,$D$8*PI()/180,$D$54,$D$53,$A$14,$B$14,$C$14/1000,$D$14/1000,$E$14,$F$14,$G$14,$A$20,$B$20,$C$20,$D$20/1000,$F$63,$G$63,$H$63,15)</f>
        <v>-151.46083937554218</v>
      </c>
      <c r="D60" s="162">
        <f>StB_Ks_Q($A$4-1,$F$38,$G$38,$G$42,$G$43,$G$44,$A$9,$B$9,$C$9,$D$8*PI()/180,$D$54,$D$53,$A$14,$B$14,$C$14/1000,$D$14/1000,$E$14,$F$14,$G$14,$A$20,$B$20,$C$20,$D$20/1000,$F$63,$G$63,$H$63,16)</f>
        <v>-290.64934168622216</v>
      </c>
      <c r="F60" s="238" t="str">
        <f>$A102</f>
        <v>V_Rdc</v>
      </c>
      <c r="G60" s="238" t="str">
        <f>$A104</f>
        <v>V_Rdmax</v>
      </c>
      <c r="H60" s="238" t="str">
        <f>$A106</f>
        <v>cot(θ)</v>
      </c>
    </row>
    <row r="61" spans="1:8" x14ac:dyDescent="0.2">
      <c r="A61" s="478" t="str">
        <f>INDEX(LA!$A270:$J270,,Info!$A$5)</f>
        <v>tension reinforce.     T_su</v>
      </c>
      <c r="B61" s="479"/>
      <c r="C61" s="162">
        <f>StB_Ks_Q($A$4-1,$F$38,$G$38,$G$42,$G$43,$G$44,$A$9,$B$9,$C$9,$D$8*PI()/180,$D$54,$D$53,$A$14,$B$14,$C$14/1000,$D$14/1000,$E$14,$F$14,$G$14,$A$20,$B$20,$C$20,$D$20/1000,$F$63,$G$63,$H$63,13)</f>
        <v>1000.764465372673</v>
      </c>
      <c r="D61" s="162">
        <f>StB_Ks_Q($A$4-1,$F$38,$G$38,$G$42,$G$43,$G$44,$A$9,$B$9,$C$9,$D$8*PI()/180,$D$54,$D$53,$A$14,$B$14,$C$14/1000,$D$14/1000,$E$14,$F$14,$G$14,$A$20,$B$20,$C$20,$D$20/1000,$F$63,$G$63,$H$63,14)</f>
        <v>407.2335414536002</v>
      </c>
      <c r="F61" s="105" t="str">
        <f>$A103</f>
        <v>[kN]</v>
      </c>
      <c r="G61" s="105" t="str">
        <f>$A105</f>
        <v>[kN]</v>
      </c>
      <c r="H61" s="105" t="str">
        <f>$A107</f>
        <v>[1]</v>
      </c>
    </row>
    <row r="62" spans="1:8" x14ac:dyDescent="0.2">
      <c r="A62" s="478" t="str">
        <f>INDEX(LA!$A271:$J271,,Info!$A$5)</f>
        <v>couple of forces</v>
      </c>
      <c r="B62" s="479"/>
      <c r="C62" s="224">
        <f>StB_Ks_Q($A$4-1,$F$38,$G$38,$G$42,$G$43,$G$44,$A$9,$B$9,$C$9,$D$8*PI()/180,$D$54,$D$53,$A$14,$B$14,$C$14/1000,$D$14/1000,$E$14,$F$14,$G$14,$A$20,$B$20,$C$20,$D$20/1000,$F$63,$G$63,$H$63,17)</f>
        <v>1000.764465372673</v>
      </c>
      <c r="D62" s="162">
        <f>StB_Ks_Q($A$4-1,$F$38,$G$38,$G$42,$G$43,$G$44,$A$9,$B$9,$C$9,$D$8*PI()/180,$D$54,$D$53,$A$14,$B$14,$C$14/1000,$D$14/1000,$E$14,$F$14,$G$14,$A$20,$B$20,$C$20,$D$20/1000,$F$63,$G$63,$H$63,18)</f>
        <v>691.03705081947987</v>
      </c>
      <c r="F62" s="227">
        <f>StB_Ks_Q($A$4-1,$F$38,$G$38,$G$42,$G$43,$G$44,$A$9,$B$9,$C$9,$D$8*PI()/180,$D$54,$D$53,$A$14,$B$14,$C$14/1000,$D$14/1000,$E$14,$F$14,$G$14,$A$20,$B$20,$C$20,$D$20/1000,$F$63,$G$63,$H$63,21)</f>
        <v>281.07603533940414</v>
      </c>
      <c r="G62" s="227">
        <f>StB_Ks_Q($A$4-1,$F$38,$G$38,$G$42,$G$43,$G$44,$A$9,$B$9,$C$9,$D$8*PI()/180,$D$54,$D$53,$A$14,$B$14,$C$14/1000,$D$14/1000,$E$14,$F$14,$G$14,$A$20,$B$20,$C$20,$D$20/1000,$F$63,$G$63,$H$63,22)</f>
        <v>1732.4774508406554</v>
      </c>
      <c r="H62" s="227">
        <f>StB_Ks_Q($A$4-1,$F$38,$G$38,$G$42,$G$43,$G$44,$A$9,$B$9,$C$9,$D$8*PI()/180,$D$54,$D$53,$A$14,$B$14,$C$14/1000,$D$14/1000,$E$14,$F$14,$G$14,$A$20,$B$20,$C$20,$D$20/1000,$F$63,$G$63,$H$63,23)</f>
        <v>2.7162197459755757</v>
      </c>
    </row>
    <row r="63" spans="1:8" x14ac:dyDescent="0.2">
      <c r="A63" s="478" t="str">
        <f>INDEX(LA!$A272:$J272,,Info!$A$5)</f>
        <v>shear reinforce.   req. a_s [cm²/m]</v>
      </c>
      <c r="B63" s="484"/>
      <c r="C63" s="479"/>
      <c r="D63" s="207">
        <f>StB_Ks_Q($A$4-1,$F$38,$G$38,$G$42,$G$43,$G$44,$A$9,$B$9,$C$9,$D$8*PI()/180,$D$54,$D$53,$A$14,$B$14,$C$14/1000,$D$14/1000,$E$14,$F$14,$G$14,$A$20,$B$20,$C$20,$D$20/1000,$F$63,$G$63,$H$63,19)</f>
        <v>6.4011624898698374</v>
      </c>
      <c r="F63" s="158"/>
      <c r="G63" s="158"/>
      <c r="H63" s="158"/>
    </row>
    <row r="70" spans="1:8" hidden="1" x14ac:dyDescent="0.2">
      <c r="A70" s="149" t="s">
        <v>378</v>
      </c>
    </row>
    <row r="71" spans="1:8" hidden="1" x14ac:dyDescent="0.2">
      <c r="A71" s="149" t="s">
        <v>608</v>
      </c>
      <c r="B71" s="149" t="s">
        <v>606</v>
      </c>
    </row>
    <row r="72" spans="1:8" hidden="1" x14ac:dyDescent="0.2">
      <c r="A72" s="149" t="s">
        <v>632</v>
      </c>
      <c r="B72" s="168" t="s">
        <v>634</v>
      </c>
    </row>
    <row r="73" spans="1:8" hidden="1" x14ac:dyDescent="0.2">
      <c r="A73" s="149" t="s">
        <v>633</v>
      </c>
      <c r="B73" s="168" t="s">
        <v>634</v>
      </c>
    </row>
    <row r="74" spans="1:8" hidden="1" x14ac:dyDescent="0.2">
      <c r="A74" s="169" t="s">
        <v>593</v>
      </c>
      <c r="B74" s="168" t="s">
        <v>580</v>
      </c>
    </row>
    <row r="75" spans="1:8" hidden="1" x14ac:dyDescent="0.2">
      <c r="A75" s="169" t="s">
        <v>396</v>
      </c>
      <c r="B75" s="168" t="s">
        <v>655</v>
      </c>
    </row>
    <row r="77" spans="1:8" hidden="1" x14ac:dyDescent="0.2"/>
    <row r="78" spans="1:8" hidden="1" x14ac:dyDescent="0.2">
      <c r="A78" s="171" t="s">
        <v>512</v>
      </c>
      <c r="H78" s="171" t="s">
        <v>686</v>
      </c>
    </row>
    <row r="79" spans="1:8" hidden="1" x14ac:dyDescent="0.2">
      <c r="A79" s="248">
        <v>1</v>
      </c>
      <c r="B79" s="250" t="str">
        <f>'StB-Werte'!B79</f>
        <v>DIN 1045:1988</v>
      </c>
      <c r="C79" s="159"/>
      <c r="D79" s="159"/>
      <c r="E79" s="160"/>
      <c r="H79" s="248">
        <f>IF(AND($D$49="",$D$50=""),0,1)</f>
        <v>1</v>
      </c>
    </row>
    <row r="80" spans="1:8" hidden="1" x14ac:dyDescent="0.2">
      <c r="A80" s="248">
        <v>2</v>
      </c>
      <c r="B80" s="250" t="str">
        <f>'StB-Werte'!B80</f>
        <v>DIN 1045:2008</v>
      </c>
      <c r="C80" s="159"/>
      <c r="D80" s="159"/>
      <c r="E80" s="160"/>
    </row>
    <row r="81" spans="1:13" hidden="1" x14ac:dyDescent="0.2">
      <c r="A81" s="248">
        <v>3</v>
      </c>
      <c r="B81" s="250" t="str">
        <f>'StB-Werte'!B81</f>
        <v>EN 1992-1-1:2004  (Eurocode 2)</v>
      </c>
      <c r="C81" s="159"/>
      <c r="D81" s="159"/>
      <c r="E81" s="160"/>
    </row>
    <row r="82" spans="1:13" hidden="1" x14ac:dyDescent="0.2">
      <c r="A82" s="248">
        <v>4</v>
      </c>
      <c r="B82" s="250" t="str">
        <f>'StB-Werte'!B82</f>
        <v>DIN EN 1992-1-1:2004 + AC:2010 + NA:2011</v>
      </c>
      <c r="C82" s="159"/>
      <c r="D82" s="159"/>
      <c r="E82" s="160"/>
    </row>
    <row r="83" spans="1:13" hidden="1" x14ac:dyDescent="0.2">
      <c r="A83" s="248">
        <v>5</v>
      </c>
      <c r="B83" s="250" t="str">
        <f>'StB-Werte'!B83</f>
        <v/>
      </c>
      <c r="C83" s="159"/>
      <c r="D83" s="159"/>
      <c r="E83" s="160"/>
    </row>
    <row r="84" spans="1:13" hidden="1" x14ac:dyDescent="0.2"/>
    <row r="85" spans="1:13" hidden="1" x14ac:dyDescent="0.2">
      <c r="A85" s="171" t="str">
        <f>B11</f>
        <v>Concrete</v>
      </c>
      <c r="B85" s="171">
        <v>1</v>
      </c>
      <c r="C85" s="171">
        <v>2</v>
      </c>
      <c r="D85" s="171">
        <v>3</v>
      </c>
      <c r="E85" s="171">
        <v>4</v>
      </c>
      <c r="F85" s="171">
        <v>5</v>
      </c>
      <c r="H85" s="171" t="str">
        <f>B17</f>
        <v>Reinforcement</v>
      </c>
      <c r="I85" s="171">
        <v>1</v>
      </c>
      <c r="J85" s="171">
        <v>2</v>
      </c>
      <c r="K85" s="171">
        <v>3</v>
      </c>
      <c r="L85" s="171">
        <v>4</v>
      </c>
      <c r="M85" s="171">
        <v>5</v>
      </c>
    </row>
    <row r="86" spans="1:13" hidden="1" x14ac:dyDescent="0.2">
      <c r="A86" s="247" t="str">
        <f>INDEX(B86:F86,,$A$4)</f>
        <v>cylinder str.</v>
      </c>
      <c r="B86" s="251" t="str">
        <f>'StB-Werte'!B86</f>
        <v>cube strength</v>
      </c>
      <c r="C86" s="251" t="str">
        <f>'StB-Werte'!C86</f>
        <v>cylinder str.</v>
      </c>
      <c r="D86" s="251" t="str">
        <f>'StB-Werte'!D86</f>
        <v>cylinder str.</v>
      </c>
      <c r="E86" s="251" t="str">
        <f>'StB-Werte'!E86</f>
        <v>cylinder str.</v>
      </c>
      <c r="F86" s="251" t="str">
        <f>'StB-Werte'!F86</f>
        <v/>
      </c>
      <c r="H86" s="247" t="str">
        <f>INDEX(I86:M86,,$A$4)</f>
        <v>yield stress</v>
      </c>
      <c r="I86" s="251" t="str">
        <f>'StB-Werte'!I86</f>
        <v>yield stress</v>
      </c>
      <c r="J86" s="251" t="str">
        <f>'StB-Werte'!J86</f>
        <v>yield stress</v>
      </c>
      <c r="K86" s="251" t="str">
        <f>'StB-Werte'!K86</f>
        <v>yield stress</v>
      </c>
      <c r="L86" s="251" t="str">
        <f>'StB-Werte'!L86</f>
        <v>yield stress</v>
      </c>
      <c r="M86" s="251" t="str">
        <f>'StB-Werte'!M86</f>
        <v/>
      </c>
    </row>
    <row r="87" spans="1:13" hidden="1" x14ac:dyDescent="0.2">
      <c r="A87" s="150" t="str">
        <f t="shared" ref="A87:A107" si="0">INDEX(B87:F87,,$A$4)</f>
        <v>f_ck [MPa]</v>
      </c>
      <c r="B87" s="252" t="str">
        <f>'StB-Werte'!B87</f>
        <v>β_WN [MPa]</v>
      </c>
      <c r="C87" s="252" t="str">
        <f>'StB-Werte'!C87</f>
        <v>f_ck [MPa]</v>
      </c>
      <c r="D87" s="252" t="str">
        <f>'StB-Werte'!D87</f>
        <v>f_ck [MPa]</v>
      </c>
      <c r="E87" s="252" t="str">
        <f>'StB-Werte'!E87</f>
        <v>f_ck [MPa]</v>
      </c>
      <c r="F87" s="252" t="str">
        <f>'StB-Werte'!F87</f>
        <v/>
      </c>
      <c r="H87" s="150" t="str">
        <f t="shared" ref="H87:H98" si="1">INDEX(I87:M87,,$A$4)</f>
        <v>f_yk  [MPa]</v>
      </c>
      <c r="I87" s="252" t="str">
        <f>'StB-Werte'!I87</f>
        <v>f_yk  [MPa]</v>
      </c>
      <c r="J87" s="252" t="str">
        <f>'StB-Werte'!J87</f>
        <v>f_yk  [MPa]</v>
      </c>
      <c r="K87" s="252" t="str">
        <f>'StB-Werte'!K87</f>
        <v>f_yk  [MPa]</v>
      </c>
      <c r="L87" s="252" t="str">
        <f>'StB-Werte'!L87</f>
        <v>f_yk  [MPa]</v>
      </c>
      <c r="M87" s="252" t="str">
        <f>'StB-Werte'!M87</f>
        <v/>
      </c>
    </row>
    <row r="88" spans="1:13" hidden="1" x14ac:dyDescent="0.2">
      <c r="A88" s="150" t="str">
        <f t="shared" si="0"/>
        <v>reduct.factor</v>
      </c>
      <c r="B88" s="252" t="str">
        <f>'StB-Werte'!B88</f>
        <v>reduct.factor</v>
      </c>
      <c r="C88" s="252" t="str">
        <f>'StB-Werte'!C88</f>
        <v>reduct.factor</v>
      </c>
      <c r="D88" s="252" t="str">
        <f>'StB-Werte'!D88</f>
        <v>reduct.factor</v>
      </c>
      <c r="E88" s="252" t="str">
        <f>'StB-Werte'!E88</f>
        <v>reduct.factor</v>
      </c>
      <c r="F88" s="252" t="str">
        <f>'StB-Werte'!F88</f>
        <v/>
      </c>
      <c r="H88" s="150" t="str">
        <f t="shared" si="1"/>
        <v>tens.strength</v>
      </c>
      <c r="I88" s="252" t="str">
        <f>'StB-Werte'!I88</f>
        <v>tens.strength</v>
      </c>
      <c r="J88" s="252" t="str">
        <f>'StB-Werte'!J88</f>
        <v>tens.strength</v>
      </c>
      <c r="K88" s="252" t="str">
        <f>'StB-Werte'!K88</f>
        <v>tens.strength</v>
      </c>
      <c r="L88" s="252" t="str">
        <f>'StB-Werte'!L88</f>
        <v>tens.strength</v>
      </c>
      <c r="M88" s="252" t="str">
        <f>'StB-Werte'!M88</f>
        <v/>
      </c>
    </row>
    <row r="89" spans="1:13" hidden="1" x14ac:dyDescent="0.2">
      <c r="A89" s="150" t="str">
        <f t="shared" si="0"/>
        <v>α   [1]</v>
      </c>
      <c r="B89" s="252" t="str">
        <f>'StB-Werte'!B89</f>
        <v>α   [1]</v>
      </c>
      <c r="C89" s="252" t="str">
        <f>'StB-Werte'!C89</f>
        <v>α   [1]</v>
      </c>
      <c r="D89" s="252" t="str">
        <f>'StB-Werte'!D89</f>
        <v>α   [1]</v>
      </c>
      <c r="E89" s="252" t="str">
        <f>'StB-Werte'!E89</f>
        <v>α   [1]</v>
      </c>
      <c r="F89" s="252" t="str">
        <f>'StB-Werte'!F89</f>
        <v/>
      </c>
      <c r="H89" s="150" t="str">
        <f t="shared" si="1"/>
        <v>f_tk  [MPa]</v>
      </c>
      <c r="I89" s="252" t="str">
        <f>'StB-Werte'!I89</f>
        <v>f_tk  [MPa]</v>
      </c>
      <c r="J89" s="252" t="str">
        <f>'StB-Werte'!J89</f>
        <v>f_tk  [MPa]</v>
      </c>
      <c r="K89" s="252" t="str">
        <f>'StB-Werte'!K89</f>
        <v>f_tk  [MPa]</v>
      </c>
      <c r="L89" s="252" t="str">
        <f>'StB-Werte'!L89</f>
        <v>f_tk  [MPa]</v>
      </c>
      <c r="M89" s="252" t="str">
        <f>'StB-Werte'!M89</f>
        <v/>
      </c>
    </row>
    <row r="90" spans="1:13" hidden="1" x14ac:dyDescent="0.2">
      <c r="A90" s="150" t="str">
        <f t="shared" si="0"/>
        <v>stress-strain curve</v>
      </c>
      <c r="B90" s="252" t="str">
        <f>'StB-Werte'!B90</f>
        <v>stress-strain curve</v>
      </c>
      <c r="C90" s="252" t="str">
        <f>'StB-Werte'!C90</f>
        <v>stress-strain curve</v>
      </c>
      <c r="D90" s="252" t="str">
        <f>'StB-Werte'!D90</f>
        <v>stress-strain curve</v>
      </c>
      <c r="E90" s="252" t="str">
        <f>'StB-Werte'!E90</f>
        <v>stress-strain curve</v>
      </c>
      <c r="F90" s="252" t="str">
        <f>'StB-Werte'!F90</f>
        <v/>
      </c>
      <c r="H90" s="150" t="str">
        <f t="shared" si="1"/>
        <v>Young's m.</v>
      </c>
      <c r="I90" s="252" t="str">
        <f>'StB-Werte'!I90</f>
        <v>Young's m.</v>
      </c>
      <c r="J90" s="252" t="str">
        <f>'StB-Werte'!J90</f>
        <v>Young's m.</v>
      </c>
      <c r="K90" s="252" t="str">
        <f>'StB-Werte'!K90</f>
        <v>Young's m.</v>
      </c>
      <c r="L90" s="252" t="str">
        <f>'StB-Werte'!L90</f>
        <v>Young's m.</v>
      </c>
      <c r="M90" s="252" t="str">
        <f>'StB-Werte'!M90</f>
        <v/>
      </c>
    </row>
    <row r="91" spans="1:13" hidden="1" x14ac:dyDescent="0.2">
      <c r="A91" s="150" t="str">
        <f t="shared" si="0"/>
        <v>ε_c2  [‰]</v>
      </c>
      <c r="B91" s="252" t="str">
        <f>'StB-Werte'!B91</f>
        <v>ε_c2  [‰]</v>
      </c>
      <c r="C91" s="252" t="str">
        <f>'StB-Werte'!C91</f>
        <v>ε_c2  [‰]</v>
      </c>
      <c r="D91" s="252" t="str">
        <f>'StB-Werte'!D91</f>
        <v>ε_c2  [‰]</v>
      </c>
      <c r="E91" s="252" t="str">
        <f>'StB-Werte'!E91</f>
        <v>ε_c2  [‰]</v>
      </c>
      <c r="F91" s="252" t="str">
        <f>'StB-Werte'!F91</f>
        <v/>
      </c>
      <c r="H91" s="150" t="str">
        <f t="shared" si="1"/>
        <v>E  [MPa]</v>
      </c>
      <c r="I91" s="252" t="str">
        <f>'StB-Werte'!I91</f>
        <v>E  [MPa]</v>
      </c>
      <c r="J91" s="252" t="str">
        <f>'StB-Werte'!J91</f>
        <v>E  [MPa]</v>
      </c>
      <c r="K91" s="252" t="str">
        <f>'StB-Werte'!K91</f>
        <v>E  [MPa]</v>
      </c>
      <c r="L91" s="252" t="str">
        <f>'StB-Werte'!L91</f>
        <v>E  [MPa]</v>
      </c>
      <c r="M91" s="252" t="str">
        <f>'StB-Werte'!M91</f>
        <v/>
      </c>
    </row>
    <row r="92" spans="1:13" hidden="1" x14ac:dyDescent="0.2">
      <c r="A92" s="150" t="str">
        <f t="shared" si="0"/>
        <v>ε_c2u [‰]</v>
      </c>
      <c r="B92" s="252" t="str">
        <f>'StB-Werte'!B92</f>
        <v>ε_c2u [‰]</v>
      </c>
      <c r="C92" s="252" t="str">
        <f>'StB-Werte'!C92</f>
        <v>ε_c2u [‰]</v>
      </c>
      <c r="D92" s="252" t="str">
        <f>'StB-Werte'!D92</f>
        <v>ε_c2u [‰]</v>
      </c>
      <c r="E92" s="252" t="str">
        <f>'StB-Werte'!E92</f>
        <v>ε_c2u [‰]</v>
      </c>
      <c r="F92" s="252" t="str">
        <f>'StB-Werte'!F92</f>
        <v/>
      </c>
      <c r="H92" s="150" t="str">
        <f t="shared" si="1"/>
        <v>max. strain</v>
      </c>
      <c r="I92" s="252" t="str">
        <f>'StB-Werte'!I92</f>
        <v>max. strain</v>
      </c>
      <c r="J92" s="252" t="str">
        <f>'StB-Werte'!J92</f>
        <v>max. strain</v>
      </c>
      <c r="K92" s="252" t="str">
        <f>'StB-Werte'!K92</f>
        <v>max. strain</v>
      </c>
      <c r="L92" s="252" t="str">
        <f>'StB-Werte'!L92</f>
        <v>max. strain</v>
      </c>
      <c r="M92" s="252" t="str">
        <f>'StB-Werte'!M92</f>
        <v/>
      </c>
    </row>
    <row r="93" spans="1:13" hidden="1" x14ac:dyDescent="0.2">
      <c r="A93" s="150" t="str">
        <f t="shared" si="0"/>
        <v>exp. [1]</v>
      </c>
      <c r="B93" s="252" t="str">
        <f>'StB-Werte'!B93</f>
        <v>exp. [1]</v>
      </c>
      <c r="C93" s="252" t="str">
        <f>'StB-Werte'!C93</f>
        <v>exp. [1]</v>
      </c>
      <c r="D93" s="252" t="str">
        <f>'StB-Werte'!D93</f>
        <v>exp. [1]</v>
      </c>
      <c r="E93" s="252" t="str">
        <f>'StB-Werte'!E93</f>
        <v>exp. [1]</v>
      </c>
      <c r="F93" s="252" t="str">
        <f>'StB-Werte'!F93</f>
        <v/>
      </c>
      <c r="H93" s="150" t="str">
        <f t="shared" si="1"/>
        <v>ε_s,u  [‰]</v>
      </c>
      <c r="I93" s="252" t="str">
        <f>'StB-Werte'!I93</f>
        <v>ε_s,u  [‰]</v>
      </c>
      <c r="J93" s="252" t="str">
        <f>'StB-Werte'!J93</f>
        <v>ε_s,u  [‰]</v>
      </c>
      <c r="K93" s="252" t="str">
        <f>'StB-Werte'!K93</f>
        <v>ε_s,u  [‰]</v>
      </c>
      <c r="L93" s="252" t="str">
        <f>'StB-Werte'!L93</f>
        <v>ε_s,u  [‰]</v>
      </c>
      <c r="M93" s="252" t="str">
        <f>'StB-Werte'!M93</f>
        <v/>
      </c>
    </row>
    <row r="94" spans="1:13" hidden="1" x14ac:dyDescent="0.2">
      <c r="A94" s="150" t="str">
        <f t="shared" si="0"/>
        <v>E_cm</v>
      </c>
      <c r="B94" s="252" t="str">
        <f>'StB-Werte'!B94</f>
        <v>E_cm</v>
      </c>
      <c r="C94" s="252" t="str">
        <f>'StB-Werte'!C94</f>
        <v>E_cm</v>
      </c>
      <c r="D94" s="252" t="str">
        <f>'StB-Werte'!D94</f>
        <v>E_cm</v>
      </c>
      <c r="E94" s="252" t="str">
        <f>'StB-Werte'!E94</f>
        <v>E_cm</v>
      </c>
      <c r="F94" s="252" t="str">
        <f>'StB-Werte'!F94</f>
        <v/>
      </c>
      <c r="H94" s="150" t="str">
        <f t="shared" si="1"/>
        <v>max. σs [MPa]</v>
      </c>
      <c r="I94" s="252" t="str">
        <f>'StB-Werte'!I94</f>
        <v>max. σs [MPa]</v>
      </c>
      <c r="J94" s="252" t="str">
        <f>'StB-Werte'!J94</f>
        <v>max. σs [MPa]</v>
      </c>
      <c r="K94" s="252" t="str">
        <f>'StB-Werte'!K94</f>
        <v>max. σs [MPa]</v>
      </c>
      <c r="L94" s="252" t="str">
        <f>'StB-Werte'!L94</f>
        <v>max. σs [MPa]</v>
      </c>
      <c r="M94" s="252" t="str">
        <f>'StB-Werte'!M94</f>
        <v/>
      </c>
    </row>
    <row r="95" spans="1:13" hidden="1" x14ac:dyDescent="0.2">
      <c r="A95" s="150" t="str">
        <f t="shared" si="0"/>
        <v>[MPa]</v>
      </c>
      <c r="B95" s="252" t="str">
        <f>'StB-Werte'!B95</f>
        <v>[MPa]</v>
      </c>
      <c r="C95" s="252" t="str">
        <f>'StB-Werte'!C95</f>
        <v>[MPa]</v>
      </c>
      <c r="D95" s="252" t="str">
        <f>'StB-Werte'!D95</f>
        <v>[MPa]</v>
      </c>
      <c r="E95" s="252" t="str">
        <f>'StB-Werte'!E95</f>
        <v>[MPa]</v>
      </c>
      <c r="F95" s="252" t="str">
        <f>'StB-Werte'!F95</f>
        <v/>
      </c>
      <c r="H95" s="211" t="str">
        <f t="shared" si="1"/>
        <v>reinforce. bar</v>
      </c>
      <c r="I95" s="254" t="str">
        <f>'StB-Werte'!I95</f>
        <v>reinforce. bar</v>
      </c>
      <c r="J95" s="254" t="str">
        <f>'StB-Werte'!J95</f>
        <v>reinforce. bar</v>
      </c>
      <c r="K95" s="254" t="str">
        <f>'StB-Werte'!K95</f>
        <v>reinforce. bar</v>
      </c>
      <c r="L95" s="254" t="str">
        <f>'StB-Werte'!L95</f>
        <v>reinforce. bar</v>
      </c>
      <c r="M95" s="254" t="str">
        <f>'StB-Werte'!M95</f>
        <v/>
      </c>
    </row>
    <row r="96" spans="1:13" hidden="1" x14ac:dyDescent="0.2">
      <c r="A96" s="150" t="str">
        <f t="shared" si="0"/>
        <v>unreinforced</v>
      </c>
      <c r="B96" s="252" t="str">
        <f>'StB-Werte'!B96</f>
        <v>compression-loaded</v>
      </c>
      <c r="C96" s="252" t="str">
        <f>'StB-Werte'!C96</f>
        <v>unreinforced</v>
      </c>
      <c r="D96" s="252" t="str">
        <f>'StB-Werte'!D96</f>
        <v>unreinforced</v>
      </c>
      <c r="E96" s="252" t="str">
        <f>'StB-Werte'!E96</f>
        <v>unreinforced</v>
      </c>
      <c r="F96" s="252" t="str">
        <f>'StB-Werte'!F96</f>
        <v/>
      </c>
      <c r="H96" s="211" t="str">
        <f t="shared" si="1"/>
        <v>max. ds [mm]</v>
      </c>
      <c r="I96" s="254" t="str">
        <f>'StB-Werte'!I96</f>
        <v>max. ds [mm]</v>
      </c>
      <c r="J96" s="254" t="str">
        <f>'StB-Werte'!J96</f>
        <v>max. ds [mm]</v>
      </c>
      <c r="K96" s="254" t="str">
        <f>'StB-Werte'!K96</f>
        <v>max. ds [mm]</v>
      </c>
      <c r="L96" s="254" t="str">
        <f>'StB-Werte'!L96</f>
        <v>max. ds [mm]</v>
      </c>
      <c r="M96" s="254" t="str">
        <f>'StB-Werte'!M96</f>
        <v/>
      </c>
    </row>
    <row r="97" spans="1:62" hidden="1" x14ac:dyDescent="0.2">
      <c r="A97" s="150" t="str">
        <f t="shared" si="0"/>
        <v>safety</v>
      </c>
      <c r="B97" s="252" t="str">
        <f>'StB-Werte'!B97</f>
        <v>safety</v>
      </c>
      <c r="C97" s="252" t="str">
        <f>'StB-Werte'!C97</f>
        <v>safety</v>
      </c>
      <c r="D97" s="252" t="str">
        <f>'StB-Werte'!D97</f>
        <v>safety</v>
      </c>
      <c r="E97" s="252" t="str">
        <f>'StB-Werte'!E97</f>
        <v>safety</v>
      </c>
      <c r="F97" s="252" t="str">
        <f>'StB-Werte'!F97</f>
        <v/>
      </c>
      <c r="H97" s="211" t="str">
        <f t="shared" si="1"/>
        <v>bar spacing</v>
      </c>
      <c r="I97" s="254" t="str">
        <f>'StB-Werte'!I97</f>
        <v>bar spacing</v>
      </c>
      <c r="J97" s="254" t="str">
        <f>'StB-Werte'!J97</f>
        <v>bar spacing</v>
      </c>
      <c r="K97" s="254" t="str">
        <f>'StB-Werte'!K97</f>
        <v>bar spacing</v>
      </c>
      <c r="L97" s="254" t="str">
        <f>'StB-Werte'!L97</f>
        <v>bar spacing</v>
      </c>
      <c r="M97" s="254" t="str">
        <f>'StB-Werte'!M97</f>
        <v/>
      </c>
    </row>
    <row r="98" spans="1:62" hidden="1" x14ac:dyDescent="0.2">
      <c r="A98" s="150" t="str">
        <f t="shared" si="0"/>
        <v>Δα_pl  [1]</v>
      </c>
      <c r="B98" s="252" t="str">
        <f>'StB-Werte'!B98</f>
        <v>Δγ_pl  [1]</v>
      </c>
      <c r="C98" s="252" t="str">
        <f>'StB-Werte'!C98</f>
        <v>Δγ_c,pl  [1]</v>
      </c>
      <c r="D98" s="252" t="str">
        <f>'StB-Werte'!D98</f>
        <v>Δα_pl  [1]</v>
      </c>
      <c r="E98" s="252" t="str">
        <f>'StB-Werte'!E98</f>
        <v>Δα_pl  [1]</v>
      </c>
      <c r="F98" s="252" t="str">
        <f>'StB-Werte'!F98</f>
        <v/>
      </c>
      <c r="H98" s="191" t="str">
        <f t="shared" si="1"/>
        <v>max. s  [mm]</v>
      </c>
      <c r="I98" s="255" t="str">
        <f>'StB-Werte'!I98</f>
        <v>max. s  [mm]</v>
      </c>
      <c r="J98" s="255" t="str">
        <f>'StB-Werte'!J98</f>
        <v>max. s  [mm]</v>
      </c>
      <c r="K98" s="255" t="str">
        <f>'StB-Werte'!K98</f>
        <v>max. s  [mm]</v>
      </c>
      <c r="L98" s="255" t="str">
        <f>'StB-Werte'!L98</f>
        <v>max. s  [mm]</v>
      </c>
      <c r="M98" s="255" t="str">
        <f>'StB-Werte'!M98</f>
        <v/>
      </c>
    </row>
    <row r="99" spans="1:62" hidden="1" x14ac:dyDescent="0.2">
      <c r="A99" s="150" t="str">
        <f t="shared" si="0"/>
        <v>min.comp.reinf.</v>
      </c>
      <c r="B99" s="252" t="str">
        <f>'StB-Werte'!B99</f>
        <v>strain limits</v>
      </c>
      <c r="C99" s="252" t="str">
        <f>'StB-Werte'!C99</f>
        <v>min.comp.reinf.</v>
      </c>
      <c r="D99" s="252" t="str">
        <f>'StB-Werte'!D99</f>
        <v>min.comp.reinf.</v>
      </c>
      <c r="E99" s="252" t="str">
        <f>'StB-Werte'!E99</f>
        <v>min.comp.reinf.</v>
      </c>
      <c r="F99" s="252" t="str">
        <f>'StB-Werte'!F99</f>
        <v/>
      </c>
    </row>
    <row r="100" spans="1:62" hidden="1" x14ac:dyDescent="0.2">
      <c r="A100" s="150" t="str">
        <f t="shared" si="0"/>
        <v>N_Ed,min  [1]</v>
      </c>
      <c r="B100" s="252" t="str">
        <f>'StB-Werte'!B100</f>
        <v>ε_s  ε_s  [‰]</v>
      </c>
      <c r="C100" s="252" t="str">
        <f>'StB-Werte'!C100</f>
        <v>N_Ed,min  [1]</v>
      </c>
      <c r="D100" s="252" t="str">
        <f>'StB-Werte'!D100</f>
        <v>N_Ed   A_s[%]</v>
      </c>
      <c r="E100" s="252" t="str">
        <f>'StB-Werte'!E100</f>
        <v>N_Ed,min  [1]</v>
      </c>
      <c r="F100" s="252" t="str">
        <f>'StB-Werte'!F100</f>
        <v/>
      </c>
    </row>
    <row r="101" spans="1:62" hidden="1" x14ac:dyDescent="0.2">
      <c r="A101" s="150" t="str">
        <f t="shared" si="0"/>
        <v>min. a_s     [cm²/m]</v>
      </c>
      <c r="B101" s="252" t="str">
        <f>'StB-Werte'!B101</f>
        <v>basic value  τ_0    [MPa]</v>
      </c>
      <c r="C101" s="252" t="str">
        <f>'StB-Werte'!C101</f>
        <v>min. a_s     [cm²/m]</v>
      </c>
      <c r="D101" s="252" t="str">
        <f>'StB-Werte'!D101</f>
        <v>min. a_s     [cm²/m]</v>
      </c>
      <c r="E101" s="252" t="str">
        <f>'StB-Werte'!E101</f>
        <v>min. a_s     [cm²/m]</v>
      </c>
      <c r="F101" s="252" t="str">
        <f>'StB-Werte'!F101</f>
        <v/>
      </c>
    </row>
    <row r="102" spans="1:62" hidden="1" x14ac:dyDescent="0.2">
      <c r="A102" s="150" t="str">
        <f t="shared" si="0"/>
        <v>V_Rdc</v>
      </c>
      <c r="B102" s="252" t="str">
        <f>'StB-Werte'!B102</f>
        <v>τ_012</v>
      </c>
      <c r="C102" s="252" t="str">
        <f>'StB-Werte'!C102</f>
        <v>V_Rdc</v>
      </c>
      <c r="D102" s="252" t="str">
        <f>'StB-Werte'!D102</f>
        <v>V_Rdc</v>
      </c>
      <c r="E102" s="252" t="str">
        <f>'StB-Werte'!E102</f>
        <v>V_Rdc</v>
      </c>
      <c r="F102" s="252" t="str">
        <f>'StB-Werte'!F102</f>
        <v/>
      </c>
    </row>
    <row r="103" spans="1:62" hidden="1" x14ac:dyDescent="0.2">
      <c r="A103" s="150" t="str">
        <f t="shared" si="0"/>
        <v>[kN]</v>
      </c>
      <c r="B103" s="252" t="str">
        <f>'StB-Werte'!B103</f>
        <v>[MPa]</v>
      </c>
      <c r="C103" s="252" t="str">
        <f>'StB-Werte'!C103</f>
        <v>[kN]</v>
      </c>
      <c r="D103" s="252" t="str">
        <f>'StB-Werte'!D103</f>
        <v>[kN]</v>
      </c>
      <c r="E103" s="252" t="str">
        <f>'StB-Werte'!E103</f>
        <v>[kN]</v>
      </c>
      <c r="F103" s="252" t="str">
        <f>'StB-Werte'!F103</f>
        <v/>
      </c>
    </row>
    <row r="104" spans="1:62" hidden="1" x14ac:dyDescent="0.2">
      <c r="A104" s="150" t="str">
        <f t="shared" si="0"/>
        <v>V_Rdmax</v>
      </c>
      <c r="B104" s="252" t="str">
        <f>'StB-Werte'!B104</f>
        <v>τ_02</v>
      </c>
      <c r="C104" s="366" t="str">
        <f t="shared" ref="C104:E107" si="2">IF($H$79=0,$G104,$H104)</f>
        <v>V_Rdmax</v>
      </c>
      <c r="D104" s="366" t="str">
        <f t="shared" si="2"/>
        <v>V_Rdmax</v>
      </c>
      <c r="E104" s="366" t="str">
        <f t="shared" si="2"/>
        <v>V_Rdmax</v>
      </c>
      <c r="F104" s="252" t="str">
        <f>'StB-Werte'!F104</f>
        <v/>
      </c>
      <c r="G104" s="268" t="str">
        <f>'StB-Werte'!G104</f>
        <v>τ_cp</v>
      </c>
      <c r="H104" s="268" t="str">
        <f>'StB-Werte'!H104</f>
        <v>V_Rdmax</v>
      </c>
    </row>
    <row r="105" spans="1:62" hidden="1" x14ac:dyDescent="0.2">
      <c r="A105" s="150" t="str">
        <f t="shared" si="0"/>
        <v>[kN]</v>
      </c>
      <c r="B105" s="252" t="str">
        <f>'StB-Werte'!B105</f>
        <v>[MPa]</v>
      </c>
      <c r="C105" s="366" t="str">
        <f t="shared" si="2"/>
        <v>[kN]</v>
      </c>
      <c r="D105" s="366" t="str">
        <f t="shared" si="2"/>
        <v>[kN]</v>
      </c>
      <c r="E105" s="366" t="str">
        <f t="shared" si="2"/>
        <v>[kN]</v>
      </c>
      <c r="F105" s="252" t="str">
        <f>'StB-Werte'!F105</f>
        <v/>
      </c>
      <c r="G105" s="268" t="str">
        <f>'StB-Werte'!G105</f>
        <v>[MPa]</v>
      </c>
      <c r="H105" s="268" t="str">
        <f>'StB-Werte'!H105</f>
        <v>[kN]</v>
      </c>
    </row>
    <row r="106" spans="1:62" hidden="1" x14ac:dyDescent="0.2">
      <c r="A106" s="150" t="str">
        <f t="shared" si="0"/>
        <v>cot(θ)</v>
      </c>
      <c r="B106" s="252" t="str">
        <f>'StB-Werte'!B106</f>
        <v>τ_03</v>
      </c>
      <c r="C106" s="366" t="str">
        <f t="shared" si="2"/>
        <v>cot(θ)</v>
      </c>
      <c r="D106" s="366" t="str">
        <f t="shared" si="2"/>
        <v>cot(θ)</v>
      </c>
      <c r="E106" s="366" t="str">
        <f t="shared" si="2"/>
        <v>cot(θ)</v>
      </c>
      <c r="F106" s="252" t="str">
        <f>'StB-Werte'!F106</f>
        <v/>
      </c>
      <c r="G106" s="268" t="str">
        <f>'StB-Werte'!G106</f>
        <v>f_cvd</v>
      </c>
      <c r="H106" s="268" t="str">
        <f>'StB-Werte'!H106</f>
        <v>cot(θ)</v>
      </c>
    </row>
    <row r="107" spans="1:62" hidden="1" x14ac:dyDescent="0.2">
      <c r="A107" s="105" t="str">
        <f t="shared" si="0"/>
        <v>[1]</v>
      </c>
      <c r="B107" s="253" t="str">
        <f>'StB-Werte'!B107</f>
        <v>[MPa]</v>
      </c>
      <c r="C107" s="367" t="str">
        <f t="shared" si="2"/>
        <v>[1]</v>
      </c>
      <c r="D107" s="367" t="str">
        <f t="shared" si="2"/>
        <v>[1]</v>
      </c>
      <c r="E107" s="367" t="str">
        <f t="shared" si="2"/>
        <v>[1]</v>
      </c>
      <c r="F107" s="253" t="str">
        <f>'StB-Werte'!F107</f>
        <v/>
      </c>
      <c r="G107" s="268" t="str">
        <f>'StB-Werte'!G107</f>
        <v>[MPa]</v>
      </c>
      <c r="H107" s="268" t="str">
        <f>'StB-Werte'!H107</f>
        <v>[1]</v>
      </c>
    </row>
    <row r="108" spans="1:62" hidden="1" x14ac:dyDescent="0.2"/>
    <row r="109" spans="1:62" hidden="1" x14ac:dyDescent="0.2">
      <c r="A109" s="170" t="str">
        <f>B11</f>
        <v>Concrete</v>
      </c>
      <c r="B109" s="212">
        <v>1</v>
      </c>
      <c r="C109" s="212">
        <v>2</v>
      </c>
      <c r="D109" s="212">
        <v>3</v>
      </c>
      <c r="E109" s="212">
        <v>4</v>
      </c>
      <c r="F109" s="212">
        <v>5</v>
      </c>
      <c r="H109" s="213" t="s">
        <v>404</v>
      </c>
      <c r="I109" s="212">
        <v>1</v>
      </c>
      <c r="J109" s="212">
        <v>2</v>
      </c>
      <c r="K109" s="212">
        <v>3</v>
      </c>
      <c r="L109" s="212">
        <v>4</v>
      </c>
      <c r="M109" s="212">
        <v>5</v>
      </c>
      <c r="O109" s="213" t="s">
        <v>405</v>
      </c>
      <c r="P109" s="212">
        <v>1</v>
      </c>
      <c r="Q109" s="212">
        <v>2</v>
      </c>
      <c r="R109" s="212">
        <v>3</v>
      </c>
      <c r="S109" s="212">
        <v>4</v>
      </c>
      <c r="T109" s="212">
        <v>5</v>
      </c>
      <c r="V109" s="213" t="s">
        <v>497</v>
      </c>
      <c r="W109" s="212">
        <v>1</v>
      </c>
      <c r="X109" s="212">
        <v>2</v>
      </c>
      <c r="Y109" s="212">
        <v>3</v>
      </c>
      <c r="Z109" s="212">
        <v>4</v>
      </c>
      <c r="AA109" s="212">
        <v>5</v>
      </c>
      <c r="AC109" s="213" t="s">
        <v>498</v>
      </c>
      <c r="AD109" s="212">
        <v>1</v>
      </c>
      <c r="AE109" s="212">
        <v>2</v>
      </c>
      <c r="AF109" s="212">
        <v>3</v>
      </c>
      <c r="AG109" s="212">
        <v>4</v>
      </c>
      <c r="AH109" s="212">
        <v>5</v>
      </c>
      <c r="AJ109" s="213" t="s">
        <v>563</v>
      </c>
      <c r="AK109" s="212">
        <v>1</v>
      </c>
      <c r="AL109" s="212">
        <v>2</v>
      </c>
      <c r="AM109" s="212">
        <v>3</v>
      </c>
      <c r="AN109" s="212">
        <v>4</v>
      </c>
      <c r="AO109" s="212">
        <v>5</v>
      </c>
      <c r="AQ109" s="213" t="s">
        <v>599</v>
      </c>
      <c r="AR109" s="212">
        <v>1</v>
      </c>
      <c r="AS109" s="212">
        <v>2</v>
      </c>
      <c r="AT109" s="212">
        <v>3</v>
      </c>
      <c r="AU109" s="212">
        <v>4</v>
      </c>
      <c r="AV109" s="212">
        <v>5</v>
      </c>
      <c r="AX109" s="213" t="s">
        <v>499</v>
      </c>
      <c r="AY109" s="212">
        <v>1</v>
      </c>
      <c r="AZ109" s="212">
        <v>2</v>
      </c>
      <c r="BA109" s="212">
        <v>3</v>
      </c>
      <c r="BB109" s="212">
        <v>4</v>
      </c>
      <c r="BC109" s="212">
        <v>5</v>
      </c>
      <c r="BE109" s="213" t="s">
        <v>635</v>
      </c>
      <c r="BF109" s="212">
        <v>1</v>
      </c>
      <c r="BG109" s="212">
        <v>2</v>
      </c>
      <c r="BH109" s="212">
        <v>3</v>
      </c>
      <c r="BI109" s="212">
        <v>4</v>
      </c>
      <c r="BJ109" s="212">
        <v>5</v>
      </c>
    </row>
    <row r="110" spans="1:62" hidden="1" x14ac:dyDescent="0.2">
      <c r="A110" s="180" t="str">
        <f>INDEX(B110:F110,,$A$4)</f>
        <v>C 12/15</v>
      </c>
      <c r="B110" s="256" t="str">
        <f>'StB-Werte'!B110</f>
        <v>B 15</v>
      </c>
      <c r="C110" s="256" t="str">
        <f>'StB-Werte'!C110</f>
        <v>C 12/15</v>
      </c>
      <c r="D110" s="256" t="str">
        <f>'StB-Werte'!D110</f>
        <v>C 12/15</v>
      </c>
      <c r="E110" s="256" t="str">
        <f>'StB-Werte'!E110</f>
        <v>C 12/15</v>
      </c>
      <c r="F110" s="256" t="str">
        <f>'StB-Werte'!F110</f>
        <v/>
      </c>
      <c r="H110" s="183">
        <f>INDEX(I110:M110,,$A$4)</f>
        <v>12</v>
      </c>
      <c r="I110" s="262">
        <f>'StB-Werte'!I110</f>
        <v>15</v>
      </c>
      <c r="J110" s="262">
        <f>'StB-Werte'!J110</f>
        <v>12</v>
      </c>
      <c r="K110" s="262">
        <f>'StB-Werte'!K110</f>
        <v>12</v>
      </c>
      <c r="L110" s="262">
        <f>'StB-Werte'!L110</f>
        <v>12</v>
      </c>
      <c r="M110" s="262" t="str">
        <f>'StB-Werte'!M110</f>
        <v/>
      </c>
      <c r="O110" s="187">
        <f>INDEX(P110:T110,,$A$4)</f>
        <v>0.85</v>
      </c>
      <c r="P110" s="265">
        <f>'StB-Werte'!P110</f>
        <v>0.7</v>
      </c>
      <c r="Q110" s="265">
        <f>'StB-Werte'!Q110</f>
        <v>0.85</v>
      </c>
      <c r="R110" s="265">
        <f>'StB-Werte'!R110</f>
        <v>0.90909090909090906</v>
      </c>
      <c r="S110" s="265">
        <f>'StB-Werte'!S110</f>
        <v>0.85</v>
      </c>
      <c r="T110" s="265" t="str">
        <f>'StB-Werte'!T110</f>
        <v/>
      </c>
      <c r="V110" s="183">
        <f>INDEX(W110:AA110,,$A$4)</f>
        <v>2</v>
      </c>
      <c r="W110" s="262">
        <f>'StB-Werte'!W110</f>
        <v>2</v>
      </c>
      <c r="X110" s="262">
        <f>'StB-Werte'!X110</f>
        <v>2</v>
      </c>
      <c r="Y110" s="262">
        <f>'StB-Werte'!Y110</f>
        <v>2</v>
      </c>
      <c r="Z110" s="262">
        <f>'StB-Werte'!Z110</f>
        <v>2</v>
      </c>
      <c r="AA110" s="262" t="str">
        <f>'StB-Werte'!AA110</f>
        <v/>
      </c>
      <c r="AC110" s="183">
        <f>INDEX(AD110:AH110,,$A$4)</f>
        <v>3.5</v>
      </c>
      <c r="AD110" s="262">
        <f>'StB-Werte'!AD110</f>
        <v>3.5</v>
      </c>
      <c r="AE110" s="262">
        <f>'StB-Werte'!AE110</f>
        <v>3.5</v>
      </c>
      <c r="AF110" s="262">
        <f>'StB-Werte'!AF110</f>
        <v>3.5</v>
      </c>
      <c r="AG110" s="262">
        <f>'StB-Werte'!AG110</f>
        <v>3.5</v>
      </c>
      <c r="AH110" s="262" t="str">
        <f>'StB-Werte'!AH110</f>
        <v/>
      </c>
      <c r="AJ110" s="192">
        <f>INDEX(AK110:AO110,,$A$4)</f>
        <v>2</v>
      </c>
      <c r="AK110" s="278">
        <f>'StB-Werte'!AK110</f>
        <v>2</v>
      </c>
      <c r="AL110" s="278">
        <f>'StB-Werte'!AL110</f>
        <v>2</v>
      </c>
      <c r="AM110" s="278">
        <f>'StB-Werte'!AM110</f>
        <v>2</v>
      </c>
      <c r="AN110" s="278">
        <f>'StB-Werte'!AN110</f>
        <v>2</v>
      </c>
      <c r="AO110" s="278" t="str">
        <f>'StB-Werte'!AO110</f>
        <v/>
      </c>
      <c r="AQ110" s="187">
        <f>INDEX(AR110:AV110,,$A$4)</f>
        <v>27000</v>
      </c>
      <c r="AR110" s="265">
        <f>'StB-Werte'!AR110</f>
        <v>30000</v>
      </c>
      <c r="AS110" s="256">
        <f>'StB-Werte'!AS110</f>
        <v>21800</v>
      </c>
      <c r="AT110" s="256">
        <f>'StB-Werte'!AT110</f>
        <v>27000</v>
      </c>
      <c r="AU110" s="256">
        <f>'StB-Werte'!AU110</f>
        <v>27000</v>
      </c>
      <c r="AV110" s="265" t="str">
        <f>'StB-Werte'!AV110</f>
        <v/>
      </c>
      <c r="AX110" s="192">
        <f>INDEX(AY110:BC110,,$A$4)</f>
        <v>0.15</v>
      </c>
      <c r="AY110" s="278">
        <f>'StB-Werte'!AY110</f>
        <v>0.35</v>
      </c>
      <c r="AZ110" s="278">
        <f>'StB-Werte'!AZ110</f>
        <v>0.3</v>
      </c>
      <c r="BA110" s="278">
        <f>'StB-Werte'!BA110</f>
        <v>0.18181818181818182</v>
      </c>
      <c r="BB110" s="278">
        <f>'StB-Werte'!BB110</f>
        <v>0.15</v>
      </c>
      <c r="BC110" s="278" t="str">
        <f>'StB-Werte'!BC110</f>
        <v/>
      </c>
      <c r="BE110" s="187">
        <f>INDEX(BF110:BJ110,,$A$4)</f>
        <v>0.15</v>
      </c>
      <c r="BF110" s="281" t="str">
        <f>'StB-Werte'!BF110</f>
        <v>3.0   0.0</v>
      </c>
      <c r="BG110" s="278">
        <f>'StB-Werte'!BG110</f>
        <v>0.15</v>
      </c>
      <c r="BH110" s="281" t="str">
        <f>'StB-Werte'!BH110</f>
        <v>0.10   0.2</v>
      </c>
      <c r="BI110" s="278">
        <f>'StB-Werte'!BI110</f>
        <v>0.15</v>
      </c>
      <c r="BJ110" s="278" t="str">
        <f>'StB-Werte'!BJ110</f>
        <v/>
      </c>
    </row>
    <row r="111" spans="1:62" hidden="1" x14ac:dyDescent="0.2">
      <c r="A111" s="181" t="str">
        <f t="shared" ref="A111:A118" si="3">INDEX(B111:F111,,$A$4)</f>
        <v>C 16/20</v>
      </c>
      <c r="B111" s="257" t="str">
        <f>'StB-Werte'!B111</f>
        <v>B 25</v>
      </c>
      <c r="C111" s="257" t="str">
        <f>'StB-Werte'!C111</f>
        <v>C 16/20</v>
      </c>
      <c r="D111" s="257" t="str">
        <f>'StB-Werte'!D111</f>
        <v>C 16/20</v>
      </c>
      <c r="E111" s="257" t="str">
        <f>'StB-Werte'!E111</f>
        <v>C 16/20</v>
      </c>
      <c r="F111" s="257" t="str">
        <f>'StB-Werte'!F111</f>
        <v/>
      </c>
      <c r="H111" s="184">
        <f t="shared" ref="H111:H118" si="4">INDEX(I111:M111,,$A$4)</f>
        <v>15</v>
      </c>
      <c r="I111" s="263">
        <f>'StB-Werte'!I111</f>
        <v>25</v>
      </c>
      <c r="J111" s="263">
        <f>'StB-Werte'!J111</f>
        <v>15</v>
      </c>
      <c r="K111" s="263">
        <f>'StB-Werte'!K111</f>
        <v>15</v>
      </c>
      <c r="L111" s="263">
        <f>'StB-Werte'!L111</f>
        <v>15</v>
      </c>
      <c r="M111" s="263" t="str">
        <f>'StB-Werte'!M111</f>
        <v/>
      </c>
      <c r="O111" s="214">
        <f t="shared" ref="O111:O118" si="5">INDEX(P111:T111,,$A$4)</f>
        <v>0.85</v>
      </c>
      <c r="P111" s="266">
        <f>'StB-Werte'!P111</f>
        <v>0.7</v>
      </c>
      <c r="Q111" s="266">
        <f>'StB-Werte'!Q111</f>
        <v>0.85</v>
      </c>
      <c r="R111" s="266">
        <f>'StB-Werte'!R111</f>
        <v>0.90909090909090906</v>
      </c>
      <c r="S111" s="266">
        <f>'StB-Werte'!S111</f>
        <v>0.85</v>
      </c>
      <c r="T111" s="266" t="str">
        <f>'StB-Werte'!T111</f>
        <v/>
      </c>
      <c r="V111" s="184">
        <f t="shared" ref="V111:V118" si="6">INDEX(W111:AA111,,$A$4)</f>
        <v>2</v>
      </c>
      <c r="W111" s="263">
        <f>'StB-Werte'!W111</f>
        <v>2</v>
      </c>
      <c r="X111" s="263">
        <f>'StB-Werte'!X111</f>
        <v>2</v>
      </c>
      <c r="Y111" s="263">
        <f>'StB-Werte'!Y111</f>
        <v>2</v>
      </c>
      <c r="Z111" s="263">
        <f>'StB-Werte'!Z111</f>
        <v>2</v>
      </c>
      <c r="AA111" s="263" t="str">
        <f>'StB-Werte'!AA111</f>
        <v/>
      </c>
      <c r="AC111" s="184">
        <f t="shared" ref="AC111:AC118" si="7">INDEX(AD111:AH111,,$A$4)</f>
        <v>3.5</v>
      </c>
      <c r="AD111" s="263">
        <f>'StB-Werte'!AD111</f>
        <v>3.5</v>
      </c>
      <c r="AE111" s="263">
        <f>'StB-Werte'!AE111</f>
        <v>3.5</v>
      </c>
      <c r="AF111" s="263">
        <f>'StB-Werte'!AF111</f>
        <v>3.5</v>
      </c>
      <c r="AG111" s="263">
        <f>'StB-Werte'!AG111</f>
        <v>3.5</v>
      </c>
      <c r="AH111" s="263" t="str">
        <f>'StB-Werte'!AH111</f>
        <v/>
      </c>
      <c r="AJ111" s="193">
        <f t="shared" ref="AJ111:AJ118" si="8">INDEX(AK111:AO111,,$A$4)</f>
        <v>2</v>
      </c>
      <c r="AK111" s="279">
        <f>'StB-Werte'!AK111</f>
        <v>2</v>
      </c>
      <c r="AL111" s="279">
        <f>'StB-Werte'!AL111</f>
        <v>2</v>
      </c>
      <c r="AM111" s="279">
        <f>'StB-Werte'!AM111</f>
        <v>2</v>
      </c>
      <c r="AN111" s="279">
        <f>'StB-Werte'!AN111</f>
        <v>2</v>
      </c>
      <c r="AO111" s="279" t="str">
        <f>'StB-Werte'!AO111</f>
        <v/>
      </c>
      <c r="AQ111" s="214">
        <f t="shared" ref="AQ111:AQ118" si="9">INDEX(AR111:AV111,,$A$4)</f>
        <v>29000</v>
      </c>
      <c r="AR111" s="266">
        <f>'StB-Werte'!AR111</f>
        <v>30000</v>
      </c>
      <c r="AS111" s="257">
        <f>'StB-Werte'!AS111</f>
        <v>23400</v>
      </c>
      <c r="AT111" s="257">
        <f>'StB-Werte'!AT111</f>
        <v>29000</v>
      </c>
      <c r="AU111" s="257">
        <f>'StB-Werte'!AU111</f>
        <v>29000</v>
      </c>
      <c r="AV111" s="266" t="str">
        <f>'StB-Werte'!AV111</f>
        <v/>
      </c>
      <c r="AX111" s="193">
        <f t="shared" ref="AX111:AX118" si="10">INDEX(AY111:BC111,,$A$4)</f>
        <v>0.15</v>
      </c>
      <c r="AY111" s="279">
        <f>'StB-Werte'!AY111</f>
        <v>0.35</v>
      </c>
      <c r="AZ111" s="279">
        <f>'StB-Werte'!AZ111</f>
        <v>0.3</v>
      </c>
      <c r="BA111" s="279">
        <f>'StB-Werte'!BA111</f>
        <v>0.18181818181818182</v>
      </c>
      <c r="BB111" s="279">
        <f>'StB-Werte'!BB111</f>
        <v>0.15</v>
      </c>
      <c r="BC111" s="279" t="str">
        <f>'StB-Werte'!BC111</f>
        <v/>
      </c>
      <c r="BE111" s="214">
        <f t="shared" ref="BE111:BE118" si="11">INDEX(BF111:BJ111,,$A$4)</f>
        <v>0.15</v>
      </c>
      <c r="BF111" s="282" t="str">
        <f>'StB-Werte'!BF111</f>
        <v>3.0   0.0</v>
      </c>
      <c r="BG111" s="279">
        <f>'StB-Werte'!BG111</f>
        <v>0.15</v>
      </c>
      <c r="BH111" s="282" t="str">
        <f>'StB-Werte'!BH111</f>
        <v>0.10   0.2</v>
      </c>
      <c r="BI111" s="279">
        <f>'StB-Werte'!BI111</f>
        <v>0.15</v>
      </c>
      <c r="BJ111" s="279" t="str">
        <f>'StB-Werte'!BJ111</f>
        <v/>
      </c>
    </row>
    <row r="112" spans="1:62" hidden="1" x14ac:dyDescent="0.2">
      <c r="A112" s="181" t="str">
        <f t="shared" si="3"/>
        <v>C 20/25</v>
      </c>
      <c r="B112" s="257" t="str">
        <f>'StB-Werte'!B112</f>
        <v>B 35</v>
      </c>
      <c r="C112" s="257" t="str">
        <f>'StB-Werte'!C112</f>
        <v>C 20/25</v>
      </c>
      <c r="D112" s="257" t="str">
        <f>'StB-Werte'!D112</f>
        <v>C 20/25</v>
      </c>
      <c r="E112" s="257" t="str">
        <f>'StB-Werte'!E112</f>
        <v>C 20/25</v>
      </c>
      <c r="F112" s="257" t="str">
        <f>'StB-Werte'!F112</f>
        <v/>
      </c>
      <c r="H112" s="184">
        <f t="shared" si="4"/>
        <v>20</v>
      </c>
      <c r="I112" s="263">
        <f>'StB-Werte'!I112</f>
        <v>35</v>
      </c>
      <c r="J112" s="263">
        <f>'StB-Werte'!J112</f>
        <v>20</v>
      </c>
      <c r="K112" s="263">
        <f>'StB-Werte'!K112</f>
        <v>20</v>
      </c>
      <c r="L112" s="263">
        <f>'StB-Werte'!L112</f>
        <v>20</v>
      </c>
      <c r="M112" s="263" t="str">
        <f>'StB-Werte'!M112</f>
        <v/>
      </c>
      <c r="O112" s="214">
        <f t="shared" si="5"/>
        <v>0.85</v>
      </c>
      <c r="P112" s="266">
        <f>'StB-Werte'!P112</f>
        <v>0.65714285714285714</v>
      </c>
      <c r="Q112" s="266">
        <f>'StB-Werte'!Q112</f>
        <v>0.85</v>
      </c>
      <c r="R112" s="266">
        <f>'StB-Werte'!R112</f>
        <v>0.90909090909090906</v>
      </c>
      <c r="S112" s="266">
        <f>'StB-Werte'!S112</f>
        <v>0.85</v>
      </c>
      <c r="T112" s="266" t="str">
        <f>'StB-Werte'!T112</f>
        <v/>
      </c>
      <c r="V112" s="184">
        <f t="shared" si="6"/>
        <v>2</v>
      </c>
      <c r="W112" s="263">
        <f>'StB-Werte'!W112</f>
        <v>2</v>
      </c>
      <c r="X112" s="263">
        <f>'StB-Werte'!X112</f>
        <v>2</v>
      </c>
      <c r="Y112" s="263">
        <f>'StB-Werte'!Y112</f>
        <v>2</v>
      </c>
      <c r="Z112" s="263">
        <f>'StB-Werte'!Z112</f>
        <v>2</v>
      </c>
      <c r="AA112" s="263" t="str">
        <f>'StB-Werte'!AA112</f>
        <v/>
      </c>
      <c r="AC112" s="184">
        <f t="shared" si="7"/>
        <v>3.5</v>
      </c>
      <c r="AD112" s="263">
        <f>'StB-Werte'!AD112</f>
        <v>3.5</v>
      </c>
      <c r="AE112" s="263">
        <f>'StB-Werte'!AE112</f>
        <v>3.5</v>
      </c>
      <c r="AF112" s="263">
        <f>'StB-Werte'!AF112</f>
        <v>3.5</v>
      </c>
      <c r="AG112" s="263">
        <f>'StB-Werte'!AG112</f>
        <v>3.5</v>
      </c>
      <c r="AH112" s="263" t="str">
        <f>'StB-Werte'!AH112</f>
        <v/>
      </c>
      <c r="AJ112" s="193">
        <f t="shared" si="8"/>
        <v>2</v>
      </c>
      <c r="AK112" s="279">
        <f>'StB-Werte'!AK112</f>
        <v>2</v>
      </c>
      <c r="AL112" s="279">
        <f>'StB-Werte'!AL112</f>
        <v>2</v>
      </c>
      <c r="AM112" s="279">
        <f>'StB-Werte'!AM112</f>
        <v>2</v>
      </c>
      <c r="AN112" s="279">
        <f>'StB-Werte'!AN112</f>
        <v>2</v>
      </c>
      <c r="AO112" s="279" t="str">
        <f>'StB-Werte'!AO112</f>
        <v/>
      </c>
      <c r="AQ112" s="214">
        <f t="shared" si="9"/>
        <v>30000</v>
      </c>
      <c r="AR112" s="266">
        <f>'StB-Werte'!AR112</f>
        <v>30000</v>
      </c>
      <c r="AS112" s="257">
        <f>'StB-Werte'!AS112</f>
        <v>24900</v>
      </c>
      <c r="AT112" s="257">
        <f>'StB-Werte'!AT112</f>
        <v>30000</v>
      </c>
      <c r="AU112" s="257">
        <f>'StB-Werte'!AU112</f>
        <v>30000</v>
      </c>
      <c r="AV112" s="266" t="str">
        <f>'StB-Werte'!AV112</f>
        <v/>
      </c>
      <c r="AX112" s="193">
        <f t="shared" si="10"/>
        <v>0.15</v>
      </c>
      <c r="AY112" s="279">
        <f>'StB-Werte'!AY112</f>
        <v>0.35</v>
      </c>
      <c r="AZ112" s="279">
        <f>'StB-Werte'!AZ112</f>
        <v>0.3</v>
      </c>
      <c r="BA112" s="279">
        <f>'StB-Werte'!BA112</f>
        <v>0.18181818181818182</v>
      </c>
      <c r="BB112" s="279">
        <f>'StB-Werte'!BB112</f>
        <v>0.15</v>
      </c>
      <c r="BC112" s="279" t="str">
        <f>'StB-Werte'!BC112</f>
        <v/>
      </c>
      <c r="BE112" s="214">
        <f t="shared" si="11"/>
        <v>0.15</v>
      </c>
      <c r="BF112" s="282" t="str">
        <f>'StB-Werte'!BF112</f>
        <v>3.0   0.0</v>
      </c>
      <c r="BG112" s="279">
        <f>'StB-Werte'!BG112</f>
        <v>0.15</v>
      </c>
      <c r="BH112" s="282" t="str">
        <f>'StB-Werte'!BH112</f>
        <v>0.10   0.2</v>
      </c>
      <c r="BI112" s="279">
        <f>'StB-Werte'!BI112</f>
        <v>0.15</v>
      </c>
      <c r="BJ112" s="279" t="str">
        <f>'StB-Werte'!BJ112</f>
        <v/>
      </c>
    </row>
    <row r="113" spans="1:62" hidden="1" x14ac:dyDescent="0.2">
      <c r="A113" s="181" t="str">
        <f t="shared" si="3"/>
        <v>C 25/30</v>
      </c>
      <c r="B113" s="257" t="str">
        <f>'StB-Werte'!B113</f>
        <v>B 45</v>
      </c>
      <c r="C113" s="257" t="str">
        <f>'StB-Werte'!C113</f>
        <v>C 25/30</v>
      </c>
      <c r="D113" s="257" t="str">
        <f>'StB-Werte'!D113</f>
        <v>C 25/30</v>
      </c>
      <c r="E113" s="257" t="str">
        <f>'StB-Werte'!E113</f>
        <v>C 25/30</v>
      </c>
      <c r="F113" s="258" t="str">
        <f>'StB-Werte'!F113</f>
        <v/>
      </c>
      <c r="H113" s="184">
        <f t="shared" si="4"/>
        <v>25</v>
      </c>
      <c r="I113" s="263">
        <f>'StB-Werte'!I113</f>
        <v>45</v>
      </c>
      <c r="J113" s="263">
        <f>'StB-Werte'!J113</f>
        <v>25</v>
      </c>
      <c r="K113" s="263">
        <f>'StB-Werte'!K113</f>
        <v>25</v>
      </c>
      <c r="L113" s="263">
        <f>'StB-Werte'!L113</f>
        <v>25</v>
      </c>
      <c r="M113" s="263" t="str">
        <f>'StB-Werte'!M113</f>
        <v/>
      </c>
      <c r="O113" s="214">
        <f t="shared" si="5"/>
        <v>0.85</v>
      </c>
      <c r="P113" s="266">
        <f>'StB-Werte'!P113</f>
        <v>0.6</v>
      </c>
      <c r="Q113" s="266">
        <f>'StB-Werte'!Q113</f>
        <v>0.85</v>
      </c>
      <c r="R113" s="266">
        <f>'StB-Werte'!R113</f>
        <v>0.90909090909090906</v>
      </c>
      <c r="S113" s="266">
        <f>'StB-Werte'!S113</f>
        <v>0.85</v>
      </c>
      <c r="T113" s="266" t="str">
        <f>'StB-Werte'!T113</f>
        <v/>
      </c>
      <c r="V113" s="184">
        <f t="shared" si="6"/>
        <v>2</v>
      </c>
      <c r="W113" s="263">
        <f>'StB-Werte'!W113</f>
        <v>2</v>
      </c>
      <c r="X113" s="263">
        <f>'StB-Werte'!X113</f>
        <v>2</v>
      </c>
      <c r="Y113" s="263">
        <f>'StB-Werte'!Y113</f>
        <v>2</v>
      </c>
      <c r="Z113" s="263">
        <f>'StB-Werte'!Z113</f>
        <v>2</v>
      </c>
      <c r="AA113" s="263" t="str">
        <f>'StB-Werte'!AA113</f>
        <v/>
      </c>
      <c r="AC113" s="184">
        <f t="shared" si="7"/>
        <v>3.5</v>
      </c>
      <c r="AD113" s="263">
        <f>'StB-Werte'!AD113</f>
        <v>3.5</v>
      </c>
      <c r="AE113" s="263">
        <f>'StB-Werte'!AE113</f>
        <v>3.5</v>
      </c>
      <c r="AF113" s="263">
        <f>'StB-Werte'!AF113</f>
        <v>3.5</v>
      </c>
      <c r="AG113" s="263">
        <f>'StB-Werte'!AG113</f>
        <v>3.5</v>
      </c>
      <c r="AH113" s="263" t="str">
        <f>'StB-Werte'!AH113</f>
        <v/>
      </c>
      <c r="AJ113" s="193">
        <f t="shared" si="8"/>
        <v>2</v>
      </c>
      <c r="AK113" s="279">
        <f>'StB-Werte'!AK113</f>
        <v>2</v>
      </c>
      <c r="AL113" s="279">
        <f>'StB-Werte'!AL113</f>
        <v>2</v>
      </c>
      <c r="AM113" s="279">
        <f>'StB-Werte'!AM113</f>
        <v>2</v>
      </c>
      <c r="AN113" s="279">
        <f>'StB-Werte'!AN113</f>
        <v>2</v>
      </c>
      <c r="AO113" s="279" t="str">
        <f>'StB-Werte'!AO113</f>
        <v/>
      </c>
      <c r="AQ113" s="214">
        <f t="shared" si="9"/>
        <v>31000</v>
      </c>
      <c r="AR113" s="266">
        <f>'StB-Werte'!AR113</f>
        <v>30000</v>
      </c>
      <c r="AS113" s="257">
        <f>'StB-Werte'!AS113</f>
        <v>26700</v>
      </c>
      <c r="AT113" s="257">
        <f>'StB-Werte'!AT113</f>
        <v>31000</v>
      </c>
      <c r="AU113" s="257">
        <f>'StB-Werte'!AU113</f>
        <v>31000</v>
      </c>
      <c r="AV113" s="266" t="str">
        <f>'StB-Werte'!AV113</f>
        <v/>
      </c>
      <c r="AX113" s="193">
        <f t="shared" si="10"/>
        <v>0.15</v>
      </c>
      <c r="AY113" s="279">
        <f>'StB-Werte'!AY113</f>
        <v>0.35</v>
      </c>
      <c r="AZ113" s="279">
        <f>'StB-Werte'!AZ113</f>
        <v>0.3</v>
      </c>
      <c r="BA113" s="279">
        <f>'StB-Werte'!BA113</f>
        <v>0.18181818181818182</v>
      </c>
      <c r="BB113" s="279">
        <f>'StB-Werte'!BB113</f>
        <v>0.15</v>
      </c>
      <c r="BC113" s="279" t="str">
        <f>'StB-Werte'!BC113</f>
        <v/>
      </c>
      <c r="BE113" s="214">
        <f t="shared" si="11"/>
        <v>0.15</v>
      </c>
      <c r="BF113" s="282" t="str">
        <f>'StB-Werte'!BF113</f>
        <v>3.0   0.0</v>
      </c>
      <c r="BG113" s="279">
        <f>'StB-Werte'!BG113</f>
        <v>0.15</v>
      </c>
      <c r="BH113" s="282" t="str">
        <f>'StB-Werte'!BH113</f>
        <v>0.10   0.2</v>
      </c>
      <c r="BI113" s="279">
        <f>'StB-Werte'!BI113</f>
        <v>0.15</v>
      </c>
      <c r="BJ113" s="279" t="str">
        <f>'StB-Werte'!BJ113</f>
        <v/>
      </c>
    </row>
    <row r="114" spans="1:62" hidden="1" x14ac:dyDescent="0.2">
      <c r="A114" s="181" t="str">
        <f t="shared" si="3"/>
        <v>C 30/37</v>
      </c>
      <c r="B114" s="257" t="str">
        <f>'StB-Werte'!B114</f>
        <v>B 55</v>
      </c>
      <c r="C114" s="257" t="str">
        <f>'StB-Werte'!C114</f>
        <v>C 30/37</v>
      </c>
      <c r="D114" s="257" t="str">
        <f>'StB-Werte'!D114</f>
        <v>C 30/37</v>
      </c>
      <c r="E114" s="257" t="str">
        <f>'StB-Werte'!E114</f>
        <v>C 30/37</v>
      </c>
      <c r="F114" s="257" t="str">
        <f>'StB-Werte'!F114</f>
        <v/>
      </c>
      <c r="H114" s="184">
        <f t="shared" si="4"/>
        <v>30</v>
      </c>
      <c r="I114" s="263">
        <f>'StB-Werte'!I114</f>
        <v>55</v>
      </c>
      <c r="J114" s="263">
        <f>'StB-Werte'!J114</f>
        <v>30</v>
      </c>
      <c r="K114" s="263">
        <f>'StB-Werte'!K114</f>
        <v>30</v>
      </c>
      <c r="L114" s="263">
        <f>'StB-Werte'!L114</f>
        <v>30</v>
      </c>
      <c r="M114" s="263" t="str">
        <f>'StB-Werte'!M114</f>
        <v/>
      </c>
      <c r="O114" s="214">
        <f t="shared" si="5"/>
        <v>0.85</v>
      </c>
      <c r="P114" s="266">
        <f>'StB-Werte'!P114</f>
        <v>0.54545454545454541</v>
      </c>
      <c r="Q114" s="266">
        <f>'StB-Werte'!Q114</f>
        <v>0.85</v>
      </c>
      <c r="R114" s="266">
        <f>'StB-Werte'!R114</f>
        <v>0.90909090909090906</v>
      </c>
      <c r="S114" s="266">
        <f>'StB-Werte'!S114</f>
        <v>0.85</v>
      </c>
      <c r="T114" s="266" t="str">
        <f>'StB-Werte'!T114</f>
        <v/>
      </c>
      <c r="V114" s="184">
        <f t="shared" si="6"/>
        <v>2</v>
      </c>
      <c r="W114" s="263">
        <f>'StB-Werte'!W114</f>
        <v>2</v>
      </c>
      <c r="X114" s="263">
        <f>'StB-Werte'!X114</f>
        <v>2</v>
      </c>
      <c r="Y114" s="263">
        <f>'StB-Werte'!Y114</f>
        <v>2</v>
      </c>
      <c r="Z114" s="263">
        <f>'StB-Werte'!Z114</f>
        <v>2</v>
      </c>
      <c r="AA114" s="263" t="str">
        <f>'StB-Werte'!AA114</f>
        <v/>
      </c>
      <c r="AC114" s="184">
        <f t="shared" si="7"/>
        <v>3.5</v>
      </c>
      <c r="AD114" s="263">
        <f>'StB-Werte'!AD114</f>
        <v>3.5</v>
      </c>
      <c r="AE114" s="263">
        <f>'StB-Werte'!AE114</f>
        <v>3.5</v>
      </c>
      <c r="AF114" s="263">
        <f>'StB-Werte'!AF114</f>
        <v>3.5</v>
      </c>
      <c r="AG114" s="263">
        <f>'StB-Werte'!AG114</f>
        <v>3.5</v>
      </c>
      <c r="AH114" s="263" t="str">
        <f>'StB-Werte'!AH114</f>
        <v/>
      </c>
      <c r="AJ114" s="193">
        <f t="shared" si="8"/>
        <v>2</v>
      </c>
      <c r="AK114" s="279">
        <f>'StB-Werte'!AK114</f>
        <v>2</v>
      </c>
      <c r="AL114" s="279">
        <f>'StB-Werte'!AL114</f>
        <v>2</v>
      </c>
      <c r="AM114" s="279">
        <f>'StB-Werte'!AM114</f>
        <v>2</v>
      </c>
      <c r="AN114" s="279">
        <f>'StB-Werte'!AN114</f>
        <v>2</v>
      </c>
      <c r="AO114" s="279" t="str">
        <f>'StB-Werte'!AO114</f>
        <v/>
      </c>
      <c r="AQ114" s="214">
        <f t="shared" si="9"/>
        <v>33000</v>
      </c>
      <c r="AR114" s="266">
        <f>'StB-Werte'!AR114</f>
        <v>30000</v>
      </c>
      <c r="AS114" s="257">
        <f>'StB-Werte'!AS114</f>
        <v>28300</v>
      </c>
      <c r="AT114" s="257">
        <f>'StB-Werte'!AT114</f>
        <v>33000</v>
      </c>
      <c r="AU114" s="257">
        <f>'StB-Werte'!AU114</f>
        <v>33000</v>
      </c>
      <c r="AV114" s="266" t="str">
        <f>'StB-Werte'!AV114</f>
        <v/>
      </c>
      <c r="AX114" s="193">
        <f t="shared" si="10"/>
        <v>0.15</v>
      </c>
      <c r="AY114" s="279">
        <f>'StB-Werte'!AY114</f>
        <v>0.35</v>
      </c>
      <c r="AZ114" s="279">
        <f>'StB-Werte'!AZ114</f>
        <v>0.3</v>
      </c>
      <c r="BA114" s="279">
        <f>'StB-Werte'!BA114</f>
        <v>0.18181818181818182</v>
      </c>
      <c r="BB114" s="279">
        <f>'StB-Werte'!BB114</f>
        <v>0.15</v>
      </c>
      <c r="BC114" s="279" t="str">
        <f>'StB-Werte'!BC114</f>
        <v/>
      </c>
      <c r="BE114" s="214">
        <f t="shared" si="11"/>
        <v>0.15</v>
      </c>
      <c r="BF114" s="282" t="str">
        <f>'StB-Werte'!BF114</f>
        <v>3.0   0.0</v>
      </c>
      <c r="BG114" s="279">
        <f>'StB-Werte'!BG114</f>
        <v>0.15</v>
      </c>
      <c r="BH114" s="282" t="str">
        <f>'StB-Werte'!BH114</f>
        <v>0.10   0.2</v>
      </c>
      <c r="BI114" s="279">
        <f>'StB-Werte'!BI114</f>
        <v>0.15</v>
      </c>
      <c r="BJ114" s="279" t="str">
        <f>'StB-Werte'!BJ114</f>
        <v/>
      </c>
    </row>
    <row r="115" spans="1:62" hidden="1" x14ac:dyDescent="0.2">
      <c r="A115" s="181" t="str">
        <f t="shared" si="3"/>
        <v>C 35/45</v>
      </c>
      <c r="B115" s="258" t="str">
        <f>'StB-Werte'!B115</f>
        <v/>
      </c>
      <c r="C115" s="258" t="str">
        <f>'StB-Werte'!C115</f>
        <v>C 35/45</v>
      </c>
      <c r="D115" s="258" t="str">
        <f>'StB-Werte'!D115</f>
        <v>C 35/45</v>
      </c>
      <c r="E115" s="258" t="str">
        <f>'StB-Werte'!E115</f>
        <v>C 35/45</v>
      </c>
      <c r="F115" s="257" t="str">
        <f>'StB-Werte'!F115</f>
        <v/>
      </c>
      <c r="H115" s="184">
        <f t="shared" si="4"/>
        <v>35</v>
      </c>
      <c r="I115" s="263" t="str">
        <f>'StB-Werte'!I115</f>
        <v/>
      </c>
      <c r="J115" s="263">
        <f>'StB-Werte'!J115</f>
        <v>35</v>
      </c>
      <c r="K115" s="263">
        <f>'StB-Werte'!K115</f>
        <v>35</v>
      </c>
      <c r="L115" s="263">
        <f>'StB-Werte'!L115</f>
        <v>35</v>
      </c>
      <c r="M115" s="263" t="str">
        <f>'StB-Werte'!M115</f>
        <v/>
      </c>
      <c r="O115" s="214">
        <f t="shared" si="5"/>
        <v>0.85</v>
      </c>
      <c r="P115" s="266" t="str">
        <f>'StB-Werte'!P115</f>
        <v/>
      </c>
      <c r="Q115" s="266">
        <f>'StB-Werte'!Q115</f>
        <v>0.85</v>
      </c>
      <c r="R115" s="266">
        <f>'StB-Werte'!R115</f>
        <v>0.90909090909090906</v>
      </c>
      <c r="S115" s="266">
        <f>'StB-Werte'!S115</f>
        <v>0.85</v>
      </c>
      <c r="T115" s="266" t="str">
        <f>'StB-Werte'!T115</f>
        <v/>
      </c>
      <c r="V115" s="184">
        <f t="shared" si="6"/>
        <v>2</v>
      </c>
      <c r="W115" s="263" t="str">
        <f>'StB-Werte'!W115</f>
        <v/>
      </c>
      <c r="X115" s="263">
        <f>'StB-Werte'!X115</f>
        <v>2</v>
      </c>
      <c r="Y115" s="263">
        <f>'StB-Werte'!Y115</f>
        <v>2</v>
      </c>
      <c r="Z115" s="263">
        <f>'StB-Werte'!Z115</f>
        <v>2</v>
      </c>
      <c r="AA115" s="263" t="str">
        <f>'StB-Werte'!AA115</f>
        <v/>
      </c>
      <c r="AC115" s="184">
        <f t="shared" si="7"/>
        <v>3.5</v>
      </c>
      <c r="AD115" s="263" t="str">
        <f>'StB-Werte'!AD115</f>
        <v/>
      </c>
      <c r="AE115" s="263">
        <f>'StB-Werte'!AE115</f>
        <v>3.5</v>
      </c>
      <c r="AF115" s="263">
        <f>'StB-Werte'!AF115</f>
        <v>3.5</v>
      </c>
      <c r="AG115" s="263">
        <f>'StB-Werte'!AG115</f>
        <v>3.5</v>
      </c>
      <c r="AH115" s="263" t="str">
        <f>'StB-Werte'!AH115</f>
        <v/>
      </c>
      <c r="AJ115" s="193">
        <f t="shared" si="8"/>
        <v>2</v>
      </c>
      <c r="AK115" s="279" t="str">
        <f>'StB-Werte'!AK115</f>
        <v/>
      </c>
      <c r="AL115" s="279">
        <f>'StB-Werte'!AL115</f>
        <v>2</v>
      </c>
      <c r="AM115" s="279">
        <f>'StB-Werte'!AM115</f>
        <v>2</v>
      </c>
      <c r="AN115" s="279">
        <f>'StB-Werte'!AN115</f>
        <v>2</v>
      </c>
      <c r="AO115" s="279" t="str">
        <f>'StB-Werte'!AO115</f>
        <v/>
      </c>
      <c r="AQ115" s="214">
        <f t="shared" si="9"/>
        <v>34000</v>
      </c>
      <c r="AR115" s="266" t="str">
        <f>'StB-Werte'!AR115</f>
        <v/>
      </c>
      <c r="AS115" s="257">
        <f>'StB-Werte'!AS115</f>
        <v>29900</v>
      </c>
      <c r="AT115" s="257">
        <f>'StB-Werte'!AT115</f>
        <v>34000</v>
      </c>
      <c r="AU115" s="257">
        <f>'StB-Werte'!AU115</f>
        <v>34000</v>
      </c>
      <c r="AV115" s="266" t="str">
        <f>'StB-Werte'!AV115</f>
        <v/>
      </c>
      <c r="AX115" s="193">
        <f t="shared" si="10"/>
        <v>0.15</v>
      </c>
      <c r="AY115" s="279" t="str">
        <f>'StB-Werte'!AY115</f>
        <v/>
      </c>
      <c r="AZ115" s="279">
        <f>'StB-Werte'!AZ115</f>
        <v>0.3</v>
      </c>
      <c r="BA115" s="279">
        <f>'StB-Werte'!BA115</f>
        <v>0.18181818181818182</v>
      </c>
      <c r="BB115" s="279">
        <f>'StB-Werte'!BB115</f>
        <v>0.15</v>
      </c>
      <c r="BC115" s="279" t="str">
        <f>'StB-Werte'!BC115</f>
        <v/>
      </c>
      <c r="BE115" s="214">
        <f t="shared" si="11"/>
        <v>0.15</v>
      </c>
      <c r="BF115" s="282" t="str">
        <f>'StB-Werte'!BF115</f>
        <v/>
      </c>
      <c r="BG115" s="279">
        <f>'StB-Werte'!BG115</f>
        <v>0.15</v>
      </c>
      <c r="BH115" s="282" t="str">
        <f>'StB-Werte'!BH115</f>
        <v>0.10   0.2</v>
      </c>
      <c r="BI115" s="279">
        <f>'StB-Werte'!BI115</f>
        <v>0.15</v>
      </c>
      <c r="BJ115" s="279" t="str">
        <f>'StB-Werte'!BJ115</f>
        <v/>
      </c>
    </row>
    <row r="116" spans="1:62" hidden="1" x14ac:dyDescent="0.2">
      <c r="A116" s="181" t="str">
        <f t="shared" si="3"/>
        <v>C 40/50</v>
      </c>
      <c r="B116" s="258" t="str">
        <f>'StB-Werte'!B116</f>
        <v/>
      </c>
      <c r="C116" s="258" t="str">
        <f>'StB-Werte'!C116</f>
        <v>C 40/50</v>
      </c>
      <c r="D116" s="258" t="str">
        <f>'StB-Werte'!D116</f>
        <v>C 40/50</v>
      </c>
      <c r="E116" s="258" t="str">
        <f>'StB-Werte'!E116</f>
        <v>C 40/50</v>
      </c>
      <c r="F116" s="257" t="str">
        <f>'StB-Werte'!F116</f>
        <v/>
      </c>
      <c r="H116" s="184">
        <f t="shared" si="4"/>
        <v>40</v>
      </c>
      <c r="I116" s="263" t="str">
        <f>'StB-Werte'!I116</f>
        <v/>
      </c>
      <c r="J116" s="263">
        <f>'StB-Werte'!J116</f>
        <v>40</v>
      </c>
      <c r="K116" s="263">
        <f>'StB-Werte'!K116</f>
        <v>40</v>
      </c>
      <c r="L116" s="263">
        <f>'StB-Werte'!L116</f>
        <v>40</v>
      </c>
      <c r="M116" s="263" t="str">
        <f>'StB-Werte'!M116</f>
        <v/>
      </c>
      <c r="O116" s="214">
        <f t="shared" si="5"/>
        <v>0.85</v>
      </c>
      <c r="P116" s="266" t="str">
        <f>'StB-Werte'!P116</f>
        <v/>
      </c>
      <c r="Q116" s="266">
        <f>'StB-Werte'!Q116</f>
        <v>0.85</v>
      </c>
      <c r="R116" s="266">
        <f>'StB-Werte'!R116</f>
        <v>0.90909090909090906</v>
      </c>
      <c r="S116" s="266">
        <f>'StB-Werte'!S116</f>
        <v>0.85</v>
      </c>
      <c r="T116" s="266" t="str">
        <f>'StB-Werte'!T116</f>
        <v/>
      </c>
      <c r="V116" s="184">
        <f t="shared" si="6"/>
        <v>2</v>
      </c>
      <c r="W116" s="263" t="str">
        <f>'StB-Werte'!W116</f>
        <v/>
      </c>
      <c r="X116" s="263">
        <f>'StB-Werte'!X116</f>
        <v>2</v>
      </c>
      <c r="Y116" s="263">
        <f>'StB-Werte'!Y116</f>
        <v>2</v>
      </c>
      <c r="Z116" s="263">
        <f>'StB-Werte'!Z116</f>
        <v>2</v>
      </c>
      <c r="AA116" s="263" t="str">
        <f>'StB-Werte'!AA116</f>
        <v/>
      </c>
      <c r="AC116" s="184">
        <f t="shared" si="7"/>
        <v>3.5</v>
      </c>
      <c r="AD116" s="263" t="str">
        <f>'StB-Werte'!AD116</f>
        <v/>
      </c>
      <c r="AE116" s="263">
        <f>'StB-Werte'!AE116</f>
        <v>3.5</v>
      </c>
      <c r="AF116" s="263">
        <f>'StB-Werte'!AF116</f>
        <v>3.5</v>
      </c>
      <c r="AG116" s="263">
        <f>'StB-Werte'!AG116</f>
        <v>3.5</v>
      </c>
      <c r="AH116" s="263" t="str">
        <f>'StB-Werte'!AH116</f>
        <v/>
      </c>
      <c r="AJ116" s="193">
        <f t="shared" si="8"/>
        <v>2</v>
      </c>
      <c r="AK116" s="279" t="str">
        <f>'StB-Werte'!AK116</f>
        <v/>
      </c>
      <c r="AL116" s="279">
        <f>'StB-Werte'!AL116</f>
        <v>2</v>
      </c>
      <c r="AM116" s="279">
        <f>'StB-Werte'!AM116</f>
        <v>2</v>
      </c>
      <c r="AN116" s="279">
        <f>'StB-Werte'!AN116</f>
        <v>2</v>
      </c>
      <c r="AO116" s="279" t="str">
        <f>'StB-Werte'!AO116</f>
        <v/>
      </c>
      <c r="AQ116" s="214">
        <f t="shared" si="9"/>
        <v>35000</v>
      </c>
      <c r="AR116" s="266" t="str">
        <f>'StB-Werte'!AR116</f>
        <v/>
      </c>
      <c r="AS116" s="257">
        <f>'StB-Werte'!AS116</f>
        <v>31400</v>
      </c>
      <c r="AT116" s="257">
        <f>'StB-Werte'!AT116</f>
        <v>35000</v>
      </c>
      <c r="AU116" s="257">
        <f>'StB-Werte'!AU116</f>
        <v>35000</v>
      </c>
      <c r="AV116" s="266" t="str">
        <f>'StB-Werte'!AV116</f>
        <v/>
      </c>
      <c r="AX116" s="193">
        <f t="shared" si="10"/>
        <v>0.15</v>
      </c>
      <c r="AY116" s="279" t="str">
        <f>'StB-Werte'!AY116</f>
        <v/>
      </c>
      <c r="AZ116" s="279">
        <f>'StB-Werte'!AZ116</f>
        <v>0.3</v>
      </c>
      <c r="BA116" s="279">
        <f>'StB-Werte'!BA116</f>
        <v>0.18181818181818182</v>
      </c>
      <c r="BB116" s="279">
        <f>'StB-Werte'!BB116</f>
        <v>0.15</v>
      </c>
      <c r="BC116" s="279" t="str">
        <f>'StB-Werte'!BC116</f>
        <v/>
      </c>
      <c r="BE116" s="214">
        <f t="shared" si="11"/>
        <v>0.15</v>
      </c>
      <c r="BF116" s="282" t="str">
        <f>'StB-Werte'!BF116</f>
        <v/>
      </c>
      <c r="BG116" s="279">
        <f>'StB-Werte'!BG116</f>
        <v>0.15</v>
      </c>
      <c r="BH116" s="282" t="str">
        <f>'StB-Werte'!BH116</f>
        <v>0.10   0.2</v>
      </c>
      <c r="BI116" s="279">
        <f>'StB-Werte'!BI116</f>
        <v>0.15</v>
      </c>
      <c r="BJ116" s="279" t="str">
        <f>'StB-Werte'!BJ116</f>
        <v/>
      </c>
    </row>
    <row r="117" spans="1:62" hidden="1" x14ac:dyDescent="0.2">
      <c r="A117" s="181" t="str">
        <f t="shared" si="3"/>
        <v>C 45/55</v>
      </c>
      <c r="B117" s="258" t="str">
        <f>'StB-Werte'!B117</f>
        <v/>
      </c>
      <c r="C117" s="258" t="str">
        <f>'StB-Werte'!C117</f>
        <v>C 45/55</v>
      </c>
      <c r="D117" s="258" t="str">
        <f>'StB-Werte'!D117</f>
        <v>C 45/55</v>
      </c>
      <c r="E117" s="258" t="str">
        <f>'StB-Werte'!E117</f>
        <v>C 45/55</v>
      </c>
      <c r="F117" s="257" t="str">
        <f>'StB-Werte'!F117</f>
        <v/>
      </c>
      <c r="H117" s="184">
        <f t="shared" si="4"/>
        <v>45</v>
      </c>
      <c r="I117" s="263" t="str">
        <f>'StB-Werte'!I117</f>
        <v/>
      </c>
      <c r="J117" s="263">
        <f>'StB-Werte'!J117</f>
        <v>45</v>
      </c>
      <c r="K117" s="263">
        <f>'StB-Werte'!K117</f>
        <v>45</v>
      </c>
      <c r="L117" s="263">
        <f>'StB-Werte'!L117</f>
        <v>45</v>
      </c>
      <c r="M117" s="263" t="str">
        <f>'StB-Werte'!M117</f>
        <v/>
      </c>
      <c r="O117" s="214">
        <f t="shared" si="5"/>
        <v>0.85</v>
      </c>
      <c r="P117" s="266" t="str">
        <f>'StB-Werte'!P117</f>
        <v/>
      </c>
      <c r="Q117" s="266">
        <f>'StB-Werte'!Q117</f>
        <v>0.85</v>
      </c>
      <c r="R117" s="266">
        <f>'StB-Werte'!R117</f>
        <v>0.90909090909090906</v>
      </c>
      <c r="S117" s="266">
        <f>'StB-Werte'!S117</f>
        <v>0.85</v>
      </c>
      <c r="T117" s="266" t="str">
        <f>'StB-Werte'!T117</f>
        <v/>
      </c>
      <c r="V117" s="184">
        <f t="shared" si="6"/>
        <v>2</v>
      </c>
      <c r="W117" s="263" t="str">
        <f>'StB-Werte'!W117</f>
        <v/>
      </c>
      <c r="X117" s="263">
        <f>'StB-Werte'!X117</f>
        <v>2</v>
      </c>
      <c r="Y117" s="263">
        <f>'StB-Werte'!Y117</f>
        <v>2</v>
      </c>
      <c r="Z117" s="263">
        <f>'StB-Werte'!Z117</f>
        <v>2</v>
      </c>
      <c r="AA117" s="263" t="str">
        <f>'StB-Werte'!AA117</f>
        <v/>
      </c>
      <c r="AC117" s="184">
        <f t="shared" si="7"/>
        <v>3.5</v>
      </c>
      <c r="AD117" s="263" t="str">
        <f>'StB-Werte'!AD117</f>
        <v/>
      </c>
      <c r="AE117" s="263">
        <f>'StB-Werte'!AE117</f>
        <v>3.5</v>
      </c>
      <c r="AF117" s="263">
        <f>'StB-Werte'!AF117</f>
        <v>3.5</v>
      </c>
      <c r="AG117" s="263">
        <f>'StB-Werte'!AG117</f>
        <v>3.5</v>
      </c>
      <c r="AH117" s="263" t="str">
        <f>'StB-Werte'!AH117</f>
        <v/>
      </c>
      <c r="AJ117" s="193">
        <f t="shared" si="8"/>
        <v>2</v>
      </c>
      <c r="AK117" s="279" t="str">
        <f>'StB-Werte'!AK117</f>
        <v/>
      </c>
      <c r="AL117" s="279">
        <f>'StB-Werte'!AL117</f>
        <v>2</v>
      </c>
      <c r="AM117" s="279">
        <f>'StB-Werte'!AM117</f>
        <v>2</v>
      </c>
      <c r="AN117" s="279">
        <f>'StB-Werte'!AN117</f>
        <v>2</v>
      </c>
      <c r="AO117" s="279" t="str">
        <f>'StB-Werte'!AO117</f>
        <v/>
      </c>
      <c r="AQ117" s="214">
        <f t="shared" si="9"/>
        <v>36000</v>
      </c>
      <c r="AR117" s="266" t="str">
        <f>'StB-Werte'!AR117</f>
        <v/>
      </c>
      <c r="AS117" s="257">
        <f>'StB-Werte'!AS117</f>
        <v>32800</v>
      </c>
      <c r="AT117" s="257">
        <f>'StB-Werte'!AT117</f>
        <v>36000</v>
      </c>
      <c r="AU117" s="257">
        <f>'StB-Werte'!AU117</f>
        <v>36000</v>
      </c>
      <c r="AV117" s="266" t="str">
        <f>'StB-Werte'!AV117</f>
        <v/>
      </c>
      <c r="AX117" s="193">
        <f t="shared" si="10"/>
        <v>0.15</v>
      </c>
      <c r="AY117" s="279" t="str">
        <f>'StB-Werte'!AY117</f>
        <v/>
      </c>
      <c r="AZ117" s="279">
        <f>'StB-Werte'!AZ117</f>
        <v>0.3</v>
      </c>
      <c r="BA117" s="279">
        <f>'StB-Werte'!BA117</f>
        <v>0.18181818181818182</v>
      </c>
      <c r="BB117" s="279">
        <f>'StB-Werte'!BB117</f>
        <v>0.15</v>
      </c>
      <c r="BC117" s="279" t="str">
        <f>'StB-Werte'!BC117</f>
        <v/>
      </c>
      <c r="BE117" s="214">
        <f t="shared" si="11"/>
        <v>0.15</v>
      </c>
      <c r="BF117" s="282" t="str">
        <f>'StB-Werte'!BF117</f>
        <v/>
      </c>
      <c r="BG117" s="279">
        <f>'StB-Werte'!BG117</f>
        <v>0.15</v>
      </c>
      <c r="BH117" s="282" t="str">
        <f>'StB-Werte'!BH117</f>
        <v>0.10   0.2</v>
      </c>
      <c r="BI117" s="279">
        <f>'StB-Werte'!BI117</f>
        <v>0.15</v>
      </c>
      <c r="BJ117" s="279" t="str">
        <f>'StB-Werte'!BJ117</f>
        <v/>
      </c>
    </row>
    <row r="118" spans="1:62" hidden="1" x14ac:dyDescent="0.2">
      <c r="A118" s="182" t="str">
        <f t="shared" si="3"/>
        <v>C 50/60</v>
      </c>
      <c r="B118" s="259" t="str">
        <f>'StB-Werte'!B118</f>
        <v/>
      </c>
      <c r="C118" s="259" t="str">
        <f>'StB-Werte'!C118</f>
        <v>C 50/60</v>
      </c>
      <c r="D118" s="259" t="str">
        <f>'StB-Werte'!D118</f>
        <v>C 50/60</v>
      </c>
      <c r="E118" s="259" t="str">
        <f>'StB-Werte'!E118</f>
        <v>C 50/60</v>
      </c>
      <c r="F118" s="260" t="str">
        <f>'StB-Werte'!F118</f>
        <v/>
      </c>
      <c r="H118" s="185">
        <f t="shared" si="4"/>
        <v>50</v>
      </c>
      <c r="I118" s="264" t="str">
        <f>'StB-Werte'!I118</f>
        <v/>
      </c>
      <c r="J118" s="264">
        <f>'StB-Werte'!J118</f>
        <v>50</v>
      </c>
      <c r="K118" s="264">
        <f>'StB-Werte'!K118</f>
        <v>50</v>
      </c>
      <c r="L118" s="264">
        <f>'StB-Werte'!L118</f>
        <v>50</v>
      </c>
      <c r="M118" s="264" t="str">
        <f>'StB-Werte'!M118</f>
        <v/>
      </c>
      <c r="O118" s="215">
        <f t="shared" si="5"/>
        <v>0.85</v>
      </c>
      <c r="P118" s="274" t="str">
        <f>'StB-Werte'!P118</f>
        <v/>
      </c>
      <c r="Q118" s="274">
        <f>'StB-Werte'!Q118</f>
        <v>0.85</v>
      </c>
      <c r="R118" s="274">
        <f>'StB-Werte'!R118</f>
        <v>0.90909090909090906</v>
      </c>
      <c r="S118" s="274">
        <f>'StB-Werte'!S118</f>
        <v>0.85</v>
      </c>
      <c r="T118" s="274" t="str">
        <f>'StB-Werte'!T118</f>
        <v/>
      </c>
      <c r="V118" s="185">
        <f t="shared" si="6"/>
        <v>2</v>
      </c>
      <c r="W118" s="264" t="str">
        <f>'StB-Werte'!W118</f>
        <v/>
      </c>
      <c r="X118" s="264">
        <f>'StB-Werte'!X118</f>
        <v>2</v>
      </c>
      <c r="Y118" s="264">
        <f>'StB-Werte'!Y118</f>
        <v>2</v>
      </c>
      <c r="Z118" s="264">
        <f>'StB-Werte'!Z118</f>
        <v>2</v>
      </c>
      <c r="AA118" s="264" t="str">
        <f>'StB-Werte'!AA118</f>
        <v/>
      </c>
      <c r="AC118" s="185">
        <f t="shared" si="7"/>
        <v>3.5</v>
      </c>
      <c r="AD118" s="264" t="str">
        <f>'StB-Werte'!AD118</f>
        <v/>
      </c>
      <c r="AE118" s="264">
        <f>'StB-Werte'!AE118</f>
        <v>3.5</v>
      </c>
      <c r="AF118" s="264">
        <f>'StB-Werte'!AF118</f>
        <v>3.5</v>
      </c>
      <c r="AG118" s="264">
        <f>'StB-Werte'!AG118</f>
        <v>3.5</v>
      </c>
      <c r="AH118" s="264" t="str">
        <f>'StB-Werte'!AH118</f>
        <v/>
      </c>
      <c r="AJ118" s="194">
        <f t="shared" si="8"/>
        <v>2</v>
      </c>
      <c r="AK118" s="280" t="str">
        <f>'StB-Werte'!AK118</f>
        <v/>
      </c>
      <c r="AL118" s="280">
        <f>'StB-Werte'!AL118</f>
        <v>2</v>
      </c>
      <c r="AM118" s="280">
        <f>'StB-Werte'!AM118</f>
        <v>2</v>
      </c>
      <c r="AN118" s="280">
        <f>'StB-Werte'!AN118</f>
        <v>2</v>
      </c>
      <c r="AO118" s="280" t="str">
        <f>'StB-Werte'!AO118</f>
        <v/>
      </c>
      <c r="AQ118" s="215">
        <f t="shared" si="9"/>
        <v>37000</v>
      </c>
      <c r="AR118" s="274" t="str">
        <f>'StB-Werte'!AR118</f>
        <v/>
      </c>
      <c r="AS118" s="260">
        <f>'StB-Werte'!AS118</f>
        <v>34300</v>
      </c>
      <c r="AT118" s="260">
        <f>'StB-Werte'!AT118</f>
        <v>37000</v>
      </c>
      <c r="AU118" s="260">
        <f>'StB-Werte'!AU118</f>
        <v>37000</v>
      </c>
      <c r="AV118" s="274" t="str">
        <f>'StB-Werte'!AV118</f>
        <v/>
      </c>
      <c r="AX118" s="194">
        <f t="shared" si="10"/>
        <v>0.15</v>
      </c>
      <c r="AY118" s="280" t="str">
        <f>'StB-Werte'!AY118</f>
        <v/>
      </c>
      <c r="AZ118" s="280">
        <f>'StB-Werte'!AZ118</f>
        <v>0.3</v>
      </c>
      <c r="BA118" s="280">
        <f>'StB-Werte'!BA118</f>
        <v>0.18181818181818182</v>
      </c>
      <c r="BB118" s="280">
        <f>'StB-Werte'!BB118</f>
        <v>0.15</v>
      </c>
      <c r="BC118" s="280" t="str">
        <f>'StB-Werte'!BC118</f>
        <v/>
      </c>
      <c r="BE118" s="215">
        <f t="shared" si="11"/>
        <v>0.15</v>
      </c>
      <c r="BF118" s="283" t="str">
        <f>'StB-Werte'!BF118</f>
        <v/>
      </c>
      <c r="BG118" s="280">
        <f>'StB-Werte'!BG118</f>
        <v>0.15</v>
      </c>
      <c r="BH118" s="283" t="str">
        <f>'StB-Werte'!BH118</f>
        <v>0.10   0.2</v>
      </c>
      <c r="BI118" s="280">
        <f>'StB-Werte'!BI118</f>
        <v>0.15</v>
      </c>
      <c r="BJ118" s="280" t="str">
        <f>'StB-Werte'!BJ118</f>
        <v/>
      </c>
    </row>
    <row r="119" spans="1:62" hidden="1" x14ac:dyDescent="0.2"/>
    <row r="120" spans="1:62" hidden="1" x14ac:dyDescent="0.2">
      <c r="A120" s="170" t="str">
        <f>B17</f>
        <v>Reinforcement</v>
      </c>
      <c r="B120" s="212">
        <v>1</v>
      </c>
      <c r="C120" s="212">
        <v>2</v>
      </c>
      <c r="D120" s="212">
        <v>3</v>
      </c>
      <c r="E120" s="212">
        <v>4</v>
      </c>
      <c r="F120" s="212">
        <v>5</v>
      </c>
      <c r="H120" s="213" t="s">
        <v>413</v>
      </c>
      <c r="I120" s="212">
        <v>1</v>
      </c>
      <c r="J120" s="212">
        <v>2</v>
      </c>
      <c r="K120" s="212">
        <v>3</v>
      </c>
      <c r="L120" s="212">
        <v>4</v>
      </c>
      <c r="M120" s="212">
        <v>5</v>
      </c>
      <c r="O120" s="213" t="s">
        <v>414</v>
      </c>
      <c r="P120" s="212">
        <v>1</v>
      </c>
      <c r="Q120" s="212">
        <v>2</v>
      </c>
      <c r="R120" s="212">
        <v>3</v>
      </c>
      <c r="S120" s="212">
        <v>4</v>
      </c>
      <c r="T120" s="212">
        <v>5</v>
      </c>
      <c r="V120" s="213" t="s">
        <v>415</v>
      </c>
      <c r="W120" s="212">
        <v>1</v>
      </c>
      <c r="X120" s="212">
        <v>2</v>
      </c>
      <c r="Y120" s="212">
        <v>3</v>
      </c>
      <c r="Z120" s="212">
        <v>4</v>
      </c>
      <c r="AA120" s="212">
        <v>5</v>
      </c>
      <c r="AC120" s="213" t="s">
        <v>509</v>
      </c>
      <c r="AD120" s="212">
        <v>1</v>
      </c>
      <c r="AE120" s="212">
        <v>2</v>
      </c>
      <c r="AF120" s="212">
        <v>3</v>
      </c>
      <c r="AG120" s="212">
        <v>4</v>
      </c>
      <c r="AH120" s="212">
        <v>5</v>
      </c>
    </row>
    <row r="121" spans="1:62" hidden="1" x14ac:dyDescent="0.2">
      <c r="A121" s="180" t="str">
        <f>INDEX(B121:F121,,$A$4)</f>
        <v>B500A</v>
      </c>
      <c r="B121" s="256" t="str">
        <f>'StB-Werte'!B121</f>
        <v>BSt 420</v>
      </c>
      <c r="C121" s="256" t="str">
        <f>'StB-Werte'!C121</f>
        <v>BSt 500 A</v>
      </c>
      <c r="D121" s="256" t="str">
        <f>'StB-Werte'!D121</f>
        <v>B500A</v>
      </c>
      <c r="E121" s="256" t="str">
        <f>'StB-Werte'!E121</f>
        <v>B500A</v>
      </c>
      <c r="F121" s="256" t="str">
        <f>'StB-Werte'!F121</f>
        <v/>
      </c>
      <c r="H121" s="187">
        <f>INDEX(I121:M121,,$A$4)</f>
        <v>500</v>
      </c>
      <c r="I121" s="265">
        <f>'StB-Werte'!I121</f>
        <v>420</v>
      </c>
      <c r="J121" s="265">
        <f>'StB-Werte'!J121</f>
        <v>500</v>
      </c>
      <c r="K121" s="265">
        <f>'StB-Werte'!K121</f>
        <v>500</v>
      </c>
      <c r="L121" s="265">
        <f>'StB-Werte'!L121</f>
        <v>500</v>
      </c>
      <c r="M121" s="256" t="str">
        <f>'StB-Werte'!M121</f>
        <v/>
      </c>
      <c r="O121" s="187">
        <f>INDEX(P121:T121,,$A$4)</f>
        <v>525</v>
      </c>
      <c r="P121" s="265">
        <f>'StB-Werte'!P121</f>
        <v>420</v>
      </c>
      <c r="Q121" s="265">
        <f>'StB-Werte'!Q121</f>
        <v>525</v>
      </c>
      <c r="R121" s="265">
        <f>'StB-Werte'!R121</f>
        <v>525</v>
      </c>
      <c r="S121" s="265">
        <f>'StB-Werte'!S121</f>
        <v>525</v>
      </c>
      <c r="T121" s="265" t="str">
        <f>'StB-Werte'!T121</f>
        <v/>
      </c>
      <c r="V121" s="187">
        <f>INDEX(W121:AA121,,$A$4)</f>
        <v>200000</v>
      </c>
      <c r="W121" s="265">
        <f>'StB-Werte'!W121</f>
        <v>210000</v>
      </c>
      <c r="X121" s="265">
        <f>'StB-Werte'!X121</f>
        <v>200000</v>
      </c>
      <c r="Y121" s="265">
        <f>'StB-Werte'!Y121</f>
        <v>200000</v>
      </c>
      <c r="Z121" s="265">
        <f>'StB-Werte'!Z121</f>
        <v>200000</v>
      </c>
      <c r="AA121" s="265" t="str">
        <f>'StB-Werte'!AA121</f>
        <v/>
      </c>
      <c r="AC121" s="183">
        <f>INDEX(AD121:AH121,,$A$4)</f>
        <v>25</v>
      </c>
      <c r="AD121" s="262">
        <f>'StB-Werte'!AD121</f>
        <v>5</v>
      </c>
      <c r="AE121" s="262">
        <f>'StB-Werte'!AE121</f>
        <v>25</v>
      </c>
      <c r="AF121" s="262">
        <f>'StB-Werte'!AF121</f>
        <v>25</v>
      </c>
      <c r="AG121" s="262">
        <f>'StB-Werte'!AG121</f>
        <v>25</v>
      </c>
      <c r="AH121" s="262" t="str">
        <f>'StB-Werte'!AH121</f>
        <v/>
      </c>
    </row>
    <row r="122" spans="1:62" hidden="1" x14ac:dyDescent="0.2">
      <c r="A122" s="181" t="str">
        <f>INDEX(B122:F122,,$A$4)</f>
        <v>B500B</v>
      </c>
      <c r="B122" s="257" t="str">
        <f>'StB-Werte'!B122</f>
        <v>BSt 500</v>
      </c>
      <c r="C122" s="257" t="str">
        <f>'StB-Werte'!C122</f>
        <v>BSt 500 B</v>
      </c>
      <c r="D122" s="257" t="str">
        <f>'StB-Werte'!D122</f>
        <v>B500B</v>
      </c>
      <c r="E122" s="257" t="str">
        <f>'StB-Werte'!E122</f>
        <v>B500B</v>
      </c>
      <c r="F122" s="257" t="str">
        <f>'StB-Werte'!F122</f>
        <v/>
      </c>
      <c r="H122" s="214">
        <f>INDEX(I122:M122,,$A$4)</f>
        <v>500</v>
      </c>
      <c r="I122" s="266">
        <f>'StB-Werte'!I122</f>
        <v>500</v>
      </c>
      <c r="J122" s="266">
        <f>'StB-Werte'!J122</f>
        <v>500</v>
      </c>
      <c r="K122" s="266">
        <f>'StB-Werte'!K122</f>
        <v>500</v>
      </c>
      <c r="L122" s="266">
        <f>'StB-Werte'!L122</f>
        <v>500</v>
      </c>
      <c r="M122" s="257" t="str">
        <f>'StB-Werte'!M122</f>
        <v/>
      </c>
      <c r="O122" s="214">
        <f>INDEX(P122:T122,,$A$4)</f>
        <v>525</v>
      </c>
      <c r="P122" s="266">
        <f>'StB-Werte'!P122</f>
        <v>500</v>
      </c>
      <c r="Q122" s="266">
        <f>'StB-Werte'!Q122</f>
        <v>540</v>
      </c>
      <c r="R122" s="266">
        <f>'StB-Werte'!R122</f>
        <v>525</v>
      </c>
      <c r="S122" s="266">
        <f>'StB-Werte'!S122</f>
        <v>525</v>
      </c>
      <c r="T122" s="266" t="str">
        <f>'StB-Werte'!T122</f>
        <v/>
      </c>
      <c r="V122" s="214">
        <f>INDEX(W122:AA122,,$A$4)</f>
        <v>200000</v>
      </c>
      <c r="W122" s="266">
        <f>'StB-Werte'!W122</f>
        <v>210000</v>
      </c>
      <c r="X122" s="266">
        <f>'StB-Werte'!X122</f>
        <v>200000</v>
      </c>
      <c r="Y122" s="266">
        <f>'StB-Werte'!Y122</f>
        <v>200000</v>
      </c>
      <c r="Z122" s="266">
        <f>'StB-Werte'!Z122</f>
        <v>200000</v>
      </c>
      <c r="AA122" s="266" t="str">
        <f>'StB-Werte'!AA122</f>
        <v/>
      </c>
      <c r="AC122" s="184">
        <f>INDEX(AD122:AH122,,$A$4)</f>
        <v>25</v>
      </c>
      <c r="AD122" s="263">
        <f>'StB-Werte'!AD122</f>
        <v>5</v>
      </c>
      <c r="AE122" s="263">
        <f>'StB-Werte'!AE122</f>
        <v>50</v>
      </c>
      <c r="AF122" s="263">
        <f>'StB-Werte'!AF122</f>
        <v>25</v>
      </c>
      <c r="AG122" s="263">
        <f>'StB-Werte'!AG122</f>
        <v>25</v>
      </c>
      <c r="AH122" s="263" t="str">
        <f>'StB-Werte'!AH122</f>
        <v/>
      </c>
    </row>
    <row r="123" spans="1:62" hidden="1" x14ac:dyDescent="0.2">
      <c r="A123" s="181" t="str">
        <f>INDEX(B123:F123,,$A$4)</f>
        <v/>
      </c>
      <c r="B123" s="257" t="str">
        <f>'StB-Werte'!B123</f>
        <v/>
      </c>
      <c r="C123" s="257" t="str">
        <f>'StB-Werte'!C123</f>
        <v/>
      </c>
      <c r="D123" s="257" t="str">
        <f>'StB-Werte'!D123</f>
        <v/>
      </c>
      <c r="E123" s="257" t="str">
        <f>'StB-Werte'!E123</f>
        <v/>
      </c>
      <c r="F123" s="257" t="str">
        <f>'StB-Werte'!F123</f>
        <v/>
      </c>
      <c r="H123" s="214" t="str">
        <f>INDEX(I123:M123,,$A$4)</f>
        <v/>
      </c>
      <c r="I123" s="257" t="str">
        <f>'StB-Werte'!I123</f>
        <v/>
      </c>
      <c r="J123" s="257" t="str">
        <f>'StB-Werte'!J123</f>
        <v/>
      </c>
      <c r="K123" s="257" t="str">
        <f>'StB-Werte'!K123</f>
        <v/>
      </c>
      <c r="L123" s="257" t="str">
        <f>'StB-Werte'!L123</f>
        <v/>
      </c>
      <c r="M123" s="257" t="str">
        <f>'StB-Werte'!M123</f>
        <v/>
      </c>
      <c r="O123" s="214" t="str">
        <f>INDEX(P123:T123,,$A$4)</f>
        <v/>
      </c>
      <c r="P123" s="266" t="str">
        <f>'StB-Werte'!P123</f>
        <v/>
      </c>
      <c r="Q123" s="266" t="str">
        <f>'StB-Werte'!Q123</f>
        <v/>
      </c>
      <c r="R123" s="266" t="str">
        <f>'StB-Werte'!R123</f>
        <v/>
      </c>
      <c r="S123" s="266" t="str">
        <f>'StB-Werte'!S123</f>
        <v/>
      </c>
      <c r="T123" s="266" t="str">
        <f>'StB-Werte'!T123</f>
        <v/>
      </c>
      <c r="V123" s="214" t="str">
        <f>INDEX(W123:AA123,,$A$4)</f>
        <v/>
      </c>
      <c r="W123" s="266" t="str">
        <f>'StB-Werte'!W123</f>
        <v/>
      </c>
      <c r="X123" s="266" t="str">
        <f>'StB-Werte'!X123</f>
        <v/>
      </c>
      <c r="Y123" s="266" t="str">
        <f>'StB-Werte'!Y123</f>
        <v/>
      </c>
      <c r="Z123" s="266" t="str">
        <f>'StB-Werte'!Z123</f>
        <v/>
      </c>
      <c r="AA123" s="266" t="str">
        <f>'StB-Werte'!AA123</f>
        <v/>
      </c>
      <c r="AC123" s="184" t="str">
        <f>INDEX(AD123:AH123,,$A$4)</f>
        <v/>
      </c>
      <c r="AD123" s="263" t="str">
        <f>'StB-Werte'!AD123</f>
        <v/>
      </c>
      <c r="AE123" s="263" t="str">
        <f>'StB-Werte'!AE123</f>
        <v/>
      </c>
      <c r="AF123" s="263" t="str">
        <f>'StB-Werte'!AF123</f>
        <v/>
      </c>
      <c r="AG123" s="263" t="str">
        <f>'StB-Werte'!AG123</f>
        <v/>
      </c>
      <c r="AH123" s="263" t="str">
        <f>'StB-Werte'!AH123</f>
        <v/>
      </c>
    </row>
    <row r="124" spans="1:62" hidden="1" x14ac:dyDescent="0.2">
      <c r="A124" s="182" t="str">
        <f>INDEX(B124:F124,,$A$4)</f>
        <v/>
      </c>
      <c r="B124" s="260" t="str">
        <f>'StB-Werte'!B124</f>
        <v/>
      </c>
      <c r="C124" s="260" t="str">
        <f>'StB-Werte'!C124</f>
        <v/>
      </c>
      <c r="D124" s="260" t="str">
        <f>'StB-Werte'!D124</f>
        <v/>
      </c>
      <c r="E124" s="260" t="str">
        <f>'StB-Werte'!E124</f>
        <v/>
      </c>
      <c r="F124" s="260" t="str">
        <f>'StB-Werte'!F124</f>
        <v/>
      </c>
      <c r="H124" s="215" t="str">
        <f>INDEX(I124:M124,,$A$4)</f>
        <v/>
      </c>
      <c r="I124" s="260" t="str">
        <f>'StB-Werte'!I124</f>
        <v/>
      </c>
      <c r="J124" s="260" t="str">
        <f>'StB-Werte'!J124</f>
        <v/>
      </c>
      <c r="K124" s="260" t="str">
        <f>'StB-Werte'!K124</f>
        <v/>
      </c>
      <c r="L124" s="260" t="str">
        <f>'StB-Werte'!L124</f>
        <v/>
      </c>
      <c r="M124" s="260" t="str">
        <f>'StB-Werte'!M124</f>
        <v/>
      </c>
      <c r="O124" s="215" t="str">
        <f>INDEX(P124:T124,,$A$4)</f>
        <v/>
      </c>
      <c r="P124" s="274" t="str">
        <f>'StB-Werte'!P124</f>
        <v/>
      </c>
      <c r="Q124" s="274" t="str">
        <f>'StB-Werte'!Q124</f>
        <v/>
      </c>
      <c r="R124" s="274" t="str">
        <f>'StB-Werte'!R124</f>
        <v/>
      </c>
      <c r="S124" s="274" t="str">
        <f>'StB-Werte'!S124</f>
        <v/>
      </c>
      <c r="T124" s="274" t="str">
        <f>'StB-Werte'!T124</f>
        <v/>
      </c>
      <c r="V124" s="215" t="str">
        <f>INDEX(W124:AA124,,$A$4)</f>
        <v/>
      </c>
      <c r="W124" s="274" t="str">
        <f>'StB-Werte'!W124</f>
        <v/>
      </c>
      <c r="X124" s="274" t="str">
        <f>'StB-Werte'!X124</f>
        <v/>
      </c>
      <c r="Y124" s="274" t="str">
        <f>'StB-Werte'!Y124</f>
        <v/>
      </c>
      <c r="Z124" s="274" t="str">
        <f>'StB-Werte'!Z124</f>
        <v/>
      </c>
      <c r="AA124" s="274" t="str">
        <f>'StB-Werte'!AA124</f>
        <v/>
      </c>
      <c r="AC124" s="185" t="str">
        <f>INDEX(AD124:AH124,,$A$4)</f>
        <v/>
      </c>
      <c r="AD124" s="264" t="str">
        <f>'StB-Werte'!AD124</f>
        <v/>
      </c>
      <c r="AE124" s="264" t="str">
        <f>'StB-Werte'!AE124</f>
        <v/>
      </c>
      <c r="AF124" s="264" t="str">
        <f>'StB-Werte'!AF124</f>
        <v/>
      </c>
      <c r="AG124" s="264" t="str">
        <f>'StB-Werte'!AG124</f>
        <v/>
      </c>
      <c r="AH124" s="264" t="str">
        <f>'StB-Werte'!AH124</f>
        <v/>
      </c>
    </row>
    <row r="125" spans="1:62" hidden="1" x14ac:dyDescent="0.2"/>
    <row r="126" spans="1:62" hidden="1" x14ac:dyDescent="0.2">
      <c r="A126" s="171" t="s">
        <v>578</v>
      </c>
      <c r="B126" s="171">
        <v>1</v>
      </c>
      <c r="C126" s="171">
        <v>2</v>
      </c>
      <c r="D126" s="171">
        <v>3</v>
      </c>
      <c r="E126" s="171">
        <v>4</v>
      </c>
      <c r="F126" s="171">
        <v>5</v>
      </c>
      <c r="H126" s="171" t="s">
        <v>602</v>
      </c>
      <c r="I126" s="171">
        <v>1</v>
      </c>
      <c r="J126" s="171">
        <v>2</v>
      </c>
      <c r="K126" s="171">
        <v>3</v>
      </c>
      <c r="L126" s="171">
        <v>4</v>
      </c>
      <c r="M126" s="171">
        <v>5</v>
      </c>
      <c r="O126" s="171" t="s">
        <v>602</v>
      </c>
      <c r="P126" s="171">
        <v>1</v>
      </c>
      <c r="Q126" s="171">
        <v>2</v>
      </c>
      <c r="R126" s="171">
        <v>3</v>
      </c>
      <c r="S126" s="171">
        <v>4</v>
      </c>
      <c r="T126" s="171">
        <v>5</v>
      </c>
    </row>
    <row r="127" spans="1:62" hidden="1" x14ac:dyDescent="0.2">
      <c r="A127" s="190" t="str">
        <f>INDEX(B127:F127,,$A$4)</f>
        <v>without min. reinforcement</v>
      </c>
      <c r="B127" s="261" t="str">
        <f>'StB-Werte'!B127</f>
        <v>without min. reinforcement</v>
      </c>
      <c r="C127" s="261" t="str">
        <f>'StB-Werte'!C127</f>
        <v>without min. reinforcement</v>
      </c>
      <c r="D127" s="261" t="str">
        <f>'StB-Werte'!D127</f>
        <v>without min. reinforcement</v>
      </c>
      <c r="E127" s="261" t="str">
        <f>'StB-Werte'!E127</f>
        <v>without min. reinforcement</v>
      </c>
      <c r="F127" s="261" t="str">
        <f>'StB-Werte'!F127</f>
        <v/>
      </c>
      <c r="H127" s="190" t="str">
        <f>INDEX(I127:M127,,$A$4)</f>
        <v>without crack width limit</v>
      </c>
      <c r="I127" s="261" t="str">
        <f>'StB-Werte'!I127</f>
        <v>without crack width limit</v>
      </c>
      <c r="J127" s="261" t="str">
        <f>'StB-Werte'!J127</f>
        <v>without crack width limit</v>
      </c>
      <c r="K127" s="261" t="str">
        <f>'StB-Werte'!K127</f>
        <v>without crack width limit</v>
      </c>
      <c r="L127" s="261" t="str">
        <f>'StB-Werte'!L127</f>
        <v>without crack width limit</v>
      </c>
      <c r="M127" s="261" t="str">
        <f>'StB-Werte'!M127</f>
        <v/>
      </c>
      <c r="O127" s="190" t="str">
        <f>IF($E$18=1,"",INDEX(P127:T127,,$A$4))</f>
        <v/>
      </c>
      <c r="P127" s="261" t="str">
        <f>'StB-Werte'!P127</f>
        <v/>
      </c>
      <c r="Q127" s="261" t="str">
        <f>'StB-Werte'!Q127</f>
        <v/>
      </c>
      <c r="R127" s="261" t="str">
        <f>'StB-Werte'!R127</f>
        <v/>
      </c>
      <c r="S127" s="261" t="str">
        <f>'StB-Werte'!S127</f>
        <v/>
      </c>
      <c r="T127" s="261" t="str">
        <f>'StB-Werte'!T127</f>
        <v/>
      </c>
    </row>
    <row r="128" spans="1:62" hidden="1" x14ac:dyDescent="0.2">
      <c r="A128" s="191" t="str">
        <f>INDEX(B128:F128,,$A$4)</f>
        <v>with min. reinforcement</v>
      </c>
      <c r="B128" s="255" t="str">
        <f>'StB-Werte'!B128</f>
        <v>with min. reinforcement</v>
      </c>
      <c r="C128" s="255" t="str">
        <f>'StB-Werte'!C128</f>
        <v>with min. reinforcement</v>
      </c>
      <c r="D128" s="255" t="str">
        <f>'StB-Werte'!D128</f>
        <v>with min. reinforcement</v>
      </c>
      <c r="E128" s="255" t="str">
        <f>'StB-Werte'!E128</f>
        <v>with min. reinforcement</v>
      </c>
      <c r="F128" s="255" t="str">
        <f>'StB-Werte'!F128</f>
        <v/>
      </c>
      <c r="H128" s="191" t="str">
        <f>INDEX(I128:M128,,$A$4)</f>
        <v>with crack width limit</v>
      </c>
      <c r="I128" s="255" t="str">
        <f>'StB-Werte'!I128</f>
        <v>with crack width limit</v>
      </c>
      <c r="J128" s="255" t="str">
        <f>'StB-Werte'!J128</f>
        <v>with crack width limit</v>
      </c>
      <c r="K128" s="255" t="str">
        <f>'StB-Werte'!K128</f>
        <v>with crack width limit</v>
      </c>
      <c r="L128" s="255" t="str">
        <f>'StB-Werte'!L128</f>
        <v>with crack width limit</v>
      </c>
      <c r="M128" s="255" t="str">
        <f>'StB-Werte'!M128</f>
        <v/>
      </c>
      <c r="O128" s="211" t="str">
        <f>IF($E$18=1,"",INDEX(P128:T128,,$A$4))</f>
        <v>crack width = 0.40 mm</v>
      </c>
      <c r="P128" s="254" t="str">
        <f>'StB-Werte'!P128</f>
        <v>crack width = 0.40 mm</v>
      </c>
      <c r="Q128" s="254" t="str">
        <f>'StB-Werte'!Q128</f>
        <v>crack width = 0.40 mm</v>
      </c>
      <c r="R128" s="254" t="str">
        <f>'StB-Werte'!R128</f>
        <v>crack width = 0.40 mm</v>
      </c>
      <c r="S128" s="254" t="str">
        <f>'StB-Werte'!S128</f>
        <v>crack width = 0.40 mm</v>
      </c>
      <c r="T128" s="254" t="str">
        <f>'StB-Werte'!T128</f>
        <v/>
      </c>
    </row>
    <row r="129" spans="1:41" hidden="1" x14ac:dyDescent="0.2">
      <c r="O129" s="211" t="str">
        <f>IF($E$18=1,"",INDEX(P129:T129,,$A$4))</f>
        <v>crack width = 0.30 mm</v>
      </c>
      <c r="P129" s="254" t="str">
        <f>'StB-Werte'!P129</f>
        <v>crack width = 0.30 mm</v>
      </c>
      <c r="Q129" s="254" t="str">
        <f>'StB-Werte'!Q129</f>
        <v>crack width = 0.30 mm</v>
      </c>
      <c r="R129" s="254" t="str">
        <f>'StB-Werte'!R129</f>
        <v>crack width = 0.30 mm</v>
      </c>
      <c r="S129" s="254" t="str">
        <f>'StB-Werte'!S129</f>
        <v>crack width = 0.30 mm</v>
      </c>
      <c r="T129" s="254" t="str">
        <f>'StB-Werte'!T129</f>
        <v/>
      </c>
    </row>
    <row r="130" spans="1:41" hidden="1" x14ac:dyDescent="0.2">
      <c r="O130" s="191" t="str">
        <f>IF($E$18=1,"",INDEX(P130:T130,,$A$4))</f>
        <v>crack width = 0.20 mm</v>
      </c>
      <c r="P130" s="255" t="str">
        <f>'StB-Werte'!P130</f>
        <v>crack width = 0.20 mm</v>
      </c>
      <c r="Q130" s="255" t="str">
        <f>'StB-Werte'!Q130</f>
        <v>crack width = 0.20 mm</v>
      </c>
      <c r="R130" s="255" t="str">
        <f>'StB-Werte'!R130</f>
        <v>crack width = 0.20 mm</v>
      </c>
      <c r="S130" s="255" t="str">
        <f>'StB-Werte'!S130</f>
        <v>crack width = 0.20 mm</v>
      </c>
      <c r="T130" s="255" t="str">
        <f>'StB-Werte'!T130</f>
        <v/>
      </c>
    </row>
    <row r="131" spans="1:41" hidden="1" x14ac:dyDescent="0.2"/>
    <row r="132" spans="1:41" hidden="1" x14ac:dyDescent="0.2">
      <c r="A132" s="170" t="s">
        <v>588</v>
      </c>
      <c r="B132" s="212">
        <v>1</v>
      </c>
      <c r="C132" s="212">
        <v>2</v>
      </c>
      <c r="D132" s="212">
        <v>3</v>
      </c>
      <c r="E132" s="171">
        <v>4</v>
      </c>
      <c r="F132" s="171">
        <v>5</v>
      </c>
      <c r="H132" s="171" t="s">
        <v>589</v>
      </c>
      <c r="I132" s="171">
        <v>1</v>
      </c>
      <c r="J132" s="171">
        <v>2</v>
      </c>
      <c r="K132" s="171">
        <v>3</v>
      </c>
      <c r="L132" s="171">
        <v>4</v>
      </c>
      <c r="M132" s="171">
        <v>5</v>
      </c>
      <c r="O132" s="171" t="s">
        <v>590</v>
      </c>
      <c r="P132" s="171">
        <v>1</v>
      </c>
      <c r="Q132" s="171">
        <v>2</v>
      </c>
      <c r="R132" s="171">
        <v>3</v>
      </c>
      <c r="S132" s="171">
        <v>4</v>
      </c>
      <c r="T132" s="171">
        <v>5</v>
      </c>
      <c r="V132" s="171" t="s">
        <v>591</v>
      </c>
      <c r="W132" s="171">
        <v>1</v>
      </c>
      <c r="X132" s="171">
        <v>2</v>
      </c>
      <c r="Y132" s="171">
        <v>3</v>
      </c>
      <c r="Z132" s="171">
        <v>4</v>
      </c>
      <c r="AA132" s="171">
        <v>5</v>
      </c>
      <c r="AC132" s="171" t="s">
        <v>409</v>
      </c>
      <c r="AD132" s="171">
        <v>1</v>
      </c>
      <c r="AE132" s="171">
        <v>2</v>
      </c>
      <c r="AF132" s="171">
        <v>3</v>
      </c>
      <c r="AG132" s="171">
        <v>4</v>
      </c>
      <c r="AH132" s="171">
        <v>5</v>
      </c>
      <c r="AJ132" s="171" t="s">
        <v>417</v>
      </c>
      <c r="AK132" s="171">
        <v>1</v>
      </c>
      <c r="AL132" s="171">
        <v>2</v>
      </c>
      <c r="AM132" s="171">
        <v>3</v>
      </c>
      <c r="AN132" s="171">
        <v>4</v>
      </c>
      <c r="AO132" s="171">
        <v>5</v>
      </c>
    </row>
    <row r="133" spans="1:41" hidden="1" x14ac:dyDescent="0.2">
      <c r="A133" s="172" t="str">
        <f>INDEX(B133:F133,,$A$4) &amp; $G133</f>
        <v>BS-P: Persistent situation</v>
      </c>
      <c r="B133" s="267" t="str">
        <f>'StB-Werte'!B133</f>
        <v>LF 1</v>
      </c>
      <c r="C133" s="267" t="str">
        <f>'StB-Werte'!C133</f>
        <v>LF 1</v>
      </c>
      <c r="D133" s="267" t="str">
        <f>'StB-Werte'!D133</f>
        <v>BS-P</v>
      </c>
      <c r="E133" s="267" t="str">
        <f>'StB-Werte'!E133</f>
        <v>BS-P</v>
      </c>
      <c r="F133" s="256" t="str">
        <f>'StB-Werte'!F133</f>
        <v/>
      </c>
      <c r="G133" s="268" t="str">
        <f>'StB-Werte'!G133</f>
        <v>: Persistent situation</v>
      </c>
      <c r="H133" s="247" t="str">
        <f>INDEX(I133:M133,,$A$4)</f>
        <v>permanent</v>
      </c>
      <c r="I133" s="251" t="str">
        <f>'StB-Werte'!I133</f>
        <v/>
      </c>
      <c r="J133" s="251" t="str">
        <f>'StB-Werte'!J133</f>
        <v>permanent</v>
      </c>
      <c r="K133" s="251" t="str">
        <f>'StB-Werte'!K133</f>
        <v>permanent</v>
      </c>
      <c r="L133" s="251" t="str">
        <f>'StB-Werte'!L133</f>
        <v>permanent</v>
      </c>
      <c r="M133" s="251" t="str">
        <f>'StB-Werte'!M133</f>
        <v/>
      </c>
      <c r="O133" s="176">
        <f>INDEX(P133:T133,,$A$4)</f>
        <v>1.35</v>
      </c>
      <c r="P133" s="275" t="str">
        <f>'StB-Werte'!P133</f>
        <v/>
      </c>
      <c r="Q133" s="275">
        <f>'StB-Werte'!Q133</f>
        <v>1.35</v>
      </c>
      <c r="R133" s="275">
        <f>'StB-Werte'!R133</f>
        <v>1.35</v>
      </c>
      <c r="S133" s="275">
        <f>'StB-Werte'!S133</f>
        <v>1.35</v>
      </c>
      <c r="T133" s="275" t="str">
        <f>'StB-Werte'!T133</f>
        <v/>
      </c>
      <c r="V133" s="176">
        <f>INDEX(W133:AA133,,$A$4)</f>
        <v>1.5</v>
      </c>
      <c r="W133" s="275" t="str">
        <f>'StB-Werte'!W133</f>
        <v/>
      </c>
      <c r="X133" s="275">
        <f>'StB-Werte'!X133</f>
        <v>1.5</v>
      </c>
      <c r="Y133" s="275">
        <f>'StB-Werte'!Y133</f>
        <v>1.5</v>
      </c>
      <c r="Z133" s="275">
        <f>'StB-Werte'!Z133</f>
        <v>1.5</v>
      </c>
      <c r="AA133" s="275" t="str">
        <f>'StB-Werte'!AA133</f>
        <v/>
      </c>
      <c r="AC133" s="176">
        <f>INDEX(AD133:AH133,,$A$4)</f>
        <v>1.5</v>
      </c>
      <c r="AD133" s="275">
        <f>'StB-Werte'!AD133</f>
        <v>1.75</v>
      </c>
      <c r="AE133" s="275">
        <f>'StB-Werte'!AE133</f>
        <v>1.5</v>
      </c>
      <c r="AF133" s="275">
        <f>'StB-Werte'!AF133</f>
        <v>1.5</v>
      </c>
      <c r="AG133" s="275">
        <f>'StB-Werte'!AG133</f>
        <v>1.5</v>
      </c>
      <c r="AH133" s="275" t="str">
        <f>'StB-Werte'!AH133</f>
        <v/>
      </c>
      <c r="AJ133" s="176">
        <f>INDEX(AK133:AO133,,$A$4)</f>
        <v>1.1499999999999999</v>
      </c>
      <c r="AK133" s="275">
        <f>'StB-Werte'!AK133</f>
        <v>1.75</v>
      </c>
      <c r="AL133" s="275">
        <f>'StB-Werte'!AL133</f>
        <v>1.1499999999999999</v>
      </c>
      <c r="AM133" s="275">
        <f>'StB-Werte'!AM133</f>
        <v>1.1499999999999999</v>
      </c>
      <c r="AN133" s="275">
        <f>'StB-Werte'!AN133</f>
        <v>1.1499999999999999</v>
      </c>
      <c r="AO133" s="275" t="str">
        <f>'StB-Werte'!AO133</f>
        <v/>
      </c>
    </row>
    <row r="134" spans="1:41" hidden="1" x14ac:dyDescent="0.2">
      <c r="A134" s="173" t="str">
        <f>INDEX(B134:F134,,$A$4) &amp; $G134</f>
        <v>BS-T: Transient situation</v>
      </c>
      <c r="B134" s="269" t="str">
        <f>'StB-Werte'!B134</f>
        <v>LF 2</v>
      </c>
      <c r="C134" s="269" t="str">
        <f>'StB-Werte'!C134</f>
        <v>LF 2</v>
      </c>
      <c r="D134" s="269" t="str">
        <f>'StB-Werte'!D134</f>
        <v>BS-T</v>
      </c>
      <c r="E134" s="269" t="str">
        <f>'StB-Werte'!E134</f>
        <v>BS-T</v>
      </c>
      <c r="F134" s="257" t="str">
        <f>'StB-Werte'!F134</f>
        <v/>
      </c>
      <c r="G134" s="268" t="str">
        <f>'StB-Werte'!G134</f>
        <v>: Transient situation</v>
      </c>
      <c r="H134" s="150" t="str">
        <f>INDEX(I134:M134,,$A$4)</f>
        <v>transient</v>
      </c>
      <c r="I134" s="252" t="str">
        <f>'StB-Werte'!I134</f>
        <v/>
      </c>
      <c r="J134" s="252" t="str">
        <f>'StB-Werte'!J134</f>
        <v>transient</v>
      </c>
      <c r="K134" s="252" t="str">
        <f>'StB-Werte'!K134</f>
        <v>transient</v>
      </c>
      <c r="L134" s="252" t="str">
        <f>'StB-Werte'!L134</f>
        <v>transient</v>
      </c>
      <c r="M134" s="252" t="str">
        <f>'StB-Werte'!M134</f>
        <v/>
      </c>
      <c r="O134" s="177">
        <f>INDEX(P134:T134,,$A$4)</f>
        <v>1.2</v>
      </c>
      <c r="P134" s="276" t="str">
        <f>'StB-Werte'!P134</f>
        <v/>
      </c>
      <c r="Q134" s="276">
        <f>'StB-Werte'!Q134</f>
        <v>1.2</v>
      </c>
      <c r="R134" s="276">
        <f>'StB-Werte'!R134</f>
        <v>1.2</v>
      </c>
      <c r="S134" s="276">
        <f>'StB-Werte'!S134</f>
        <v>1.2</v>
      </c>
      <c r="T134" s="276" t="str">
        <f>'StB-Werte'!T134</f>
        <v/>
      </c>
      <c r="V134" s="177">
        <f>INDEX(W134:AA134,,$A$4)</f>
        <v>1.3</v>
      </c>
      <c r="W134" s="276" t="str">
        <f>'StB-Werte'!W134</f>
        <v/>
      </c>
      <c r="X134" s="276">
        <f>'StB-Werte'!X134</f>
        <v>1.3</v>
      </c>
      <c r="Y134" s="276">
        <f>'StB-Werte'!Y134</f>
        <v>1.3</v>
      </c>
      <c r="Z134" s="276">
        <f>'StB-Werte'!Z134</f>
        <v>1.3</v>
      </c>
      <c r="AA134" s="276" t="str">
        <f>'StB-Werte'!AA134</f>
        <v/>
      </c>
      <c r="AC134" s="177">
        <f>INDEX(AD134:AH134,,$A$4)</f>
        <v>1.5</v>
      </c>
      <c r="AD134" s="276">
        <f>'StB-Werte'!AD134</f>
        <v>1.75</v>
      </c>
      <c r="AE134" s="276">
        <f>'StB-Werte'!AE134</f>
        <v>1.5</v>
      </c>
      <c r="AF134" s="276">
        <f>'StB-Werte'!AF134</f>
        <v>1.5</v>
      </c>
      <c r="AG134" s="276">
        <f>'StB-Werte'!AG134</f>
        <v>1.5</v>
      </c>
      <c r="AH134" s="276" t="str">
        <f>'StB-Werte'!AH134</f>
        <v/>
      </c>
      <c r="AJ134" s="177">
        <f>INDEX(AK134:AO134,,$A$4)</f>
        <v>1.1499999999999999</v>
      </c>
      <c r="AK134" s="276">
        <f>'StB-Werte'!AK134</f>
        <v>1.75</v>
      </c>
      <c r="AL134" s="276">
        <f>'StB-Werte'!AL134</f>
        <v>1.1499999999999999</v>
      </c>
      <c r="AM134" s="276">
        <f>'StB-Werte'!AM134</f>
        <v>1.1499999999999999</v>
      </c>
      <c r="AN134" s="276">
        <f>'StB-Werte'!AN134</f>
        <v>1.1499999999999999</v>
      </c>
      <c r="AO134" s="276" t="str">
        <f>'StB-Werte'!AO134</f>
        <v/>
      </c>
    </row>
    <row r="135" spans="1:41" hidden="1" x14ac:dyDescent="0.2">
      <c r="A135" s="173" t="str">
        <f>INDEX(B135:F135,,$A$4) &amp; $G135</f>
        <v>BS-A: Accidential situation</v>
      </c>
      <c r="B135" s="269" t="str">
        <f>'StB-Werte'!B135</f>
        <v>LF 3</v>
      </c>
      <c r="C135" s="269" t="str">
        <f>'StB-Werte'!C135</f>
        <v>LF 3</v>
      </c>
      <c r="D135" s="269" t="str">
        <f>'StB-Werte'!D135</f>
        <v>BS-A</v>
      </c>
      <c r="E135" s="269" t="str">
        <f>'StB-Werte'!E135</f>
        <v>BS-A</v>
      </c>
      <c r="F135" s="257" t="str">
        <f>'StB-Werte'!F135</f>
        <v/>
      </c>
      <c r="G135" s="268" t="str">
        <f>'StB-Werte'!G135</f>
        <v>: Accidential situation</v>
      </c>
      <c r="H135" s="150" t="str">
        <f>INDEX(I135:M135,,$A$4)</f>
        <v>γ_c   [1]</v>
      </c>
      <c r="I135" s="252" t="str">
        <f>'StB-Werte'!I135</f>
        <v>γ   [1]</v>
      </c>
      <c r="J135" s="252" t="str">
        <f>'StB-Werte'!J135</f>
        <v>γ_c   [1]</v>
      </c>
      <c r="K135" s="252" t="str">
        <f>'StB-Werte'!K135</f>
        <v>γ_c   [1]</v>
      </c>
      <c r="L135" s="252" t="str">
        <f>'StB-Werte'!L135</f>
        <v>γ_c   [1]</v>
      </c>
      <c r="M135" s="252" t="str">
        <f>'StB-Werte'!M135</f>
        <v/>
      </c>
      <c r="O135" s="177">
        <f>INDEX(P135:T135,,$A$4)</f>
        <v>1.1000000000000001</v>
      </c>
      <c r="P135" s="276" t="str">
        <f>'StB-Werte'!P135</f>
        <v/>
      </c>
      <c r="Q135" s="276">
        <f>'StB-Werte'!Q135</f>
        <v>1.1000000000000001</v>
      </c>
      <c r="R135" s="276">
        <f>'StB-Werte'!R135</f>
        <v>1.1000000000000001</v>
      </c>
      <c r="S135" s="276">
        <f>'StB-Werte'!S135</f>
        <v>1.1000000000000001</v>
      </c>
      <c r="T135" s="276" t="str">
        <f>'StB-Werte'!T135</f>
        <v/>
      </c>
      <c r="V135" s="177">
        <f>INDEX(W135:AA135,,$A$4)</f>
        <v>1.1000000000000001</v>
      </c>
      <c r="W135" s="276" t="str">
        <f>'StB-Werte'!W135</f>
        <v/>
      </c>
      <c r="X135" s="276">
        <f>'StB-Werte'!X135</f>
        <v>1.1000000000000001</v>
      </c>
      <c r="Y135" s="276">
        <f>'StB-Werte'!Y135</f>
        <v>1.1000000000000001</v>
      </c>
      <c r="Z135" s="276">
        <f>'StB-Werte'!Z135</f>
        <v>1.1000000000000001</v>
      </c>
      <c r="AA135" s="276" t="str">
        <f>'StB-Werte'!AA135</f>
        <v/>
      </c>
      <c r="AC135" s="177">
        <f>INDEX(AD135:AH135,,$A$4)</f>
        <v>1.3</v>
      </c>
      <c r="AD135" s="276">
        <f>'StB-Werte'!AD135</f>
        <v>1.3</v>
      </c>
      <c r="AE135" s="276">
        <f>'StB-Werte'!AE135</f>
        <v>1.3</v>
      </c>
      <c r="AF135" s="276">
        <f>'StB-Werte'!AF135</f>
        <v>1.2</v>
      </c>
      <c r="AG135" s="276">
        <f>'StB-Werte'!AG135</f>
        <v>1.3</v>
      </c>
      <c r="AH135" s="276" t="str">
        <f>'StB-Werte'!AH135</f>
        <v/>
      </c>
      <c r="AJ135" s="177">
        <f>INDEX(AK135:AO135,,$A$4)</f>
        <v>1</v>
      </c>
      <c r="AK135" s="276">
        <f>'StB-Werte'!AK135</f>
        <v>1.3</v>
      </c>
      <c r="AL135" s="276">
        <f>'StB-Werte'!AL135</f>
        <v>1</v>
      </c>
      <c r="AM135" s="276">
        <f>'StB-Werte'!AM135</f>
        <v>1</v>
      </c>
      <c r="AN135" s="276">
        <f>'StB-Werte'!AN135</f>
        <v>1</v>
      </c>
      <c r="AO135" s="276" t="str">
        <f>'StB-Werte'!AO135</f>
        <v/>
      </c>
    </row>
    <row r="136" spans="1:41" hidden="1" x14ac:dyDescent="0.2">
      <c r="A136" s="174" t="str">
        <f>INDEX(B136:F136,,$A$4) &amp; $G136</f>
        <v>BS-E: Seismic action</v>
      </c>
      <c r="B136" s="270" t="str">
        <f>'StB-Werte'!B136</f>
        <v>LF 3</v>
      </c>
      <c r="C136" s="270" t="str">
        <f>'StB-Werte'!C136</f>
        <v>LF 3</v>
      </c>
      <c r="D136" s="270" t="str">
        <f>'StB-Werte'!D136</f>
        <v>BS-E</v>
      </c>
      <c r="E136" s="270" t="str">
        <f>'StB-Werte'!E136</f>
        <v>BS-E</v>
      </c>
      <c r="F136" s="260" t="str">
        <f>'StB-Werte'!F136</f>
        <v/>
      </c>
      <c r="G136" s="268" t="str">
        <f>'StB-Werte'!G136</f>
        <v>: Seismic action</v>
      </c>
      <c r="H136" s="105" t="str">
        <f>INDEX(I136:M136,,$A$4)</f>
        <v>γ_s   [1]</v>
      </c>
      <c r="I136" s="253" t="str">
        <f>'StB-Werte'!I136</f>
        <v/>
      </c>
      <c r="J136" s="253" t="str">
        <f>'StB-Werte'!J136</f>
        <v>γ_s   [1]</v>
      </c>
      <c r="K136" s="253" t="str">
        <f>'StB-Werte'!K136</f>
        <v>γ_s   [1]</v>
      </c>
      <c r="L136" s="253" t="str">
        <f>'StB-Werte'!L136</f>
        <v>γ_s   [1]</v>
      </c>
      <c r="M136" s="253" t="str">
        <f>'StB-Werte'!M136</f>
        <v/>
      </c>
      <c r="O136" s="178">
        <f>INDEX(P136:T136,,$A$4)</f>
        <v>1</v>
      </c>
      <c r="P136" s="277" t="str">
        <f>'StB-Werte'!P136</f>
        <v/>
      </c>
      <c r="Q136" s="277">
        <f>'StB-Werte'!Q136</f>
        <v>1.1000000000000001</v>
      </c>
      <c r="R136" s="277">
        <f>'StB-Werte'!R136</f>
        <v>1</v>
      </c>
      <c r="S136" s="277">
        <f>'StB-Werte'!S136</f>
        <v>1</v>
      </c>
      <c r="T136" s="277" t="str">
        <f>'StB-Werte'!T136</f>
        <v/>
      </c>
      <c r="V136" s="178">
        <f>INDEX(W136:AA136,,$A$4)</f>
        <v>1</v>
      </c>
      <c r="W136" s="277" t="str">
        <f>'StB-Werte'!W136</f>
        <v/>
      </c>
      <c r="X136" s="277">
        <f>'StB-Werte'!X136</f>
        <v>1.1000000000000001</v>
      </c>
      <c r="Y136" s="277">
        <f>'StB-Werte'!Y136</f>
        <v>1</v>
      </c>
      <c r="Z136" s="277">
        <f>'StB-Werte'!Z136</f>
        <v>1</v>
      </c>
      <c r="AA136" s="277" t="str">
        <f>'StB-Werte'!AA136</f>
        <v/>
      </c>
      <c r="AC136" s="178">
        <f>INDEX(AD136:AH136,,$A$4)</f>
        <v>1.3</v>
      </c>
      <c r="AD136" s="277">
        <f>'StB-Werte'!AD136</f>
        <v>1.3</v>
      </c>
      <c r="AE136" s="277">
        <f>'StB-Werte'!AE136</f>
        <v>1.3</v>
      </c>
      <c r="AF136" s="277">
        <f>'StB-Werte'!AF136</f>
        <v>1.2</v>
      </c>
      <c r="AG136" s="277">
        <f>'StB-Werte'!AG136</f>
        <v>1.3</v>
      </c>
      <c r="AH136" s="277" t="str">
        <f>'StB-Werte'!AH136</f>
        <v/>
      </c>
      <c r="AJ136" s="178">
        <f>INDEX(AK136:AO136,,$A$4)</f>
        <v>1</v>
      </c>
      <c r="AK136" s="277">
        <f>'StB-Werte'!AK136</f>
        <v>1.3</v>
      </c>
      <c r="AL136" s="277">
        <f>'StB-Werte'!AL136</f>
        <v>1</v>
      </c>
      <c r="AM136" s="277">
        <f>'StB-Werte'!AM136</f>
        <v>1</v>
      </c>
      <c r="AN136" s="277">
        <f>'StB-Werte'!AN136</f>
        <v>1</v>
      </c>
      <c r="AO136" s="277" t="str">
        <f>'StB-Werte'!AO136</f>
        <v/>
      </c>
    </row>
    <row r="137" spans="1:41" hidden="1" x14ac:dyDescent="0.2"/>
    <row r="138" spans="1:41" hidden="1" x14ac:dyDescent="0.2">
      <c r="A138" s="213" t="s">
        <v>623</v>
      </c>
      <c r="C138" s="213" t="s">
        <v>689</v>
      </c>
      <c r="D138" s="213" t="s">
        <v>622</v>
      </c>
      <c r="E138" s="213" t="s">
        <v>623</v>
      </c>
      <c r="F138" s="213" t="s">
        <v>621</v>
      </c>
      <c r="G138" s="228">
        <v>0.4</v>
      </c>
      <c r="H138" s="228">
        <v>0.3</v>
      </c>
      <c r="I138" s="228">
        <v>0.2</v>
      </c>
      <c r="K138" s="213">
        <v>3</v>
      </c>
      <c r="L138" s="213" t="s">
        <v>622</v>
      </c>
      <c r="M138" s="213" t="s">
        <v>623</v>
      </c>
      <c r="N138" s="213" t="s">
        <v>621</v>
      </c>
      <c r="O138" s="228">
        <v>0.4</v>
      </c>
      <c r="P138" s="228">
        <v>0.3</v>
      </c>
      <c r="Q138" s="228">
        <v>0.2</v>
      </c>
      <c r="S138" s="213">
        <v>4</v>
      </c>
      <c r="T138" s="213" t="s">
        <v>622</v>
      </c>
      <c r="U138" s="213" t="s">
        <v>623</v>
      </c>
      <c r="V138" s="213" t="s">
        <v>621</v>
      </c>
      <c r="W138" s="228">
        <v>0.4</v>
      </c>
      <c r="X138" s="228">
        <v>0.3</v>
      </c>
      <c r="Y138" s="228">
        <v>0.2</v>
      </c>
    </row>
    <row r="139" spans="1:41" hidden="1" x14ac:dyDescent="0.2">
      <c r="A139" s="248">
        <f>IF(OR($A$4=1,$A$4=2),C139,IF($A$4=3,K139,S139))</f>
        <v>193</v>
      </c>
      <c r="C139" s="248">
        <f>ROUND(fInterSig(E139:E146,F139:F146,D139,8),0)</f>
        <v>197</v>
      </c>
      <c r="D139" s="249">
        <f>$G$20</f>
        <v>28</v>
      </c>
      <c r="E139" s="271">
        <f>'StB-Werte'!E139</f>
        <v>160</v>
      </c>
      <c r="F139" s="247">
        <f>INDEX(G139:I139,,$G$17-1)</f>
        <v>42</v>
      </c>
      <c r="G139" s="251">
        <f>'StB-Werte'!G139</f>
        <v>56</v>
      </c>
      <c r="H139" s="251">
        <f>'StB-Werte'!H139</f>
        <v>42</v>
      </c>
      <c r="I139" s="251">
        <f>'StB-Werte'!I139</f>
        <v>28</v>
      </c>
      <c r="K139" s="248">
        <f>ROUND(fInterSig(M139:M146,N139:N146,L139,8),0)</f>
        <v>183</v>
      </c>
      <c r="L139" s="249">
        <f>$G$20</f>
        <v>28</v>
      </c>
      <c r="M139" s="271">
        <f>'StB-Werte'!M139</f>
        <v>160</v>
      </c>
      <c r="N139" s="247">
        <f>INDEX(O139:Q139,,$G$17-1)</f>
        <v>32</v>
      </c>
      <c r="O139" s="251">
        <f>'StB-Werte'!O139</f>
        <v>40</v>
      </c>
      <c r="P139" s="251">
        <f>'StB-Werte'!P139</f>
        <v>32</v>
      </c>
      <c r="Q139" s="251">
        <f>'StB-Werte'!Q139</f>
        <v>25</v>
      </c>
      <c r="S139" s="248">
        <f>ROUND(fInterSig(U139:U151,V139:V151,T139,13),0)</f>
        <v>193</v>
      </c>
      <c r="T139" s="249">
        <f>$G$20</f>
        <v>28</v>
      </c>
      <c r="U139" s="271">
        <f>'StB-Werte'!U139</f>
        <v>160</v>
      </c>
      <c r="V139" s="247">
        <f t="shared" ref="V139:V151" si="12">INDEX(W139:Y139,,$G$17-1)</f>
        <v>41</v>
      </c>
      <c r="W139" s="251">
        <f>'StB-Werte'!W139</f>
        <v>54</v>
      </c>
      <c r="X139" s="251">
        <f>'StB-Werte'!X139</f>
        <v>41</v>
      </c>
      <c r="Y139" s="251">
        <f>'StB-Werte'!Y139</f>
        <v>27</v>
      </c>
    </row>
    <row r="140" spans="1:41" hidden="1" x14ac:dyDescent="0.2">
      <c r="E140" s="272">
        <f>'StB-Werte'!E140</f>
        <v>200</v>
      </c>
      <c r="F140" s="150">
        <f t="shared" ref="F140:F146" si="13">INDEX(G140:I140,,$G$17-1)</f>
        <v>27</v>
      </c>
      <c r="G140" s="252">
        <f>'StB-Werte'!G140</f>
        <v>36</v>
      </c>
      <c r="H140" s="252">
        <f>'StB-Werte'!H140</f>
        <v>27</v>
      </c>
      <c r="I140" s="252">
        <f>'StB-Werte'!I140</f>
        <v>18</v>
      </c>
      <c r="M140" s="272">
        <f>'StB-Werte'!M140</f>
        <v>200</v>
      </c>
      <c r="N140" s="150">
        <f t="shared" ref="N140:N146" si="14">INDEX(O140:Q140,,$G$17-1)</f>
        <v>25</v>
      </c>
      <c r="O140" s="252">
        <f>'StB-Werte'!O140</f>
        <v>32</v>
      </c>
      <c r="P140" s="252">
        <f>'StB-Werte'!P140</f>
        <v>25</v>
      </c>
      <c r="Q140" s="252">
        <f>'StB-Werte'!Q140</f>
        <v>16</v>
      </c>
      <c r="U140" s="272">
        <f>'StB-Werte'!U140</f>
        <v>180</v>
      </c>
      <c r="V140" s="150">
        <f t="shared" si="12"/>
        <v>32</v>
      </c>
      <c r="W140" s="252">
        <f>'StB-Werte'!W140</f>
        <v>43</v>
      </c>
      <c r="X140" s="252">
        <f>'StB-Werte'!X140</f>
        <v>32</v>
      </c>
      <c r="Y140" s="252">
        <f>'StB-Werte'!Y140</f>
        <v>21</v>
      </c>
    </row>
    <row r="141" spans="1:41" hidden="1" x14ac:dyDescent="0.2">
      <c r="E141" s="272">
        <f>'StB-Werte'!E141</f>
        <v>240</v>
      </c>
      <c r="F141" s="150">
        <f t="shared" si="13"/>
        <v>19</v>
      </c>
      <c r="G141" s="252">
        <f>'StB-Werte'!G141</f>
        <v>25</v>
      </c>
      <c r="H141" s="252">
        <f>'StB-Werte'!H141</f>
        <v>19</v>
      </c>
      <c r="I141" s="252">
        <f>'StB-Werte'!I141</f>
        <v>13</v>
      </c>
      <c r="M141" s="272">
        <f>'StB-Werte'!M141</f>
        <v>240</v>
      </c>
      <c r="N141" s="150">
        <f t="shared" si="14"/>
        <v>16</v>
      </c>
      <c r="O141" s="252">
        <f>'StB-Werte'!O141</f>
        <v>20</v>
      </c>
      <c r="P141" s="252">
        <f>'StB-Werte'!P141</f>
        <v>16</v>
      </c>
      <c r="Q141" s="252">
        <f>'StB-Werte'!Q141</f>
        <v>12</v>
      </c>
      <c r="U141" s="272">
        <f>'StB-Werte'!U141</f>
        <v>200</v>
      </c>
      <c r="V141" s="150">
        <f t="shared" si="12"/>
        <v>26</v>
      </c>
      <c r="W141" s="252">
        <f>'StB-Werte'!W141</f>
        <v>35</v>
      </c>
      <c r="X141" s="252">
        <f>'StB-Werte'!X141</f>
        <v>26</v>
      </c>
      <c r="Y141" s="252">
        <f>'StB-Werte'!Y141</f>
        <v>17</v>
      </c>
    </row>
    <row r="142" spans="1:41" hidden="1" x14ac:dyDescent="0.2">
      <c r="E142" s="272">
        <f>'StB-Werte'!E142</f>
        <v>280</v>
      </c>
      <c r="F142" s="150">
        <f t="shared" si="13"/>
        <v>14</v>
      </c>
      <c r="G142" s="252">
        <f>'StB-Werte'!G142</f>
        <v>18</v>
      </c>
      <c r="H142" s="252">
        <f>'StB-Werte'!H142</f>
        <v>14</v>
      </c>
      <c r="I142" s="252">
        <f>'StB-Werte'!I142</f>
        <v>9</v>
      </c>
      <c r="M142" s="272">
        <f>'StB-Werte'!M142</f>
        <v>280</v>
      </c>
      <c r="N142" s="150">
        <f t="shared" si="14"/>
        <v>12</v>
      </c>
      <c r="O142" s="252">
        <f>'StB-Werte'!O142</f>
        <v>16</v>
      </c>
      <c r="P142" s="252">
        <f>'StB-Werte'!P142</f>
        <v>12</v>
      </c>
      <c r="Q142" s="252">
        <f>'StB-Werte'!Q142</f>
        <v>8</v>
      </c>
      <c r="U142" s="272">
        <f>'StB-Werte'!U142</f>
        <v>220</v>
      </c>
      <c r="V142" s="150">
        <f t="shared" si="12"/>
        <v>22</v>
      </c>
      <c r="W142" s="252">
        <f>'StB-Werte'!W142</f>
        <v>29</v>
      </c>
      <c r="X142" s="252">
        <f>'StB-Werte'!X142</f>
        <v>22</v>
      </c>
      <c r="Y142" s="252">
        <f>'StB-Werte'!Y142</f>
        <v>14</v>
      </c>
    </row>
    <row r="143" spans="1:41" hidden="1" x14ac:dyDescent="0.2">
      <c r="E143" s="272">
        <f>'StB-Werte'!E143</f>
        <v>320</v>
      </c>
      <c r="F143" s="150">
        <f t="shared" si="13"/>
        <v>11</v>
      </c>
      <c r="G143" s="252">
        <f>'StB-Werte'!G143</f>
        <v>14</v>
      </c>
      <c r="H143" s="252">
        <f>'StB-Werte'!H143</f>
        <v>11</v>
      </c>
      <c r="I143" s="252">
        <f>'StB-Werte'!I143</f>
        <v>7</v>
      </c>
      <c r="M143" s="272">
        <f>'StB-Werte'!M143</f>
        <v>320</v>
      </c>
      <c r="N143" s="150">
        <f t="shared" si="14"/>
        <v>10</v>
      </c>
      <c r="O143" s="252">
        <f>'StB-Werte'!O143</f>
        <v>12</v>
      </c>
      <c r="P143" s="252">
        <f>'StB-Werte'!P143</f>
        <v>10</v>
      </c>
      <c r="Q143" s="252">
        <f>'StB-Werte'!Q143</f>
        <v>6</v>
      </c>
      <c r="U143" s="272">
        <f>'StB-Werte'!U143</f>
        <v>240</v>
      </c>
      <c r="V143" s="150">
        <f t="shared" si="12"/>
        <v>18</v>
      </c>
      <c r="W143" s="252">
        <f>'StB-Werte'!W143</f>
        <v>24</v>
      </c>
      <c r="X143" s="252">
        <f>'StB-Werte'!X143</f>
        <v>18</v>
      </c>
      <c r="Y143" s="252">
        <f>'StB-Werte'!Y143</f>
        <v>12</v>
      </c>
    </row>
    <row r="144" spans="1:41" hidden="1" x14ac:dyDescent="0.2">
      <c r="E144" s="272">
        <f>'StB-Werte'!E144</f>
        <v>360</v>
      </c>
      <c r="F144" s="150">
        <f t="shared" si="13"/>
        <v>8</v>
      </c>
      <c r="G144" s="252">
        <f>'StB-Werte'!G144</f>
        <v>11</v>
      </c>
      <c r="H144" s="252">
        <f>'StB-Werte'!H144</f>
        <v>8</v>
      </c>
      <c r="I144" s="252">
        <f>'StB-Werte'!I144</f>
        <v>6</v>
      </c>
      <c r="M144" s="272">
        <f>'StB-Werte'!M144</f>
        <v>360</v>
      </c>
      <c r="N144" s="150">
        <f t="shared" si="14"/>
        <v>8</v>
      </c>
      <c r="O144" s="252">
        <f>'StB-Werte'!O144</f>
        <v>10</v>
      </c>
      <c r="P144" s="252">
        <f>'StB-Werte'!P144</f>
        <v>8</v>
      </c>
      <c r="Q144" s="252">
        <f>'StB-Werte'!Q144</f>
        <v>5</v>
      </c>
      <c r="U144" s="272">
        <f>'StB-Werte'!U144</f>
        <v>260</v>
      </c>
      <c r="V144" s="150">
        <f t="shared" si="12"/>
        <v>15</v>
      </c>
      <c r="W144" s="252">
        <f>'StB-Werte'!W144</f>
        <v>21</v>
      </c>
      <c r="X144" s="252">
        <f>'StB-Werte'!X144</f>
        <v>15</v>
      </c>
      <c r="Y144" s="252">
        <f>'StB-Werte'!Y144</f>
        <v>10</v>
      </c>
    </row>
    <row r="145" spans="1:25" hidden="1" x14ac:dyDescent="0.2">
      <c r="E145" s="252">
        <f>'StB-Werte'!E145</f>
        <v>400</v>
      </c>
      <c r="F145" s="150">
        <f t="shared" si="13"/>
        <v>7</v>
      </c>
      <c r="G145" s="252">
        <f>'StB-Werte'!G145</f>
        <v>9</v>
      </c>
      <c r="H145" s="252">
        <f>'StB-Werte'!H145</f>
        <v>7</v>
      </c>
      <c r="I145" s="252">
        <f>'StB-Werte'!I145</f>
        <v>5</v>
      </c>
      <c r="M145" s="252">
        <f>'StB-Werte'!M145</f>
        <v>400</v>
      </c>
      <c r="N145" s="150">
        <f t="shared" si="14"/>
        <v>6</v>
      </c>
      <c r="O145" s="252">
        <f>'StB-Werte'!O145</f>
        <v>8</v>
      </c>
      <c r="P145" s="252">
        <f>'StB-Werte'!P145</f>
        <v>6</v>
      </c>
      <c r="Q145" s="252">
        <f>'StB-Werte'!Q145</f>
        <v>4</v>
      </c>
      <c r="U145" s="252">
        <f>'StB-Werte'!U145</f>
        <v>280</v>
      </c>
      <c r="V145" s="150">
        <f t="shared" si="12"/>
        <v>13</v>
      </c>
      <c r="W145" s="252">
        <f>'StB-Werte'!W145</f>
        <v>18</v>
      </c>
      <c r="X145" s="252">
        <f>'StB-Werte'!X145</f>
        <v>13</v>
      </c>
      <c r="Y145" s="252">
        <f>'StB-Werte'!Y145</f>
        <v>9</v>
      </c>
    </row>
    <row r="146" spans="1:25" hidden="1" x14ac:dyDescent="0.2">
      <c r="E146" s="253">
        <f>'StB-Werte'!E146</f>
        <v>450</v>
      </c>
      <c r="F146" s="105">
        <f t="shared" si="13"/>
        <v>5</v>
      </c>
      <c r="G146" s="253">
        <f>'StB-Werte'!G146</f>
        <v>7</v>
      </c>
      <c r="H146" s="253">
        <f>'StB-Werte'!H146</f>
        <v>5</v>
      </c>
      <c r="I146" s="253">
        <f>'StB-Werte'!I146</f>
        <v>4</v>
      </c>
      <c r="M146" s="253">
        <f>'StB-Werte'!M146</f>
        <v>450</v>
      </c>
      <c r="N146" s="105">
        <f t="shared" si="14"/>
        <v>5</v>
      </c>
      <c r="O146" s="253">
        <f>'StB-Werte'!O146</f>
        <v>6</v>
      </c>
      <c r="P146" s="253">
        <f>'StB-Werte'!P146</f>
        <v>5</v>
      </c>
      <c r="Q146" s="253" t="str">
        <f>'StB-Werte'!Q146</f>
        <v/>
      </c>
      <c r="U146" s="252">
        <f>'StB-Werte'!U146</f>
        <v>300</v>
      </c>
      <c r="V146" s="150">
        <f t="shared" si="12"/>
        <v>12</v>
      </c>
      <c r="W146" s="252">
        <f>'StB-Werte'!W146</f>
        <v>15</v>
      </c>
      <c r="X146" s="252">
        <f>'StB-Werte'!X146</f>
        <v>12</v>
      </c>
      <c r="Y146" s="252">
        <f>'StB-Werte'!Y146</f>
        <v>8</v>
      </c>
    </row>
    <row r="147" spans="1:25" hidden="1" x14ac:dyDescent="0.2">
      <c r="U147" s="252">
        <f>'StB-Werte'!U147</f>
        <v>320</v>
      </c>
      <c r="V147" s="150">
        <f t="shared" si="12"/>
        <v>10</v>
      </c>
      <c r="W147" s="252">
        <f>'StB-Werte'!W147</f>
        <v>14</v>
      </c>
      <c r="X147" s="252">
        <f>'StB-Werte'!X147</f>
        <v>10</v>
      </c>
      <c r="Y147" s="252">
        <f>'StB-Werte'!Y147</f>
        <v>7</v>
      </c>
    </row>
    <row r="148" spans="1:25" hidden="1" x14ac:dyDescent="0.2">
      <c r="U148" s="252">
        <f>'StB-Werte'!U148</f>
        <v>340</v>
      </c>
      <c r="V148" s="150">
        <f t="shared" si="12"/>
        <v>9</v>
      </c>
      <c r="W148" s="252">
        <f>'StB-Werte'!W148</f>
        <v>12</v>
      </c>
      <c r="X148" s="252">
        <f>'StB-Werte'!X148</f>
        <v>9</v>
      </c>
      <c r="Y148" s="252">
        <f>'StB-Werte'!Y148</f>
        <v>6</v>
      </c>
    </row>
    <row r="149" spans="1:25" hidden="1" x14ac:dyDescent="0.2">
      <c r="U149" s="252">
        <f>'StB-Werte'!U149</f>
        <v>360</v>
      </c>
      <c r="V149" s="150">
        <f t="shared" si="12"/>
        <v>8</v>
      </c>
      <c r="W149" s="252">
        <f>'StB-Werte'!W149</f>
        <v>11</v>
      </c>
      <c r="X149" s="252">
        <f>'StB-Werte'!X149</f>
        <v>8</v>
      </c>
      <c r="Y149" s="252">
        <f>'StB-Werte'!Y149</f>
        <v>5</v>
      </c>
    </row>
    <row r="150" spans="1:25" hidden="1" x14ac:dyDescent="0.2">
      <c r="U150" s="252">
        <f>'StB-Werte'!U150</f>
        <v>400</v>
      </c>
      <c r="V150" s="150">
        <f t="shared" si="12"/>
        <v>7</v>
      </c>
      <c r="W150" s="252">
        <f>'StB-Werte'!W150</f>
        <v>9</v>
      </c>
      <c r="X150" s="252">
        <f>'StB-Werte'!X150</f>
        <v>7</v>
      </c>
      <c r="Y150" s="252">
        <f>'StB-Werte'!Y150</f>
        <v>4</v>
      </c>
    </row>
    <row r="151" spans="1:25" hidden="1" x14ac:dyDescent="0.2">
      <c r="U151" s="253">
        <f>'StB-Werte'!U151</f>
        <v>450</v>
      </c>
      <c r="V151" s="105">
        <f t="shared" si="12"/>
        <v>5</v>
      </c>
      <c r="W151" s="253">
        <f>'StB-Werte'!W151</f>
        <v>7</v>
      </c>
      <c r="X151" s="253">
        <f>'StB-Werte'!X151</f>
        <v>5</v>
      </c>
      <c r="Y151" s="253">
        <f>'StB-Werte'!Y151</f>
        <v>3</v>
      </c>
    </row>
    <row r="152" spans="1:25" hidden="1" x14ac:dyDescent="0.2"/>
    <row r="153" spans="1:25" hidden="1" x14ac:dyDescent="0.2">
      <c r="A153" s="213" t="s">
        <v>623</v>
      </c>
      <c r="B153" s="213" t="s">
        <v>622</v>
      </c>
      <c r="C153" s="213" t="s">
        <v>623</v>
      </c>
      <c r="D153" s="213" t="s">
        <v>622</v>
      </c>
      <c r="E153" s="228">
        <v>0.4</v>
      </c>
      <c r="F153" s="228">
        <v>0.3</v>
      </c>
      <c r="G153" s="228">
        <v>0.2</v>
      </c>
    </row>
    <row r="154" spans="1:25" hidden="1" x14ac:dyDescent="0.2">
      <c r="A154" s="248">
        <f>ROUND(fInterSig(C154:C159,D154:D159,B154,6),0)</f>
        <v>240</v>
      </c>
      <c r="B154" s="248">
        <f>$H$20</f>
        <v>200</v>
      </c>
      <c r="C154" s="271">
        <f>'StB-Werte'!C154</f>
        <v>160</v>
      </c>
      <c r="D154" s="247">
        <f t="shared" ref="D154:D159" si="15">INDEX(E154:G154,,$G$17-1)</f>
        <v>300</v>
      </c>
      <c r="E154" s="251" t="str">
        <f>'StB-Werte'!E154</f>
        <v/>
      </c>
      <c r="F154" s="251">
        <f>'StB-Werte'!F154</f>
        <v>300</v>
      </c>
      <c r="G154" s="251">
        <f>'StB-Werte'!G154</f>
        <v>200</v>
      </c>
    </row>
    <row r="155" spans="1:25" hidden="1" x14ac:dyDescent="0.2">
      <c r="C155" s="272">
        <f>'StB-Werte'!C155</f>
        <v>200</v>
      </c>
      <c r="D155" s="150">
        <f t="shared" si="15"/>
        <v>250</v>
      </c>
      <c r="E155" s="252">
        <f>'StB-Werte'!E155</f>
        <v>300</v>
      </c>
      <c r="F155" s="252">
        <f>'StB-Werte'!F155</f>
        <v>250</v>
      </c>
      <c r="G155" s="252">
        <f>'StB-Werte'!G155</f>
        <v>150</v>
      </c>
    </row>
    <row r="156" spans="1:25" hidden="1" x14ac:dyDescent="0.2">
      <c r="C156" s="272">
        <f>'StB-Werte'!C156</f>
        <v>240</v>
      </c>
      <c r="D156" s="150">
        <f t="shared" si="15"/>
        <v>200</v>
      </c>
      <c r="E156" s="252">
        <f>'StB-Werte'!E156</f>
        <v>250</v>
      </c>
      <c r="F156" s="252">
        <f>'StB-Werte'!F156</f>
        <v>200</v>
      </c>
      <c r="G156" s="252">
        <f>'StB-Werte'!G156</f>
        <v>100</v>
      </c>
    </row>
    <row r="157" spans="1:25" hidden="1" x14ac:dyDescent="0.2">
      <c r="C157" s="272">
        <f>'StB-Werte'!C157</f>
        <v>280</v>
      </c>
      <c r="D157" s="150">
        <f t="shared" si="15"/>
        <v>150</v>
      </c>
      <c r="E157" s="252">
        <f>'StB-Werte'!E157</f>
        <v>200</v>
      </c>
      <c r="F157" s="252">
        <f>'StB-Werte'!F157</f>
        <v>150</v>
      </c>
      <c r="G157" s="252">
        <f>'StB-Werte'!G157</f>
        <v>50</v>
      </c>
    </row>
    <row r="158" spans="1:25" hidden="1" x14ac:dyDescent="0.2">
      <c r="C158" s="272">
        <f>'StB-Werte'!C158</f>
        <v>320</v>
      </c>
      <c r="D158" s="150">
        <f t="shared" si="15"/>
        <v>100</v>
      </c>
      <c r="E158" s="252">
        <f>'StB-Werte'!E158</f>
        <v>150</v>
      </c>
      <c r="F158" s="252">
        <f>'StB-Werte'!F158</f>
        <v>100</v>
      </c>
      <c r="G158" s="252" t="str">
        <f>'StB-Werte'!G158</f>
        <v/>
      </c>
    </row>
    <row r="159" spans="1:25" hidden="1" x14ac:dyDescent="0.2">
      <c r="C159" s="273">
        <f>'StB-Werte'!C159</f>
        <v>360</v>
      </c>
      <c r="D159" s="105">
        <f t="shared" si="15"/>
        <v>50</v>
      </c>
      <c r="E159" s="253">
        <f>'StB-Werte'!E159</f>
        <v>100</v>
      </c>
      <c r="F159" s="253">
        <f>'StB-Werte'!F159</f>
        <v>50</v>
      </c>
      <c r="G159" s="253" t="str">
        <f>'StB-Werte'!G159</f>
        <v/>
      </c>
    </row>
    <row r="160" spans="1:25" hidden="1" x14ac:dyDescent="0.2"/>
    <row r="161" spans="1:4" hidden="1" x14ac:dyDescent="0.2">
      <c r="A161" s="149" t="s">
        <v>592</v>
      </c>
    </row>
    <row r="162" spans="1:4" hidden="1" x14ac:dyDescent="0.2">
      <c r="A162" s="477" t="str">
        <f>B11</f>
        <v>Concrete</v>
      </c>
      <c r="B162" s="477"/>
      <c r="C162" s="477" t="str">
        <f>B17</f>
        <v>Reinforcement</v>
      </c>
      <c r="D162" s="477"/>
    </row>
    <row r="163" spans="1:4" hidden="1" x14ac:dyDescent="0.2">
      <c r="A163" s="175">
        <v>0</v>
      </c>
      <c r="B163" s="175">
        <f t="shared" ref="B163:B188" si="16">B$189*(1-(($C$14-A163)/$C$14)^$E$14)</f>
        <v>0</v>
      </c>
      <c r="C163" s="210">
        <v>0</v>
      </c>
      <c r="D163" s="210">
        <v>0</v>
      </c>
    </row>
    <row r="164" spans="1:4" hidden="1" x14ac:dyDescent="0.2">
      <c r="A164" s="175">
        <f t="shared" ref="A164:A188" si="17">A163+$C$14/25</f>
        <v>0.08</v>
      </c>
      <c r="B164" s="175">
        <f t="shared" si="16"/>
        <v>1.6660000000000006</v>
      </c>
      <c r="C164" s="210">
        <f>$A$20/$C$20*1000</f>
        <v>2.5</v>
      </c>
      <c r="D164" s="210">
        <f>$A$20</f>
        <v>500</v>
      </c>
    </row>
    <row r="165" spans="1:4" hidden="1" x14ac:dyDescent="0.2">
      <c r="A165" s="175">
        <f t="shared" si="17"/>
        <v>0.16</v>
      </c>
      <c r="B165" s="175">
        <f t="shared" si="16"/>
        <v>3.2639999999999993</v>
      </c>
      <c r="C165" s="210">
        <f>$D$20</f>
        <v>25</v>
      </c>
      <c r="D165" s="210">
        <f>$B$20</f>
        <v>525</v>
      </c>
    </row>
    <row r="166" spans="1:4" hidden="1" x14ac:dyDescent="0.2">
      <c r="A166" s="175">
        <f t="shared" si="17"/>
        <v>0.24</v>
      </c>
      <c r="B166" s="175">
        <f t="shared" si="16"/>
        <v>4.7940000000000005</v>
      </c>
    </row>
    <row r="167" spans="1:4" hidden="1" x14ac:dyDescent="0.2">
      <c r="A167" s="175">
        <f t="shared" si="17"/>
        <v>0.32</v>
      </c>
      <c r="B167" s="175">
        <f t="shared" si="16"/>
        <v>6.256000000000002</v>
      </c>
    </row>
    <row r="168" spans="1:4" hidden="1" x14ac:dyDescent="0.2">
      <c r="A168" s="175">
        <f t="shared" si="17"/>
        <v>0.4</v>
      </c>
      <c r="B168" s="175">
        <f t="shared" si="16"/>
        <v>7.6499999999999977</v>
      </c>
    </row>
    <row r="169" spans="1:4" hidden="1" x14ac:dyDescent="0.2">
      <c r="A169" s="175">
        <f t="shared" si="17"/>
        <v>0.48000000000000004</v>
      </c>
      <c r="B169" s="175">
        <f t="shared" si="16"/>
        <v>8.9759999999999991</v>
      </c>
    </row>
    <row r="170" spans="1:4" hidden="1" x14ac:dyDescent="0.2">
      <c r="A170" s="175">
        <f t="shared" si="17"/>
        <v>0.56000000000000005</v>
      </c>
      <c r="B170" s="175">
        <f t="shared" si="16"/>
        <v>10.234</v>
      </c>
    </row>
    <row r="171" spans="1:4" hidden="1" x14ac:dyDescent="0.2">
      <c r="A171" s="175">
        <f t="shared" si="17"/>
        <v>0.64</v>
      </c>
      <c r="B171" s="175">
        <f t="shared" si="16"/>
        <v>11.424000000000001</v>
      </c>
    </row>
    <row r="172" spans="1:4" hidden="1" x14ac:dyDescent="0.2">
      <c r="A172" s="175">
        <f t="shared" si="17"/>
        <v>0.72</v>
      </c>
      <c r="B172" s="175">
        <f t="shared" si="16"/>
        <v>12.546000000000001</v>
      </c>
    </row>
    <row r="173" spans="1:4" hidden="1" x14ac:dyDescent="0.2">
      <c r="A173" s="175">
        <f t="shared" si="17"/>
        <v>0.79999999999999993</v>
      </c>
      <c r="B173" s="175">
        <f t="shared" si="16"/>
        <v>13.599999999999998</v>
      </c>
    </row>
    <row r="174" spans="1:4" hidden="1" x14ac:dyDescent="0.2">
      <c r="A174" s="175">
        <f t="shared" si="17"/>
        <v>0.87999999999999989</v>
      </c>
      <c r="B174" s="175">
        <f t="shared" si="16"/>
        <v>14.585999999999999</v>
      </c>
    </row>
    <row r="175" spans="1:4" hidden="1" x14ac:dyDescent="0.2">
      <c r="A175" s="175">
        <f t="shared" si="17"/>
        <v>0.95999999999999985</v>
      </c>
      <c r="B175" s="175">
        <f t="shared" si="16"/>
        <v>15.504000000000001</v>
      </c>
    </row>
    <row r="176" spans="1:4" hidden="1" x14ac:dyDescent="0.2">
      <c r="A176" s="175">
        <f t="shared" si="17"/>
        <v>1.0399999999999998</v>
      </c>
      <c r="B176" s="175">
        <f t="shared" si="16"/>
        <v>16.353999999999999</v>
      </c>
    </row>
    <row r="177" spans="1:2" hidden="1" x14ac:dyDescent="0.2">
      <c r="A177" s="175">
        <f t="shared" si="17"/>
        <v>1.1199999999999999</v>
      </c>
      <c r="B177" s="175">
        <f t="shared" si="16"/>
        <v>17.135999999999999</v>
      </c>
    </row>
    <row r="178" spans="1:2" hidden="1" x14ac:dyDescent="0.2">
      <c r="A178" s="175">
        <f t="shared" si="17"/>
        <v>1.2</v>
      </c>
      <c r="B178" s="175">
        <f t="shared" si="16"/>
        <v>17.849999999999998</v>
      </c>
    </row>
    <row r="179" spans="1:2" hidden="1" x14ac:dyDescent="0.2">
      <c r="A179" s="175">
        <f t="shared" si="17"/>
        <v>1.28</v>
      </c>
      <c r="B179" s="175">
        <f t="shared" si="16"/>
        <v>18.496000000000002</v>
      </c>
    </row>
    <row r="180" spans="1:2" hidden="1" x14ac:dyDescent="0.2">
      <c r="A180" s="175">
        <f t="shared" si="17"/>
        <v>1.36</v>
      </c>
      <c r="B180" s="175">
        <f t="shared" si="16"/>
        <v>19.074000000000002</v>
      </c>
    </row>
    <row r="181" spans="1:2" hidden="1" x14ac:dyDescent="0.2">
      <c r="A181" s="175">
        <f t="shared" si="17"/>
        <v>1.4400000000000002</v>
      </c>
      <c r="B181" s="175">
        <f t="shared" si="16"/>
        <v>19.584000000000003</v>
      </c>
    </row>
    <row r="182" spans="1:2" hidden="1" x14ac:dyDescent="0.2">
      <c r="A182" s="175">
        <f t="shared" si="17"/>
        <v>1.5200000000000002</v>
      </c>
      <c r="B182" s="175">
        <f t="shared" si="16"/>
        <v>20.026</v>
      </c>
    </row>
    <row r="183" spans="1:2" hidden="1" x14ac:dyDescent="0.2">
      <c r="A183" s="175">
        <f t="shared" si="17"/>
        <v>1.6000000000000003</v>
      </c>
      <c r="B183" s="175">
        <f t="shared" si="16"/>
        <v>20.400000000000002</v>
      </c>
    </row>
    <row r="184" spans="1:2" hidden="1" x14ac:dyDescent="0.2">
      <c r="A184" s="175">
        <f t="shared" si="17"/>
        <v>1.6800000000000004</v>
      </c>
      <c r="B184" s="175">
        <f t="shared" si="16"/>
        <v>20.706</v>
      </c>
    </row>
    <row r="185" spans="1:2" hidden="1" x14ac:dyDescent="0.2">
      <c r="A185" s="175">
        <f t="shared" si="17"/>
        <v>1.7600000000000005</v>
      </c>
      <c r="B185" s="175">
        <f t="shared" si="16"/>
        <v>20.943999999999999</v>
      </c>
    </row>
    <row r="186" spans="1:2" hidden="1" x14ac:dyDescent="0.2">
      <c r="A186" s="175">
        <f t="shared" si="17"/>
        <v>1.8400000000000005</v>
      </c>
      <c r="B186" s="175">
        <f t="shared" si="16"/>
        <v>21.114000000000001</v>
      </c>
    </row>
    <row r="187" spans="1:2" hidden="1" x14ac:dyDescent="0.2">
      <c r="A187" s="175">
        <f t="shared" si="17"/>
        <v>1.9200000000000006</v>
      </c>
      <c r="B187" s="175">
        <f t="shared" si="16"/>
        <v>21.216000000000001</v>
      </c>
    </row>
    <row r="188" spans="1:2" hidden="1" x14ac:dyDescent="0.2">
      <c r="A188" s="175">
        <f t="shared" si="17"/>
        <v>2.0000000000000004</v>
      </c>
      <c r="B188" s="175">
        <f t="shared" si="16"/>
        <v>21.25</v>
      </c>
    </row>
    <row r="189" spans="1:2" hidden="1" x14ac:dyDescent="0.2">
      <c r="A189" s="210">
        <f>$D$14</f>
        <v>3.5</v>
      </c>
      <c r="B189" s="175">
        <f>$A$14*$B$14</f>
        <v>21.25</v>
      </c>
    </row>
    <row r="190" spans="1:2" hidden="1" x14ac:dyDescent="0.2"/>
  </sheetData>
  <sheetProtection sheet="1" objects="1" scenarios="1"/>
  <mergeCells count="23">
    <mergeCell ref="F47:G48"/>
    <mergeCell ref="F49:G50"/>
    <mergeCell ref="A6:C6"/>
    <mergeCell ref="F11:G11"/>
    <mergeCell ref="F41:G41"/>
    <mergeCell ref="C12:E12"/>
    <mergeCell ref="A47:C48"/>
    <mergeCell ref="A49:C50"/>
    <mergeCell ref="A63:C63"/>
    <mergeCell ref="F51:F52"/>
    <mergeCell ref="F53:G54"/>
    <mergeCell ref="A162:B162"/>
    <mergeCell ref="C162:D162"/>
    <mergeCell ref="A55:C55"/>
    <mergeCell ref="A53:B53"/>
    <mergeCell ref="A54:B54"/>
    <mergeCell ref="A51:B52"/>
    <mergeCell ref="A58:B58"/>
    <mergeCell ref="F58:G58"/>
    <mergeCell ref="A59:B59"/>
    <mergeCell ref="A60:B60"/>
    <mergeCell ref="A61:B61"/>
    <mergeCell ref="A62:B62"/>
  </mergeCells>
  <conditionalFormatting sqref="D63">
    <cfRule type="cellIs" dxfId="4" priority="1" stopIfTrue="1" operator="lessThan">
      <formula>-0.5</formula>
    </cfRule>
  </conditionalFormatting>
  <pageMargins left="0.86614173228346458" right="0.51181102362204722" top="0.39370078740157483" bottom="0.39370078740157483" header="0.31496062992125984" footer="0.39370078740157483"/>
  <pageSetup paperSize="9" orientation="portrait" r:id="rId1"/>
  <headerFooter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6" r:id="rId4" name="Drop Down 8">
              <controlPr defaultSize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5" name="Drop Down 14">
              <controlPr defaultSize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6" name="Drop Down 20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7" name="Drop Down 23">
              <controlPr defaultSize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8" name="Drop Down 24">
              <controlPr defaultSize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9" name="Drop Down 25">
              <controlPr defaultSize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10" name="Drop Down 26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3"/>
  <dimension ref="A1:BJ189"/>
  <sheetViews>
    <sheetView showGridLines="0" topLeftCell="A133" zoomScaleNormal="100" workbookViewId="0">
      <selection activeCell="M140" sqref="M140"/>
    </sheetView>
  </sheetViews>
  <sheetFormatPr defaultColWidth="11.42578125" defaultRowHeight="12" x14ac:dyDescent="0.2"/>
  <cols>
    <col min="1" max="8" width="10.7109375" style="149" customWidth="1"/>
    <col min="9" max="16384" width="11.42578125" style="149"/>
  </cols>
  <sheetData>
    <row r="1" spans="1:8" ht="12.75" x14ac:dyDescent="0.2">
      <c r="A1" s="84" t="s">
        <v>185</v>
      </c>
    </row>
    <row r="2" spans="1:8" ht="12.75" x14ac:dyDescent="0.2">
      <c r="A2" s="84"/>
    </row>
    <row r="3" spans="1:8" ht="12.75" x14ac:dyDescent="0.2">
      <c r="A3" s="110" t="str">
        <f>INDEX(LA!$A162:$J162,,Info!$A$5)</f>
        <v>Design of Rectangular Cross Section</v>
      </c>
    </row>
    <row r="4" spans="1:8" ht="15.75" x14ac:dyDescent="0.25">
      <c r="A4" s="83">
        <v>4</v>
      </c>
    </row>
    <row r="6" spans="1:8" ht="12.75" x14ac:dyDescent="0.2">
      <c r="A6" s="416" t="str">
        <f>INDEX(LA!$A168:$J168,,Info!$A$5)</f>
        <v>Cross section</v>
      </c>
      <c r="B6" s="417"/>
      <c r="C6" s="417"/>
      <c r="D6" s="417"/>
      <c r="E6" s="418"/>
    </row>
    <row r="7" spans="1:8" x14ac:dyDescent="0.2">
      <c r="A7" s="150" t="str">
        <f>INDEX(LA!$A171:$J171,,Info!$A$5)</f>
        <v>Height</v>
      </c>
      <c r="B7" s="150" t="str">
        <f>INDEX(LA!$A173:$J173,,Info!$A$5)</f>
        <v>Width</v>
      </c>
      <c r="C7" s="151" t="str">
        <f>INDEX(LA!$A175:$J175,,Info!$A$5)</f>
        <v>sep. to edge</v>
      </c>
      <c r="D7" s="151" t="str">
        <f>INDEX(LA!$A175:$J175,,Info!$A$5)</f>
        <v>sep. to edge</v>
      </c>
      <c r="E7" s="151" t="str">
        <f>INDEX(LA!$A182:$J182,,Info!$A$5)</f>
        <v>symmetric</v>
      </c>
    </row>
    <row r="8" spans="1:8" x14ac:dyDescent="0.2">
      <c r="A8" s="150" t="str">
        <f>INDEX(LA!$A172:$J172,,Info!$A$5)</f>
        <v>h  [mm]</v>
      </c>
      <c r="B8" s="150" t="str">
        <f>INDEX(LA!$A174:$J174,,Info!$A$5)</f>
        <v>b  [mm]</v>
      </c>
      <c r="C8" s="150" t="str">
        <f>INDEX(LA!$A176:$J176,,Info!$A$5)</f>
        <v>H'  [mm</v>
      </c>
      <c r="D8" s="150" t="str">
        <f>INDEX(LA!$A177:$J177,,Info!$A$5)</f>
        <v>H''  [mm]</v>
      </c>
      <c r="E8" s="151" t="str">
        <f>INDEX(LA!$A183:$J183,,Info!$A$5)</f>
        <v>reinforcement</v>
      </c>
    </row>
    <row r="9" spans="1:8" x14ac:dyDescent="0.2">
      <c r="A9" s="152">
        <v>750</v>
      </c>
      <c r="B9" s="152">
        <v>825</v>
      </c>
      <c r="C9" s="152">
        <v>75</v>
      </c>
      <c r="D9" s="152">
        <v>75</v>
      </c>
      <c r="E9" s="152" t="b">
        <v>0</v>
      </c>
    </row>
    <row r="11" spans="1:8" ht="15.75" x14ac:dyDescent="0.25">
      <c r="A11" s="163"/>
      <c r="B11" s="186" t="str">
        <f>INDEX(LA!$A184:$J184,,Info!$A$5)</f>
        <v>Concrete</v>
      </c>
      <c r="C11" s="83">
        <v>5</v>
      </c>
      <c r="D11" s="153"/>
      <c r="E11" s="154"/>
      <c r="F11" s="470" t="str">
        <f>$A96</f>
        <v>unreinforced</v>
      </c>
      <c r="G11" s="471"/>
      <c r="H11" s="398"/>
    </row>
    <row r="12" spans="1:8" x14ac:dyDescent="0.2">
      <c r="A12" s="150" t="str">
        <f>$A86</f>
        <v>cylinder str.</v>
      </c>
      <c r="B12" s="150" t="str">
        <f>$A88</f>
        <v>reduct.factor</v>
      </c>
      <c r="C12" s="472" t="str">
        <f>$A90</f>
        <v>stress-strain curve</v>
      </c>
      <c r="D12" s="473"/>
      <c r="E12" s="474"/>
      <c r="F12" s="150" t="str">
        <f>$A97</f>
        <v>safety</v>
      </c>
      <c r="G12" s="151" t="str">
        <f>$A99</f>
        <v>min.comp.reinf.</v>
      </c>
      <c r="H12" s="150" t="str">
        <f>$A94</f>
        <v>E_cm</v>
      </c>
    </row>
    <row r="13" spans="1:8" x14ac:dyDescent="0.2">
      <c r="A13" s="105" t="str">
        <f>$A87</f>
        <v>f_ck [MPa]</v>
      </c>
      <c r="B13" s="105" t="str">
        <f>$A89</f>
        <v>α   [1]</v>
      </c>
      <c r="C13" s="164" t="str">
        <f>$A91</f>
        <v>ε_c2  [‰]</v>
      </c>
      <c r="D13" s="164" t="str">
        <f>$A92</f>
        <v>ε_c2u [‰]</v>
      </c>
      <c r="E13" s="164" t="str">
        <f>$A93</f>
        <v>exp. [1]</v>
      </c>
      <c r="F13" s="164" t="str">
        <f>$A98</f>
        <v>Δα_pl  [1]</v>
      </c>
      <c r="G13" s="245" t="str">
        <f>$A100</f>
        <v>N_Ed,min  [1]</v>
      </c>
      <c r="H13" s="105" t="str">
        <f>$A95</f>
        <v>[MPa]</v>
      </c>
    </row>
    <row r="14" spans="1:8" x14ac:dyDescent="0.2">
      <c r="A14" s="188">
        <f>IF(OR(A15="",A15=" "),INDEX($H$110:$H$118,$C$11,),A15)</f>
        <v>30</v>
      </c>
      <c r="B14" s="196">
        <f>IF(OR(B15="",B15=" "),INDEX($O$110:$O$118,$C$11,),B15)</f>
        <v>0.85</v>
      </c>
      <c r="C14" s="188">
        <f>IF(OR(C15="",C15=" "),INDEX($V$110:$V$118,$C$11,),C15)</f>
        <v>2</v>
      </c>
      <c r="D14" s="188">
        <f>IF(OR(D15="",D15=" "),INDEX($AC$110:$AC$118,$C$11,),D15)</f>
        <v>3.5</v>
      </c>
      <c r="E14" s="157">
        <f>IF(OR(E15="",E15=" "),INDEX($AJ$110:$AJ$118,$C$11,),E15)</f>
        <v>2</v>
      </c>
      <c r="F14" s="196">
        <f>IF(OR(F15="",F15=" "),INDEX($AX110:$AX$118,$C$11,),F15)</f>
        <v>0.15</v>
      </c>
      <c r="G14" s="157">
        <f>IF(OR(G15="",G15=" "),INDEX($BE$110:$BE$118,$C$11,),G15)</f>
        <v>0.15</v>
      </c>
      <c r="H14" s="196">
        <f>IF(OR(H15="",H15=" "),INDEX($AQ$110:$AQ$118,$C$11,),H15)</f>
        <v>33000</v>
      </c>
    </row>
    <row r="15" spans="1:8" x14ac:dyDescent="0.2">
      <c r="A15" s="189"/>
      <c r="B15" s="161"/>
      <c r="C15" s="189"/>
      <c r="D15" s="189"/>
      <c r="E15" s="158"/>
      <c r="F15" s="161"/>
      <c r="G15" s="158"/>
      <c r="H15" s="161"/>
    </row>
    <row r="17" spans="1:14" ht="15.75" x14ac:dyDescent="0.25">
      <c r="A17" s="163"/>
      <c r="B17" s="186" t="str">
        <f>INDEX(LA!$A208:$J208,,Info!$A$5)</f>
        <v>Reinforcement</v>
      </c>
      <c r="C17" s="83">
        <v>1</v>
      </c>
      <c r="D17" s="153"/>
      <c r="E17" s="83">
        <v>2</v>
      </c>
      <c r="F17" s="211"/>
      <c r="G17" s="83">
        <v>2</v>
      </c>
    </row>
    <row r="18" spans="1:14" ht="15.75" x14ac:dyDescent="0.25">
      <c r="A18" s="150" t="str">
        <f>$H86</f>
        <v>yield stress</v>
      </c>
      <c r="B18" s="150" t="str">
        <f>$H88</f>
        <v>tens.strength</v>
      </c>
      <c r="C18" s="150" t="str">
        <f>$H90</f>
        <v>Young's m.</v>
      </c>
      <c r="D18" s="150" t="str">
        <f>$H92</f>
        <v>max. strain</v>
      </c>
      <c r="E18" s="405">
        <v>2</v>
      </c>
      <c r="F18" s="211"/>
      <c r="G18" s="151" t="str">
        <f>IF(OR($E$18=1,$G$17=1,$G$20&lt;1),"",$H95)</f>
        <v>reinforce. bar</v>
      </c>
      <c r="H18" s="151" t="str">
        <f>IF(OR($E$18=1,$G$17=1,$H$20&lt;1),"",$H97)</f>
        <v>bar spacing</v>
      </c>
    </row>
    <row r="19" spans="1:14" x14ac:dyDescent="0.2">
      <c r="A19" s="105" t="str">
        <f>$H87</f>
        <v>f_yk  [MPa]</v>
      </c>
      <c r="B19" s="105" t="str">
        <f>$H89</f>
        <v>f_tk  [MPa]</v>
      </c>
      <c r="C19" s="105" t="str">
        <f>$H91</f>
        <v>E  [MPa]</v>
      </c>
      <c r="D19" s="105" t="str">
        <f>$H93</f>
        <v>ε_s,u  [‰]</v>
      </c>
      <c r="E19" s="221" t="str">
        <f>IF($E$18=1,"",$H94)</f>
        <v>max. σs [MPa]</v>
      </c>
      <c r="F19" s="211"/>
      <c r="G19" s="226" t="str">
        <f>IF(OR($E$18=1,$G$17=1,$G$20&lt;1),"",$H96)</f>
        <v>max. ds [mm]</v>
      </c>
      <c r="H19" s="223" t="str">
        <f>IF(OR($E$18=1,$G$17=1,$H$20&lt;1),"",$H98)</f>
        <v>max. s  [mm]</v>
      </c>
    </row>
    <row r="20" spans="1:14" x14ac:dyDescent="0.2">
      <c r="A20" s="165">
        <f>IF(OR(A21="",A21=" "),INDEX($H$121:$H$124,$C$17,),A21)</f>
        <v>500</v>
      </c>
      <c r="B20" s="165">
        <f>IF(OR(B21="",B21=" "),INDEX($O$121:$O$124,$C$17,),B21)</f>
        <v>525</v>
      </c>
      <c r="C20" s="165">
        <f>IF(OR(C21="",C21=" "),INDEX($V$121:$V$124,$C$17,),C21)</f>
        <v>200000</v>
      </c>
      <c r="D20" s="188">
        <f>IF(OR(D21="",D21=" "),INDEX($AC$121:$AC$124,$C$17,),D21)</f>
        <v>25</v>
      </c>
      <c r="G20" s="165">
        <f>IF(OR($E$18=1,$G$17=1),0,IF(OR(G21="",G21=" "),28,G21))</f>
        <v>28</v>
      </c>
      <c r="H20" s="165">
        <f>IF(OR($E$18=1,$G$17=1),0,IF(OR(H21="",H21=" "),200,H21))</f>
        <v>200</v>
      </c>
    </row>
    <row r="21" spans="1:14" x14ac:dyDescent="0.2">
      <c r="A21" s="166"/>
      <c r="B21" s="161"/>
      <c r="C21" s="161"/>
      <c r="D21" s="189"/>
      <c r="E21" s="166"/>
      <c r="G21" s="166"/>
      <c r="H21" s="166"/>
    </row>
    <row r="22" spans="1:14" x14ac:dyDescent="0.2">
      <c r="J22" s="229">
        <f>IF($E$18=1,0,IF(OR(E21="",E21=" "),IF(AND($G$20&lt;1,$H$20&lt;1),200,IF($G$20&lt;1,$A$154,IF($H$20&lt;1,$A$139,MAX($A$139,$A$154)))),E21))</f>
        <v>280</v>
      </c>
      <c r="K22" s="404" t="s">
        <v>710</v>
      </c>
    </row>
    <row r="24" spans="1:14" x14ac:dyDescent="0.2">
      <c r="J24" s="149" t="s">
        <v>711</v>
      </c>
    </row>
    <row r="25" spans="1:14" x14ac:dyDescent="0.2">
      <c r="J25" s="149">
        <v>0</v>
      </c>
    </row>
    <row r="26" spans="1:14" x14ac:dyDescent="0.2">
      <c r="J26" s="149" t="s">
        <v>712</v>
      </c>
    </row>
    <row r="27" spans="1:14" x14ac:dyDescent="0.2">
      <c r="K27" s="149" t="s">
        <v>713</v>
      </c>
    </row>
    <row r="28" spans="1:14" x14ac:dyDescent="0.2">
      <c r="L28" s="149" t="s">
        <v>714</v>
      </c>
    </row>
    <row r="29" spans="1:14" x14ac:dyDescent="0.2">
      <c r="M29" s="149">
        <v>200</v>
      </c>
    </row>
    <row r="30" spans="1:14" x14ac:dyDescent="0.2">
      <c r="L30" s="149" t="s">
        <v>712</v>
      </c>
    </row>
    <row r="31" spans="1:14" x14ac:dyDescent="0.2">
      <c r="M31" s="149" t="s">
        <v>715</v>
      </c>
    </row>
    <row r="32" spans="1:14" x14ac:dyDescent="0.2">
      <c r="N32" s="149" t="s">
        <v>716</v>
      </c>
    </row>
    <row r="33" spans="1:14" x14ac:dyDescent="0.2">
      <c r="M33" s="149" t="s">
        <v>712</v>
      </c>
    </row>
    <row r="34" spans="1:14" x14ac:dyDescent="0.2">
      <c r="N34" s="149" t="s">
        <v>717</v>
      </c>
    </row>
    <row r="35" spans="1:14" x14ac:dyDescent="0.2">
      <c r="N35" s="149" t="s">
        <v>718</v>
      </c>
    </row>
    <row r="36" spans="1:14" x14ac:dyDescent="0.2">
      <c r="N36" s="149" t="s">
        <v>712</v>
      </c>
    </row>
    <row r="37" spans="1:14" ht="12.75" x14ac:dyDescent="0.2">
      <c r="A37" s="201" t="str">
        <f>INDEX(LA!$A229:$J229,,Info!$A$5)</f>
        <v>Factors of safety</v>
      </c>
      <c r="B37" s="159"/>
      <c r="C37" s="160"/>
      <c r="D37" s="198" t="str">
        <f>$H$133</f>
        <v>permanent</v>
      </c>
      <c r="E37" s="200" t="str">
        <f>$H$134</f>
        <v>transient</v>
      </c>
      <c r="F37" s="200" t="str">
        <f>$H$135</f>
        <v>γ_c   [1]</v>
      </c>
      <c r="G37" s="200" t="str">
        <f>$H$136</f>
        <v>γ_s   [1]</v>
      </c>
      <c r="N37" s="149" t="s">
        <v>719</v>
      </c>
    </row>
    <row r="38" spans="1:14" x14ac:dyDescent="0.2">
      <c r="A38" s="167" t="str">
        <f>INDEX(LA!$A230:$J230,,Info!$A$5)</f>
        <v>Design situation</v>
      </c>
      <c r="B38" s="153"/>
      <c r="C38" s="154"/>
      <c r="D38" s="157">
        <f>IF($A$4=1,1,IF(OR(D39="",D39=" "),INDEX($O$133:$O$136,$A$39,),D39))</f>
        <v>1.35</v>
      </c>
      <c r="E38" s="157">
        <f>IF($A$4=1,1,IF(OR(E39="",E39=" "),INDEX($V$133:$V$136,$A$39,),E39))</f>
        <v>1.5</v>
      </c>
      <c r="F38" s="157">
        <f>IF(OR(F39="",F39=" "),INDEX($AC$133:$AC$136,$A$39,),F39)</f>
        <v>1.5</v>
      </c>
      <c r="G38" s="157">
        <f>IF($A$4=1,$F$38,IF(OR(G39="",G39=" "),INDEX($AJ$133:$AJ$136,$A$39,),G39))</f>
        <v>1.1499999999999999</v>
      </c>
      <c r="K38" s="149" t="s">
        <v>712</v>
      </c>
    </row>
    <row r="39" spans="1:14" ht="15.75" x14ac:dyDescent="0.25">
      <c r="A39" s="83">
        <v>1</v>
      </c>
      <c r="B39" s="155"/>
      <c r="C39" s="156"/>
      <c r="D39" s="158"/>
      <c r="E39" s="158"/>
      <c r="F39" s="158"/>
      <c r="G39" s="158"/>
      <c r="K39" s="149" t="s">
        <v>720</v>
      </c>
    </row>
    <row r="41" spans="1:14" ht="12.75" x14ac:dyDescent="0.2">
      <c r="A41" s="202" t="str">
        <f>INDEX(LA!$A240:$J240,,Info!$A$5)</f>
        <v>Internal Forces</v>
      </c>
      <c r="B41" s="153"/>
      <c r="C41" s="153"/>
      <c r="D41" s="197" t="str">
        <f>D$37</f>
        <v>permanent</v>
      </c>
      <c r="E41" s="199" t="str">
        <f>E$37</f>
        <v>transient</v>
      </c>
      <c r="F41" s="475" t="str">
        <f>INDEX(LA!$A244:$J244,,Info!$A$5)</f>
        <v>design values</v>
      </c>
      <c r="G41" s="476"/>
      <c r="H41" s="221" t="str">
        <f>INDEX(LA!$A245:$J245,,Info!$A$5)</f>
        <v>characteristic</v>
      </c>
    </row>
    <row r="42" spans="1:14" x14ac:dyDescent="0.2">
      <c r="A42" s="66" t="str">
        <f>INDEX(LA!$A241:$J241,,Info!$A$5)</f>
        <v>Bending moment</v>
      </c>
      <c r="B42" s="159"/>
      <c r="C42" s="160" t="s">
        <v>594</v>
      </c>
      <c r="D42" s="152">
        <v>393.9832618259843</v>
      </c>
      <c r="E42" s="152"/>
      <c r="F42" s="161"/>
      <c r="G42" s="162">
        <f>IF(OR($F42="",$F42=" "),$D42*$D$38+$E42*E$38,$F42)</f>
        <v>531.87740346507883</v>
      </c>
      <c r="H42" s="162">
        <f>IF(OR($F42="",$F42=" "),$D42+$E42,$F42/$D$38)</f>
        <v>393.9832618259843</v>
      </c>
    </row>
    <row r="43" spans="1:14" x14ac:dyDescent="0.2">
      <c r="A43" s="66" t="str">
        <f>INDEX(LA!$A242:$J242,,Info!$A$5)</f>
        <v>Normal force</v>
      </c>
      <c r="B43" s="159"/>
      <c r="C43" s="160" t="s">
        <v>535</v>
      </c>
      <c r="D43" s="152"/>
      <c r="E43" s="152"/>
      <c r="F43" s="161"/>
      <c r="G43" s="162">
        <f>IF(OR($F43="",$F43=" "),$D43*$D$38+$E43*E$38,$F43)</f>
        <v>0</v>
      </c>
      <c r="H43" s="162">
        <f>IF(OR($F43="",$F43=" "),$D43+$E43,$F43/$D$38)</f>
        <v>0</v>
      </c>
    </row>
    <row r="44" spans="1:14" x14ac:dyDescent="0.2">
      <c r="A44" s="66" t="str">
        <f>INDEX(LA!$A243:$J243,,Info!$A$5)</f>
        <v>Shear force</v>
      </c>
      <c r="B44" s="159"/>
      <c r="C44" s="160" t="s">
        <v>536</v>
      </c>
      <c r="D44" s="152">
        <v>75.810987363643363</v>
      </c>
      <c r="E44" s="152"/>
      <c r="F44" s="161"/>
      <c r="G44" s="162">
        <f>IF(OR($F44="",$F44=" "),$D44*$D$38+$E44*E$38,$F44)</f>
        <v>102.34483294091855</v>
      </c>
      <c r="H44" s="162">
        <f>IF(OR($F44="",$F44=" "),$D44+$E44,$F44/$D$38)</f>
        <v>75.810987363643363</v>
      </c>
    </row>
    <row r="46" spans="1:14" ht="12.75" x14ac:dyDescent="0.2">
      <c r="A46" s="7" t="str">
        <f>INDEX(LA!$A246:$J246,,Info!$A$5)</f>
        <v>Longitudinal Reinforcement</v>
      </c>
      <c r="F46" s="149" t="str">
        <f>IF(AND($H$47&lt;0.000001,$H$48&lt;0.000001),INDEX(LA!$A257:$J257,,Info!$A$5),INDEX(LA!$A258:$J258,,Info!$A$5))</f>
        <v>working load (cracked concrete)</v>
      </c>
    </row>
    <row r="47" spans="1:14" ht="12.75" customHeight="1" x14ac:dyDescent="0.2">
      <c r="A47" s="461" t="str">
        <f>INDEX(LA!$A247:$J247,,Info!$A$5)</f>
        <v>ultimate strain of concrete    ε_c</v>
      </c>
      <c r="B47" s="465"/>
      <c r="C47" s="466"/>
      <c r="D47" s="203">
        <f>StB_R_MN($A$4-1,$F$38,$G$38,$G$42,$G$43,$H$42,$H$43,$A$9,$B$9,$C$9,$D$9,$E$9,$C$54,$C$53,$A$14,$B$14,$C$14/1000,$D$14/1000,$E$14,$F$14,$G$14,$A$20,$B$20,$C$20,$D$20/1000,$J$22,$E$17-1,11)</f>
        <v>-3.5000000000000001E-3</v>
      </c>
      <c r="F47" s="461" t="str">
        <f>INDEX(LA!$A259:$J259,,Info!$A$5)</f>
        <v>strain of concrete  ε_c</v>
      </c>
      <c r="G47" s="462"/>
      <c r="H47" s="230">
        <f>StB_R_MN($A$4-1,$F$38,$G$38,$G$42,$G$43,$H$42,$H$43,$A$9,$B$9,$C$9,$D$9,$E$9,$C$54,$C$53,$A$14,$B$14,$C$14/1000,$D$14/1000,$E$14,$F$14,$G$14,$A$20,$B$20,$C$20,$D$20/1000,$J$22,$E$17-1,21)</f>
        <v>-4.173326492309571E-4</v>
      </c>
    </row>
    <row r="48" spans="1:14" x14ac:dyDescent="0.2">
      <c r="A48" s="467"/>
      <c r="B48" s="468"/>
      <c r="C48" s="469"/>
      <c r="D48" s="204">
        <f>StB_R_MN($A$4-1,$F$38,$G$38,$G$42,$G$43,$H$42,$H$43,$A$9,$B$9,$C$9,$D$9,$E$9,$C$54,$C$53,$A$14,$B$14,$C$14/1000,$D$14/1000,$E$14,$F$14,$G$14,$A$20,$B$20,$C$20,$D$20/1000,$J$22,$E$17-1,12)</f>
        <v>2.5448352896335895E-2</v>
      </c>
      <c r="F48" s="463"/>
      <c r="G48" s="464"/>
      <c r="H48" s="231">
        <f>StB_R_MN($A$4-1,$F$38,$G$38,$G$42,$G$43,$H$42,$H$43,$A$9,$B$9,$C$9,$D$9,$E$9,$C$54,$C$53,$A$14,$B$14,$C$14/1000,$D$14/1000,$E$14,$F$14,$G$14,$A$20,$B$20,$C$20,$D$20/1000,$J$22,$E$17-1,22)</f>
        <v>1.6019258499145508E-3</v>
      </c>
    </row>
    <row r="49" spans="1:8" ht="12" customHeight="1" x14ac:dyDescent="0.2">
      <c r="A49" s="461" t="str">
        <f>INDEX(LA!$A248:$J248,,Info!$A$5)</f>
        <v>ultimate strain of steel         ε_s</v>
      </c>
      <c r="B49" s="465"/>
      <c r="C49" s="466"/>
      <c r="D49" s="203" t="str">
        <f>StB_R_MN($A$4-1,$F$38,$G$38,$G$42,$G$43,$H$42,$H$43,$A$9,$B$9,$C$9,$D$9,$E$9,$C$54,$C$53,$A$14,$B$14,$C$14/1000,$D$14/1000,$E$14,$F$14,$G$14,$A$20,$B$20,$C$20,$D$20/1000,$J$22,$E$17-1,14)</f>
        <v/>
      </c>
      <c r="F49" s="461" t="str">
        <f>INDEX(LA!$A260:$J260,,Info!$A$5)</f>
        <v>strain of steel       ε_s</v>
      </c>
      <c r="G49" s="462"/>
      <c r="H49" s="230" t="str">
        <f>StB_R_MN($A$4-1,$F$38,$G$38,$G$42,$G$43,$H$42,$H$43,$A$9,$B$9,$C$9,$D$9,$E$9,$C$54,$C$53,$A$14,$B$14,$C$14/1000,$D$14/1000,$E$14,$F$14,$G$14,$A$20,$B$20,$C$20,$D$20/1000,$J$22,$E$17-1,24)</f>
        <v/>
      </c>
    </row>
    <row r="50" spans="1:8" ht="12" customHeight="1" x14ac:dyDescent="0.2">
      <c r="A50" s="467"/>
      <c r="B50" s="468"/>
      <c r="C50" s="469"/>
      <c r="D50" s="204">
        <f>StB_R_MN($A$4-1,$F$38,$G$38,$G$42,$G$43,$H$42,$H$43,$A$9,$B$9,$C$9,$D$9,$E$9,$C$54,$C$53,$A$14,$B$14,$C$14/1000,$D$14/1000,$E$14,$F$14,$G$14,$A$20,$B$20,$C$20,$D$20/1000,$J$22,$E$17-1,13)</f>
        <v>2.2553517606702305E-2</v>
      </c>
      <c r="F50" s="463"/>
      <c r="G50" s="464"/>
      <c r="H50" s="231">
        <f>StB_R_MN($A$4-1,$F$38,$G$38,$G$42,$G$43,$H$42,$H$43,$A$9,$B$9,$C$9,$D$9,$E$9,$C$54,$C$53,$A$14,$B$14,$C$14/1000,$D$14/1000,$E$14,$F$14,$G$14,$A$20,$B$20,$C$20,$D$20/1000,$J$22,$E$17-1,23)</f>
        <v>1.4E-3</v>
      </c>
    </row>
    <row r="51" spans="1:8" x14ac:dyDescent="0.2">
      <c r="A51" s="480" t="str">
        <f>INDEX(LA!$A249:$J249,,Info!$A$5)</f>
        <v>internal forces</v>
      </c>
      <c r="B51" s="481"/>
      <c r="C51" s="233" t="str">
        <f>INDEX(LA!$A250:$J250,,Info!$A$5)</f>
        <v>R_Md  [kNm]</v>
      </c>
      <c r="D51" s="224">
        <f>StB_R_MN($A$4-1,$F$38,$G$38,$G$42,$G$43,$H$42,$H$43,$A$9,$B$9,$C$9,$D$9,$E$9,$C$54,$C$53,$A$14,$B$14,$C$14/1000,$D$14/1000,$E$14,$F$14,$G$14,$A$20,$B$20,$C$20,$D$20/1000,$J$22,$E$17-1,15)</f>
        <v>655.23280864379115</v>
      </c>
      <c r="F51" s="480" t="str">
        <f>INDEX(LA!$A249:$J249,,Info!$A$5)</f>
        <v>internal forces</v>
      </c>
      <c r="G51" s="222" t="str">
        <f>INDEX(LA!$A261:$J261,,Info!$A$5)</f>
        <v>R_Mk  [kNm]</v>
      </c>
      <c r="H51" s="224">
        <f>StB_R_MN($A$4-1,$F$38,$G$38,$G$42,$G$43,$H$42,$H$43,$A$9,$B$9,$C$9,$D$9,$E$9,$C$54,$C$53,$A$14,$B$14,$C$14/1000,$D$14/1000,$E$14,$F$14,$G$14,$A$20,$B$20,$C$20,$D$20/1000,$J$22,$E$17-1,25)</f>
        <v>393.98277739286453</v>
      </c>
    </row>
    <row r="52" spans="1:8" x14ac:dyDescent="0.2">
      <c r="A52" s="482"/>
      <c r="B52" s="483"/>
      <c r="C52" s="234" t="str">
        <f>INDEX(LA!$A251:$J251,,Info!$A$5)</f>
        <v>R_Nd   [kN]</v>
      </c>
      <c r="D52" s="225">
        <f>StB_R_MN($A$4-1,$F$38,$G$38,$G$42,$G$43,$H$42,$H$43,$A$9,$B$9,$C$9,$D$9,$E$9,$C$54,$C$53,$A$14,$B$14,$C$14/1000,$D$14/1000,$E$14,$F$14,$G$14,$A$20,$B$20,$C$20,$D$20/1000,$J$22,$E$17-1,16)</f>
        <v>-2.8839437430180368</v>
      </c>
      <c r="F52" s="482"/>
      <c r="G52" s="112" t="str">
        <f>INDEX(LA!$A262:$J262,,Info!$A$5)</f>
        <v>R_Nk   [kN]</v>
      </c>
      <c r="H52" s="225">
        <f>StB_R_MN($A$4-1,$F$38,$G$38,$G$42,$G$43,$H$42,$H$43,$A$9,$B$9,$C$9,$D$9,$E$9,$C$54,$C$53,$A$14,$B$14,$C$14/1000,$D$14/1000,$E$14,$F$14,$G$14,$A$20,$B$20,$C$20,$D$20/1000,$J$22,$E$17-1,26)</f>
        <v>-0.17192369890247033</v>
      </c>
    </row>
    <row r="53" spans="1:8" x14ac:dyDescent="0.2">
      <c r="A53" s="470" t="str">
        <f>INDEX(LA!$A254:$J254,,Info!$A$5)</f>
        <v>reinforce.  A_s2  [cm²]</v>
      </c>
      <c r="B53" s="485"/>
      <c r="C53" s="208"/>
      <c r="D53" s="205">
        <f>StB_R_MN($A$4-1,$F$38,$G$38,$G$42,$G$43,$H$42,$H$43,$A$9,$B$9,$C$9,$D$9,$E$9,$C$54,$C$53,$A$14,$B$14,$C$14/1000,$D$14/1000,$E$14,$F$14,$G$14,$A$20,$B$20,$C$20,$D$20/1000,$J$22,$E$17-1,18)</f>
        <v>0</v>
      </c>
      <c r="F53" s="461" t="str">
        <f>INDEX(LA!$A263:$J263,,Info!$A$5)</f>
        <v>reinforce. stress σs [MPa]</v>
      </c>
      <c r="G53" s="462"/>
      <c r="H53" s="224" t="str">
        <f>StB_R_MN($A$4-1,$F$38,$G$38,$G$42,$G$43,$H$42,$H$43,$A$9,$B$9,$C$9,$D$9,$E$9,$C$54,$C$53,$A$14,$B$14,$C$14/1000,$D$14/1000,$E$14,$F$14,$G$14,$A$20,$B$20,$C$20,$D$20/1000,$J$22,$E$17-1,28)</f>
        <v/>
      </c>
    </row>
    <row r="54" spans="1:8" x14ac:dyDescent="0.2">
      <c r="A54" s="486" t="str">
        <f>INDEX(LA!$A253:$J253,,Info!$A$5)</f>
        <v>reinforce.  A_s1  [cm²]</v>
      </c>
      <c r="B54" s="487"/>
      <c r="C54" s="209"/>
      <c r="D54" s="206">
        <f>StB_R_MN($A$4-1,$F$38,$G$38,$G$42,$G$43,$H$42,$H$43,$A$9,$B$9,$C$9,$D$9,$E$9,$C$54,$C$53,$A$14,$B$14,$C$14/1000,$D$14/1000,$E$14,$F$14,$G$14,$A$20,$B$20,$C$20,$D$20/1000,$J$22,$E$17-1,17)</f>
        <v>22.605427405757826</v>
      </c>
      <c r="F54" s="463"/>
      <c r="G54" s="464"/>
      <c r="H54" s="225">
        <f>StB_R_MN($A$4-1,$F$38,$G$38,$G$42,$G$43,$H$42,$H$43,$A$9,$B$9,$C$9,$D$9,$E$9,$C$54,$C$53,$A$14,$B$14,$C$14/1000,$D$14/1000,$E$14,$F$14,$G$14,$A$20,$B$20,$C$20,$D$20/1000,$J$22,$E$17-1,27)</f>
        <v>280</v>
      </c>
    </row>
    <row r="55" spans="1:8" x14ac:dyDescent="0.2">
      <c r="A55" s="478" t="str">
        <f>IF($H$79=0,INDEX(LA!$A255:$J255,,Info!$A$5),INDEX(LA!$A256:$J256,,Info!$A$5))</f>
        <v>utilization   =   req. A_s / A_s</v>
      </c>
      <c r="B55" s="484"/>
      <c r="C55" s="479"/>
      <c r="D55" s="207">
        <f>StB_R_MN($A$4-1,$F$38,$G$38,$G$42,$G$43,$H$42,$H$43,$A$9,$B$9,$C$9,$D$9,$E$9,$C$54,$C$53,$A$14,$B$14,$C$14/1000,$D$14/1000,$E$14,$F$14,$G$14,$A$20,$B$20,$C$20,$D$20/1000,$J$22,$E$17-1,19)</f>
        <v>0.79968762202264743</v>
      </c>
    </row>
    <row r="57" spans="1:8" ht="12.75" x14ac:dyDescent="0.2">
      <c r="A57" s="7" t="str">
        <f>INDEX(LA!$A264:$J264,,Info!$A$5)</f>
        <v>Shear Reinforcement</v>
      </c>
    </row>
    <row r="58" spans="1:8" x14ac:dyDescent="0.2">
      <c r="A58" s="478" t="str">
        <f>INDEX(LA!$A265:$J265,,Info!$A$5)</f>
        <v>internal force  /  lever arm</v>
      </c>
      <c r="B58" s="479"/>
      <c r="C58" s="237" t="str">
        <f>INDEX(LA!$A266:$J266,,Info!$A$5)</f>
        <v>[kN]</v>
      </c>
      <c r="D58" s="237" t="str">
        <f>INDEX(LA!$A267:$J267,,Info!$A$5)</f>
        <v>[mm]</v>
      </c>
      <c r="F58" s="478" t="str">
        <f>$A101</f>
        <v>min. a_s     [cm²/m]</v>
      </c>
      <c r="G58" s="479"/>
      <c r="H58" s="207">
        <f>StB_R_Q($A$4-1,$F$38,$G$38,$G$42,$G$43,$G$44,$A$9,$B$9,$C$9,$D$9,$D$54,$D$53,$A$14,$B$14,$C$14/1000,$D$14/1000,$E$14,$F$14,$G$14,$A$20,$B$20,$C$20,$D$20/1000,$F$63,$G$63,$H$63,20)</f>
        <v>7.6466759260765871</v>
      </c>
    </row>
    <row r="59" spans="1:8" x14ac:dyDescent="0.2">
      <c r="A59" s="478" t="str">
        <f>INDEX(LA!$A268:$J268,,Info!$A$5)</f>
        <v>compress. concrete C_cu</v>
      </c>
      <c r="B59" s="479"/>
      <c r="C59" s="162">
        <f>StB_R_Q($A$4-1,$F$38,$G$38,$G$42,$G$43,$G$44,$A$9,$B$9,$C$9,$D$9,$D$54,$D$53,$A$14,$B$14,$C$14/1000,$D$14/1000,$E$14,$F$14,$G$14,$A$20,$B$20,$C$20,$D$20/1000,$F$63,$G$63,$H$63,11)</f>
        <v>-1029.5274866492421</v>
      </c>
      <c r="D59" s="162">
        <f>StB_R_Q($A$4-1,$F$38,$G$38,$G$42,$G$43,$G$44,$A$9,$B$9,$C$9,$D$9,$D$54,$D$53,$A$14,$B$14,$C$14/1000,$D$14/1000,$E$14,$F$14,$G$14,$A$20,$B$20,$C$20,$D$20/1000,$F$63,$G$63,$H$63,12)</f>
        <v>-337.28069456607705</v>
      </c>
    </row>
    <row r="60" spans="1:8" x14ac:dyDescent="0.2">
      <c r="A60" s="478" t="str">
        <f>INDEX(LA!$A269:$J269,,Info!$A$5)</f>
        <v>compress. reinf.      C_su</v>
      </c>
      <c r="B60" s="479"/>
      <c r="C60" s="162" t="str">
        <f>StB_R_Q($A$4-1,$F$38,$G$38,$G$42,$G$43,$G$44,$A$9,$B$9,$C$9,$D$9,$D$54,$D$53,$A$14,$B$14,$C$14/1000,$D$14/1000,$E$14,$F$14,$G$14,$A$20,$B$20,$C$20,$D$20/1000,$F$63,$G$63,$H$63,15)</f>
        <v/>
      </c>
      <c r="D60" s="162" t="str">
        <f>StB_R_Q($A$4-1,$F$38,$G$38,$G$42,$G$43,$G$44,$A$9,$B$9,$C$9,$D$9,$D$54,$D$53,$A$14,$B$14,$C$14/1000,$D$14/1000,$E$14,$F$14,$G$14,$A$20,$B$20,$C$20,$D$20/1000,$F$63,$G$63,$H$63,16)</f>
        <v/>
      </c>
      <c r="F60" s="238" t="str">
        <f>$A102</f>
        <v>V_Rdc</v>
      </c>
      <c r="G60" s="238" t="str">
        <f>$A104</f>
        <v>V_Rdmax</v>
      </c>
      <c r="H60" s="238" t="str">
        <f>$A106</f>
        <v>cot(θ)</v>
      </c>
    </row>
    <row r="61" spans="1:8" x14ac:dyDescent="0.2">
      <c r="A61" s="478" t="str">
        <f>INDEX(LA!$A270:$J270,,Info!$A$5)</f>
        <v>tension reinforce.     T_su</v>
      </c>
      <c r="B61" s="479"/>
      <c r="C61" s="162">
        <f>StB_R_Q($A$4-1,$F$38,$G$38,$G$42,$G$43,$G$44,$A$9,$B$9,$C$9,$D$9,$D$54,$D$53,$A$14,$B$14,$C$14/1000,$D$14/1000,$E$14,$F$14,$G$14,$A$20,$B$20,$C$20,$D$20/1000,$F$63,$G$63,$H$63,13)</f>
        <v>1026.6435429062242</v>
      </c>
      <c r="D61" s="162">
        <f>StB_R_Q($A$4-1,$F$38,$G$38,$G$42,$G$43,$G$44,$A$9,$B$9,$C$9,$D$9,$D$54,$D$53,$A$14,$B$14,$C$14/1000,$D$14/1000,$E$14,$F$14,$G$14,$A$20,$B$20,$C$20,$D$20/1000,$F$63,$G$63,$H$63,14)</f>
        <v>300</v>
      </c>
      <c r="F61" s="105" t="str">
        <f>$A103</f>
        <v>[kN]</v>
      </c>
      <c r="G61" s="105" t="str">
        <f>$A105</f>
        <v>[kN]</v>
      </c>
      <c r="H61" s="105" t="str">
        <f>$A107</f>
        <v>[1]</v>
      </c>
    </row>
    <row r="62" spans="1:8" x14ac:dyDescent="0.2">
      <c r="A62" s="478" t="str">
        <f>INDEX(LA!$A271:$J271,,Info!$A$5)</f>
        <v>couple of forces</v>
      </c>
      <c r="B62" s="479"/>
      <c r="C62" s="224">
        <f>StB_R_Q($A$4-1,$F$38,$G$38,$G$42,$G$43,$G$44,$A$9,$B$9,$C$9,$D$9,$D$54,$D$53,$A$14,$B$14,$C$14/1000,$D$14/1000,$E$14,$F$14,$G$14,$A$20,$B$20,$C$20,$D$20/1000,$F$63,$G$63,$H$63,17)</f>
        <v>1026.6435429062242</v>
      </c>
      <c r="D62" s="162">
        <f>StB_R_Q($A$4-1,$F$38,$G$38,$G$42,$G$43,$G$44,$A$9,$B$9,$C$9,$D$9,$D$54,$D$53,$A$14,$B$14,$C$14/1000,$D$14/1000,$E$14,$F$14,$G$14,$A$20,$B$20,$C$20,$D$20/1000,$F$63,$G$63,$H$63,18)</f>
        <v>637.28069456607705</v>
      </c>
      <c r="F62" s="227">
        <f>StB_R_Q($A$4-1,$F$38,$G$38,$G$42,$G$43,$G$44,$A$9,$B$9,$C$9,$D$9,$D$54,$D$53,$A$14,$B$14,$C$14/1000,$D$14/1000,$E$14,$F$14,$G$14,$A$20,$B$20,$C$20,$D$20/1000,$F$63,$G$63,$H$63,21)</f>
        <v>197.8594866189093</v>
      </c>
      <c r="G62" s="227">
        <f>StB_R_Q($A$4-1,$F$38,$G$38,$G$42,$G$43,$G$44,$A$9,$B$9,$C$9,$D$9,$D$54,$D$53,$A$14,$B$14,$C$14/1000,$D$14/1000,$E$14,$F$14,$G$14,$A$20,$B$20,$C$20,$D$20/1000,$F$63,$G$63,$H$63,22)</f>
        <v>3351.6981529834611</v>
      </c>
      <c r="H62" s="227">
        <f>StB_R_Q($A$4-1,$F$38,$G$38,$G$42,$G$43,$G$44,$A$9,$B$9,$C$9,$D$9,$D$54,$D$53,$A$14,$B$14,$C$14/1000,$D$14/1000,$E$14,$F$14,$G$14,$A$20,$B$20,$C$20,$D$20/1000,$F$63,$G$63,$H$63,23)</f>
        <v>1</v>
      </c>
    </row>
    <row r="63" spans="1:8" x14ac:dyDescent="0.2">
      <c r="A63" s="478" t="str">
        <f>INDEX(LA!$A272:$J272,,Info!$A$5)</f>
        <v>shear reinforce.   req. a_s [cm²/m]</v>
      </c>
      <c r="B63" s="484"/>
      <c r="C63" s="479"/>
      <c r="D63" s="207">
        <f>StB_R_Q($A$4-1,$F$38,$G$38,$G$42,$G$43,$G$44,$A$9,$B$9,$C$9,$D$9,$D$54,$D$53,$A$14,$B$14,$C$14/1000,$D$14/1000,$E$14,$F$14,$G$14,$A$20,$B$20,$C$20,$D$20/1000,$F$63,$G$63,$H$63,19)</f>
        <v>7.6466759260765871</v>
      </c>
      <c r="F63" s="158"/>
      <c r="G63" s="158"/>
      <c r="H63" s="158"/>
    </row>
    <row r="70" spans="1:8" x14ac:dyDescent="0.2">
      <c r="A70" s="149" t="s">
        <v>378</v>
      </c>
    </row>
    <row r="71" spans="1:8" x14ac:dyDescent="0.2">
      <c r="A71" s="149" t="s">
        <v>391</v>
      </c>
      <c r="B71" s="168" t="s">
        <v>703</v>
      </c>
    </row>
    <row r="72" spans="1:8" x14ac:dyDescent="0.2">
      <c r="A72" s="149" t="s">
        <v>632</v>
      </c>
      <c r="B72" s="168" t="s">
        <v>634</v>
      </c>
    </row>
    <row r="73" spans="1:8" x14ac:dyDescent="0.2">
      <c r="A73" s="149" t="s">
        <v>633</v>
      </c>
      <c r="B73" s="168" t="s">
        <v>634</v>
      </c>
    </row>
    <row r="74" spans="1:8" x14ac:dyDescent="0.2">
      <c r="A74" s="169" t="s">
        <v>593</v>
      </c>
      <c r="B74" s="168" t="s">
        <v>580</v>
      </c>
    </row>
    <row r="75" spans="1:8" x14ac:dyDescent="0.2">
      <c r="A75" s="169" t="s">
        <v>396</v>
      </c>
      <c r="B75" s="168" t="s">
        <v>655</v>
      </c>
    </row>
    <row r="78" spans="1:8" x14ac:dyDescent="0.2">
      <c r="A78" s="171" t="s">
        <v>512</v>
      </c>
      <c r="H78" s="171" t="s">
        <v>686</v>
      </c>
    </row>
    <row r="79" spans="1:8" x14ac:dyDescent="0.2">
      <c r="A79" s="248">
        <v>1</v>
      </c>
      <c r="B79" s="250" t="str">
        <f>'StB-Werte'!B79</f>
        <v>DIN 1045:1988</v>
      </c>
      <c r="C79" s="159"/>
      <c r="D79" s="159"/>
      <c r="E79" s="160"/>
      <c r="H79" s="248">
        <f>IF(AND($D$49="",$D$50=""),0,1)</f>
        <v>1</v>
      </c>
    </row>
    <row r="80" spans="1:8" x14ac:dyDescent="0.2">
      <c r="A80" s="248">
        <v>2</v>
      </c>
      <c r="B80" s="250" t="str">
        <f>'StB-Werte'!B80</f>
        <v>DIN 1045:2008</v>
      </c>
      <c r="C80" s="159"/>
      <c r="D80" s="159"/>
      <c r="E80" s="160"/>
    </row>
    <row r="81" spans="1:13" x14ac:dyDescent="0.2">
      <c r="A81" s="248">
        <v>3</v>
      </c>
      <c r="B81" s="250" t="str">
        <f>'StB-Werte'!B81</f>
        <v>EN 1992-1-1:2004  (Eurocode 2)</v>
      </c>
      <c r="C81" s="159"/>
      <c r="D81" s="159"/>
      <c r="E81" s="160"/>
    </row>
    <row r="82" spans="1:13" x14ac:dyDescent="0.2">
      <c r="A82" s="248">
        <v>4</v>
      </c>
      <c r="B82" s="250" t="str">
        <f>'StB-Werte'!B82</f>
        <v>DIN EN 1992-1-1:2004 + AC:2010 + NA:2011</v>
      </c>
      <c r="C82" s="159"/>
      <c r="D82" s="159"/>
      <c r="E82" s="160"/>
    </row>
    <row r="83" spans="1:13" x14ac:dyDescent="0.2">
      <c r="A83" s="248">
        <v>5</v>
      </c>
      <c r="B83" s="250" t="str">
        <f>'StB-Werte'!B83</f>
        <v/>
      </c>
      <c r="C83" s="159"/>
      <c r="D83" s="159"/>
      <c r="E83" s="160"/>
    </row>
    <row r="85" spans="1:13" x14ac:dyDescent="0.2">
      <c r="A85" s="171" t="str">
        <f>B11</f>
        <v>Concrete</v>
      </c>
      <c r="B85" s="171">
        <v>1</v>
      </c>
      <c r="C85" s="171">
        <v>2</v>
      </c>
      <c r="D85" s="171">
        <v>3</v>
      </c>
      <c r="E85" s="171">
        <v>4</v>
      </c>
      <c r="F85" s="171">
        <v>5</v>
      </c>
      <c r="H85" s="171" t="str">
        <f>B17</f>
        <v>Reinforcement</v>
      </c>
      <c r="I85" s="171">
        <v>1</v>
      </c>
      <c r="J85" s="171">
        <v>2</v>
      </c>
      <c r="K85" s="171">
        <v>3</v>
      </c>
      <c r="L85" s="171">
        <v>4</v>
      </c>
      <c r="M85" s="171">
        <v>5</v>
      </c>
    </row>
    <row r="86" spans="1:13" x14ac:dyDescent="0.2">
      <c r="A86" s="247" t="str">
        <f>INDEX(B86:F86,,$A$4)</f>
        <v>cylinder str.</v>
      </c>
      <c r="B86" s="251" t="str">
        <f>'StB-Werte'!B86</f>
        <v>cube strength</v>
      </c>
      <c r="C86" s="251" t="str">
        <f>'StB-Werte'!C86</f>
        <v>cylinder str.</v>
      </c>
      <c r="D86" s="251" t="str">
        <f>'StB-Werte'!D86</f>
        <v>cylinder str.</v>
      </c>
      <c r="E86" s="251" t="str">
        <f>'StB-Werte'!E86</f>
        <v>cylinder str.</v>
      </c>
      <c r="F86" s="251" t="str">
        <f>'StB-Werte'!F86</f>
        <v/>
      </c>
      <c r="H86" s="247" t="str">
        <f>INDEX(I86:M86,,$A$4)</f>
        <v>yield stress</v>
      </c>
      <c r="I86" s="251" t="str">
        <f>'StB-Werte'!I86</f>
        <v>yield stress</v>
      </c>
      <c r="J86" s="251" t="str">
        <f>'StB-Werte'!J86</f>
        <v>yield stress</v>
      </c>
      <c r="K86" s="251" t="str">
        <f>'StB-Werte'!K86</f>
        <v>yield stress</v>
      </c>
      <c r="L86" s="251" t="str">
        <f>'StB-Werte'!L86</f>
        <v>yield stress</v>
      </c>
      <c r="M86" s="251" t="str">
        <f>'StB-Werte'!M86</f>
        <v/>
      </c>
    </row>
    <row r="87" spans="1:13" x14ac:dyDescent="0.2">
      <c r="A87" s="150" t="str">
        <f t="shared" ref="A87:A107" si="0">INDEX(B87:F87,,$A$4)</f>
        <v>f_ck [MPa]</v>
      </c>
      <c r="B87" s="252" t="str">
        <f>'StB-Werte'!B87</f>
        <v>β_WN [MPa]</v>
      </c>
      <c r="C87" s="252" t="str">
        <f>'StB-Werte'!C87</f>
        <v>f_ck [MPa]</v>
      </c>
      <c r="D87" s="252" t="str">
        <f>'StB-Werte'!D87</f>
        <v>f_ck [MPa]</v>
      </c>
      <c r="E87" s="252" t="str">
        <f>'StB-Werte'!E87</f>
        <v>f_ck [MPa]</v>
      </c>
      <c r="F87" s="252" t="str">
        <f>'StB-Werte'!F87</f>
        <v/>
      </c>
      <c r="H87" s="150" t="str">
        <f t="shared" ref="H87:H98" si="1">INDEX(I87:M87,,$A$4)</f>
        <v>f_yk  [MPa]</v>
      </c>
      <c r="I87" s="252" t="str">
        <f>'StB-Werte'!I87</f>
        <v>f_yk  [MPa]</v>
      </c>
      <c r="J87" s="252" t="str">
        <f>'StB-Werte'!J87</f>
        <v>f_yk  [MPa]</v>
      </c>
      <c r="K87" s="252" t="str">
        <f>'StB-Werte'!K87</f>
        <v>f_yk  [MPa]</v>
      </c>
      <c r="L87" s="252" t="str">
        <f>'StB-Werte'!L87</f>
        <v>f_yk  [MPa]</v>
      </c>
      <c r="M87" s="252" t="str">
        <f>'StB-Werte'!M87</f>
        <v/>
      </c>
    </row>
    <row r="88" spans="1:13" x14ac:dyDescent="0.2">
      <c r="A88" s="150" t="str">
        <f t="shared" si="0"/>
        <v>reduct.factor</v>
      </c>
      <c r="B88" s="252" t="str">
        <f>'StB-Werte'!B88</f>
        <v>reduct.factor</v>
      </c>
      <c r="C88" s="252" t="str">
        <f>'StB-Werte'!C88</f>
        <v>reduct.factor</v>
      </c>
      <c r="D88" s="252" t="str">
        <f>'StB-Werte'!D88</f>
        <v>reduct.factor</v>
      </c>
      <c r="E88" s="252" t="str">
        <f>'StB-Werte'!E88</f>
        <v>reduct.factor</v>
      </c>
      <c r="F88" s="252" t="str">
        <f>'StB-Werte'!F88</f>
        <v/>
      </c>
      <c r="H88" s="150" t="str">
        <f t="shared" si="1"/>
        <v>tens.strength</v>
      </c>
      <c r="I88" s="252" t="str">
        <f>'StB-Werte'!I88</f>
        <v>tens.strength</v>
      </c>
      <c r="J88" s="252" t="str">
        <f>'StB-Werte'!J88</f>
        <v>tens.strength</v>
      </c>
      <c r="K88" s="252" t="str">
        <f>'StB-Werte'!K88</f>
        <v>tens.strength</v>
      </c>
      <c r="L88" s="252" t="str">
        <f>'StB-Werte'!L88</f>
        <v>tens.strength</v>
      </c>
      <c r="M88" s="252" t="str">
        <f>'StB-Werte'!M88</f>
        <v/>
      </c>
    </row>
    <row r="89" spans="1:13" x14ac:dyDescent="0.2">
      <c r="A89" s="150" t="str">
        <f t="shared" si="0"/>
        <v>α   [1]</v>
      </c>
      <c r="B89" s="252" t="str">
        <f>'StB-Werte'!B89</f>
        <v>α   [1]</v>
      </c>
      <c r="C89" s="252" t="str">
        <f>'StB-Werte'!C89</f>
        <v>α   [1]</v>
      </c>
      <c r="D89" s="252" t="str">
        <f>'StB-Werte'!D89</f>
        <v>α   [1]</v>
      </c>
      <c r="E89" s="252" t="str">
        <f>'StB-Werte'!E89</f>
        <v>α   [1]</v>
      </c>
      <c r="F89" s="252" t="str">
        <f>'StB-Werte'!F89</f>
        <v/>
      </c>
      <c r="H89" s="150" t="str">
        <f t="shared" si="1"/>
        <v>f_tk  [MPa]</v>
      </c>
      <c r="I89" s="252" t="str">
        <f>'StB-Werte'!I89</f>
        <v>f_tk  [MPa]</v>
      </c>
      <c r="J89" s="252" t="str">
        <f>'StB-Werte'!J89</f>
        <v>f_tk  [MPa]</v>
      </c>
      <c r="K89" s="252" t="str">
        <f>'StB-Werte'!K89</f>
        <v>f_tk  [MPa]</v>
      </c>
      <c r="L89" s="252" t="str">
        <f>'StB-Werte'!L89</f>
        <v>f_tk  [MPa]</v>
      </c>
      <c r="M89" s="252" t="str">
        <f>'StB-Werte'!M89</f>
        <v/>
      </c>
    </row>
    <row r="90" spans="1:13" x14ac:dyDescent="0.2">
      <c r="A90" s="150" t="str">
        <f t="shared" si="0"/>
        <v>stress-strain curve</v>
      </c>
      <c r="B90" s="252" t="str">
        <f>'StB-Werte'!B90</f>
        <v>stress-strain curve</v>
      </c>
      <c r="C90" s="252" t="str">
        <f>'StB-Werte'!C90</f>
        <v>stress-strain curve</v>
      </c>
      <c r="D90" s="252" t="str">
        <f>'StB-Werte'!D90</f>
        <v>stress-strain curve</v>
      </c>
      <c r="E90" s="252" t="str">
        <f>'StB-Werte'!E90</f>
        <v>stress-strain curve</v>
      </c>
      <c r="F90" s="252" t="str">
        <f>'StB-Werte'!F90</f>
        <v/>
      </c>
      <c r="H90" s="150" t="str">
        <f t="shared" si="1"/>
        <v>Young's m.</v>
      </c>
      <c r="I90" s="252" t="str">
        <f>'StB-Werte'!I90</f>
        <v>Young's m.</v>
      </c>
      <c r="J90" s="252" t="str">
        <f>'StB-Werte'!J90</f>
        <v>Young's m.</v>
      </c>
      <c r="K90" s="252" t="str">
        <f>'StB-Werte'!K90</f>
        <v>Young's m.</v>
      </c>
      <c r="L90" s="252" t="str">
        <f>'StB-Werte'!L90</f>
        <v>Young's m.</v>
      </c>
      <c r="M90" s="252" t="str">
        <f>'StB-Werte'!M90</f>
        <v/>
      </c>
    </row>
    <row r="91" spans="1:13" x14ac:dyDescent="0.2">
      <c r="A91" s="150" t="str">
        <f t="shared" si="0"/>
        <v>ε_c2  [‰]</v>
      </c>
      <c r="B91" s="252" t="str">
        <f>'StB-Werte'!B91</f>
        <v>ε_c2  [‰]</v>
      </c>
      <c r="C91" s="252" t="str">
        <f>'StB-Werte'!C91</f>
        <v>ε_c2  [‰]</v>
      </c>
      <c r="D91" s="252" t="str">
        <f>'StB-Werte'!D91</f>
        <v>ε_c2  [‰]</v>
      </c>
      <c r="E91" s="252" t="str">
        <f>'StB-Werte'!E91</f>
        <v>ε_c2  [‰]</v>
      </c>
      <c r="F91" s="252" t="str">
        <f>'StB-Werte'!F91</f>
        <v/>
      </c>
      <c r="H91" s="150" t="str">
        <f t="shared" si="1"/>
        <v>E  [MPa]</v>
      </c>
      <c r="I91" s="252" t="str">
        <f>'StB-Werte'!I91</f>
        <v>E  [MPa]</v>
      </c>
      <c r="J91" s="252" t="str">
        <f>'StB-Werte'!J91</f>
        <v>E  [MPa]</v>
      </c>
      <c r="K91" s="252" t="str">
        <f>'StB-Werte'!K91</f>
        <v>E  [MPa]</v>
      </c>
      <c r="L91" s="252" t="str">
        <f>'StB-Werte'!L91</f>
        <v>E  [MPa]</v>
      </c>
      <c r="M91" s="252" t="str">
        <f>'StB-Werte'!M91</f>
        <v/>
      </c>
    </row>
    <row r="92" spans="1:13" x14ac:dyDescent="0.2">
      <c r="A92" s="150" t="str">
        <f t="shared" si="0"/>
        <v>ε_c2u [‰]</v>
      </c>
      <c r="B92" s="252" t="str">
        <f>'StB-Werte'!B92</f>
        <v>ε_c2u [‰]</v>
      </c>
      <c r="C92" s="252" t="str">
        <f>'StB-Werte'!C92</f>
        <v>ε_c2u [‰]</v>
      </c>
      <c r="D92" s="252" t="str">
        <f>'StB-Werte'!D92</f>
        <v>ε_c2u [‰]</v>
      </c>
      <c r="E92" s="252" t="str">
        <f>'StB-Werte'!E92</f>
        <v>ε_c2u [‰]</v>
      </c>
      <c r="F92" s="252" t="str">
        <f>'StB-Werte'!F92</f>
        <v/>
      </c>
      <c r="H92" s="150" t="str">
        <f t="shared" si="1"/>
        <v>max. strain</v>
      </c>
      <c r="I92" s="252" t="str">
        <f>'StB-Werte'!I92</f>
        <v>max. strain</v>
      </c>
      <c r="J92" s="252" t="str">
        <f>'StB-Werte'!J92</f>
        <v>max. strain</v>
      </c>
      <c r="K92" s="252" t="str">
        <f>'StB-Werte'!K92</f>
        <v>max. strain</v>
      </c>
      <c r="L92" s="252" t="str">
        <f>'StB-Werte'!L92</f>
        <v>max. strain</v>
      </c>
      <c r="M92" s="252" t="str">
        <f>'StB-Werte'!M92</f>
        <v/>
      </c>
    </row>
    <row r="93" spans="1:13" x14ac:dyDescent="0.2">
      <c r="A93" s="150" t="str">
        <f t="shared" si="0"/>
        <v>exp. [1]</v>
      </c>
      <c r="B93" s="252" t="str">
        <f>'StB-Werte'!B93</f>
        <v>exp. [1]</v>
      </c>
      <c r="C93" s="252" t="str">
        <f>'StB-Werte'!C93</f>
        <v>exp. [1]</v>
      </c>
      <c r="D93" s="252" t="str">
        <f>'StB-Werte'!D93</f>
        <v>exp. [1]</v>
      </c>
      <c r="E93" s="252" t="str">
        <f>'StB-Werte'!E93</f>
        <v>exp. [1]</v>
      </c>
      <c r="F93" s="252" t="str">
        <f>'StB-Werte'!F93</f>
        <v/>
      </c>
      <c r="H93" s="150" t="str">
        <f t="shared" si="1"/>
        <v>ε_s,u  [‰]</v>
      </c>
      <c r="I93" s="252" t="str">
        <f>'StB-Werte'!I93</f>
        <v>ε_s,u  [‰]</v>
      </c>
      <c r="J93" s="252" t="str">
        <f>'StB-Werte'!J93</f>
        <v>ε_s,u  [‰]</v>
      </c>
      <c r="K93" s="252" t="str">
        <f>'StB-Werte'!K93</f>
        <v>ε_s,u  [‰]</v>
      </c>
      <c r="L93" s="252" t="str">
        <f>'StB-Werte'!L93</f>
        <v>ε_s,u  [‰]</v>
      </c>
      <c r="M93" s="252" t="str">
        <f>'StB-Werte'!M93</f>
        <v/>
      </c>
    </row>
    <row r="94" spans="1:13" x14ac:dyDescent="0.2">
      <c r="A94" s="150" t="str">
        <f t="shared" si="0"/>
        <v>E_cm</v>
      </c>
      <c r="B94" s="252" t="str">
        <f>'StB-Werte'!B94</f>
        <v>E_cm</v>
      </c>
      <c r="C94" s="252" t="str">
        <f>'StB-Werte'!C94</f>
        <v>E_cm</v>
      </c>
      <c r="D94" s="252" t="str">
        <f>'StB-Werte'!D94</f>
        <v>E_cm</v>
      </c>
      <c r="E94" s="252" t="str">
        <f>'StB-Werte'!E94</f>
        <v>E_cm</v>
      </c>
      <c r="F94" s="252" t="str">
        <f>'StB-Werte'!F94</f>
        <v/>
      </c>
      <c r="H94" s="150" t="str">
        <f t="shared" si="1"/>
        <v>max. σs [MPa]</v>
      </c>
      <c r="I94" s="252" t="str">
        <f>'StB-Werte'!I94</f>
        <v>max. σs [MPa]</v>
      </c>
      <c r="J94" s="252" t="str">
        <f>'StB-Werte'!J94</f>
        <v>max. σs [MPa]</v>
      </c>
      <c r="K94" s="252" t="str">
        <f>'StB-Werte'!K94</f>
        <v>max. σs [MPa]</v>
      </c>
      <c r="L94" s="252" t="str">
        <f>'StB-Werte'!L94</f>
        <v>max. σs [MPa]</v>
      </c>
      <c r="M94" s="252" t="str">
        <f>'StB-Werte'!M94</f>
        <v/>
      </c>
    </row>
    <row r="95" spans="1:13" x14ac:dyDescent="0.2">
      <c r="A95" s="150" t="str">
        <f t="shared" si="0"/>
        <v>[MPa]</v>
      </c>
      <c r="B95" s="252" t="str">
        <f>'StB-Werte'!B95</f>
        <v>[MPa]</v>
      </c>
      <c r="C95" s="252" t="str">
        <f>'StB-Werte'!C95</f>
        <v>[MPa]</v>
      </c>
      <c r="D95" s="252" t="str">
        <f>'StB-Werte'!D95</f>
        <v>[MPa]</v>
      </c>
      <c r="E95" s="252" t="str">
        <f>'StB-Werte'!E95</f>
        <v>[MPa]</v>
      </c>
      <c r="F95" s="252" t="str">
        <f>'StB-Werte'!F95</f>
        <v/>
      </c>
      <c r="H95" s="211" t="str">
        <f t="shared" si="1"/>
        <v>reinforce. bar</v>
      </c>
      <c r="I95" s="254" t="str">
        <f>'StB-Werte'!I95</f>
        <v>reinforce. bar</v>
      </c>
      <c r="J95" s="254" t="str">
        <f>'StB-Werte'!J95</f>
        <v>reinforce. bar</v>
      </c>
      <c r="K95" s="254" t="str">
        <f>'StB-Werte'!K95</f>
        <v>reinforce. bar</v>
      </c>
      <c r="L95" s="254" t="str">
        <f>'StB-Werte'!L95</f>
        <v>reinforce. bar</v>
      </c>
      <c r="M95" s="254" t="str">
        <f>'StB-Werte'!M95</f>
        <v/>
      </c>
    </row>
    <row r="96" spans="1:13" x14ac:dyDescent="0.2">
      <c r="A96" s="150" t="str">
        <f t="shared" si="0"/>
        <v>unreinforced</v>
      </c>
      <c r="B96" s="252" t="str">
        <f>'StB-Werte'!B96</f>
        <v>compression-loaded</v>
      </c>
      <c r="C96" s="252" t="str">
        <f>'StB-Werte'!C96</f>
        <v>unreinforced</v>
      </c>
      <c r="D96" s="252" t="str">
        <f>'StB-Werte'!D96</f>
        <v>unreinforced</v>
      </c>
      <c r="E96" s="252" t="str">
        <f>'StB-Werte'!E96</f>
        <v>unreinforced</v>
      </c>
      <c r="F96" s="252" t="str">
        <f>'StB-Werte'!F96</f>
        <v/>
      </c>
      <c r="H96" s="211" t="str">
        <f t="shared" si="1"/>
        <v>max. ds [mm]</v>
      </c>
      <c r="I96" s="254" t="str">
        <f>'StB-Werte'!I96</f>
        <v>max. ds [mm]</v>
      </c>
      <c r="J96" s="254" t="str">
        <f>'StB-Werte'!J96</f>
        <v>max. ds [mm]</v>
      </c>
      <c r="K96" s="254" t="str">
        <f>'StB-Werte'!K96</f>
        <v>max. ds [mm]</v>
      </c>
      <c r="L96" s="254" t="str">
        <f>'StB-Werte'!L96</f>
        <v>max. ds [mm]</v>
      </c>
      <c r="M96" s="254" t="str">
        <f>'StB-Werte'!M96</f>
        <v/>
      </c>
    </row>
    <row r="97" spans="1:62" x14ac:dyDescent="0.2">
      <c r="A97" s="150" t="str">
        <f t="shared" si="0"/>
        <v>safety</v>
      </c>
      <c r="B97" s="252" t="str">
        <f>'StB-Werte'!B97</f>
        <v>safety</v>
      </c>
      <c r="C97" s="252" t="str">
        <f>'StB-Werte'!C97</f>
        <v>safety</v>
      </c>
      <c r="D97" s="252" t="str">
        <f>'StB-Werte'!D97</f>
        <v>safety</v>
      </c>
      <c r="E97" s="252" t="str">
        <f>'StB-Werte'!E97</f>
        <v>safety</v>
      </c>
      <c r="F97" s="252" t="str">
        <f>'StB-Werte'!F97</f>
        <v/>
      </c>
      <c r="H97" s="211" t="str">
        <f t="shared" si="1"/>
        <v>bar spacing</v>
      </c>
      <c r="I97" s="254" t="str">
        <f>'StB-Werte'!I97</f>
        <v>bar spacing</v>
      </c>
      <c r="J97" s="254" t="str">
        <f>'StB-Werte'!J97</f>
        <v>bar spacing</v>
      </c>
      <c r="K97" s="254" t="str">
        <f>'StB-Werte'!K97</f>
        <v>bar spacing</v>
      </c>
      <c r="L97" s="254" t="str">
        <f>'StB-Werte'!L97</f>
        <v>bar spacing</v>
      </c>
      <c r="M97" s="254" t="str">
        <f>'StB-Werte'!M97</f>
        <v/>
      </c>
    </row>
    <row r="98" spans="1:62" x14ac:dyDescent="0.2">
      <c r="A98" s="150" t="str">
        <f t="shared" si="0"/>
        <v>Δα_pl  [1]</v>
      </c>
      <c r="B98" s="252" t="str">
        <f>'StB-Werte'!B98</f>
        <v>Δγ_pl  [1]</v>
      </c>
      <c r="C98" s="252" t="str">
        <f>'StB-Werte'!C98</f>
        <v>Δγ_c,pl  [1]</v>
      </c>
      <c r="D98" s="252" t="str">
        <f>'StB-Werte'!D98</f>
        <v>Δα_pl  [1]</v>
      </c>
      <c r="E98" s="252" t="str">
        <f>'StB-Werte'!E98</f>
        <v>Δα_pl  [1]</v>
      </c>
      <c r="F98" s="252" t="str">
        <f>'StB-Werte'!F98</f>
        <v/>
      </c>
      <c r="H98" s="191" t="str">
        <f t="shared" si="1"/>
        <v>max. s  [mm]</v>
      </c>
      <c r="I98" s="255" t="str">
        <f>'StB-Werte'!I98</f>
        <v>max. s  [mm]</v>
      </c>
      <c r="J98" s="255" t="str">
        <f>'StB-Werte'!J98</f>
        <v>max. s  [mm]</v>
      </c>
      <c r="K98" s="255" t="str">
        <f>'StB-Werte'!K98</f>
        <v>max. s  [mm]</v>
      </c>
      <c r="L98" s="255" t="str">
        <f>'StB-Werte'!L98</f>
        <v>max. s  [mm]</v>
      </c>
      <c r="M98" s="255" t="str">
        <f>'StB-Werte'!M98</f>
        <v/>
      </c>
    </row>
    <row r="99" spans="1:62" x14ac:dyDescent="0.2">
      <c r="A99" s="150" t="str">
        <f t="shared" si="0"/>
        <v>min.comp.reinf.</v>
      </c>
      <c r="B99" s="252" t="str">
        <f>'StB-Werte'!B99</f>
        <v>strain limits</v>
      </c>
      <c r="C99" s="252" t="str">
        <f>'StB-Werte'!C99</f>
        <v>min.comp.reinf.</v>
      </c>
      <c r="D99" s="252" t="str">
        <f>'StB-Werte'!D99</f>
        <v>min.comp.reinf.</v>
      </c>
      <c r="E99" s="252" t="str">
        <f>'StB-Werte'!E99</f>
        <v>min.comp.reinf.</v>
      </c>
      <c r="F99" s="252" t="str">
        <f>'StB-Werte'!F99</f>
        <v/>
      </c>
    </row>
    <row r="100" spans="1:62" x14ac:dyDescent="0.2">
      <c r="A100" s="150" t="str">
        <f t="shared" si="0"/>
        <v>N_Ed,min  [1]</v>
      </c>
      <c r="B100" s="252" t="str">
        <f>'StB-Werte'!B100</f>
        <v>ε_s  ε_s  [‰]</v>
      </c>
      <c r="C100" s="252" t="str">
        <f>'StB-Werte'!C100</f>
        <v>N_Ed,min  [1]</v>
      </c>
      <c r="D100" s="252" t="str">
        <f>'StB-Werte'!D100</f>
        <v>N_Ed   A_s[%]</v>
      </c>
      <c r="E100" s="252" t="str">
        <f>'StB-Werte'!E100</f>
        <v>N_Ed,min  [1]</v>
      </c>
      <c r="F100" s="252" t="str">
        <f>'StB-Werte'!F100</f>
        <v/>
      </c>
    </row>
    <row r="101" spans="1:62" x14ac:dyDescent="0.2">
      <c r="A101" s="150" t="str">
        <f t="shared" si="0"/>
        <v>min. a_s     [cm²/m]</v>
      </c>
      <c r="B101" s="252" t="str">
        <f>'StB-Werte'!B101</f>
        <v>basic value  τ_0    [MPa]</v>
      </c>
      <c r="C101" s="252" t="str">
        <f>'StB-Werte'!C101</f>
        <v>min. a_s     [cm²/m]</v>
      </c>
      <c r="D101" s="252" t="str">
        <f>'StB-Werte'!D101</f>
        <v>min. a_s     [cm²/m]</v>
      </c>
      <c r="E101" s="252" t="str">
        <f>'StB-Werte'!E101</f>
        <v>min. a_s     [cm²/m]</v>
      </c>
      <c r="F101" s="252" t="str">
        <f>'StB-Werte'!F101</f>
        <v/>
      </c>
    </row>
    <row r="102" spans="1:62" x14ac:dyDescent="0.2">
      <c r="A102" s="150" t="str">
        <f t="shared" si="0"/>
        <v>V_Rdc</v>
      </c>
      <c r="B102" s="252" t="str">
        <f>'StB-Werte'!B102</f>
        <v>τ_012</v>
      </c>
      <c r="C102" s="252" t="str">
        <f>'StB-Werte'!C102</f>
        <v>V_Rdc</v>
      </c>
      <c r="D102" s="252" t="str">
        <f>'StB-Werte'!D102</f>
        <v>V_Rdc</v>
      </c>
      <c r="E102" s="252" t="str">
        <f>'StB-Werte'!E102</f>
        <v>V_Rdc</v>
      </c>
      <c r="F102" s="252" t="str">
        <f>'StB-Werte'!F102</f>
        <v/>
      </c>
    </row>
    <row r="103" spans="1:62" x14ac:dyDescent="0.2">
      <c r="A103" s="150" t="str">
        <f t="shared" si="0"/>
        <v>[kN]</v>
      </c>
      <c r="B103" s="252" t="str">
        <f>'StB-Werte'!B103</f>
        <v>[MPa]</v>
      </c>
      <c r="C103" s="252" t="str">
        <f>'StB-Werte'!C103</f>
        <v>[kN]</v>
      </c>
      <c r="D103" s="252" t="str">
        <f>'StB-Werte'!D103</f>
        <v>[kN]</v>
      </c>
      <c r="E103" s="252" t="str">
        <f>'StB-Werte'!E103</f>
        <v>[kN]</v>
      </c>
      <c r="F103" s="252" t="str">
        <f>'StB-Werte'!F103</f>
        <v/>
      </c>
    </row>
    <row r="104" spans="1:62" x14ac:dyDescent="0.2">
      <c r="A104" s="150" t="str">
        <f t="shared" si="0"/>
        <v>V_Rdmax</v>
      </c>
      <c r="B104" s="252" t="str">
        <f>'StB-Werte'!B104</f>
        <v>τ_02</v>
      </c>
      <c r="C104" s="366" t="str">
        <f t="shared" ref="C104:E107" si="2">IF($H$79=0,$G104,$H104)</f>
        <v>V_Rdmax</v>
      </c>
      <c r="D104" s="366" t="str">
        <f t="shared" si="2"/>
        <v>V_Rdmax</v>
      </c>
      <c r="E104" s="366" t="str">
        <f t="shared" si="2"/>
        <v>V_Rdmax</v>
      </c>
      <c r="F104" s="252" t="str">
        <f>'StB-Werte'!F104</f>
        <v/>
      </c>
      <c r="G104" s="268" t="str">
        <f>'StB-Werte'!G104</f>
        <v>τ_cp</v>
      </c>
      <c r="H104" s="268" t="str">
        <f>'StB-Werte'!H104</f>
        <v>V_Rdmax</v>
      </c>
    </row>
    <row r="105" spans="1:62" x14ac:dyDescent="0.2">
      <c r="A105" s="150" t="str">
        <f t="shared" si="0"/>
        <v>[kN]</v>
      </c>
      <c r="B105" s="252" t="str">
        <f>'StB-Werte'!B105</f>
        <v>[MPa]</v>
      </c>
      <c r="C105" s="366" t="str">
        <f t="shared" si="2"/>
        <v>[kN]</v>
      </c>
      <c r="D105" s="366" t="str">
        <f t="shared" si="2"/>
        <v>[kN]</v>
      </c>
      <c r="E105" s="366" t="str">
        <f t="shared" si="2"/>
        <v>[kN]</v>
      </c>
      <c r="F105" s="252" t="str">
        <f>'StB-Werte'!F105</f>
        <v/>
      </c>
      <c r="G105" s="268" t="str">
        <f>'StB-Werte'!G105</f>
        <v>[MPa]</v>
      </c>
      <c r="H105" s="268" t="str">
        <f>'StB-Werte'!H105</f>
        <v>[kN]</v>
      </c>
    </row>
    <row r="106" spans="1:62" x14ac:dyDescent="0.2">
      <c r="A106" s="150" t="str">
        <f t="shared" si="0"/>
        <v>cot(θ)</v>
      </c>
      <c r="B106" s="252" t="str">
        <f>'StB-Werte'!B106</f>
        <v>τ_03</v>
      </c>
      <c r="C106" s="366" t="str">
        <f t="shared" si="2"/>
        <v>cot(θ)</v>
      </c>
      <c r="D106" s="366" t="str">
        <f t="shared" si="2"/>
        <v>cot(θ)</v>
      </c>
      <c r="E106" s="366" t="str">
        <f t="shared" si="2"/>
        <v>cot(θ)</v>
      </c>
      <c r="F106" s="252" t="str">
        <f>'StB-Werte'!F106</f>
        <v/>
      </c>
      <c r="G106" s="268" t="str">
        <f>'StB-Werte'!G106</f>
        <v>f_cvd</v>
      </c>
      <c r="H106" s="268" t="str">
        <f>'StB-Werte'!H106</f>
        <v>cot(θ)</v>
      </c>
    </row>
    <row r="107" spans="1:62" x14ac:dyDescent="0.2">
      <c r="A107" s="105" t="str">
        <f t="shared" si="0"/>
        <v>[1]</v>
      </c>
      <c r="B107" s="253" t="str">
        <f>'StB-Werte'!B107</f>
        <v>[MPa]</v>
      </c>
      <c r="C107" s="367" t="str">
        <f t="shared" si="2"/>
        <v>[1]</v>
      </c>
      <c r="D107" s="367" t="str">
        <f t="shared" si="2"/>
        <v>[1]</v>
      </c>
      <c r="E107" s="367" t="str">
        <f t="shared" si="2"/>
        <v>[1]</v>
      </c>
      <c r="F107" s="253" t="str">
        <f>'StB-Werte'!F107</f>
        <v/>
      </c>
      <c r="G107" s="268" t="str">
        <f>'StB-Werte'!G107</f>
        <v>[MPa]</v>
      </c>
      <c r="H107" s="268" t="str">
        <f>'StB-Werte'!H107</f>
        <v>[1]</v>
      </c>
    </row>
    <row r="109" spans="1:62" x14ac:dyDescent="0.2">
      <c r="A109" s="170" t="str">
        <f>B11</f>
        <v>Concrete</v>
      </c>
      <c r="B109" s="212">
        <v>1</v>
      </c>
      <c r="C109" s="212">
        <v>2</v>
      </c>
      <c r="D109" s="212">
        <v>3</v>
      </c>
      <c r="E109" s="212">
        <v>4</v>
      </c>
      <c r="F109" s="212">
        <v>5</v>
      </c>
      <c r="H109" s="213" t="s">
        <v>404</v>
      </c>
      <c r="I109" s="212">
        <v>1</v>
      </c>
      <c r="J109" s="212">
        <v>2</v>
      </c>
      <c r="K109" s="212">
        <v>3</v>
      </c>
      <c r="L109" s="212">
        <v>4</v>
      </c>
      <c r="M109" s="212">
        <v>5</v>
      </c>
      <c r="O109" s="213" t="s">
        <v>405</v>
      </c>
      <c r="P109" s="212">
        <v>1</v>
      </c>
      <c r="Q109" s="212">
        <v>2</v>
      </c>
      <c r="R109" s="212">
        <v>3</v>
      </c>
      <c r="S109" s="212">
        <v>4</v>
      </c>
      <c r="T109" s="212">
        <v>5</v>
      </c>
      <c r="V109" s="213" t="s">
        <v>497</v>
      </c>
      <c r="W109" s="212">
        <v>1</v>
      </c>
      <c r="X109" s="212">
        <v>2</v>
      </c>
      <c r="Y109" s="212">
        <v>3</v>
      </c>
      <c r="Z109" s="212">
        <v>4</v>
      </c>
      <c r="AA109" s="212">
        <v>5</v>
      </c>
      <c r="AC109" s="213" t="s">
        <v>498</v>
      </c>
      <c r="AD109" s="212">
        <v>1</v>
      </c>
      <c r="AE109" s="212">
        <v>2</v>
      </c>
      <c r="AF109" s="212">
        <v>3</v>
      </c>
      <c r="AG109" s="212">
        <v>4</v>
      </c>
      <c r="AH109" s="212">
        <v>5</v>
      </c>
      <c r="AJ109" s="213" t="s">
        <v>563</v>
      </c>
      <c r="AK109" s="212">
        <v>1</v>
      </c>
      <c r="AL109" s="212">
        <v>2</v>
      </c>
      <c r="AM109" s="212">
        <v>3</v>
      </c>
      <c r="AN109" s="212">
        <v>4</v>
      </c>
      <c r="AO109" s="212">
        <v>5</v>
      </c>
      <c r="AQ109" s="213" t="s">
        <v>599</v>
      </c>
      <c r="AR109" s="212">
        <v>1</v>
      </c>
      <c r="AS109" s="212">
        <v>2</v>
      </c>
      <c r="AT109" s="212">
        <v>3</v>
      </c>
      <c r="AU109" s="212">
        <v>4</v>
      </c>
      <c r="AV109" s="212">
        <v>5</v>
      </c>
      <c r="AX109" s="213" t="s">
        <v>499</v>
      </c>
      <c r="AY109" s="212">
        <v>1</v>
      </c>
      <c r="AZ109" s="212">
        <v>2</v>
      </c>
      <c r="BA109" s="212">
        <v>3</v>
      </c>
      <c r="BB109" s="212">
        <v>4</v>
      </c>
      <c r="BC109" s="212">
        <v>5</v>
      </c>
      <c r="BE109" s="213" t="s">
        <v>635</v>
      </c>
      <c r="BF109" s="212">
        <v>1</v>
      </c>
      <c r="BG109" s="212">
        <v>2</v>
      </c>
      <c r="BH109" s="212">
        <v>3</v>
      </c>
      <c r="BI109" s="212">
        <v>4</v>
      </c>
      <c r="BJ109" s="212">
        <v>5</v>
      </c>
    </row>
    <row r="110" spans="1:62" x14ac:dyDescent="0.2">
      <c r="A110" s="180" t="str">
        <f>INDEX(B110:F110,,$A$4)</f>
        <v>C 12/15</v>
      </c>
      <c r="B110" s="256" t="str">
        <f>'StB-Werte'!B110</f>
        <v>B 15</v>
      </c>
      <c r="C110" s="256" t="str">
        <f>'StB-Werte'!C110</f>
        <v>C 12/15</v>
      </c>
      <c r="D110" s="256" t="str">
        <f>'StB-Werte'!D110</f>
        <v>C 12/15</v>
      </c>
      <c r="E110" s="256" t="str">
        <f>'StB-Werte'!E110</f>
        <v>C 12/15</v>
      </c>
      <c r="F110" s="256" t="str">
        <f>'StB-Werte'!F110</f>
        <v/>
      </c>
      <c r="H110" s="183">
        <f>INDEX(I110:M110,,$A$4)</f>
        <v>12</v>
      </c>
      <c r="I110" s="262">
        <f>'StB-Werte'!I110</f>
        <v>15</v>
      </c>
      <c r="J110" s="262">
        <f>'StB-Werte'!J110</f>
        <v>12</v>
      </c>
      <c r="K110" s="262">
        <f>'StB-Werte'!K110</f>
        <v>12</v>
      </c>
      <c r="L110" s="262">
        <f>'StB-Werte'!L110</f>
        <v>12</v>
      </c>
      <c r="M110" s="262" t="str">
        <f>'StB-Werte'!M110</f>
        <v/>
      </c>
      <c r="O110" s="187">
        <f>INDEX(P110:T110,,$A$4)</f>
        <v>0.85</v>
      </c>
      <c r="P110" s="265">
        <f>'StB-Werte'!P110</f>
        <v>0.7</v>
      </c>
      <c r="Q110" s="265">
        <f>'StB-Werte'!Q110</f>
        <v>0.85</v>
      </c>
      <c r="R110" s="265">
        <f>'StB-Werte'!R110</f>
        <v>0.90909090909090906</v>
      </c>
      <c r="S110" s="265">
        <f>'StB-Werte'!S110</f>
        <v>0.85</v>
      </c>
      <c r="T110" s="265" t="str">
        <f>'StB-Werte'!T110</f>
        <v/>
      </c>
      <c r="V110" s="183">
        <f>INDEX(W110:AA110,,$A$4)</f>
        <v>2</v>
      </c>
      <c r="W110" s="262">
        <f>'StB-Werte'!W110</f>
        <v>2</v>
      </c>
      <c r="X110" s="262">
        <f>'StB-Werte'!X110</f>
        <v>2</v>
      </c>
      <c r="Y110" s="262">
        <f>'StB-Werte'!Y110</f>
        <v>2</v>
      </c>
      <c r="Z110" s="262">
        <f>'StB-Werte'!Z110</f>
        <v>2</v>
      </c>
      <c r="AA110" s="262" t="str">
        <f>'StB-Werte'!AA110</f>
        <v/>
      </c>
      <c r="AC110" s="183">
        <f>INDEX(AD110:AH110,,$A$4)</f>
        <v>3.5</v>
      </c>
      <c r="AD110" s="262">
        <f>'StB-Werte'!AD110</f>
        <v>3.5</v>
      </c>
      <c r="AE110" s="262">
        <f>'StB-Werte'!AE110</f>
        <v>3.5</v>
      </c>
      <c r="AF110" s="262">
        <f>'StB-Werte'!AF110</f>
        <v>3.5</v>
      </c>
      <c r="AG110" s="262">
        <f>'StB-Werte'!AG110</f>
        <v>3.5</v>
      </c>
      <c r="AH110" s="262" t="str">
        <f>'StB-Werte'!AH110</f>
        <v/>
      </c>
      <c r="AJ110" s="192">
        <f>INDEX(AK110:AO110,,$A$4)</f>
        <v>2</v>
      </c>
      <c r="AK110" s="278">
        <f>'StB-Werte'!AK110</f>
        <v>2</v>
      </c>
      <c r="AL110" s="278">
        <f>'StB-Werte'!AL110</f>
        <v>2</v>
      </c>
      <c r="AM110" s="278">
        <f>'StB-Werte'!AM110</f>
        <v>2</v>
      </c>
      <c r="AN110" s="278">
        <f>'StB-Werte'!AN110</f>
        <v>2</v>
      </c>
      <c r="AO110" s="278" t="str">
        <f>'StB-Werte'!AO110</f>
        <v/>
      </c>
      <c r="AQ110" s="187">
        <f>INDEX(AR110:AV110,,$A$4)</f>
        <v>27000</v>
      </c>
      <c r="AR110" s="265">
        <f>'StB-Werte'!AR110</f>
        <v>30000</v>
      </c>
      <c r="AS110" s="256">
        <f>'StB-Werte'!AS110</f>
        <v>21800</v>
      </c>
      <c r="AT110" s="256">
        <f>'StB-Werte'!AT110</f>
        <v>27000</v>
      </c>
      <c r="AU110" s="256">
        <f>'StB-Werte'!AU110</f>
        <v>27000</v>
      </c>
      <c r="AV110" s="265" t="str">
        <f>'StB-Werte'!AV110</f>
        <v/>
      </c>
      <c r="AX110" s="192">
        <f>INDEX(AY110:BC110,,$A$4)</f>
        <v>0.15</v>
      </c>
      <c r="AY110" s="278">
        <f>'StB-Werte'!AY110</f>
        <v>0.35</v>
      </c>
      <c r="AZ110" s="278">
        <f>'StB-Werte'!AZ110</f>
        <v>0.3</v>
      </c>
      <c r="BA110" s="278">
        <f>'StB-Werte'!BA110</f>
        <v>0.18181818181818182</v>
      </c>
      <c r="BB110" s="278">
        <f>'StB-Werte'!BB110</f>
        <v>0.15</v>
      </c>
      <c r="BC110" s="278" t="str">
        <f>'StB-Werte'!BC110</f>
        <v/>
      </c>
      <c r="BE110" s="187">
        <f>INDEX(BF110:BJ110,,$A$4)</f>
        <v>0.15</v>
      </c>
      <c r="BF110" s="281" t="str">
        <f>'StB-Werte'!BF110</f>
        <v>3.0   0.0</v>
      </c>
      <c r="BG110" s="278">
        <f>'StB-Werte'!BG110</f>
        <v>0.15</v>
      </c>
      <c r="BH110" s="281" t="str">
        <f>'StB-Werte'!BH110</f>
        <v>0.10   0.2</v>
      </c>
      <c r="BI110" s="278">
        <f>'StB-Werte'!BI110</f>
        <v>0.15</v>
      </c>
      <c r="BJ110" s="278" t="str">
        <f>'StB-Werte'!BJ110</f>
        <v/>
      </c>
    </row>
    <row r="111" spans="1:62" x14ac:dyDescent="0.2">
      <c r="A111" s="181" t="str">
        <f t="shared" ref="A111:A118" si="3">INDEX(B111:F111,,$A$4)</f>
        <v>C 16/20</v>
      </c>
      <c r="B111" s="257" t="str">
        <f>'StB-Werte'!B111</f>
        <v>B 25</v>
      </c>
      <c r="C111" s="257" t="str">
        <f>'StB-Werte'!C111</f>
        <v>C 16/20</v>
      </c>
      <c r="D111" s="257" t="str">
        <f>'StB-Werte'!D111</f>
        <v>C 16/20</v>
      </c>
      <c r="E111" s="257" t="str">
        <f>'StB-Werte'!E111</f>
        <v>C 16/20</v>
      </c>
      <c r="F111" s="257" t="str">
        <f>'StB-Werte'!F111</f>
        <v/>
      </c>
      <c r="H111" s="184">
        <f t="shared" ref="H111:H118" si="4">INDEX(I111:M111,,$A$4)</f>
        <v>15</v>
      </c>
      <c r="I111" s="263">
        <f>'StB-Werte'!I111</f>
        <v>25</v>
      </c>
      <c r="J111" s="263">
        <f>'StB-Werte'!J111</f>
        <v>15</v>
      </c>
      <c r="K111" s="263">
        <f>'StB-Werte'!K111</f>
        <v>15</v>
      </c>
      <c r="L111" s="263">
        <f>'StB-Werte'!L111</f>
        <v>15</v>
      </c>
      <c r="M111" s="263" t="str">
        <f>'StB-Werte'!M111</f>
        <v/>
      </c>
      <c r="O111" s="214">
        <f t="shared" ref="O111:O118" si="5">INDEX(P111:T111,,$A$4)</f>
        <v>0.85</v>
      </c>
      <c r="P111" s="266">
        <f>'StB-Werte'!P111</f>
        <v>0.7</v>
      </c>
      <c r="Q111" s="266">
        <f>'StB-Werte'!Q111</f>
        <v>0.85</v>
      </c>
      <c r="R111" s="266">
        <f>'StB-Werte'!R111</f>
        <v>0.90909090909090906</v>
      </c>
      <c r="S111" s="266">
        <f>'StB-Werte'!S111</f>
        <v>0.85</v>
      </c>
      <c r="T111" s="266" t="str">
        <f>'StB-Werte'!T111</f>
        <v/>
      </c>
      <c r="V111" s="184">
        <f t="shared" ref="V111:V118" si="6">INDEX(W111:AA111,,$A$4)</f>
        <v>2</v>
      </c>
      <c r="W111" s="263">
        <f>'StB-Werte'!W111</f>
        <v>2</v>
      </c>
      <c r="X111" s="263">
        <f>'StB-Werte'!X111</f>
        <v>2</v>
      </c>
      <c r="Y111" s="263">
        <f>'StB-Werte'!Y111</f>
        <v>2</v>
      </c>
      <c r="Z111" s="263">
        <f>'StB-Werte'!Z111</f>
        <v>2</v>
      </c>
      <c r="AA111" s="263" t="str">
        <f>'StB-Werte'!AA111</f>
        <v/>
      </c>
      <c r="AC111" s="184">
        <f t="shared" ref="AC111:AC118" si="7">INDEX(AD111:AH111,,$A$4)</f>
        <v>3.5</v>
      </c>
      <c r="AD111" s="263">
        <f>'StB-Werte'!AD111</f>
        <v>3.5</v>
      </c>
      <c r="AE111" s="263">
        <f>'StB-Werte'!AE111</f>
        <v>3.5</v>
      </c>
      <c r="AF111" s="263">
        <f>'StB-Werte'!AF111</f>
        <v>3.5</v>
      </c>
      <c r="AG111" s="263">
        <f>'StB-Werte'!AG111</f>
        <v>3.5</v>
      </c>
      <c r="AH111" s="263" t="str">
        <f>'StB-Werte'!AH111</f>
        <v/>
      </c>
      <c r="AJ111" s="193">
        <f t="shared" ref="AJ111:AJ118" si="8">INDEX(AK111:AO111,,$A$4)</f>
        <v>2</v>
      </c>
      <c r="AK111" s="279">
        <f>'StB-Werte'!AK111</f>
        <v>2</v>
      </c>
      <c r="AL111" s="279">
        <f>'StB-Werte'!AL111</f>
        <v>2</v>
      </c>
      <c r="AM111" s="279">
        <f>'StB-Werte'!AM111</f>
        <v>2</v>
      </c>
      <c r="AN111" s="279">
        <f>'StB-Werte'!AN111</f>
        <v>2</v>
      </c>
      <c r="AO111" s="279" t="str">
        <f>'StB-Werte'!AO111</f>
        <v/>
      </c>
      <c r="AQ111" s="214">
        <f t="shared" ref="AQ111:AQ118" si="9">INDEX(AR111:AV111,,$A$4)</f>
        <v>29000</v>
      </c>
      <c r="AR111" s="266">
        <f>'StB-Werte'!AR111</f>
        <v>30000</v>
      </c>
      <c r="AS111" s="257">
        <f>'StB-Werte'!AS111</f>
        <v>23400</v>
      </c>
      <c r="AT111" s="257">
        <f>'StB-Werte'!AT111</f>
        <v>29000</v>
      </c>
      <c r="AU111" s="257">
        <f>'StB-Werte'!AU111</f>
        <v>29000</v>
      </c>
      <c r="AV111" s="266" t="str">
        <f>'StB-Werte'!AV111</f>
        <v/>
      </c>
      <c r="AX111" s="193">
        <f t="shared" ref="AX111:AX118" si="10">INDEX(AY111:BC111,,$A$4)</f>
        <v>0.15</v>
      </c>
      <c r="AY111" s="279">
        <f>'StB-Werte'!AY111</f>
        <v>0.35</v>
      </c>
      <c r="AZ111" s="279">
        <f>'StB-Werte'!AZ111</f>
        <v>0.3</v>
      </c>
      <c r="BA111" s="279">
        <f>'StB-Werte'!BA111</f>
        <v>0.18181818181818182</v>
      </c>
      <c r="BB111" s="279">
        <f>'StB-Werte'!BB111</f>
        <v>0.15</v>
      </c>
      <c r="BC111" s="279" t="str">
        <f>'StB-Werte'!BC111</f>
        <v/>
      </c>
      <c r="BE111" s="214">
        <f t="shared" ref="BE111:BE118" si="11">INDEX(BF111:BJ111,,$A$4)</f>
        <v>0.15</v>
      </c>
      <c r="BF111" s="282" t="str">
        <f>'StB-Werte'!BF111</f>
        <v>3.0   0.0</v>
      </c>
      <c r="BG111" s="279">
        <f>'StB-Werte'!BG111</f>
        <v>0.15</v>
      </c>
      <c r="BH111" s="282" t="str">
        <f>'StB-Werte'!BH111</f>
        <v>0.10   0.2</v>
      </c>
      <c r="BI111" s="279">
        <f>'StB-Werte'!BI111</f>
        <v>0.15</v>
      </c>
      <c r="BJ111" s="279" t="str">
        <f>'StB-Werte'!BJ111</f>
        <v/>
      </c>
    </row>
    <row r="112" spans="1:62" x14ac:dyDescent="0.2">
      <c r="A112" s="181" t="str">
        <f t="shared" si="3"/>
        <v>C 20/25</v>
      </c>
      <c r="B112" s="257" t="str">
        <f>'StB-Werte'!B112</f>
        <v>B 35</v>
      </c>
      <c r="C112" s="257" t="str">
        <f>'StB-Werte'!C112</f>
        <v>C 20/25</v>
      </c>
      <c r="D112" s="257" t="str">
        <f>'StB-Werte'!D112</f>
        <v>C 20/25</v>
      </c>
      <c r="E112" s="257" t="str">
        <f>'StB-Werte'!E112</f>
        <v>C 20/25</v>
      </c>
      <c r="F112" s="257" t="str">
        <f>'StB-Werte'!F112</f>
        <v/>
      </c>
      <c r="H112" s="184">
        <f t="shared" si="4"/>
        <v>20</v>
      </c>
      <c r="I112" s="263">
        <f>'StB-Werte'!I112</f>
        <v>35</v>
      </c>
      <c r="J112" s="263">
        <f>'StB-Werte'!J112</f>
        <v>20</v>
      </c>
      <c r="K112" s="263">
        <f>'StB-Werte'!K112</f>
        <v>20</v>
      </c>
      <c r="L112" s="263">
        <f>'StB-Werte'!L112</f>
        <v>20</v>
      </c>
      <c r="M112" s="263" t="str">
        <f>'StB-Werte'!M112</f>
        <v/>
      </c>
      <c r="O112" s="214">
        <f t="shared" si="5"/>
        <v>0.85</v>
      </c>
      <c r="P112" s="266">
        <f>'StB-Werte'!P112</f>
        <v>0.65714285714285714</v>
      </c>
      <c r="Q112" s="266">
        <f>'StB-Werte'!Q112</f>
        <v>0.85</v>
      </c>
      <c r="R112" s="266">
        <f>'StB-Werte'!R112</f>
        <v>0.90909090909090906</v>
      </c>
      <c r="S112" s="266">
        <f>'StB-Werte'!S112</f>
        <v>0.85</v>
      </c>
      <c r="T112" s="266" t="str">
        <f>'StB-Werte'!T112</f>
        <v/>
      </c>
      <c r="V112" s="184">
        <f t="shared" si="6"/>
        <v>2</v>
      </c>
      <c r="W112" s="263">
        <f>'StB-Werte'!W112</f>
        <v>2</v>
      </c>
      <c r="X112" s="263">
        <f>'StB-Werte'!X112</f>
        <v>2</v>
      </c>
      <c r="Y112" s="263">
        <f>'StB-Werte'!Y112</f>
        <v>2</v>
      </c>
      <c r="Z112" s="263">
        <f>'StB-Werte'!Z112</f>
        <v>2</v>
      </c>
      <c r="AA112" s="263" t="str">
        <f>'StB-Werte'!AA112</f>
        <v/>
      </c>
      <c r="AC112" s="184">
        <f t="shared" si="7"/>
        <v>3.5</v>
      </c>
      <c r="AD112" s="263">
        <f>'StB-Werte'!AD112</f>
        <v>3.5</v>
      </c>
      <c r="AE112" s="263">
        <f>'StB-Werte'!AE112</f>
        <v>3.5</v>
      </c>
      <c r="AF112" s="263">
        <f>'StB-Werte'!AF112</f>
        <v>3.5</v>
      </c>
      <c r="AG112" s="263">
        <f>'StB-Werte'!AG112</f>
        <v>3.5</v>
      </c>
      <c r="AH112" s="263" t="str">
        <f>'StB-Werte'!AH112</f>
        <v/>
      </c>
      <c r="AJ112" s="193">
        <f t="shared" si="8"/>
        <v>2</v>
      </c>
      <c r="AK112" s="279">
        <f>'StB-Werte'!AK112</f>
        <v>2</v>
      </c>
      <c r="AL112" s="279">
        <f>'StB-Werte'!AL112</f>
        <v>2</v>
      </c>
      <c r="AM112" s="279">
        <f>'StB-Werte'!AM112</f>
        <v>2</v>
      </c>
      <c r="AN112" s="279">
        <f>'StB-Werte'!AN112</f>
        <v>2</v>
      </c>
      <c r="AO112" s="279" t="str">
        <f>'StB-Werte'!AO112</f>
        <v/>
      </c>
      <c r="AQ112" s="214">
        <f t="shared" si="9"/>
        <v>30000</v>
      </c>
      <c r="AR112" s="266">
        <f>'StB-Werte'!AR112</f>
        <v>30000</v>
      </c>
      <c r="AS112" s="257">
        <f>'StB-Werte'!AS112</f>
        <v>24900</v>
      </c>
      <c r="AT112" s="257">
        <f>'StB-Werte'!AT112</f>
        <v>30000</v>
      </c>
      <c r="AU112" s="257">
        <f>'StB-Werte'!AU112</f>
        <v>30000</v>
      </c>
      <c r="AV112" s="266" t="str">
        <f>'StB-Werte'!AV112</f>
        <v/>
      </c>
      <c r="AX112" s="193">
        <f t="shared" si="10"/>
        <v>0.15</v>
      </c>
      <c r="AY112" s="279">
        <f>'StB-Werte'!AY112</f>
        <v>0.35</v>
      </c>
      <c r="AZ112" s="279">
        <f>'StB-Werte'!AZ112</f>
        <v>0.3</v>
      </c>
      <c r="BA112" s="279">
        <f>'StB-Werte'!BA112</f>
        <v>0.18181818181818182</v>
      </c>
      <c r="BB112" s="279">
        <f>'StB-Werte'!BB112</f>
        <v>0.15</v>
      </c>
      <c r="BC112" s="279" t="str">
        <f>'StB-Werte'!BC112</f>
        <v/>
      </c>
      <c r="BE112" s="214">
        <f t="shared" si="11"/>
        <v>0.15</v>
      </c>
      <c r="BF112" s="282" t="str">
        <f>'StB-Werte'!BF112</f>
        <v>3.0   0.0</v>
      </c>
      <c r="BG112" s="279">
        <f>'StB-Werte'!BG112</f>
        <v>0.15</v>
      </c>
      <c r="BH112" s="282" t="str">
        <f>'StB-Werte'!BH112</f>
        <v>0.10   0.2</v>
      </c>
      <c r="BI112" s="279">
        <f>'StB-Werte'!BI112</f>
        <v>0.15</v>
      </c>
      <c r="BJ112" s="279" t="str">
        <f>'StB-Werte'!BJ112</f>
        <v/>
      </c>
    </row>
    <row r="113" spans="1:62" x14ac:dyDescent="0.2">
      <c r="A113" s="181" t="str">
        <f t="shared" si="3"/>
        <v>C 25/30</v>
      </c>
      <c r="B113" s="257" t="str">
        <f>'StB-Werte'!B113</f>
        <v>B 45</v>
      </c>
      <c r="C113" s="257" t="str">
        <f>'StB-Werte'!C113</f>
        <v>C 25/30</v>
      </c>
      <c r="D113" s="257" t="str">
        <f>'StB-Werte'!D113</f>
        <v>C 25/30</v>
      </c>
      <c r="E113" s="257" t="str">
        <f>'StB-Werte'!E113</f>
        <v>C 25/30</v>
      </c>
      <c r="F113" s="258" t="str">
        <f>'StB-Werte'!F113</f>
        <v/>
      </c>
      <c r="H113" s="184">
        <f t="shared" si="4"/>
        <v>25</v>
      </c>
      <c r="I113" s="263">
        <f>'StB-Werte'!I113</f>
        <v>45</v>
      </c>
      <c r="J113" s="263">
        <f>'StB-Werte'!J113</f>
        <v>25</v>
      </c>
      <c r="K113" s="263">
        <f>'StB-Werte'!K113</f>
        <v>25</v>
      </c>
      <c r="L113" s="263">
        <f>'StB-Werte'!L113</f>
        <v>25</v>
      </c>
      <c r="M113" s="263" t="str">
        <f>'StB-Werte'!M113</f>
        <v/>
      </c>
      <c r="O113" s="214">
        <f t="shared" si="5"/>
        <v>0.85</v>
      </c>
      <c r="P113" s="266">
        <f>'StB-Werte'!P113</f>
        <v>0.6</v>
      </c>
      <c r="Q113" s="266">
        <f>'StB-Werte'!Q113</f>
        <v>0.85</v>
      </c>
      <c r="R113" s="266">
        <f>'StB-Werte'!R113</f>
        <v>0.90909090909090906</v>
      </c>
      <c r="S113" s="266">
        <f>'StB-Werte'!S113</f>
        <v>0.85</v>
      </c>
      <c r="T113" s="266" t="str">
        <f>'StB-Werte'!T113</f>
        <v/>
      </c>
      <c r="V113" s="184">
        <f t="shared" si="6"/>
        <v>2</v>
      </c>
      <c r="W113" s="263">
        <f>'StB-Werte'!W113</f>
        <v>2</v>
      </c>
      <c r="X113" s="263">
        <f>'StB-Werte'!X113</f>
        <v>2</v>
      </c>
      <c r="Y113" s="263">
        <f>'StB-Werte'!Y113</f>
        <v>2</v>
      </c>
      <c r="Z113" s="263">
        <f>'StB-Werte'!Z113</f>
        <v>2</v>
      </c>
      <c r="AA113" s="263" t="str">
        <f>'StB-Werte'!AA113</f>
        <v/>
      </c>
      <c r="AC113" s="184">
        <f t="shared" si="7"/>
        <v>3.5</v>
      </c>
      <c r="AD113" s="263">
        <f>'StB-Werte'!AD113</f>
        <v>3.5</v>
      </c>
      <c r="AE113" s="263">
        <f>'StB-Werte'!AE113</f>
        <v>3.5</v>
      </c>
      <c r="AF113" s="263">
        <f>'StB-Werte'!AF113</f>
        <v>3.5</v>
      </c>
      <c r="AG113" s="263">
        <f>'StB-Werte'!AG113</f>
        <v>3.5</v>
      </c>
      <c r="AH113" s="263" t="str">
        <f>'StB-Werte'!AH113</f>
        <v/>
      </c>
      <c r="AJ113" s="193">
        <f t="shared" si="8"/>
        <v>2</v>
      </c>
      <c r="AK113" s="279">
        <f>'StB-Werte'!AK113</f>
        <v>2</v>
      </c>
      <c r="AL113" s="279">
        <f>'StB-Werte'!AL113</f>
        <v>2</v>
      </c>
      <c r="AM113" s="279">
        <f>'StB-Werte'!AM113</f>
        <v>2</v>
      </c>
      <c r="AN113" s="279">
        <f>'StB-Werte'!AN113</f>
        <v>2</v>
      </c>
      <c r="AO113" s="279" t="str">
        <f>'StB-Werte'!AO113</f>
        <v/>
      </c>
      <c r="AQ113" s="214">
        <f t="shared" si="9"/>
        <v>31000</v>
      </c>
      <c r="AR113" s="266">
        <f>'StB-Werte'!AR113</f>
        <v>30000</v>
      </c>
      <c r="AS113" s="257">
        <f>'StB-Werte'!AS113</f>
        <v>26700</v>
      </c>
      <c r="AT113" s="257">
        <f>'StB-Werte'!AT113</f>
        <v>31000</v>
      </c>
      <c r="AU113" s="257">
        <f>'StB-Werte'!AU113</f>
        <v>31000</v>
      </c>
      <c r="AV113" s="266" t="str">
        <f>'StB-Werte'!AV113</f>
        <v/>
      </c>
      <c r="AX113" s="193">
        <f t="shared" si="10"/>
        <v>0.15</v>
      </c>
      <c r="AY113" s="279">
        <f>'StB-Werte'!AY113</f>
        <v>0.35</v>
      </c>
      <c r="AZ113" s="279">
        <f>'StB-Werte'!AZ113</f>
        <v>0.3</v>
      </c>
      <c r="BA113" s="279">
        <f>'StB-Werte'!BA113</f>
        <v>0.18181818181818182</v>
      </c>
      <c r="BB113" s="279">
        <f>'StB-Werte'!BB113</f>
        <v>0.15</v>
      </c>
      <c r="BC113" s="279" t="str">
        <f>'StB-Werte'!BC113</f>
        <v/>
      </c>
      <c r="BE113" s="214">
        <f t="shared" si="11"/>
        <v>0.15</v>
      </c>
      <c r="BF113" s="282" t="str">
        <f>'StB-Werte'!BF113</f>
        <v>3.0   0.0</v>
      </c>
      <c r="BG113" s="279">
        <f>'StB-Werte'!BG113</f>
        <v>0.15</v>
      </c>
      <c r="BH113" s="282" t="str">
        <f>'StB-Werte'!BH113</f>
        <v>0.10   0.2</v>
      </c>
      <c r="BI113" s="279">
        <f>'StB-Werte'!BI113</f>
        <v>0.15</v>
      </c>
      <c r="BJ113" s="279" t="str">
        <f>'StB-Werte'!BJ113</f>
        <v/>
      </c>
    </row>
    <row r="114" spans="1:62" x14ac:dyDescent="0.2">
      <c r="A114" s="181" t="str">
        <f t="shared" si="3"/>
        <v>C 30/37</v>
      </c>
      <c r="B114" s="257" t="str">
        <f>'StB-Werte'!B114</f>
        <v>B 55</v>
      </c>
      <c r="C114" s="257" t="str">
        <f>'StB-Werte'!C114</f>
        <v>C 30/37</v>
      </c>
      <c r="D114" s="257" t="str">
        <f>'StB-Werte'!D114</f>
        <v>C 30/37</v>
      </c>
      <c r="E114" s="257" t="str">
        <f>'StB-Werte'!E114</f>
        <v>C 30/37</v>
      </c>
      <c r="F114" s="257" t="str">
        <f>'StB-Werte'!F114</f>
        <v/>
      </c>
      <c r="H114" s="184">
        <f t="shared" si="4"/>
        <v>30</v>
      </c>
      <c r="I114" s="263">
        <f>'StB-Werte'!I114</f>
        <v>55</v>
      </c>
      <c r="J114" s="263">
        <f>'StB-Werte'!J114</f>
        <v>30</v>
      </c>
      <c r="K114" s="263">
        <f>'StB-Werte'!K114</f>
        <v>30</v>
      </c>
      <c r="L114" s="263">
        <f>'StB-Werte'!L114</f>
        <v>30</v>
      </c>
      <c r="M114" s="263" t="str">
        <f>'StB-Werte'!M114</f>
        <v/>
      </c>
      <c r="O114" s="214">
        <f t="shared" si="5"/>
        <v>0.85</v>
      </c>
      <c r="P114" s="266">
        <f>'StB-Werte'!P114</f>
        <v>0.54545454545454541</v>
      </c>
      <c r="Q114" s="266">
        <f>'StB-Werte'!Q114</f>
        <v>0.85</v>
      </c>
      <c r="R114" s="266">
        <f>'StB-Werte'!R114</f>
        <v>0.90909090909090906</v>
      </c>
      <c r="S114" s="266">
        <f>'StB-Werte'!S114</f>
        <v>0.85</v>
      </c>
      <c r="T114" s="266" t="str">
        <f>'StB-Werte'!T114</f>
        <v/>
      </c>
      <c r="V114" s="184">
        <f t="shared" si="6"/>
        <v>2</v>
      </c>
      <c r="W114" s="263">
        <f>'StB-Werte'!W114</f>
        <v>2</v>
      </c>
      <c r="X114" s="263">
        <f>'StB-Werte'!X114</f>
        <v>2</v>
      </c>
      <c r="Y114" s="263">
        <f>'StB-Werte'!Y114</f>
        <v>2</v>
      </c>
      <c r="Z114" s="263">
        <f>'StB-Werte'!Z114</f>
        <v>2</v>
      </c>
      <c r="AA114" s="263" t="str">
        <f>'StB-Werte'!AA114</f>
        <v/>
      </c>
      <c r="AC114" s="184">
        <f t="shared" si="7"/>
        <v>3.5</v>
      </c>
      <c r="AD114" s="263">
        <f>'StB-Werte'!AD114</f>
        <v>3.5</v>
      </c>
      <c r="AE114" s="263">
        <f>'StB-Werte'!AE114</f>
        <v>3.5</v>
      </c>
      <c r="AF114" s="263">
        <f>'StB-Werte'!AF114</f>
        <v>3.5</v>
      </c>
      <c r="AG114" s="263">
        <f>'StB-Werte'!AG114</f>
        <v>3.5</v>
      </c>
      <c r="AH114" s="263" t="str">
        <f>'StB-Werte'!AH114</f>
        <v/>
      </c>
      <c r="AJ114" s="193">
        <f t="shared" si="8"/>
        <v>2</v>
      </c>
      <c r="AK114" s="279">
        <f>'StB-Werte'!AK114</f>
        <v>2</v>
      </c>
      <c r="AL114" s="279">
        <f>'StB-Werte'!AL114</f>
        <v>2</v>
      </c>
      <c r="AM114" s="279">
        <f>'StB-Werte'!AM114</f>
        <v>2</v>
      </c>
      <c r="AN114" s="279">
        <f>'StB-Werte'!AN114</f>
        <v>2</v>
      </c>
      <c r="AO114" s="279" t="str">
        <f>'StB-Werte'!AO114</f>
        <v/>
      </c>
      <c r="AQ114" s="214">
        <f t="shared" si="9"/>
        <v>33000</v>
      </c>
      <c r="AR114" s="266">
        <f>'StB-Werte'!AR114</f>
        <v>30000</v>
      </c>
      <c r="AS114" s="257">
        <f>'StB-Werte'!AS114</f>
        <v>28300</v>
      </c>
      <c r="AT114" s="257">
        <f>'StB-Werte'!AT114</f>
        <v>33000</v>
      </c>
      <c r="AU114" s="257">
        <f>'StB-Werte'!AU114</f>
        <v>33000</v>
      </c>
      <c r="AV114" s="266" t="str">
        <f>'StB-Werte'!AV114</f>
        <v/>
      </c>
      <c r="AX114" s="193">
        <f t="shared" si="10"/>
        <v>0.15</v>
      </c>
      <c r="AY114" s="279">
        <f>'StB-Werte'!AY114</f>
        <v>0.35</v>
      </c>
      <c r="AZ114" s="279">
        <f>'StB-Werte'!AZ114</f>
        <v>0.3</v>
      </c>
      <c r="BA114" s="279">
        <f>'StB-Werte'!BA114</f>
        <v>0.18181818181818182</v>
      </c>
      <c r="BB114" s="279">
        <f>'StB-Werte'!BB114</f>
        <v>0.15</v>
      </c>
      <c r="BC114" s="279" t="str">
        <f>'StB-Werte'!BC114</f>
        <v/>
      </c>
      <c r="BE114" s="214">
        <f t="shared" si="11"/>
        <v>0.15</v>
      </c>
      <c r="BF114" s="282" t="str">
        <f>'StB-Werte'!BF114</f>
        <v>3.0   0.0</v>
      </c>
      <c r="BG114" s="279">
        <f>'StB-Werte'!BG114</f>
        <v>0.15</v>
      </c>
      <c r="BH114" s="282" t="str">
        <f>'StB-Werte'!BH114</f>
        <v>0.10   0.2</v>
      </c>
      <c r="BI114" s="279">
        <f>'StB-Werte'!BI114</f>
        <v>0.15</v>
      </c>
      <c r="BJ114" s="279" t="str">
        <f>'StB-Werte'!BJ114</f>
        <v/>
      </c>
    </row>
    <row r="115" spans="1:62" x14ac:dyDescent="0.2">
      <c r="A115" s="181" t="str">
        <f t="shared" si="3"/>
        <v>C 35/45</v>
      </c>
      <c r="B115" s="258" t="str">
        <f>'StB-Werte'!B115</f>
        <v/>
      </c>
      <c r="C115" s="258" t="str">
        <f>'StB-Werte'!C115</f>
        <v>C 35/45</v>
      </c>
      <c r="D115" s="258" t="str">
        <f>'StB-Werte'!D115</f>
        <v>C 35/45</v>
      </c>
      <c r="E115" s="258" t="str">
        <f>'StB-Werte'!E115</f>
        <v>C 35/45</v>
      </c>
      <c r="F115" s="257" t="str">
        <f>'StB-Werte'!F115</f>
        <v/>
      </c>
      <c r="H115" s="184">
        <f t="shared" si="4"/>
        <v>35</v>
      </c>
      <c r="I115" s="263" t="str">
        <f>'StB-Werte'!I115</f>
        <v/>
      </c>
      <c r="J115" s="263">
        <f>'StB-Werte'!J115</f>
        <v>35</v>
      </c>
      <c r="K115" s="263">
        <f>'StB-Werte'!K115</f>
        <v>35</v>
      </c>
      <c r="L115" s="263">
        <f>'StB-Werte'!L115</f>
        <v>35</v>
      </c>
      <c r="M115" s="263" t="str">
        <f>'StB-Werte'!M115</f>
        <v/>
      </c>
      <c r="O115" s="214">
        <f t="shared" si="5"/>
        <v>0.85</v>
      </c>
      <c r="P115" s="266" t="str">
        <f>'StB-Werte'!P115</f>
        <v/>
      </c>
      <c r="Q115" s="266">
        <f>'StB-Werte'!Q115</f>
        <v>0.85</v>
      </c>
      <c r="R115" s="266">
        <f>'StB-Werte'!R115</f>
        <v>0.90909090909090906</v>
      </c>
      <c r="S115" s="266">
        <f>'StB-Werte'!S115</f>
        <v>0.85</v>
      </c>
      <c r="T115" s="266" t="str">
        <f>'StB-Werte'!T115</f>
        <v/>
      </c>
      <c r="V115" s="184">
        <f t="shared" si="6"/>
        <v>2</v>
      </c>
      <c r="W115" s="263" t="str">
        <f>'StB-Werte'!W115</f>
        <v/>
      </c>
      <c r="X115" s="263">
        <f>'StB-Werte'!X115</f>
        <v>2</v>
      </c>
      <c r="Y115" s="263">
        <f>'StB-Werte'!Y115</f>
        <v>2</v>
      </c>
      <c r="Z115" s="263">
        <f>'StB-Werte'!Z115</f>
        <v>2</v>
      </c>
      <c r="AA115" s="263" t="str">
        <f>'StB-Werte'!AA115</f>
        <v/>
      </c>
      <c r="AC115" s="184">
        <f t="shared" si="7"/>
        <v>3.5</v>
      </c>
      <c r="AD115" s="263" t="str">
        <f>'StB-Werte'!AD115</f>
        <v/>
      </c>
      <c r="AE115" s="263">
        <f>'StB-Werte'!AE115</f>
        <v>3.5</v>
      </c>
      <c r="AF115" s="263">
        <f>'StB-Werte'!AF115</f>
        <v>3.5</v>
      </c>
      <c r="AG115" s="263">
        <f>'StB-Werte'!AG115</f>
        <v>3.5</v>
      </c>
      <c r="AH115" s="263" t="str">
        <f>'StB-Werte'!AH115</f>
        <v/>
      </c>
      <c r="AJ115" s="193">
        <f t="shared" si="8"/>
        <v>2</v>
      </c>
      <c r="AK115" s="279" t="str">
        <f>'StB-Werte'!AK115</f>
        <v/>
      </c>
      <c r="AL115" s="279">
        <f>'StB-Werte'!AL115</f>
        <v>2</v>
      </c>
      <c r="AM115" s="279">
        <f>'StB-Werte'!AM115</f>
        <v>2</v>
      </c>
      <c r="AN115" s="279">
        <f>'StB-Werte'!AN115</f>
        <v>2</v>
      </c>
      <c r="AO115" s="279" t="str">
        <f>'StB-Werte'!AO115</f>
        <v/>
      </c>
      <c r="AQ115" s="214">
        <f t="shared" si="9"/>
        <v>34000</v>
      </c>
      <c r="AR115" s="266" t="str">
        <f>'StB-Werte'!AR115</f>
        <v/>
      </c>
      <c r="AS115" s="257">
        <f>'StB-Werte'!AS115</f>
        <v>29900</v>
      </c>
      <c r="AT115" s="257">
        <f>'StB-Werte'!AT115</f>
        <v>34000</v>
      </c>
      <c r="AU115" s="257">
        <f>'StB-Werte'!AU115</f>
        <v>34000</v>
      </c>
      <c r="AV115" s="266" t="str">
        <f>'StB-Werte'!AV115</f>
        <v/>
      </c>
      <c r="AX115" s="193">
        <f t="shared" si="10"/>
        <v>0.15</v>
      </c>
      <c r="AY115" s="279" t="str">
        <f>'StB-Werte'!AY115</f>
        <v/>
      </c>
      <c r="AZ115" s="279">
        <f>'StB-Werte'!AZ115</f>
        <v>0.3</v>
      </c>
      <c r="BA115" s="279">
        <f>'StB-Werte'!BA115</f>
        <v>0.18181818181818182</v>
      </c>
      <c r="BB115" s="279">
        <f>'StB-Werte'!BB115</f>
        <v>0.15</v>
      </c>
      <c r="BC115" s="279" t="str">
        <f>'StB-Werte'!BC115</f>
        <v/>
      </c>
      <c r="BE115" s="214">
        <f t="shared" si="11"/>
        <v>0.15</v>
      </c>
      <c r="BF115" s="282" t="str">
        <f>'StB-Werte'!BF115</f>
        <v/>
      </c>
      <c r="BG115" s="279">
        <f>'StB-Werte'!BG115</f>
        <v>0.15</v>
      </c>
      <c r="BH115" s="282" t="str">
        <f>'StB-Werte'!BH115</f>
        <v>0.10   0.2</v>
      </c>
      <c r="BI115" s="279">
        <f>'StB-Werte'!BI115</f>
        <v>0.15</v>
      </c>
      <c r="BJ115" s="279" t="str">
        <f>'StB-Werte'!BJ115</f>
        <v/>
      </c>
    </row>
    <row r="116" spans="1:62" x14ac:dyDescent="0.2">
      <c r="A116" s="181" t="str">
        <f t="shared" si="3"/>
        <v>C 40/50</v>
      </c>
      <c r="B116" s="258" t="str">
        <f>'StB-Werte'!B116</f>
        <v/>
      </c>
      <c r="C116" s="258" t="str">
        <f>'StB-Werte'!C116</f>
        <v>C 40/50</v>
      </c>
      <c r="D116" s="258" t="str">
        <f>'StB-Werte'!D116</f>
        <v>C 40/50</v>
      </c>
      <c r="E116" s="258" t="str">
        <f>'StB-Werte'!E116</f>
        <v>C 40/50</v>
      </c>
      <c r="F116" s="257" t="str">
        <f>'StB-Werte'!F116</f>
        <v/>
      </c>
      <c r="H116" s="184">
        <f t="shared" si="4"/>
        <v>40</v>
      </c>
      <c r="I116" s="263" t="str">
        <f>'StB-Werte'!I116</f>
        <v/>
      </c>
      <c r="J116" s="263">
        <f>'StB-Werte'!J116</f>
        <v>40</v>
      </c>
      <c r="K116" s="263">
        <f>'StB-Werte'!K116</f>
        <v>40</v>
      </c>
      <c r="L116" s="263">
        <f>'StB-Werte'!L116</f>
        <v>40</v>
      </c>
      <c r="M116" s="263" t="str">
        <f>'StB-Werte'!M116</f>
        <v/>
      </c>
      <c r="O116" s="214">
        <f t="shared" si="5"/>
        <v>0.85</v>
      </c>
      <c r="P116" s="266" t="str">
        <f>'StB-Werte'!P116</f>
        <v/>
      </c>
      <c r="Q116" s="266">
        <f>'StB-Werte'!Q116</f>
        <v>0.85</v>
      </c>
      <c r="R116" s="266">
        <f>'StB-Werte'!R116</f>
        <v>0.90909090909090906</v>
      </c>
      <c r="S116" s="266">
        <f>'StB-Werte'!S116</f>
        <v>0.85</v>
      </c>
      <c r="T116" s="266" t="str">
        <f>'StB-Werte'!T116</f>
        <v/>
      </c>
      <c r="V116" s="184">
        <f t="shared" si="6"/>
        <v>2</v>
      </c>
      <c r="W116" s="263" t="str">
        <f>'StB-Werte'!W116</f>
        <v/>
      </c>
      <c r="X116" s="263">
        <f>'StB-Werte'!X116</f>
        <v>2</v>
      </c>
      <c r="Y116" s="263">
        <f>'StB-Werte'!Y116</f>
        <v>2</v>
      </c>
      <c r="Z116" s="263">
        <f>'StB-Werte'!Z116</f>
        <v>2</v>
      </c>
      <c r="AA116" s="263" t="str">
        <f>'StB-Werte'!AA116</f>
        <v/>
      </c>
      <c r="AC116" s="184">
        <f t="shared" si="7"/>
        <v>3.5</v>
      </c>
      <c r="AD116" s="263" t="str">
        <f>'StB-Werte'!AD116</f>
        <v/>
      </c>
      <c r="AE116" s="263">
        <f>'StB-Werte'!AE116</f>
        <v>3.5</v>
      </c>
      <c r="AF116" s="263">
        <f>'StB-Werte'!AF116</f>
        <v>3.5</v>
      </c>
      <c r="AG116" s="263">
        <f>'StB-Werte'!AG116</f>
        <v>3.5</v>
      </c>
      <c r="AH116" s="263" t="str">
        <f>'StB-Werte'!AH116</f>
        <v/>
      </c>
      <c r="AJ116" s="193">
        <f t="shared" si="8"/>
        <v>2</v>
      </c>
      <c r="AK116" s="279" t="str">
        <f>'StB-Werte'!AK116</f>
        <v/>
      </c>
      <c r="AL116" s="279">
        <f>'StB-Werte'!AL116</f>
        <v>2</v>
      </c>
      <c r="AM116" s="279">
        <f>'StB-Werte'!AM116</f>
        <v>2</v>
      </c>
      <c r="AN116" s="279">
        <f>'StB-Werte'!AN116</f>
        <v>2</v>
      </c>
      <c r="AO116" s="279" t="str">
        <f>'StB-Werte'!AO116</f>
        <v/>
      </c>
      <c r="AQ116" s="214">
        <f t="shared" si="9"/>
        <v>35000</v>
      </c>
      <c r="AR116" s="266" t="str">
        <f>'StB-Werte'!AR116</f>
        <v/>
      </c>
      <c r="AS116" s="257">
        <f>'StB-Werte'!AS116</f>
        <v>31400</v>
      </c>
      <c r="AT116" s="257">
        <f>'StB-Werte'!AT116</f>
        <v>35000</v>
      </c>
      <c r="AU116" s="257">
        <f>'StB-Werte'!AU116</f>
        <v>35000</v>
      </c>
      <c r="AV116" s="266" t="str">
        <f>'StB-Werte'!AV116</f>
        <v/>
      </c>
      <c r="AX116" s="193">
        <f t="shared" si="10"/>
        <v>0.15</v>
      </c>
      <c r="AY116" s="279" t="str">
        <f>'StB-Werte'!AY116</f>
        <v/>
      </c>
      <c r="AZ116" s="279">
        <f>'StB-Werte'!AZ116</f>
        <v>0.3</v>
      </c>
      <c r="BA116" s="279">
        <f>'StB-Werte'!BA116</f>
        <v>0.18181818181818182</v>
      </c>
      <c r="BB116" s="279">
        <f>'StB-Werte'!BB116</f>
        <v>0.15</v>
      </c>
      <c r="BC116" s="279" t="str">
        <f>'StB-Werte'!BC116</f>
        <v/>
      </c>
      <c r="BE116" s="214">
        <f t="shared" si="11"/>
        <v>0.15</v>
      </c>
      <c r="BF116" s="282" t="str">
        <f>'StB-Werte'!BF116</f>
        <v/>
      </c>
      <c r="BG116" s="279">
        <f>'StB-Werte'!BG116</f>
        <v>0.15</v>
      </c>
      <c r="BH116" s="282" t="str">
        <f>'StB-Werte'!BH116</f>
        <v>0.10   0.2</v>
      </c>
      <c r="BI116" s="279">
        <f>'StB-Werte'!BI116</f>
        <v>0.15</v>
      </c>
      <c r="BJ116" s="279" t="str">
        <f>'StB-Werte'!BJ116</f>
        <v/>
      </c>
    </row>
    <row r="117" spans="1:62" x14ac:dyDescent="0.2">
      <c r="A117" s="181" t="str">
        <f t="shared" si="3"/>
        <v>C 45/55</v>
      </c>
      <c r="B117" s="258" t="str">
        <f>'StB-Werte'!B117</f>
        <v/>
      </c>
      <c r="C117" s="258" t="str">
        <f>'StB-Werte'!C117</f>
        <v>C 45/55</v>
      </c>
      <c r="D117" s="258" t="str">
        <f>'StB-Werte'!D117</f>
        <v>C 45/55</v>
      </c>
      <c r="E117" s="258" t="str">
        <f>'StB-Werte'!E117</f>
        <v>C 45/55</v>
      </c>
      <c r="F117" s="257" t="str">
        <f>'StB-Werte'!F117</f>
        <v/>
      </c>
      <c r="H117" s="184">
        <f t="shared" si="4"/>
        <v>45</v>
      </c>
      <c r="I117" s="263" t="str">
        <f>'StB-Werte'!I117</f>
        <v/>
      </c>
      <c r="J117" s="263">
        <f>'StB-Werte'!J117</f>
        <v>45</v>
      </c>
      <c r="K117" s="263">
        <f>'StB-Werte'!K117</f>
        <v>45</v>
      </c>
      <c r="L117" s="263">
        <f>'StB-Werte'!L117</f>
        <v>45</v>
      </c>
      <c r="M117" s="263" t="str">
        <f>'StB-Werte'!M117</f>
        <v/>
      </c>
      <c r="O117" s="214">
        <f t="shared" si="5"/>
        <v>0.85</v>
      </c>
      <c r="P117" s="266" t="str">
        <f>'StB-Werte'!P117</f>
        <v/>
      </c>
      <c r="Q117" s="266">
        <f>'StB-Werte'!Q117</f>
        <v>0.85</v>
      </c>
      <c r="R117" s="266">
        <f>'StB-Werte'!R117</f>
        <v>0.90909090909090906</v>
      </c>
      <c r="S117" s="266">
        <f>'StB-Werte'!S117</f>
        <v>0.85</v>
      </c>
      <c r="T117" s="266" t="str">
        <f>'StB-Werte'!T117</f>
        <v/>
      </c>
      <c r="V117" s="184">
        <f t="shared" si="6"/>
        <v>2</v>
      </c>
      <c r="W117" s="263" t="str">
        <f>'StB-Werte'!W117</f>
        <v/>
      </c>
      <c r="X117" s="263">
        <f>'StB-Werte'!X117</f>
        <v>2</v>
      </c>
      <c r="Y117" s="263">
        <f>'StB-Werte'!Y117</f>
        <v>2</v>
      </c>
      <c r="Z117" s="263">
        <f>'StB-Werte'!Z117</f>
        <v>2</v>
      </c>
      <c r="AA117" s="263" t="str">
        <f>'StB-Werte'!AA117</f>
        <v/>
      </c>
      <c r="AC117" s="184">
        <f t="shared" si="7"/>
        <v>3.5</v>
      </c>
      <c r="AD117" s="263" t="str">
        <f>'StB-Werte'!AD117</f>
        <v/>
      </c>
      <c r="AE117" s="263">
        <f>'StB-Werte'!AE117</f>
        <v>3.5</v>
      </c>
      <c r="AF117" s="263">
        <f>'StB-Werte'!AF117</f>
        <v>3.5</v>
      </c>
      <c r="AG117" s="263">
        <f>'StB-Werte'!AG117</f>
        <v>3.5</v>
      </c>
      <c r="AH117" s="263" t="str">
        <f>'StB-Werte'!AH117</f>
        <v/>
      </c>
      <c r="AJ117" s="193">
        <f t="shared" si="8"/>
        <v>2</v>
      </c>
      <c r="AK117" s="279" t="str">
        <f>'StB-Werte'!AK117</f>
        <v/>
      </c>
      <c r="AL117" s="279">
        <f>'StB-Werte'!AL117</f>
        <v>2</v>
      </c>
      <c r="AM117" s="279">
        <f>'StB-Werte'!AM117</f>
        <v>2</v>
      </c>
      <c r="AN117" s="279">
        <f>'StB-Werte'!AN117</f>
        <v>2</v>
      </c>
      <c r="AO117" s="279" t="str">
        <f>'StB-Werte'!AO117</f>
        <v/>
      </c>
      <c r="AQ117" s="214">
        <f t="shared" si="9"/>
        <v>36000</v>
      </c>
      <c r="AR117" s="266" t="str">
        <f>'StB-Werte'!AR117</f>
        <v/>
      </c>
      <c r="AS117" s="257">
        <f>'StB-Werte'!AS117</f>
        <v>32800</v>
      </c>
      <c r="AT117" s="257">
        <f>'StB-Werte'!AT117</f>
        <v>36000</v>
      </c>
      <c r="AU117" s="257">
        <f>'StB-Werte'!AU117</f>
        <v>36000</v>
      </c>
      <c r="AV117" s="266" t="str">
        <f>'StB-Werte'!AV117</f>
        <v/>
      </c>
      <c r="AX117" s="193">
        <f t="shared" si="10"/>
        <v>0.15</v>
      </c>
      <c r="AY117" s="279" t="str">
        <f>'StB-Werte'!AY117</f>
        <v/>
      </c>
      <c r="AZ117" s="279">
        <f>'StB-Werte'!AZ117</f>
        <v>0.3</v>
      </c>
      <c r="BA117" s="279">
        <f>'StB-Werte'!BA117</f>
        <v>0.18181818181818182</v>
      </c>
      <c r="BB117" s="279">
        <f>'StB-Werte'!BB117</f>
        <v>0.15</v>
      </c>
      <c r="BC117" s="279" t="str">
        <f>'StB-Werte'!BC117</f>
        <v/>
      </c>
      <c r="BE117" s="214">
        <f t="shared" si="11"/>
        <v>0.15</v>
      </c>
      <c r="BF117" s="282" t="str">
        <f>'StB-Werte'!BF117</f>
        <v/>
      </c>
      <c r="BG117" s="279">
        <f>'StB-Werte'!BG117</f>
        <v>0.15</v>
      </c>
      <c r="BH117" s="282" t="str">
        <f>'StB-Werte'!BH117</f>
        <v>0.10   0.2</v>
      </c>
      <c r="BI117" s="279">
        <f>'StB-Werte'!BI117</f>
        <v>0.15</v>
      </c>
      <c r="BJ117" s="279" t="str">
        <f>'StB-Werte'!BJ117</f>
        <v/>
      </c>
    </row>
    <row r="118" spans="1:62" x14ac:dyDescent="0.2">
      <c r="A118" s="182" t="str">
        <f t="shared" si="3"/>
        <v>C 50/60</v>
      </c>
      <c r="B118" s="259" t="str">
        <f>'StB-Werte'!B118</f>
        <v/>
      </c>
      <c r="C118" s="259" t="str">
        <f>'StB-Werte'!C118</f>
        <v>C 50/60</v>
      </c>
      <c r="D118" s="259" t="str">
        <f>'StB-Werte'!D118</f>
        <v>C 50/60</v>
      </c>
      <c r="E118" s="259" t="str">
        <f>'StB-Werte'!E118</f>
        <v>C 50/60</v>
      </c>
      <c r="F118" s="260" t="str">
        <f>'StB-Werte'!F118</f>
        <v/>
      </c>
      <c r="H118" s="185">
        <f t="shared" si="4"/>
        <v>50</v>
      </c>
      <c r="I118" s="264" t="str">
        <f>'StB-Werte'!I118</f>
        <v/>
      </c>
      <c r="J118" s="264">
        <f>'StB-Werte'!J118</f>
        <v>50</v>
      </c>
      <c r="K118" s="264">
        <f>'StB-Werte'!K118</f>
        <v>50</v>
      </c>
      <c r="L118" s="264">
        <f>'StB-Werte'!L118</f>
        <v>50</v>
      </c>
      <c r="M118" s="264" t="str">
        <f>'StB-Werte'!M118</f>
        <v/>
      </c>
      <c r="O118" s="215">
        <f t="shared" si="5"/>
        <v>0.85</v>
      </c>
      <c r="P118" s="274" t="str">
        <f>'StB-Werte'!P118</f>
        <v/>
      </c>
      <c r="Q118" s="274">
        <f>'StB-Werte'!Q118</f>
        <v>0.85</v>
      </c>
      <c r="R118" s="274">
        <f>'StB-Werte'!R118</f>
        <v>0.90909090909090906</v>
      </c>
      <c r="S118" s="274">
        <f>'StB-Werte'!S118</f>
        <v>0.85</v>
      </c>
      <c r="T118" s="274" t="str">
        <f>'StB-Werte'!T118</f>
        <v/>
      </c>
      <c r="V118" s="185">
        <f t="shared" si="6"/>
        <v>2</v>
      </c>
      <c r="W118" s="264" t="str">
        <f>'StB-Werte'!W118</f>
        <v/>
      </c>
      <c r="X118" s="264">
        <f>'StB-Werte'!X118</f>
        <v>2</v>
      </c>
      <c r="Y118" s="264">
        <f>'StB-Werte'!Y118</f>
        <v>2</v>
      </c>
      <c r="Z118" s="264">
        <f>'StB-Werte'!Z118</f>
        <v>2</v>
      </c>
      <c r="AA118" s="264" t="str">
        <f>'StB-Werte'!AA118</f>
        <v/>
      </c>
      <c r="AC118" s="185">
        <f t="shared" si="7"/>
        <v>3.5</v>
      </c>
      <c r="AD118" s="264" t="str">
        <f>'StB-Werte'!AD118</f>
        <v/>
      </c>
      <c r="AE118" s="264">
        <f>'StB-Werte'!AE118</f>
        <v>3.5</v>
      </c>
      <c r="AF118" s="264">
        <f>'StB-Werte'!AF118</f>
        <v>3.5</v>
      </c>
      <c r="AG118" s="264">
        <f>'StB-Werte'!AG118</f>
        <v>3.5</v>
      </c>
      <c r="AH118" s="264" t="str">
        <f>'StB-Werte'!AH118</f>
        <v/>
      </c>
      <c r="AJ118" s="194">
        <f t="shared" si="8"/>
        <v>2</v>
      </c>
      <c r="AK118" s="280" t="str">
        <f>'StB-Werte'!AK118</f>
        <v/>
      </c>
      <c r="AL118" s="280">
        <f>'StB-Werte'!AL118</f>
        <v>2</v>
      </c>
      <c r="AM118" s="280">
        <f>'StB-Werte'!AM118</f>
        <v>2</v>
      </c>
      <c r="AN118" s="280">
        <f>'StB-Werte'!AN118</f>
        <v>2</v>
      </c>
      <c r="AO118" s="280" t="str">
        <f>'StB-Werte'!AO118</f>
        <v/>
      </c>
      <c r="AQ118" s="215">
        <f t="shared" si="9"/>
        <v>37000</v>
      </c>
      <c r="AR118" s="274" t="str">
        <f>'StB-Werte'!AR118</f>
        <v/>
      </c>
      <c r="AS118" s="260">
        <f>'StB-Werte'!AS118</f>
        <v>34300</v>
      </c>
      <c r="AT118" s="260">
        <f>'StB-Werte'!AT118</f>
        <v>37000</v>
      </c>
      <c r="AU118" s="260">
        <f>'StB-Werte'!AU118</f>
        <v>37000</v>
      </c>
      <c r="AV118" s="274" t="str">
        <f>'StB-Werte'!AV118</f>
        <v/>
      </c>
      <c r="AX118" s="194">
        <f t="shared" si="10"/>
        <v>0.15</v>
      </c>
      <c r="AY118" s="280" t="str">
        <f>'StB-Werte'!AY118</f>
        <v/>
      </c>
      <c r="AZ118" s="280">
        <f>'StB-Werte'!AZ118</f>
        <v>0.3</v>
      </c>
      <c r="BA118" s="280">
        <f>'StB-Werte'!BA118</f>
        <v>0.18181818181818182</v>
      </c>
      <c r="BB118" s="280">
        <f>'StB-Werte'!BB118</f>
        <v>0.15</v>
      </c>
      <c r="BC118" s="280" t="str">
        <f>'StB-Werte'!BC118</f>
        <v/>
      </c>
      <c r="BE118" s="215">
        <f t="shared" si="11"/>
        <v>0.15</v>
      </c>
      <c r="BF118" s="283" t="str">
        <f>'StB-Werte'!BF118</f>
        <v/>
      </c>
      <c r="BG118" s="280">
        <f>'StB-Werte'!BG118</f>
        <v>0.15</v>
      </c>
      <c r="BH118" s="283" t="str">
        <f>'StB-Werte'!BH118</f>
        <v>0.10   0.2</v>
      </c>
      <c r="BI118" s="280">
        <f>'StB-Werte'!BI118</f>
        <v>0.15</v>
      </c>
      <c r="BJ118" s="280" t="str">
        <f>'StB-Werte'!BJ118</f>
        <v/>
      </c>
    </row>
    <row r="120" spans="1:62" x14ac:dyDescent="0.2">
      <c r="A120" s="170" t="str">
        <f>B17</f>
        <v>Reinforcement</v>
      </c>
      <c r="B120" s="212">
        <v>1</v>
      </c>
      <c r="C120" s="212">
        <v>2</v>
      </c>
      <c r="D120" s="212">
        <v>3</v>
      </c>
      <c r="E120" s="212">
        <v>4</v>
      </c>
      <c r="F120" s="212">
        <v>5</v>
      </c>
      <c r="H120" s="213" t="s">
        <v>413</v>
      </c>
      <c r="I120" s="212">
        <v>1</v>
      </c>
      <c r="J120" s="212">
        <v>2</v>
      </c>
      <c r="K120" s="212">
        <v>3</v>
      </c>
      <c r="L120" s="212">
        <v>4</v>
      </c>
      <c r="M120" s="212">
        <v>5</v>
      </c>
      <c r="O120" s="213" t="s">
        <v>414</v>
      </c>
      <c r="P120" s="212">
        <v>1</v>
      </c>
      <c r="Q120" s="212">
        <v>2</v>
      </c>
      <c r="R120" s="212">
        <v>3</v>
      </c>
      <c r="S120" s="212">
        <v>4</v>
      </c>
      <c r="T120" s="212">
        <v>5</v>
      </c>
      <c r="V120" s="213" t="s">
        <v>415</v>
      </c>
      <c r="W120" s="212">
        <v>1</v>
      </c>
      <c r="X120" s="212">
        <v>2</v>
      </c>
      <c r="Y120" s="212">
        <v>3</v>
      </c>
      <c r="Z120" s="212">
        <v>4</v>
      </c>
      <c r="AA120" s="212">
        <v>5</v>
      </c>
      <c r="AC120" s="213" t="s">
        <v>509</v>
      </c>
      <c r="AD120" s="212">
        <v>1</v>
      </c>
      <c r="AE120" s="212">
        <v>2</v>
      </c>
      <c r="AF120" s="212">
        <v>3</v>
      </c>
      <c r="AG120" s="212">
        <v>4</v>
      </c>
      <c r="AH120" s="212">
        <v>5</v>
      </c>
    </row>
    <row r="121" spans="1:62" x14ac:dyDescent="0.2">
      <c r="A121" s="180" t="str">
        <f>INDEX(B121:F121,,$A$4)</f>
        <v>B500A</v>
      </c>
      <c r="B121" s="256" t="str">
        <f>'StB-Werte'!B121</f>
        <v>BSt 420</v>
      </c>
      <c r="C121" s="256" t="str">
        <f>'StB-Werte'!C121</f>
        <v>BSt 500 A</v>
      </c>
      <c r="D121" s="256" t="str">
        <f>'StB-Werte'!D121</f>
        <v>B500A</v>
      </c>
      <c r="E121" s="256" t="str">
        <f>'StB-Werte'!E121</f>
        <v>B500A</v>
      </c>
      <c r="F121" s="256" t="str">
        <f>'StB-Werte'!F121</f>
        <v/>
      </c>
      <c r="H121" s="187">
        <f>INDEX(I121:M121,,$A$4)</f>
        <v>500</v>
      </c>
      <c r="I121" s="265">
        <f>'StB-Werte'!I121</f>
        <v>420</v>
      </c>
      <c r="J121" s="265">
        <f>'StB-Werte'!J121</f>
        <v>500</v>
      </c>
      <c r="K121" s="265">
        <f>'StB-Werte'!K121</f>
        <v>500</v>
      </c>
      <c r="L121" s="265">
        <f>'StB-Werte'!L121</f>
        <v>500</v>
      </c>
      <c r="M121" s="256" t="str">
        <f>'StB-Werte'!M121</f>
        <v/>
      </c>
      <c r="O121" s="187">
        <f>INDEX(P121:T121,,$A$4)</f>
        <v>525</v>
      </c>
      <c r="P121" s="265">
        <f>'StB-Werte'!P121</f>
        <v>420</v>
      </c>
      <c r="Q121" s="265">
        <f>'StB-Werte'!Q121</f>
        <v>525</v>
      </c>
      <c r="R121" s="265">
        <f>'StB-Werte'!R121</f>
        <v>525</v>
      </c>
      <c r="S121" s="265">
        <f>'StB-Werte'!S121</f>
        <v>525</v>
      </c>
      <c r="T121" s="265" t="str">
        <f>'StB-Werte'!T121</f>
        <v/>
      </c>
      <c r="V121" s="187">
        <f>INDEX(W121:AA121,,$A$4)</f>
        <v>200000</v>
      </c>
      <c r="W121" s="265">
        <f>'StB-Werte'!W121</f>
        <v>210000</v>
      </c>
      <c r="X121" s="265">
        <f>'StB-Werte'!X121</f>
        <v>200000</v>
      </c>
      <c r="Y121" s="265">
        <f>'StB-Werte'!Y121</f>
        <v>200000</v>
      </c>
      <c r="Z121" s="265">
        <f>'StB-Werte'!Z121</f>
        <v>200000</v>
      </c>
      <c r="AA121" s="265" t="str">
        <f>'StB-Werte'!AA121</f>
        <v/>
      </c>
      <c r="AC121" s="183">
        <f>INDEX(AD121:AH121,,$A$4)</f>
        <v>25</v>
      </c>
      <c r="AD121" s="262">
        <f>'StB-Werte'!AD121</f>
        <v>5</v>
      </c>
      <c r="AE121" s="262">
        <f>'StB-Werte'!AE121</f>
        <v>25</v>
      </c>
      <c r="AF121" s="262">
        <f>'StB-Werte'!AF121</f>
        <v>25</v>
      </c>
      <c r="AG121" s="262">
        <f>'StB-Werte'!AG121</f>
        <v>25</v>
      </c>
      <c r="AH121" s="262" t="str">
        <f>'StB-Werte'!AH121</f>
        <v/>
      </c>
    </row>
    <row r="122" spans="1:62" x14ac:dyDescent="0.2">
      <c r="A122" s="181" t="str">
        <f>INDEX(B122:F122,,$A$4)</f>
        <v>B500B</v>
      </c>
      <c r="B122" s="257" t="str">
        <f>'StB-Werte'!B122</f>
        <v>BSt 500</v>
      </c>
      <c r="C122" s="257" t="str">
        <f>'StB-Werte'!C122</f>
        <v>BSt 500 B</v>
      </c>
      <c r="D122" s="257" t="str">
        <f>'StB-Werte'!D122</f>
        <v>B500B</v>
      </c>
      <c r="E122" s="257" t="str">
        <f>'StB-Werte'!E122</f>
        <v>B500B</v>
      </c>
      <c r="F122" s="257" t="str">
        <f>'StB-Werte'!F122</f>
        <v/>
      </c>
      <c r="H122" s="214">
        <f>INDEX(I122:M122,,$A$4)</f>
        <v>500</v>
      </c>
      <c r="I122" s="266">
        <f>'StB-Werte'!I122</f>
        <v>500</v>
      </c>
      <c r="J122" s="266">
        <f>'StB-Werte'!J122</f>
        <v>500</v>
      </c>
      <c r="K122" s="266">
        <f>'StB-Werte'!K122</f>
        <v>500</v>
      </c>
      <c r="L122" s="266">
        <f>'StB-Werte'!L122</f>
        <v>500</v>
      </c>
      <c r="M122" s="257" t="str">
        <f>'StB-Werte'!M122</f>
        <v/>
      </c>
      <c r="O122" s="214">
        <f>INDEX(P122:T122,,$A$4)</f>
        <v>525</v>
      </c>
      <c r="P122" s="266">
        <f>'StB-Werte'!P122</f>
        <v>500</v>
      </c>
      <c r="Q122" s="266">
        <f>'StB-Werte'!Q122</f>
        <v>540</v>
      </c>
      <c r="R122" s="266">
        <f>'StB-Werte'!R122</f>
        <v>525</v>
      </c>
      <c r="S122" s="266">
        <f>'StB-Werte'!S122</f>
        <v>525</v>
      </c>
      <c r="T122" s="266" t="str">
        <f>'StB-Werte'!T122</f>
        <v/>
      </c>
      <c r="V122" s="214">
        <f>INDEX(W122:AA122,,$A$4)</f>
        <v>200000</v>
      </c>
      <c r="W122" s="266">
        <f>'StB-Werte'!W122</f>
        <v>210000</v>
      </c>
      <c r="X122" s="266">
        <f>'StB-Werte'!X122</f>
        <v>200000</v>
      </c>
      <c r="Y122" s="266">
        <f>'StB-Werte'!Y122</f>
        <v>200000</v>
      </c>
      <c r="Z122" s="266">
        <f>'StB-Werte'!Z122</f>
        <v>200000</v>
      </c>
      <c r="AA122" s="266" t="str">
        <f>'StB-Werte'!AA122</f>
        <v/>
      </c>
      <c r="AC122" s="184">
        <f>INDEX(AD122:AH122,,$A$4)</f>
        <v>25</v>
      </c>
      <c r="AD122" s="263">
        <f>'StB-Werte'!AD122</f>
        <v>5</v>
      </c>
      <c r="AE122" s="263">
        <f>'StB-Werte'!AE122</f>
        <v>50</v>
      </c>
      <c r="AF122" s="263">
        <f>'StB-Werte'!AF122</f>
        <v>25</v>
      </c>
      <c r="AG122" s="263">
        <f>'StB-Werte'!AG122</f>
        <v>25</v>
      </c>
      <c r="AH122" s="263" t="str">
        <f>'StB-Werte'!AH122</f>
        <v/>
      </c>
    </row>
    <row r="123" spans="1:62" x14ac:dyDescent="0.2">
      <c r="A123" s="181" t="str">
        <f>INDEX(B123:F123,,$A$4)</f>
        <v/>
      </c>
      <c r="B123" s="257" t="str">
        <f>'StB-Werte'!B123</f>
        <v/>
      </c>
      <c r="C123" s="257" t="str">
        <f>'StB-Werte'!C123</f>
        <v/>
      </c>
      <c r="D123" s="257" t="str">
        <f>'StB-Werte'!D123</f>
        <v/>
      </c>
      <c r="E123" s="257" t="str">
        <f>'StB-Werte'!E123</f>
        <v/>
      </c>
      <c r="F123" s="257" t="str">
        <f>'StB-Werte'!F123</f>
        <v/>
      </c>
      <c r="H123" s="214" t="str">
        <f>INDEX(I123:M123,,$A$4)</f>
        <v/>
      </c>
      <c r="I123" s="257" t="str">
        <f>'StB-Werte'!I123</f>
        <v/>
      </c>
      <c r="J123" s="257" t="str">
        <f>'StB-Werte'!J123</f>
        <v/>
      </c>
      <c r="K123" s="257" t="str">
        <f>'StB-Werte'!K123</f>
        <v/>
      </c>
      <c r="L123" s="257" t="str">
        <f>'StB-Werte'!L123</f>
        <v/>
      </c>
      <c r="M123" s="257" t="str">
        <f>'StB-Werte'!M123</f>
        <v/>
      </c>
      <c r="O123" s="214" t="str">
        <f>INDEX(P123:T123,,$A$4)</f>
        <v/>
      </c>
      <c r="P123" s="266" t="str">
        <f>'StB-Werte'!P123</f>
        <v/>
      </c>
      <c r="Q123" s="266" t="str">
        <f>'StB-Werte'!Q123</f>
        <v/>
      </c>
      <c r="R123" s="266" t="str">
        <f>'StB-Werte'!R123</f>
        <v/>
      </c>
      <c r="S123" s="266" t="str">
        <f>'StB-Werte'!S123</f>
        <v/>
      </c>
      <c r="T123" s="266" t="str">
        <f>'StB-Werte'!T123</f>
        <v/>
      </c>
      <c r="V123" s="214" t="str">
        <f>INDEX(W123:AA123,,$A$4)</f>
        <v/>
      </c>
      <c r="W123" s="266" t="str">
        <f>'StB-Werte'!W123</f>
        <v/>
      </c>
      <c r="X123" s="266" t="str">
        <f>'StB-Werte'!X123</f>
        <v/>
      </c>
      <c r="Y123" s="266" t="str">
        <f>'StB-Werte'!Y123</f>
        <v/>
      </c>
      <c r="Z123" s="266" t="str">
        <f>'StB-Werte'!Z123</f>
        <v/>
      </c>
      <c r="AA123" s="266" t="str">
        <f>'StB-Werte'!AA123</f>
        <v/>
      </c>
      <c r="AC123" s="184" t="str">
        <f>INDEX(AD123:AH123,,$A$4)</f>
        <v/>
      </c>
      <c r="AD123" s="263" t="str">
        <f>'StB-Werte'!AD123</f>
        <v/>
      </c>
      <c r="AE123" s="263" t="str">
        <f>'StB-Werte'!AE123</f>
        <v/>
      </c>
      <c r="AF123" s="263" t="str">
        <f>'StB-Werte'!AF123</f>
        <v/>
      </c>
      <c r="AG123" s="263" t="str">
        <f>'StB-Werte'!AG123</f>
        <v/>
      </c>
      <c r="AH123" s="263" t="str">
        <f>'StB-Werte'!AH123</f>
        <v/>
      </c>
    </row>
    <row r="124" spans="1:62" x14ac:dyDescent="0.2">
      <c r="A124" s="182" t="str">
        <f>INDEX(B124:F124,,$A$4)</f>
        <v/>
      </c>
      <c r="B124" s="260" t="str">
        <f>'StB-Werte'!B124</f>
        <v/>
      </c>
      <c r="C124" s="260" t="str">
        <f>'StB-Werte'!C124</f>
        <v/>
      </c>
      <c r="D124" s="260" t="str">
        <f>'StB-Werte'!D124</f>
        <v/>
      </c>
      <c r="E124" s="260" t="str">
        <f>'StB-Werte'!E124</f>
        <v/>
      </c>
      <c r="F124" s="260" t="str">
        <f>'StB-Werte'!F124</f>
        <v/>
      </c>
      <c r="H124" s="215" t="str">
        <f>INDEX(I124:M124,,$A$4)</f>
        <v/>
      </c>
      <c r="I124" s="260" t="str">
        <f>'StB-Werte'!I124</f>
        <v/>
      </c>
      <c r="J124" s="260" t="str">
        <f>'StB-Werte'!J124</f>
        <v/>
      </c>
      <c r="K124" s="260" t="str">
        <f>'StB-Werte'!K124</f>
        <v/>
      </c>
      <c r="L124" s="260" t="str">
        <f>'StB-Werte'!L124</f>
        <v/>
      </c>
      <c r="M124" s="260" t="str">
        <f>'StB-Werte'!M124</f>
        <v/>
      </c>
      <c r="O124" s="215" t="str">
        <f>INDEX(P124:T124,,$A$4)</f>
        <v/>
      </c>
      <c r="P124" s="274" t="str">
        <f>'StB-Werte'!P124</f>
        <v/>
      </c>
      <c r="Q124" s="274" t="str">
        <f>'StB-Werte'!Q124</f>
        <v/>
      </c>
      <c r="R124" s="274" t="str">
        <f>'StB-Werte'!R124</f>
        <v/>
      </c>
      <c r="S124" s="274" t="str">
        <f>'StB-Werte'!S124</f>
        <v/>
      </c>
      <c r="T124" s="274" t="str">
        <f>'StB-Werte'!T124</f>
        <v/>
      </c>
      <c r="V124" s="215" t="str">
        <f>INDEX(W124:AA124,,$A$4)</f>
        <v/>
      </c>
      <c r="W124" s="274" t="str">
        <f>'StB-Werte'!W124</f>
        <v/>
      </c>
      <c r="X124" s="274" t="str">
        <f>'StB-Werte'!X124</f>
        <v/>
      </c>
      <c r="Y124" s="274" t="str">
        <f>'StB-Werte'!Y124</f>
        <v/>
      </c>
      <c r="Z124" s="274" t="str">
        <f>'StB-Werte'!Z124</f>
        <v/>
      </c>
      <c r="AA124" s="274" t="str">
        <f>'StB-Werte'!AA124</f>
        <v/>
      </c>
      <c r="AC124" s="185" t="str">
        <f>INDEX(AD124:AH124,,$A$4)</f>
        <v/>
      </c>
      <c r="AD124" s="264" t="str">
        <f>'StB-Werte'!AD124</f>
        <v/>
      </c>
      <c r="AE124" s="264" t="str">
        <f>'StB-Werte'!AE124</f>
        <v/>
      </c>
      <c r="AF124" s="264" t="str">
        <f>'StB-Werte'!AF124</f>
        <v/>
      </c>
      <c r="AG124" s="264" t="str">
        <f>'StB-Werte'!AG124</f>
        <v/>
      </c>
      <c r="AH124" s="264" t="str">
        <f>'StB-Werte'!AH124</f>
        <v/>
      </c>
    </row>
    <row r="126" spans="1:62" x14ac:dyDescent="0.2">
      <c r="A126" s="171" t="s">
        <v>578</v>
      </c>
      <c r="B126" s="171">
        <v>1</v>
      </c>
      <c r="C126" s="171">
        <v>2</v>
      </c>
      <c r="D126" s="171">
        <v>3</v>
      </c>
      <c r="E126" s="171">
        <v>4</v>
      </c>
      <c r="F126" s="171">
        <v>5</v>
      </c>
      <c r="H126" s="171" t="s">
        <v>602</v>
      </c>
      <c r="I126" s="171">
        <v>1</v>
      </c>
      <c r="J126" s="171">
        <v>2</v>
      </c>
      <c r="K126" s="171">
        <v>3</v>
      </c>
      <c r="L126" s="171">
        <v>4</v>
      </c>
      <c r="M126" s="171">
        <v>5</v>
      </c>
      <c r="O126" s="171" t="s">
        <v>602</v>
      </c>
      <c r="P126" s="171">
        <v>1</v>
      </c>
      <c r="Q126" s="171">
        <v>2</v>
      </c>
      <c r="R126" s="171">
        <v>3</v>
      </c>
      <c r="S126" s="171">
        <v>4</v>
      </c>
      <c r="T126" s="171">
        <v>5</v>
      </c>
    </row>
    <row r="127" spans="1:62" x14ac:dyDescent="0.2">
      <c r="A127" s="190" t="str">
        <f>INDEX(B127:F127,,$A$4)</f>
        <v>without min. reinforcement</v>
      </c>
      <c r="B127" s="261" t="str">
        <f>'StB-Werte'!B127</f>
        <v>without min. reinforcement</v>
      </c>
      <c r="C127" s="261" t="str">
        <f>'StB-Werte'!C127</f>
        <v>without min. reinforcement</v>
      </c>
      <c r="D127" s="261" t="str">
        <f>'StB-Werte'!D127</f>
        <v>without min. reinforcement</v>
      </c>
      <c r="E127" s="261" t="str">
        <f>'StB-Werte'!E127</f>
        <v>without min. reinforcement</v>
      </c>
      <c r="F127" s="261" t="str">
        <f>'StB-Werte'!F127</f>
        <v/>
      </c>
      <c r="H127" s="190" t="str">
        <f>INDEX(I127:M127,,$A$4)</f>
        <v>without crack width limit</v>
      </c>
      <c r="I127" s="261" t="str">
        <f>'StB-Werte'!I127</f>
        <v>without crack width limit</v>
      </c>
      <c r="J127" s="261" t="str">
        <f>'StB-Werte'!J127</f>
        <v>without crack width limit</v>
      </c>
      <c r="K127" s="261" t="str">
        <f>'StB-Werte'!K127</f>
        <v>without crack width limit</v>
      </c>
      <c r="L127" s="261" t="str">
        <f>'StB-Werte'!L127</f>
        <v>without crack width limit</v>
      </c>
      <c r="M127" s="261" t="str">
        <f>'StB-Werte'!M127</f>
        <v/>
      </c>
      <c r="O127" s="190" t="str">
        <f>IF($E$18=1,"",INDEX(P127:T127,,$A$4))</f>
        <v/>
      </c>
      <c r="P127" s="261" t="str">
        <f>'StB-Werte'!P127</f>
        <v/>
      </c>
      <c r="Q127" s="261" t="str">
        <f>'StB-Werte'!Q127</f>
        <v/>
      </c>
      <c r="R127" s="261" t="str">
        <f>'StB-Werte'!R127</f>
        <v/>
      </c>
      <c r="S127" s="261" t="str">
        <f>'StB-Werte'!S127</f>
        <v/>
      </c>
      <c r="T127" s="261" t="str">
        <f>'StB-Werte'!T127</f>
        <v/>
      </c>
    </row>
    <row r="128" spans="1:62" x14ac:dyDescent="0.2">
      <c r="A128" s="191" t="str">
        <f>INDEX(B128:F128,,$A$4)</f>
        <v>with min. reinforcement</v>
      </c>
      <c r="B128" s="255" t="str">
        <f>'StB-Werte'!B128</f>
        <v>with min. reinforcement</v>
      </c>
      <c r="C128" s="255" t="str">
        <f>'StB-Werte'!C128</f>
        <v>with min. reinforcement</v>
      </c>
      <c r="D128" s="255" t="str">
        <f>'StB-Werte'!D128</f>
        <v>with min. reinforcement</v>
      </c>
      <c r="E128" s="255" t="str">
        <f>'StB-Werte'!E128</f>
        <v>with min. reinforcement</v>
      </c>
      <c r="F128" s="255" t="str">
        <f>'StB-Werte'!F128</f>
        <v/>
      </c>
      <c r="H128" s="191" t="str">
        <f>INDEX(I128:M128,,$A$4)</f>
        <v>with crack width limit</v>
      </c>
      <c r="I128" s="255" t="str">
        <f>'StB-Werte'!I128</f>
        <v>with crack width limit</v>
      </c>
      <c r="J128" s="255" t="str">
        <f>'StB-Werte'!J128</f>
        <v>with crack width limit</v>
      </c>
      <c r="K128" s="255" t="str">
        <f>'StB-Werte'!K128</f>
        <v>with crack width limit</v>
      </c>
      <c r="L128" s="255" t="str">
        <f>'StB-Werte'!L128</f>
        <v>with crack width limit</v>
      </c>
      <c r="M128" s="255" t="str">
        <f>'StB-Werte'!M128</f>
        <v/>
      </c>
      <c r="O128" s="211" t="str">
        <f>IF($E$18=1,"",INDEX(P128:T128,,$A$4))</f>
        <v>crack width = 0.40 mm</v>
      </c>
      <c r="P128" s="254" t="str">
        <f>'StB-Werte'!P128</f>
        <v>crack width = 0.40 mm</v>
      </c>
      <c r="Q128" s="254" t="str">
        <f>'StB-Werte'!Q128</f>
        <v>crack width = 0.40 mm</v>
      </c>
      <c r="R128" s="254" t="str">
        <f>'StB-Werte'!R128</f>
        <v>crack width = 0.40 mm</v>
      </c>
      <c r="S128" s="254" t="str">
        <f>'StB-Werte'!S128</f>
        <v>crack width = 0.40 mm</v>
      </c>
      <c r="T128" s="254" t="str">
        <f>'StB-Werte'!T128</f>
        <v/>
      </c>
    </row>
    <row r="129" spans="1:41" x14ac:dyDescent="0.2">
      <c r="O129" s="211" t="str">
        <f>IF($E$18=1,"",INDEX(P129:T129,,$A$4))</f>
        <v>crack width = 0.30 mm</v>
      </c>
      <c r="P129" s="254" t="str">
        <f>'StB-Werte'!P129</f>
        <v>crack width = 0.30 mm</v>
      </c>
      <c r="Q129" s="254" t="str">
        <f>'StB-Werte'!Q129</f>
        <v>crack width = 0.30 mm</v>
      </c>
      <c r="R129" s="254" t="str">
        <f>'StB-Werte'!R129</f>
        <v>crack width = 0.30 mm</v>
      </c>
      <c r="S129" s="254" t="str">
        <f>'StB-Werte'!S129</f>
        <v>crack width = 0.30 mm</v>
      </c>
      <c r="T129" s="254" t="str">
        <f>'StB-Werte'!T129</f>
        <v/>
      </c>
    </row>
    <row r="130" spans="1:41" x14ac:dyDescent="0.2">
      <c r="O130" s="191" t="str">
        <f>IF($E$18=1,"",INDEX(P130:T130,,$A$4))</f>
        <v>crack width = 0.20 mm</v>
      </c>
      <c r="P130" s="255" t="str">
        <f>'StB-Werte'!P130</f>
        <v>crack width = 0.20 mm</v>
      </c>
      <c r="Q130" s="255" t="str">
        <f>'StB-Werte'!Q130</f>
        <v>crack width = 0.20 mm</v>
      </c>
      <c r="R130" s="255" t="str">
        <f>'StB-Werte'!R130</f>
        <v>crack width = 0.20 mm</v>
      </c>
      <c r="S130" s="255" t="str">
        <f>'StB-Werte'!S130</f>
        <v>crack width = 0.20 mm</v>
      </c>
      <c r="T130" s="255" t="str">
        <f>'StB-Werte'!T130</f>
        <v/>
      </c>
    </row>
    <row r="132" spans="1:41" x14ac:dyDescent="0.2">
      <c r="A132" s="170" t="s">
        <v>588</v>
      </c>
      <c r="B132" s="212">
        <v>1</v>
      </c>
      <c r="C132" s="212">
        <v>2</v>
      </c>
      <c r="D132" s="212">
        <v>3</v>
      </c>
      <c r="E132" s="171">
        <v>4</v>
      </c>
      <c r="F132" s="171">
        <v>5</v>
      </c>
      <c r="H132" s="171" t="s">
        <v>589</v>
      </c>
      <c r="I132" s="171">
        <v>1</v>
      </c>
      <c r="J132" s="171">
        <v>2</v>
      </c>
      <c r="K132" s="171">
        <v>3</v>
      </c>
      <c r="L132" s="171">
        <v>4</v>
      </c>
      <c r="M132" s="171">
        <v>5</v>
      </c>
      <c r="O132" s="171" t="s">
        <v>590</v>
      </c>
      <c r="P132" s="171">
        <v>1</v>
      </c>
      <c r="Q132" s="171">
        <v>2</v>
      </c>
      <c r="R132" s="171">
        <v>3</v>
      </c>
      <c r="S132" s="171">
        <v>4</v>
      </c>
      <c r="T132" s="171">
        <v>5</v>
      </c>
      <c r="V132" s="171" t="s">
        <v>591</v>
      </c>
      <c r="W132" s="171">
        <v>1</v>
      </c>
      <c r="X132" s="171">
        <v>2</v>
      </c>
      <c r="Y132" s="171">
        <v>3</v>
      </c>
      <c r="Z132" s="171">
        <v>4</v>
      </c>
      <c r="AA132" s="171">
        <v>5</v>
      </c>
      <c r="AC132" s="171" t="s">
        <v>409</v>
      </c>
      <c r="AD132" s="171">
        <v>1</v>
      </c>
      <c r="AE132" s="171">
        <v>2</v>
      </c>
      <c r="AF132" s="171">
        <v>3</v>
      </c>
      <c r="AG132" s="171">
        <v>4</v>
      </c>
      <c r="AH132" s="171">
        <v>5</v>
      </c>
      <c r="AJ132" s="171" t="s">
        <v>417</v>
      </c>
      <c r="AK132" s="171">
        <v>1</v>
      </c>
      <c r="AL132" s="171">
        <v>2</v>
      </c>
      <c r="AM132" s="171">
        <v>3</v>
      </c>
      <c r="AN132" s="171">
        <v>4</v>
      </c>
      <c r="AO132" s="171">
        <v>5</v>
      </c>
    </row>
    <row r="133" spans="1:41" x14ac:dyDescent="0.2">
      <c r="A133" s="172" t="str">
        <f>INDEX(B133:F133,,$A$4) &amp; $G133</f>
        <v>BS-P: Persistent situation</v>
      </c>
      <c r="B133" s="267" t="str">
        <f>'StB-Werte'!B133</f>
        <v>LF 1</v>
      </c>
      <c r="C133" s="267" t="str">
        <f>'StB-Werte'!C133</f>
        <v>LF 1</v>
      </c>
      <c r="D133" s="267" t="str">
        <f>'StB-Werte'!D133</f>
        <v>BS-P</v>
      </c>
      <c r="E133" s="267" t="str">
        <f>'StB-Werte'!E133</f>
        <v>BS-P</v>
      </c>
      <c r="F133" s="256" t="str">
        <f>'StB-Werte'!F133</f>
        <v/>
      </c>
      <c r="G133" s="268" t="str">
        <f>'StB-Werte'!G133</f>
        <v>: Persistent situation</v>
      </c>
      <c r="H133" s="247" t="str">
        <f>INDEX(I133:M133,,$A$4)</f>
        <v>permanent</v>
      </c>
      <c r="I133" s="251" t="str">
        <f>'StB-Werte'!I133</f>
        <v/>
      </c>
      <c r="J133" s="251" t="str">
        <f>'StB-Werte'!J133</f>
        <v>permanent</v>
      </c>
      <c r="K133" s="251" t="str">
        <f>'StB-Werte'!K133</f>
        <v>permanent</v>
      </c>
      <c r="L133" s="251" t="str">
        <f>'StB-Werte'!L133</f>
        <v>permanent</v>
      </c>
      <c r="M133" s="251" t="str">
        <f>'StB-Werte'!M133</f>
        <v/>
      </c>
      <c r="O133" s="176">
        <f>INDEX(P133:T133,,$A$4)</f>
        <v>1.35</v>
      </c>
      <c r="P133" s="275" t="str">
        <f>'StB-Werte'!P133</f>
        <v/>
      </c>
      <c r="Q133" s="275">
        <f>'StB-Werte'!Q133</f>
        <v>1.35</v>
      </c>
      <c r="R133" s="275">
        <f>'StB-Werte'!R133</f>
        <v>1.35</v>
      </c>
      <c r="S133" s="275">
        <f>'StB-Werte'!S133</f>
        <v>1.35</v>
      </c>
      <c r="T133" s="275" t="str">
        <f>'StB-Werte'!T133</f>
        <v/>
      </c>
      <c r="V133" s="176">
        <f>INDEX(W133:AA133,,$A$4)</f>
        <v>1.5</v>
      </c>
      <c r="W133" s="275" t="str">
        <f>'StB-Werte'!W133</f>
        <v/>
      </c>
      <c r="X133" s="275">
        <f>'StB-Werte'!X133</f>
        <v>1.5</v>
      </c>
      <c r="Y133" s="275">
        <f>'StB-Werte'!Y133</f>
        <v>1.5</v>
      </c>
      <c r="Z133" s="275">
        <f>'StB-Werte'!Z133</f>
        <v>1.5</v>
      </c>
      <c r="AA133" s="275" t="str">
        <f>'StB-Werte'!AA133</f>
        <v/>
      </c>
      <c r="AC133" s="176">
        <f>INDEX(AD133:AH133,,$A$4)</f>
        <v>1.5</v>
      </c>
      <c r="AD133" s="275">
        <f>'StB-Werte'!AD133</f>
        <v>1.75</v>
      </c>
      <c r="AE133" s="275">
        <f>'StB-Werte'!AE133</f>
        <v>1.5</v>
      </c>
      <c r="AF133" s="275">
        <f>'StB-Werte'!AF133</f>
        <v>1.5</v>
      </c>
      <c r="AG133" s="275">
        <f>'StB-Werte'!AG133</f>
        <v>1.5</v>
      </c>
      <c r="AH133" s="275" t="str">
        <f>'StB-Werte'!AH133</f>
        <v/>
      </c>
      <c r="AJ133" s="176">
        <f>INDEX(AK133:AO133,,$A$4)</f>
        <v>1.1499999999999999</v>
      </c>
      <c r="AK133" s="275">
        <f>'StB-Werte'!AK133</f>
        <v>1.75</v>
      </c>
      <c r="AL133" s="275">
        <f>'StB-Werte'!AL133</f>
        <v>1.1499999999999999</v>
      </c>
      <c r="AM133" s="275">
        <f>'StB-Werte'!AM133</f>
        <v>1.1499999999999999</v>
      </c>
      <c r="AN133" s="275">
        <f>'StB-Werte'!AN133</f>
        <v>1.1499999999999999</v>
      </c>
      <c r="AO133" s="275" t="str">
        <f>'StB-Werte'!AO133</f>
        <v/>
      </c>
    </row>
    <row r="134" spans="1:41" x14ac:dyDescent="0.2">
      <c r="A134" s="173" t="str">
        <f>INDEX(B134:F134,,$A$4) &amp; $G134</f>
        <v>BS-T: Transient situation</v>
      </c>
      <c r="B134" s="269" t="str">
        <f>'StB-Werte'!B134</f>
        <v>LF 2</v>
      </c>
      <c r="C134" s="269" t="str">
        <f>'StB-Werte'!C134</f>
        <v>LF 2</v>
      </c>
      <c r="D134" s="269" t="str">
        <f>'StB-Werte'!D134</f>
        <v>BS-T</v>
      </c>
      <c r="E134" s="269" t="str">
        <f>'StB-Werte'!E134</f>
        <v>BS-T</v>
      </c>
      <c r="F134" s="257" t="str">
        <f>'StB-Werte'!F134</f>
        <v/>
      </c>
      <c r="G134" s="268" t="str">
        <f>'StB-Werte'!G134</f>
        <v>: Transient situation</v>
      </c>
      <c r="H134" s="150" t="str">
        <f>INDEX(I134:M134,,$A$4)</f>
        <v>transient</v>
      </c>
      <c r="I134" s="252" t="str">
        <f>'StB-Werte'!I134</f>
        <v/>
      </c>
      <c r="J134" s="252" t="str">
        <f>'StB-Werte'!J134</f>
        <v>transient</v>
      </c>
      <c r="K134" s="252" t="str">
        <f>'StB-Werte'!K134</f>
        <v>transient</v>
      </c>
      <c r="L134" s="252" t="str">
        <f>'StB-Werte'!L134</f>
        <v>transient</v>
      </c>
      <c r="M134" s="252" t="str">
        <f>'StB-Werte'!M134</f>
        <v/>
      </c>
      <c r="O134" s="177">
        <f>INDEX(P134:T134,,$A$4)</f>
        <v>1.2</v>
      </c>
      <c r="P134" s="276" t="str">
        <f>'StB-Werte'!P134</f>
        <v/>
      </c>
      <c r="Q134" s="276">
        <f>'StB-Werte'!Q134</f>
        <v>1.2</v>
      </c>
      <c r="R134" s="276">
        <f>'StB-Werte'!R134</f>
        <v>1.2</v>
      </c>
      <c r="S134" s="276">
        <f>'StB-Werte'!S134</f>
        <v>1.2</v>
      </c>
      <c r="T134" s="276" t="str">
        <f>'StB-Werte'!T134</f>
        <v/>
      </c>
      <c r="V134" s="177">
        <f>INDEX(W134:AA134,,$A$4)</f>
        <v>1.3</v>
      </c>
      <c r="W134" s="276" t="str">
        <f>'StB-Werte'!W134</f>
        <v/>
      </c>
      <c r="X134" s="276">
        <f>'StB-Werte'!X134</f>
        <v>1.3</v>
      </c>
      <c r="Y134" s="276">
        <f>'StB-Werte'!Y134</f>
        <v>1.3</v>
      </c>
      <c r="Z134" s="276">
        <f>'StB-Werte'!Z134</f>
        <v>1.3</v>
      </c>
      <c r="AA134" s="276" t="str">
        <f>'StB-Werte'!AA134</f>
        <v/>
      </c>
      <c r="AC134" s="177">
        <f>INDEX(AD134:AH134,,$A$4)</f>
        <v>1.5</v>
      </c>
      <c r="AD134" s="276">
        <f>'StB-Werte'!AD134</f>
        <v>1.75</v>
      </c>
      <c r="AE134" s="276">
        <f>'StB-Werte'!AE134</f>
        <v>1.5</v>
      </c>
      <c r="AF134" s="276">
        <f>'StB-Werte'!AF134</f>
        <v>1.5</v>
      </c>
      <c r="AG134" s="276">
        <f>'StB-Werte'!AG134</f>
        <v>1.5</v>
      </c>
      <c r="AH134" s="276" t="str">
        <f>'StB-Werte'!AH134</f>
        <v/>
      </c>
      <c r="AJ134" s="177">
        <f>INDEX(AK134:AO134,,$A$4)</f>
        <v>1.1499999999999999</v>
      </c>
      <c r="AK134" s="276">
        <f>'StB-Werte'!AK134</f>
        <v>1.75</v>
      </c>
      <c r="AL134" s="276">
        <f>'StB-Werte'!AL134</f>
        <v>1.1499999999999999</v>
      </c>
      <c r="AM134" s="276">
        <f>'StB-Werte'!AM134</f>
        <v>1.1499999999999999</v>
      </c>
      <c r="AN134" s="276">
        <f>'StB-Werte'!AN134</f>
        <v>1.1499999999999999</v>
      </c>
      <c r="AO134" s="276" t="str">
        <f>'StB-Werte'!AO134</f>
        <v/>
      </c>
    </row>
    <row r="135" spans="1:41" x14ac:dyDescent="0.2">
      <c r="A135" s="173" t="str">
        <f>INDEX(B135:F135,,$A$4) &amp; $G135</f>
        <v>BS-A: Accidential situation</v>
      </c>
      <c r="B135" s="269" t="str">
        <f>'StB-Werte'!B135</f>
        <v>LF 3</v>
      </c>
      <c r="C135" s="269" t="str">
        <f>'StB-Werte'!C135</f>
        <v>LF 3</v>
      </c>
      <c r="D135" s="269" t="str">
        <f>'StB-Werte'!D135</f>
        <v>BS-A</v>
      </c>
      <c r="E135" s="269" t="str">
        <f>'StB-Werte'!E135</f>
        <v>BS-A</v>
      </c>
      <c r="F135" s="257" t="str">
        <f>'StB-Werte'!F135</f>
        <v/>
      </c>
      <c r="G135" s="268" t="str">
        <f>'StB-Werte'!G135</f>
        <v>: Accidential situation</v>
      </c>
      <c r="H135" s="150" t="str">
        <f>INDEX(I135:M135,,$A$4)</f>
        <v>γ_c   [1]</v>
      </c>
      <c r="I135" s="252" t="str">
        <f>'StB-Werte'!I135</f>
        <v>γ   [1]</v>
      </c>
      <c r="J135" s="252" t="str">
        <f>'StB-Werte'!J135</f>
        <v>γ_c   [1]</v>
      </c>
      <c r="K135" s="252" t="str">
        <f>'StB-Werte'!K135</f>
        <v>γ_c   [1]</v>
      </c>
      <c r="L135" s="252" t="str">
        <f>'StB-Werte'!L135</f>
        <v>γ_c   [1]</v>
      </c>
      <c r="M135" s="252" t="str">
        <f>'StB-Werte'!M135</f>
        <v/>
      </c>
      <c r="O135" s="177">
        <f>INDEX(P135:T135,,$A$4)</f>
        <v>1.1000000000000001</v>
      </c>
      <c r="P135" s="276" t="str">
        <f>'StB-Werte'!P135</f>
        <v/>
      </c>
      <c r="Q135" s="276">
        <f>'StB-Werte'!Q135</f>
        <v>1.1000000000000001</v>
      </c>
      <c r="R135" s="276">
        <f>'StB-Werte'!R135</f>
        <v>1.1000000000000001</v>
      </c>
      <c r="S135" s="276">
        <f>'StB-Werte'!S135</f>
        <v>1.1000000000000001</v>
      </c>
      <c r="T135" s="276" t="str">
        <f>'StB-Werte'!T135</f>
        <v/>
      </c>
      <c r="V135" s="177">
        <f>INDEX(W135:AA135,,$A$4)</f>
        <v>1.1000000000000001</v>
      </c>
      <c r="W135" s="276" t="str">
        <f>'StB-Werte'!W135</f>
        <v/>
      </c>
      <c r="X135" s="276">
        <f>'StB-Werte'!X135</f>
        <v>1.1000000000000001</v>
      </c>
      <c r="Y135" s="276">
        <f>'StB-Werte'!Y135</f>
        <v>1.1000000000000001</v>
      </c>
      <c r="Z135" s="276">
        <f>'StB-Werte'!Z135</f>
        <v>1.1000000000000001</v>
      </c>
      <c r="AA135" s="276" t="str">
        <f>'StB-Werte'!AA135</f>
        <v/>
      </c>
      <c r="AC135" s="177">
        <f>INDEX(AD135:AH135,,$A$4)</f>
        <v>1.3</v>
      </c>
      <c r="AD135" s="276">
        <f>'StB-Werte'!AD135</f>
        <v>1.3</v>
      </c>
      <c r="AE135" s="276">
        <f>'StB-Werte'!AE135</f>
        <v>1.3</v>
      </c>
      <c r="AF135" s="276">
        <f>'StB-Werte'!AF135</f>
        <v>1.2</v>
      </c>
      <c r="AG135" s="276">
        <f>'StB-Werte'!AG135</f>
        <v>1.3</v>
      </c>
      <c r="AH135" s="276" t="str">
        <f>'StB-Werte'!AH135</f>
        <v/>
      </c>
      <c r="AJ135" s="177">
        <f>INDEX(AK135:AO135,,$A$4)</f>
        <v>1</v>
      </c>
      <c r="AK135" s="276">
        <f>'StB-Werte'!AK135</f>
        <v>1.3</v>
      </c>
      <c r="AL135" s="276">
        <f>'StB-Werte'!AL135</f>
        <v>1</v>
      </c>
      <c r="AM135" s="276">
        <f>'StB-Werte'!AM135</f>
        <v>1</v>
      </c>
      <c r="AN135" s="276">
        <f>'StB-Werte'!AN135</f>
        <v>1</v>
      </c>
      <c r="AO135" s="276" t="str">
        <f>'StB-Werte'!AO135</f>
        <v/>
      </c>
    </row>
    <row r="136" spans="1:41" x14ac:dyDescent="0.2">
      <c r="A136" s="174" t="str">
        <f>INDEX(B136:F136,,$A$4) &amp; $G136</f>
        <v>BS-E: Seismic action</v>
      </c>
      <c r="B136" s="270" t="str">
        <f>'StB-Werte'!B136</f>
        <v>LF 3</v>
      </c>
      <c r="C136" s="270" t="str">
        <f>'StB-Werte'!C136</f>
        <v>LF 3</v>
      </c>
      <c r="D136" s="270" t="str">
        <f>'StB-Werte'!D136</f>
        <v>BS-E</v>
      </c>
      <c r="E136" s="270" t="str">
        <f>'StB-Werte'!E136</f>
        <v>BS-E</v>
      </c>
      <c r="F136" s="260" t="str">
        <f>'StB-Werte'!F136</f>
        <v/>
      </c>
      <c r="G136" s="268" t="str">
        <f>'StB-Werte'!G136</f>
        <v>: Seismic action</v>
      </c>
      <c r="H136" s="105" t="str">
        <f>INDEX(I136:M136,,$A$4)</f>
        <v>γ_s   [1]</v>
      </c>
      <c r="I136" s="253" t="str">
        <f>'StB-Werte'!I136</f>
        <v/>
      </c>
      <c r="J136" s="253" t="str">
        <f>'StB-Werte'!J136</f>
        <v>γ_s   [1]</v>
      </c>
      <c r="K136" s="253" t="str">
        <f>'StB-Werte'!K136</f>
        <v>γ_s   [1]</v>
      </c>
      <c r="L136" s="253" t="str">
        <f>'StB-Werte'!L136</f>
        <v>γ_s   [1]</v>
      </c>
      <c r="M136" s="253" t="str">
        <f>'StB-Werte'!M136</f>
        <v/>
      </c>
      <c r="O136" s="178">
        <f>INDEX(P136:T136,,$A$4)</f>
        <v>1</v>
      </c>
      <c r="P136" s="277" t="str">
        <f>'StB-Werte'!P136</f>
        <v/>
      </c>
      <c r="Q136" s="277">
        <f>'StB-Werte'!Q136</f>
        <v>1.1000000000000001</v>
      </c>
      <c r="R136" s="277">
        <f>'StB-Werte'!R136</f>
        <v>1</v>
      </c>
      <c r="S136" s="277">
        <f>'StB-Werte'!S136</f>
        <v>1</v>
      </c>
      <c r="T136" s="277" t="str">
        <f>'StB-Werte'!T136</f>
        <v/>
      </c>
      <c r="V136" s="178">
        <f>INDEX(W136:AA136,,$A$4)</f>
        <v>1</v>
      </c>
      <c r="W136" s="277" t="str">
        <f>'StB-Werte'!W136</f>
        <v/>
      </c>
      <c r="X136" s="277">
        <f>'StB-Werte'!X136</f>
        <v>1.1000000000000001</v>
      </c>
      <c r="Y136" s="277">
        <f>'StB-Werte'!Y136</f>
        <v>1</v>
      </c>
      <c r="Z136" s="277">
        <f>'StB-Werte'!Z136</f>
        <v>1</v>
      </c>
      <c r="AA136" s="277" t="str">
        <f>'StB-Werte'!AA136</f>
        <v/>
      </c>
      <c r="AC136" s="178">
        <f>INDEX(AD136:AH136,,$A$4)</f>
        <v>1.3</v>
      </c>
      <c r="AD136" s="277">
        <f>'StB-Werte'!AD136</f>
        <v>1.3</v>
      </c>
      <c r="AE136" s="277">
        <f>'StB-Werte'!AE136</f>
        <v>1.3</v>
      </c>
      <c r="AF136" s="277">
        <f>'StB-Werte'!AF136</f>
        <v>1.2</v>
      </c>
      <c r="AG136" s="277">
        <f>'StB-Werte'!AG136</f>
        <v>1.3</v>
      </c>
      <c r="AH136" s="277" t="str">
        <f>'StB-Werte'!AH136</f>
        <v/>
      </c>
      <c r="AJ136" s="178">
        <f>INDEX(AK136:AO136,,$A$4)</f>
        <v>1</v>
      </c>
      <c r="AK136" s="277">
        <f>'StB-Werte'!AK136</f>
        <v>1.3</v>
      </c>
      <c r="AL136" s="277">
        <f>'StB-Werte'!AL136</f>
        <v>1</v>
      </c>
      <c r="AM136" s="277">
        <f>'StB-Werte'!AM136</f>
        <v>1</v>
      </c>
      <c r="AN136" s="277">
        <f>'StB-Werte'!AN136</f>
        <v>1</v>
      </c>
      <c r="AO136" s="277" t="str">
        <f>'StB-Werte'!AO136</f>
        <v/>
      </c>
    </row>
    <row r="138" spans="1:41" x14ac:dyDescent="0.2">
      <c r="A138" s="213" t="s">
        <v>623</v>
      </c>
      <c r="C138" s="213" t="s">
        <v>689</v>
      </c>
      <c r="D138" s="213" t="s">
        <v>622</v>
      </c>
      <c r="E138" s="213" t="s">
        <v>623</v>
      </c>
      <c r="F138" s="213" t="s">
        <v>621</v>
      </c>
      <c r="G138" s="228">
        <v>0.4</v>
      </c>
      <c r="H138" s="228">
        <v>0.3</v>
      </c>
      <c r="I138" s="228">
        <v>0.2</v>
      </c>
      <c r="K138" s="213">
        <v>3</v>
      </c>
      <c r="L138" s="213" t="s">
        <v>622</v>
      </c>
      <c r="M138" s="213" t="s">
        <v>623</v>
      </c>
      <c r="N138" s="213" t="s">
        <v>621</v>
      </c>
      <c r="O138" s="228">
        <v>0.4</v>
      </c>
      <c r="P138" s="228">
        <v>0.3</v>
      </c>
      <c r="Q138" s="228">
        <v>0.2</v>
      </c>
      <c r="S138" s="213">
        <v>4</v>
      </c>
      <c r="T138" s="213" t="s">
        <v>622</v>
      </c>
      <c r="U138" s="213" t="s">
        <v>623</v>
      </c>
      <c r="V138" s="213" t="s">
        <v>621</v>
      </c>
      <c r="W138" s="228">
        <v>0.4</v>
      </c>
      <c r="X138" s="228">
        <v>0.3</v>
      </c>
      <c r="Y138" s="228">
        <v>0.2</v>
      </c>
    </row>
    <row r="139" spans="1:41" x14ac:dyDescent="0.2">
      <c r="A139" s="406">
        <f>IF(OR($A$4=1,$A$4=2),C148,IF($A$4=3,K139,S139))</f>
        <v>224</v>
      </c>
      <c r="D139" s="249">
        <f>$G$20</f>
        <v>28</v>
      </c>
      <c r="E139" s="271">
        <f>'StB-Werte'!E139</f>
        <v>160</v>
      </c>
      <c r="F139" s="247">
        <f>INDEX(G139:I139,,$G$17-1)</f>
        <v>56</v>
      </c>
      <c r="G139" s="251">
        <f>'StB-Werte'!G139</f>
        <v>56</v>
      </c>
      <c r="H139" s="251">
        <f>'StB-Werte'!H139</f>
        <v>42</v>
      </c>
      <c r="I139" s="251">
        <f>'StB-Werte'!I139</f>
        <v>28</v>
      </c>
      <c r="K139" s="408">
        <f>ROUND(fInterSig(M139:M146,N139:N146,L139,8),0)</f>
        <v>213</v>
      </c>
      <c r="L139" s="249">
        <f>$G$20</f>
        <v>28</v>
      </c>
      <c r="M139" s="271">
        <f>'StB-Werte'!M139</f>
        <v>160</v>
      </c>
      <c r="N139" s="247">
        <f>INDEX(O139:Q139,,$G$17-1)</f>
        <v>40</v>
      </c>
      <c r="O139" s="251">
        <f>'StB-Werte'!O139</f>
        <v>40</v>
      </c>
      <c r="P139" s="251">
        <f>'StB-Werte'!P139</f>
        <v>32</v>
      </c>
      <c r="Q139" s="251">
        <f>'StB-Werte'!Q139</f>
        <v>25</v>
      </c>
      <c r="S139" s="408">
        <f>ROUND(fInterSig(U139:U151,V139:V151,T139,13),0)</f>
        <v>224</v>
      </c>
      <c r="T139" s="249">
        <f>$G$20</f>
        <v>28</v>
      </c>
      <c r="U139" s="271">
        <f>'StB-Werte'!U139</f>
        <v>160</v>
      </c>
      <c r="V139" s="247">
        <f t="shared" ref="V139:V151" si="12">INDEX(W139:Y139,,$G$17-1)</f>
        <v>54</v>
      </c>
      <c r="W139" s="251">
        <f>'StB-Werte'!W139</f>
        <v>54</v>
      </c>
      <c r="X139" s="251">
        <f>'StB-Werte'!X139</f>
        <v>41</v>
      </c>
      <c r="Y139" s="251">
        <f>'StB-Werte'!Y139</f>
        <v>27</v>
      </c>
    </row>
    <row r="140" spans="1:41" x14ac:dyDescent="0.2">
      <c r="E140" s="272">
        <f>'StB-Werte'!E140</f>
        <v>200</v>
      </c>
      <c r="F140" s="150">
        <f t="shared" ref="F140:F146" si="13">INDEX(G140:I140,,$G$17-1)</f>
        <v>36</v>
      </c>
      <c r="G140" s="252">
        <f>'StB-Werte'!G140</f>
        <v>36</v>
      </c>
      <c r="H140" s="252">
        <f>'StB-Werte'!H140</f>
        <v>27</v>
      </c>
      <c r="I140" s="252">
        <f>'StB-Werte'!I140</f>
        <v>18</v>
      </c>
      <c r="M140" s="272">
        <f>'StB-Werte'!M140</f>
        <v>200</v>
      </c>
      <c r="N140" s="150">
        <f t="shared" ref="N140:N146" si="14">INDEX(O140:Q140,,$G$17-1)</f>
        <v>32</v>
      </c>
      <c r="O140" s="252">
        <f>'StB-Werte'!O140</f>
        <v>32</v>
      </c>
      <c r="P140" s="252">
        <f>'StB-Werte'!P140</f>
        <v>25</v>
      </c>
      <c r="Q140" s="252">
        <f>'StB-Werte'!Q140</f>
        <v>16</v>
      </c>
      <c r="U140" s="272">
        <f>'StB-Werte'!U140</f>
        <v>180</v>
      </c>
      <c r="V140" s="150">
        <f t="shared" si="12"/>
        <v>43</v>
      </c>
      <c r="W140" s="252">
        <f>'StB-Werte'!W140</f>
        <v>43</v>
      </c>
      <c r="X140" s="252">
        <f>'StB-Werte'!X140</f>
        <v>32</v>
      </c>
      <c r="Y140" s="252">
        <f>'StB-Werte'!Y140</f>
        <v>21</v>
      </c>
    </row>
    <row r="141" spans="1:41" x14ac:dyDescent="0.2">
      <c r="E141" s="272">
        <f>'StB-Werte'!E141</f>
        <v>240</v>
      </c>
      <c r="F141" s="150">
        <f t="shared" si="13"/>
        <v>25</v>
      </c>
      <c r="G141" s="252">
        <f>'StB-Werte'!G141</f>
        <v>25</v>
      </c>
      <c r="H141" s="252">
        <f>'StB-Werte'!H141</f>
        <v>19</v>
      </c>
      <c r="I141" s="252">
        <f>'StB-Werte'!I141</f>
        <v>13</v>
      </c>
      <c r="M141" s="272">
        <f>'StB-Werte'!M141</f>
        <v>240</v>
      </c>
      <c r="N141" s="150">
        <f t="shared" si="14"/>
        <v>20</v>
      </c>
      <c r="O141" s="252">
        <f>'StB-Werte'!O141</f>
        <v>20</v>
      </c>
      <c r="P141" s="252">
        <f>'StB-Werte'!P141</f>
        <v>16</v>
      </c>
      <c r="Q141" s="252">
        <f>'StB-Werte'!Q141</f>
        <v>12</v>
      </c>
      <c r="U141" s="272">
        <f>'StB-Werte'!U141</f>
        <v>200</v>
      </c>
      <c r="V141" s="150">
        <f t="shared" si="12"/>
        <v>35</v>
      </c>
      <c r="W141" s="252">
        <f>'StB-Werte'!W141</f>
        <v>35</v>
      </c>
      <c r="X141" s="252">
        <f>'StB-Werte'!X141</f>
        <v>26</v>
      </c>
      <c r="Y141" s="252">
        <f>'StB-Werte'!Y141</f>
        <v>17</v>
      </c>
    </row>
    <row r="142" spans="1:41" x14ac:dyDescent="0.2">
      <c r="E142" s="272">
        <f>'StB-Werte'!E142</f>
        <v>280</v>
      </c>
      <c r="F142" s="150">
        <f t="shared" si="13"/>
        <v>18</v>
      </c>
      <c r="G142" s="252">
        <f>'StB-Werte'!G142</f>
        <v>18</v>
      </c>
      <c r="H142" s="252">
        <f>'StB-Werte'!H142</f>
        <v>14</v>
      </c>
      <c r="I142" s="252">
        <f>'StB-Werte'!I142</f>
        <v>9</v>
      </c>
      <c r="M142" s="272">
        <f>'StB-Werte'!M142</f>
        <v>280</v>
      </c>
      <c r="N142" s="150">
        <f t="shared" si="14"/>
        <v>16</v>
      </c>
      <c r="O142" s="252">
        <f>'StB-Werte'!O142</f>
        <v>16</v>
      </c>
      <c r="P142" s="252">
        <f>'StB-Werte'!P142</f>
        <v>12</v>
      </c>
      <c r="Q142" s="252">
        <f>'StB-Werte'!Q142</f>
        <v>8</v>
      </c>
      <c r="U142" s="272">
        <f>'StB-Werte'!U142</f>
        <v>220</v>
      </c>
      <c r="V142" s="150">
        <f t="shared" si="12"/>
        <v>29</v>
      </c>
      <c r="W142" s="252">
        <f>'StB-Werte'!W142</f>
        <v>29</v>
      </c>
      <c r="X142" s="252">
        <f>'StB-Werte'!X142</f>
        <v>22</v>
      </c>
      <c r="Y142" s="252">
        <f>'StB-Werte'!Y142</f>
        <v>14</v>
      </c>
    </row>
    <row r="143" spans="1:41" x14ac:dyDescent="0.2">
      <c r="E143" s="272">
        <f>'StB-Werte'!E143</f>
        <v>320</v>
      </c>
      <c r="F143" s="150">
        <f t="shared" si="13"/>
        <v>14</v>
      </c>
      <c r="G143" s="252">
        <f>'StB-Werte'!G143</f>
        <v>14</v>
      </c>
      <c r="H143" s="252">
        <f>'StB-Werte'!H143</f>
        <v>11</v>
      </c>
      <c r="I143" s="252">
        <f>'StB-Werte'!I143</f>
        <v>7</v>
      </c>
      <c r="M143" s="272">
        <f>'StB-Werte'!M143</f>
        <v>320</v>
      </c>
      <c r="N143" s="150">
        <f t="shared" si="14"/>
        <v>12</v>
      </c>
      <c r="O143" s="252">
        <f>'StB-Werte'!O143</f>
        <v>12</v>
      </c>
      <c r="P143" s="252">
        <f>'StB-Werte'!P143</f>
        <v>10</v>
      </c>
      <c r="Q143" s="252">
        <f>'StB-Werte'!Q143</f>
        <v>6</v>
      </c>
      <c r="U143" s="272">
        <f>'StB-Werte'!U143</f>
        <v>240</v>
      </c>
      <c r="V143" s="150">
        <f t="shared" si="12"/>
        <v>24</v>
      </c>
      <c r="W143" s="252">
        <f>'StB-Werte'!W143</f>
        <v>24</v>
      </c>
      <c r="X143" s="252">
        <f>'StB-Werte'!X143</f>
        <v>18</v>
      </c>
      <c r="Y143" s="252">
        <f>'StB-Werte'!Y143</f>
        <v>12</v>
      </c>
    </row>
    <row r="144" spans="1:41" x14ac:dyDescent="0.2">
      <c r="E144" s="272">
        <f>'StB-Werte'!E144</f>
        <v>360</v>
      </c>
      <c r="F144" s="150">
        <f t="shared" si="13"/>
        <v>11</v>
      </c>
      <c r="G144" s="252">
        <f>'StB-Werte'!G144</f>
        <v>11</v>
      </c>
      <c r="H144" s="252">
        <f>'StB-Werte'!H144</f>
        <v>8</v>
      </c>
      <c r="I144" s="252">
        <f>'StB-Werte'!I144</f>
        <v>6</v>
      </c>
      <c r="M144" s="272">
        <f>'StB-Werte'!M144</f>
        <v>360</v>
      </c>
      <c r="N144" s="150">
        <f t="shared" si="14"/>
        <v>10</v>
      </c>
      <c r="O144" s="252">
        <f>'StB-Werte'!O144</f>
        <v>10</v>
      </c>
      <c r="P144" s="252">
        <f>'StB-Werte'!P144</f>
        <v>8</v>
      </c>
      <c r="Q144" s="252">
        <f>'StB-Werte'!Q144</f>
        <v>5</v>
      </c>
      <c r="U144" s="272">
        <f>'StB-Werte'!U144</f>
        <v>260</v>
      </c>
      <c r="V144" s="150">
        <f t="shared" si="12"/>
        <v>21</v>
      </c>
      <c r="W144" s="252">
        <f>'StB-Werte'!W144</f>
        <v>21</v>
      </c>
      <c r="X144" s="252">
        <f>'StB-Werte'!X144</f>
        <v>15</v>
      </c>
      <c r="Y144" s="252">
        <f>'StB-Werte'!Y144</f>
        <v>10</v>
      </c>
    </row>
    <row r="145" spans="1:25" x14ac:dyDescent="0.2">
      <c r="E145" s="252">
        <f>'StB-Werte'!E145</f>
        <v>400</v>
      </c>
      <c r="F145" s="150">
        <f t="shared" si="13"/>
        <v>9</v>
      </c>
      <c r="G145" s="252">
        <f>'StB-Werte'!G145</f>
        <v>9</v>
      </c>
      <c r="H145" s="252">
        <f>'StB-Werte'!H145</f>
        <v>7</v>
      </c>
      <c r="I145" s="252">
        <f>'StB-Werte'!I145</f>
        <v>5</v>
      </c>
      <c r="M145" s="252">
        <f>'StB-Werte'!M145</f>
        <v>400</v>
      </c>
      <c r="N145" s="150">
        <f t="shared" si="14"/>
        <v>8</v>
      </c>
      <c r="O145" s="252">
        <f>'StB-Werte'!O145</f>
        <v>8</v>
      </c>
      <c r="P145" s="252">
        <f>'StB-Werte'!P145</f>
        <v>6</v>
      </c>
      <c r="Q145" s="252">
        <f>'StB-Werte'!Q145</f>
        <v>4</v>
      </c>
      <c r="U145" s="252">
        <f>'StB-Werte'!U145</f>
        <v>280</v>
      </c>
      <c r="V145" s="150">
        <f t="shared" si="12"/>
        <v>18</v>
      </c>
      <c r="W145" s="252">
        <f>'StB-Werte'!W145</f>
        <v>18</v>
      </c>
      <c r="X145" s="252">
        <f>'StB-Werte'!X145</f>
        <v>13</v>
      </c>
      <c r="Y145" s="252">
        <f>'StB-Werte'!Y145</f>
        <v>9</v>
      </c>
    </row>
    <row r="146" spans="1:25" x14ac:dyDescent="0.2">
      <c r="E146" s="253">
        <f>'StB-Werte'!E146</f>
        <v>450</v>
      </c>
      <c r="F146" s="105">
        <f t="shared" si="13"/>
        <v>7</v>
      </c>
      <c r="G146" s="253">
        <f>'StB-Werte'!G146</f>
        <v>7</v>
      </c>
      <c r="H146" s="253">
        <f>'StB-Werte'!H146</f>
        <v>5</v>
      </c>
      <c r="I146" s="253">
        <f>'StB-Werte'!I146</f>
        <v>4</v>
      </c>
      <c r="M146" s="253">
        <f>'StB-Werte'!M146</f>
        <v>450</v>
      </c>
      <c r="N146" s="105">
        <f t="shared" si="14"/>
        <v>6</v>
      </c>
      <c r="O146" s="253">
        <f>'StB-Werte'!O146</f>
        <v>6</v>
      </c>
      <c r="P146" s="253">
        <f>'StB-Werte'!P146</f>
        <v>5</v>
      </c>
      <c r="Q146" s="253" t="str">
        <f>'StB-Werte'!Q146</f>
        <v/>
      </c>
      <c r="U146" s="252">
        <f>'StB-Werte'!U146</f>
        <v>300</v>
      </c>
      <c r="V146" s="150">
        <f t="shared" si="12"/>
        <v>15</v>
      </c>
      <c r="W146" s="252">
        <f>'StB-Werte'!W146</f>
        <v>15</v>
      </c>
      <c r="X146" s="252">
        <f>'StB-Werte'!X146</f>
        <v>12</v>
      </c>
      <c r="Y146" s="252">
        <f>'StB-Werte'!Y146</f>
        <v>8</v>
      </c>
    </row>
    <row r="147" spans="1:25" x14ac:dyDescent="0.2">
      <c r="U147" s="252">
        <f>'StB-Werte'!U147</f>
        <v>320</v>
      </c>
      <c r="V147" s="150">
        <f t="shared" si="12"/>
        <v>14</v>
      </c>
      <c r="W147" s="252">
        <f>'StB-Werte'!W147</f>
        <v>14</v>
      </c>
      <c r="X147" s="252">
        <f>'StB-Werte'!X147</f>
        <v>10</v>
      </c>
      <c r="Y147" s="252">
        <f>'StB-Werte'!Y147</f>
        <v>7</v>
      </c>
    </row>
    <row r="148" spans="1:25" x14ac:dyDescent="0.2">
      <c r="C148" s="408">
        <f>ROUND(fInterSig(E139:E146,F139:F146,D139,8),0)</f>
        <v>229</v>
      </c>
      <c r="U148" s="252">
        <f>'StB-Werte'!U148</f>
        <v>340</v>
      </c>
      <c r="V148" s="150">
        <f t="shared" si="12"/>
        <v>12</v>
      </c>
      <c r="W148" s="252">
        <f>'StB-Werte'!W148</f>
        <v>12</v>
      </c>
      <c r="X148" s="252">
        <f>'StB-Werte'!X148</f>
        <v>9</v>
      </c>
      <c r="Y148" s="252">
        <f>'StB-Werte'!Y148</f>
        <v>6</v>
      </c>
    </row>
    <row r="149" spans="1:25" x14ac:dyDescent="0.2">
      <c r="U149" s="252">
        <f>'StB-Werte'!U149</f>
        <v>360</v>
      </c>
      <c r="V149" s="150">
        <f t="shared" si="12"/>
        <v>11</v>
      </c>
      <c r="W149" s="252">
        <f>'StB-Werte'!W149</f>
        <v>11</v>
      </c>
      <c r="X149" s="252">
        <f>'StB-Werte'!X149</f>
        <v>8</v>
      </c>
      <c r="Y149" s="252">
        <f>'StB-Werte'!Y149</f>
        <v>5</v>
      </c>
    </row>
    <row r="150" spans="1:25" x14ac:dyDescent="0.2">
      <c r="U150" s="252">
        <f>'StB-Werte'!U150</f>
        <v>400</v>
      </c>
      <c r="V150" s="150">
        <f t="shared" si="12"/>
        <v>9</v>
      </c>
      <c r="W150" s="252">
        <f>'StB-Werte'!W150</f>
        <v>9</v>
      </c>
      <c r="X150" s="252">
        <f>'StB-Werte'!X150</f>
        <v>7</v>
      </c>
      <c r="Y150" s="252">
        <f>'StB-Werte'!Y150</f>
        <v>4</v>
      </c>
    </row>
    <row r="151" spans="1:25" x14ac:dyDescent="0.2">
      <c r="U151" s="253">
        <f>'StB-Werte'!U151</f>
        <v>450</v>
      </c>
      <c r="V151" s="105">
        <f t="shared" si="12"/>
        <v>7</v>
      </c>
      <c r="W151" s="253">
        <f>'StB-Werte'!W151</f>
        <v>7</v>
      </c>
      <c r="X151" s="253">
        <f>'StB-Werte'!X151</f>
        <v>5</v>
      </c>
      <c r="Y151" s="253">
        <f>'StB-Werte'!Y151</f>
        <v>3</v>
      </c>
    </row>
    <row r="152" spans="1:25" x14ac:dyDescent="0.2">
      <c r="I152" s="404" t="s">
        <v>721</v>
      </c>
    </row>
    <row r="153" spans="1:25" x14ac:dyDescent="0.2">
      <c r="A153" s="213" t="s">
        <v>623</v>
      </c>
      <c r="B153" s="213" t="s">
        <v>622</v>
      </c>
      <c r="C153" s="213" t="s">
        <v>623</v>
      </c>
      <c r="D153" s="213" t="s">
        <v>622</v>
      </c>
      <c r="E153" s="228">
        <v>0.4</v>
      </c>
      <c r="F153" s="228">
        <v>0.3</v>
      </c>
      <c r="G153" s="228">
        <v>0.2</v>
      </c>
    </row>
    <row r="154" spans="1:25" x14ac:dyDescent="0.2">
      <c r="A154" s="406">
        <f>ROUND(fInterSig(C154:C159,D154:D159,B154,6),0)</f>
        <v>280</v>
      </c>
      <c r="B154" s="248">
        <f>$H$20</f>
        <v>200</v>
      </c>
      <c r="C154" s="271">
        <f>'StB-Werte'!C154</f>
        <v>160</v>
      </c>
      <c r="D154" s="247" t="str">
        <f t="shared" ref="D154:D159" si="15">INDEX(E154:G154,,$G$17-1)</f>
        <v/>
      </c>
      <c r="E154" s="251" t="str">
        <f>'StB-Werte'!E154</f>
        <v/>
      </c>
      <c r="F154" s="251">
        <f>'StB-Werte'!F154</f>
        <v>300</v>
      </c>
      <c r="G154" s="251">
        <f>'StB-Werte'!G154</f>
        <v>200</v>
      </c>
    </row>
    <row r="155" spans="1:25" ht="120" x14ac:dyDescent="0.2">
      <c r="C155" s="272">
        <f>'StB-Werte'!C155</f>
        <v>200</v>
      </c>
      <c r="D155" s="150">
        <f t="shared" si="15"/>
        <v>300</v>
      </c>
      <c r="E155" s="252">
        <f>'StB-Werte'!E155</f>
        <v>300</v>
      </c>
      <c r="F155" s="252">
        <f>'StB-Werte'!F155</f>
        <v>250</v>
      </c>
      <c r="G155" s="252">
        <f>'StB-Werte'!G155</f>
        <v>150</v>
      </c>
      <c r="I155" s="149" t="s">
        <v>724</v>
      </c>
      <c r="J155" s="407" t="s">
        <v>722</v>
      </c>
    </row>
    <row r="156" spans="1:25" x14ac:dyDescent="0.2">
      <c r="C156" s="272">
        <f>'StB-Werte'!C156</f>
        <v>240</v>
      </c>
      <c r="D156" s="150">
        <f t="shared" si="15"/>
        <v>250</v>
      </c>
      <c r="E156" s="252">
        <f>'StB-Werte'!E156</f>
        <v>250</v>
      </c>
      <c r="F156" s="252">
        <f>'StB-Werte'!F156</f>
        <v>200</v>
      </c>
      <c r="G156" s="252">
        <f>'StB-Werte'!G156</f>
        <v>100</v>
      </c>
    </row>
    <row r="157" spans="1:25" x14ac:dyDescent="0.2">
      <c r="C157" s="272">
        <f>'StB-Werte'!C157</f>
        <v>280</v>
      </c>
      <c r="D157" s="150">
        <f t="shared" si="15"/>
        <v>200</v>
      </c>
      <c r="E157" s="252">
        <f>'StB-Werte'!E157</f>
        <v>200</v>
      </c>
      <c r="F157" s="252">
        <f>'StB-Werte'!F157</f>
        <v>150</v>
      </c>
      <c r="G157" s="252">
        <f>'StB-Werte'!G157</f>
        <v>50</v>
      </c>
    </row>
    <row r="158" spans="1:25" x14ac:dyDescent="0.2">
      <c r="C158" s="272">
        <f>'StB-Werte'!C158</f>
        <v>320</v>
      </c>
      <c r="D158" s="150">
        <f t="shared" si="15"/>
        <v>150</v>
      </c>
      <c r="E158" s="252">
        <f>'StB-Werte'!E158</f>
        <v>150</v>
      </c>
      <c r="F158" s="252">
        <f>'StB-Werte'!F158</f>
        <v>100</v>
      </c>
      <c r="G158" s="252" t="str">
        <f>'StB-Werte'!G158</f>
        <v/>
      </c>
    </row>
    <row r="159" spans="1:25" x14ac:dyDescent="0.2">
      <c r="C159" s="273">
        <f>'StB-Werte'!C159</f>
        <v>360</v>
      </c>
      <c r="D159" s="105">
        <f t="shared" si="15"/>
        <v>100</v>
      </c>
      <c r="E159" s="253">
        <f>'StB-Werte'!E159</f>
        <v>100</v>
      </c>
      <c r="F159" s="253">
        <f>'StB-Werte'!F159</f>
        <v>50</v>
      </c>
      <c r="G159" s="253" t="str">
        <f>'StB-Werte'!G159</f>
        <v/>
      </c>
    </row>
    <row r="160" spans="1:25" x14ac:dyDescent="0.2">
      <c r="I160" s="149" t="s">
        <v>723</v>
      </c>
      <c r="J160" s="404" t="s">
        <v>725</v>
      </c>
    </row>
    <row r="161" spans="1:10" x14ac:dyDescent="0.2">
      <c r="A161" s="149" t="s">
        <v>592</v>
      </c>
      <c r="J161" s="404" t="s">
        <v>726</v>
      </c>
    </row>
    <row r="162" spans="1:10" x14ac:dyDescent="0.2">
      <c r="A162" s="477" t="str">
        <f>B11</f>
        <v>Concrete</v>
      </c>
      <c r="B162" s="477"/>
      <c r="C162" s="477" t="str">
        <f>B17</f>
        <v>Reinforcement</v>
      </c>
      <c r="D162" s="477"/>
    </row>
    <row r="163" spans="1:10" x14ac:dyDescent="0.2">
      <c r="A163" s="175">
        <v>0</v>
      </c>
      <c r="B163" s="175">
        <f t="shared" ref="B163:B188" si="16">B$189*(1-(($C$14-A163)/$C$14)^$E$14)</f>
        <v>0</v>
      </c>
      <c r="C163" s="210">
        <v>0</v>
      </c>
      <c r="D163" s="210">
        <v>0</v>
      </c>
    </row>
    <row r="164" spans="1:10" x14ac:dyDescent="0.2">
      <c r="A164" s="175">
        <f t="shared" ref="A164:A188" si="17">A163+$C$14/25</f>
        <v>0.08</v>
      </c>
      <c r="B164" s="175">
        <f t="shared" si="16"/>
        <v>1.9992000000000005</v>
      </c>
      <c r="C164" s="210">
        <f>$A$20/$C$20*1000</f>
        <v>2.5</v>
      </c>
      <c r="D164" s="210">
        <f>$A$20</f>
        <v>500</v>
      </c>
    </row>
    <row r="165" spans="1:10" x14ac:dyDescent="0.2">
      <c r="A165" s="175">
        <f t="shared" si="17"/>
        <v>0.16</v>
      </c>
      <c r="B165" s="175">
        <f t="shared" si="16"/>
        <v>3.9167999999999989</v>
      </c>
      <c r="C165" s="210">
        <f>$D$20</f>
        <v>25</v>
      </c>
      <c r="D165" s="210">
        <f>$B$20</f>
        <v>525</v>
      </c>
    </row>
    <row r="166" spans="1:10" x14ac:dyDescent="0.2">
      <c r="A166" s="175">
        <f t="shared" si="17"/>
        <v>0.24</v>
      </c>
      <c r="B166" s="175">
        <f t="shared" si="16"/>
        <v>5.7528000000000006</v>
      </c>
    </row>
    <row r="167" spans="1:10" x14ac:dyDescent="0.2">
      <c r="A167" s="175">
        <f t="shared" si="17"/>
        <v>0.32</v>
      </c>
      <c r="B167" s="175">
        <f t="shared" si="16"/>
        <v>7.5072000000000028</v>
      </c>
    </row>
    <row r="168" spans="1:10" x14ac:dyDescent="0.2">
      <c r="A168" s="175">
        <f t="shared" si="17"/>
        <v>0.4</v>
      </c>
      <c r="B168" s="175">
        <f t="shared" si="16"/>
        <v>9.1799999999999962</v>
      </c>
    </row>
    <row r="169" spans="1:10" x14ac:dyDescent="0.2">
      <c r="A169" s="175">
        <f t="shared" si="17"/>
        <v>0.48000000000000004</v>
      </c>
      <c r="B169" s="175">
        <f t="shared" si="16"/>
        <v>10.7712</v>
      </c>
    </row>
    <row r="170" spans="1:10" x14ac:dyDescent="0.2">
      <c r="A170" s="175">
        <f t="shared" si="17"/>
        <v>0.56000000000000005</v>
      </c>
      <c r="B170" s="175">
        <f t="shared" si="16"/>
        <v>12.280800000000001</v>
      </c>
    </row>
    <row r="171" spans="1:10" x14ac:dyDescent="0.2">
      <c r="A171" s="175">
        <f t="shared" si="17"/>
        <v>0.64</v>
      </c>
      <c r="B171" s="175">
        <f t="shared" si="16"/>
        <v>13.708800000000002</v>
      </c>
    </row>
    <row r="172" spans="1:10" x14ac:dyDescent="0.2">
      <c r="A172" s="175">
        <f t="shared" si="17"/>
        <v>0.72</v>
      </c>
      <c r="B172" s="175">
        <f t="shared" si="16"/>
        <v>15.055200000000001</v>
      </c>
    </row>
    <row r="173" spans="1:10" x14ac:dyDescent="0.2">
      <c r="A173" s="175">
        <f t="shared" si="17"/>
        <v>0.79999999999999993</v>
      </c>
      <c r="B173" s="175">
        <f t="shared" si="16"/>
        <v>16.319999999999997</v>
      </c>
    </row>
    <row r="174" spans="1:10" x14ac:dyDescent="0.2">
      <c r="A174" s="175">
        <f t="shared" si="17"/>
        <v>0.87999999999999989</v>
      </c>
      <c r="B174" s="175">
        <f t="shared" si="16"/>
        <v>17.503199999999996</v>
      </c>
    </row>
    <row r="175" spans="1:10" x14ac:dyDescent="0.2">
      <c r="A175" s="175">
        <f t="shared" si="17"/>
        <v>0.95999999999999985</v>
      </c>
      <c r="B175" s="175">
        <f t="shared" si="16"/>
        <v>18.604800000000001</v>
      </c>
    </row>
    <row r="176" spans="1:10" x14ac:dyDescent="0.2">
      <c r="A176" s="175">
        <f t="shared" si="17"/>
        <v>1.0399999999999998</v>
      </c>
      <c r="B176" s="175">
        <f t="shared" si="16"/>
        <v>19.6248</v>
      </c>
    </row>
    <row r="177" spans="1:2" x14ac:dyDescent="0.2">
      <c r="A177" s="175">
        <f t="shared" si="17"/>
        <v>1.1199999999999999</v>
      </c>
      <c r="B177" s="175">
        <f t="shared" si="16"/>
        <v>20.563200000000002</v>
      </c>
    </row>
    <row r="178" spans="1:2" x14ac:dyDescent="0.2">
      <c r="A178" s="175">
        <f t="shared" si="17"/>
        <v>1.2</v>
      </c>
      <c r="B178" s="175">
        <f t="shared" si="16"/>
        <v>21.419999999999998</v>
      </c>
    </row>
    <row r="179" spans="1:2" x14ac:dyDescent="0.2">
      <c r="A179" s="175">
        <f t="shared" si="17"/>
        <v>1.28</v>
      </c>
      <c r="B179" s="175">
        <f t="shared" si="16"/>
        <v>22.1952</v>
      </c>
    </row>
    <row r="180" spans="1:2" x14ac:dyDescent="0.2">
      <c r="A180" s="175">
        <f t="shared" si="17"/>
        <v>1.36</v>
      </c>
      <c r="B180" s="175">
        <f t="shared" si="16"/>
        <v>22.888800000000003</v>
      </c>
    </row>
    <row r="181" spans="1:2" x14ac:dyDescent="0.2">
      <c r="A181" s="175">
        <f t="shared" si="17"/>
        <v>1.4400000000000002</v>
      </c>
      <c r="B181" s="175">
        <f t="shared" si="16"/>
        <v>23.500800000000002</v>
      </c>
    </row>
    <row r="182" spans="1:2" x14ac:dyDescent="0.2">
      <c r="A182" s="175">
        <f t="shared" si="17"/>
        <v>1.5200000000000002</v>
      </c>
      <c r="B182" s="175">
        <f t="shared" si="16"/>
        <v>24.031200000000002</v>
      </c>
    </row>
    <row r="183" spans="1:2" x14ac:dyDescent="0.2">
      <c r="A183" s="175">
        <f t="shared" si="17"/>
        <v>1.6000000000000003</v>
      </c>
      <c r="B183" s="175">
        <f t="shared" si="16"/>
        <v>24.48</v>
      </c>
    </row>
    <row r="184" spans="1:2" x14ac:dyDescent="0.2">
      <c r="A184" s="175">
        <f t="shared" si="17"/>
        <v>1.6800000000000004</v>
      </c>
      <c r="B184" s="175">
        <f t="shared" si="16"/>
        <v>24.847200000000001</v>
      </c>
    </row>
    <row r="185" spans="1:2" x14ac:dyDescent="0.2">
      <c r="A185" s="175">
        <f t="shared" si="17"/>
        <v>1.7600000000000005</v>
      </c>
      <c r="B185" s="175">
        <f t="shared" si="16"/>
        <v>25.1328</v>
      </c>
    </row>
    <row r="186" spans="1:2" x14ac:dyDescent="0.2">
      <c r="A186" s="175">
        <f t="shared" si="17"/>
        <v>1.8400000000000005</v>
      </c>
      <c r="B186" s="175">
        <f t="shared" si="16"/>
        <v>25.3368</v>
      </c>
    </row>
    <row r="187" spans="1:2" x14ac:dyDescent="0.2">
      <c r="A187" s="175">
        <f t="shared" si="17"/>
        <v>1.9200000000000006</v>
      </c>
      <c r="B187" s="175">
        <f t="shared" si="16"/>
        <v>25.459200000000003</v>
      </c>
    </row>
    <row r="188" spans="1:2" x14ac:dyDescent="0.2">
      <c r="A188" s="175">
        <f t="shared" si="17"/>
        <v>2.0000000000000004</v>
      </c>
      <c r="B188" s="175">
        <f t="shared" si="16"/>
        <v>25.5</v>
      </c>
    </row>
    <row r="189" spans="1:2" x14ac:dyDescent="0.2">
      <c r="A189" s="210">
        <f>$D$14</f>
        <v>3.5</v>
      </c>
      <c r="B189" s="175">
        <f>$A$14*$B$14</f>
        <v>25.5</v>
      </c>
    </row>
  </sheetData>
  <mergeCells count="23">
    <mergeCell ref="A6:E6"/>
    <mergeCell ref="C12:E12"/>
    <mergeCell ref="A47:C48"/>
    <mergeCell ref="A49:C50"/>
    <mergeCell ref="A55:C55"/>
    <mergeCell ref="A53:B53"/>
    <mergeCell ref="A54:B54"/>
    <mergeCell ref="A51:B52"/>
    <mergeCell ref="F11:G11"/>
    <mergeCell ref="F41:G41"/>
    <mergeCell ref="F47:G48"/>
    <mergeCell ref="F49:G50"/>
    <mergeCell ref="A162:B162"/>
    <mergeCell ref="C162:D162"/>
    <mergeCell ref="F53:G54"/>
    <mergeCell ref="F51:F52"/>
    <mergeCell ref="A59:B59"/>
    <mergeCell ref="A60:B60"/>
    <mergeCell ref="A61:B61"/>
    <mergeCell ref="A62:B62"/>
    <mergeCell ref="A63:C63"/>
    <mergeCell ref="A58:B58"/>
    <mergeCell ref="F58:G58"/>
  </mergeCells>
  <conditionalFormatting sqref="D63">
    <cfRule type="cellIs" dxfId="3" priority="1" operator="lessThan">
      <formula>-0.5</formula>
    </cfRule>
  </conditionalFormatting>
  <pageMargins left="0.86614173228346458" right="0.51181102362204722" top="0.39370078740157483" bottom="0.39370078740157483" header="0.31496062992125984" footer="0.39370078740157483"/>
  <pageSetup paperSize="9" orientation="portrait" r:id="rId1"/>
  <headerFooter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4" name="Drop Down 4">
              <controlPr defaultSize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5" name="Drop Down 7">
              <controlPr defaultSize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6" name="Drop Down 17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7" name="Drop Down 20">
              <controlPr defaultSize="0" autoLine="0" autoPict="0">
                <anchor moveWithCells="1">
                  <from>
                    <xdr:col>8</xdr:col>
                    <xdr:colOff>504825</xdr:colOff>
                    <xdr:row>11</xdr:row>
                    <xdr:rowOff>114300</xdr:rowOff>
                  </from>
                  <to>
                    <xdr:col>10</xdr:col>
                    <xdr:colOff>409575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8" name="Drop Down 21">
              <controlPr defaultSize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9" name="Drop Down 22">
              <controlPr defaultSize="0" autoLine="0" autoPict="0">
                <anchor moveWithCells="1">
                  <from>
                    <xdr:col>8</xdr:col>
                    <xdr:colOff>600075</xdr:colOff>
                    <xdr:row>14</xdr:row>
                    <xdr:rowOff>95250</xdr:rowOff>
                  </from>
                  <to>
                    <xdr:col>10</xdr:col>
                    <xdr:colOff>504825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10" name="Drop Down 23">
              <controlPr defaultSize="0" autoLine="0" autoPict="0">
                <anchor moveWithCells="1">
                  <from>
                    <xdr:col>8</xdr:col>
                    <xdr:colOff>504825</xdr:colOff>
                    <xdr:row>16</xdr:row>
                    <xdr:rowOff>142875</xdr:rowOff>
                  </from>
                  <to>
                    <xdr:col>10</xdr:col>
                    <xdr:colOff>409575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11" name="Check Box 30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9"/>
  <dimension ref="A1:DA90"/>
  <sheetViews>
    <sheetView zoomScale="85" workbookViewId="0"/>
  </sheetViews>
  <sheetFormatPr defaultColWidth="11.42578125" defaultRowHeight="12.75" x14ac:dyDescent="0.2"/>
  <cols>
    <col min="1" max="105" width="6.7109375" customWidth="1"/>
  </cols>
  <sheetData>
    <row r="1" spans="1:24" x14ac:dyDescent="0.2">
      <c r="A1" s="7" t="s">
        <v>84</v>
      </c>
      <c r="G1" s="7" t="s">
        <v>96</v>
      </c>
      <c r="K1" s="7" t="s">
        <v>97</v>
      </c>
      <c r="S1" t="s">
        <v>187</v>
      </c>
      <c r="X1" t="s">
        <v>300</v>
      </c>
    </row>
    <row r="2" spans="1:24" x14ac:dyDescent="0.2">
      <c r="A2" s="92" t="s">
        <v>397</v>
      </c>
      <c r="B2" s="92" t="s">
        <v>398</v>
      </c>
      <c r="C2" s="92" t="s">
        <v>399</v>
      </c>
      <c r="G2" s="92" t="s">
        <v>404</v>
      </c>
      <c r="H2" s="134" t="s">
        <v>16</v>
      </c>
      <c r="I2" s="72">
        <v>20</v>
      </c>
      <c r="K2" s="92" t="s">
        <v>413</v>
      </c>
      <c r="L2" s="134" t="s">
        <v>16</v>
      </c>
      <c r="M2" s="72">
        <v>500</v>
      </c>
      <c r="S2" t="s">
        <v>188</v>
      </c>
      <c r="X2" t="s">
        <v>290</v>
      </c>
    </row>
    <row r="3" spans="1:24" x14ac:dyDescent="0.2">
      <c r="A3" s="92" t="s">
        <v>9</v>
      </c>
      <c r="B3" s="92" t="s">
        <v>9</v>
      </c>
      <c r="C3" s="92" t="s">
        <v>34</v>
      </c>
      <c r="D3" s="92" t="s">
        <v>44</v>
      </c>
      <c r="E3" s="126">
        <v>800</v>
      </c>
      <c r="G3" s="92" t="s">
        <v>405</v>
      </c>
      <c r="H3" s="92" t="s">
        <v>412</v>
      </c>
      <c r="I3" s="73">
        <v>0.85</v>
      </c>
      <c r="K3" s="92" t="s">
        <v>414</v>
      </c>
      <c r="L3" s="134" t="s">
        <v>16</v>
      </c>
      <c r="M3" s="126">
        <v>550</v>
      </c>
      <c r="X3" t="s">
        <v>291</v>
      </c>
    </row>
    <row r="4" spans="1:24" x14ac:dyDescent="0.2">
      <c r="A4" s="133" t="s">
        <v>403</v>
      </c>
      <c r="B4" s="133" t="s">
        <v>403</v>
      </c>
      <c r="C4" s="92" t="s">
        <v>33</v>
      </c>
      <c r="D4" s="92" t="s">
        <v>44</v>
      </c>
      <c r="E4" s="126">
        <v>1000</v>
      </c>
      <c r="G4" s="128" t="s">
        <v>406</v>
      </c>
      <c r="H4" s="92" t="s">
        <v>412</v>
      </c>
      <c r="I4" s="136">
        <v>2E-3</v>
      </c>
      <c r="K4" s="92" t="s">
        <v>415</v>
      </c>
      <c r="L4" s="134" t="s">
        <v>16</v>
      </c>
      <c r="M4" s="137">
        <v>200000</v>
      </c>
      <c r="X4" t="s">
        <v>292</v>
      </c>
    </row>
    <row r="5" spans="1:24" x14ac:dyDescent="0.2">
      <c r="A5" s="92" t="s">
        <v>23</v>
      </c>
      <c r="B5" s="92" t="s">
        <v>23</v>
      </c>
      <c r="C5" s="92" t="s">
        <v>23</v>
      </c>
      <c r="D5" s="92" t="s">
        <v>44</v>
      </c>
      <c r="E5" s="126">
        <v>100</v>
      </c>
      <c r="G5" s="128" t="s">
        <v>407</v>
      </c>
      <c r="H5" s="92" t="s">
        <v>412</v>
      </c>
      <c r="I5" s="136">
        <v>3.5000000000000001E-3</v>
      </c>
      <c r="K5" s="128" t="s">
        <v>416</v>
      </c>
      <c r="L5" s="92" t="s">
        <v>412</v>
      </c>
      <c r="M5" s="136">
        <v>2.5000000000000001E-2</v>
      </c>
      <c r="S5" t="s">
        <v>340</v>
      </c>
      <c r="X5" t="s">
        <v>293</v>
      </c>
    </row>
    <row r="6" spans="1:24" x14ac:dyDescent="0.2">
      <c r="A6" s="133" t="s">
        <v>403</v>
      </c>
      <c r="B6" s="133" t="s">
        <v>403</v>
      </c>
      <c r="C6" s="131" t="s">
        <v>45</v>
      </c>
      <c r="D6" s="92" t="s">
        <v>44</v>
      </c>
      <c r="E6" s="126">
        <v>100</v>
      </c>
      <c r="G6" s="92" t="s">
        <v>408</v>
      </c>
      <c r="H6" s="92" t="s">
        <v>412</v>
      </c>
      <c r="I6" s="73">
        <v>2</v>
      </c>
      <c r="K6" s="92" t="s">
        <v>417</v>
      </c>
      <c r="L6" s="92" t="s">
        <v>412</v>
      </c>
      <c r="M6" s="73">
        <v>1.1499999999999999</v>
      </c>
      <c r="S6" t="s">
        <v>341</v>
      </c>
      <c r="X6" t="s">
        <v>294</v>
      </c>
    </row>
    <row r="7" spans="1:24" ht="15.75" x14ac:dyDescent="0.25">
      <c r="A7" s="133" t="s">
        <v>403</v>
      </c>
      <c r="B7" s="128" t="s">
        <v>400</v>
      </c>
      <c r="C7" s="133" t="s">
        <v>403</v>
      </c>
      <c r="D7" s="92" t="s">
        <v>401</v>
      </c>
      <c r="E7" s="72">
        <v>90</v>
      </c>
      <c r="G7" s="131" t="s">
        <v>409</v>
      </c>
      <c r="H7" s="92" t="s">
        <v>412</v>
      </c>
      <c r="I7" s="73">
        <v>1.5</v>
      </c>
      <c r="N7" s="83">
        <v>1</v>
      </c>
      <c r="X7" t="s">
        <v>295</v>
      </c>
    </row>
    <row r="8" spans="1:24" ht="15.75" x14ac:dyDescent="0.25">
      <c r="A8" s="133" t="s">
        <v>403</v>
      </c>
      <c r="B8" s="132" t="s">
        <v>437</v>
      </c>
      <c r="C8" s="132" t="s">
        <v>402</v>
      </c>
      <c r="D8" s="92" t="s">
        <v>12</v>
      </c>
      <c r="E8" s="74">
        <v>0</v>
      </c>
      <c r="G8" s="131" t="s">
        <v>410</v>
      </c>
      <c r="H8" s="92" t="s">
        <v>412</v>
      </c>
      <c r="I8" s="73">
        <v>1.8</v>
      </c>
      <c r="N8" s="83">
        <v>1</v>
      </c>
      <c r="X8" t="s">
        <v>296</v>
      </c>
    </row>
    <row r="9" spans="1:24" ht="15.75" x14ac:dyDescent="0.25">
      <c r="G9" s="135" t="s">
        <v>411</v>
      </c>
      <c r="H9" s="92" t="s">
        <v>412</v>
      </c>
      <c r="I9" s="73">
        <v>0.15</v>
      </c>
      <c r="N9" s="83">
        <v>2</v>
      </c>
      <c r="X9" t="s">
        <v>297</v>
      </c>
    </row>
    <row r="10" spans="1:24" x14ac:dyDescent="0.2">
      <c r="A10" s="7" t="s">
        <v>161</v>
      </c>
      <c r="X10" t="s">
        <v>298</v>
      </c>
    </row>
    <row r="11" spans="1:24" x14ac:dyDescent="0.2">
      <c r="A11" s="1" t="s">
        <v>418</v>
      </c>
      <c r="B11" s="3" t="s">
        <v>6</v>
      </c>
      <c r="C11" s="72">
        <v>0</v>
      </c>
      <c r="D11" s="72">
        <v>2</v>
      </c>
      <c r="E11" s="72">
        <v>20</v>
      </c>
      <c r="F11" s="72">
        <v>200</v>
      </c>
      <c r="G11" s="72">
        <v>2000</v>
      </c>
      <c r="H11" s="72">
        <v>0</v>
      </c>
      <c r="I11" s="72">
        <v>2</v>
      </c>
      <c r="J11" s="72">
        <v>20</v>
      </c>
      <c r="K11" s="72">
        <v>200</v>
      </c>
      <c r="L11" s="72">
        <v>2000</v>
      </c>
      <c r="M11" s="72">
        <v>0</v>
      </c>
      <c r="N11" s="72">
        <v>2</v>
      </c>
      <c r="O11" s="72">
        <v>20</v>
      </c>
      <c r="P11" s="72">
        <v>200</v>
      </c>
      <c r="Q11" s="72">
        <v>2000</v>
      </c>
      <c r="R11" s="72">
        <v>0</v>
      </c>
      <c r="S11" s="72">
        <v>2</v>
      </c>
      <c r="T11" s="72">
        <v>20</v>
      </c>
      <c r="U11" s="72">
        <v>200</v>
      </c>
      <c r="V11" s="72">
        <v>2000</v>
      </c>
      <c r="X11" t="s">
        <v>299</v>
      </c>
    </row>
    <row r="12" spans="1:24" x14ac:dyDescent="0.2">
      <c r="A12" s="1" t="s">
        <v>419</v>
      </c>
      <c r="B12" s="3" t="s">
        <v>4</v>
      </c>
      <c r="C12" s="72">
        <v>1000</v>
      </c>
      <c r="D12" s="72">
        <v>1000</v>
      </c>
      <c r="E12" s="72">
        <v>1000</v>
      </c>
      <c r="F12" s="72">
        <v>1000</v>
      </c>
      <c r="G12" s="72">
        <v>1000</v>
      </c>
      <c r="H12" s="72">
        <v>0</v>
      </c>
      <c r="I12" s="72">
        <v>0</v>
      </c>
      <c r="J12" s="72">
        <v>0</v>
      </c>
      <c r="K12" s="72">
        <v>0</v>
      </c>
      <c r="L12" s="72">
        <v>0</v>
      </c>
      <c r="M12" s="72">
        <v>-1000</v>
      </c>
      <c r="N12" s="72">
        <v>-1000</v>
      </c>
      <c r="O12" s="72">
        <v>-1000</v>
      </c>
      <c r="P12" s="72">
        <v>-1000</v>
      </c>
      <c r="Q12" s="72">
        <v>-1000</v>
      </c>
      <c r="R12" s="72">
        <v>-5000</v>
      </c>
      <c r="S12" s="72">
        <v>-5000</v>
      </c>
      <c r="T12" s="72">
        <v>-5000</v>
      </c>
      <c r="U12" s="72">
        <v>-5000</v>
      </c>
      <c r="V12" s="72">
        <v>-5000</v>
      </c>
    </row>
    <row r="13" spans="1:24" x14ac:dyDescent="0.2">
      <c r="A13" s="1" t="s">
        <v>420</v>
      </c>
      <c r="B13" s="3" t="s">
        <v>4</v>
      </c>
      <c r="C13" s="72">
        <v>300</v>
      </c>
      <c r="D13" s="72">
        <v>300</v>
      </c>
      <c r="E13" s="72">
        <v>300</v>
      </c>
      <c r="F13" s="72">
        <v>300</v>
      </c>
      <c r="G13" s="72">
        <v>300</v>
      </c>
      <c r="H13" s="72">
        <v>300</v>
      </c>
      <c r="I13" s="72">
        <v>300</v>
      </c>
      <c r="J13" s="72">
        <v>300</v>
      </c>
      <c r="K13" s="72">
        <v>300</v>
      </c>
      <c r="L13" s="72">
        <v>300</v>
      </c>
      <c r="M13" s="72">
        <v>300</v>
      </c>
      <c r="N13" s="72">
        <v>300</v>
      </c>
      <c r="O13" s="72">
        <v>300</v>
      </c>
      <c r="P13" s="72">
        <v>300</v>
      </c>
      <c r="Q13" s="72">
        <v>300</v>
      </c>
      <c r="R13" s="72">
        <v>300</v>
      </c>
      <c r="S13" s="72">
        <v>300</v>
      </c>
      <c r="T13" s="72">
        <v>300</v>
      </c>
      <c r="U13" s="72">
        <v>300</v>
      </c>
      <c r="V13" s="72">
        <v>300</v>
      </c>
    </row>
    <row r="14" spans="1:24" x14ac:dyDescent="0.2">
      <c r="A14" s="21" t="s">
        <v>173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4" x14ac:dyDescent="0.2">
      <c r="A15" s="138" t="s">
        <v>421</v>
      </c>
      <c r="B15" s="130" t="s">
        <v>86</v>
      </c>
      <c r="C15" s="140">
        <f t="shared" ref="C15:V15" si="0">[1]!StB08KreisMN($E$3,$E$5,$I$2,$I$3,$I$4,$I$5,$I$6,$I$7,$I$8,$I$9,$M$2,$M$3,$M$4,$M$5,$M$6,C$11,C$12,1+($N$7-1)*10)</f>
        <v>2.5000000000000001E-2</v>
      </c>
      <c r="D15" s="140">
        <f t="shared" si="0"/>
        <v>1.7408241242635996E-2</v>
      </c>
      <c r="E15" s="140">
        <f t="shared" si="0"/>
        <v>-1.2382509068775106E-3</v>
      </c>
      <c r="F15" s="140">
        <f t="shared" si="0"/>
        <v>-3.5000000000000001E-3</v>
      </c>
      <c r="G15" s="140">
        <f t="shared" si="0"/>
        <v>-3.5000000000000001E-3</v>
      </c>
      <c r="H15" s="140">
        <f t="shared" si="0"/>
        <v>-2E-3</v>
      </c>
      <c r="I15" s="140">
        <f t="shared" si="0"/>
        <v>-5.4756922557498906E-4</v>
      </c>
      <c r="J15" s="140">
        <f t="shared" si="0"/>
        <v>-1.5223678865822876E-3</v>
      </c>
      <c r="K15" s="140">
        <f t="shared" si="0"/>
        <v>-3.5000000000000001E-3</v>
      </c>
      <c r="L15" s="140">
        <f t="shared" si="0"/>
        <v>-3.5000000000000001E-3</v>
      </c>
      <c r="M15" s="140">
        <f t="shared" si="0"/>
        <v>-2E-3</v>
      </c>
      <c r="N15" s="140">
        <f t="shared" si="0"/>
        <v>-2.3423558285361845E-3</v>
      </c>
      <c r="O15" s="140">
        <f t="shared" si="0"/>
        <v>-3.0446166992187502E-3</v>
      </c>
      <c r="P15" s="140">
        <f t="shared" si="0"/>
        <v>-3.5000000000000001E-3</v>
      </c>
      <c r="Q15" s="140">
        <f t="shared" si="0"/>
        <v>-3.5000000000000001E-3</v>
      </c>
      <c r="R15" s="140">
        <f t="shared" si="0"/>
        <v>-2E-3</v>
      </c>
      <c r="S15" s="140">
        <f t="shared" si="0"/>
        <v>-2.12073894625064E-3</v>
      </c>
      <c r="T15" s="140">
        <f t="shared" si="0"/>
        <v>-2.4408534501853866E-3</v>
      </c>
      <c r="U15" s="140">
        <f t="shared" si="0"/>
        <v>-3.3702795861900088E-3</v>
      </c>
      <c r="V15" s="140">
        <f t="shared" si="0"/>
        <v>-3.5000000000000001E-3</v>
      </c>
    </row>
    <row r="16" spans="1:24" x14ac:dyDescent="0.2">
      <c r="A16" s="138" t="s">
        <v>406</v>
      </c>
      <c r="B16" s="130" t="s">
        <v>86</v>
      </c>
      <c r="C16" s="140">
        <f t="shared" ref="C16:V16" si="1">[1]!StB08KreisMN($E$3,$E$5,$I$2,$I$3,$I$4,$I$5,$I$6,$I$7,$I$8,$I$9,$M$2,$M$3,$M$4,$M$5,$M$6,C$11,C$12,2+($N$7-1)*10)</f>
        <v>2.5000000000000001E-2</v>
      </c>
      <c r="D16" s="140">
        <f t="shared" si="1"/>
        <v>2.6084536965337718E-2</v>
      </c>
      <c r="E16" s="140">
        <f t="shared" si="1"/>
        <v>2.8748321558125359E-2</v>
      </c>
      <c r="F16" s="140">
        <f t="shared" si="1"/>
        <v>2.2873723620985401E-2</v>
      </c>
      <c r="G16" s="140">
        <f t="shared" si="1"/>
        <v>5.6479504330528216E-3</v>
      </c>
      <c r="H16" s="140">
        <f t="shared" si="1"/>
        <v>-2E-3</v>
      </c>
      <c r="I16" s="140">
        <f t="shared" si="1"/>
        <v>2.8649652746510716E-2</v>
      </c>
      <c r="J16" s="140">
        <f t="shared" si="1"/>
        <v>2.8788909698083186E-2</v>
      </c>
      <c r="K16" s="140">
        <f t="shared" si="1"/>
        <v>1.7673342914706153E-2</v>
      </c>
      <c r="L16" s="140">
        <f t="shared" si="1"/>
        <v>4.877106535986676E-3</v>
      </c>
      <c r="M16" s="140">
        <f t="shared" si="1"/>
        <v>-2E-3</v>
      </c>
      <c r="N16" s="140">
        <f t="shared" si="1"/>
        <v>-1.5435255619517542E-3</v>
      </c>
      <c r="O16" s="140">
        <f t="shared" si="1"/>
        <v>-6.0717773437500002E-4</v>
      </c>
      <c r="P16" s="140">
        <f t="shared" si="1"/>
        <v>3.3028122942549208E-3</v>
      </c>
      <c r="Q16" s="140">
        <f t="shared" si="1"/>
        <v>4.1803830263012773E-3</v>
      </c>
      <c r="R16" s="140">
        <f t="shared" si="1"/>
        <v>-2E-3</v>
      </c>
      <c r="S16" s="140">
        <f t="shared" si="1"/>
        <v>-1.8390147383324804E-3</v>
      </c>
      <c r="T16" s="140">
        <f t="shared" si="1"/>
        <v>-1.4121953997528181E-3</v>
      </c>
      <c r="U16" s="140">
        <f t="shared" si="1"/>
        <v>-1.7296055174665528E-4</v>
      </c>
      <c r="V16" s="140">
        <f t="shared" si="1"/>
        <v>2.4570128673797012E-3</v>
      </c>
    </row>
    <row r="17" spans="1:22" x14ac:dyDescent="0.2">
      <c r="A17" s="138" t="s">
        <v>422</v>
      </c>
      <c r="B17" s="130" t="s">
        <v>86</v>
      </c>
      <c r="C17" s="140">
        <f t="shared" ref="C17:V17" si="2">[1]!StB08KreisMN($E$3,$E$5,$I$2,$I$3,$I$4,$I$5,$I$6,$I$7,$I$8,$I$9,$M$2,$M$3,$M$4,$M$5,$M$6,C$11,C$12,3+($N$7-1)*10)</f>
        <v>2.5000000000000001E-2</v>
      </c>
      <c r="D17" s="140">
        <f t="shared" si="2"/>
        <v>1.8492778207973713E-2</v>
      </c>
      <c r="E17" s="140">
        <f t="shared" si="2"/>
        <v>2.5100706512478483E-3</v>
      </c>
      <c r="F17" s="140">
        <f t="shared" si="2"/>
        <v>-2.032845473768248E-4</v>
      </c>
      <c r="G17" s="140">
        <f t="shared" si="2"/>
        <v>-2.3565061958683974E-3</v>
      </c>
      <c r="H17" s="140" t="str">
        <f t="shared" si="2"/>
        <v/>
      </c>
      <c r="I17" s="140">
        <f t="shared" si="2"/>
        <v>3.1020835209357236E-3</v>
      </c>
      <c r="J17" s="140">
        <f t="shared" si="2"/>
        <v>2.2665418115008964E-3</v>
      </c>
      <c r="K17" s="140">
        <f t="shared" si="2"/>
        <v>-8.5333213566173081E-4</v>
      </c>
      <c r="L17" s="140">
        <f t="shared" si="2"/>
        <v>-2.4528616830016654E-3</v>
      </c>
      <c r="M17" s="140" t="str">
        <f t="shared" si="2"/>
        <v/>
      </c>
      <c r="N17" s="140" t="str">
        <f t="shared" si="2"/>
        <v/>
      </c>
      <c r="O17" s="140" t="str">
        <f t="shared" si="2"/>
        <v/>
      </c>
      <c r="P17" s="140" t="str">
        <f t="shared" si="2"/>
        <v/>
      </c>
      <c r="Q17" s="140">
        <f t="shared" si="2"/>
        <v>-2.5399521217123406E-3</v>
      </c>
      <c r="R17" s="140">
        <f t="shared" si="2"/>
        <v>-2E-3</v>
      </c>
      <c r="S17" s="140">
        <f t="shared" si="2"/>
        <v>-2.0855234202608701E-3</v>
      </c>
      <c r="T17" s="140">
        <f t="shared" si="2"/>
        <v>-2.3122711938813154E-3</v>
      </c>
      <c r="U17" s="140">
        <f t="shared" si="2"/>
        <v>-2.9706147068845894E-3</v>
      </c>
      <c r="V17" s="140">
        <f t="shared" si="2"/>
        <v>-2.7553733915775375E-3</v>
      </c>
    </row>
    <row r="18" spans="1:22" x14ac:dyDescent="0.2">
      <c r="A18" s="138" t="s">
        <v>423</v>
      </c>
      <c r="B18" s="130" t="s">
        <v>86</v>
      </c>
      <c r="C18" s="140">
        <f t="shared" ref="C18:V18" si="3">[1]!StB08KreisMN($E$3,$E$5,$I$2,$I$3,$I$4,$I$5,$I$6,$I$7,$I$8,$I$9,$M$2,$M$3,$M$4,$M$5,$M$6,C$11,C$12,4+($N$7-1)*10)</f>
        <v>2.5000000000000001E-2</v>
      </c>
      <c r="D18" s="140">
        <f t="shared" si="3"/>
        <v>2.5000000000000001E-2</v>
      </c>
      <c r="E18" s="140">
        <f t="shared" si="3"/>
        <v>2.5000000000000001E-2</v>
      </c>
      <c r="F18" s="140">
        <f t="shared" si="3"/>
        <v>1.9577008168362227E-2</v>
      </c>
      <c r="G18" s="140">
        <f t="shared" si="3"/>
        <v>4.5044566289212185E-3</v>
      </c>
      <c r="H18" s="140" t="str">
        <f t="shared" si="3"/>
        <v/>
      </c>
      <c r="I18" s="140">
        <f t="shared" si="3"/>
        <v>2.5000000000000001E-2</v>
      </c>
      <c r="J18" s="140">
        <f t="shared" si="3"/>
        <v>2.5000000000000001E-2</v>
      </c>
      <c r="K18" s="140">
        <f t="shared" si="3"/>
        <v>1.5026675050367885E-2</v>
      </c>
      <c r="L18" s="140">
        <f t="shared" si="3"/>
        <v>3.8299682189883414E-3</v>
      </c>
      <c r="M18" s="140" t="str">
        <f t="shared" si="3"/>
        <v/>
      </c>
      <c r="N18" s="140" t="str">
        <f t="shared" si="3"/>
        <v/>
      </c>
      <c r="O18" s="140" t="str">
        <f t="shared" si="3"/>
        <v/>
      </c>
      <c r="P18" s="140" t="str">
        <f t="shared" si="3"/>
        <v/>
      </c>
      <c r="Q18" s="140">
        <f t="shared" si="3"/>
        <v>3.2203351480136178E-3</v>
      </c>
      <c r="R18" s="140">
        <f t="shared" si="3"/>
        <v>-2E-3</v>
      </c>
      <c r="S18" s="140">
        <f t="shared" si="3"/>
        <v>-1.8742302643222502E-3</v>
      </c>
      <c r="T18" s="140">
        <f t="shared" si="3"/>
        <v>-1.5407776560568891E-3</v>
      </c>
      <c r="U18" s="140">
        <f t="shared" si="3"/>
        <v>-5.7262543105207446E-4</v>
      </c>
      <c r="V18" s="140">
        <f t="shared" si="3"/>
        <v>1.7123862589572385E-3</v>
      </c>
    </row>
    <row r="19" spans="1:22" x14ac:dyDescent="0.2">
      <c r="A19" s="129" t="s">
        <v>18</v>
      </c>
      <c r="B19" s="130" t="s">
        <v>12</v>
      </c>
      <c r="C19" s="64">
        <f t="shared" ref="C19:V19" si="4">[1]!StB08KreisMN($E$3,$E$5,$I$2,$I$3,$I$4,$I$5,$I$6,$I$7,$I$8,$I$9,$M$2,$M$3,$M$4,$M$5,$M$6,C$11,C$12,5+($N$7-1)*10)</f>
        <v>20.909090909090924</v>
      </c>
      <c r="D19" s="64">
        <f t="shared" si="4"/>
        <v>21.187718667470069</v>
      </c>
      <c r="E19" s="64">
        <f t="shared" si="4"/>
        <v>22.622251701667068</v>
      </c>
      <c r="F19" s="64">
        <f t="shared" si="4"/>
        <v>35.559971396540476</v>
      </c>
      <c r="G19" s="64">
        <f t="shared" si="4"/>
        <v>238.8181812086892</v>
      </c>
      <c r="H19" s="64">
        <f t="shared" si="4"/>
        <v>0</v>
      </c>
      <c r="I19" s="64">
        <f t="shared" si="4"/>
        <v>0.10927311159096095</v>
      </c>
      <c r="J19" s="64">
        <f t="shared" si="4"/>
        <v>1.1276363832975111</v>
      </c>
      <c r="K19" s="64">
        <f t="shared" si="4"/>
        <v>13.934485980142391</v>
      </c>
      <c r="L19" s="64">
        <f t="shared" si="4"/>
        <v>230.09707886026899</v>
      </c>
      <c r="M19" s="64">
        <f t="shared" si="4"/>
        <v>0</v>
      </c>
      <c r="N19" s="64">
        <f t="shared" si="4"/>
        <v>0</v>
      </c>
      <c r="O19" s="64">
        <f t="shared" si="4"/>
        <v>0</v>
      </c>
      <c r="P19" s="64">
        <f t="shared" si="4"/>
        <v>0</v>
      </c>
      <c r="Q19" s="64">
        <f t="shared" si="4"/>
        <v>225.95706214628129</v>
      </c>
      <c r="R19" s="64">
        <f t="shared" si="4"/>
        <v>2.9098440247569486</v>
      </c>
      <c r="S19" s="64">
        <f t="shared" si="4"/>
        <v>2.9817994675913821</v>
      </c>
      <c r="T19" s="64">
        <f t="shared" si="4"/>
        <v>3.6978660579214151</v>
      </c>
      <c r="U19" s="64">
        <f t="shared" si="4"/>
        <v>10.757529702251249</v>
      </c>
      <c r="V19" s="64">
        <f t="shared" si="4"/>
        <v>269.63604375472511</v>
      </c>
    </row>
    <row r="20" spans="1:22" x14ac:dyDescent="0.2">
      <c r="A20" s="129" t="s">
        <v>431</v>
      </c>
      <c r="B20" s="130" t="s">
        <v>412</v>
      </c>
      <c r="C20" s="64">
        <f t="shared" ref="C20:V20" si="5">[1]!StB08KreisMN($E$3,$E$5,$I$2,$I$3,$I$4,$I$5,$I$6,$I$7,$I$8,$I$9,$M$2,$M$3,$M$4,$M$5,$M$6,C$11,C$12,6+($N$7-1)*10)</f>
        <v>1.1499999999999999</v>
      </c>
      <c r="D20" s="64">
        <f t="shared" si="5"/>
        <v>1.1499999999999999</v>
      </c>
      <c r="E20" s="64">
        <f t="shared" si="5"/>
        <v>1.1495964068993532</v>
      </c>
      <c r="F20" s="64">
        <f t="shared" si="5"/>
        <v>1.1396832301553073</v>
      </c>
      <c r="G20" s="64">
        <f t="shared" si="5"/>
        <v>1.2159312927501533</v>
      </c>
      <c r="H20" s="64">
        <f t="shared" si="5"/>
        <v>99999.999999999985</v>
      </c>
      <c r="I20" s="64">
        <f t="shared" si="5"/>
        <v>1.493490654246669</v>
      </c>
      <c r="J20" s="64">
        <f t="shared" si="5"/>
        <v>1.4925978972238843</v>
      </c>
      <c r="K20" s="64">
        <f t="shared" si="5"/>
        <v>1.4175423029768126</v>
      </c>
      <c r="L20" s="64">
        <f t="shared" si="5"/>
        <v>1.2204007882936008</v>
      </c>
      <c r="M20" s="64">
        <f t="shared" si="5"/>
        <v>8.5451320177642387</v>
      </c>
      <c r="N20" s="64">
        <f t="shared" si="5"/>
        <v>8.4782121125451955</v>
      </c>
      <c r="O20" s="64">
        <f t="shared" si="5"/>
        <v>7.9218498898174614</v>
      </c>
      <c r="P20" s="64">
        <f t="shared" si="5"/>
        <v>3.3787027268566461</v>
      </c>
      <c r="Q20" s="64">
        <f t="shared" si="5"/>
        <v>1.2243992558412118</v>
      </c>
      <c r="R20" s="64">
        <f t="shared" si="5"/>
        <v>1.7323051557509033</v>
      </c>
      <c r="S20" s="64">
        <f t="shared" si="5"/>
        <v>1.7307475646211894</v>
      </c>
      <c r="T20" s="64">
        <f t="shared" si="5"/>
        <v>1.7144021540148859</v>
      </c>
      <c r="U20" s="64">
        <f t="shared" si="5"/>
        <v>1.5635880038231911</v>
      </c>
      <c r="V20" s="64">
        <f t="shared" si="5"/>
        <v>1.2842303859594348</v>
      </c>
    </row>
    <row r="21" spans="1:22" x14ac:dyDescent="0.2">
      <c r="A21" s="21" t="s">
        <v>174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x14ac:dyDescent="0.2">
      <c r="A22" s="138" t="s">
        <v>421</v>
      </c>
      <c r="B22" s="130" t="s">
        <v>86</v>
      </c>
      <c r="C22" s="140">
        <f t="shared" ref="C22:V22" si="6">[1]!StB08KreisasymMN($E$3,$E$5,$E$7*PI()/180,$E$8,$I$2,$I$3,$I$4,$I$5,$I$6,$I$7,$I$8,$I$9,$M$2,$M$3,$M$4,$M$5,$M$6,C$11,C$12,1+($N$7-1)*10)</f>
        <v>2.5000000000000001E-2</v>
      </c>
      <c r="D22" s="140">
        <f t="shared" si="6"/>
        <v>2.4989650370649995E-2</v>
      </c>
      <c r="E22" s="140">
        <f t="shared" si="6"/>
        <v>2.4943077038574967E-2</v>
      </c>
      <c r="F22" s="140">
        <f t="shared" si="6"/>
        <v>2.4958601482599974E-2</v>
      </c>
      <c r="G22" s="140">
        <f t="shared" si="6"/>
        <v>-3.5000000000000001E-3</v>
      </c>
      <c r="H22" s="140">
        <f t="shared" si="6"/>
        <v>-2E-3</v>
      </c>
      <c r="I22" s="140">
        <f t="shared" si="6"/>
        <v>-4.4844486799742995E-4</v>
      </c>
      <c r="J22" s="140">
        <f t="shared" si="6"/>
        <v>-1.1984695699557195E-3</v>
      </c>
      <c r="K22" s="140">
        <f t="shared" si="6"/>
        <v>-3.5000000000000001E-3</v>
      </c>
      <c r="L22" s="140">
        <f t="shared" si="6"/>
        <v>-3.5000000000000001E-3</v>
      </c>
      <c r="M22" s="140">
        <f t="shared" si="6"/>
        <v>-2E-3</v>
      </c>
      <c r="N22" s="140">
        <f t="shared" si="6"/>
        <v>-2.3423558285361845E-3</v>
      </c>
      <c r="O22" s="140">
        <f t="shared" si="6"/>
        <v>-3.0446166992187502E-3</v>
      </c>
      <c r="P22" s="140">
        <f t="shared" si="6"/>
        <v>-3.5000000000000001E-3</v>
      </c>
      <c r="Q22" s="140">
        <f t="shared" si="6"/>
        <v>-3.5000000000000001E-3</v>
      </c>
      <c r="R22" s="140">
        <f t="shared" si="6"/>
        <v>-2E-3</v>
      </c>
      <c r="S22" s="140">
        <f t="shared" si="6"/>
        <v>-3.5000000000000001E-3</v>
      </c>
      <c r="T22" s="140">
        <f t="shared" si="6"/>
        <v>-2.4188175463676453E-3</v>
      </c>
      <c r="U22" s="140">
        <f t="shared" si="6"/>
        <v>-3.3177509966481012E-3</v>
      </c>
      <c r="V22" s="140">
        <f t="shared" si="6"/>
        <v>-3.5000000000000001E-3</v>
      </c>
    </row>
    <row r="23" spans="1:22" x14ac:dyDescent="0.2">
      <c r="A23" s="138" t="s">
        <v>421</v>
      </c>
      <c r="B23" s="130" t="s">
        <v>86</v>
      </c>
      <c r="C23" s="146">
        <f t="shared" ref="C23:V23" si="7">[1]!StB08KreisasymMN($E$3,$E$5,$E$7*PI()/180,$E$8,$I$2,$I$3,$I$4,$I$5,$I$6,$I$7,$I$8,$I$9,$M$2,$M$3,$M$4,$M$5,$M$6,C$11,C$12,2+($N$7-1)*10)</f>
        <v>2.5000000000000001E-2</v>
      </c>
      <c r="D23" s="146">
        <f t="shared" si="7"/>
        <v>2.5001478518478573E-2</v>
      </c>
      <c r="E23" s="146">
        <f t="shared" si="7"/>
        <v>2.500813185163215E-2</v>
      </c>
      <c r="F23" s="146">
        <f t="shared" si="7"/>
        <v>2.5005914073914292E-2</v>
      </c>
      <c r="G23" s="146">
        <f t="shared" si="7"/>
        <v>3.9127957497839911E-3</v>
      </c>
      <c r="H23" s="146">
        <f t="shared" si="7"/>
        <v>-2E-3</v>
      </c>
      <c r="I23" s="146">
        <f t="shared" si="7"/>
        <v>2.8635492123999635E-2</v>
      </c>
      <c r="J23" s="146">
        <f t="shared" si="7"/>
        <v>2.8742638509993677E-2</v>
      </c>
      <c r="K23" s="146">
        <f t="shared" si="7"/>
        <v>2.3355461169298073E-2</v>
      </c>
      <c r="L23" s="146">
        <f t="shared" si="7"/>
        <v>3.2621294755343774E-3</v>
      </c>
      <c r="M23" s="146">
        <f t="shared" si="7"/>
        <v>-2E-3</v>
      </c>
      <c r="N23" s="146">
        <f t="shared" si="7"/>
        <v>-1.5435255619517542E-3</v>
      </c>
      <c r="O23" s="146">
        <f t="shared" si="7"/>
        <v>-6.0717773437500002E-4</v>
      </c>
      <c r="P23" s="146">
        <f t="shared" si="7"/>
        <v>3.3028122942549208E-3</v>
      </c>
      <c r="Q23" s="146">
        <f t="shared" si="7"/>
        <v>3.4879945524810782E-3</v>
      </c>
      <c r="R23" s="146">
        <f t="shared" si="7"/>
        <v>-2E-3</v>
      </c>
      <c r="S23" s="146">
        <f t="shared" si="7"/>
        <v>5.690599998284915E-4</v>
      </c>
      <c r="T23" s="146">
        <f t="shared" si="7"/>
        <v>-1.4415766048431397E-3</v>
      </c>
      <c r="U23" s="146">
        <f t="shared" si="7"/>
        <v>-2.4299867113586511E-4</v>
      </c>
      <c r="V23" s="146">
        <f t="shared" si="7"/>
        <v>2.0411138779382523E-3</v>
      </c>
    </row>
    <row r="24" spans="1:22" x14ac:dyDescent="0.2">
      <c r="A24" s="138" t="s">
        <v>422</v>
      </c>
      <c r="B24" s="130" t="s">
        <v>86</v>
      </c>
      <c r="C24" s="146">
        <f t="shared" ref="C24:V24" si="8">[1]!StB08KreisasymMN($E$3,$E$5,$E$7*PI()/180,$E$8,$I$2,$I$3,$I$4,$I$5,$I$6,$I$7,$I$8,$I$9,$M$2,$M$3,$M$4,$M$5,$M$6,C$11,C$12,3+($N$7-1)*10)</f>
        <v>2.5000000000000001E-2</v>
      </c>
      <c r="D24" s="146">
        <f t="shared" si="8"/>
        <v>2.4991128889128567E-2</v>
      </c>
      <c r="E24" s="146">
        <f t="shared" si="8"/>
        <v>2.4951208890207115E-2</v>
      </c>
      <c r="F24" s="146">
        <f t="shared" si="8"/>
        <v>2.4964515556514265E-2</v>
      </c>
      <c r="G24" s="146">
        <f t="shared" si="8"/>
        <v>-2.5734005312770011E-3</v>
      </c>
      <c r="H24" s="146" t="str">
        <f t="shared" si="8"/>
        <v/>
      </c>
      <c r="I24" s="146">
        <f t="shared" si="8"/>
        <v>3.1870472560022031E-3</v>
      </c>
      <c r="J24" s="146">
        <f t="shared" si="8"/>
        <v>2.5441689400379549E-3</v>
      </c>
      <c r="K24" s="146">
        <f t="shared" si="8"/>
        <v>-1.4306735383774093E-4</v>
      </c>
      <c r="L24" s="146">
        <f t="shared" si="8"/>
        <v>-2.6547338155582028E-3</v>
      </c>
      <c r="M24" s="146" t="str">
        <f t="shared" si="8"/>
        <v/>
      </c>
      <c r="N24" s="146" t="str">
        <f t="shared" si="8"/>
        <v/>
      </c>
      <c r="O24" s="146" t="str">
        <f t="shared" si="8"/>
        <v/>
      </c>
      <c r="P24" s="146" t="str">
        <f t="shared" si="8"/>
        <v/>
      </c>
      <c r="Q24" s="146">
        <f t="shared" si="8"/>
        <v>-2.6265006809398652E-3</v>
      </c>
      <c r="R24" s="146">
        <f t="shared" si="8"/>
        <v>-2E-3</v>
      </c>
      <c r="S24" s="146">
        <f t="shared" si="8"/>
        <v>-2.9913675000214387E-3</v>
      </c>
      <c r="T24" s="146">
        <f t="shared" si="8"/>
        <v>-2.2966624286770822E-3</v>
      </c>
      <c r="U24" s="146">
        <f t="shared" si="8"/>
        <v>-2.9334069559590718E-3</v>
      </c>
      <c r="V24" s="146">
        <f t="shared" si="8"/>
        <v>-2.8073607652577184E-3</v>
      </c>
    </row>
    <row r="25" spans="1:22" x14ac:dyDescent="0.2">
      <c r="A25" s="138" t="s">
        <v>423</v>
      </c>
      <c r="B25" s="130" t="s">
        <v>86</v>
      </c>
      <c r="C25" s="146">
        <f t="shared" ref="C25:V25" si="9">[1]!StB08KreisasymMN($E$3,$E$5,$E$7*PI()/180,$E$8,$I$2,$I$3,$I$4,$I$5,$I$6,$I$7,$I$8,$I$9,$M$2,$M$3,$M$4,$M$5,$M$6,C$11,C$12,4+($N$7-1)*10)</f>
        <v>2.5000000000000001E-2</v>
      </c>
      <c r="D25" s="146">
        <f t="shared" si="9"/>
        <v>2.5000000000000001E-2</v>
      </c>
      <c r="E25" s="146">
        <f t="shared" si="9"/>
        <v>2.5000000000000001E-2</v>
      </c>
      <c r="F25" s="146">
        <f t="shared" si="9"/>
        <v>2.5000000000000001E-2</v>
      </c>
      <c r="G25" s="146">
        <f t="shared" si="9"/>
        <v>2.9861962810609922E-3</v>
      </c>
      <c r="H25" s="146" t="str">
        <f t="shared" si="9"/>
        <v/>
      </c>
      <c r="I25" s="146">
        <f t="shared" si="9"/>
        <v>2.5000000000000001E-2</v>
      </c>
      <c r="J25" s="146">
        <f t="shared" si="9"/>
        <v>2.5000000000000001E-2</v>
      </c>
      <c r="K25" s="146">
        <f t="shared" si="9"/>
        <v>1.9998528523135814E-2</v>
      </c>
      <c r="L25" s="146">
        <f t="shared" si="9"/>
        <v>2.4168632910925802E-3</v>
      </c>
      <c r="M25" s="146" t="str">
        <f t="shared" si="9"/>
        <v/>
      </c>
      <c r="N25" s="146" t="str">
        <f t="shared" si="9"/>
        <v/>
      </c>
      <c r="O25" s="146" t="str">
        <f t="shared" si="9"/>
        <v/>
      </c>
      <c r="P25" s="146" t="str">
        <f t="shared" si="9"/>
        <v/>
      </c>
      <c r="Q25" s="146">
        <f t="shared" si="9"/>
        <v>2.6144952334209433E-3</v>
      </c>
      <c r="R25" s="146">
        <f t="shared" si="9"/>
        <v>-2E-3</v>
      </c>
      <c r="S25" s="146">
        <f t="shared" si="9"/>
        <v>6.0427499849930025E-5</v>
      </c>
      <c r="T25" s="146">
        <f t="shared" si="9"/>
        <v>-1.5637317225337029E-3</v>
      </c>
      <c r="U25" s="146">
        <f t="shared" si="9"/>
        <v>-6.2734271182489463E-4</v>
      </c>
      <c r="V25" s="146">
        <f t="shared" si="9"/>
        <v>1.3484746431959708E-3</v>
      </c>
    </row>
    <row r="26" spans="1:22" x14ac:dyDescent="0.2">
      <c r="A26" s="139" t="s">
        <v>79</v>
      </c>
      <c r="B26" s="130" t="s">
        <v>12</v>
      </c>
      <c r="C26" s="64">
        <f t="shared" ref="C26:V26" si="10">[1]!StB08KreisasymMN($E$3,$E$5,$E$7*PI()/180,$E$8,$I$2,$I$3,$I$4,$I$5,$I$6,$I$7,$I$8,$I$9,$M$2,$M$3,$M$4,$M$5,$M$6,C$11,C$12,5+($N$7-1)*10)</f>
        <v>10.454545454545459</v>
      </c>
      <c r="D26" s="64">
        <f t="shared" si="10"/>
        <v>10.377633833114505</v>
      </c>
      <c r="E26" s="64">
        <f t="shared" si="10"/>
        <v>9.6822313689659598</v>
      </c>
      <c r="F26" s="64">
        <f t="shared" si="10"/>
        <v>2.7135730664819193</v>
      </c>
      <c r="G26" s="64">
        <f t="shared" si="10"/>
        <v>34.82893654200597</v>
      </c>
      <c r="H26" s="64">
        <f t="shared" si="10"/>
        <v>0</v>
      </c>
      <c r="I26" s="64">
        <f t="shared" si="10"/>
        <v>2.5328981883852462E-3</v>
      </c>
      <c r="J26" s="64">
        <f t="shared" si="10"/>
        <v>0</v>
      </c>
      <c r="K26" s="64">
        <f t="shared" si="10"/>
        <v>0</v>
      </c>
      <c r="L26" s="64">
        <f t="shared" si="10"/>
        <v>41.608024501562646</v>
      </c>
      <c r="M26" s="64">
        <f t="shared" si="10"/>
        <v>0</v>
      </c>
      <c r="N26" s="64">
        <f t="shared" si="10"/>
        <v>0</v>
      </c>
      <c r="O26" s="64">
        <f t="shared" si="10"/>
        <v>0</v>
      </c>
      <c r="P26" s="64">
        <f t="shared" si="10"/>
        <v>0</v>
      </c>
      <c r="Q26" s="64">
        <f t="shared" si="10"/>
        <v>55.875833883920855</v>
      </c>
      <c r="R26" s="64">
        <f t="shared" si="10"/>
        <v>1.4549220123784736</v>
      </c>
      <c r="S26" s="64">
        <f t="shared" si="10"/>
        <v>0.16195587174496437</v>
      </c>
      <c r="T26" s="64">
        <f t="shared" si="10"/>
        <v>1.7866019789598597</v>
      </c>
      <c r="U26" s="64">
        <f t="shared" si="10"/>
        <v>5.1394541750787557</v>
      </c>
      <c r="V26" s="64">
        <f t="shared" si="10"/>
        <v>90.293913282845509</v>
      </c>
    </row>
    <row r="27" spans="1:22" x14ac:dyDescent="0.2">
      <c r="A27" s="139" t="s">
        <v>72</v>
      </c>
      <c r="B27" s="130" t="s">
        <v>12</v>
      </c>
      <c r="C27" s="64">
        <f t="shared" ref="C27:V27" si="11">[1]!StB08KreisasymMN($E$3,$E$5,$E$7*PI()/180,$E$8,$I$2,$I$3,$I$4,$I$5,$I$6,$I$7,$I$8,$I$9,$M$2,$M$3,$M$4,$M$5,$M$6,C$11,C$12,6+($N$7-1)*10)</f>
        <v>10.454545454545459</v>
      </c>
      <c r="D27" s="64">
        <f t="shared" si="11"/>
        <v>10.531947989441777</v>
      </c>
      <c r="E27" s="64">
        <f t="shared" si="11"/>
        <v>11.228785197508687</v>
      </c>
      <c r="F27" s="64">
        <f t="shared" si="11"/>
        <v>18.196048522348068</v>
      </c>
      <c r="G27" s="64">
        <f t="shared" si="11"/>
        <v>102.43623438462045</v>
      </c>
      <c r="H27" s="64">
        <f t="shared" si="11"/>
        <v>0</v>
      </c>
      <c r="I27" s="64">
        <f t="shared" si="11"/>
        <v>6.2739871486362314E-2</v>
      </c>
      <c r="J27" s="64">
        <f t="shared" si="11"/>
        <v>0.64046511026956432</v>
      </c>
      <c r="K27" s="64">
        <f t="shared" si="11"/>
        <v>6.9358102696683037</v>
      </c>
      <c r="L27" s="64">
        <f t="shared" si="11"/>
        <v>105.62848651414129</v>
      </c>
      <c r="M27" s="64">
        <f t="shared" si="11"/>
        <v>0</v>
      </c>
      <c r="N27" s="64">
        <f t="shared" si="11"/>
        <v>0</v>
      </c>
      <c r="O27" s="64">
        <f t="shared" si="11"/>
        <v>0</v>
      </c>
      <c r="P27" s="64">
        <f t="shared" si="11"/>
        <v>0</v>
      </c>
      <c r="Q27" s="64">
        <f t="shared" si="11"/>
        <v>85.09278659494457</v>
      </c>
      <c r="R27" s="64">
        <f t="shared" si="11"/>
        <v>1.4549220123784736</v>
      </c>
      <c r="S27" s="64">
        <f t="shared" si="11"/>
        <v>822.8094475758013</v>
      </c>
      <c r="T27" s="64">
        <f t="shared" si="11"/>
        <v>1.8224508198199885</v>
      </c>
      <c r="U27" s="64">
        <f t="shared" si="11"/>
        <v>5.1394541750787557</v>
      </c>
      <c r="V27" s="64">
        <f t="shared" si="11"/>
        <v>90.293913282845509</v>
      </c>
    </row>
    <row r="28" spans="1:22" x14ac:dyDescent="0.2">
      <c r="A28" s="129" t="s">
        <v>431</v>
      </c>
      <c r="B28" s="130" t="s">
        <v>412</v>
      </c>
      <c r="C28" s="64">
        <f t="shared" ref="C28:V28" si="12">[1]!StB08KreisasymMN($E$3,$E$5,$E$7*PI()/180,$E$8,$I$2,$I$3,$I$4,$I$5,$I$6,$I$7,$I$8,$I$9,$M$2,$M$3,$M$4,$M$5,$M$6,C$11,C$12,7+($N$7-1)*10)</f>
        <v>1.1499999999999999</v>
      </c>
      <c r="D28" s="64">
        <f t="shared" si="12"/>
        <v>1.1499999999999999</v>
      </c>
      <c r="E28" s="64">
        <f t="shared" si="12"/>
        <v>1.1499999999999999</v>
      </c>
      <c r="F28" s="64">
        <f t="shared" si="12"/>
        <v>1.1499999999999999</v>
      </c>
      <c r="G28" s="64">
        <f t="shared" si="12"/>
        <v>1.2258605800042865</v>
      </c>
      <c r="H28" s="64">
        <f t="shared" si="12"/>
        <v>99999.999999999985</v>
      </c>
      <c r="I28" s="64">
        <f t="shared" si="12"/>
        <v>1.3638061649402518</v>
      </c>
      <c r="J28" s="64">
        <f t="shared" si="12"/>
        <v>1.3556812079020502</v>
      </c>
      <c r="K28" s="64">
        <f t="shared" si="12"/>
        <v>1.3469786257708158</v>
      </c>
      <c r="L28" s="64">
        <f t="shared" si="12"/>
        <v>1.2290084247819335</v>
      </c>
      <c r="M28" s="64">
        <f t="shared" si="12"/>
        <v>8.5451320177642387</v>
      </c>
      <c r="N28" s="64">
        <f t="shared" si="12"/>
        <v>8.4782121125451955</v>
      </c>
      <c r="O28" s="64">
        <f t="shared" si="12"/>
        <v>7.9218498898174614</v>
      </c>
      <c r="P28" s="64">
        <f t="shared" si="12"/>
        <v>3.3787027268566461</v>
      </c>
      <c r="Q28" s="64">
        <f t="shared" si="12"/>
        <v>1.2280043168602437</v>
      </c>
      <c r="R28" s="64">
        <f t="shared" si="12"/>
        <v>1.7323051557509033</v>
      </c>
      <c r="S28" s="64">
        <f t="shared" si="12"/>
        <v>1.6471159607829109</v>
      </c>
      <c r="T28" s="64">
        <f t="shared" si="12"/>
        <v>1.7154218895893905</v>
      </c>
      <c r="U28" s="64">
        <f t="shared" si="12"/>
        <v>1.5709568281786312</v>
      </c>
      <c r="V28" s="64">
        <f t="shared" si="12"/>
        <v>1.2930561606351965</v>
      </c>
    </row>
    <row r="29" spans="1:22" x14ac:dyDescent="0.2">
      <c r="A29" s="21" t="s">
        <v>175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">
      <c r="A30" s="138" t="s">
        <v>421</v>
      </c>
      <c r="B30" s="130" t="s">
        <v>86</v>
      </c>
      <c r="C30" s="140">
        <f t="shared" ref="C30:V30" si="13">[1]!StB08RechteckMN($E$3,$E$4,$E$5,$E$6,$E$8,$I$2,$I$3,$I$4,$I$5,$I$6,$I$7,$I$8,$I$9,$M$2,$M$3,$M$4,$M$5,$M$6,C$11,C$12,1+($N$7-1)*10)</f>
        <v>2.5000000000000001E-2</v>
      </c>
      <c r="D30" s="140">
        <f t="shared" si="13"/>
        <v>2.4834076482489708E-2</v>
      </c>
      <c r="E30" s="140">
        <f t="shared" si="13"/>
        <v>2.4834076482489708E-2</v>
      </c>
      <c r="F30" s="140">
        <f t="shared" si="13"/>
        <v>2.4668152964979411E-2</v>
      </c>
      <c r="G30" s="140">
        <f t="shared" si="13"/>
        <v>-3.5000000000000001E-3</v>
      </c>
      <c r="H30" s="140">
        <f t="shared" si="13"/>
        <v>-2E-3</v>
      </c>
      <c r="I30" s="140">
        <f t="shared" si="13"/>
        <v>-1.3741290280967956E-4</v>
      </c>
      <c r="J30" s="140">
        <f t="shared" si="13"/>
        <v>-4.4592694318038392E-4</v>
      </c>
      <c r="K30" s="140">
        <f t="shared" si="13"/>
        <v>-1.6449836126883751E-3</v>
      </c>
      <c r="L30" s="140">
        <f t="shared" si="13"/>
        <v>-3.5000000000000001E-3</v>
      </c>
      <c r="M30" s="140">
        <f t="shared" si="13"/>
        <v>-2E-3</v>
      </c>
      <c r="N30" s="140">
        <f t="shared" si="13"/>
        <v>-2.2865953947368424E-3</v>
      </c>
      <c r="O30" s="140">
        <f t="shared" si="13"/>
        <v>-2.8791118421052637E-3</v>
      </c>
      <c r="P30" s="140">
        <f t="shared" si="13"/>
        <v>-3.5000000000000001E-3</v>
      </c>
      <c r="Q30" s="140">
        <f t="shared" si="13"/>
        <v>-3.5000000000000001E-3</v>
      </c>
      <c r="R30" s="140">
        <f t="shared" si="13"/>
        <v>-2E-3</v>
      </c>
      <c r="S30" s="140">
        <f t="shared" si="13"/>
        <v>-2.1284950657894735E-3</v>
      </c>
      <c r="T30" s="140">
        <f t="shared" si="13"/>
        <v>-2.403834292763158E-3</v>
      </c>
      <c r="U30" s="140">
        <f t="shared" si="13"/>
        <v>-3.204435649671052E-3</v>
      </c>
      <c r="V30" s="140">
        <f t="shared" si="13"/>
        <v>-3.5000000000000001E-3</v>
      </c>
    </row>
    <row r="31" spans="1:22" x14ac:dyDescent="0.2">
      <c r="A31" s="138" t="s">
        <v>421</v>
      </c>
      <c r="B31" s="130" t="s">
        <v>86</v>
      </c>
      <c r="C31" s="140">
        <f t="shared" ref="C31:V31" si="14">[1]!StB08RechteckMN($E$3,$E$4,$E$5,$E$6,$E$8,$I$2,$I$3,$I$4,$I$5,$I$6,$I$7,$I$8,$I$9,$M$2,$M$3,$M$4,$M$5,$M$6,C$11,C$12,2+($N$7-1)*10)</f>
        <v>2.5000000000000001E-2</v>
      </c>
      <c r="D31" s="140">
        <f t="shared" si="14"/>
        <v>2.502370335964433E-2</v>
      </c>
      <c r="E31" s="140">
        <f t="shared" si="14"/>
        <v>2.502370335964433E-2</v>
      </c>
      <c r="F31" s="140">
        <f t="shared" si="14"/>
        <v>2.5047406719288658E-2</v>
      </c>
      <c r="G31" s="140">
        <f t="shared" si="14"/>
        <v>5.0088837517363871E-3</v>
      </c>
      <c r="H31" s="140">
        <f t="shared" si="14"/>
        <v>-2E-3</v>
      </c>
      <c r="I31" s="140">
        <f t="shared" si="14"/>
        <v>2.8591058986115671E-2</v>
      </c>
      <c r="J31" s="140">
        <f t="shared" si="14"/>
        <v>2.8635132420454342E-2</v>
      </c>
      <c r="K31" s="140">
        <f t="shared" si="14"/>
        <v>2.8806426230384055E-2</v>
      </c>
      <c r="L31" s="140">
        <f t="shared" si="14"/>
        <v>3.3613378156685651E-3</v>
      </c>
      <c r="M31" s="140">
        <f t="shared" si="14"/>
        <v>-2E-3</v>
      </c>
      <c r="N31" s="140">
        <f t="shared" si="14"/>
        <v>-1.6178728070175437E-3</v>
      </c>
      <c r="O31" s="140">
        <f t="shared" si="14"/>
        <v>-8.2785087719298197E-4</v>
      </c>
      <c r="P31" s="140">
        <f t="shared" si="14"/>
        <v>2.3235028489191735E-3</v>
      </c>
      <c r="Q31" s="140">
        <f t="shared" si="14"/>
        <v>3.3137361674354655E-3</v>
      </c>
      <c r="R31" s="140">
        <f t="shared" si="14"/>
        <v>-2E-3</v>
      </c>
      <c r="S31" s="140">
        <f t="shared" si="14"/>
        <v>-1.8286732456140355E-3</v>
      </c>
      <c r="T31" s="140">
        <f t="shared" si="14"/>
        <v>-1.4615542763157896E-3</v>
      </c>
      <c r="U31" s="140">
        <f t="shared" si="14"/>
        <v>-3.9408580043859726E-4</v>
      </c>
      <c r="V31" s="140">
        <f t="shared" si="14"/>
        <v>2.4621955712655808E-3</v>
      </c>
    </row>
    <row r="32" spans="1:22" x14ac:dyDescent="0.2">
      <c r="A32" s="138" t="s">
        <v>422</v>
      </c>
      <c r="B32" s="130" t="s">
        <v>86</v>
      </c>
      <c r="C32" s="140">
        <f t="shared" ref="C32:V32" si="15">[1]!StB08RechteckMN($E$3,$E$4,$E$5,$E$6,$E$8,$I$2,$I$3,$I$4,$I$5,$I$6,$I$7,$I$8,$I$9,$M$2,$M$3,$M$4,$M$5,$M$6,C$11,C$12,3+($N$7-1)*10)</f>
        <v>2.5000000000000001E-2</v>
      </c>
      <c r="D32" s="140">
        <f t="shared" si="15"/>
        <v>2.4857779842134036E-2</v>
      </c>
      <c r="E32" s="140">
        <f t="shared" si="15"/>
        <v>2.4857779842134036E-2</v>
      </c>
      <c r="F32" s="140">
        <f t="shared" si="15"/>
        <v>2.4715559684268067E-2</v>
      </c>
      <c r="G32" s="140">
        <f t="shared" si="15"/>
        <v>-2.4363895310329517E-3</v>
      </c>
      <c r="H32" s="140" t="str">
        <f t="shared" si="15"/>
        <v/>
      </c>
      <c r="I32" s="140">
        <f t="shared" si="15"/>
        <v>3.4536460833059892E-3</v>
      </c>
      <c r="J32" s="140">
        <f t="shared" si="15"/>
        <v>3.189205477273957E-3</v>
      </c>
      <c r="K32" s="140">
        <f t="shared" si="15"/>
        <v>2.1614426176956789E-3</v>
      </c>
      <c r="L32" s="140">
        <f t="shared" si="15"/>
        <v>-2.6423327730414293E-3</v>
      </c>
      <c r="M32" s="140" t="str">
        <f t="shared" si="15"/>
        <v/>
      </c>
      <c r="N32" s="140" t="str">
        <f t="shared" si="15"/>
        <v/>
      </c>
      <c r="O32" s="140" t="str">
        <f t="shared" si="15"/>
        <v/>
      </c>
      <c r="P32" s="140" t="str">
        <f t="shared" si="15"/>
        <v/>
      </c>
      <c r="Q32" s="140">
        <f t="shared" si="15"/>
        <v>-2.6482829790705669E-3</v>
      </c>
      <c r="R32" s="140" t="str">
        <f t="shared" si="15"/>
        <v/>
      </c>
      <c r="S32" s="140" t="str">
        <f t="shared" si="15"/>
        <v/>
      </c>
      <c r="T32" s="140" t="str">
        <f t="shared" si="15"/>
        <v/>
      </c>
      <c r="U32" s="140" t="str">
        <f t="shared" si="15"/>
        <v/>
      </c>
      <c r="V32" s="140">
        <f t="shared" si="15"/>
        <v>-2.7547255535918026E-3</v>
      </c>
    </row>
    <row r="33" spans="1:24" x14ac:dyDescent="0.2">
      <c r="A33" s="138" t="s">
        <v>423</v>
      </c>
      <c r="B33" s="130" t="s">
        <v>86</v>
      </c>
      <c r="C33" s="140">
        <f t="shared" ref="C33:V33" si="16">[1]!StB08RechteckMN($E$3,$E$4,$E$5,$E$6,$E$8,$I$2,$I$3,$I$4,$I$5,$I$6,$I$7,$I$8,$I$9,$M$2,$M$3,$M$4,$M$5,$M$6,C$11,C$12,4+($N$7-1)*10)</f>
        <v>2.5000000000000001E-2</v>
      </c>
      <c r="D33" s="140">
        <f t="shared" si="16"/>
        <v>2.5000000000000001E-2</v>
      </c>
      <c r="E33" s="140">
        <f t="shared" si="16"/>
        <v>2.5000000000000001E-2</v>
      </c>
      <c r="F33" s="140">
        <f t="shared" si="16"/>
        <v>2.5000000000000001E-2</v>
      </c>
      <c r="G33" s="140">
        <f t="shared" si="16"/>
        <v>3.9452732827693383E-3</v>
      </c>
      <c r="H33" s="140" t="str">
        <f t="shared" si="16"/>
        <v/>
      </c>
      <c r="I33" s="140">
        <f t="shared" si="16"/>
        <v>2.5000000000000001E-2</v>
      </c>
      <c r="J33" s="140">
        <f t="shared" si="16"/>
        <v>2.5000000000000001E-2</v>
      </c>
      <c r="K33" s="140">
        <f t="shared" si="16"/>
        <v>2.5000000000000001E-2</v>
      </c>
      <c r="L33" s="140">
        <f t="shared" si="16"/>
        <v>2.5036705887099943E-3</v>
      </c>
      <c r="M33" s="140" t="str">
        <f t="shared" si="16"/>
        <v/>
      </c>
      <c r="N33" s="140" t="str">
        <f t="shared" si="16"/>
        <v/>
      </c>
      <c r="O33" s="140" t="str">
        <f t="shared" si="16"/>
        <v/>
      </c>
      <c r="P33" s="140" t="str">
        <f t="shared" si="16"/>
        <v/>
      </c>
      <c r="Q33" s="140">
        <f t="shared" si="16"/>
        <v>2.4620191465060323E-3</v>
      </c>
      <c r="R33" s="140" t="str">
        <f t="shared" si="16"/>
        <v/>
      </c>
      <c r="S33" s="140" t="str">
        <f t="shared" si="16"/>
        <v/>
      </c>
      <c r="T33" s="140" t="str">
        <f t="shared" si="16"/>
        <v/>
      </c>
      <c r="U33" s="140" t="str">
        <f t="shared" si="16"/>
        <v/>
      </c>
      <c r="V33" s="140">
        <f t="shared" si="16"/>
        <v>1.7169211248573831E-3</v>
      </c>
    </row>
    <row r="34" spans="1:24" x14ac:dyDescent="0.2">
      <c r="A34" s="139" t="s">
        <v>79</v>
      </c>
      <c r="B34" s="130" t="s">
        <v>12</v>
      </c>
      <c r="C34" s="64">
        <f t="shared" ref="C34:V34" si="17">[1]!StB08RechteckMN($E$3,$E$4,$E$5,$E$6,$E$8,$I$2,$I$3,$I$4,$I$5,$I$6,$I$7,$I$8,$I$9,$M$2,$M$3,$M$4,$M$5,$M$6,C$11,C$12,5+($N$7-1)*10)</f>
        <v>10.454545454545455</v>
      </c>
      <c r="D34" s="64">
        <f t="shared" si="17"/>
        <v>10.390484714076347</v>
      </c>
      <c r="E34" s="64">
        <f t="shared" si="17"/>
        <v>9.7593997931780674</v>
      </c>
      <c r="F34" s="64">
        <f t="shared" si="17"/>
        <v>3.4867297991600963</v>
      </c>
      <c r="G34" s="64">
        <f t="shared" si="17"/>
        <v>0</v>
      </c>
      <c r="H34" s="64">
        <f t="shared" si="17"/>
        <v>0</v>
      </c>
      <c r="I34" s="64">
        <f t="shared" si="17"/>
        <v>2.4525159779541224E-3</v>
      </c>
      <c r="J34" s="64">
        <f t="shared" si="17"/>
        <v>0</v>
      </c>
      <c r="K34" s="64">
        <f t="shared" si="17"/>
        <v>0</v>
      </c>
      <c r="L34" s="64">
        <f t="shared" si="17"/>
        <v>0.55947341284018026</v>
      </c>
      <c r="M34" s="64">
        <f t="shared" si="17"/>
        <v>0</v>
      </c>
      <c r="N34" s="64">
        <f t="shared" si="17"/>
        <v>0</v>
      </c>
      <c r="O34" s="64">
        <f t="shared" si="17"/>
        <v>0</v>
      </c>
      <c r="P34" s="64">
        <f t="shared" si="17"/>
        <v>0</v>
      </c>
      <c r="Q34" s="64">
        <f t="shared" si="17"/>
        <v>11.692215024354891</v>
      </c>
      <c r="R34" s="64">
        <f t="shared" si="17"/>
        <v>0</v>
      </c>
      <c r="S34" s="64">
        <f t="shared" si="17"/>
        <v>0</v>
      </c>
      <c r="T34" s="64">
        <f t="shared" si="17"/>
        <v>0</v>
      </c>
      <c r="U34" s="64">
        <f t="shared" si="17"/>
        <v>0</v>
      </c>
      <c r="V34" s="64">
        <f t="shared" si="17"/>
        <v>50.759025082377676</v>
      </c>
    </row>
    <row r="35" spans="1:24" x14ac:dyDescent="0.2">
      <c r="A35" s="139" t="s">
        <v>72</v>
      </c>
      <c r="B35" s="130" t="s">
        <v>12</v>
      </c>
      <c r="C35" s="64">
        <f t="shared" ref="C35:V35" si="18">[1]!StB08RechteckMN($E$3,$E$4,$E$5,$E$6,$E$8,$I$2,$I$3,$I$4,$I$5,$I$6,$I$7,$I$8,$I$9,$M$2,$M$3,$M$4,$M$5,$M$6,C$11,C$12,6+($N$7-1)*10)</f>
        <v>10.454545454545455</v>
      </c>
      <c r="D35" s="64">
        <f t="shared" si="18"/>
        <v>10.524394434605039</v>
      </c>
      <c r="E35" s="64">
        <f t="shared" si="18"/>
        <v>11.153235141538458</v>
      </c>
      <c r="F35" s="64">
        <f t="shared" si="18"/>
        <v>17.425208707498292</v>
      </c>
      <c r="G35" s="64">
        <f t="shared" si="18"/>
        <v>91.846613315867117</v>
      </c>
      <c r="H35" s="64">
        <f t="shared" si="18"/>
        <v>0</v>
      </c>
      <c r="I35" s="64">
        <f t="shared" si="18"/>
        <v>5.9205875457394079E-2</v>
      </c>
      <c r="J35" s="64">
        <f t="shared" si="18"/>
        <v>0.60061165472282352</v>
      </c>
      <c r="K35" s="64">
        <f t="shared" si="18"/>
        <v>6.1124562180707871</v>
      </c>
      <c r="L35" s="64">
        <f t="shared" si="18"/>
        <v>86.673335401446963</v>
      </c>
      <c r="M35" s="64">
        <f t="shared" si="18"/>
        <v>0</v>
      </c>
      <c r="N35" s="64">
        <f t="shared" si="18"/>
        <v>0</v>
      </c>
      <c r="O35" s="64">
        <f t="shared" si="18"/>
        <v>0</v>
      </c>
      <c r="P35" s="64">
        <f t="shared" si="18"/>
        <v>0</v>
      </c>
      <c r="Q35" s="64">
        <f t="shared" si="18"/>
        <v>76.579660262155784</v>
      </c>
      <c r="R35" s="64">
        <f t="shared" si="18"/>
        <v>0</v>
      </c>
      <c r="S35" s="64">
        <f t="shared" si="18"/>
        <v>0</v>
      </c>
      <c r="T35" s="64">
        <f t="shared" si="18"/>
        <v>0</v>
      </c>
      <c r="U35" s="64">
        <f t="shared" si="18"/>
        <v>0</v>
      </c>
      <c r="V35" s="64">
        <f t="shared" si="18"/>
        <v>50.839376445655027</v>
      </c>
      <c r="W35" s="98"/>
      <c r="X35" s="98"/>
    </row>
    <row r="36" spans="1:24" x14ac:dyDescent="0.2">
      <c r="A36" s="129" t="s">
        <v>431</v>
      </c>
      <c r="B36" s="130" t="s">
        <v>412</v>
      </c>
      <c r="C36" s="64">
        <f t="shared" ref="C36:V36" si="19">[1]!StB08RechteckMN($E$3,$E$4,$E$5,$E$6,$E$8,$I$2,$I$3,$I$4,$I$5,$I$6,$I$7,$I$8,$I$9,$M$2,$M$3,$M$4,$M$5,$M$6,C$11,C$12,7+($N$7-1)*10)</f>
        <v>1.1499999999999999</v>
      </c>
      <c r="D36" s="64">
        <f t="shared" si="19"/>
        <v>1.1499999999999999</v>
      </c>
      <c r="E36" s="64">
        <f t="shared" si="19"/>
        <v>1.1499999999999999</v>
      </c>
      <c r="F36" s="64">
        <f t="shared" si="19"/>
        <v>1.1499999999999999</v>
      </c>
      <c r="G36" s="64">
        <f t="shared" si="19"/>
        <v>1.2890544067894747</v>
      </c>
      <c r="H36" s="64">
        <f t="shared" si="19"/>
        <v>99999.999999999985</v>
      </c>
      <c r="I36" s="64">
        <f t="shared" si="19"/>
        <v>1.3405878369061146</v>
      </c>
      <c r="J36" s="64">
        <f t="shared" si="19"/>
        <v>1.3473561928386499</v>
      </c>
      <c r="K36" s="64">
        <f t="shared" si="19"/>
        <v>1.3468931097653083</v>
      </c>
      <c r="L36" s="64">
        <f t="shared" si="19"/>
        <v>1.3008048768517242</v>
      </c>
      <c r="M36" s="64">
        <f t="shared" si="19"/>
        <v>13.6</v>
      </c>
      <c r="N36" s="64">
        <f t="shared" si="19"/>
        <v>13.505443894162966</v>
      </c>
      <c r="O36" s="64">
        <f t="shared" si="19"/>
        <v>12.710239029400016</v>
      </c>
      <c r="P36" s="64">
        <f t="shared" si="19"/>
        <v>6.6168591619958388</v>
      </c>
      <c r="Q36" s="64">
        <f t="shared" si="19"/>
        <v>1.3010803310174746</v>
      </c>
      <c r="R36" s="64">
        <f t="shared" si="19"/>
        <v>2.7199999999999998</v>
      </c>
      <c r="S36" s="64">
        <f t="shared" si="19"/>
        <v>2.7161978264823672</v>
      </c>
      <c r="T36" s="64">
        <f t="shared" si="19"/>
        <v>2.6824471704091062</v>
      </c>
      <c r="U36" s="64">
        <f t="shared" si="19"/>
        <v>2.3859638775758989</v>
      </c>
      <c r="V36" s="64">
        <f t="shared" si="19"/>
        <v>1.4025068273694736</v>
      </c>
      <c r="W36" s="98"/>
    </row>
    <row r="37" spans="1:24" x14ac:dyDescent="0.2">
      <c r="A37" s="21" t="s">
        <v>176</v>
      </c>
    </row>
    <row r="38" spans="1:24" x14ac:dyDescent="0.2">
      <c r="A38" s="129" t="s">
        <v>21</v>
      </c>
      <c r="B38" s="144" t="s">
        <v>17</v>
      </c>
      <c r="C38" s="23">
        <f t="shared" ref="C38:V38" si="20">[1]!StB08Kreis_Q($E$3,$E$5,$I$2,$I$3,$I$4,$I$5,$I$6,$I$7,$I$8,$I$9,$M$2,$M$3,$M$4,$M$5,$M$6,C$11,C$12,C$13,C$19,($N$8-1)/10,IF($N$9=1,-1,1)*5)</f>
        <v>12.777777777777773</v>
      </c>
      <c r="D38" s="23">
        <f t="shared" si="20"/>
        <v>12.777777777777773</v>
      </c>
      <c r="E38" s="23">
        <f t="shared" si="20"/>
        <v>5.014867827165979</v>
      </c>
      <c r="F38" s="23">
        <f t="shared" si="20"/>
        <v>5.014867827165979</v>
      </c>
      <c r="G38" s="23">
        <f t="shared" si="20"/>
        <v>5.014867827165979</v>
      </c>
      <c r="H38" s="23">
        <f t="shared" si="20"/>
        <v>3.8142620232172462</v>
      </c>
      <c r="I38" s="23">
        <f t="shared" si="20"/>
        <v>12.777777777777773</v>
      </c>
      <c r="J38" s="23">
        <f t="shared" si="20"/>
        <v>5.014867827165979</v>
      </c>
      <c r="K38" s="23">
        <f t="shared" si="20"/>
        <v>5.014867827165979</v>
      </c>
      <c r="L38" s="23">
        <f t="shared" si="20"/>
        <v>5.014867827165979</v>
      </c>
      <c r="M38" s="23">
        <f t="shared" si="20"/>
        <v>3.8142620232172462</v>
      </c>
      <c r="N38" s="23">
        <f t="shared" si="20"/>
        <v>3.8142620232172462</v>
      </c>
      <c r="O38" s="23">
        <f t="shared" si="20"/>
        <v>3.8142620232172462</v>
      </c>
      <c r="P38" s="23">
        <f t="shared" si="20"/>
        <v>3.8142620232172462</v>
      </c>
      <c r="Q38" s="23">
        <f t="shared" si="20"/>
        <v>5.014867827165979</v>
      </c>
      <c r="R38" s="23">
        <f t="shared" si="20"/>
        <v>5.014867827165979</v>
      </c>
      <c r="S38" s="23">
        <f t="shared" si="20"/>
        <v>5.014867827165979</v>
      </c>
      <c r="T38" s="23">
        <f t="shared" si="20"/>
        <v>5.014867827165979</v>
      </c>
      <c r="U38" s="23">
        <f t="shared" si="20"/>
        <v>5.014867827165979</v>
      </c>
      <c r="V38" s="23">
        <f t="shared" si="20"/>
        <v>5.014867827165979</v>
      </c>
    </row>
    <row r="39" spans="1:24" x14ac:dyDescent="0.2">
      <c r="A39" s="21" t="s">
        <v>177</v>
      </c>
    </row>
    <row r="40" spans="1:24" x14ac:dyDescent="0.2">
      <c r="A40" s="129" t="s">
        <v>21</v>
      </c>
      <c r="B40" s="144" t="s">
        <v>17</v>
      </c>
      <c r="C40" s="23">
        <f t="shared" ref="C40:V40" si="21">[1]!StB08Kreisasym_Q($E$3,$E$5,$E$7*PI()/180,$E$8,$I$2,$I$3,$I$4,$I$5,$I$6,$I$7,$I$8,$I$9,$M$2,$M$3,$M$4,$M$5,$M$6,C$11,C$12,C$13,C$26,C$27,($N$8-1)/10,IF($N$9=1,-1,1)*5)</f>
        <v>12.777777777777773</v>
      </c>
      <c r="D40" s="23">
        <f t="shared" si="21"/>
        <v>12.777777777777773</v>
      </c>
      <c r="E40" s="23">
        <f t="shared" si="21"/>
        <v>12.777777777777773</v>
      </c>
      <c r="F40" s="23">
        <f t="shared" si="21"/>
        <v>12.777777777777773</v>
      </c>
      <c r="G40" s="23">
        <f t="shared" si="21"/>
        <v>5.014867827165979</v>
      </c>
      <c r="H40" s="23">
        <f t="shared" si="21"/>
        <v>3.8142620232172462</v>
      </c>
      <c r="I40" s="23">
        <f t="shared" si="21"/>
        <v>12.777777777777773</v>
      </c>
      <c r="J40" s="23">
        <f t="shared" si="21"/>
        <v>5.014867827165979</v>
      </c>
      <c r="K40" s="23">
        <f t="shared" si="21"/>
        <v>5.014867827165979</v>
      </c>
      <c r="L40" s="23">
        <f t="shared" si="21"/>
        <v>5.014867827165979</v>
      </c>
      <c r="M40" s="23">
        <f t="shared" si="21"/>
        <v>3.8142620232172462</v>
      </c>
      <c r="N40" s="23">
        <f t="shared" si="21"/>
        <v>3.8142620232172462</v>
      </c>
      <c r="O40" s="23">
        <f t="shared" si="21"/>
        <v>3.8142620232172462</v>
      </c>
      <c r="P40" s="23">
        <f t="shared" si="21"/>
        <v>12.777777777777773</v>
      </c>
      <c r="Q40" s="23">
        <f t="shared" si="21"/>
        <v>5.014867827165979</v>
      </c>
      <c r="R40" s="23">
        <f t="shared" si="21"/>
        <v>5.014867827165979</v>
      </c>
      <c r="S40" s="23">
        <f t="shared" si="21"/>
        <v>5.014867827165979</v>
      </c>
      <c r="T40" s="23">
        <f t="shared" si="21"/>
        <v>5.014867827165979</v>
      </c>
      <c r="U40" s="23">
        <f t="shared" si="21"/>
        <v>5.014867827165979</v>
      </c>
      <c r="V40" s="23">
        <f t="shared" si="21"/>
        <v>5.014867827165979</v>
      </c>
    </row>
    <row r="41" spans="1:24" x14ac:dyDescent="0.2">
      <c r="A41" s="21" t="s">
        <v>178</v>
      </c>
    </row>
    <row r="42" spans="1:24" x14ac:dyDescent="0.2">
      <c r="A42" s="129" t="s">
        <v>21</v>
      </c>
      <c r="B42" s="144" t="s">
        <v>17</v>
      </c>
      <c r="C42" s="23">
        <f t="shared" ref="C42:V42" si="22">[1]!StB08Rechteck_Q($E$3,$E$4,$E$5,$E$6,$I$2,$I$3,$I$4,$I$5,$I$6,$I$7,$I$8,$I$9,$M$2,$M$3,$M$4,$M$5,$M$6,C$11,C$12,C$13,C$34,C$35,($N$8-1)/10,IF($N$9=1,-1,1)*5)</f>
        <v>11.499999999999996</v>
      </c>
      <c r="D42" s="23">
        <f t="shared" si="22"/>
        <v>11.499999999999996</v>
      </c>
      <c r="E42" s="23">
        <f t="shared" si="22"/>
        <v>11.499999999999996</v>
      </c>
      <c r="F42" s="23">
        <f t="shared" si="22"/>
        <v>11.499999999999996</v>
      </c>
      <c r="G42" s="23">
        <f t="shared" si="22"/>
        <v>7.0733404773895421</v>
      </c>
      <c r="H42" s="23">
        <f t="shared" si="22"/>
        <v>3.6507936507936498</v>
      </c>
      <c r="I42" s="23">
        <f t="shared" si="22"/>
        <v>11.499999999999996</v>
      </c>
      <c r="J42" s="23">
        <f t="shared" si="22"/>
        <v>11.499999999999996</v>
      </c>
      <c r="K42" s="23">
        <f t="shared" si="22"/>
        <v>7.0733404773895421</v>
      </c>
      <c r="L42" s="23">
        <f t="shared" si="22"/>
        <v>7.0733404773895421</v>
      </c>
      <c r="M42" s="23">
        <f t="shared" si="22"/>
        <v>3.6507936507936498</v>
      </c>
      <c r="N42" s="23">
        <f t="shared" si="22"/>
        <v>3.6507936507936498</v>
      </c>
      <c r="O42" s="23">
        <f t="shared" si="22"/>
        <v>3.6507936507936498</v>
      </c>
      <c r="P42" s="23">
        <f t="shared" si="22"/>
        <v>11.499999999999996</v>
      </c>
      <c r="Q42" s="23">
        <f t="shared" si="22"/>
        <v>7.0733404773895421</v>
      </c>
      <c r="R42" s="23">
        <f t="shared" si="22"/>
        <v>0</v>
      </c>
      <c r="S42" s="23">
        <f t="shared" si="22"/>
        <v>0</v>
      </c>
      <c r="T42" s="23">
        <f t="shared" si="22"/>
        <v>0</v>
      </c>
      <c r="U42" s="23">
        <f t="shared" si="22"/>
        <v>0</v>
      </c>
      <c r="V42" s="23">
        <f t="shared" si="22"/>
        <v>7.0733404773895421</v>
      </c>
    </row>
    <row r="66" spans="1:105" x14ac:dyDescent="0.2">
      <c r="A66" s="129" t="s">
        <v>418</v>
      </c>
      <c r="B66" s="130" t="s">
        <v>6</v>
      </c>
      <c r="C66" s="72">
        <v>2</v>
      </c>
      <c r="D66" s="129" t="s">
        <v>18</v>
      </c>
      <c r="E66" s="130" t="s">
        <v>12</v>
      </c>
      <c r="F66" s="64">
        <f>[1]!StB08KreisMN($E$3,$E$5,$I$2,$I$3,$I$4,$I$5,$I$6,$I$7,$I$8,$I$9,$M$2,$M$3,$M$4,$M$5,$M$6,$C$66,$C$67,5+($N$7-1)*10)</f>
        <v>0</v>
      </c>
      <c r="H66" s="129" t="s">
        <v>18</v>
      </c>
      <c r="I66" s="130" t="s">
        <v>12</v>
      </c>
      <c r="J66" s="64">
        <f>[1]!StB08KreisasymMN($E$3,$E$5,$E$7*PI()/180,$E$8,$I$2,$I$3,$I$4,$I$5,$I$6,$I$7,$I$8,$I$9,$M$2,$M$3,$M$4,$M$5,$M$6,$C$66,$C$67,5+($N$7-1)*10)</f>
        <v>0</v>
      </c>
      <c r="K66" s="64">
        <f>[1]!StB08KreisasymMN($E$3,$E$5,$E$7*PI()/180,$E$8,$I$2,$I$3,$I$4,$I$5,$I$6,$I$7,$I$8,$I$9,$M$2,$M$3,$M$4,$M$5,$M$6,$C$66,$C$67,6+($N$7-1)*10)</f>
        <v>0</v>
      </c>
      <c r="M66" s="129" t="s">
        <v>18</v>
      </c>
      <c r="N66" s="130" t="s">
        <v>12</v>
      </c>
      <c r="O66" s="64">
        <f>[1]!StB08RechteckMN($E$3,$E$4,$E$5,$E$6,$E$8,$I$2,$I$3,$I$4,$I$5,$I$6,$I$7,$I$8,$I$9,$M$2,$M$3,$M$4,$M$5,$M$6,$C$66,$C$67,5+($N$7-1)*10)</f>
        <v>0</v>
      </c>
      <c r="P66" s="64">
        <f>[1]!StB08RechteckMN($E$3,$E$4,$E$5,$E$6,$E$8,$I$2,$I$3,$I$4,$I$5,$I$6,$I$7,$I$8,$I$9,$M$2,$M$3,$M$4,$M$5,$M$6,$C$66,$C$67,6+($N$7-1)*10)</f>
        <v>0</v>
      </c>
    </row>
    <row r="67" spans="1:105" x14ac:dyDescent="0.2">
      <c r="A67" s="129" t="s">
        <v>419</v>
      </c>
      <c r="B67" s="130" t="s">
        <v>4</v>
      </c>
      <c r="C67" s="72">
        <v>-1000</v>
      </c>
      <c r="D67" s="1" t="s">
        <v>429</v>
      </c>
      <c r="E67" s="3"/>
      <c r="F67" s="142">
        <f>[1]!StB08KreisMN_test($E$3,$E$5,$I$2,$I$3,$I$4,$I$5,$I$6,$I$7,$I$8,$I$9,$M$2,$M$3,$M$4,$M$5,$M$6,$C$66,$C$67,-1,0)</f>
        <v>-0.46650838851928711</v>
      </c>
      <c r="H67" s="1" t="s">
        <v>429</v>
      </c>
      <c r="I67" s="3"/>
      <c r="J67" s="142">
        <f>[1]!StB08KreisasymMN_test($E$3,$E$5,$E$7*PI()/180,$E$8,$I$2,$I$3,$I$4,$I$5,$I$6,$I$7,$I$8,$I$9,$M$2,$M$3,$M$4,$M$5,$M$6,$C$66,$C$67,-1,0)</f>
        <v>-0.47853469848632813</v>
      </c>
      <c r="K67" s="142">
        <f>[1]!StB08KreisasymMN_test($E$3,$E$5,$E$7*PI()/180,$E$8,$I$2,$I$3,$I$4,$I$5,$I$6,$I$7,$I$8,$I$9,$M$2,$M$3,$M$4,$M$5,$M$6,$C$66,$C$67,-2,0)</f>
        <v>-0.48844146728515625</v>
      </c>
      <c r="M67" s="1" t="s">
        <v>429</v>
      </c>
      <c r="N67" s="3"/>
      <c r="O67" s="142">
        <f>[1]!StB08RechteckMN_test($E$3,$E$4,$E$5,$E$6,$E$8,$I$2,$I$3,$I$4,$I$5,$I$6,$I$7,$I$8,$I$9,$M$2,$M$3,$M$4,$M$5,$M$6,$C$66,$C$67,-1,0)</f>
        <v>-0.46903038024902344</v>
      </c>
      <c r="P67" s="142">
        <f>[1]!StB08RechteckMN_test($E$3,$E$4,$E$5,$E$6,$E$8,$I$2,$I$3,$I$4,$I$5,$I$6,$I$7,$I$8,$I$9,$M$2,$M$3,$M$4,$M$5,$M$6,$C$66,$C$67,-2,0)</f>
        <v>-0.49140071868896484</v>
      </c>
    </row>
    <row r="68" spans="1:105" x14ac:dyDescent="0.2">
      <c r="A68" t="s">
        <v>112</v>
      </c>
      <c r="C68" s="67" t="s">
        <v>424</v>
      </c>
      <c r="D68" s="67" t="s">
        <v>425</v>
      </c>
      <c r="E68" s="53">
        <v>-1</v>
      </c>
      <c r="F68" s="53">
        <f t="shared" ref="F68:Y68" si="23">E68+0.02</f>
        <v>-0.98</v>
      </c>
      <c r="G68" s="53">
        <f t="shared" si="23"/>
        <v>-0.96</v>
      </c>
      <c r="H68" s="53">
        <f t="shared" si="23"/>
        <v>-0.94</v>
      </c>
      <c r="I68" s="53">
        <f t="shared" si="23"/>
        <v>-0.91999999999999993</v>
      </c>
      <c r="J68" s="53">
        <f t="shared" si="23"/>
        <v>-0.89999999999999991</v>
      </c>
      <c r="K68" s="53">
        <f t="shared" si="23"/>
        <v>-0.87999999999999989</v>
      </c>
      <c r="L68" s="53">
        <f t="shared" si="23"/>
        <v>-0.85999999999999988</v>
      </c>
      <c r="M68" s="53">
        <f t="shared" si="23"/>
        <v>-0.83999999999999986</v>
      </c>
      <c r="N68" s="53">
        <f t="shared" si="23"/>
        <v>-0.81999999999999984</v>
      </c>
      <c r="O68" s="53">
        <f t="shared" si="23"/>
        <v>-0.79999999999999982</v>
      </c>
      <c r="P68" s="53">
        <f t="shared" si="23"/>
        <v>-0.7799999999999998</v>
      </c>
      <c r="Q68" s="53">
        <f t="shared" si="23"/>
        <v>-0.75999999999999979</v>
      </c>
      <c r="R68" s="53">
        <f t="shared" si="23"/>
        <v>-0.73999999999999977</v>
      </c>
      <c r="S68" s="53">
        <f t="shared" si="23"/>
        <v>-0.71999999999999975</v>
      </c>
      <c r="T68" s="53">
        <f t="shared" si="23"/>
        <v>-0.69999999999999973</v>
      </c>
      <c r="U68" s="53">
        <f t="shared" si="23"/>
        <v>-0.67999999999999972</v>
      </c>
      <c r="V68" s="53">
        <f t="shared" si="23"/>
        <v>-0.6599999999999997</v>
      </c>
      <c r="W68" s="53">
        <f t="shared" si="23"/>
        <v>-0.63999999999999968</v>
      </c>
      <c r="X68" s="53">
        <f t="shared" si="23"/>
        <v>-0.61999999999999966</v>
      </c>
      <c r="Y68" s="53">
        <f t="shared" si="23"/>
        <v>-0.59999999999999964</v>
      </c>
      <c r="Z68" s="53">
        <f>Y68+0.005</f>
        <v>-0.59499999999999964</v>
      </c>
      <c r="AA68" s="53">
        <f t="shared" ref="AA68:BW68" si="24">Z68+0.005</f>
        <v>-0.58999999999999964</v>
      </c>
      <c r="AB68" s="53">
        <f t="shared" si="24"/>
        <v>-0.58499999999999963</v>
      </c>
      <c r="AC68" s="53">
        <f t="shared" si="24"/>
        <v>-0.57999999999999963</v>
      </c>
      <c r="AD68" s="53">
        <f t="shared" si="24"/>
        <v>-0.57499999999999962</v>
      </c>
      <c r="AE68" s="53">
        <f t="shared" si="24"/>
        <v>-0.56999999999999962</v>
      </c>
      <c r="AF68" s="53">
        <f t="shared" si="24"/>
        <v>-0.56499999999999961</v>
      </c>
      <c r="AG68" s="53">
        <f t="shared" si="24"/>
        <v>-0.55999999999999961</v>
      </c>
      <c r="AH68" s="53">
        <f t="shared" si="24"/>
        <v>-0.5549999999999996</v>
      </c>
      <c r="AI68" s="53">
        <f t="shared" si="24"/>
        <v>-0.5499999999999996</v>
      </c>
      <c r="AJ68" s="53">
        <f t="shared" si="24"/>
        <v>-0.5449999999999996</v>
      </c>
      <c r="AK68" s="53">
        <f t="shared" si="24"/>
        <v>-0.53999999999999959</v>
      </c>
      <c r="AL68" s="53">
        <f t="shared" si="24"/>
        <v>-0.53499999999999959</v>
      </c>
      <c r="AM68" s="53">
        <f t="shared" si="24"/>
        <v>-0.52999999999999958</v>
      </c>
      <c r="AN68" s="53">
        <f t="shared" si="24"/>
        <v>-0.52499999999999958</v>
      </c>
      <c r="AO68" s="53">
        <f t="shared" si="24"/>
        <v>-0.51999999999999957</v>
      </c>
      <c r="AP68" s="53">
        <f t="shared" si="24"/>
        <v>-0.51499999999999957</v>
      </c>
      <c r="AQ68" s="53">
        <f t="shared" si="24"/>
        <v>-0.50999999999999956</v>
      </c>
      <c r="AR68" s="53">
        <f t="shared" si="24"/>
        <v>-0.50499999999999956</v>
      </c>
      <c r="AS68" s="53">
        <f t="shared" si="24"/>
        <v>-0.49999999999999956</v>
      </c>
      <c r="AT68" s="53">
        <f t="shared" si="24"/>
        <v>-0.49499999999999955</v>
      </c>
      <c r="AU68" s="53">
        <f t="shared" si="24"/>
        <v>-0.48999999999999955</v>
      </c>
      <c r="AV68" s="53">
        <f t="shared" si="24"/>
        <v>-0.48499999999999954</v>
      </c>
      <c r="AW68" s="53">
        <f t="shared" si="24"/>
        <v>-0.47999999999999954</v>
      </c>
      <c r="AX68" s="53">
        <f t="shared" si="24"/>
        <v>-0.47499999999999953</v>
      </c>
      <c r="AY68" s="53">
        <f t="shared" si="24"/>
        <v>-0.46999999999999953</v>
      </c>
      <c r="AZ68" s="53">
        <f t="shared" si="24"/>
        <v>-0.46499999999999952</v>
      </c>
      <c r="BA68" s="53">
        <f t="shared" si="24"/>
        <v>-0.45999999999999952</v>
      </c>
      <c r="BB68" s="53">
        <f t="shared" si="24"/>
        <v>-0.45499999999999952</v>
      </c>
      <c r="BC68" s="53">
        <f t="shared" si="24"/>
        <v>-0.44999999999999951</v>
      </c>
      <c r="BD68" s="53">
        <f t="shared" si="24"/>
        <v>-0.44499999999999951</v>
      </c>
      <c r="BE68" s="53">
        <f t="shared" si="24"/>
        <v>-0.4399999999999995</v>
      </c>
      <c r="BF68" s="53">
        <f t="shared" si="24"/>
        <v>-0.4349999999999995</v>
      </c>
      <c r="BG68" s="53">
        <f t="shared" si="24"/>
        <v>-0.42999999999999949</v>
      </c>
      <c r="BH68" s="53">
        <f t="shared" si="24"/>
        <v>-0.42499999999999949</v>
      </c>
      <c r="BI68" s="53">
        <f t="shared" si="24"/>
        <v>-0.41999999999999948</v>
      </c>
      <c r="BJ68" s="53">
        <f t="shared" si="24"/>
        <v>-0.41499999999999948</v>
      </c>
      <c r="BK68" s="53">
        <f t="shared" si="24"/>
        <v>-0.40999999999999948</v>
      </c>
      <c r="BL68" s="53">
        <f t="shared" si="24"/>
        <v>-0.40499999999999947</v>
      </c>
      <c r="BM68" s="53">
        <f t="shared" si="24"/>
        <v>-0.39999999999999947</v>
      </c>
      <c r="BN68" s="53">
        <f t="shared" si="24"/>
        <v>-0.39499999999999946</v>
      </c>
      <c r="BO68" s="53">
        <f t="shared" si="24"/>
        <v>-0.38999999999999946</v>
      </c>
      <c r="BP68" s="53">
        <f t="shared" si="24"/>
        <v>-0.38499999999999945</v>
      </c>
      <c r="BQ68" s="53">
        <f t="shared" si="24"/>
        <v>-0.37999999999999945</v>
      </c>
      <c r="BR68" s="53">
        <f t="shared" si="24"/>
        <v>-0.37499999999999944</v>
      </c>
      <c r="BS68" s="53">
        <f t="shared" si="24"/>
        <v>-0.36999999999999944</v>
      </c>
      <c r="BT68" s="53">
        <f t="shared" si="24"/>
        <v>-0.36499999999999944</v>
      </c>
      <c r="BU68" s="53">
        <f t="shared" si="24"/>
        <v>-0.35999999999999943</v>
      </c>
      <c r="BV68" s="53">
        <f t="shared" si="24"/>
        <v>-0.35499999999999943</v>
      </c>
      <c r="BW68" s="53">
        <f t="shared" si="24"/>
        <v>-0.34999999999999942</v>
      </c>
      <c r="BX68" s="53">
        <f t="shared" ref="BX68:CS68" si="25">BW68+0.02</f>
        <v>-0.3299999999999994</v>
      </c>
      <c r="BY68" s="53">
        <f t="shared" si="25"/>
        <v>-0.30999999999999939</v>
      </c>
      <c r="BZ68" s="53">
        <f t="shared" si="25"/>
        <v>-0.28999999999999937</v>
      </c>
      <c r="CA68" s="53">
        <f t="shared" si="25"/>
        <v>-0.26999999999999935</v>
      </c>
      <c r="CB68" s="53">
        <f t="shared" si="25"/>
        <v>-0.24999999999999936</v>
      </c>
      <c r="CC68" s="53">
        <f t="shared" si="25"/>
        <v>-0.22999999999999937</v>
      </c>
      <c r="CD68" s="53">
        <f t="shared" si="25"/>
        <v>-0.20999999999999938</v>
      </c>
      <c r="CE68" s="53">
        <f t="shared" si="25"/>
        <v>-0.18999999999999939</v>
      </c>
      <c r="CF68" s="53">
        <f t="shared" si="25"/>
        <v>-0.1699999999999994</v>
      </c>
      <c r="CG68" s="53">
        <f t="shared" si="25"/>
        <v>-0.14999999999999941</v>
      </c>
      <c r="CH68" s="53">
        <f t="shared" si="25"/>
        <v>-0.12999999999999942</v>
      </c>
      <c r="CI68" s="53">
        <f t="shared" si="25"/>
        <v>-0.10999999999999942</v>
      </c>
      <c r="CJ68" s="53">
        <f t="shared" si="25"/>
        <v>-8.9999999999999414E-2</v>
      </c>
      <c r="CK68" s="53">
        <f t="shared" si="25"/>
        <v>-6.999999999999941E-2</v>
      </c>
      <c r="CL68" s="53">
        <f t="shared" si="25"/>
        <v>-4.9999999999999406E-2</v>
      </c>
      <c r="CM68" s="53">
        <f t="shared" si="25"/>
        <v>-2.9999999999999406E-2</v>
      </c>
      <c r="CN68" s="53">
        <f t="shared" si="25"/>
        <v>-9.9999999999994052E-3</v>
      </c>
      <c r="CO68" s="53">
        <f t="shared" si="25"/>
        <v>1.0000000000000595E-2</v>
      </c>
      <c r="CP68" s="53">
        <f t="shared" si="25"/>
        <v>3.0000000000000596E-2</v>
      </c>
      <c r="CQ68" s="53">
        <f t="shared" si="25"/>
        <v>5.00000000000006E-2</v>
      </c>
      <c r="CR68" s="53">
        <f t="shared" si="25"/>
        <v>7.0000000000000603E-2</v>
      </c>
      <c r="CS68" s="53">
        <f t="shared" si="25"/>
        <v>9.0000000000000607E-2</v>
      </c>
      <c r="CT68" s="53">
        <v>0.3</v>
      </c>
      <c r="CU68" s="53">
        <v>0.4</v>
      </c>
      <c r="CV68" s="53">
        <v>0.5</v>
      </c>
      <c r="CW68" s="53">
        <v>0.6</v>
      </c>
      <c r="CX68" s="53">
        <v>0.7</v>
      </c>
      <c r="CY68" s="53">
        <v>0.8</v>
      </c>
      <c r="CZ68" s="53">
        <v>0.9</v>
      </c>
      <c r="DA68" s="53">
        <v>1</v>
      </c>
    </row>
    <row r="69" spans="1:105" x14ac:dyDescent="0.2">
      <c r="A69" s="138" t="s">
        <v>421</v>
      </c>
      <c r="B69" s="130" t="s">
        <v>86</v>
      </c>
      <c r="C69" s="143">
        <f>[1]!StB08KreisMN_test($E$3,$E$5,$I$2,$I$3,$I$4,$I$5,$I$6,$I$7,$I$8,$I$9,$M$2,$M$3,$M$4,$M$5,$M$6,$C$66,$C$67,-11,F$67)</f>
        <v>-3.5000000000000001E-3</v>
      </c>
      <c r="D69" s="143"/>
      <c r="E69" s="143">
        <f t="shared" ref="E69:AJ69" si="26">[1]!StB08KreisMN_test($E$3,$E$5,$I$2,$I$3,$I$4,$I$5,$I$6,$I$7,$I$8,$I$9,$M$2,$M$3,$M$4,$M$5,$M$6,$C$66,$C$67,-11,E$68)</f>
        <v>-2E-3</v>
      </c>
      <c r="F69" s="143">
        <f t="shared" si="26"/>
        <v>-2.0600000000000002E-3</v>
      </c>
      <c r="G69" s="143">
        <f t="shared" si="26"/>
        <v>-2.1200000000000004E-3</v>
      </c>
      <c r="H69" s="143">
        <f t="shared" si="26"/>
        <v>-2.1800000000000001E-3</v>
      </c>
      <c r="I69" s="143">
        <f t="shared" si="26"/>
        <v>-2.2400000000000002E-3</v>
      </c>
      <c r="J69" s="143">
        <f t="shared" si="26"/>
        <v>-2.3000000000000004E-3</v>
      </c>
      <c r="K69" s="143">
        <f t="shared" si="26"/>
        <v>-2.3600000000000006E-3</v>
      </c>
      <c r="L69" s="143">
        <f t="shared" si="26"/>
        <v>-2.4200000000000003E-3</v>
      </c>
      <c r="M69" s="143">
        <f t="shared" si="26"/>
        <v>-2.4800000000000004E-3</v>
      </c>
      <c r="N69" s="143">
        <f t="shared" si="26"/>
        <v>-2.5400000000000006E-3</v>
      </c>
      <c r="O69" s="143">
        <f t="shared" si="26"/>
        <v>-2.6000000000000007E-3</v>
      </c>
      <c r="P69" s="143">
        <f t="shared" si="26"/>
        <v>-2.6600000000000005E-3</v>
      </c>
      <c r="Q69" s="143">
        <f t="shared" si="26"/>
        <v>-2.7200000000000006E-3</v>
      </c>
      <c r="R69" s="143">
        <f t="shared" si="26"/>
        <v>-2.7800000000000008E-3</v>
      </c>
      <c r="S69" s="143">
        <f t="shared" si="26"/>
        <v>-2.8400000000000009E-3</v>
      </c>
      <c r="T69" s="143">
        <f t="shared" si="26"/>
        <v>-2.9000000000000007E-3</v>
      </c>
      <c r="U69" s="143">
        <f t="shared" si="26"/>
        <v>-2.9600000000000008E-3</v>
      </c>
      <c r="V69" s="143">
        <f t="shared" si="26"/>
        <v>-3.020000000000001E-3</v>
      </c>
      <c r="W69" s="143">
        <f t="shared" si="26"/>
        <v>-3.0800000000000011E-3</v>
      </c>
      <c r="X69" s="143">
        <f t="shared" si="26"/>
        <v>-3.1400000000000009E-3</v>
      </c>
      <c r="Y69" s="143">
        <f t="shared" si="26"/>
        <v>-3.200000000000001E-3</v>
      </c>
      <c r="Z69" s="143">
        <f t="shared" si="26"/>
        <v>-3.2150000000000013E-3</v>
      </c>
      <c r="AA69" s="143">
        <f t="shared" si="26"/>
        <v>-3.2300000000000011E-3</v>
      </c>
      <c r="AB69" s="143">
        <f t="shared" si="26"/>
        <v>-3.2450000000000014E-3</v>
      </c>
      <c r="AC69" s="143">
        <f t="shared" si="26"/>
        <v>-3.2600000000000012E-3</v>
      </c>
      <c r="AD69" s="143">
        <f t="shared" si="26"/>
        <v>-3.275000000000001E-3</v>
      </c>
      <c r="AE69" s="143">
        <f t="shared" si="26"/>
        <v>-3.2900000000000013E-3</v>
      </c>
      <c r="AF69" s="143">
        <f t="shared" si="26"/>
        <v>-3.3050000000000011E-3</v>
      </c>
      <c r="AG69" s="143">
        <f t="shared" si="26"/>
        <v>-3.3200000000000013E-3</v>
      </c>
      <c r="AH69" s="143">
        <f t="shared" si="26"/>
        <v>-3.3350000000000012E-3</v>
      </c>
      <c r="AI69" s="143">
        <f t="shared" si="26"/>
        <v>-3.3500000000000014E-3</v>
      </c>
      <c r="AJ69" s="143">
        <f t="shared" si="26"/>
        <v>-3.3650000000000012E-3</v>
      </c>
      <c r="AK69" s="143">
        <f t="shared" ref="AK69:BP69" si="27">[1]!StB08KreisMN_test($E$3,$E$5,$I$2,$I$3,$I$4,$I$5,$I$6,$I$7,$I$8,$I$9,$M$2,$M$3,$M$4,$M$5,$M$6,$C$66,$C$67,-11,AK$68)</f>
        <v>-3.3800000000000015E-3</v>
      </c>
      <c r="AL69" s="143">
        <f t="shared" si="27"/>
        <v>-3.3950000000000013E-3</v>
      </c>
      <c r="AM69" s="143">
        <f t="shared" si="27"/>
        <v>-3.4100000000000011E-3</v>
      </c>
      <c r="AN69" s="143">
        <f t="shared" si="27"/>
        <v>-3.4250000000000014E-3</v>
      </c>
      <c r="AO69" s="143">
        <f t="shared" si="27"/>
        <v>-3.4400000000000012E-3</v>
      </c>
      <c r="AP69" s="143">
        <f t="shared" si="27"/>
        <v>-3.4550000000000015E-3</v>
      </c>
      <c r="AQ69" s="143">
        <f t="shared" si="27"/>
        <v>-3.4700000000000013E-3</v>
      </c>
      <c r="AR69" s="143">
        <f t="shared" si="27"/>
        <v>-3.4850000000000016E-3</v>
      </c>
      <c r="AS69" s="143">
        <f t="shared" si="27"/>
        <v>-3.5000000000000001E-3</v>
      </c>
      <c r="AT69" s="143">
        <f t="shared" si="27"/>
        <v>-3.5000000000000001E-3</v>
      </c>
      <c r="AU69" s="143">
        <f t="shared" si="27"/>
        <v>-3.5000000000000001E-3</v>
      </c>
      <c r="AV69" s="143">
        <f t="shared" si="27"/>
        <v>-3.5000000000000001E-3</v>
      </c>
      <c r="AW69" s="143">
        <f t="shared" si="27"/>
        <v>-3.5000000000000001E-3</v>
      </c>
      <c r="AX69" s="143">
        <f t="shared" si="27"/>
        <v>-3.5000000000000001E-3</v>
      </c>
      <c r="AY69" s="143">
        <f t="shared" si="27"/>
        <v>-3.5000000000000001E-3</v>
      </c>
      <c r="AZ69" s="143">
        <f t="shared" si="27"/>
        <v>-3.5000000000000001E-3</v>
      </c>
      <c r="BA69" s="143">
        <f t="shared" si="27"/>
        <v>-3.5000000000000001E-3</v>
      </c>
      <c r="BB69" s="143">
        <f t="shared" si="27"/>
        <v>-3.5000000000000001E-3</v>
      </c>
      <c r="BC69" s="143">
        <f t="shared" si="27"/>
        <v>-3.5000000000000001E-3</v>
      </c>
      <c r="BD69" s="143">
        <f t="shared" si="27"/>
        <v>-3.5000000000000001E-3</v>
      </c>
      <c r="BE69" s="143">
        <f t="shared" si="27"/>
        <v>-3.5000000000000001E-3</v>
      </c>
      <c r="BF69" s="143">
        <f t="shared" si="27"/>
        <v>-3.5000000000000001E-3</v>
      </c>
      <c r="BG69" s="143">
        <f t="shared" si="27"/>
        <v>-3.5000000000000001E-3</v>
      </c>
      <c r="BH69" s="143">
        <f t="shared" si="27"/>
        <v>-3.5000000000000001E-3</v>
      </c>
      <c r="BI69" s="143">
        <f t="shared" si="27"/>
        <v>-3.5000000000000001E-3</v>
      </c>
      <c r="BJ69" s="143">
        <f t="shared" si="27"/>
        <v>-3.5000000000000001E-3</v>
      </c>
      <c r="BK69" s="143">
        <f t="shared" si="27"/>
        <v>-3.5000000000000001E-3</v>
      </c>
      <c r="BL69" s="143">
        <f t="shared" si="27"/>
        <v>-3.5000000000000001E-3</v>
      </c>
      <c r="BM69" s="143">
        <f t="shared" si="27"/>
        <v>-3.5000000000000001E-3</v>
      </c>
      <c r="BN69" s="143">
        <f t="shared" si="27"/>
        <v>-3.5000000000000001E-3</v>
      </c>
      <c r="BO69" s="143">
        <f t="shared" si="27"/>
        <v>-3.5000000000000001E-3</v>
      </c>
      <c r="BP69" s="143">
        <f t="shared" si="27"/>
        <v>-3.5000000000000001E-3</v>
      </c>
      <c r="BQ69" s="143">
        <f t="shared" ref="BQ69:DA69" si="28">[1]!StB08KreisMN_test($E$3,$E$5,$I$2,$I$3,$I$4,$I$5,$I$6,$I$7,$I$8,$I$9,$M$2,$M$3,$M$4,$M$5,$M$6,$C$66,$C$67,-11,BQ$68)</f>
        <v>-3.5000000000000001E-3</v>
      </c>
      <c r="BR69" s="143">
        <f t="shared" si="28"/>
        <v>-3.5000000000000001E-3</v>
      </c>
      <c r="BS69" s="143">
        <f t="shared" si="28"/>
        <v>-3.5000000000000001E-3</v>
      </c>
      <c r="BT69" s="143">
        <f t="shared" si="28"/>
        <v>-3.5000000000000001E-3</v>
      </c>
      <c r="BU69" s="143">
        <f t="shared" si="28"/>
        <v>-3.5000000000000001E-3</v>
      </c>
      <c r="BV69" s="143">
        <f t="shared" si="28"/>
        <v>-3.5000000000000001E-3</v>
      </c>
      <c r="BW69" s="143">
        <f t="shared" si="28"/>
        <v>-3.5000000000000001E-3</v>
      </c>
      <c r="BX69" s="143">
        <f t="shared" si="28"/>
        <v>-3.5000000000000001E-3</v>
      </c>
      <c r="BY69" s="143">
        <f t="shared" si="28"/>
        <v>-3.5000000000000001E-3</v>
      </c>
      <c r="BZ69" s="143">
        <f t="shared" si="28"/>
        <v>-3.5000000000000001E-3</v>
      </c>
      <c r="CA69" s="143">
        <f t="shared" si="28"/>
        <v>-3.5000000000000001E-3</v>
      </c>
      <c r="CB69" s="143">
        <f t="shared" si="28"/>
        <v>-3.5000000000000001E-3</v>
      </c>
      <c r="CC69" s="143">
        <f t="shared" si="28"/>
        <v>-3.5000000000000001E-3</v>
      </c>
      <c r="CD69" s="143">
        <f t="shared" si="28"/>
        <v>-3.5000000000000001E-3</v>
      </c>
      <c r="CE69" s="143">
        <f t="shared" si="28"/>
        <v>-3.5000000000000001E-3</v>
      </c>
      <c r="CF69" s="143">
        <f t="shared" si="28"/>
        <v>-3.5000000000000001E-3</v>
      </c>
      <c r="CG69" s="143">
        <f t="shared" si="28"/>
        <v>-3.5000000000000001E-3</v>
      </c>
      <c r="CH69" s="143">
        <f t="shared" si="28"/>
        <v>-3.5000000000000001E-3</v>
      </c>
      <c r="CI69" s="143">
        <f t="shared" si="28"/>
        <v>-3.5000000000000001E-3</v>
      </c>
      <c r="CJ69" s="143">
        <f t="shared" si="28"/>
        <v>-3.5000000000000001E-3</v>
      </c>
      <c r="CK69" s="143">
        <f t="shared" si="28"/>
        <v>-3.5000000000000001E-3</v>
      </c>
      <c r="CL69" s="143">
        <f t="shared" si="28"/>
        <v>-3.5000000000000001E-3</v>
      </c>
      <c r="CM69" s="143">
        <f t="shared" si="28"/>
        <v>-3.5000000000000001E-3</v>
      </c>
      <c r="CN69" s="143">
        <f t="shared" si="28"/>
        <v>-3.5000000000000001E-3</v>
      </c>
      <c r="CO69" s="143">
        <f t="shared" si="28"/>
        <v>-3.2149999999999831E-3</v>
      </c>
      <c r="CP69" s="143">
        <f t="shared" si="28"/>
        <v>-2.6449999999999829E-3</v>
      </c>
      <c r="CQ69" s="143">
        <f t="shared" si="28"/>
        <v>-2.0749999999999831E-3</v>
      </c>
      <c r="CR69" s="143">
        <f t="shared" si="28"/>
        <v>-1.5049999999999827E-3</v>
      </c>
      <c r="CS69" s="143">
        <f t="shared" si="28"/>
        <v>-9.3499999999998261E-4</v>
      </c>
      <c r="CT69" s="143">
        <f t="shared" si="28"/>
        <v>5.0499999999999998E-3</v>
      </c>
      <c r="CU69" s="143">
        <f t="shared" si="28"/>
        <v>7.9000000000000008E-3</v>
      </c>
      <c r="CV69" s="143">
        <f t="shared" si="28"/>
        <v>1.0750000000000001E-2</v>
      </c>
      <c r="CW69" s="143">
        <f t="shared" si="28"/>
        <v>1.3600000000000001E-2</v>
      </c>
      <c r="CX69" s="143">
        <f t="shared" si="28"/>
        <v>1.6449999999999999E-2</v>
      </c>
      <c r="CY69" s="143">
        <f t="shared" si="28"/>
        <v>1.9300000000000001E-2</v>
      </c>
      <c r="CZ69" s="143">
        <f t="shared" si="28"/>
        <v>2.2150000000000003E-2</v>
      </c>
      <c r="DA69" s="143">
        <f t="shared" si="28"/>
        <v>2.5000000000000001E-2</v>
      </c>
    </row>
    <row r="70" spans="1:105" x14ac:dyDescent="0.2">
      <c r="A70" s="138" t="s">
        <v>421</v>
      </c>
      <c r="B70" s="130" t="s">
        <v>86</v>
      </c>
      <c r="C70" s="143">
        <f>[1]!StB08KreisMN_test($E$3,$E$5,$I$2,$I$3,$I$4,$I$5,$I$6,$I$7,$I$8,$I$9,$M$2,$M$3,$M$4,$M$5,$M$6,$C$66,$C$67,-12,F$67)</f>
        <v>1.9472979818071637E-3</v>
      </c>
      <c r="D70" s="143"/>
      <c r="E70" s="143">
        <f t="shared" ref="E70:AJ70" si="29">[1]!StB08KreisMN_test($E$3,$E$5,$I$2,$I$3,$I$4,$I$5,$I$6,$I$7,$I$8,$I$9,$M$2,$M$3,$M$4,$M$5,$M$6,$C$66,$C$67,-12,E$68)</f>
        <v>-2E-3</v>
      </c>
      <c r="F70" s="143">
        <f t="shared" si="29"/>
        <v>-1.92E-3</v>
      </c>
      <c r="G70" s="143">
        <f t="shared" si="29"/>
        <v>-1.8399999999999998E-3</v>
      </c>
      <c r="H70" s="143">
        <f t="shared" si="29"/>
        <v>-1.7599999999999998E-3</v>
      </c>
      <c r="I70" s="143">
        <f t="shared" si="29"/>
        <v>-1.6799999999999999E-3</v>
      </c>
      <c r="J70" s="143">
        <f t="shared" si="29"/>
        <v>-1.5999999999999996E-3</v>
      </c>
      <c r="K70" s="143">
        <f t="shared" si="29"/>
        <v>-1.5199999999999997E-3</v>
      </c>
      <c r="L70" s="143">
        <f t="shared" si="29"/>
        <v>-1.4399999999999997E-3</v>
      </c>
      <c r="M70" s="143">
        <f t="shared" si="29"/>
        <v>-1.3599999999999994E-3</v>
      </c>
      <c r="N70" s="143">
        <f t="shared" si="29"/>
        <v>-1.2799999999999995E-3</v>
      </c>
      <c r="O70" s="143">
        <f t="shared" si="29"/>
        <v>-1.1999999999999992E-3</v>
      </c>
      <c r="P70" s="143">
        <f t="shared" si="29"/>
        <v>-1.1199999999999993E-3</v>
      </c>
      <c r="Q70" s="143">
        <f t="shared" si="29"/>
        <v>-1.0399999999999993E-3</v>
      </c>
      <c r="R70" s="143">
        <f t="shared" si="29"/>
        <v>-9.5999999999999916E-4</v>
      </c>
      <c r="S70" s="143">
        <f t="shared" si="29"/>
        <v>-8.7999999999999906E-4</v>
      </c>
      <c r="T70" s="143">
        <f t="shared" si="29"/>
        <v>-7.9999999999999895E-4</v>
      </c>
      <c r="U70" s="143">
        <f t="shared" si="29"/>
        <v>-7.1999999999999896E-4</v>
      </c>
      <c r="V70" s="143">
        <f t="shared" si="29"/>
        <v>-6.3999999999999886E-4</v>
      </c>
      <c r="W70" s="143">
        <f t="shared" si="29"/>
        <v>-5.5999999999999876E-4</v>
      </c>
      <c r="X70" s="143">
        <f t="shared" si="29"/>
        <v>-4.7999999999999871E-4</v>
      </c>
      <c r="Y70" s="143">
        <f t="shared" si="29"/>
        <v>-3.9999999999999861E-4</v>
      </c>
      <c r="Z70" s="143">
        <f t="shared" si="29"/>
        <v>-3.7999999999999856E-4</v>
      </c>
      <c r="AA70" s="143">
        <f t="shared" si="29"/>
        <v>-3.5999999999999861E-4</v>
      </c>
      <c r="AB70" s="143">
        <f t="shared" si="29"/>
        <v>-3.3999999999999856E-4</v>
      </c>
      <c r="AC70" s="143">
        <f t="shared" si="29"/>
        <v>-3.1999999999999856E-4</v>
      </c>
      <c r="AD70" s="143">
        <f t="shared" si="29"/>
        <v>-2.9999999999999856E-4</v>
      </c>
      <c r="AE70" s="143">
        <f t="shared" si="29"/>
        <v>-2.7999999999999851E-4</v>
      </c>
      <c r="AF70" s="143">
        <f t="shared" si="29"/>
        <v>-2.5999999999999851E-4</v>
      </c>
      <c r="AG70" s="143">
        <f t="shared" si="29"/>
        <v>-2.3999999999999846E-4</v>
      </c>
      <c r="AH70" s="143">
        <f t="shared" si="29"/>
        <v>-2.1999999999999846E-4</v>
      </c>
      <c r="AI70" s="143">
        <f t="shared" si="29"/>
        <v>-1.9999999999999841E-4</v>
      </c>
      <c r="AJ70" s="143">
        <f t="shared" si="29"/>
        <v>-1.7999999999999844E-4</v>
      </c>
      <c r="AK70" s="143">
        <f t="shared" ref="AK70:BP70" si="30">[1]!StB08KreisMN_test($E$3,$E$5,$I$2,$I$3,$I$4,$I$5,$I$6,$I$7,$I$8,$I$9,$M$2,$M$3,$M$4,$M$5,$M$6,$C$66,$C$67,-12,AK$68)</f>
        <v>-1.5999999999999839E-4</v>
      </c>
      <c r="AL70" s="143">
        <f t="shared" si="30"/>
        <v>-1.3999999999999839E-4</v>
      </c>
      <c r="AM70" s="143">
        <f t="shared" si="30"/>
        <v>-1.1999999999999839E-4</v>
      </c>
      <c r="AN70" s="143">
        <f t="shared" si="30"/>
        <v>-9.9999999999998338E-5</v>
      </c>
      <c r="AO70" s="143">
        <f t="shared" si="30"/>
        <v>-7.9999999999998353E-5</v>
      </c>
      <c r="AP70" s="143">
        <f t="shared" si="30"/>
        <v>-5.999999999999824E-5</v>
      </c>
      <c r="AQ70" s="143">
        <f t="shared" si="30"/>
        <v>-3.9999999999998248E-5</v>
      </c>
      <c r="AR70" s="143">
        <f t="shared" si="30"/>
        <v>-1.9999999999998192E-5</v>
      </c>
      <c r="AS70" s="143">
        <f t="shared" si="30"/>
        <v>2.5834928407729787E-17</v>
      </c>
      <c r="AT70" s="143">
        <f t="shared" si="30"/>
        <v>2.9071428571431182E-4</v>
      </c>
      <c r="AU70" s="143">
        <f t="shared" si="30"/>
        <v>5.8142857142859784E-4</v>
      </c>
      <c r="AV70" s="143">
        <f t="shared" si="30"/>
        <v>8.7214285714288381E-4</v>
      </c>
      <c r="AW70" s="143">
        <f t="shared" si="30"/>
        <v>1.1628571428571697E-3</v>
      </c>
      <c r="AX70" s="143">
        <f t="shared" si="30"/>
        <v>1.4535714285714557E-3</v>
      </c>
      <c r="AY70" s="143">
        <f t="shared" si="30"/>
        <v>1.7442857142857416E-3</v>
      </c>
      <c r="AZ70" s="143">
        <f t="shared" si="30"/>
        <v>2.0350000000000277E-3</v>
      </c>
      <c r="BA70" s="143">
        <f t="shared" si="30"/>
        <v>2.3257142857143137E-3</v>
      </c>
      <c r="BB70" s="143">
        <f t="shared" si="30"/>
        <v>2.6164285714285998E-3</v>
      </c>
      <c r="BC70" s="143">
        <f t="shared" si="30"/>
        <v>2.9071428571428855E-3</v>
      </c>
      <c r="BD70" s="143">
        <f t="shared" si="30"/>
        <v>3.1978571428571715E-3</v>
      </c>
      <c r="BE70" s="143">
        <f t="shared" si="30"/>
        <v>3.4885714285714576E-3</v>
      </c>
      <c r="BF70" s="143">
        <f t="shared" si="30"/>
        <v>3.7792857142857437E-3</v>
      </c>
      <c r="BG70" s="143">
        <f t="shared" si="30"/>
        <v>4.0700000000000293E-3</v>
      </c>
      <c r="BH70" s="143">
        <f t="shared" si="30"/>
        <v>4.3607142857143158E-3</v>
      </c>
      <c r="BI70" s="143">
        <f t="shared" si="30"/>
        <v>4.6514285714286015E-3</v>
      </c>
      <c r="BJ70" s="143">
        <f t="shared" si="30"/>
        <v>4.942142857142888E-3</v>
      </c>
      <c r="BK70" s="143">
        <f t="shared" si="30"/>
        <v>5.2328571428571736E-3</v>
      </c>
      <c r="BL70" s="143">
        <f t="shared" si="30"/>
        <v>5.5235714285714593E-3</v>
      </c>
      <c r="BM70" s="143">
        <f t="shared" si="30"/>
        <v>5.8142857142857458E-3</v>
      </c>
      <c r="BN70" s="143">
        <f t="shared" si="30"/>
        <v>6.1050000000000314E-3</v>
      </c>
      <c r="BO70" s="143">
        <f t="shared" si="30"/>
        <v>6.3957142857143179E-3</v>
      </c>
      <c r="BP70" s="143">
        <f t="shared" si="30"/>
        <v>6.6864285714286036E-3</v>
      </c>
      <c r="BQ70" s="143">
        <f t="shared" ref="BQ70:DA70" si="31">[1]!StB08KreisMN_test($E$3,$E$5,$I$2,$I$3,$I$4,$I$5,$I$6,$I$7,$I$8,$I$9,$M$2,$M$3,$M$4,$M$5,$M$6,$C$66,$C$67,-12,BQ$68)</f>
        <v>6.9771428571428901E-3</v>
      </c>
      <c r="BR70" s="143">
        <f t="shared" si="31"/>
        <v>7.2678571428571757E-3</v>
      </c>
      <c r="BS70" s="143">
        <f t="shared" si="31"/>
        <v>7.5585714285714613E-3</v>
      </c>
      <c r="BT70" s="143">
        <f t="shared" si="31"/>
        <v>7.8492857142857479E-3</v>
      </c>
      <c r="BU70" s="143">
        <f t="shared" si="31"/>
        <v>8.1400000000000344E-3</v>
      </c>
      <c r="BV70" s="143">
        <f t="shared" si="31"/>
        <v>8.4307142857143191E-3</v>
      </c>
      <c r="BW70" s="143">
        <f t="shared" si="31"/>
        <v>8.7214285714286056E-3</v>
      </c>
      <c r="BX70" s="143">
        <f t="shared" si="31"/>
        <v>9.8842857142857499E-3</v>
      </c>
      <c r="BY70" s="143">
        <f t="shared" si="31"/>
        <v>1.1047142857142894E-2</v>
      </c>
      <c r="BZ70" s="143">
        <f t="shared" si="31"/>
        <v>1.2210000000000039E-2</v>
      </c>
      <c r="CA70" s="143">
        <f t="shared" si="31"/>
        <v>1.3372857142857181E-2</v>
      </c>
      <c r="CB70" s="143">
        <f t="shared" si="31"/>
        <v>1.4535714285714324E-2</v>
      </c>
      <c r="CC70" s="143">
        <f t="shared" si="31"/>
        <v>1.5698571428571464E-2</v>
      </c>
      <c r="CD70" s="143">
        <f t="shared" si="31"/>
        <v>1.6861428571428607E-2</v>
      </c>
      <c r="CE70" s="143">
        <f t="shared" si="31"/>
        <v>1.802428571428575E-2</v>
      </c>
      <c r="CF70" s="143">
        <f t="shared" si="31"/>
        <v>1.9187142857142896E-2</v>
      </c>
      <c r="CG70" s="143">
        <f t="shared" si="31"/>
        <v>2.0350000000000035E-2</v>
      </c>
      <c r="CH70" s="143">
        <f t="shared" si="31"/>
        <v>2.1512857142857177E-2</v>
      </c>
      <c r="CI70" s="143">
        <f t="shared" si="31"/>
        <v>2.2675714285714323E-2</v>
      </c>
      <c r="CJ70" s="143">
        <f t="shared" si="31"/>
        <v>2.3838571428571462E-2</v>
      </c>
      <c r="CK70" s="143">
        <f t="shared" si="31"/>
        <v>2.5001428571428605E-2</v>
      </c>
      <c r="CL70" s="143">
        <f t="shared" si="31"/>
        <v>2.6164285714285751E-2</v>
      </c>
      <c r="CM70" s="143">
        <f t="shared" si="31"/>
        <v>2.7327142857142894E-2</v>
      </c>
      <c r="CN70" s="143">
        <f t="shared" si="31"/>
        <v>2.8490000000000036E-2</v>
      </c>
      <c r="CO70" s="143">
        <f t="shared" si="31"/>
        <v>2.9030714285714285E-2</v>
      </c>
      <c r="CP70" s="143">
        <f t="shared" si="31"/>
        <v>2.8949285714285712E-2</v>
      </c>
      <c r="CQ70" s="143">
        <f t="shared" si="31"/>
        <v>2.8867857142857143E-2</v>
      </c>
      <c r="CR70" s="143">
        <f t="shared" si="31"/>
        <v>2.878642857142857E-2</v>
      </c>
      <c r="CS70" s="143">
        <f t="shared" si="31"/>
        <v>2.8704999999999998E-2</v>
      </c>
      <c r="CT70" s="143">
        <f t="shared" si="31"/>
        <v>2.7850000000000003E-2</v>
      </c>
      <c r="CU70" s="143">
        <f t="shared" si="31"/>
        <v>2.7442857142857144E-2</v>
      </c>
      <c r="CV70" s="143">
        <f t="shared" si="31"/>
        <v>2.7035714285714288E-2</v>
      </c>
      <c r="CW70" s="143">
        <f t="shared" si="31"/>
        <v>2.6628571428571429E-2</v>
      </c>
      <c r="CX70" s="143">
        <f t="shared" si="31"/>
        <v>2.6221428571428573E-2</v>
      </c>
      <c r="CY70" s="143">
        <f t="shared" si="31"/>
        <v>2.5814285714285717E-2</v>
      </c>
      <c r="CZ70" s="143">
        <f t="shared" si="31"/>
        <v>2.5407142857142857E-2</v>
      </c>
      <c r="DA70" s="143">
        <f t="shared" si="31"/>
        <v>2.5000000000000001E-2</v>
      </c>
    </row>
    <row r="71" spans="1:105" x14ac:dyDescent="0.2">
      <c r="A71" s="138" t="s">
        <v>422</v>
      </c>
      <c r="B71" s="130" t="s">
        <v>86</v>
      </c>
      <c r="C71" s="143">
        <f>[1]!StB08KreisMN_test($E$3,$E$5,$I$2,$I$3,$I$4,$I$5,$I$6,$I$7,$I$8,$I$9,$M$2,$M$3,$M$4,$M$5,$M$6,$C$66,$C$67,-13,F$67)</f>
        <v>-2.8190877522741046E-3</v>
      </c>
      <c r="D71" s="143"/>
      <c r="E71" s="143">
        <f t="shared" ref="E71:AJ71" si="32">[1]!StB08KreisMN_test($E$3,$E$5,$I$2,$I$3,$I$4,$I$5,$I$6,$I$7,$I$8,$I$9,$M$2,$M$3,$M$4,$M$5,$M$6,$C$66,$C$67,-13,E$68)</f>
        <v>-2E-3</v>
      </c>
      <c r="F71" s="143">
        <f t="shared" si="32"/>
        <v>-2.0425E-3</v>
      </c>
      <c r="G71" s="143">
        <f t="shared" si="32"/>
        <v>-2.0850000000000005E-3</v>
      </c>
      <c r="H71" s="143">
        <f t="shared" si="32"/>
        <v>-2.1275000000000001E-3</v>
      </c>
      <c r="I71" s="143">
        <f t="shared" si="32"/>
        <v>-2.1700000000000001E-3</v>
      </c>
      <c r="J71" s="143">
        <f t="shared" si="32"/>
        <v>-2.2125000000000005E-3</v>
      </c>
      <c r="K71" s="143">
        <f t="shared" si="32"/>
        <v>-2.2550000000000005E-3</v>
      </c>
      <c r="L71" s="143">
        <f t="shared" si="32"/>
        <v>-2.2975000000000001E-3</v>
      </c>
      <c r="M71" s="143">
        <f t="shared" si="32"/>
        <v>-2.3400000000000005E-3</v>
      </c>
      <c r="N71" s="143">
        <f t="shared" si="32"/>
        <v>-2.3825000000000005E-3</v>
      </c>
      <c r="O71" s="143">
        <f t="shared" si="32"/>
        <v>-2.4250000000000005E-3</v>
      </c>
      <c r="P71" s="143">
        <f t="shared" si="32"/>
        <v>-2.4675000000000005E-3</v>
      </c>
      <c r="Q71" s="143">
        <f t="shared" si="32"/>
        <v>-2.5100000000000005E-3</v>
      </c>
      <c r="R71" s="143">
        <f t="shared" si="32"/>
        <v>-2.5525000000000005E-3</v>
      </c>
      <c r="S71" s="143">
        <f t="shared" si="32"/>
        <v>-2.5950000000000005E-3</v>
      </c>
      <c r="T71" s="143">
        <f t="shared" si="32"/>
        <v>-2.6375000000000005E-3</v>
      </c>
      <c r="U71" s="143">
        <f t="shared" si="32"/>
        <v>-2.6800000000000005E-3</v>
      </c>
      <c r="V71" s="143">
        <f t="shared" si="32"/>
        <v>-2.7225000000000005E-3</v>
      </c>
      <c r="W71" s="143">
        <f t="shared" si="32"/>
        <v>-2.765000000000001E-3</v>
      </c>
      <c r="X71" s="143">
        <f t="shared" si="32"/>
        <v>-2.8075000000000005E-3</v>
      </c>
      <c r="Y71" s="143">
        <f t="shared" si="32"/>
        <v>-2.8500000000000005E-3</v>
      </c>
      <c r="Z71" s="143">
        <f t="shared" si="32"/>
        <v>-2.8606250000000008E-3</v>
      </c>
      <c r="AA71" s="143">
        <f t="shared" si="32"/>
        <v>-2.871250000000001E-3</v>
      </c>
      <c r="AB71" s="143">
        <f t="shared" si="32"/>
        <v>-2.8818750000000012E-3</v>
      </c>
      <c r="AC71" s="143">
        <f t="shared" si="32"/>
        <v>-2.892500000000001E-3</v>
      </c>
      <c r="AD71" s="143">
        <f t="shared" si="32"/>
        <v>-2.9031250000000008E-3</v>
      </c>
      <c r="AE71" s="143">
        <f t="shared" si="32"/>
        <v>-2.913750000000001E-3</v>
      </c>
      <c r="AF71" s="143">
        <f t="shared" si="32"/>
        <v>-2.9243750000000008E-3</v>
      </c>
      <c r="AG71" s="143">
        <f t="shared" si="32"/>
        <v>-2.935000000000001E-3</v>
      </c>
      <c r="AH71" s="143">
        <f t="shared" si="32"/>
        <v>-2.9456250000000008E-3</v>
      </c>
      <c r="AI71" s="143">
        <f t="shared" si="32"/>
        <v>-2.956250000000001E-3</v>
      </c>
      <c r="AJ71" s="143">
        <f t="shared" si="32"/>
        <v>-2.9668750000000008E-3</v>
      </c>
      <c r="AK71" s="143">
        <f t="shared" ref="AK71:BP71" si="33">[1]!StB08KreisMN_test($E$3,$E$5,$I$2,$I$3,$I$4,$I$5,$I$6,$I$7,$I$8,$I$9,$M$2,$M$3,$M$4,$M$5,$M$6,$C$66,$C$67,-13,AK$68)</f>
        <v>-2.977500000000001E-3</v>
      </c>
      <c r="AL71" s="143">
        <f t="shared" si="33"/>
        <v>-2.9881250000000008E-3</v>
      </c>
      <c r="AM71" s="143">
        <f t="shared" si="33"/>
        <v>-2.998750000000001E-3</v>
      </c>
      <c r="AN71" s="143">
        <f t="shared" si="33"/>
        <v>-3.0093750000000012E-3</v>
      </c>
      <c r="AO71" s="143">
        <f t="shared" si="33"/>
        <v>-3.020000000000001E-3</v>
      </c>
      <c r="AP71" s="143">
        <f t="shared" si="33"/>
        <v>-3.0306250000000012E-3</v>
      </c>
      <c r="AQ71" s="143">
        <f t="shared" si="33"/>
        <v>-3.041250000000001E-3</v>
      </c>
      <c r="AR71" s="143">
        <f t="shared" si="33"/>
        <v>-3.0518750000000012E-3</v>
      </c>
      <c r="AS71" s="143">
        <f t="shared" si="33"/>
        <v>-3.0624999999999966E-3</v>
      </c>
      <c r="AT71" s="143">
        <f t="shared" si="33"/>
        <v>-3.0261607142857113E-3</v>
      </c>
      <c r="AU71" s="143">
        <f t="shared" si="33"/>
        <v>-2.9898214285714255E-3</v>
      </c>
      <c r="AV71" s="143">
        <f t="shared" si="33"/>
        <v>-2.9534821428571396E-3</v>
      </c>
      <c r="AW71" s="143">
        <f t="shared" si="33"/>
        <v>-2.9171428571428538E-3</v>
      </c>
      <c r="AX71" s="143">
        <f t="shared" si="33"/>
        <v>-2.880803571428568E-3</v>
      </c>
      <c r="AY71" s="143">
        <f t="shared" si="33"/>
        <v>-2.8444642857142822E-3</v>
      </c>
      <c r="AZ71" s="143">
        <f t="shared" si="33"/>
        <v>-2.8081249999999964E-3</v>
      </c>
      <c r="BA71" s="143">
        <f t="shared" si="33"/>
        <v>-2.771785714285711E-3</v>
      </c>
      <c r="BB71" s="143">
        <f t="shared" si="33"/>
        <v>-2.7354464285714252E-3</v>
      </c>
      <c r="BC71" s="143">
        <f t="shared" si="33"/>
        <v>-2.6991071428571394E-3</v>
      </c>
      <c r="BD71" s="143">
        <f t="shared" si="33"/>
        <v>-2.6627678571428536E-3</v>
      </c>
      <c r="BE71" s="143">
        <f t="shared" si="33"/>
        <v>-2.6264285714285678E-3</v>
      </c>
      <c r="BF71" s="143">
        <f t="shared" si="33"/>
        <v>-2.5900892857142819E-3</v>
      </c>
      <c r="BG71" s="143">
        <f t="shared" si="33"/>
        <v>-2.5537499999999966E-3</v>
      </c>
      <c r="BH71" s="143">
        <f t="shared" si="33"/>
        <v>-2.5174107142857107E-3</v>
      </c>
      <c r="BI71" s="143">
        <f t="shared" si="33"/>
        <v>-2.4810714285714249E-3</v>
      </c>
      <c r="BJ71" s="143">
        <f t="shared" si="33"/>
        <v>-2.4447321428571391E-3</v>
      </c>
      <c r="BK71" s="143">
        <f t="shared" si="33"/>
        <v>-2.4083928571428533E-3</v>
      </c>
      <c r="BL71" s="143">
        <f t="shared" si="33"/>
        <v>-2.3720535714285675E-3</v>
      </c>
      <c r="BM71" s="143">
        <f t="shared" si="33"/>
        <v>-2.3357142857142817E-3</v>
      </c>
      <c r="BN71" s="143">
        <f t="shared" si="33"/>
        <v>-2.2993749999999963E-3</v>
      </c>
      <c r="BO71" s="143">
        <f t="shared" si="33"/>
        <v>-2.2630357142857105E-3</v>
      </c>
      <c r="BP71" s="143">
        <f t="shared" si="33"/>
        <v>-2.2266964285714247E-3</v>
      </c>
      <c r="BQ71" s="143">
        <f t="shared" ref="BQ71:DA71" si="34">[1]!StB08KreisMN_test($E$3,$E$5,$I$2,$I$3,$I$4,$I$5,$I$6,$I$7,$I$8,$I$9,$M$2,$M$3,$M$4,$M$5,$M$6,$C$66,$C$67,-13,BQ$68)</f>
        <v>-2.1903571428571389E-3</v>
      </c>
      <c r="BR71" s="143">
        <f t="shared" si="34"/>
        <v>-2.154017857142853E-3</v>
      </c>
      <c r="BS71" s="143">
        <f t="shared" si="34"/>
        <v>-2.1176785714285672E-3</v>
      </c>
      <c r="BT71" s="143">
        <f t="shared" si="34"/>
        <v>-2.0813392857142814E-3</v>
      </c>
      <c r="BU71" s="143">
        <f t="shared" si="34"/>
        <v>-2.044999999999996E-3</v>
      </c>
      <c r="BV71" s="143">
        <f t="shared" si="34"/>
        <v>-2.0086607142857102E-3</v>
      </c>
      <c r="BW71" s="143">
        <f t="shared" si="34"/>
        <v>-1.9723214285714244E-3</v>
      </c>
      <c r="BX71" s="143">
        <f t="shared" si="34"/>
        <v>-1.8269642857142814E-3</v>
      </c>
      <c r="BY71" s="143">
        <f t="shared" si="34"/>
        <v>-1.6816071428571383E-3</v>
      </c>
      <c r="BZ71" s="143">
        <f t="shared" si="34"/>
        <v>-1.5362499999999953E-3</v>
      </c>
      <c r="CA71" s="143">
        <f t="shared" si="34"/>
        <v>-1.3908928571428523E-3</v>
      </c>
      <c r="CB71" s="143">
        <f t="shared" si="34"/>
        <v>-1.2455357142857097E-3</v>
      </c>
      <c r="CC71" s="143">
        <f t="shared" si="34"/>
        <v>-1.1001785714285668E-3</v>
      </c>
      <c r="CD71" s="143">
        <f t="shared" si="34"/>
        <v>-9.5482142857142402E-4</v>
      </c>
      <c r="CE71" s="143">
        <f t="shared" si="34"/>
        <v>-8.0946428571428131E-4</v>
      </c>
      <c r="CF71" s="143">
        <f t="shared" si="34"/>
        <v>-6.6410714285713827E-4</v>
      </c>
      <c r="CG71" s="143">
        <f t="shared" si="34"/>
        <v>-5.1874999999999578E-4</v>
      </c>
      <c r="CH71" s="143">
        <f t="shared" si="34"/>
        <v>-3.7339285714285279E-4</v>
      </c>
      <c r="CI71" s="143">
        <f t="shared" si="34"/>
        <v>-2.2803571428570976E-4</v>
      </c>
      <c r="CJ71" s="143">
        <f t="shared" si="34"/>
        <v>-8.2678571428567249E-5</v>
      </c>
      <c r="CK71" s="143">
        <f t="shared" si="34"/>
        <v>6.2678571428575748E-5</v>
      </c>
      <c r="CL71" s="143">
        <f t="shared" si="34"/>
        <v>2.0803571428571876E-4</v>
      </c>
      <c r="CM71" s="143">
        <f t="shared" si="34"/>
        <v>3.5339285714286174E-4</v>
      </c>
      <c r="CN71" s="143">
        <f t="shared" si="34"/>
        <v>4.9875000000000429E-4</v>
      </c>
      <c r="CO71" s="143">
        <f t="shared" si="34"/>
        <v>8.1571428571430046E-4</v>
      </c>
      <c r="CP71" s="143">
        <f t="shared" si="34"/>
        <v>1.3042857142857292E-3</v>
      </c>
      <c r="CQ71" s="143">
        <f t="shared" si="34"/>
        <v>1.7928571428571574E-3</v>
      </c>
      <c r="CR71" s="143">
        <f t="shared" si="34"/>
        <v>2.2814285714285866E-3</v>
      </c>
      <c r="CS71" s="143">
        <f t="shared" si="34"/>
        <v>2.7700000000000151E-3</v>
      </c>
      <c r="CT71" s="143">
        <f t="shared" si="34"/>
        <v>7.9000000000000008E-3</v>
      </c>
      <c r="CU71" s="143">
        <f t="shared" si="34"/>
        <v>1.0342857142857143E-2</v>
      </c>
      <c r="CV71" s="143">
        <f t="shared" si="34"/>
        <v>1.2785714285714287E-2</v>
      </c>
      <c r="CW71" s="143">
        <f t="shared" si="34"/>
        <v>1.522857142857143E-2</v>
      </c>
      <c r="CX71" s="143">
        <f t="shared" si="34"/>
        <v>1.7671428571428571E-2</v>
      </c>
      <c r="CY71" s="143">
        <f t="shared" si="34"/>
        <v>2.0114285714285716E-2</v>
      </c>
      <c r="CZ71" s="143">
        <f t="shared" si="34"/>
        <v>2.2557142857142859E-2</v>
      </c>
      <c r="DA71" s="143">
        <f t="shared" si="34"/>
        <v>2.5000000000000001E-2</v>
      </c>
    </row>
    <row r="72" spans="1:105" x14ac:dyDescent="0.2">
      <c r="A72" s="138" t="s">
        <v>423</v>
      </c>
      <c r="B72" s="130" t="s">
        <v>86</v>
      </c>
      <c r="C72" s="143">
        <f>[1]!StB08KreisMN_test($E$3,$E$5,$I$2,$I$3,$I$4,$I$5,$I$6,$I$7,$I$8,$I$9,$M$2,$M$3,$M$4,$M$5,$M$6,$C$66,$C$67,-14,F$67)</f>
        <v>1.2663857340812683E-3</v>
      </c>
      <c r="D72" s="143"/>
      <c r="E72" s="143">
        <f t="shared" ref="E72:AJ72" si="35">[1]!StB08KreisMN_test($E$3,$E$5,$I$2,$I$3,$I$4,$I$5,$I$6,$I$7,$I$8,$I$9,$M$2,$M$3,$M$4,$M$5,$M$6,$C$66,$C$67,-14,E$68)</f>
        <v>-2E-3</v>
      </c>
      <c r="F72" s="143">
        <f t="shared" si="35"/>
        <v>-1.9375E-3</v>
      </c>
      <c r="G72" s="143">
        <f t="shared" si="35"/>
        <v>-1.8749999999999999E-3</v>
      </c>
      <c r="H72" s="143">
        <f t="shared" si="35"/>
        <v>-1.8124999999999999E-3</v>
      </c>
      <c r="I72" s="143">
        <f t="shared" si="35"/>
        <v>-1.7499999999999998E-3</v>
      </c>
      <c r="J72" s="143">
        <f t="shared" si="35"/>
        <v>-1.6874999999999998E-3</v>
      </c>
      <c r="K72" s="143">
        <f t="shared" si="35"/>
        <v>-1.6249999999999997E-3</v>
      </c>
      <c r="L72" s="143">
        <f t="shared" si="35"/>
        <v>-1.5624999999999997E-3</v>
      </c>
      <c r="M72" s="143">
        <f t="shared" si="35"/>
        <v>-1.4999999999999996E-3</v>
      </c>
      <c r="N72" s="143">
        <f t="shared" si="35"/>
        <v>-1.4374999999999995E-3</v>
      </c>
      <c r="O72" s="143">
        <f t="shared" si="35"/>
        <v>-1.3749999999999995E-3</v>
      </c>
      <c r="P72" s="143">
        <f t="shared" si="35"/>
        <v>-1.3124999999999994E-3</v>
      </c>
      <c r="Q72" s="143">
        <f t="shared" si="35"/>
        <v>-1.2499999999999994E-3</v>
      </c>
      <c r="R72" s="143">
        <f t="shared" si="35"/>
        <v>-1.1874999999999993E-3</v>
      </c>
      <c r="S72" s="143">
        <f t="shared" si="35"/>
        <v>-1.1249999999999993E-3</v>
      </c>
      <c r="T72" s="143">
        <f t="shared" si="35"/>
        <v>-1.0624999999999992E-3</v>
      </c>
      <c r="U72" s="143">
        <f t="shared" si="35"/>
        <v>-9.9999999999999915E-4</v>
      </c>
      <c r="V72" s="143">
        <f t="shared" si="35"/>
        <v>-9.374999999999991E-4</v>
      </c>
      <c r="W72" s="143">
        <f t="shared" si="35"/>
        <v>-8.7499999999999904E-4</v>
      </c>
      <c r="X72" s="143">
        <f t="shared" si="35"/>
        <v>-8.1249999999999899E-4</v>
      </c>
      <c r="Y72" s="143">
        <f t="shared" si="35"/>
        <v>-7.4999999999999893E-4</v>
      </c>
      <c r="Z72" s="143">
        <f t="shared" si="35"/>
        <v>-7.3437499999999892E-4</v>
      </c>
      <c r="AA72" s="143">
        <f t="shared" si="35"/>
        <v>-7.187499999999989E-4</v>
      </c>
      <c r="AB72" s="143">
        <f t="shared" si="35"/>
        <v>-7.0312499999999889E-4</v>
      </c>
      <c r="AC72" s="143">
        <f t="shared" si="35"/>
        <v>-6.8749999999999888E-4</v>
      </c>
      <c r="AD72" s="143">
        <f t="shared" si="35"/>
        <v>-6.7187499999999886E-4</v>
      </c>
      <c r="AE72" s="143">
        <f t="shared" si="35"/>
        <v>-6.5624999999999885E-4</v>
      </c>
      <c r="AF72" s="143">
        <f t="shared" si="35"/>
        <v>-6.4062499999999883E-4</v>
      </c>
      <c r="AG72" s="143">
        <f t="shared" si="35"/>
        <v>-6.2499999999999882E-4</v>
      </c>
      <c r="AH72" s="143">
        <f t="shared" si="35"/>
        <v>-6.0937499999999881E-4</v>
      </c>
      <c r="AI72" s="143">
        <f t="shared" si="35"/>
        <v>-5.9374999999999879E-4</v>
      </c>
      <c r="AJ72" s="143">
        <f t="shared" si="35"/>
        <v>-5.7812499999999878E-4</v>
      </c>
      <c r="AK72" s="143">
        <f t="shared" ref="AK72:BP72" si="36">[1]!StB08KreisMN_test($E$3,$E$5,$I$2,$I$3,$I$4,$I$5,$I$6,$I$7,$I$8,$I$9,$M$2,$M$3,$M$4,$M$5,$M$6,$C$66,$C$67,-14,AK$68)</f>
        <v>-5.6249999999999876E-4</v>
      </c>
      <c r="AL72" s="143">
        <f t="shared" si="36"/>
        <v>-5.4687499999999875E-4</v>
      </c>
      <c r="AM72" s="143">
        <f t="shared" si="36"/>
        <v>-5.3124999999999874E-4</v>
      </c>
      <c r="AN72" s="143">
        <f t="shared" si="36"/>
        <v>-5.1562499999999872E-4</v>
      </c>
      <c r="AO72" s="143">
        <f t="shared" si="36"/>
        <v>-4.9999999999999871E-4</v>
      </c>
      <c r="AP72" s="143">
        <f t="shared" si="36"/>
        <v>-4.8437499999999864E-4</v>
      </c>
      <c r="AQ72" s="143">
        <f t="shared" si="36"/>
        <v>-4.6874999999999863E-4</v>
      </c>
      <c r="AR72" s="143">
        <f t="shared" si="36"/>
        <v>-4.5312499999999861E-4</v>
      </c>
      <c r="AS72" s="143">
        <f t="shared" si="36"/>
        <v>-4.374999999999774E-4</v>
      </c>
      <c r="AT72" s="143">
        <f t="shared" si="36"/>
        <v>-1.8312499999997717E-4</v>
      </c>
      <c r="AU72" s="143">
        <f t="shared" si="36"/>
        <v>7.1250000000023064E-5</v>
      </c>
      <c r="AV72" s="143">
        <f t="shared" si="36"/>
        <v>3.2562500000002332E-4</v>
      </c>
      <c r="AW72" s="143">
        <f t="shared" si="36"/>
        <v>5.8000000000002353E-4</v>
      </c>
      <c r="AX72" s="143">
        <f t="shared" si="36"/>
        <v>8.3437500000002379E-4</v>
      </c>
      <c r="AY72" s="143">
        <f t="shared" si="36"/>
        <v>1.0887500000000239E-3</v>
      </c>
      <c r="AZ72" s="143">
        <f t="shared" si="36"/>
        <v>1.3431250000000242E-3</v>
      </c>
      <c r="BA72" s="143">
        <f t="shared" si="36"/>
        <v>1.5975000000000245E-3</v>
      </c>
      <c r="BB72" s="143">
        <f t="shared" si="36"/>
        <v>1.8518750000000247E-3</v>
      </c>
      <c r="BC72" s="143">
        <f t="shared" si="36"/>
        <v>2.1062500000000248E-3</v>
      </c>
      <c r="BD72" s="143">
        <f t="shared" si="36"/>
        <v>2.360625000000025E-3</v>
      </c>
      <c r="BE72" s="143">
        <f t="shared" si="36"/>
        <v>2.6150000000000253E-3</v>
      </c>
      <c r="BF72" s="143">
        <f t="shared" si="36"/>
        <v>2.8693750000000256E-3</v>
      </c>
      <c r="BG72" s="143">
        <f t="shared" si="36"/>
        <v>3.1237500000000258E-3</v>
      </c>
      <c r="BH72" s="143">
        <f t="shared" si="36"/>
        <v>3.3781250000000261E-3</v>
      </c>
      <c r="BI72" s="143">
        <f t="shared" si="36"/>
        <v>3.6325000000000263E-3</v>
      </c>
      <c r="BJ72" s="143">
        <f t="shared" si="36"/>
        <v>3.8868750000000266E-3</v>
      </c>
      <c r="BK72" s="143">
        <f t="shared" si="36"/>
        <v>4.1412500000000269E-3</v>
      </c>
      <c r="BL72" s="143">
        <f t="shared" si="36"/>
        <v>4.3956250000000271E-3</v>
      </c>
      <c r="BM72" s="143">
        <f t="shared" si="36"/>
        <v>4.6500000000000274E-3</v>
      </c>
      <c r="BN72" s="143">
        <f t="shared" si="36"/>
        <v>4.9043750000000276E-3</v>
      </c>
      <c r="BO72" s="143">
        <f t="shared" si="36"/>
        <v>5.1587500000000279E-3</v>
      </c>
      <c r="BP72" s="143">
        <f t="shared" si="36"/>
        <v>5.4131250000000282E-3</v>
      </c>
      <c r="BQ72" s="143">
        <f t="shared" ref="BQ72:DA72" si="37">[1]!StB08KreisMN_test($E$3,$E$5,$I$2,$I$3,$I$4,$I$5,$I$6,$I$7,$I$8,$I$9,$M$2,$M$3,$M$4,$M$5,$M$6,$C$66,$C$67,-14,BQ$68)</f>
        <v>5.6675000000000284E-3</v>
      </c>
      <c r="BR72" s="143">
        <f t="shared" si="37"/>
        <v>5.9218750000000287E-3</v>
      </c>
      <c r="BS72" s="143">
        <f t="shared" si="37"/>
        <v>6.1762500000000289E-3</v>
      </c>
      <c r="BT72" s="143">
        <f t="shared" si="37"/>
        <v>6.4306250000000292E-3</v>
      </c>
      <c r="BU72" s="143">
        <f t="shared" si="37"/>
        <v>6.6850000000000295E-3</v>
      </c>
      <c r="BV72" s="143">
        <f t="shared" si="37"/>
        <v>6.9393750000000297E-3</v>
      </c>
      <c r="BW72" s="143">
        <f t="shared" si="37"/>
        <v>7.19375000000003E-3</v>
      </c>
      <c r="BX72" s="143">
        <f t="shared" si="37"/>
        <v>8.211250000000031E-3</v>
      </c>
      <c r="BY72" s="143">
        <f t="shared" si="37"/>
        <v>9.2287500000000321E-3</v>
      </c>
      <c r="BZ72" s="143">
        <f t="shared" si="37"/>
        <v>1.0246250000000033E-2</v>
      </c>
      <c r="CA72" s="143">
        <f t="shared" si="37"/>
        <v>1.1263750000000034E-2</v>
      </c>
      <c r="CB72" s="143">
        <f t="shared" si="37"/>
        <v>1.2281250000000033E-2</v>
      </c>
      <c r="CC72" s="143">
        <f t="shared" si="37"/>
        <v>1.3298750000000033E-2</v>
      </c>
      <c r="CD72" s="143">
        <f t="shared" si="37"/>
        <v>1.4316250000000032E-2</v>
      </c>
      <c r="CE72" s="143">
        <f t="shared" si="37"/>
        <v>1.5333750000000031E-2</v>
      </c>
      <c r="CF72" s="143">
        <f t="shared" si="37"/>
        <v>1.6351250000000032E-2</v>
      </c>
      <c r="CG72" s="143">
        <f t="shared" si="37"/>
        <v>1.736875000000003E-2</v>
      </c>
      <c r="CH72" s="143">
        <f t="shared" si="37"/>
        <v>1.8386250000000031E-2</v>
      </c>
      <c r="CI72" s="143">
        <f t="shared" si="37"/>
        <v>1.9403750000000032E-2</v>
      </c>
      <c r="CJ72" s="143">
        <f t="shared" si="37"/>
        <v>2.042125000000003E-2</v>
      </c>
      <c r="CK72" s="143">
        <f t="shared" si="37"/>
        <v>2.1438750000000031E-2</v>
      </c>
      <c r="CL72" s="143">
        <f t="shared" si="37"/>
        <v>2.2456250000000032E-2</v>
      </c>
      <c r="CM72" s="143">
        <f t="shared" si="37"/>
        <v>2.3473750000000033E-2</v>
      </c>
      <c r="CN72" s="143">
        <f t="shared" si="37"/>
        <v>2.449125000000003E-2</v>
      </c>
      <c r="CO72" s="143">
        <f t="shared" si="37"/>
        <v>2.5000000000000001E-2</v>
      </c>
      <c r="CP72" s="143">
        <f t="shared" si="37"/>
        <v>2.5000000000000001E-2</v>
      </c>
      <c r="CQ72" s="143">
        <f t="shared" si="37"/>
        <v>2.5000000000000001E-2</v>
      </c>
      <c r="CR72" s="143">
        <f t="shared" si="37"/>
        <v>2.5000000000000001E-2</v>
      </c>
      <c r="CS72" s="143">
        <f t="shared" si="37"/>
        <v>2.5000000000000001E-2</v>
      </c>
      <c r="CT72" s="143">
        <f t="shared" si="37"/>
        <v>2.5000000000000001E-2</v>
      </c>
      <c r="CU72" s="143">
        <f t="shared" si="37"/>
        <v>2.5000000000000001E-2</v>
      </c>
      <c r="CV72" s="143">
        <f t="shared" si="37"/>
        <v>2.5000000000000001E-2</v>
      </c>
      <c r="CW72" s="143">
        <f t="shared" si="37"/>
        <v>2.5000000000000001E-2</v>
      </c>
      <c r="CX72" s="143">
        <f t="shared" si="37"/>
        <v>2.5000000000000001E-2</v>
      </c>
      <c r="CY72" s="143">
        <f t="shared" si="37"/>
        <v>2.5000000000000001E-2</v>
      </c>
      <c r="CZ72" s="143">
        <f t="shared" si="37"/>
        <v>2.5000000000000001E-2</v>
      </c>
      <c r="DA72" s="143">
        <f t="shared" si="37"/>
        <v>2.5000000000000001E-2</v>
      </c>
    </row>
    <row r="73" spans="1:105" x14ac:dyDescent="0.2">
      <c r="A73" s="92" t="s">
        <v>427</v>
      </c>
      <c r="B73" s="92" t="s">
        <v>86</v>
      </c>
      <c r="C73" s="141">
        <f>[1]!StB08KreisMN_test($E$3,$E$5,$I$2,$I$3,$I$4,$I$5,$I$6,$I$7,$I$8,$I$9,$M$2,$M$3,$M$4,$M$5,$M$6,$C$66,$C$67,-15,F$67)</f>
        <v>-235241.21138733215</v>
      </c>
      <c r="D73" s="141"/>
      <c r="E73" s="141">
        <f t="shared" ref="E73:AJ73" si="38">[1]!StB08KreisMN_test($E$3,$E$5,$I$2,$I$3,$I$4,$I$5,$I$6,$I$7,$I$8,$I$9,$M$2,$M$3,$M$4,$M$5,$M$6,$C$66,$C$67,-15,E$68)</f>
        <v>-0.64307675634316819</v>
      </c>
      <c r="F73" s="141">
        <f t="shared" si="38"/>
        <v>-0.65247359660809767</v>
      </c>
      <c r="G73" s="141">
        <f t="shared" si="38"/>
        <v>-0.6615068112826139</v>
      </c>
      <c r="H73" s="141">
        <f t="shared" si="38"/>
        <v>-0.67017869999727342</v>
      </c>
      <c r="I73" s="141">
        <f t="shared" si="38"/>
        <v>-0.67847215678885986</v>
      </c>
      <c r="J73" s="141">
        <f t="shared" si="38"/>
        <v>-0.68636897860284618</v>
      </c>
      <c r="K73" s="141">
        <f t="shared" si="38"/>
        <v>-0.693849775907737</v>
      </c>
      <c r="L73" s="141">
        <f t="shared" si="38"/>
        <v>-0.70089387442540008</v>
      </c>
      <c r="M73" s="141">
        <f t="shared" si="38"/>
        <v>-0.70747920692988397</v>
      </c>
      <c r="N73" s="141">
        <f t="shared" si="38"/>
        <v>-0.7135821939236684</v>
      </c>
      <c r="O73" s="141">
        <f t="shared" si="38"/>
        <v>-0.71917761183417483</v>
      </c>
      <c r="P73" s="141">
        <f t="shared" si="38"/>
        <v>-0.72423844718078112</v>
      </c>
      <c r="Q73" s="141">
        <f t="shared" si="38"/>
        <v>-0.72877760620231458</v>
      </c>
      <c r="R73" s="141">
        <f t="shared" si="38"/>
        <v>-0.73315383667710066</v>
      </c>
      <c r="S73" s="141">
        <f t="shared" si="38"/>
        <v>-0.73719250563067351</v>
      </c>
      <c r="T73" s="141">
        <f t="shared" si="38"/>
        <v>-0.7407897972420372</v>
      </c>
      <c r="U73" s="141">
        <f t="shared" si="38"/>
        <v>-0.74387719876657343</v>
      </c>
      <c r="V73" s="141">
        <f t="shared" si="38"/>
        <v>-0.74639462377627241</v>
      </c>
      <c r="W73" s="141">
        <f t="shared" si="38"/>
        <v>-0.74828396555535248</v>
      </c>
      <c r="X73" s="141">
        <f t="shared" si="38"/>
        <v>-0.74948628893052793</v>
      </c>
      <c r="Y73" s="141">
        <f t="shared" si="38"/>
        <v>-0.74994014622239535</v>
      </c>
      <c r="Z73" s="141">
        <f t="shared" si="38"/>
        <v>-0.7499291185739082</v>
      </c>
      <c r="AA73" s="141">
        <f t="shared" si="38"/>
        <v>-0.74986619651031405</v>
      </c>
      <c r="AB73" s="141">
        <f t="shared" si="38"/>
        <v>-0.74975029713823749</v>
      </c>
      <c r="AC73" s="141">
        <f t="shared" si="38"/>
        <v>-0.74958031643748535</v>
      </c>
      <c r="AD73" s="141">
        <f t="shared" si="38"/>
        <v>-0.74935512822503714</v>
      </c>
      <c r="AE73" s="141">
        <f t="shared" si="38"/>
        <v>-0.74907358311101535</v>
      </c>
      <c r="AF73" s="141">
        <f t="shared" si="38"/>
        <v>-0.74873450744297432</v>
      </c>
      <c r="AG73" s="141">
        <f t="shared" si="38"/>
        <v>-0.74833670223510473</v>
      </c>
      <c r="AH73" s="141">
        <f t="shared" si="38"/>
        <v>-0.74787894207913774</v>
      </c>
      <c r="AI73" s="141">
        <f t="shared" si="38"/>
        <v>-0.74735997403387622</v>
      </c>
      <c r="AJ73" s="141">
        <f t="shared" si="38"/>
        <v>-0.74677851649039939</v>
      </c>
      <c r="AK73" s="141">
        <f t="shared" ref="AK73:BP73" si="39">[1]!StB08KreisMN_test($E$3,$E$5,$I$2,$I$3,$I$4,$I$5,$I$6,$I$7,$I$8,$I$9,$M$2,$M$3,$M$4,$M$5,$M$6,$C$66,$C$67,-15,AK$68)</f>
        <v>-0.74613325801005181</v>
      </c>
      <c r="AL73" s="141">
        <f t="shared" si="39"/>
        <v>-0.74542285613239057</v>
      </c>
      <c r="AM73" s="141">
        <f t="shared" si="39"/>
        <v>-0.74464593615027896</v>
      </c>
      <c r="AN73" s="141">
        <f t="shared" si="39"/>
        <v>-0.74380108984932525</v>
      </c>
      <c r="AO73" s="141">
        <f t="shared" si="39"/>
        <v>-0.74288687420883992</v>
      </c>
      <c r="AP73" s="141">
        <f t="shared" si="39"/>
        <v>-0.74190181006146305</v>
      </c>
      <c r="AQ73" s="141">
        <f t="shared" si="39"/>
        <v>-0.74084438070854641</v>
      </c>
      <c r="AR73" s="141">
        <f t="shared" si="39"/>
        <v>-0.73971303048832215</v>
      </c>
      <c r="AS73" s="141">
        <f t="shared" si="39"/>
        <v>-0.73850616329379926</v>
      </c>
      <c r="AT73" s="141">
        <f t="shared" si="39"/>
        <v>-0.73194445517936368</v>
      </c>
      <c r="AU73" s="141">
        <f t="shared" si="39"/>
        <v>-0.73690684050251087</v>
      </c>
      <c r="AV73" s="141">
        <f t="shared" si="39"/>
        <v>-0.76978360151196235</v>
      </c>
      <c r="AW73" s="141">
        <f t="shared" si="39"/>
        <v>-0.86009175135146432</v>
      </c>
      <c r="AX73" s="141">
        <f t="shared" si="39"/>
        <v>-1.1027643637497762</v>
      </c>
      <c r="AY73" s="141">
        <f t="shared" si="39"/>
        <v>-2.1353853339438427</v>
      </c>
      <c r="AZ73" s="141">
        <f t="shared" si="39"/>
        <v>3.8620947400469867</v>
      </c>
      <c r="BA73" s="141">
        <f t="shared" si="39"/>
        <v>0.68014854738043973</v>
      </c>
      <c r="BB73" s="141">
        <f t="shared" si="39"/>
        <v>0.27991416232447547</v>
      </c>
      <c r="BC73" s="141">
        <f t="shared" si="39"/>
        <v>0.13193190464177432</v>
      </c>
      <c r="BD73" s="141">
        <f t="shared" si="39"/>
        <v>5.9075623846214759E-2</v>
      </c>
      <c r="BE73" s="141">
        <f t="shared" si="39"/>
        <v>1.8265084201614771E-2</v>
      </c>
      <c r="BF73" s="141">
        <f t="shared" si="39"/>
        <v>-7.3417696210032694E-3</v>
      </c>
      <c r="BG73" s="141">
        <f t="shared" si="39"/>
        <v>-2.5588459526474452E-2</v>
      </c>
      <c r="BH73" s="141">
        <f t="shared" si="39"/>
        <v>-3.9354899503932804E-2</v>
      </c>
      <c r="BI73" s="141">
        <f t="shared" si="39"/>
        <v>-5.0104414203314629E-2</v>
      </c>
      <c r="BJ73" s="141">
        <f t="shared" si="39"/>
        <v>-5.8708213221477963E-2</v>
      </c>
      <c r="BK73" s="141">
        <f t="shared" si="39"/>
        <v>-6.5723219119710422E-2</v>
      </c>
      <c r="BL73" s="141">
        <f t="shared" si="39"/>
        <v>-7.152380329360751E-2</v>
      </c>
      <c r="BM73" s="141">
        <f t="shared" si="39"/>
        <v>-7.6374118922469578E-2</v>
      </c>
      <c r="BN73" s="141">
        <f t="shared" si="39"/>
        <v>-8.0466847967658087E-2</v>
      </c>
      <c r="BO73" s="141">
        <f t="shared" si="39"/>
        <v>-8.3946314035422395E-2</v>
      </c>
      <c r="BP73" s="141">
        <f t="shared" si="39"/>
        <v>-8.6922985310666029E-2</v>
      </c>
      <c r="BQ73" s="141">
        <f t="shared" ref="BQ73:DA73" si="40">[1]!StB08KreisMN_test($E$3,$E$5,$I$2,$I$3,$I$4,$I$5,$I$6,$I$7,$I$8,$I$9,$M$2,$M$3,$M$4,$M$5,$M$6,$C$66,$C$67,-15,BQ$68)</f>
        <v>-8.9482954865017547E-2</v>
      </c>
      <c r="BR73" s="141">
        <f t="shared" si="40"/>
        <v>-9.1694350758640256E-2</v>
      </c>
      <c r="BS73" s="141">
        <f t="shared" si="40"/>
        <v>-9.3611795079108176E-2</v>
      </c>
      <c r="BT73" s="141">
        <f t="shared" si="40"/>
        <v>-9.5279581746979522E-2</v>
      </c>
      <c r="BU73" s="141">
        <f t="shared" si="40"/>
        <v>-9.6733988966863263E-2</v>
      </c>
      <c r="BV73" s="141">
        <f t="shared" si="40"/>
        <v>-9.8004992806041386E-2</v>
      </c>
      <c r="BW73" s="141">
        <f t="shared" si="40"/>
        <v>-9.9117557403887918E-2</v>
      </c>
      <c r="BX73" s="141">
        <f t="shared" si="40"/>
        <v>-0.10235665025762185</v>
      </c>
      <c r="BY73" s="141">
        <f t="shared" si="40"/>
        <v>-0.10426825791869367</v>
      </c>
      <c r="BZ73" s="141">
        <f t="shared" si="40"/>
        <v>-0.10536269957636274</v>
      </c>
      <c r="CA73" s="141">
        <f t="shared" si="40"/>
        <v>-0.10593568956008732</v>
      </c>
      <c r="CB73" s="141">
        <f t="shared" si="40"/>
        <v>-0.10616707623428023</v>
      </c>
      <c r="CC73" s="141">
        <f t="shared" si="40"/>
        <v>-0.10617045783947769</v>
      </c>
      <c r="CD73" s="141">
        <f t="shared" si="40"/>
        <v>-0.10601980132650782</v>
      </c>
      <c r="CE73" s="141">
        <f t="shared" si="40"/>
        <v>-0.10576448076323766</v>
      </c>
      <c r="CF73" s="141">
        <f t="shared" si="40"/>
        <v>-0.10543813840004992</v>
      </c>
      <c r="CG73" s="141">
        <f t="shared" si="40"/>
        <v>-0.10506409216854216</v>
      </c>
      <c r="CH73" s="141">
        <f t="shared" si="40"/>
        <v>-0.10465873529053629</v>
      </c>
      <c r="CI73" s="141">
        <f t="shared" si="40"/>
        <v>-0.10423372903368372</v>
      </c>
      <c r="CJ73" s="141">
        <f t="shared" si="40"/>
        <v>-0.10379744900345558</v>
      </c>
      <c r="CK73" s="141">
        <f t="shared" si="40"/>
        <v>-0.10335595807587912</v>
      </c>
      <c r="CL73" s="141">
        <f t="shared" si="40"/>
        <v>-0.10291367252359827</v>
      </c>
      <c r="CM73" s="141">
        <f t="shared" si="40"/>
        <v>-0.10247382543119886</v>
      </c>
      <c r="CN73" s="141">
        <f t="shared" si="40"/>
        <v>-0.10203879391407204</v>
      </c>
      <c r="CO73" s="141">
        <f t="shared" si="40"/>
        <v>-0.10188464142066975</v>
      </c>
      <c r="CP73" s="141">
        <f t="shared" si="40"/>
        <v>-0.10191934157040949</v>
      </c>
      <c r="CQ73" s="141">
        <f t="shared" si="40"/>
        <v>-0.10185731967928313</v>
      </c>
      <c r="CR73" s="141">
        <f t="shared" si="40"/>
        <v>-0.10175370310120245</v>
      </c>
      <c r="CS73" s="141">
        <f t="shared" si="40"/>
        <v>-0.10178299882806631</v>
      </c>
      <c r="CT73" s="141">
        <f t="shared" si="40"/>
        <v>-0.10115858607089416</v>
      </c>
      <c r="CU73" s="141">
        <f t="shared" si="40"/>
        <v>-0.10084068776865349</v>
      </c>
      <c r="CV73" s="141">
        <f t="shared" si="40"/>
        <v>-0.10052478124472861</v>
      </c>
      <c r="CW73" s="141">
        <f t="shared" si="40"/>
        <v>-0.10021084783847455</v>
      </c>
      <c r="CX73" s="141">
        <f t="shared" si="40"/>
        <v>-9.9898869121625281E-2</v>
      </c>
      <c r="CY73" s="141">
        <f t="shared" si="40"/>
        <v>-9.9588826894687871E-2</v>
      </c>
      <c r="CZ73" s="141">
        <f t="shared" si="40"/>
        <v>-9.9280703183403193E-2</v>
      </c>
      <c r="DA73" s="141">
        <f t="shared" si="40"/>
        <v>-9.8974480235272569E-2</v>
      </c>
    </row>
    <row r="74" spans="1:105" x14ac:dyDescent="0.2">
      <c r="A74" s="92" t="s">
        <v>426</v>
      </c>
      <c r="B74" s="92" t="s">
        <v>86</v>
      </c>
      <c r="C74" s="141">
        <f>[1]!StB08KreisMN_test($E$3,$E$5,$I$2,$I$3,$I$4,$I$5,$I$6,$I$7,$I$8,$I$9,$M$2,$M$3,$M$4,$M$5,$M$6,$C$66,$C$67,-16,F$67)</f>
        <v>0.22320585645307467</v>
      </c>
      <c r="D74" s="141"/>
      <c r="E74" s="141">
        <f t="shared" ref="E74:AJ74" si="41">[1]!StB08KreisMN_test($E$3,$E$5,$I$2,$I$3,$I$4,$I$5,$I$6,$I$7,$I$8,$I$9,$M$2,$M$3,$M$4,$M$5,$M$6,$C$66,$C$67,-16,E$68)</f>
        <v>3.5699916518091655E-3</v>
      </c>
      <c r="F74" s="141">
        <f t="shared" si="41"/>
        <v>3.6015600300225624E-2</v>
      </c>
      <c r="G74" s="141">
        <f t="shared" si="41"/>
        <v>6.7095769844099928E-2</v>
      </c>
      <c r="H74" s="141">
        <f t="shared" si="41"/>
        <v>9.6853110174229623E-2</v>
      </c>
      <c r="I74" s="141">
        <f t="shared" si="41"/>
        <v>0.12524847820727364</v>
      </c>
      <c r="J74" s="141">
        <f t="shared" si="41"/>
        <v>0.15224273085989087</v>
      </c>
      <c r="K74" s="141">
        <f t="shared" si="41"/>
        <v>0.17779672504874006</v>
      </c>
      <c r="L74" s="141">
        <f t="shared" si="41"/>
        <v>0.20187131769047972</v>
      </c>
      <c r="M74" s="141">
        <f t="shared" si="41"/>
        <v>0.22442736570176919</v>
      </c>
      <c r="N74" s="141">
        <f t="shared" si="41"/>
        <v>0.24542572599926685</v>
      </c>
      <c r="O74" s="141">
        <f t="shared" si="41"/>
        <v>0.26482725549963149</v>
      </c>
      <c r="P74" s="141">
        <f t="shared" si="41"/>
        <v>0.28259281111952211</v>
      </c>
      <c r="Q74" s="141">
        <f t="shared" si="41"/>
        <v>0.29824997201864117</v>
      </c>
      <c r="R74" s="141">
        <f t="shared" si="41"/>
        <v>0.30817347488614533</v>
      </c>
      <c r="S74" s="141">
        <f t="shared" si="41"/>
        <v>0.31450421399989226</v>
      </c>
      <c r="T74" s="141">
        <f t="shared" si="41"/>
        <v>0.31818415074946993</v>
      </c>
      <c r="U74" s="141">
        <f t="shared" si="41"/>
        <v>0.31962672686426308</v>
      </c>
      <c r="V74" s="141">
        <f t="shared" si="41"/>
        <v>0.31906997835860368</v>
      </c>
      <c r="W74" s="141">
        <f t="shared" si="41"/>
        <v>0.31666713317525791</v>
      </c>
      <c r="X74" s="141">
        <f t="shared" si="41"/>
        <v>0.31252365091636725</v>
      </c>
      <c r="Y74" s="141">
        <f t="shared" si="41"/>
        <v>0.30671561655877772</v>
      </c>
      <c r="Z74" s="141">
        <f t="shared" si="41"/>
        <v>0.30501051551716174</v>
      </c>
      <c r="AA74" s="141">
        <f t="shared" si="41"/>
        <v>0.30320574619661428</v>
      </c>
      <c r="AB74" s="141">
        <f t="shared" si="41"/>
        <v>0.30130200892488046</v>
      </c>
      <c r="AC74" s="141">
        <f t="shared" si="41"/>
        <v>0.2992999624879637</v>
      </c>
      <c r="AD74" s="141">
        <f t="shared" si="41"/>
        <v>0.29720022755734987</v>
      </c>
      <c r="AE74" s="141">
        <f t="shared" si="41"/>
        <v>0.29500338977627111</v>
      </c>
      <c r="AF74" s="141">
        <f t="shared" si="41"/>
        <v>0.29271000254500396</v>
      </c>
      <c r="AG74" s="141">
        <f t="shared" si="41"/>
        <v>0.29032058953977097</v>
      </c>
      <c r="AH74" s="141">
        <f t="shared" si="41"/>
        <v>0.28783564699521946</v>
      </c>
      <c r="AI74" s="141">
        <f t="shared" si="41"/>
        <v>0.28525564577654733</v>
      </c>
      <c r="AJ74" s="141">
        <f t="shared" si="41"/>
        <v>0.28258103326403733</v>
      </c>
      <c r="AK74" s="141">
        <f t="shared" ref="AK74:BP74" si="42">[1]!StB08KreisMN_test($E$3,$E$5,$I$2,$I$3,$I$4,$I$5,$I$6,$I$7,$I$8,$I$9,$M$2,$M$3,$M$4,$M$5,$M$6,$C$66,$C$67,-16,AK$68)</f>
        <v>0.27981223506990538</v>
      </c>
      <c r="AL74" s="141">
        <f t="shared" si="42"/>
        <v>0.27694965660494947</v>
      </c>
      <c r="AM74" s="141">
        <f t="shared" si="42"/>
        <v>0.27399368451037337</v>
      </c>
      <c r="AN74" s="141">
        <f t="shared" si="42"/>
        <v>0.27094468796835691</v>
      </c>
      <c r="AO74" s="141">
        <f t="shared" si="42"/>
        <v>0.26780301990336669</v>
      </c>
      <c r="AP74" s="141">
        <f t="shared" si="42"/>
        <v>0.26456901808484745</v>
      </c>
      <c r="AQ74" s="141">
        <f t="shared" si="42"/>
        <v>0.26124300614073243</v>
      </c>
      <c r="AR74" s="141">
        <f t="shared" si="42"/>
        <v>0.25782529449018882</v>
      </c>
      <c r="AS74" s="141">
        <f t="shared" si="42"/>
        <v>0.25431618120308669</v>
      </c>
      <c r="AT74" s="141">
        <f t="shared" si="42"/>
        <v>0.19593619409290414</v>
      </c>
      <c r="AU74" s="141">
        <f t="shared" si="42"/>
        <v>0.16033090872733871</v>
      </c>
      <c r="AV74" s="141">
        <f t="shared" si="42"/>
        <v>0.14816475666054749</v>
      </c>
      <c r="AW74" s="141">
        <f t="shared" si="42"/>
        <v>0.15425572737192919</v>
      </c>
      <c r="AX74" s="141">
        <f t="shared" si="42"/>
        <v>0.17325278095762239</v>
      </c>
      <c r="AY74" s="141">
        <f t="shared" si="42"/>
        <v>0.20076345353957764</v>
      </c>
      <c r="AZ74" s="141">
        <f t="shared" si="42"/>
        <v>0.2334519308902267</v>
      </c>
      <c r="BA74" s="141">
        <f t="shared" si="42"/>
        <v>0.26887962361058843</v>
      </c>
      <c r="BB74" s="141">
        <f t="shared" si="42"/>
        <v>0.30530733469052806</v>
      </c>
      <c r="BC74" s="141">
        <f t="shared" si="42"/>
        <v>0.34152094502281077</v>
      </c>
      <c r="BD74" s="141">
        <f t="shared" si="42"/>
        <v>0.37669323084634354</v>
      </c>
      <c r="BE74" s="141">
        <f t="shared" si="42"/>
        <v>0.40520971638691333</v>
      </c>
      <c r="BF74" s="141">
        <f t="shared" si="42"/>
        <v>0.41495545061504852</v>
      </c>
      <c r="BG74" s="141">
        <f t="shared" si="42"/>
        <v>0.41664449014523885</v>
      </c>
      <c r="BH74" s="141">
        <f t="shared" si="42"/>
        <v>0.413877730717501</v>
      </c>
      <c r="BI74" s="141">
        <f t="shared" si="42"/>
        <v>0.4085013314005263</v>
      </c>
      <c r="BJ74" s="141">
        <f t="shared" si="42"/>
        <v>0.40141468139677688</v>
      </c>
      <c r="BK74" s="141">
        <f t="shared" si="42"/>
        <v>0.39320671676925484</v>
      </c>
      <c r="BL74" s="141">
        <f t="shared" si="42"/>
        <v>0.3843115542752486</v>
      </c>
      <c r="BM74" s="141">
        <f t="shared" si="42"/>
        <v>0.37502934974341917</v>
      </c>
      <c r="BN74" s="141">
        <f t="shared" si="42"/>
        <v>0.3655712337835062</v>
      </c>
      <c r="BO74" s="141">
        <f t="shared" si="42"/>
        <v>0.35608712795779363</v>
      </c>
      <c r="BP74" s="141">
        <f t="shared" si="42"/>
        <v>0.34668381373141893</v>
      </c>
      <c r="BQ74" s="141">
        <f t="shared" ref="BQ74:DA74" si="43">[1]!StB08KreisMN_test($E$3,$E$5,$I$2,$I$3,$I$4,$I$5,$I$6,$I$7,$I$8,$I$9,$M$2,$M$3,$M$4,$M$5,$M$6,$C$66,$C$67,-16,BQ$68)</f>
        <v>0.33743709902675328</v>
      </c>
      <c r="BR74" s="141">
        <f t="shared" si="43"/>
        <v>0.32840024070182994</v>
      </c>
      <c r="BS74" s="141">
        <f t="shared" si="43"/>
        <v>0.31960990451058735</v>
      </c>
      <c r="BT74" s="141">
        <f t="shared" si="43"/>
        <v>0.31109045785714257</v>
      </c>
      <c r="BU74" s="141">
        <f t="shared" si="43"/>
        <v>0.30285710677988553</v>
      </c>
      <c r="BV74" s="141">
        <f t="shared" si="43"/>
        <v>0.29491821581328298</v>
      </c>
      <c r="BW74" s="141">
        <f t="shared" si="43"/>
        <v>0.28727704051304193</v>
      </c>
      <c r="BX74" s="141">
        <f t="shared" si="43"/>
        <v>0.25964061323496046</v>
      </c>
      <c r="BY74" s="141">
        <f t="shared" si="43"/>
        <v>0.2363653304935297</v>
      </c>
      <c r="BZ74" s="141">
        <f t="shared" si="43"/>
        <v>0.21688040832949632</v>
      </c>
      <c r="CA74" s="141">
        <f t="shared" si="43"/>
        <v>0.20060072901989567</v>
      </c>
      <c r="CB74" s="141">
        <f t="shared" si="43"/>
        <v>0.18699883397954789</v>
      </c>
      <c r="CC74" s="141">
        <f t="shared" si="43"/>
        <v>0.17562234374612806</v>
      </c>
      <c r="CD74" s="141">
        <f t="shared" si="43"/>
        <v>0.1660915663320929</v>
      </c>
      <c r="CE74" s="141">
        <f t="shared" si="43"/>
        <v>0.15809068381006675</v>
      </c>
      <c r="CF74" s="141">
        <f t="shared" si="43"/>
        <v>0.15135771392487302</v>
      </c>
      <c r="CG74" s="141">
        <f t="shared" si="43"/>
        <v>0.14567516738422551</v>
      </c>
      <c r="CH74" s="141">
        <f t="shared" si="43"/>
        <v>0.14086199133584998</v>
      </c>
      <c r="CI74" s="141">
        <f t="shared" si="43"/>
        <v>0.1367668597677002</v>
      </c>
      <c r="CJ74" s="141">
        <f t="shared" si="43"/>
        <v>0.13326267728408711</v>
      </c>
      <c r="CK74" s="141">
        <f t="shared" si="43"/>
        <v>0.13024210841976927</v>
      </c>
      <c r="CL74" s="141">
        <f t="shared" si="43"/>
        <v>0.12761394638615375</v>
      </c>
      <c r="CM74" s="141">
        <f t="shared" si="43"/>
        <v>0.12530015664230834</v>
      </c>
      <c r="CN74" s="141">
        <f t="shared" si="43"/>
        <v>0.12323345653574298</v>
      </c>
      <c r="CO74" s="141">
        <f t="shared" si="43"/>
        <v>0.10868521764720118</v>
      </c>
      <c r="CP74" s="141">
        <f t="shared" si="43"/>
        <v>8.0061465087398365E-2</v>
      </c>
      <c r="CQ74" s="141">
        <f t="shared" si="43"/>
        <v>5.0375792369849737E-2</v>
      </c>
      <c r="CR74" s="141">
        <f t="shared" si="43"/>
        <v>2.1597122585670193E-2</v>
      </c>
      <c r="CS74" s="141">
        <f t="shared" si="43"/>
        <v>-5.0440686752830869E-3</v>
      </c>
      <c r="CT74" s="141">
        <f t="shared" si="43"/>
        <v>-1.7457259177333428E-2</v>
      </c>
      <c r="CU74" s="141">
        <f t="shared" si="43"/>
        <v>-1.5664613369319125E-2</v>
      </c>
      <c r="CV74" s="141">
        <f t="shared" si="43"/>
        <v>-1.3871967561304816E-2</v>
      </c>
      <c r="CW74" s="141">
        <f t="shared" si="43"/>
        <v>-1.2079321753290512E-2</v>
      </c>
      <c r="CX74" s="141">
        <f t="shared" si="43"/>
        <v>-1.0286675945276207E-2</v>
      </c>
      <c r="CY74" s="141">
        <f t="shared" si="43"/>
        <v>-8.4940301372618977E-3</v>
      </c>
      <c r="CZ74" s="141">
        <f t="shared" si="43"/>
        <v>-6.7013843292475939E-3</v>
      </c>
      <c r="DA74" s="141">
        <f t="shared" si="43"/>
        <v>-4.9087385212332885E-3</v>
      </c>
    </row>
    <row r="75" spans="1:105" x14ac:dyDescent="0.2">
      <c r="A75" s="138" t="s">
        <v>421</v>
      </c>
      <c r="B75" s="130" t="s">
        <v>86</v>
      </c>
      <c r="C75" s="143">
        <f>[1]!StB08KreisasymMN_test($E$3,$E$5,$E$7*PI()/180,$E$8,$I$2,$I$3,$I$4,$I$5,$I$6,$I$7,$I$8,$I$9,$M$2,$M$3,$M$4,$M$5,$M$6,$C$66,$C$67,-11,J$67)</f>
        <v>-3.5000000000000001E-3</v>
      </c>
      <c r="D75" s="143">
        <f>[1]!StB08KreisasymMN_test($E$3,$E$5,$E$7*PI()/180,$E$8,$I$2,$I$3,$I$4,$I$5,$I$6,$I$7,$I$8,$I$9,$M$2,$M$3,$M$4,$M$5,$M$6,$C$66,$C$67,-11,K$67)</f>
        <v>-3.5000000000000001E-3</v>
      </c>
      <c r="E75" s="143">
        <f t="shared" ref="E75:AJ75" si="44">[1]!StB08KreisasymMN_test($E$3,$E$5,$E$7*PI()/180,$E$8,$I$2,$I$3,$I$4,$I$5,$I$6,$I$7,$I$8,$I$9,$M$2,$M$3,$M$4,$M$5,$M$6,$C$66,$C$67,-11,E$68)</f>
        <v>-2E-3</v>
      </c>
      <c r="F75" s="143">
        <f t="shared" si="44"/>
        <v>-2.0600000000000002E-3</v>
      </c>
      <c r="G75" s="143">
        <f t="shared" si="44"/>
        <v>-2.1200000000000004E-3</v>
      </c>
      <c r="H75" s="143">
        <f t="shared" si="44"/>
        <v>-2.1800000000000001E-3</v>
      </c>
      <c r="I75" s="143">
        <f t="shared" si="44"/>
        <v>-2.2400000000000002E-3</v>
      </c>
      <c r="J75" s="143">
        <f t="shared" si="44"/>
        <v>-2.3000000000000004E-3</v>
      </c>
      <c r="K75" s="143">
        <f t="shared" si="44"/>
        <v>-2.3600000000000006E-3</v>
      </c>
      <c r="L75" s="143">
        <f t="shared" si="44"/>
        <v>-2.4200000000000003E-3</v>
      </c>
      <c r="M75" s="143">
        <f t="shared" si="44"/>
        <v>-2.4800000000000004E-3</v>
      </c>
      <c r="N75" s="143">
        <f t="shared" si="44"/>
        <v>-2.5400000000000006E-3</v>
      </c>
      <c r="O75" s="143">
        <f t="shared" si="44"/>
        <v>-2.6000000000000007E-3</v>
      </c>
      <c r="P75" s="143">
        <f t="shared" si="44"/>
        <v>-2.6600000000000005E-3</v>
      </c>
      <c r="Q75" s="143">
        <f t="shared" si="44"/>
        <v>-2.7200000000000006E-3</v>
      </c>
      <c r="R75" s="143">
        <f t="shared" si="44"/>
        <v>-2.7800000000000008E-3</v>
      </c>
      <c r="S75" s="143">
        <f t="shared" si="44"/>
        <v>-2.8400000000000009E-3</v>
      </c>
      <c r="T75" s="143">
        <f t="shared" si="44"/>
        <v>-2.9000000000000007E-3</v>
      </c>
      <c r="U75" s="143">
        <f t="shared" si="44"/>
        <v>-2.9600000000000008E-3</v>
      </c>
      <c r="V75" s="143">
        <f t="shared" si="44"/>
        <v>-3.020000000000001E-3</v>
      </c>
      <c r="W75" s="143">
        <f t="shared" si="44"/>
        <v>-3.0800000000000011E-3</v>
      </c>
      <c r="X75" s="143">
        <f t="shared" si="44"/>
        <v>-3.1400000000000009E-3</v>
      </c>
      <c r="Y75" s="143">
        <f t="shared" si="44"/>
        <v>-3.200000000000001E-3</v>
      </c>
      <c r="Z75" s="143">
        <f t="shared" si="44"/>
        <v>-3.2150000000000013E-3</v>
      </c>
      <c r="AA75" s="143">
        <f t="shared" si="44"/>
        <v>-3.2300000000000011E-3</v>
      </c>
      <c r="AB75" s="143">
        <f t="shared" si="44"/>
        <v>-3.2450000000000014E-3</v>
      </c>
      <c r="AC75" s="143">
        <f t="shared" si="44"/>
        <v>-3.2600000000000012E-3</v>
      </c>
      <c r="AD75" s="143">
        <f t="shared" si="44"/>
        <v>-3.275000000000001E-3</v>
      </c>
      <c r="AE75" s="143">
        <f t="shared" si="44"/>
        <v>-3.2900000000000013E-3</v>
      </c>
      <c r="AF75" s="143">
        <f t="shared" si="44"/>
        <v>-3.3050000000000011E-3</v>
      </c>
      <c r="AG75" s="143">
        <f t="shared" si="44"/>
        <v>-3.3200000000000013E-3</v>
      </c>
      <c r="AH75" s="143">
        <f t="shared" si="44"/>
        <v>-3.3350000000000012E-3</v>
      </c>
      <c r="AI75" s="143">
        <f t="shared" si="44"/>
        <v>-3.3500000000000014E-3</v>
      </c>
      <c r="AJ75" s="143">
        <f t="shared" si="44"/>
        <v>-3.3650000000000012E-3</v>
      </c>
      <c r="AK75" s="143">
        <f t="shared" ref="AK75:BP75" si="45">[1]!StB08KreisasymMN_test($E$3,$E$5,$E$7*PI()/180,$E$8,$I$2,$I$3,$I$4,$I$5,$I$6,$I$7,$I$8,$I$9,$M$2,$M$3,$M$4,$M$5,$M$6,$C$66,$C$67,-11,AK$68)</f>
        <v>-3.3800000000000015E-3</v>
      </c>
      <c r="AL75" s="143">
        <f t="shared" si="45"/>
        <v>-3.3950000000000013E-3</v>
      </c>
      <c r="AM75" s="143">
        <f t="shared" si="45"/>
        <v>-3.4100000000000011E-3</v>
      </c>
      <c r="AN75" s="143">
        <f t="shared" si="45"/>
        <v>-3.4250000000000014E-3</v>
      </c>
      <c r="AO75" s="143">
        <f t="shared" si="45"/>
        <v>-3.4400000000000012E-3</v>
      </c>
      <c r="AP75" s="143">
        <f t="shared" si="45"/>
        <v>-3.4550000000000015E-3</v>
      </c>
      <c r="AQ75" s="143">
        <f t="shared" si="45"/>
        <v>-3.4700000000000013E-3</v>
      </c>
      <c r="AR75" s="143">
        <f t="shared" si="45"/>
        <v>-3.4850000000000016E-3</v>
      </c>
      <c r="AS75" s="143">
        <f t="shared" si="45"/>
        <v>-3.5000000000000001E-3</v>
      </c>
      <c r="AT75" s="143">
        <f t="shared" si="45"/>
        <v>-3.5000000000000001E-3</v>
      </c>
      <c r="AU75" s="143">
        <f t="shared" si="45"/>
        <v>-3.5000000000000001E-3</v>
      </c>
      <c r="AV75" s="143">
        <f t="shared" si="45"/>
        <v>-3.5000000000000001E-3</v>
      </c>
      <c r="AW75" s="143">
        <f t="shared" si="45"/>
        <v>-3.5000000000000001E-3</v>
      </c>
      <c r="AX75" s="143">
        <f t="shared" si="45"/>
        <v>-3.5000000000000001E-3</v>
      </c>
      <c r="AY75" s="143">
        <f t="shared" si="45"/>
        <v>-3.5000000000000001E-3</v>
      </c>
      <c r="AZ75" s="143">
        <f t="shared" si="45"/>
        <v>-3.5000000000000001E-3</v>
      </c>
      <c r="BA75" s="143">
        <f t="shared" si="45"/>
        <v>-3.5000000000000001E-3</v>
      </c>
      <c r="BB75" s="143">
        <f t="shared" si="45"/>
        <v>-3.5000000000000001E-3</v>
      </c>
      <c r="BC75" s="143">
        <f t="shared" si="45"/>
        <v>-3.5000000000000001E-3</v>
      </c>
      <c r="BD75" s="143">
        <f t="shared" si="45"/>
        <v>-3.5000000000000001E-3</v>
      </c>
      <c r="BE75" s="143">
        <f t="shared" si="45"/>
        <v>-3.5000000000000001E-3</v>
      </c>
      <c r="BF75" s="143">
        <f t="shared" si="45"/>
        <v>-3.5000000000000001E-3</v>
      </c>
      <c r="BG75" s="143">
        <f t="shared" si="45"/>
        <v>-3.5000000000000001E-3</v>
      </c>
      <c r="BH75" s="143">
        <f t="shared" si="45"/>
        <v>-3.5000000000000001E-3</v>
      </c>
      <c r="BI75" s="143">
        <f t="shared" si="45"/>
        <v>-3.5000000000000001E-3</v>
      </c>
      <c r="BJ75" s="143">
        <f t="shared" si="45"/>
        <v>-3.5000000000000001E-3</v>
      </c>
      <c r="BK75" s="143">
        <f t="shared" si="45"/>
        <v>-3.5000000000000001E-3</v>
      </c>
      <c r="BL75" s="143">
        <f t="shared" si="45"/>
        <v>-3.5000000000000001E-3</v>
      </c>
      <c r="BM75" s="143">
        <f t="shared" si="45"/>
        <v>-3.5000000000000001E-3</v>
      </c>
      <c r="BN75" s="143">
        <f t="shared" si="45"/>
        <v>-3.5000000000000001E-3</v>
      </c>
      <c r="BO75" s="143">
        <f t="shared" si="45"/>
        <v>-3.5000000000000001E-3</v>
      </c>
      <c r="BP75" s="143">
        <f t="shared" si="45"/>
        <v>-3.5000000000000001E-3</v>
      </c>
      <c r="BQ75" s="143">
        <f t="shared" ref="BQ75:DA75" si="46">[1]!StB08KreisasymMN_test($E$3,$E$5,$E$7*PI()/180,$E$8,$I$2,$I$3,$I$4,$I$5,$I$6,$I$7,$I$8,$I$9,$M$2,$M$3,$M$4,$M$5,$M$6,$C$66,$C$67,-11,BQ$68)</f>
        <v>-3.5000000000000001E-3</v>
      </c>
      <c r="BR75" s="143">
        <f t="shared" si="46"/>
        <v>-3.5000000000000001E-3</v>
      </c>
      <c r="BS75" s="143">
        <f t="shared" si="46"/>
        <v>-3.5000000000000001E-3</v>
      </c>
      <c r="BT75" s="143">
        <f t="shared" si="46"/>
        <v>-3.5000000000000001E-3</v>
      </c>
      <c r="BU75" s="143">
        <f t="shared" si="46"/>
        <v>-3.5000000000000001E-3</v>
      </c>
      <c r="BV75" s="143">
        <f t="shared" si="46"/>
        <v>-3.5000000000000001E-3</v>
      </c>
      <c r="BW75" s="143">
        <f t="shared" si="46"/>
        <v>-3.5000000000000001E-3</v>
      </c>
      <c r="BX75" s="143">
        <f t="shared" si="46"/>
        <v>-3.5000000000000001E-3</v>
      </c>
      <c r="BY75" s="143">
        <f t="shared" si="46"/>
        <v>-3.5000000000000001E-3</v>
      </c>
      <c r="BZ75" s="143">
        <f t="shared" si="46"/>
        <v>-3.5000000000000001E-3</v>
      </c>
      <c r="CA75" s="143">
        <f t="shared" si="46"/>
        <v>-3.5000000000000001E-3</v>
      </c>
      <c r="CB75" s="143">
        <f t="shared" si="46"/>
        <v>-3.5000000000000001E-3</v>
      </c>
      <c r="CC75" s="143">
        <f t="shared" si="46"/>
        <v>-3.5000000000000001E-3</v>
      </c>
      <c r="CD75" s="143">
        <f t="shared" si="46"/>
        <v>-3.5000000000000001E-3</v>
      </c>
      <c r="CE75" s="143">
        <f t="shared" si="46"/>
        <v>-3.5000000000000001E-3</v>
      </c>
      <c r="CF75" s="143">
        <f t="shared" si="46"/>
        <v>-3.5000000000000001E-3</v>
      </c>
      <c r="CG75" s="143">
        <f t="shared" si="46"/>
        <v>-3.5000000000000001E-3</v>
      </c>
      <c r="CH75" s="143">
        <f t="shared" si="46"/>
        <v>-3.5000000000000001E-3</v>
      </c>
      <c r="CI75" s="143">
        <f t="shared" si="46"/>
        <v>-3.5000000000000001E-3</v>
      </c>
      <c r="CJ75" s="143">
        <f t="shared" si="46"/>
        <v>-3.5000000000000001E-3</v>
      </c>
      <c r="CK75" s="143">
        <f t="shared" si="46"/>
        <v>-3.5000000000000001E-3</v>
      </c>
      <c r="CL75" s="143">
        <f t="shared" si="46"/>
        <v>-3.5000000000000001E-3</v>
      </c>
      <c r="CM75" s="143">
        <f t="shared" si="46"/>
        <v>-3.5000000000000001E-3</v>
      </c>
      <c r="CN75" s="143">
        <f t="shared" si="46"/>
        <v>-3.5000000000000001E-3</v>
      </c>
      <c r="CO75" s="143">
        <f t="shared" si="46"/>
        <v>-3.2149999999999831E-3</v>
      </c>
      <c r="CP75" s="143">
        <f t="shared" si="46"/>
        <v>-2.6449999999999829E-3</v>
      </c>
      <c r="CQ75" s="143">
        <f t="shared" si="46"/>
        <v>-2.0749999999999831E-3</v>
      </c>
      <c r="CR75" s="143">
        <f t="shared" si="46"/>
        <v>-1.5049999999999827E-3</v>
      </c>
      <c r="CS75" s="143">
        <f t="shared" si="46"/>
        <v>-9.3499999999998261E-4</v>
      </c>
      <c r="CT75" s="143">
        <f t="shared" si="46"/>
        <v>5.0499999999999998E-3</v>
      </c>
      <c r="CU75" s="143">
        <f t="shared" si="46"/>
        <v>7.9000000000000008E-3</v>
      </c>
      <c r="CV75" s="143">
        <f t="shared" si="46"/>
        <v>1.0750000000000001E-2</v>
      </c>
      <c r="CW75" s="143">
        <f t="shared" si="46"/>
        <v>1.3600000000000001E-2</v>
      </c>
      <c r="CX75" s="143">
        <f t="shared" si="46"/>
        <v>1.6449999999999999E-2</v>
      </c>
      <c r="CY75" s="143">
        <f t="shared" si="46"/>
        <v>1.9300000000000001E-2</v>
      </c>
      <c r="CZ75" s="143">
        <f t="shared" si="46"/>
        <v>2.2150000000000003E-2</v>
      </c>
      <c r="DA75" s="143">
        <f t="shared" si="46"/>
        <v>2.5000000000000001E-2</v>
      </c>
    </row>
    <row r="76" spans="1:105" x14ac:dyDescent="0.2">
      <c r="A76" s="138" t="s">
        <v>421</v>
      </c>
      <c r="B76" s="130" t="s">
        <v>86</v>
      </c>
      <c r="C76" s="143">
        <f>[1]!StB08KreisasymMN_test($E$3,$E$5,$E$7*PI()/180,$E$8,$I$2,$I$3,$I$4,$I$5,$I$6,$I$7,$I$8,$I$9,$M$2,$M$3,$M$4,$M$5,$M$6,$C$66,$C$67,-12,J$67)</f>
        <v>1.2480539594377791E-3</v>
      </c>
      <c r="D76" s="143">
        <f>[1]!StB08KreisasymMN_test($E$3,$E$5,$E$7*PI()/180,$E$8,$I$2,$I$3,$I$4,$I$5,$I$6,$I$7,$I$8,$I$9,$M$2,$M$3,$M$4,$M$5,$M$6,$C$66,$C$67,-12,K$67)</f>
        <v>6.7204611642020099E-4</v>
      </c>
      <c r="E76" s="143">
        <f t="shared" ref="E76:AJ76" si="47">[1]!StB08KreisasymMN_test($E$3,$E$5,$E$7*PI()/180,$E$8,$I$2,$I$3,$I$4,$I$5,$I$6,$I$7,$I$8,$I$9,$M$2,$M$3,$M$4,$M$5,$M$6,$C$66,$C$67,-12,E$68)</f>
        <v>-2E-3</v>
      </c>
      <c r="F76" s="143">
        <f t="shared" si="47"/>
        <v>-1.92E-3</v>
      </c>
      <c r="G76" s="143">
        <f t="shared" si="47"/>
        <v>-1.8399999999999998E-3</v>
      </c>
      <c r="H76" s="143">
        <f t="shared" si="47"/>
        <v>-1.7599999999999998E-3</v>
      </c>
      <c r="I76" s="143">
        <f t="shared" si="47"/>
        <v>-1.6799999999999999E-3</v>
      </c>
      <c r="J76" s="143">
        <f t="shared" si="47"/>
        <v>-1.5999999999999996E-3</v>
      </c>
      <c r="K76" s="143">
        <f t="shared" si="47"/>
        <v>-1.5199999999999997E-3</v>
      </c>
      <c r="L76" s="143">
        <f t="shared" si="47"/>
        <v>-1.4399999999999997E-3</v>
      </c>
      <c r="M76" s="143">
        <f t="shared" si="47"/>
        <v>-1.3599999999999994E-3</v>
      </c>
      <c r="N76" s="143">
        <f t="shared" si="47"/>
        <v>-1.2799999999999995E-3</v>
      </c>
      <c r="O76" s="143">
        <f t="shared" si="47"/>
        <v>-1.1999999999999992E-3</v>
      </c>
      <c r="P76" s="143">
        <f t="shared" si="47"/>
        <v>-1.1199999999999993E-3</v>
      </c>
      <c r="Q76" s="143">
        <f t="shared" si="47"/>
        <v>-1.0399999999999993E-3</v>
      </c>
      <c r="R76" s="143">
        <f t="shared" si="47"/>
        <v>-9.5999999999999916E-4</v>
      </c>
      <c r="S76" s="143">
        <f t="shared" si="47"/>
        <v>-8.7999999999999906E-4</v>
      </c>
      <c r="T76" s="143">
        <f t="shared" si="47"/>
        <v>-7.9999999999999895E-4</v>
      </c>
      <c r="U76" s="143">
        <f t="shared" si="47"/>
        <v>-7.1999999999999896E-4</v>
      </c>
      <c r="V76" s="143">
        <f t="shared" si="47"/>
        <v>-6.3999999999999886E-4</v>
      </c>
      <c r="W76" s="143">
        <f t="shared" si="47"/>
        <v>-5.5999999999999876E-4</v>
      </c>
      <c r="X76" s="143">
        <f t="shared" si="47"/>
        <v>-4.7999999999999871E-4</v>
      </c>
      <c r="Y76" s="143">
        <f t="shared" si="47"/>
        <v>-3.9999999999999861E-4</v>
      </c>
      <c r="Z76" s="143">
        <f t="shared" si="47"/>
        <v>-3.7999999999999856E-4</v>
      </c>
      <c r="AA76" s="143">
        <f t="shared" si="47"/>
        <v>-3.5999999999999861E-4</v>
      </c>
      <c r="AB76" s="143">
        <f t="shared" si="47"/>
        <v>-3.3999999999999856E-4</v>
      </c>
      <c r="AC76" s="143">
        <f t="shared" si="47"/>
        <v>-3.1999999999999856E-4</v>
      </c>
      <c r="AD76" s="143">
        <f t="shared" si="47"/>
        <v>-2.9999999999999856E-4</v>
      </c>
      <c r="AE76" s="143">
        <f t="shared" si="47"/>
        <v>-2.7999999999999851E-4</v>
      </c>
      <c r="AF76" s="143">
        <f t="shared" si="47"/>
        <v>-2.5999999999999851E-4</v>
      </c>
      <c r="AG76" s="143">
        <f t="shared" si="47"/>
        <v>-2.3999999999999846E-4</v>
      </c>
      <c r="AH76" s="143">
        <f t="shared" si="47"/>
        <v>-2.1999999999999846E-4</v>
      </c>
      <c r="AI76" s="143">
        <f t="shared" si="47"/>
        <v>-1.9999999999999841E-4</v>
      </c>
      <c r="AJ76" s="143">
        <f t="shared" si="47"/>
        <v>-1.7999999999999844E-4</v>
      </c>
      <c r="AK76" s="143">
        <f t="shared" ref="AK76:BP76" si="48">[1]!StB08KreisasymMN_test($E$3,$E$5,$E$7*PI()/180,$E$8,$I$2,$I$3,$I$4,$I$5,$I$6,$I$7,$I$8,$I$9,$M$2,$M$3,$M$4,$M$5,$M$6,$C$66,$C$67,-12,AK$68)</f>
        <v>-1.5999999999999839E-4</v>
      </c>
      <c r="AL76" s="143">
        <f t="shared" si="48"/>
        <v>-1.3999999999999839E-4</v>
      </c>
      <c r="AM76" s="143">
        <f t="shared" si="48"/>
        <v>-1.1999999999999839E-4</v>
      </c>
      <c r="AN76" s="143">
        <f t="shared" si="48"/>
        <v>-9.9999999999998338E-5</v>
      </c>
      <c r="AO76" s="143">
        <f t="shared" si="48"/>
        <v>-7.9999999999998353E-5</v>
      </c>
      <c r="AP76" s="143">
        <f t="shared" si="48"/>
        <v>-5.999999999999824E-5</v>
      </c>
      <c r="AQ76" s="143">
        <f t="shared" si="48"/>
        <v>-3.9999999999998248E-5</v>
      </c>
      <c r="AR76" s="143">
        <f t="shared" si="48"/>
        <v>-1.9999999999998192E-5</v>
      </c>
      <c r="AS76" s="143">
        <f t="shared" si="48"/>
        <v>2.5834928407729787E-17</v>
      </c>
      <c r="AT76" s="143">
        <f t="shared" si="48"/>
        <v>2.9071428571431182E-4</v>
      </c>
      <c r="AU76" s="143">
        <f t="shared" si="48"/>
        <v>5.8142857142859784E-4</v>
      </c>
      <c r="AV76" s="143">
        <f t="shared" si="48"/>
        <v>8.7214285714288381E-4</v>
      </c>
      <c r="AW76" s="143">
        <f t="shared" si="48"/>
        <v>1.1628571428571697E-3</v>
      </c>
      <c r="AX76" s="143">
        <f t="shared" si="48"/>
        <v>1.4535714285714557E-3</v>
      </c>
      <c r="AY76" s="143">
        <f t="shared" si="48"/>
        <v>1.7442857142857416E-3</v>
      </c>
      <c r="AZ76" s="143">
        <f t="shared" si="48"/>
        <v>2.0350000000000277E-3</v>
      </c>
      <c r="BA76" s="143">
        <f t="shared" si="48"/>
        <v>2.3257142857143137E-3</v>
      </c>
      <c r="BB76" s="143">
        <f t="shared" si="48"/>
        <v>2.6164285714285998E-3</v>
      </c>
      <c r="BC76" s="143">
        <f t="shared" si="48"/>
        <v>2.9071428571428855E-3</v>
      </c>
      <c r="BD76" s="143">
        <f t="shared" si="48"/>
        <v>3.1978571428571715E-3</v>
      </c>
      <c r="BE76" s="143">
        <f t="shared" si="48"/>
        <v>3.4885714285714576E-3</v>
      </c>
      <c r="BF76" s="143">
        <f t="shared" si="48"/>
        <v>3.7792857142857437E-3</v>
      </c>
      <c r="BG76" s="143">
        <f t="shared" si="48"/>
        <v>4.0700000000000293E-3</v>
      </c>
      <c r="BH76" s="143">
        <f t="shared" si="48"/>
        <v>4.3607142857143158E-3</v>
      </c>
      <c r="BI76" s="143">
        <f t="shared" si="48"/>
        <v>4.6514285714286015E-3</v>
      </c>
      <c r="BJ76" s="143">
        <f t="shared" si="48"/>
        <v>4.942142857142888E-3</v>
      </c>
      <c r="BK76" s="143">
        <f t="shared" si="48"/>
        <v>5.2328571428571736E-3</v>
      </c>
      <c r="BL76" s="143">
        <f t="shared" si="48"/>
        <v>5.5235714285714593E-3</v>
      </c>
      <c r="BM76" s="143">
        <f t="shared" si="48"/>
        <v>5.8142857142857458E-3</v>
      </c>
      <c r="BN76" s="143">
        <f t="shared" si="48"/>
        <v>6.1050000000000314E-3</v>
      </c>
      <c r="BO76" s="143">
        <f t="shared" si="48"/>
        <v>6.3957142857143179E-3</v>
      </c>
      <c r="BP76" s="143">
        <f t="shared" si="48"/>
        <v>6.6864285714286036E-3</v>
      </c>
      <c r="BQ76" s="143">
        <f t="shared" ref="BQ76:DA76" si="49">[1]!StB08KreisasymMN_test($E$3,$E$5,$E$7*PI()/180,$E$8,$I$2,$I$3,$I$4,$I$5,$I$6,$I$7,$I$8,$I$9,$M$2,$M$3,$M$4,$M$5,$M$6,$C$66,$C$67,-12,BQ$68)</f>
        <v>6.9771428571428901E-3</v>
      </c>
      <c r="BR76" s="143">
        <f t="shared" si="49"/>
        <v>7.2678571428571757E-3</v>
      </c>
      <c r="BS76" s="143">
        <f t="shared" si="49"/>
        <v>7.5585714285714613E-3</v>
      </c>
      <c r="BT76" s="143">
        <f t="shared" si="49"/>
        <v>7.8492857142857479E-3</v>
      </c>
      <c r="BU76" s="143">
        <f t="shared" si="49"/>
        <v>8.1400000000000344E-3</v>
      </c>
      <c r="BV76" s="143">
        <f t="shared" si="49"/>
        <v>8.4307142857143191E-3</v>
      </c>
      <c r="BW76" s="143">
        <f t="shared" si="49"/>
        <v>8.7214285714286056E-3</v>
      </c>
      <c r="BX76" s="143">
        <f t="shared" si="49"/>
        <v>9.8842857142857499E-3</v>
      </c>
      <c r="BY76" s="143">
        <f t="shared" si="49"/>
        <v>1.1047142857142894E-2</v>
      </c>
      <c r="BZ76" s="143">
        <f t="shared" si="49"/>
        <v>1.2210000000000039E-2</v>
      </c>
      <c r="CA76" s="143">
        <f t="shared" si="49"/>
        <v>1.3372857142857181E-2</v>
      </c>
      <c r="CB76" s="143">
        <f t="shared" si="49"/>
        <v>1.4535714285714324E-2</v>
      </c>
      <c r="CC76" s="143">
        <f t="shared" si="49"/>
        <v>1.5698571428571464E-2</v>
      </c>
      <c r="CD76" s="143">
        <f t="shared" si="49"/>
        <v>1.6861428571428607E-2</v>
      </c>
      <c r="CE76" s="143">
        <f t="shared" si="49"/>
        <v>1.802428571428575E-2</v>
      </c>
      <c r="CF76" s="143">
        <f t="shared" si="49"/>
        <v>1.9187142857142896E-2</v>
      </c>
      <c r="CG76" s="143">
        <f t="shared" si="49"/>
        <v>2.0350000000000035E-2</v>
      </c>
      <c r="CH76" s="143">
        <f t="shared" si="49"/>
        <v>2.1512857142857177E-2</v>
      </c>
      <c r="CI76" s="143">
        <f t="shared" si="49"/>
        <v>2.2675714285714323E-2</v>
      </c>
      <c r="CJ76" s="143">
        <f t="shared" si="49"/>
        <v>2.3838571428571462E-2</v>
      </c>
      <c r="CK76" s="143">
        <f t="shared" si="49"/>
        <v>2.5001428571428605E-2</v>
      </c>
      <c r="CL76" s="143">
        <f t="shared" si="49"/>
        <v>2.6164285714285751E-2</v>
      </c>
      <c r="CM76" s="143">
        <f t="shared" si="49"/>
        <v>2.7327142857142894E-2</v>
      </c>
      <c r="CN76" s="143">
        <f t="shared" si="49"/>
        <v>2.8490000000000036E-2</v>
      </c>
      <c r="CO76" s="143">
        <f t="shared" si="49"/>
        <v>2.9030714285714285E-2</v>
      </c>
      <c r="CP76" s="143">
        <f t="shared" si="49"/>
        <v>2.8949285714285712E-2</v>
      </c>
      <c r="CQ76" s="143">
        <f t="shared" si="49"/>
        <v>2.8867857142857143E-2</v>
      </c>
      <c r="CR76" s="143">
        <f t="shared" si="49"/>
        <v>2.878642857142857E-2</v>
      </c>
      <c r="CS76" s="143">
        <f t="shared" si="49"/>
        <v>2.8704999999999998E-2</v>
      </c>
      <c r="CT76" s="143">
        <f t="shared" si="49"/>
        <v>2.7850000000000003E-2</v>
      </c>
      <c r="CU76" s="143">
        <f t="shared" si="49"/>
        <v>2.7442857142857144E-2</v>
      </c>
      <c r="CV76" s="143">
        <f t="shared" si="49"/>
        <v>2.7035714285714288E-2</v>
      </c>
      <c r="CW76" s="143">
        <f t="shared" si="49"/>
        <v>2.6628571428571429E-2</v>
      </c>
      <c r="CX76" s="143">
        <f t="shared" si="49"/>
        <v>2.6221428571428573E-2</v>
      </c>
      <c r="CY76" s="143">
        <f t="shared" si="49"/>
        <v>2.5814285714285717E-2</v>
      </c>
      <c r="CZ76" s="143">
        <f t="shared" si="49"/>
        <v>2.5407142857142857E-2</v>
      </c>
      <c r="DA76" s="143">
        <f t="shared" si="49"/>
        <v>2.5000000000000001E-2</v>
      </c>
    </row>
    <row r="77" spans="1:105" x14ac:dyDescent="0.2">
      <c r="A77" s="138" t="s">
        <v>422</v>
      </c>
      <c r="B77" s="130" t="s">
        <v>86</v>
      </c>
      <c r="C77" s="143">
        <f>[1]!StB08KreisasymMN_test($E$3,$E$5,$E$7*PI()/180,$E$8,$I$2,$I$3,$I$4,$I$5,$I$6,$I$7,$I$8,$I$9,$M$2,$M$3,$M$4,$M$5,$M$6,$C$66,$C$67,-13,J$67)</f>
        <v>-2.9064932550702778E-3</v>
      </c>
      <c r="D77" s="143">
        <f>[1]!StB08KreisasymMN_test($E$3,$E$5,$E$7*PI()/180,$E$8,$I$2,$I$3,$I$4,$I$5,$I$6,$I$7,$I$8,$I$9,$M$2,$M$3,$M$4,$M$5,$M$6,$C$66,$C$67,-13,K$67)</f>
        <v>-2.9784942354474748E-3</v>
      </c>
      <c r="E77" s="143">
        <f t="shared" ref="E77:AJ77" si="50">[1]!StB08KreisasymMN_test($E$3,$E$5,$E$7*PI()/180,$E$8,$I$2,$I$3,$I$4,$I$5,$I$6,$I$7,$I$8,$I$9,$M$2,$M$3,$M$4,$M$5,$M$6,$C$66,$C$67,-13,E$68)</f>
        <v>-2E-3</v>
      </c>
      <c r="F77" s="143">
        <f t="shared" si="50"/>
        <v>-2.0425E-3</v>
      </c>
      <c r="G77" s="143">
        <f t="shared" si="50"/>
        <v>-2.0850000000000005E-3</v>
      </c>
      <c r="H77" s="143">
        <f t="shared" si="50"/>
        <v>-2.1275000000000001E-3</v>
      </c>
      <c r="I77" s="143">
        <f t="shared" si="50"/>
        <v>-2.1700000000000001E-3</v>
      </c>
      <c r="J77" s="143">
        <f t="shared" si="50"/>
        <v>-2.2125000000000005E-3</v>
      </c>
      <c r="K77" s="143">
        <f t="shared" si="50"/>
        <v>-2.2550000000000005E-3</v>
      </c>
      <c r="L77" s="143">
        <f t="shared" si="50"/>
        <v>-2.2975000000000001E-3</v>
      </c>
      <c r="M77" s="143">
        <f t="shared" si="50"/>
        <v>-2.3400000000000005E-3</v>
      </c>
      <c r="N77" s="143">
        <f t="shared" si="50"/>
        <v>-2.3825000000000005E-3</v>
      </c>
      <c r="O77" s="143">
        <f t="shared" si="50"/>
        <v>-2.4250000000000005E-3</v>
      </c>
      <c r="P77" s="143">
        <f t="shared" si="50"/>
        <v>-2.4675000000000005E-3</v>
      </c>
      <c r="Q77" s="143">
        <f t="shared" si="50"/>
        <v>-2.5100000000000005E-3</v>
      </c>
      <c r="R77" s="143">
        <f t="shared" si="50"/>
        <v>-2.5525000000000005E-3</v>
      </c>
      <c r="S77" s="143">
        <f t="shared" si="50"/>
        <v>-2.5950000000000005E-3</v>
      </c>
      <c r="T77" s="143">
        <f t="shared" si="50"/>
        <v>-2.6375000000000005E-3</v>
      </c>
      <c r="U77" s="143">
        <f t="shared" si="50"/>
        <v>-2.6800000000000005E-3</v>
      </c>
      <c r="V77" s="143">
        <f t="shared" si="50"/>
        <v>-2.7225000000000005E-3</v>
      </c>
      <c r="W77" s="143">
        <f t="shared" si="50"/>
        <v>-2.765000000000001E-3</v>
      </c>
      <c r="X77" s="143">
        <f t="shared" si="50"/>
        <v>-2.8075000000000005E-3</v>
      </c>
      <c r="Y77" s="143">
        <f t="shared" si="50"/>
        <v>-2.8500000000000005E-3</v>
      </c>
      <c r="Z77" s="143">
        <f t="shared" si="50"/>
        <v>-2.8606250000000008E-3</v>
      </c>
      <c r="AA77" s="143">
        <f t="shared" si="50"/>
        <v>-2.871250000000001E-3</v>
      </c>
      <c r="AB77" s="143">
        <f t="shared" si="50"/>
        <v>-2.8818750000000012E-3</v>
      </c>
      <c r="AC77" s="143">
        <f t="shared" si="50"/>
        <v>-2.892500000000001E-3</v>
      </c>
      <c r="AD77" s="143">
        <f t="shared" si="50"/>
        <v>-2.9031250000000008E-3</v>
      </c>
      <c r="AE77" s="143">
        <f t="shared" si="50"/>
        <v>-2.913750000000001E-3</v>
      </c>
      <c r="AF77" s="143">
        <f t="shared" si="50"/>
        <v>-2.9243750000000008E-3</v>
      </c>
      <c r="AG77" s="143">
        <f t="shared" si="50"/>
        <v>-2.935000000000001E-3</v>
      </c>
      <c r="AH77" s="143">
        <f t="shared" si="50"/>
        <v>-2.9456250000000008E-3</v>
      </c>
      <c r="AI77" s="143">
        <f t="shared" si="50"/>
        <v>-2.956250000000001E-3</v>
      </c>
      <c r="AJ77" s="143">
        <f t="shared" si="50"/>
        <v>-2.9668750000000008E-3</v>
      </c>
      <c r="AK77" s="143">
        <f t="shared" ref="AK77:BP77" si="51">[1]!StB08KreisasymMN_test($E$3,$E$5,$E$7*PI()/180,$E$8,$I$2,$I$3,$I$4,$I$5,$I$6,$I$7,$I$8,$I$9,$M$2,$M$3,$M$4,$M$5,$M$6,$C$66,$C$67,-13,AK$68)</f>
        <v>-2.977500000000001E-3</v>
      </c>
      <c r="AL77" s="143">
        <f t="shared" si="51"/>
        <v>-2.9881250000000008E-3</v>
      </c>
      <c r="AM77" s="143">
        <f t="shared" si="51"/>
        <v>-2.998750000000001E-3</v>
      </c>
      <c r="AN77" s="143">
        <f t="shared" si="51"/>
        <v>-3.0093750000000012E-3</v>
      </c>
      <c r="AO77" s="143">
        <f t="shared" si="51"/>
        <v>-3.020000000000001E-3</v>
      </c>
      <c r="AP77" s="143">
        <f t="shared" si="51"/>
        <v>-3.0306250000000012E-3</v>
      </c>
      <c r="AQ77" s="143">
        <f t="shared" si="51"/>
        <v>-3.041250000000001E-3</v>
      </c>
      <c r="AR77" s="143">
        <f t="shared" si="51"/>
        <v>-3.0518750000000012E-3</v>
      </c>
      <c r="AS77" s="143">
        <f t="shared" si="51"/>
        <v>-3.0624999999999966E-3</v>
      </c>
      <c r="AT77" s="143">
        <f t="shared" si="51"/>
        <v>-3.0261607142857113E-3</v>
      </c>
      <c r="AU77" s="143">
        <f t="shared" si="51"/>
        <v>-2.9898214285714255E-3</v>
      </c>
      <c r="AV77" s="143">
        <f t="shared" si="51"/>
        <v>-2.9534821428571396E-3</v>
      </c>
      <c r="AW77" s="143">
        <f t="shared" si="51"/>
        <v>-2.9171428571428538E-3</v>
      </c>
      <c r="AX77" s="143">
        <f t="shared" si="51"/>
        <v>-2.880803571428568E-3</v>
      </c>
      <c r="AY77" s="143">
        <f t="shared" si="51"/>
        <v>-2.8444642857142822E-3</v>
      </c>
      <c r="AZ77" s="143">
        <f t="shared" si="51"/>
        <v>-2.8081249999999964E-3</v>
      </c>
      <c r="BA77" s="143">
        <f t="shared" si="51"/>
        <v>-2.771785714285711E-3</v>
      </c>
      <c r="BB77" s="143">
        <f t="shared" si="51"/>
        <v>-2.7354464285714252E-3</v>
      </c>
      <c r="BC77" s="143">
        <f t="shared" si="51"/>
        <v>-2.6991071428571394E-3</v>
      </c>
      <c r="BD77" s="143">
        <f t="shared" si="51"/>
        <v>-2.6627678571428536E-3</v>
      </c>
      <c r="BE77" s="143">
        <f t="shared" si="51"/>
        <v>-2.6264285714285678E-3</v>
      </c>
      <c r="BF77" s="143">
        <f t="shared" si="51"/>
        <v>-2.5900892857142819E-3</v>
      </c>
      <c r="BG77" s="143">
        <f t="shared" si="51"/>
        <v>-2.5537499999999966E-3</v>
      </c>
      <c r="BH77" s="143">
        <f t="shared" si="51"/>
        <v>-2.5174107142857107E-3</v>
      </c>
      <c r="BI77" s="143">
        <f t="shared" si="51"/>
        <v>-2.4810714285714249E-3</v>
      </c>
      <c r="BJ77" s="143">
        <f t="shared" si="51"/>
        <v>-2.4447321428571391E-3</v>
      </c>
      <c r="BK77" s="143">
        <f t="shared" si="51"/>
        <v>-2.4083928571428533E-3</v>
      </c>
      <c r="BL77" s="143">
        <f t="shared" si="51"/>
        <v>-2.3720535714285675E-3</v>
      </c>
      <c r="BM77" s="143">
        <f t="shared" si="51"/>
        <v>-2.3357142857142817E-3</v>
      </c>
      <c r="BN77" s="143">
        <f t="shared" si="51"/>
        <v>-2.2993749999999963E-3</v>
      </c>
      <c r="BO77" s="143">
        <f t="shared" si="51"/>
        <v>-2.2630357142857105E-3</v>
      </c>
      <c r="BP77" s="143">
        <f t="shared" si="51"/>
        <v>-2.2266964285714247E-3</v>
      </c>
      <c r="BQ77" s="143">
        <f t="shared" ref="BQ77:DA77" si="52">[1]!StB08KreisasymMN_test($E$3,$E$5,$E$7*PI()/180,$E$8,$I$2,$I$3,$I$4,$I$5,$I$6,$I$7,$I$8,$I$9,$M$2,$M$3,$M$4,$M$5,$M$6,$C$66,$C$67,-13,BQ$68)</f>
        <v>-2.1903571428571389E-3</v>
      </c>
      <c r="BR77" s="143">
        <f t="shared" si="52"/>
        <v>-2.154017857142853E-3</v>
      </c>
      <c r="BS77" s="143">
        <f t="shared" si="52"/>
        <v>-2.1176785714285672E-3</v>
      </c>
      <c r="BT77" s="143">
        <f t="shared" si="52"/>
        <v>-2.0813392857142814E-3</v>
      </c>
      <c r="BU77" s="143">
        <f t="shared" si="52"/>
        <v>-2.044999999999996E-3</v>
      </c>
      <c r="BV77" s="143">
        <f t="shared" si="52"/>
        <v>-2.0086607142857102E-3</v>
      </c>
      <c r="BW77" s="143">
        <f t="shared" si="52"/>
        <v>-1.9723214285714244E-3</v>
      </c>
      <c r="BX77" s="143">
        <f t="shared" si="52"/>
        <v>-1.8269642857142814E-3</v>
      </c>
      <c r="BY77" s="143">
        <f t="shared" si="52"/>
        <v>-1.6816071428571383E-3</v>
      </c>
      <c r="BZ77" s="143">
        <f t="shared" si="52"/>
        <v>-1.5362499999999953E-3</v>
      </c>
      <c r="CA77" s="143">
        <f t="shared" si="52"/>
        <v>-1.3908928571428523E-3</v>
      </c>
      <c r="CB77" s="143">
        <f t="shared" si="52"/>
        <v>-1.2455357142857097E-3</v>
      </c>
      <c r="CC77" s="143">
        <f t="shared" si="52"/>
        <v>-1.1001785714285668E-3</v>
      </c>
      <c r="CD77" s="143">
        <f t="shared" si="52"/>
        <v>-9.5482142857142402E-4</v>
      </c>
      <c r="CE77" s="143">
        <f t="shared" si="52"/>
        <v>-8.0946428571428131E-4</v>
      </c>
      <c r="CF77" s="143">
        <f t="shared" si="52"/>
        <v>-6.6410714285713827E-4</v>
      </c>
      <c r="CG77" s="143">
        <f t="shared" si="52"/>
        <v>-5.1874999999999578E-4</v>
      </c>
      <c r="CH77" s="143">
        <f t="shared" si="52"/>
        <v>-3.7339285714285279E-4</v>
      </c>
      <c r="CI77" s="143">
        <f t="shared" si="52"/>
        <v>-2.2803571428570976E-4</v>
      </c>
      <c r="CJ77" s="143">
        <f t="shared" si="52"/>
        <v>-8.2678571428567249E-5</v>
      </c>
      <c r="CK77" s="143">
        <f t="shared" si="52"/>
        <v>6.2678571428575748E-5</v>
      </c>
      <c r="CL77" s="143">
        <f t="shared" si="52"/>
        <v>2.0803571428571876E-4</v>
      </c>
      <c r="CM77" s="143">
        <f t="shared" si="52"/>
        <v>3.5339285714286174E-4</v>
      </c>
      <c r="CN77" s="143">
        <f t="shared" si="52"/>
        <v>4.9875000000000429E-4</v>
      </c>
      <c r="CO77" s="143">
        <f t="shared" si="52"/>
        <v>8.1571428571430046E-4</v>
      </c>
      <c r="CP77" s="143">
        <f t="shared" si="52"/>
        <v>1.3042857142857292E-3</v>
      </c>
      <c r="CQ77" s="143">
        <f t="shared" si="52"/>
        <v>1.7928571428571574E-3</v>
      </c>
      <c r="CR77" s="143">
        <f t="shared" si="52"/>
        <v>2.2814285714285866E-3</v>
      </c>
      <c r="CS77" s="143">
        <f t="shared" si="52"/>
        <v>2.7700000000000151E-3</v>
      </c>
      <c r="CT77" s="143">
        <f t="shared" si="52"/>
        <v>7.9000000000000008E-3</v>
      </c>
      <c r="CU77" s="143">
        <f t="shared" si="52"/>
        <v>1.0342857142857143E-2</v>
      </c>
      <c r="CV77" s="143">
        <f t="shared" si="52"/>
        <v>1.2785714285714287E-2</v>
      </c>
      <c r="CW77" s="143">
        <f t="shared" si="52"/>
        <v>1.522857142857143E-2</v>
      </c>
      <c r="CX77" s="143">
        <f t="shared" si="52"/>
        <v>1.7671428571428571E-2</v>
      </c>
      <c r="CY77" s="143">
        <f t="shared" si="52"/>
        <v>2.0114285714285716E-2</v>
      </c>
      <c r="CZ77" s="143">
        <f t="shared" si="52"/>
        <v>2.2557142857142859E-2</v>
      </c>
      <c r="DA77" s="143">
        <f t="shared" si="52"/>
        <v>2.5000000000000001E-2</v>
      </c>
    </row>
    <row r="78" spans="1:105" x14ac:dyDescent="0.2">
      <c r="A78" s="138" t="s">
        <v>423</v>
      </c>
      <c r="B78" s="130" t="s">
        <v>86</v>
      </c>
      <c r="C78" s="143">
        <f>[1]!StB08KreisasymMN_test($E$3,$E$5,$E$7*PI()/180,$E$8,$I$2,$I$3,$I$4,$I$5,$I$6,$I$7,$I$8,$I$9,$M$2,$M$3,$M$4,$M$5,$M$6,$C$66,$C$67,-14,J$67)</f>
        <v>6.5454721450805672E-4</v>
      </c>
      <c r="D78" s="143">
        <f>[1]!StB08KreisasymMN_test($E$3,$E$5,$E$7*PI()/180,$E$8,$I$2,$I$3,$I$4,$I$5,$I$6,$I$7,$I$8,$I$9,$M$2,$M$3,$M$4,$M$5,$M$6,$C$66,$C$67,-14,K$67)</f>
        <v>1.5054035186767582E-4</v>
      </c>
      <c r="E78" s="143">
        <f t="shared" ref="E78:AJ78" si="53">[1]!StB08KreisasymMN_test($E$3,$E$5,$E$7*PI()/180,$E$8,$I$2,$I$3,$I$4,$I$5,$I$6,$I$7,$I$8,$I$9,$M$2,$M$3,$M$4,$M$5,$M$6,$C$66,$C$67,-14,E$68)</f>
        <v>-2E-3</v>
      </c>
      <c r="F78" s="143">
        <f t="shared" si="53"/>
        <v>-1.9375E-3</v>
      </c>
      <c r="G78" s="143">
        <f t="shared" si="53"/>
        <v>-1.8749999999999999E-3</v>
      </c>
      <c r="H78" s="143">
        <f t="shared" si="53"/>
        <v>-1.8124999999999999E-3</v>
      </c>
      <c r="I78" s="143">
        <f t="shared" si="53"/>
        <v>-1.7499999999999998E-3</v>
      </c>
      <c r="J78" s="143">
        <f t="shared" si="53"/>
        <v>-1.6874999999999998E-3</v>
      </c>
      <c r="K78" s="143">
        <f t="shared" si="53"/>
        <v>-1.6249999999999997E-3</v>
      </c>
      <c r="L78" s="143">
        <f t="shared" si="53"/>
        <v>-1.5624999999999997E-3</v>
      </c>
      <c r="M78" s="143">
        <f t="shared" si="53"/>
        <v>-1.4999999999999996E-3</v>
      </c>
      <c r="N78" s="143">
        <f t="shared" si="53"/>
        <v>-1.4374999999999995E-3</v>
      </c>
      <c r="O78" s="143">
        <f t="shared" si="53"/>
        <v>-1.3749999999999995E-3</v>
      </c>
      <c r="P78" s="143">
        <f t="shared" si="53"/>
        <v>-1.3124999999999994E-3</v>
      </c>
      <c r="Q78" s="143">
        <f t="shared" si="53"/>
        <v>-1.2499999999999994E-3</v>
      </c>
      <c r="R78" s="143">
        <f t="shared" si="53"/>
        <v>-1.1874999999999993E-3</v>
      </c>
      <c r="S78" s="143">
        <f t="shared" si="53"/>
        <v>-1.1249999999999993E-3</v>
      </c>
      <c r="T78" s="143">
        <f t="shared" si="53"/>
        <v>-1.0624999999999992E-3</v>
      </c>
      <c r="U78" s="143">
        <f t="shared" si="53"/>
        <v>-9.9999999999999915E-4</v>
      </c>
      <c r="V78" s="143">
        <f t="shared" si="53"/>
        <v>-9.374999999999991E-4</v>
      </c>
      <c r="W78" s="143">
        <f t="shared" si="53"/>
        <v>-8.7499999999999904E-4</v>
      </c>
      <c r="X78" s="143">
        <f t="shared" si="53"/>
        <v>-8.1249999999999899E-4</v>
      </c>
      <c r="Y78" s="143">
        <f t="shared" si="53"/>
        <v>-7.4999999999999893E-4</v>
      </c>
      <c r="Z78" s="143">
        <f t="shared" si="53"/>
        <v>-7.3437499999999892E-4</v>
      </c>
      <c r="AA78" s="143">
        <f t="shared" si="53"/>
        <v>-7.187499999999989E-4</v>
      </c>
      <c r="AB78" s="143">
        <f t="shared" si="53"/>
        <v>-7.0312499999999889E-4</v>
      </c>
      <c r="AC78" s="143">
        <f t="shared" si="53"/>
        <v>-6.8749999999999888E-4</v>
      </c>
      <c r="AD78" s="143">
        <f t="shared" si="53"/>
        <v>-6.7187499999999886E-4</v>
      </c>
      <c r="AE78" s="143">
        <f t="shared" si="53"/>
        <v>-6.5624999999999885E-4</v>
      </c>
      <c r="AF78" s="143">
        <f t="shared" si="53"/>
        <v>-6.4062499999999883E-4</v>
      </c>
      <c r="AG78" s="143">
        <f t="shared" si="53"/>
        <v>-6.2499999999999882E-4</v>
      </c>
      <c r="AH78" s="143">
        <f t="shared" si="53"/>
        <v>-6.0937499999999881E-4</v>
      </c>
      <c r="AI78" s="143">
        <f t="shared" si="53"/>
        <v>-5.9374999999999879E-4</v>
      </c>
      <c r="AJ78" s="143">
        <f t="shared" si="53"/>
        <v>-5.7812499999999878E-4</v>
      </c>
      <c r="AK78" s="143">
        <f t="shared" ref="AK78:BP78" si="54">[1]!StB08KreisasymMN_test($E$3,$E$5,$E$7*PI()/180,$E$8,$I$2,$I$3,$I$4,$I$5,$I$6,$I$7,$I$8,$I$9,$M$2,$M$3,$M$4,$M$5,$M$6,$C$66,$C$67,-14,AK$68)</f>
        <v>-5.6249999999999876E-4</v>
      </c>
      <c r="AL78" s="143">
        <f t="shared" si="54"/>
        <v>-5.4687499999999875E-4</v>
      </c>
      <c r="AM78" s="143">
        <f t="shared" si="54"/>
        <v>-5.3124999999999874E-4</v>
      </c>
      <c r="AN78" s="143">
        <f t="shared" si="54"/>
        <v>-5.1562499999999872E-4</v>
      </c>
      <c r="AO78" s="143">
        <f t="shared" si="54"/>
        <v>-4.9999999999999871E-4</v>
      </c>
      <c r="AP78" s="143">
        <f t="shared" si="54"/>
        <v>-4.8437499999999864E-4</v>
      </c>
      <c r="AQ78" s="143">
        <f t="shared" si="54"/>
        <v>-4.6874999999999863E-4</v>
      </c>
      <c r="AR78" s="143">
        <f t="shared" si="54"/>
        <v>-4.5312499999999861E-4</v>
      </c>
      <c r="AS78" s="143">
        <f t="shared" si="54"/>
        <v>-4.374999999999774E-4</v>
      </c>
      <c r="AT78" s="143">
        <f t="shared" si="54"/>
        <v>-1.8312499999997717E-4</v>
      </c>
      <c r="AU78" s="143">
        <f t="shared" si="54"/>
        <v>7.1250000000023064E-5</v>
      </c>
      <c r="AV78" s="143">
        <f t="shared" si="54"/>
        <v>3.2562500000002332E-4</v>
      </c>
      <c r="AW78" s="143">
        <f t="shared" si="54"/>
        <v>5.8000000000002353E-4</v>
      </c>
      <c r="AX78" s="143">
        <f t="shared" si="54"/>
        <v>8.3437500000002379E-4</v>
      </c>
      <c r="AY78" s="143">
        <f t="shared" si="54"/>
        <v>1.0887500000000239E-3</v>
      </c>
      <c r="AZ78" s="143">
        <f t="shared" si="54"/>
        <v>1.3431250000000242E-3</v>
      </c>
      <c r="BA78" s="143">
        <f t="shared" si="54"/>
        <v>1.5975000000000245E-3</v>
      </c>
      <c r="BB78" s="143">
        <f t="shared" si="54"/>
        <v>1.8518750000000247E-3</v>
      </c>
      <c r="BC78" s="143">
        <f t="shared" si="54"/>
        <v>2.1062500000000248E-3</v>
      </c>
      <c r="BD78" s="143">
        <f t="shared" si="54"/>
        <v>2.360625000000025E-3</v>
      </c>
      <c r="BE78" s="143">
        <f t="shared" si="54"/>
        <v>2.6150000000000253E-3</v>
      </c>
      <c r="BF78" s="143">
        <f t="shared" si="54"/>
        <v>2.8693750000000256E-3</v>
      </c>
      <c r="BG78" s="143">
        <f t="shared" si="54"/>
        <v>3.1237500000000258E-3</v>
      </c>
      <c r="BH78" s="143">
        <f t="shared" si="54"/>
        <v>3.3781250000000261E-3</v>
      </c>
      <c r="BI78" s="143">
        <f t="shared" si="54"/>
        <v>3.6325000000000263E-3</v>
      </c>
      <c r="BJ78" s="143">
        <f t="shared" si="54"/>
        <v>3.8868750000000266E-3</v>
      </c>
      <c r="BK78" s="143">
        <f t="shared" si="54"/>
        <v>4.1412500000000269E-3</v>
      </c>
      <c r="BL78" s="143">
        <f t="shared" si="54"/>
        <v>4.3956250000000271E-3</v>
      </c>
      <c r="BM78" s="143">
        <f t="shared" si="54"/>
        <v>4.6500000000000274E-3</v>
      </c>
      <c r="BN78" s="143">
        <f t="shared" si="54"/>
        <v>4.9043750000000276E-3</v>
      </c>
      <c r="BO78" s="143">
        <f t="shared" si="54"/>
        <v>5.1587500000000279E-3</v>
      </c>
      <c r="BP78" s="143">
        <f t="shared" si="54"/>
        <v>5.4131250000000282E-3</v>
      </c>
      <c r="BQ78" s="143">
        <f t="shared" ref="BQ78:DA78" si="55">[1]!StB08KreisasymMN_test($E$3,$E$5,$E$7*PI()/180,$E$8,$I$2,$I$3,$I$4,$I$5,$I$6,$I$7,$I$8,$I$9,$M$2,$M$3,$M$4,$M$5,$M$6,$C$66,$C$67,-14,BQ$68)</f>
        <v>5.6675000000000284E-3</v>
      </c>
      <c r="BR78" s="143">
        <f t="shared" si="55"/>
        <v>5.9218750000000287E-3</v>
      </c>
      <c r="BS78" s="143">
        <f t="shared" si="55"/>
        <v>6.1762500000000289E-3</v>
      </c>
      <c r="BT78" s="143">
        <f t="shared" si="55"/>
        <v>6.4306250000000292E-3</v>
      </c>
      <c r="BU78" s="143">
        <f t="shared" si="55"/>
        <v>6.6850000000000295E-3</v>
      </c>
      <c r="BV78" s="143">
        <f t="shared" si="55"/>
        <v>6.9393750000000297E-3</v>
      </c>
      <c r="BW78" s="143">
        <f t="shared" si="55"/>
        <v>7.19375000000003E-3</v>
      </c>
      <c r="BX78" s="143">
        <f t="shared" si="55"/>
        <v>8.211250000000031E-3</v>
      </c>
      <c r="BY78" s="143">
        <f t="shared" si="55"/>
        <v>9.2287500000000321E-3</v>
      </c>
      <c r="BZ78" s="143">
        <f t="shared" si="55"/>
        <v>1.0246250000000033E-2</v>
      </c>
      <c r="CA78" s="143">
        <f t="shared" si="55"/>
        <v>1.1263750000000034E-2</v>
      </c>
      <c r="CB78" s="143">
        <f t="shared" si="55"/>
        <v>1.2281250000000033E-2</v>
      </c>
      <c r="CC78" s="143">
        <f t="shared" si="55"/>
        <v>1.3298750000000033E-2</v>
      </c>
      <c r="CD78" s="143">
        <f t="shared" si="55"/>
        <v>1.4316250000000032E-2</v>
      </c>
      <c r="CE78" s="143">
        <f t="shared" si="55"/>
        <v>1.5333750000000031E-2</v>
      </c>
      <c r="CF78" s="143">
        <f t="shared" si="55"/>
        <v>1.6351250000000032E-2</v>
      </c>
      <c r="CG78" s="143">
        <f t="shared" si="55"/>
        <v>1.736875000000003E-2</v>
      </c>
      <c r="CH78" s="143">
        <f t="shared" si="55"/>
        <v>1.8386250000000031E-2</v>
      </c>
      <c r="CI78" s="143">
        <f t="shared" si="55"/>
        <v>1.9403750000000032E-2</v>
      </c>
      <c r="CJ78" s="143">
        <f t="shared" si="55"/>
        <v>2.042125000000003E-2</v>
      </c>
      <c r="CK78" s="143">
        <f t="shared" si="55"/>
        <v>2.1438750000000031E-2</v>
      </c>
      <c r="CL78" s="143">
        <f t="shared" si="55"/>
        <v>2.2456250000000032E-2</v>
      </c>
      <c r="CM78" s="143">
        <f t="shared" si="55"/>
        <v>2.3473750000000033E-2</v>
      </c>
      <c r="CN78" s="143">
        <f t="shared" si="55"/>
        <v>2.449125000000003E-2</v>
      </c>
      <c r="CO78" s="143">
        <f t="shared" si="55"/>
        <v>2.5000000000000001E-2</v>
      </c>
      <c r="CP78" s="143">
        <f t="shared" si="55"/>
        <v>2.5000000000000001E-2</v>
      </c>
      <c r="CQ78" s="143">
        <f t="shared" si="55"/>
        <v>2.5000000000000001E-2</v>
      </c>
      <c r="CR78" s="143">
        <f t="shared" si="55"/>
        <v>2.5000000000000001E-2</v>
      </c>
      <c r="CS78" s="143">
        <f t="shared" si="55"/>
        <v>2.5000000000000001E-2</v>
      </c>
      <c r="CT78" s="143">
        <f t="shared" si="55"/>
        <v>2.5000000000000001E-2</v>
      </c>
      <c r="CU78" s="143">
        <f t="shared" si="55"/>
        <v>2.5000000000000001E-2</v>
      </c>
      <c r="CV78" s="143">
        <f t="shared" si="55"/>
        <v>2.5000000000000001E-2</v>
      </c>
      <c r="CW78" s="143">
        <f t="shared" si="55"/>
        <v>2.5000000000000001E-2</v>
      </c>
      <c r="CX78" s="143">
        <f t="shared" si="55"/>
        <v>2.5000000000000001E-2</v>
      </c>
      <c r="CY78" s="143">
        <f t="shared" si="55"/>
        <v>2.5000000000000001E-2</v>
      </c>
      <c r="CZ78" s="143">
        <f t="shared" si="55"/>
        <v>2.5000000000000001E-2</v>
      </c>
      <c r="DA78" s="143">
        <f t="shared" si="55"/>
        <v>2.5000000000000001E-2</v>
      </c>
    </row>
    <row r="79" spans="1:105" x14ac:dyDescent="0.2">
      <c r="A79" s="92" t="s">
        <v>427</v>
      </c>
      <c r="B79" s="92" t="s">
        <v>86</v>
      </c>
      <c r="C79" s="141">
        <f>[1]!StB08KreisasymMN_test($E$3,$E$5,$E$7*PI()/180,$E$8,$I$2,$I$3,$I$4,$I$5,$I$6,$I$7,$I$8,$I$9,$M$2,$M$3,$M$4,$M$5,$M$6,$C$66,$C$67,-15,J$67)</f>
        <v>59957.061215912865</v>
      </c>
      <c r="D79" s="141">
        <f>[1]!StB08KreisasymMN_test($E$3,$E$5,$E$7*PI()/180,$E$8,$I$2,$I$3,$I$4,$I$5,$I$6,$I$7,$I$8,$I$9,$M$2,$M$3,$M$4,$M$5,$M$6,$C$66,$C$67,-15,K$67)</f>
        <v>-0.2689399951988527</v>
      </c>
      <c r="E79" s="141">
        <f t="shared" ref="E79:AJ79" si="56">[1]!StB08KreisasymMN_test($E$3,$E$5,$E$7*PI()/180,$E$8,$I$2,$I$3,$I$4,$I$5,$I$6,$I$7,$I$8,$I$9,$M$2,$M$3,$M$4,$M$5,$M$6,$C$66,$C$67,-15,E$68)</f>
        <v>-0.1177011712434453</v>
      </c>
      <c r="F79" s="141">
        <f t="shared" si="56"/>
        <v>-0.12018557623894606</v>
      </c>
      <c r="G79" s="141">
        <f t="shared" si="56"/>
        <v>-0.12265876454709676</v>
      </c>
      <c r="H79" s="141">
        <f t="shared" si="56"/>
        <v>-0.12512357122209444</v>
      </c>
      <c r="I79" s="141">
        <f t="shared" si="56"/>
        <v>-0.12757941648555507</v>
      </c>
      <c r="J79" s="141">
        <f t="shared" si="56"/>
        <v>-0.13002566582409478</v>
      </c>
      <c r="K79" s="141">
        <f t="shared" si="56"/>
        <v>-0.13246162337400433</v>
      </c>
      <c r="L79" s="141">
        <f t="shared" si="56"/>
        <v>-0.13488652432271586</v>
      </c>
      <c r="M79" s="141">
        <f t="shared" si="56"/>
        <v>-0.13729952615224583</v>
      </c>
      <c r="N79" s="141">
        <f t="shared" si="56"/>
        <v>-0.13969969851335148</v>
      </c>
      <c r="O79" s="141">
        <f t="shared" si="56"/>
        <v>-0.14208601147390873</v>
      </c>
      <c r="P79" s="141">
        <f t="shared" si="56"/>
        <v>-0.14445732182860438</v>
      </c>
      <c r="Q79" s="141">
        <f t="shared" si="56"/>
        <v>-0.14683092842289183</v>
      </c>
      <c r="R79" s="141">
        <f t="shared" si="56"/>
        <v>-0.149383335334763</v>
      </c>
      <c r="S79" s="141">
        <f t="shared" si="56"/>
        <v>-0.15206136065496967</v>
      </c>
      <c r="T79" s="141">
        <f t="shared" si="56"/>
        <v>-0.15484248603635056</v>
      </c>
      <c r="U79" s="141">
        <f t="shared" si="56"/>
        <v>-0.15772116573914674</v>
      </c>
      <c r="V79" s="141">
        <f t="shared" si="56"/>
        <v>-0.16069768186045247</v>
      </c>
      <c r="W79" s="141">
        <f t="shared" si="56"/>
        <v>-0.1637758310480682</v>
      </c>
      <c r="X79" s="141">
        <f t="shared" si="56"/>
        <v>-0.16695516408545921</v>
      </c>
      <c r="Y79" s="141">
        <f t="shared" si="56"/>
        <v>-0.1702113804070356</v>
      </c>
      <c r="Z79" s="141">
        <f t="shared" si="56"/>
        <v>-0.17103791104698138</v>
      </c>
      <c r="AA79" s="141">
        <f t="shared" si="56"/>
        <v>-0.17186976078152219</v>
      </c>
      <c r="AB79" s="141">
        <f t="shared" si="56"/>
        <v>-0.17270710659709021</v>
      </c>
      <c r="AC79" s="141">
        <f t="shared" si="56"/>
        <v>-0.1735501334201956</v>
      </c>
      <c r="AD79" s="141">
        <f t="shared" si="56"/>
        <v>-0.17439903456774275</v>
      </c>
      <c r="AE79" s="141">
        <f t="shared" si="56"/>
        <v>-0.17525401222834627</v>
      </c>
      <c r="AF79" s="141">
        <f t="shared" si="56"/>
        <v>-0.1761152779771637</v>
      </c>
      <c r="AG79" s="141">
        <f t="shared" si="56"/>
        <v>-0.17698305332700059</v>
      </c>
      <c r="AH79" s="141">
        <f t="shared" si="56"/>
        <v>-0.17785757031870578</v>
      </c>
      <c r="AI79" s="141">
        <f t="shared" si="56"/>
        <v>-0.17873907215416182</v>
      </c>
      <c r="AJ79" s="141">
        <f t="shared" si="56"/>
        <v>-0.17962781387550275</v>
      </c>
      <c r="AK79" s="141">
        <f t="shared" ref="AK79:BP79" si="57">[1]!StB08KreisasymMN_test($E$3,$E$5,$E$7*PI()/180,$E$8,$I$2,$I$3,$I$4,$I$5,$I$6,$I$7,$I$8,$I$9,$M$2,$M$3,$M$4,$M$5,$M$6,$C$66,$C$67,-15,AK$68)</f>
        <v>-0.18052406309454244</v>
      </c>
      <c r="AL79" s="141">
        <f t="shared" si="57"/>
        <v>-0.18142810077680194</v>
      </c>
      <c r="AM79" s="141">
        <f t="shared" si="57"/>
        <v>-0.18234022208496062</v>
      </c>
      <c r="AN79" s="141">
        <f t="shared" si="57"/>
        <v>-0.18326073728705594</v>
      </c>
      <c r="AO79" s="141">
        <f t="shared" si="57"/>
        <v>-0.18418997273530258</v>
      </c>
      <c r="AP79" s="141">
        <f t="shared" si="57"/>
        <v>-0.18512827192202522</v>
      </c>
      <c r="AQ79" s="141">
        <f t="shared" si="57"/>
        <v>-0.18607599661988319</v>
      </c>
      <c r="AR79" s="141">
        <f t="shared" si="57"/>
        <v>-0.18703352811434634</v>
      </c>
      <c r="AS79" s="141">
        <f t="shared" si="57"/>
        <v>-0.18800126853724783</v>
      </c>
      <c r="AT79" s="141">
        <f t="shared" si="57"/>
        <v>-0.20691153617943697</v>
      </c>
      <c r="AU79" s="141">
        <f t="shared" si="57"/>
        <v>-0.24679148908728268</v>
      </c>
      <c r="AV79" s="141">
        <f t="shared" si="57"/>
        <v>-0.3595534414142203</v>
      </c>
      <c r="AW79" s="141">
        <f t="shared" si="57"/>
        <v>-1.2917431094565421</v>
      </c>
      <c r="AX79" s="141">
        <f t="shared" si="57"/>
        <v>0.43166321075865971</v>
      </c>
      <c r="AY79" s="141">
        <f t="shared" si="57"/>
        <v>0.14221185620282673</v>
      </c>
      <c r="AZ79" s="141">
        <f t="shared" si="57"/>
        <v>7.0005789136931049E-2</v>
      </c>
      <c r="BA79" s="141">
        <f t="shared" si="57"/>
        <v>3.8816281773808643E-2</v>
      </c>
      <c r="BB79" s="141">
        <f t="shared" si="57"/>
        <v>2.2230655129055792E-2</v>
      </c>
      <c r="BC79" s="141">
        <f t="shared" si="57"/>
        <v>1.2388691896370181E-2</v>
      </c>
      <c r="BD79" s="141">
        <f t="shared" si="57"/>
        <v>6.1462247138007057E-3</v>
      </c>
      <c r="BE79" s="141">
        <f t="shared" si="57"/>
        <v>2.0428067801119545E-3</v>
      </c>
      <c r="BF79" s="141">
        <f t="shared" si="57"/>
        <v>-8.7685018870660295E-4</v>
      </c>
      <c r="BG79" s="141">
        <f t="shared" si="57"/>
        <v>-3.2526394018452575E-3</v>
      </c>
      <c r="BH79" s="141">
        <f t="shared" si="57"/>
        <v>-5.3164572084508002E-3</v>
      </c>
      <c r="BI79" s="141">
        <f t="shared" si="57"/>
        <v>-7.1430446420015451E-3</v>
      </c>
      <c r="BJ79" s="141">
        <f t="shared" si="57"/>
        <v>-8.7483275605320533E-3</v>
      </c>
      <c r="BK79" s="141">
        <f t="shared" si="57"/>
        <v>-1.0163128819205712E-2</v>
      </c>
      <c r="BL79" s="141">
        <f t="shared" si="57"/>
        <v>-1.1412889883508017E-2</v>
      </c>
      <c r="BM79" s="141">
        <f t="shared" si="57"/>
        <v>-1.2519124546323528E-2</v>
      </c>
      <c r="BN79" s="141">
        <f t="shared" si="57"/>
        <v>-1.3500101744613436E-2</v>
      </c>
      <c r="BO79" s="141">
        <f t="shared" si="57"/>
        <v>-1.4371398017555824E-2</v>
      </c>
      <c r="BP79" s="141">
        <f t="shared" si="57"/>
        <v>-1.5146346320835564E-2</v>
      </c>
      <c r="BQ79" s="141">
        <f t="shared" ref="BQ79:DA79" si="58">[1]!StB08KreisasymMN_test($E$3,$E$5,$E$7*PI()/180,$E$8,$I$2,$I$3,$I$4,$I$5,$I$6,$I$7,$I$8,$I$9,$M$2,$M$3,$M$4,$M$5,$M$6,$C$66,$C$67,-15,BQ$68)</f>
        <v>-1.583640217112104E-2</v>
      </c>
      <c r="BR79" s="141">
        <f t="shared" si="58"/>
        <v>-1.6451443609956522E-2</v>
      </c>
      <c r="BS79" s="141">
        <f t="shared" si="58"/>
        <v>-1.7000017981092987E-2</v>
      </c>
      <c r="BT79" s="141">
        <f t="shared" si="58"/>
        <v>-1.7489545791878693E-2</v>
      </c>
      <c r="BU79" s="141">
        <f t="shared" si="58"/>
        <v>-1.7926489804671528E-2</v>
      </c>
      <c r="BV79" s="141">
        <f t="shared" si="58"/>
        <v>-1.8316495843038183E-2</v>
      </c>
      <c r="BW79" s="141">
        <f t="shared" si="58"/>
        <v>-1.8664510494987862E-2</v>
      </c>
      <c r="BX79" s="141">
        <f t="shared" si="58"/>
        <v>-1.9716228647951382E-2</v>
      </c>
      <c r="BY79" s="141">
        <f t="shared" si="58"/>
        <v>-2.0365499293509563E-2</v>
      </c>
      <c r="BZ79" s="141">
        <f t="shared" si="58"/>
        <v>-2.0743375507492785E-2</v>
      </c>
      <c r="CA79" s="141">
        <f t="shared" si="58"/>
        <v>-2.0934333664636255E-2</v>
      </c>
      <c r="CB79" s="141">
        <f t="shared" si="58"/>
        <v>-2.0994423435579862E-2</v>
      </c>
      <c r="CC79" s="141">
        <f t="shared" si="58"/>
        <v>-2.0961764766831505E-2</v>
      </c>
      <c r="CD79" s="141">
        <f t="shared" si="58"/>
        <v>-2.0862840065922345E-2</v>
      </c>
      <c r="CE79" s="141">
        <f t="shared" si="58"/>
        <v>-2.0716386314509897E-2</v>
      </c>
      <c r="CF79" s="141">
        <f t="shared" si="58"/>
        <v>-2.0535870315736421E-2</v>
      </c>
      <c r="CG79" s="141">
        <f t="shared" si="58"/>
        <v>-2.0331102128761241E-2</v>
      </c>
      <c r="CH79" s="141">
        <f t="shared" si="58"/>
        <v>-2.010931013505219E-2</v>
      </c>
      <c r="CI79" s="141">
        <f t="shared" si="58"/>
        <v>-1.9879690756303737E-2</v>
      </c>
      <c r="CJ79" s="141">
        <f t="shared" si="58"/>
        <v>-1.9663832328323781E-2</v>
      </c>
      <c r="CK79" s="141">
        <f t="shared" si="58"/>
        <v>-1.9462907809077789E-2</v>
      </c>
      <c r="CL79" s="141">
        <f t="shared" si="58"/>
        <v>-1.9275359099446474E-2</v>
      </c>
      <c r="CM79" s="141">
        <f t="shared" si="58"/>
        <v>-1.9099872235202774E-2</v>
      </c>
      <c r="CN79" s="141">
        <f t="shared" si="58"/>
        <v>-1.8935332901847127E-2</v>
      </c>
      <c r="CO79" s="141">
        <f t="shared" si="58"/>
        <v>-1.8783165003012359E-2</v>
      </c>
      <c r="CP79" s="141">
        <f t="shared" si="58"/>
        <v>-1.8644394765694908E-2</v>
      </c>
      <c r="CQ79" s="141">
        <f t="shared" si="58"/>
        <v>-1.852203587628961E-2</v>
      </c>
      <c r="CR79" s="141">
        <f t="shared" si="58"/>
        <v>-1.8431432681550491E-2</v>
      </c>
      <c r="CS79" s="141">
        <f t="shared" si="58"/>
        <v>-1.8425903704471572E-2</v>
      </c>
      <c r="CT79" s="141">
        <f t="shared" si="58"/>
        <v>-1.8360112913272567E-2</v>
      </c>
      <c r="CU79" s="141">
        <f t="shared" si="58"/>
        <v>-1.8324708910444572E-2</v>
      </c>
      <c r="CV79" s="141">
        <f t="shared" si="58"/>
        <v>-1.8289441184669509E-2</v>
      </c>
      <c r="CW79" s="141">
        <f t="shared" si="58"/>
        <v>-1.8254308950622571E-2</v>
      </c>
      <c r="CX79" s="141">
        <f t="shared" si="58"/>
        <v>-1.8219311429001496E-2</v>
      </c>
      <c r="CY79" s="141">
        <f t="shared" si="58"/>
        <v>-1.8184447846468981E-2</v>
      </c>
      <c r="CZ79" s="141">
        <f t="shared" si="58"/>
        <v>-1.8149717435595687E-2</v>
      </c>
      <c r="DA79" s="141">
        <f t="shared" si="58"/>
        <v>-1.8115119434803949E-2</v>
      </c>
    </row>
    <row r="80" spans="1:105" x14ac:dyDescent="0.2">
      <c r="A80" s="92" t="s">
        <v>428</v>
      </c>
      <c r="B80" s="92" t="s">
        <v>86</v>
      </c>
      <c r="C80" s="141">
        <f>[1]!StB08KreisasymMN_test($E$3,$E$5,$E$7*PI()/180,$E$8,$I$2,$I$3,$I$4,$I$5,$I$6,$I$7,$I$8,$I$9,$M$2,$M$3,$M$4,$M$5,$M$6,$C$66,$C$67,-16,J$67)</f>
        <v>0.18117815671325355</v>
      </c>
      <c r="D80" s="141">
        <f>[1]!StB08KreisasymMN_test($E$3,$E$5,$E$7*PI()/180,$E$8,$I$2,$I$3,$I$4,$I$5,$I$6,$I$7,$I$8,$I$9,$M$2,$M$3,$M$4,$M$5,$M$6,$C$66,$C$67,-16,K$67)</f>
        <v>25430.520750760254</v>
      </c>
      <c r="E80" s="141">
        <f t="shared" ref="E80:AJ80" si="59">[1]!StB08KreisasymMN_test($E$3,$E$5,$E$7*PI()/180,$E$8,$I$2,$I$3,$I$4,$I$5,$I$6,$I$7,$I$8,$I$9,$M$2,$M$3,$M$4,$M$5,$M$6,$C$66,$C$67,-16,E$68)</f>
        <v>-0.14051880967730263</v>
      </c>
      <c r="F80" s="141">
        <f t="shared" si="59"/>
        <v>-0.14460961551181614</v>
      </c>
      <c r="G80" s="141">
        <f t="shared" si="59"/>
        <v>-0.14880328711201135</v>
      </c>
      <c r="H80" s="141">
        <f t="shared" si="59"/>
        <v>-0.15311392191120307</v>
      </c>
      <c r="I80" s="141">
        <f t="shared" si="59"/>
        <v>-0.15755290733900915</v>
      </c>
      <c r="J80" s="141">
        <f t="shared" si="59"/>
        <v>-0.16213315863330038</v>
      </c>
      <c r="K80" s="141">
        <f t="shared" si="59"/>
        <v>-0.16686938395796189</v>
      </c>
      <c r="L80" s="141">
        <f t="shared" si="59"/>
        <v>-0.17177840671199437</v>
      </c>
      <c r="M80" s="141">
        <f t="shared" si="59"/>
        <v>-0.17687955996032176</v>
      </c>
      <c r="N80" s="141">
        <f t="shared" si="59"/>
        <v>-0.18219517254377629</v>
      </c>
      <c r="O80" s="141">
        <f t="shared" si="59"/>
        <v>-0.18775117273108888</v>
      </c>
      <c r="P80" s="141">
        <f t="shared" si="59"/>
        <v>-0.19357784396408081</v>
      </c>
      <c r="Q80" s="141">
        <f t="shared" si="59"/>
        <v>-0.19971077936315768</v>
      </c>
      <c r="R80" s="141">
        <f t="shared" si="59"/>
        <v>-0.20619209877494626</v>
      </c>
      <c r="S80" s="141">
        <f t="shared" si="59"/>
        <v>-0.21307201665916045</v>
      </c>
      <c r="T80" s="141">
        <f t="shared" si="59"/>
        <v>-0.22041088476259299</v>
      </c>
      <c r="U80" s="141">
        <f t="shared" si="59"/>
        <v>-0.22828188623331333</v>
      </c>
      <c r="V80" s="141">
        <f t="shared" si="59"/>
        <v>-0.23677463716144737</v>
      </c>
      <c r="W80" s="141">
        <f t="shared" si="59"/>
        <v>-0.24600007333137561</v>
      </c>
      <c r="X80" s="141">
        <f t="shared" si="59"/>
        <v>-0.25609719108713275</v>
      </c>
      <c r="Y80" s="141">
        <f t="shared" si="59"/>
        <v>-0.26724251844149555</v>
      </c>
      <c r="Z80" s="141">
        <f t="shared" si="59"/>
        <v>-0.27021793631852326</v>
      </c>
      <c r="AA80" s="141">
        <f t="shared" si="59"/>
        <v>-0.27327691466052756</v>
      </c>
      <c r="AB80" s="141">
        <f t="shared" si="59"/>
        <v>-0.27642390962431707</v>
      </c>
      <c r="AC80" s="141">
        <f t="shared" si="59"/>
        <v>-0.27966369995480972</v>
      </c>
      <c r="AD80" s="141">
        <f t="shared" si="59"/>
        <v>-0.28300141671387968</v>
      </c>
      <c r="AE80" s="141">
        <f t="shared" si="59"/>
        <v>-0.28644257635861459</v>
      </c>
      <c r="AF80" s="141">
        <f t="shared" si="59"/>
        <v>-0.28999311761766555</v>
      </c>
      <c r="AG80" s="141">
        <f t="shared" si="59"/>
        <v>-0.2936594426843997</v>
      </c>
      <c r="AH80" s="141">
        <f t="shared" si="59"/>
        <v>-0.29744846332814545</v>
      </c>
      <c r="AI80" s="141">
        <f t="shared" si="59"/>
        <v>-0.30136765262246984</v>
      </c>
      <c r="AJ80" s="141">
        <f t="shared" si="59"/>
        <v>-0.30542510310531668</v>
      </c>
      <c r="AK80" s="141">
        <f t="shared" ref="AK80:BP80" si="60">[1]!StB08KreisasymMN_test($E$3,$E$5,$E$7*PI()/180,$E$8,$I$2,$I$3,$I$4,$I$5,$I$6,$I$7,$I$8,$I$9,$M$2,$M$3,$M$4,$M$5,$M$6,$C$66,$C$67,-16,AK$68)</f>
        <v>-0.30962959232376303</v>
      </c>
      <c r="AL80" s="141">
        <f t="shared" si="60"/>
        <v>-0.31399065688095174</v>
      </c>
      <c r="AM80" s="141">
        <f t="shared" si="60"/>
        <v>-0.31851867630029917</v>
      </c>
      <c r="AN80" s="141">
        <f t="shared" si="60"/>
        <v>-0.32322496825982339</v>
      </c>
      <c r="AO80" s="141">
        <f t="shared" si="60"/>
        <v>-0.32812189703661909</v>
      </c>
      <c r="AP80" s="141">
        <f t="shared" si="60"/>
        <v>-0.33322299734988897</v>
      </c>
      <c r="AQ80" s="141">
        <f t="shared" si="60"/>
        <v>-0.33854311621529237</v>
      </c>
      <c r="AR80" s="141">
        <f t="shared" si="60"/>
        <v>-0.344098575942624</v>
      </c>
      <c r="AS80" s="141">
        <f t="shared" si="60"/>
        <v>-0.34990736204712775</v>
      </c>
      <c r="AT80" s="141">
        <f t="shared" si="60"/>
        <v>-0.52088390730649736</v>
      </c>
      <c r="AU80" s="141">
        <f t="shared" si="60"/>
        <v>-1.822425281005815</v>
      </c>
      <c r="AV80" s="141">
        <f t="shared" si="60"/>
        <v>0.67947200023458409</v>
      </c>
      <c r="AW80" s="141">
        <f t="shared" si="60"/>
        <v>0.22608555710633169</v>
      </c>
      <c r="AX80" s="141">
        <f t="shared" si="60"/>
        <v>0.11469800447922587</v>
      </c>
      <c r="AY80" s="141">
        <f t="shared" si="60"/>
        <v>6.6625134240247685E-2</v>
      </c>
      <c r="AZ80" s="141">
        <f t="shared" si="60"/>
        <v>4.0985800311244672E-2</v>
      </c>
      <c r="BA80" s="141">
        <f t="shared" si="60"/>
        <v>2.568880489036493E-2</v>
      </c>
      <c r="BB80" s="141">
        <f t="shared" si="60"/>
        <v>1.5910314649982844E-2</v>
      </c>
      <c r="BC80" s="141">
        <f t="shared" si="60"/>
        <v>9.3640597879997862E-3</v>
      </c>
      <c r="BD80" s="141">
        <f t="shared" si="60"/>
        <v>4.8371501831793711E-3</v>
      </c>
      <c r="BE80" s="141">
        <f t="shared" si="60"/>
        <v>1.6537206873269181E-3</v>
      </c>
      <c r="BF80" s="141">
        <f t="shared" si="60"/>
        <v>-7.1976663234643373E-4</v>
      </c>
      <c r="BG80" s="141">
        <f t="shared" si="60"/>
        <v>-2.6923826619625218E-3</v>
      </c>
      <c r="BH80" s="141">
        <f t="shared" si="60"/>
        <v>-4.424353976933618E-3</v>
      </c>
      <c r="BI80" s="141">
        <f t="shared" si="60"/>
        <v>-5.9721826699188265E-3</v>
      </c>
      <c r="BJ80" s="141">
        <f t="shared" si="60"/>
        <v>-7.3490668675160976E-3</v>
      </c>
      <c r="BK80" s="141">
        <f t="shared" si="60"/>
        <v>-8.5778398599106655E-3</v>
      </c>
      <c r="BL80" s="141">
        <f t="shared" si="60"/>
        <v>-9.6777752995549655E-3</v>
      </c>
      <c r="BM80" s="141">
        <f t="shared" si="60"/>
        <v>-1.0665212129901803E-2</v>
      </c>
      <c r="BN80" s="141">
        <f t="shared" si="60"/>
        <v>-1.1554059463692474E-2</v>
      </c>
      <c r="BO80" s="141">
        <f t="shared" si="60"/>
        <v>-1.2356205985509565E-2</v>
      </c>
      <c r="BP80" s="141">
        <f t="shared" si="60"/>
        <v>-1.3081853250957008E-2</v>
      </c>
      <c r="BQ80" s="141">
        <f t="shared" ref="BQ80:DA80" si="61">[1]!StB08KreisasymMN_test($E$3,$E$5,$E$7*PI()/180,$E$8,$I$2,$I$3,$I$4,$I$5,$I$6,$I$7,$I$8,$I$9,$M$2,$M$3,$M$4,$M$5,$M$6,$C$66,$C$67,-16,BQ$68)</f>
        <v>-1.373978814174052E-2</v>
      </c>
      <c r="BR80" s="141">
        <f t="shared" si="61"/>
        <v>-1.4337606507329013E-2</v>
      </c>
      <c r="BS80" s="141">
        <f t="shared" si="61"/>
        <v>-1.488189749786412E-2</v>
      </c>
      <c r="BT80" s="141">
        <f t="shared" si="61"/>
        <v>-1.5378396118245785E-2</v>
      </c>
      <c r="BU80" s="141">
        <f t="shared" si="61"/>
        <v>-1.5832109988299682E-2</v>
      </c>
      <c r="BV80" s="141">
        <f t="shared" si="61"/>
        <v>-1.624742508285168E-2</v>
      </c>
      <c r="BW80" s="141">
        <f t="shared" si="61"/>
        <v>-1.6628194273760617E-2</v>
      </c>
      <c r="BX80" s="141">
        <f t="shared" si="61"/>
        <v>-1.7868067658127703E-2</v>
      </c>
      <c r="BY80" s="141">
        <f t="shared" si="61"/>
        <v>-1.8766710048761168E-2</v>
      </c>
      <c r="BZ80" s="141">
        <f t="shared" si="61"/>
        <v>-1.9428255206036835E-2</v>
      </c>
      <c r="CA80" s="141">
        <f t="shared" si="61"/>
        <v>-1.9920679038480129E-2</v>
      </c>
      <c r="CB80" s="141">
        <f t="shared" si="61"/>
        <v>-2.028971103233217E-2</v>
      </c>
      <c r="CC80" s="141">
        <f t="shared" si="61"/>
        <v>-2.0566931351714054E-2</v>
      </c>
      <c r="CD80" s="141">
        <f t="shared" si="61"/>
        <v>-2.0774655619499018E-2</v>
      </c>
      <c r="CE80" s="141">
        <f t="shared" si="61"/>
        <v>-2.0928976087311008E-2</v>
      </c>
      <c r="CF80" s="141">
        <f t="shared" si="61"/>
        <v>-2.1041708525039383E-2</v>
      </c>
      <c r="CG80" s="141">
        <f t="shared" si="61"/>
        <v>-2.1121669892696263E-2</v>
      </c>
      <c r="CH80" s="141">
        <f t="shared" si="61"/>
        <v>-2.1175535671639219E-2</v>
      </c>
      <c r="CI80" s="141">
        <f t="shared" si="61"/>
        <v>-2.1208426769176881E-2</v>
      </c>
      <c r="CJ80" s="141">
        <f t="shared" si="61"/>
        <v>-2.1224318637052864E-2</v>
      </c>
      <c r="CK80" s="141">
        <f t="shared" si="61"/>
        <v>-2.122633119124415E-2</v>
      </c>
      <c r="CL80" s="141">
        <f t="shared" si="61"/>
        <v>-2.1216937371889767E-2</v>
      </c>
      <c r="CM80" s="141">
        <f t="shared" si="61"/>
        <v>-2.1198115254977275E-2</v>
      </c>
      <c r="CN80" s="141">
        <f t="shared" si="61"/>
        <v>-2.1171460407435169E-2</v>
      </c>
      <c r="CO80" s="141">
        <f t="shared" si="61"/>
        <v>-2.1270726912051303E-2</v>
      </c>
      <c r="CP80" s="141">
        <f t="shared" si="61"/>
        <v>-2.1459573488613069E-2</v>
      </c>
      <c r="CQ80" s="141">
        <f t="shared" si="61"/>
        <v>-2.1593093364291494E-2</v>
      </c>
      <c r="CR80" s="141">
        <f t="shared" si="61"/>
        <v>-2.167372572984649E-2</v>
      </c>
      <c r="CS80" s="141">
        <f t="shared" si="61"/>
        <v>-2.1710177694932511E-2</v>
      </c>
      <c r="CT80" s="141">
        <f t="shared" si="61"/>
        <v>-2.1699055854665177E-2</v>
      </c>
      <c r="CU80" s="141">
        <f t="shared" si="61"/>
        <v>-2.1688722756389191E-2</v>
      </c>
      <c r="CV80" s="141">
        <f t="shared" si="61"/>
        <v>-2.1678399494679326E-2</v>
      </c>
      <c r="CW80" s="141">
        <f t="shared" si="61"/>
        <v>-2.1668086055496426E-2</v>
      </c>
      <c r="CX80" s="141">
        <f t="shared" si="61"/>
        <v>-2.1657782424828041E-2</v>
      </c>
      <c r="CY80" s="141">
        <f t="shared" si="61"/>
        <v>-2.1647488588688351E-2</v>
      </c>
      <c r="CZ80" s="141">
        <f t="shared" si="61"/>
        <v>-2.1637204533118126E-2</v>
      </c>
      <c r="DA80" s="141">
        <f t="shared" si="61"/>
        <v>-2.1626930244184637E-2</v>
      </c>
    </row>
    <row r="81" spans="1:105" x14ac:dyDescent="0.2">
      <c r="A81" s="92" t="s">
        <v>426</v>
      </c>
      <c r="B81" s="92" t="s">
        <v>86</v>
      </c>
      <c r="C81" s="141">
        <f>[1]!StB08KreisasymMN_test($E$3,$E$5,$E$7*PI()/180,$E$8,$I$2,$I$3,$I$4,$I$5,$I$6,$I$7,$I$8,$I$9,$M$2,$M$3,$M$4,$M$5,$M$6,$C$66,$C$67,-17,J$67)</f>
        <v>1.0555603865990582</v>
      </c>
      <c r="D81" s="141">
        <f>[1]!StB08KreisasymMN_test($E$3,$E$5,$E$7*PI()/180,$E$8,$I$2,$I$3,$I$4,$I$5,$I$6,$I$7,$I$8,$I$9,$M$2,$M$3,$M$4,$M$5,$M$6,$C$66,$C$67,-17,K$67)</f>
        <v>1.0596875340798149</v>
      </c>
      <c r="E81" s="141">
        <f t="shared" ref="E81:AJ81" si="62">[1]!StB08KreisasymMN_test($E$3,$E$5,$E$7*PI()/180,$E$8,$I$2,$I$3,$I$4,$I$5,$I$6,$I$7,$I$8,$I$9,$M$2,$M$3,$M$4,$M$5,$M$6,$C$66,$C$67,-17,E$68)</f>
        <v>7.1399833036160905E-3</v>
      </c>
      <c r="F81" s="141">
        <f t="shared" si="62"/>
        <v>0.11404972840113049</v>
      </c>
      <c r="G81" s="141">
        <f t="shared" si="62"/>
        <v>0.21815498774660774</v>
      </c>
      <c r="H81" s="141">
        <f t="shared" si="62"/>
        <v>0.31946737357869082</v>
      </c>
      <c r="I81" s="141">
        <f t="shared" si="62"/>
        <v>0.41783499218774478</v>
      </c>
      <c r="J81" s="141">
        <f t="shared" si="62"/>
        <v>0.51310594986413494</v>
      </c>
      <c r="K81" s="141">
        <f t="shared" si="62"/>
        <v>0.60512835289822586</v>
      </c>
      <c r="L81" s="141">
        <f t="shared" si="62"/>
        <v>0.69375030758038225</v>
      </c>
      <c r="M81" s="141">
        <f t="shared" si="62"/>
        <v>0.77881992020097002</v>
      </c>
      <c r="N81" s="141">
        <f t="shared" si="62"/>
        <v>0.86018529705035318</v>
      </c>
      <c r="O81" s="141">
        <f t="shared" si="62"/>
        <v>0.93769454441889699</v>
      </c>
      <c r="P81" s="141">
        <f t="shared" si="62"/>
        <v>1.0111957685969675</v>
      </c>
      <c r="Q81" s="141">
        <f t="shared" si="62"/>
        <v>1.0788039648471042</v>
      </c>
      <c r="R81" s="141">
        <f t="shared" si="62"/>
        <v>1.1260227585496634</v>
      </c>
      <c r="S81" s="141">
        <f t="shared" si="62"/>
        <v>1.1614204054398054</v>
      </c>
      <c r="T81" s="141">
        <f t="shared" si="62"/>
        <v>1.1887694296996127</v>
      </c>
      <c r="U81" s="141">
        <f t="shared" si="62"/>
        <v>1.2097282768703539</v>
      </c>
      <c r="V81" s="141">
        <f t="shared" si="62"/>
        <v>1.2252537696330867</v>
      </c>
      <c r="W81" s="141">
        <f t="shared" si="62"/>
        <v>1.2359634983826056</v>
      </c>
      <c r="X81" s="141">
        <f t="shared" si="62"/>
        <v>1.2424256208178337</v>
      </c>
      <c r="Y81" s="141">
        <f t="shared" si="62"/>
        <v>1.2454969466463066</v>
      </c>
      <c r="Z81" s="141">
        <f t="shared" si="62"/>
        <v>1.2457485141150972</v>
      </c>
      <c r="AA81" s="141">
        <f t="shared" si="62"/>
        <v>1.2457932903388864</v>
      </c>
      <c r="AB81" s="141">
        <f t="shared" si="62"/>
        <v>1.2456311324928382</v>
      </c>
      <c r="AC81" s="141">
        <f t="shared" si="62"/>
        <v>1.2452618977521182</v>
      </c>
      <c r="AD81" s="141">
        <f t="shared" si="62"/>
        <v>1.2446854432918897</v>
      </c>
      <c r="AE81" s="141">
        <f t="shared" si="62"/>
        <v>1.2439016262873179</v>
      </c>
      <c r="AF81" s="141">
        <f t="shared" si="62"/>
        <v>1.2429103039135685</v>
      </c>
      <c r="AG81" s="141">
        <f t="shared" si="62"/>
        <v>1.2417113333458047</v>
      </c>
      <c r="AH81" s="141">
        <f t="shared" si="62"/>
        <v>1.2403045717591925</v>
      </c>
      <c r="AI81" s="141">
        <f t="shared" si="62"/>
        <v>1.2386898763288945</v>
      </c>
      <c r="AJ81" s="141">
        <f t="shared" si="62"/>
        <v>1.2368671042300774</v>
      </c>
      <c r="AK81" s="141">
        <f t="shared" ref="AK81:BP81" si="63">[1]!StB08KreisasymMN_test($E$3,$E$5,$E$7*PI()/180,$E$8,$I$2,$I$3,$I$4,$I$5,$I$6,$I$7,$I$8,$I$9,$M$2,$M$3,$M$4,$M$5,$M$6,$C$66,$C$67,-17,AK$68)</f>
        <v>1.2348361126379048</v>
      </c>
      <c r="AL81" s="141">
        <f t="shared" si="63"/>
        <v>1.2325967587275422</v>
      </c>
      <c r="AM81" s="141">
        <f t="shared" si="63"/>
        <v>1.2301488996741528</v>
      </c>
      <c r="AN81" s="141">
        <f t="shared" si="63"/>
        <v>1.2274923926529027</v>
      </c>
      <c r="AO81" s="141">
        <f t="shared" si="63"/>
        <v>1.2246270948389555</v>
      </c>
      <c r="AP81" s="141">
        <f t="shared" si="63"/>
        <v>1.221552863407477</v>
      </c>
      <c r="AQ81" s="141">
        <f t="shared" si="63"/>
        <v>1.2182695555336309</v>
      </c>
      <c r="AR81" s="141">
        <f t="shared" si="63"/>
        <v>1.2147770283925814</v>
      </c>
      <c r="AS81" s="141">
        <f t="shared" si="63"/>
        <v>1.2110751391594874</v>
      </c>
      <c r="AT81" s="141">
        <f t="shared" si="63"/>
        <v>1.1261947806949903</v>
      </c>
      <c r="AU81" s="141">
        <f t="shared" si="63"/>
        <v>1.0700224498490782</v>
      </c>
      <c r="AV81" s="141">
        <f t="shared" si="63"/>
        <v>1.0475120069566783</v>
      </c>
      <c r="AW81" s="141">
        <f t="shared" si="63"/>
        <v>1.0508400512425355</v>
      </c>
      <c r="AX81" s="141">
        <f t="shared" si="63"/>
        <v>1.0722695227597339</v>
      </c>
      <c r="AY81" s="141">
        <f t="shared" si="63"/>
        <v>1.1053401730264281</v>
      </c>
      <c r="AZ81" s="141">
        <f t="shared" si="63"/>
        <v>1.1450418913832372</v>
      </c>
      <c r="BA81" s="141">
        <f t="shared" si="63"/>
        <v>1.1876886233814887</v>
      </c>
      <c r="BB81" s="141">
        <f t="shared" si="63"/>
        <v>1.2306601446218217</v>
      </c>
      <c r="BC81" s="141">
        <f t="shared" si="63"/>
        <v>1.2721503235431257</v>
      </c>
      <c r="BD81" s="141">
        <f t="shared" si="63"/>
        <v>1.3109591772849767</v>
      </c>
      <c r="BE81" s="141">
        <f t="shared" si="63"/>
        <v>1.3260542761134091</v>
      </c>
      <c r="BF81" s="141">
        <f t="shared" si="63"/>
        <v>1.2699078397337411</v>
      </c>
      <c r="BG81" s="141">
        <f t="shared" si="63"/>
        <v>1.185953517833324</v>
      </c>
      <c r="BH81" s="141">
        <f t="shared" si="63"/>
        <v>1.0889538544225874</v>
      </c>
      <c r="BI81" s="141">
        <f t="shared" si="63"/>
        <v>0.99432195091861586</v>
      </c>
      <c r="BJ81" s="141">
        <f t="shared" si="63"/>
        <v>0.90851069957248709</v>
      </c>
      <c r="BK81" s="141">
        <f t="shared" si="63"/>
        <v>0.83034533934114574</v>
      </c>
      <c r="BL81" s="141">
        <f t="shared" si="63"/>
        <v>0.75900581216336216</v>
      </c>
      <c r="BM81" s="141">
        <f t="shared" si="63"/>
        <v>0.69377974903627426</v>
      </c>
      <c r="BN81" s="141">
        <f t="shared" si="63"/>
        <v>0.63404611899781527</v>
      </c>
      <c r="BO81" s="141">
        <f t="shared" si="63"/>
        <v>0.57926163070631342</v>
      </c>
      <c r="BP81" s="141">
        <f t="shared" si="63"/>
        <v>0.52894939224598403</v>
      </c>
      <c r="BQ81" s="141">
        <f t="shared" ref="BQ81:DA81" si="64">[1]!StB08KreisasymMN_test($E$3,$E$5,$E$7*PI()/180,$E$8,$I$2,$I$3,$I$4,$I$5,$I$6,$I$7,$I$8,$I$9,$M$2,$M$3,$M$4,$M$5,$M$6,$C$66,$C$67,-17,BQ$68)</f>
        <v>0.48268942511061991</v>
      </c>
      <c r="BR81" s="141">
        <f t="shared" si="64"/>
        <v>0.44011070328081137</v>
      </c>
      <c r="BS81" s="141">
        <f t="shared" si="64"/>
        <v>0.40088444968311232</v>
      </c>
      <c r="BT81" s="141">
        <f t="shared" si="64"/>
        <v>0.36471847217880599</v>
      </c>
      <c r="BU81" s="141">
        <f t="shared" si="64"/>
        <v>0.33135236156980424</v>
      </c>
      <c r="BV81" s="141">
        <f t="shared" si="64"/>
        <v>0.30055340669047537</v>
      </c>
      <c r="BW81" s="141">
        <f t="shared" si="64"/>
        <v>0.27211310796482807</v>
      </c>
      <c r="BX81" s="141">
        <f t="shared" si="64"/>
        <v>0.1784599793877934</v>
      </c>
      <c r="BY81" s="141">
        <f t="shared" si="64"/>
        <v>0.11044959504195519</v>
      </c>
      <c r="BZ81" s="141">
        <f t="shared" si="64"/>
        <v>6.1659127606198842E-2</v>
      </c>
      <c r="CA81" s="141">
        <f t="shared" si="64"/>
        <v>2.7599776631674115E-2</v>
      </c>
      <c r="CB81" s="141">
        <f t="shared" si="64"/>
        <v>5.0506288092680603E-3</v>
      </c>
      <c r="CC81" s="141">
        <f t="shared" si="64"/>
        <v>-8.3529921472496882E-3</v>
      </c>
      <c r="CD81" s="141">
        <f t="shared" si="64"/>
        <v>-1.4382305318666442E-2</v>
      </c>
      <c r="CE81" s="141">
        <f t="shared" si="64"/>
        <v>-1.4387686191905256E-2</v>
      </c>
      <c r="CF81" s="141">
        <f t="shared" si="64"/>
        <v>-9.4149599337731617E-3</v>
      </c>
      <c r="CG81" s="141">
        <f t="shared" si="64"/>
        <v>-2.8553692892744123E-4</v>
      </c>
      <c r="CH81" s="141">
        <f t="shared" si="64"/>
        <v>1.2347241512625761E-2</v>
      </c>
      <c r="CI81" s="141">
        <f t="shared" si="64"/>
        <v>2.7506451568412346E-2</v>
      </c>
      <c r="CJ81" s="141">
        <f t="shared" si="64"/>
        <v>4.2545742719057131E-2</v>
      </c>
      <c r="CK81" s="141">
        <f t="shared" si="64"/>
        <v>5.7031668129816936E-2</v>
      </c>
      <c r="CL81" s="141">
        <f t="shared" si="64"/>
        <v>7.0889249825806022E-2</v>
      </c>
      <c r="CM81" s="141">
        <f t="shared" si="64"/>
        <v>8.4054942272761807E-2</v>
      </c>
      <c r="CN81" s="141">
        <f t="shared" si="64"/>
        <v>9.6473740950203321E-2</v>
      </c>
      <c r="CO81" s="141">
        <f t="shared" si="64"/>
        <v>9.731589339625453E-2</v>
      </c>
      <c r="CP81" s="141">
        <f t="shared" si="64"/>
        <v>7.9783088863297671E-2</v>
      </c>
      <c r="CQ81" s="141">
        <f t="shared" si="64"/>
        <v>5.2890055462038038E-2</v>
      </c>
      <c r="CR81" s="141">
        <f t="shared" si="64"/>
        <v>1.7917611892802943E-2</v>
      </c>
      <c r="CS81" s="141">
        <f t="shared" si="64"/>
        <v>-3.0772310444099952E-2</v>
      </c>
      <c r="CT81" s="141">
        <f t="shared" si="64"/>
        <v>-5.1107700172849296E-2</v>
      </c>
      <c r="CU81" s="141">
        <f t="shared" si="64"/>
        <v>-4.5209096868508908E-2</v>
      </c>
      <c r="CV81" s="141">
        <f t="shared" si="64"/>
        <v>-3.9310493564168721E-2</v>
      </c>
      <c r="CW81" s="141">
        <f t="shared" si="64"/>
        <v>-3.3411890259828263E-2</v>
      </c>
      <c r="CX81" s="141">
        <f t="shared" si="64"/>
        <v>-2.7513286955488082E-2</v>
      </c>
      <c r="CY81" s="141">
        <f t="shared" si="64"/>
        <v>-2.1614683651147899E-2</v>
      </c>
      <c r="CZ81" s="141">
        <f t="shared" si="64"/>
        <v>-1.571608034680758E-2</v>
      </c>
      <c r="DA81" s="141">
        <f t="shared" si="64"/>
        <v>-9.8174770424671199E-3</v>
      </c>
    </row>
    <row r="82" spans="1:105" x14ac:dyDescent="0.2">
      <c r="A82" s="92" t="s">
        <v>430</v>
      </c>
      <c r="B82" s="92" t="s">
        <v>86</v>
      </c>
      <c r="C82" s="141">
        <f>[1]!StB08KreisasymMN_test($E$3,$E$5,$E$7*PI()/180,$E$8,$I$2,$I$3,$I$4,$I$5,$I$6,$I$7,$I$8,$I$9,$M$2,$M$3,$M$4,$M$5,$M$6,$C$66,$C$67,-18,J$67)</f>
        <v>0.48290648906425709</v>
      </c>
      <c r="D82" s="141">
        <f>[1]!StB08KreisasymMN_test($E$3,$E$5,$E$7*PI()/180,$E$8,$I$2,$I$3,$I$4,$I$5,$I$6,$I$7,$I$8,$I$9,$M$2,$M$3,$M$4,$M$5,$M$6,$C$66,$C$67,-18,K$67)</f>
        <v>4.2315908020531924E-3</v>
      </c>
      <c r="E82" s="141">
        <f t="shared" ref="E82:AJ82" si="65">[1]!StB08KreisasymMN_test($E$3,$E$5,$E$7*PI()/180,$E$8,$I$2,$I$3,$I$4,$I$5,$I$6,$I$7,$I$8,$I$9,$M$2,$M$3,$M$4,$M$5,$M$6,$C$66,$C$67,-18,E$68)</f>
        <v>-2.2608212011279867</v>
      </c>
      <c r="F82" s="141">
        <f t="shared" si="65"/>
        <v>-2.195467914246243</v>
      </c>
      <c r="G82" s="141">
        <f t="shared" si="65"/>
        <v>-2.1301169756774536</v>
      </c>
      <c r="H82" s="141">
        <f t="shared" si="65"/>
        <v>-2.0647037898605389</v>
      </c>
      <c r="I82" s="141">
        <f t="shared" si="65"/>
        <v>-1.9992358936195678</v>
      </c>
      <c r="J82" s="141">
        <f t="shared" si="65"/>
        <v>-1.9337208237786072</v>
      </c>
      <c r="K82" s="141">
        <f t="shared" si="65"/>
        <v>-1.868166117161723</v>
      </c>
      <c r="L82" s="141">
        <f t="shared" si="65"/>
        <v>-1.8025793105929842</v>
      </c>
      <c r="M82" s="141">
        <f t="shared" si="65"/>
        <v>-1.7369679408964565</v>
      </c>
      <c r="N82" s="141">
        <f t="shared" si="65"/>
        <v>-1.6713395448962081</v>
      </c>
      <c r="O82" s="141">
        <f t="shared" si="65"/>
        <v>-1.605701659416306</v>
      </c>
      <c r="P82" s="141">
        <f t="shared" si="65"/>
        <v>-1.5400618212808173</v>
      </c>
      <c r="Q82" s="141">
        <f t="shared" si="65"/>
        <v>-1.4744275673138096</v>
      </c>
      <c r="R82" s="141">
        <f t="shared" si="65"/>
        <v>-1.4088064343393503</v>
      </c>
      <c r="S82" s="141">
        <f t="shared" si="65"/>
        <v>-1.343205959181506</v>
      </c>
      <c r="T82" s="141">
        <f t="shared" si="65"/>
        <v>-1.2776336786643445</v>
      </c>
      <c r="U82" s="141">
        <f t="shared" si="65"/>
        <v>-1.2120971296119332</v>
      </c>
      <c r="V82" s="141">
        <f t="shared" si="65"/>
        <v>-1.1466038488483388</v>
      </c>
      <c r="W82" s="141">
        <f t="shared" si="65"/>
        <v>-1.0811613731976291</v>
      </c>
      <c r="X82" s="141">
        <f t="shared" si="65"/>
        <v>-1.0157772394838707</v>
      </c>
      <c r="Y82" s="141">
        <f t="shared" si="65"/>
        <v>-0.95045898453113165</v>
      </c>
      <c r="Z82" s="141">
        <f t="shared" si="65"/>
        <v>-0.93414059757092649</v>
      </c>
      <c r="AA82" s="141">
        <f t="shared" si="65"/>
        <v>-0.91782691684766515</v>
      </c>
      <c r="AB82" s="141">
        <f t="shared" si="65"/>
        <v>-0.90151806012422375</v>
      </c>
      <c r="AC82" s="141">
        <f t="shared" si="65"/>
        <v>-0.88521414516347885</v>
      </c>
      <c r="AD82" s="141">
        <f t="shared" si="65"/>
        <v>-0.86891528972830545</v>
      </c>
      <c r="AE82" s="141">
        <f t="shared" si="65"/>
        <v>-0.85262161158158056</v>
      </c>
      <c r="AF82" s="141">
        <f t="shared" si="65"/>
        <v>-0.83633322848617953</v>
      </c>
      <c r="AG82" s="141">
        <f t="shared" si="65"/>
        <v>-0.82005025820497934</v>
      </c>
      <c r="AH82" s="141">
        <f t="shared" si="65"/>
        <v>-0.8037728185008548</v>
      </c>
      <c r="AI82" s="141">
        <f t="shared" si="65"/>
        <v>-0.78750102713668313</v>
      </c>
      <c r="AJ82" s="141">
        <f t="shared" si="65"/>
        <v>-0.77123500187533933</v>
      </c>
      <c r="AK82" s="141">
        <f t="shared" ref="AK82:BP82" si="66">[1]!StB08KreisasymMN_test($E$3,$E$5,$E$7*PI()/180,$E$8,$I$2,$I$3,$I$4,$I$5,$I$6,$I$7,$I$8,$I$9,$M$2,$M$3,$M$4,$M$5,$M$6,$C$66,$C$67,-18,AK$68)</f>
        <v>-0.75497486047970053</v>
      </c>
      <c r="AL82" s="141">
        <f t="shared" si="66"/>
        <v>-0.73872072071264183</v>
      </c>
      <c r="AM82" s="141">
        <f t="shared" si="66"/>
        <v>-0.72247270033704003</v>
      </c>
      <c r="AN82" s="141">
        <f t="shared" si="66"/>
        <v>-0.70623091711577068</v>
      </c>
      <c r="AO82" s="141">
        <f t="shared" si="66"/>
        <v>-0.68999548881170991</v>
      </c>
      <c r="AP82" s="141">
        <f t="shared" si="66"/>
        <v>-0.67376653318773361</v>
      </c>
      <c r="AQ82" s="141">
        <f t="shared" si="66"/>
        <v>-0.65754416800671855</v>
      </c>
      <c r="AR82" s="141">
        <f t="shared" si="66"/>
        <v>-0.64132851103154009</v>
      </c>
      <c r="AS82" s="141">
        <f t="shared" si="66"/>
        <v>-0.62511968002505147</v>
      </c>
      <c r="AT82" s="141">
        <f t="shared" si="66"/>
        <v>-0.34780143882039161</v>
      </c>
      <c r="AU82" s="141">
        <f t="shared" si="66"/>
        <v>-7.7460495693326706E-2</v>
      </c>
      <c r="AV82" s="141">
        <f t="shared" si="66"/>
        <v>0.17899122365079204</v>
      </c>
      <c r="AW82" s="141">
        <f t="shared" si="66"/>
        <v>0.41701644527249038</v>
      </c>
      <c r="AX82" s="141">
        <f t="shared" si="66"/>
        <v>0.63435139975254184</v>
      </c>
      <c r="AY82" s="141">
        <f t="shared" si="66"/>
        <v>0.83032365350575899</v>
      </c>
      <c r="AZ82" s="141">
        <f t="shared" si="66"/>
        <v>1.0052657646579783</v>
      </c>
      <c r="BA82" s="141">
        <f t="shared" si="66"/>
        <v>1.1600995011743387</v>
      </c>
      <c r="BB82" s="141">
        <f t="shared" si="66"/>
        <v>1.2960607555576305</v>
      </c>
      <c r="BC82" s="141">
        <f t="shared" si="66"/>
        <v>1.4145243616072452</v>
      </c>
      <c r="BD82" s="141">
        <f t="shared" si="66"/>
        <v>1.5168959603103789</v>
      </c>
      <c r="BE82" s="141">
        <f t="shared" si="66"/>
        <v>1.5842691603166625</v>
      </c>
      <c r="BF82" s="141">
        <f t="shared" si="66"/>
        <v>1.570843858229658</v>
      </c>
      <c r="BG82" s="141">
        <f t="shared" si="66"/>
        <v>1.5214434793018063</v>
      </c>
      <c r="BH82" s="141">
        <f t="shared" si="66"/>
        <v>1.4519012732241059</v>
      </c>
      <c r="BI82" s="141">
        <f t="shared" si="66"/>
        <v>1.3782175313716023</v>
      </c>
      <c r="BJ82" s="141">
        <f t="shared" si="66"/>
        <v>1.3082165814617859</v>
      </c>
      <c r="BK82" s="141">
        <f t="shared" si="66"/>
        <v>1.2417284340193073</v>
      </c>
      <c r="BL82" s="141">
        <f t="shared" si="66"/>
        <v>1.1785758678772533</v>
      </c>
      <c r="BM82" s="141">
        <f t="shared" si="66"/>
        <v>1.1185802372071481</v>
      </c>
      <c r="BN82" s="141">
        <f t="shared" si="66"/>
        <v>1.0615654062551396</v>
      </c>
      <c r="BO82" s="141">
        <f t="shared" si="66"/>
        <v>1.0073603497098313</v>
      </c>
      <c r="BP82" s="141">
        <f t="shared" si="66"/>
        <v>0.95580080399300393</v>
      </c>
      <c r="BQ82" s="141">
        <f t="shared" ref="BQ82:DA82" si="67">[1]!StB08KreisasymMN_test($E$3,$E$5,$E$7*PI()/180,$E$8,$I$2,$I$3,$I$4,$I$5,$I$6,$I$7,$I$8,$I$9,$M$2,$M$3,$M$4,$M$5,$M$6,$C$66,$C$67,-18,BQ$68)</f>
        <v>0.90673024608008757</v>
      </c>
      <c r="BR82" s="141">
        <f t="shared" si="67"/>
        <v>0.86000039880031909</v>
      </c>
      <c r="BS82" s="141">
        <f t="shared" si="67"/>
        <v>0.81547140588493627</v>
      </c>
      <c r="BT82" s="141">
        <f t="shared" si="67"/>
        <v>0.77301177997255899</v>
      </c>
      <c r="BU82" s="141">
        <f t="shared" si="67"/>
        <v>0.73249819787189407</v>
      </c>
      <c r="BV82" s="141">
        <f t="shared" si="67"/>
        <v>0.69381519646301271</v>
      </c>
      <c r="BW82" s="141">
        <f t="shared" si="67"/>
        <v>0.65685480744786007</v>
      </c>
      <c r="BX82" s="141">
        <f t="shared" si="67"/>
        <v>0.52431966111636341</v>
      </c>
      <c r="BY82" s="141">
        <f t="shared" si="67"/>
        <v>0.41238172229376469</v>
      </c>
      <c r="BZ82" s="141">
        <f t="shared" si="67"/>
        <v>0.31687120025150345</v>
      </c>
      <c r="CA82" s="141">
        <f t="shared" si="67"/>
        <v>0.23460095534013431</v>
      </c>
      <c r="CB82" s="141">
        <f t="shared" si="67"/>
        <v>0.16311355136983999</v>
      </c>
      <c r="CC82" s="141">
        <f t="shared" si="67"/>
        <v>0.10049506206891458</v>
      </c>
      <c r="CD82" s="141">
        <f t="shared" si="67"/>
        <v>4.5239378070934075E-2</v>
      </c>
      <c r="CE82" s="141">
        <f t="shared" si="67"/>
        <v>-3.8507661384360129E-3</v>
      </c>
      <c r="CF82" s="141">
        <f t="shared" si="67"/>
        <v>-4.7736410041003645E-2</v>
      </c>
      <c r="CG82" s="141">
        <f t="shared" si="67"/>
        <v>-8.7196091790324073E-2</v>
      </c>
      <c r="CH82" s="141">
        <f t="shared" si="67"/>
        <v>-0.12286596845947141</v>
      </c>
      <c r="CI82" s="141">
        <f t="shared" si="67"/>
        <v>-0.15527006834625715</v>
      </c>
      <c r="CJ82" s="141">
        <f t="shared" si="67"/>
        <v>-0.18484332337356874</v>
      </c>
      <c r="CK82" s="141">
        <f t="shared" si="67"/>
        <v>-0.2119492700507164</v>
      </c>
      <c r="CL82" s="141">
        <f t="shared" si="67"/>
        <v>-0.23689377647960216</v>
      </c>
      <c r="CM82" s="141">
        <f t="shared" si="67"/>
        <v>-0.25993577973722343</v>
      </c>
      <c r="CN82" s="141">
        <f t="shared" si="67"/>
        <v>-0.28129575384171124</v>
      </c>
      <c r="CO82" s="141">
        <f t="shared" si="67"/>
        <v>-0.33802984341547754</v>
      </c>
      <c r="CP82" s="141">
        <f t="shared" si="67"/>
        <v>-0.42855570006171034</v>
      </c>
      <c r="CQ82" s="141">
        <f t="shared" si="67"/>
        <v>-0.51286531604842289</v>
      </c>
      <c r="CR82" s="141">
        <f t="shared" si="67"/>
        <v>-0.58531282442820387</v>
      </c>
      <c r="CS82" s="141">
        <f t="shared" si="67"/>
        <v>-0.63701684791585877</v>
      </c>
      <c r="CT82" s="141">
        <f t="shared" si="67"/>
        <v>-0.66571851088586731</v>
      </c>
      <c r="CU82" s="141">
        <f t="shared" si="67"/>
        <v>-0.66601891588554629</v>
      </c>
      <c r="CV82" s="141">
        <f t="shared" si="67"/>
        <v>-0.66631932088522539</v>
      </c>
      <c r="CW82" s="141">
        <f t="shared" si="67"/>
        <v>-0.66661972588490437</v>
      </c>
      <c r="CX82" s="141">
        <f t="shared" si="67"/>
        <v>-0.66692013088458357</v>
      </c>
      <c r="CY82" s="141">
        <f t="shared" si="67"/>
        <v>-0.66722053588426267</v>
      </c>
      <c r="CZ82" s="141">
        <f t="shared" si="67"/>
        <v>-0.66752094088394165</v>
      </c>
      <c r="DA82" s="141">
        <f t="shared" si="67"/>
        <v>-0.66782134588362063</v>
      </c>
    </row>
    <row r="83" spans="1:105" x14ac:dyDescent="0.2">
      <c r="A83" s="138" t="s">
        <v>421</v>
      </c>
      <c r="B83" s="130" t="s">
        <v>86</v>
      </c>
      <c r="C83" s="143">
        <f>[1]!StB08RechteckMN_test($E$3,$E$4,$E$5,$E$6,$E$8,$I$2,$I$3,$I$4,$I$5,$I$6,$I$7,$I$8,$I$9,$M$2,$M$3,$M$4,$M$5,$M$6,$C$66,$C$67,-11,O$67)</f>
        <v>-3.5000000000000001E-3</v>
      </c>
      <c r="D83" s="143">
        <f>[1]!StB08RechteckMN_test($E$3,$E$4,$E$5,$E$6,$E$8,$I$2,$I$3,$I$4,$I$5,$I$6,$I$7,$I$8,$I$9,$M$2,$M$3,$M$4,$M$5,$M$6,$C$66,$C$67,-11,P$67)</f>
        <v>-3.5000000000000001E-3</v>
      </c>
      <c r="E83" s="143">
        <f t="shared" ref="E83:AJ83" si="68">[1]!StB08RechteckMN_test($E$3,$E$4,$E$5,$E$6,$E$8,$I$2,$I$3,$I$4,$I$5,$I$6,$I$7,$I$8,$I$9,$M$2,$M$3,$M$4,$M$5,$M$6,$C$66,$C$67,-11,E$68)</f>
        <v>-2E-3</v>
      </c>
      <c r="F83" s="143">
        <f t="shared" si="68"/>
        <v>-2.0600000000000002E-3</v>
      </c>
      <c r="G83" s="143">
        <f t="shared" si="68"/>
        <v>-2.1200000000000004E-3</v>
      </c>
      <c r="H83" s="143">
        <f t="shared" si="68"/>
        <v>-2.1800000000000001E-3</v>
      </c>
      <c r="I83" s="143">
        <f t="shared" si="68"/>
        <v>-2.2400000000000002E-3</v>
      </c>
      <c r="J83" s="143">
        <f t="shared" si="68"/>
        <v>-2.3000000000000004E-3</v>
      </c>
      <c r="K83" s="143">
        <f t="shared" si="68"/>
        <v>-2.3600000000000006E-3</v>
      </c>
      <c r="L83" s="143">
        <f t="shared" si="68"/>
        <v>-2.4200000000000003E-3</v>
      </c>
      <c r="M83" s="143">
        <f t="shared" si="68"/>
        <v>-2.4800000000000004E-3</v>
      </c>
      <c r="N83" s="143">
        <f t="shared" si="68"/>
        <v>-2.5400000000000006E-3</v>
      </c>
      <c r="O83" s="143">
        <f t="shared" si="68"/>
        <v>-2.6000000000000007E-3</v>
      </c>
      <c r="P83" s="143">
        <f t="shared" si="68"/>
        <v>-2.6600000000000005E-3</v>
      </c>
      <c r="Q83" s="143">
        <f t="shared" si="68"/>
        <v>-2.7200000000000006E-3</v>
      </c>
      <c r="R83" s="143">
        <f t="shared" si="68"/>
        <v>-2.7800000000000008E-3</v>
      </c>
      <c r="S83" s="143">
        <f t="shared" si="68"/>
        <v>-2.8400000000000009E-3</v>
      </c>
      <c r="T83" s="143">
        <f t="shared" si="68"/>
        <v>-2.9000000000000007E-3</v>
      </c>
      <c r="U83" s="143">
        <f t="shared" si="68"/>
        <v>-2.9600000000000008E-3</v>
      </c>
      <c r="V83" s="143">
        <f t="shared" si="68"/>
        <v>-3.020000000000001E-3</v>
      </c>
      <c r="W83" s="143">
        <f t="shared" si="68"/>
        <v>-3.0800000000000011E-3</v>
      </c>
      <c r="X83" s="143">
        <f t="shared" si="68"/>
        <v>-3.1400000000000009E-3</v>
      </c>
      <c r="Y83" s="143">
        <f t="shared" si="68"/>
        <v>-3.200000000000001E-3</v>
      </c>
      <c r="Z83" s="143">
        <f t="shared" si="68"/>
        <v>-3.2150000000000013E-3</v>
      </c>
      <c r="AA83" s="143">
        <f t="shared" si="68"/>
        <v>-3.2300000000000011E-3</v>
      </c>
      <c r="AB83" s="143">
        <f t="shared" si="68"/>
        <v>-3.2450000000000014E-3</v>
      </c>
      <c r="AC83" s="143">
        <f t="shared" si="68"/>
        <v>-3.2600000000000012E-3</v>
      </c>
      <c r="AD83" s="143">
        <f t="shared" si="68"/>
        <v>-3.275000000000001E-3</v>
      </c>
      <c r="AE83" s="143">
        <f t="shared" si="68"/>
        <v>-3.2900000000000013E-3</v>
      </c>
      <c r="AF83" s="143">
        <f t="shared" si="68"/>
        <v>-3.3050000000000011E-3</v>
      </c>
      <c r="AG83" s="143">
        <f t="shared" si="68"/>
        <v>-3.3200000000000013E-3</v>
      </c>
      <c r="AH83" s="143">
        <f t="shared" si="68"/>
        <v>-3.3350000000000012E-3</v>
      </c>
      <c r="AI83" s="143">
        <f t="shared" si="68"/>
        <v>-3.3500000000000014E-3</v>
      </c>
      <c r="AJ83" s="143">
        <f t="shared" si="68"/>
        <v>-3.3650000000000012E-3</v>
      </c>
      <c r="AK83" s="143">
        <f t="shared" ref="AK83:BP83" si="69">[1]!StB08RechteckMN_test($E$3,$E$4,$E$5,$E$6,$E$8,$I$2,$I$3,$I$4,$I$5,$I$6,$I$7,$I$8,$I$9,$M$2,$M$3,$M$4,$M$5,$M$6,$C$66,$C$67,-11,AK$68)</f>
        <v>-3.3800000000000015E-3</v>
      </c>
      <c r="AL83" s="143">
        <f t="shared" si="69"/>
        <v>-3.3950000000000013E-3</v>
      </c>
      <c r="AM83" s="143">
        <f t="shared" si="69"/>
        <v>-3.4100000000000011E-3</v>
      </c>
      <c r="AN83" s="143">
        <f t="shared" si="69"/>
        <v>-3.4250000000000014E-3</v>
      </c>
      <c r="AO83" s="143">
        <f t="shared" si="69"/>
        <v>-3.4400000000000012E-3</v>
      </c>
      <c r="AP83" s="143">
        <f t="shared" si="69"/>
        <v>-3.4550000000000015E-3</v>
      </c>
      <c r="AQ83" s="143">
        <f t="shared" si="69"/>
        <v>-3.4700000000000013E-3</v>
      </c>
      <c r="AR83" s="143">
        <f t="shared" si="69"/>
        <v>-3.4850000000000016E-3</v>
      </c>
      <c r="AS83" s="143">
        <f t="shared" si="69"/>
        <v>-3.5000000000000001E-3</v>
      </c>
      <c r="AT83" s="143">
        <f t="shared" si="69"/>
        <v>-3.5000000000000001E-3</v>
      </c>
      <c r="AU83" s="143">
        <f t="shared" si="69"/>
        <v>-3.5000000000000001E-3</v>
      </c>
      <c r="AV83" s="143">
        <f t="shared" si="69"/>
        <v>-3.5000000000000001E-3</v>
      </c>
      <c r="AW83" s="143">
        <f t="shared" si="69"/>
        <v>-3.5000000000000001E-3</v>
      </c>
      <c r="AX83" s="143">
        <f t="shared" si="69"/>
        <v>-3.5000000000000001E-3</v>
      </c>
      <c r="AY83" s="143">
        <f t="shared" si="69"/>
        <v>-3.5000000000000001E-3</v>
      </c>
      <c r="AZ83" s="143">
        <f t="shared" si="69"/>
        <v>-3.5000000000000001E-3</v>
      </c>
      <c r="BA83" s="143">
        <f t="shared" si="69"/>
        <v>-3.5000000000000001E-3</v>
      </c>
      <c r="BB83" s="143">
        <f t="shared" si="69"/>
        <v>-3.5000000000000001E-3</v>
      </c>
      <c r="BC83" s="143">
        <f t="shared" si="69"/>
        <v>-3.5000000000000001E-3</v>
      </c>
      <c r="BD83" s="143">
        <f t="shared" si="69"/>
        <v>-3.5000000000000001E-3</v>
      </c>
      <c r="BE83" s="143">
        <f t="shared" si="69"/>
        <v>-3.5000000000000001E-3</v>
      </c>
      <c r="BF83" s="143">
        <f t="shared" si="69"/>
        <v>-3.5000000000000001E-3</v>
      </c>
      <c r="BG83" s="143">
        <f t="shared" si="69"/>
        <v>-3.5000000000000001E-3</v>
      </c>
      <c r="BH83" s="143">
        <f t="shared" si="69"/>
        <v>-3.5000000000000001E-3</v>
      </c>
      <c r="BI83" s="143">
        <f t="shared" si="69"/>
        <v>-3.5000000000000001E-3</v>
      </c>
      <c r="BJ83" s="143">
        <f t="shared" si="69"/>
        <v>-3.5000000000000001E-3</v>
      </c>
      <c r="BK83" s="143">
        <f t="shared" si="69"/>
        <v>-3.5000000000000001E-3</v>
      </c>
      <c r="BL83" s="143">
        <f t="shared" si="69"/>
        <v>-3.5000000000000001E-3</v>
      </c>
      <c r="BM83" s="143">
        <f t="shared" si="69"/>
        <v>-3.5000000000000001E-3</v>
      </c>
      <c r="BN83" s="143">
        <f t="shared" si="69"/>
        <v>-3.5000000000000001E-3</v>
      </c>
      <c r="BO83" s="143">
        <f t="shared" si="69"/>
        <v>-3.5000000000000001E-3</v>
      </c>
      <c r="BP83" s="143">
        <f t="shared" si="69"/>
        <v>-3.5000000000000001E-3</v>
      </c>
      <c r="BQ83" s="143">
        <f t="shared" ref="BQ83:DA83" si="70">[1]!StB08RechteckMN_test($E$3,$E$4,$E$5,$E$6,$E$8,$I$2,$I$3,$I$4,$I$5,$I$6,$I$7,$I$8,$I$9,$M$2,$M$3,$M$4,$M$5,$M$6,$C$66,$C$67,-11,BQ$68)</f>
        <v>-3.5000000000000001E-3</v>
      </c>
      <c r="BR83" s="143">
        <f t="shared" si="70"/>
        <v>-3.5000000000000001E-3</v>
      </c>
      <c r="BS83" s="143">
        <f t="shared" si="70"/>
        <v>-3.5000000000000001E-3</v>
      </c>
      <c r="BT83" s="143">
        <f t="shared" si="70"/>
        <v>-3.5000000000000001E-3</v>
      </c>
      <c r="BU83" s="143">
        <f t="shared" si="70"/>
        <v>-3.5000000000000001E-3</v>
      </c>
      <c r="BV83" s="143">
        <f t="shared" si="70"/>
        <v>-3.5000000000000001E-3</v>
      </c>
      <c r="BW83" s="143">
        <f t="shared" si="70"/>
        <v>-3.5000000000000001E-3</v>
      </c>
      <c r="BX83" s="143">
        <f t="shared" si="70"/>
        <v>-3.5000000000000001E-3</v>
      </c>
      <c r="BY83" s="143">
        <f t="shared" si="70"/>
        <v>-3.5000000000000001E-3</v>
      </c>
      <c r="BZ83" s="143">
        <f t="shared" si="70"/>
        <v>-3.5000000000000001E-3</v>
      </c>
      <c r="CA83" s="143">
        <f t="shared" si="70"/>
        <v>-3.5000000000000001E-3</v>
      </c>
      <c r="CB83" s="143">
        <f t="shared" si="70"/>
        <v>-3.5000000000000001E-3</v>
      </c>
      <c r="CC83" s="143">
        <f t="shared" si="70"/>
        <v>-3.5000000000000001E-3</v>
      </c>
      <c r="CD83" s="143">
        <f t="shared" si="70"/>
        <v>-3.5000000000000001E-3</v>
      </c>
      <c r="CE83" s="143">
        <f t="shared" si="70"/>
        <v>-3.5000000000000001E-3</v>
      </c>
      <c r="CF83" s="143">
        <f t="shared" si="70"/>
        <v>-3.5000000000000001E-3</v>
      </c>
      <c r="CG83" s="143">
        <f t="shared" si="70"/>
        <v>-3.5000000000000001E-3</v>
      </c>
      <c r="CH83" s="143">
        <f t="shared" si="70"/>
        <v>-3.5000000000000001E-3</v>
      </c>
      <c r="CI83" s="143">
        <f t="shared" si="70"/>
        <v>-3.5000000000000001E-3</v>
      </c>
      <c r="CJ83" s="143">
        <f t="shared" si="70"/>
        <v>-3.5000000000000001E-3</v>
      </c>
      <c r="CK83" s="143">
        <f t="shared" si="70"/>
        <v>-3.5000000000000001E-3</v>
      </c>
      <c r="CL83" s="143">
        <f t="shared" si="70"/>
        <v>-3.5000000000000001E-3</v>
      </c>
      <c r="CM83" s="143">
        <f t="shared" si="70"/>
        <v>-3.5000000000000001E-3</v>
      </c>
      <c r="CN83" s="143">
        <f t="shared" si="70"/>
        <v>-3.5000000000000001E-3</v>
      </c>
      <c r="CO83" s="143">
        <f t="shared" si="70"/>
        <v>-3.2149999999999831E-3</v>
      </c>
      <c r="CP83" s="143">
        <f t="shared" si="70"/>
        <v>-2.6449999999999829E-3</v>
      </c>
      <c r="CQ83" s="143">
        <f t="shared" si="70"/>
        <v>-2.0749999999999831E-3</v>
      </c>
      <c r="CR83" s="143">
        <f t="shared" si="70"/>
        <v>-1.5049999999999827E-3</v>
      </c>
      <c r="CS83" s="143">
        <f t="shared" si="70"/>
        <v>-9.3499999999998261E-4</v>
      </c>
      <c r="CT83" s="143">
        <f t="shared" si="70"/>
        <v>5.0499999999999998E-3</v>
      </c>
      <c r="CU83" s="143">
        <f t="shared" si="70"/>
        <v>7.9000000000000008E-3</v>
      </c>
      <c r="CV83" s="143">
        <f t="shared" si="70"/>
        <v>1.0750000000000001E-2</v>
      </c>
      <c r="CW83" s="143">
        <f t="shared" si="70"/>
        <v>1.3600000000000001E-2</v>
      </c>
      <c r="CX83" s="143">
        <f t="shared" si="70"/>
        <v>1.6449999999999999E-2</v>
      </c>
      <c r="CY83" s="143">
        <f t="shared" si="70"/>
        <v>1.9300000000000001E-2</v>
      </c>
      <c r="CZ83" s="143">
        <f t="shared" si="70"/>
        <v>2.2150000000000003E-2</v>
      </c>
      <c r="DA83" s="143">
        <f t="shared" si="70"/>
        <v>2.5000000000000001E-2</v>
      </c>
    </row>
    <row r="84" spans="1:105" x14ac:dyDescent="0.2">
      <c r="A84" s="138" t="s">
        <v>421</v>
      </c>
      <c r="B84" s="130" t="s">
        <v>86</v>
      </c>
      <c r="C84" s="143">
        <f>[1]!StB08RechteckMN_test($E$3,$E$4,$E$5,$E$6,$E$8,$I$2,$I$3,$I$4,$I$5,$I$6,$I$7,$I$8,$I$9,$M$2,$M$3,$M$4,$M$5,$M$6,$C$66,$C$67,-12,O$67)</f>
        <v>1.8006621769496372E-3</v>
      </c>
      <c r="D84" s="143">
        <f>[1]!StB08RechteckMN_test($E$3,$E$4,$E$5,$E$6,$E$8,$I$2,$I$3,$I$4,$I$5,$I$6,$I$7,$I$8,$I$9,$M$2,$M$3,$M$4,$M$5,$M$6,$C$66,$C$67,-12,P$67)</f>
        <v>4.9998678479875843E-4</v>
      </c>
      <c r="E84" s="143">
        <f t="shared" ref="E84:AJ84" si="71">[1]!StB08RechteckMN_test($E$3,$E$4,$E$5,$E$6,$E$8,$I$2,$I$3,$I$4,$I$5,$I$6,$I$7,$I$8,$I$9,$M$2,$M$3,$M$4,$M$5,$M$6,$C$66,$C$67,-12,E$68)</f>
        <v>-2E-3</v>
      </c>
      <c r="F84" s="143">
        <f t="shared" si="71"/>
        <v>-1.92E-3</v>
      </c>
      <c r="G84" s="143">
        <f t="shared" si="71"/>
        <v>-1.8399999999999998E-3</v>
      </c>
      <c r="H84" s="143">
        <f t="shared" si="71"/>
        <v>-1.7599999999999998E-3</v>
      </c>
      <c r="I84" s="143">
        <f t="shared" si="71"/>
        <v>-1.6799999999999999E-3</v>
      </c>
      <c r="J84" s="143">
        <f t="shared" si="71"/>
        <v>-1.5999999999999996E-3</v>
      </c>
      <c r="K84" s="143">
        <f t="shared" si="71"/>
        <v>-1.5199999999999997E-3</v>
      </c>
      <c r="L84" s="143">
        <f t="shared" si="71"/>
        <v>-1.4399999999999997E-3</v>
      </c>
      <c r="M84" s="143">
        <f t="shared" si="71"/>
        <v>-1.3599999999999994E-3</v>
      </c>
      <c r="N84" s="143">
        <f t="shared" si="71"/>
        <v>-1.2799999999999995E-3</v>
      </c>
      <c r="O84" s="143">
        <f t="shared" si="71"/>
        <v>-1.1999999999999992E-3</v>
      </c>
      <c r="P84" s="143">
        <f t="shared" si="71"/>
        <v>-1.1199999999999993E-3</v>
      </c>
      <c r="Q84" s="143">
        <f t="shared" si="71"/>
        <v>-1.0399999999999993E-3</v>
      </c>
      <c r="R84" s="143">
        <f t="shared" si="71"/>
        <v>-9.5999999999999916E-4</v>
      </c>
      <c r="S84" s="143">
        <f t="shared" si="71"/>
        <v>-8.7999999999999906E-4</v>
      </c>
      <c r="T84" s="143">
        <f t="shared" si="71"/>
        <v>-7.9999999999999895E-4</v>
      </c>
      <c r="U84" s="143">
        <f t="shared" si="71"/>
        <v>-7.1999999999999896E-4</v>
      </c>
      <c r="V84" s="143">
        <f t="shared" si="71"/>
        <v>-6.3999999999999886E-4</v>
      </c>
      <c r="W84" s="143">
        <f t="shared" si="71"/>
        <v>-5.5999999999999876E-4</v>
      </c>
      <c r="X84" s="143">
        <f t="shared" si="71"/>
        <v>-4.7999999999999871E-4</v>
      </c>
      <c r="Y84" s="143">
        <f t="shared" si="71"/>
        <v>-3.9999999999999861E-4</v>
      </c>
      <c r="Z84" s="143">
        <f t="shared" si="71"/>
        <v>-3.7999999999999856E-4</v>
      </c>
      <c r="AA84" s="143">
        <f t="shared" si="71"/>
        <v>-3.5999999999999861E-4</v>
      </c>
      <c r="AB84" s="143">
        <f t="shared" si="71"/>
        <v>-3.3999999999999856E-4</v>
      </c>
      <c r="AC84" s="143">
        <f t="shared" si="71"/>
        <v>-3.1999999999999856E-4</v>
      </c>
      <c r="AD84" s="143">
        <f t="shared" si="71"/>
        <v>-2.9999999999999856E-4</v>
      </c>
      <c r="AE84" s="143">
        <f t="shared" si="71"/>
        <v>-2.7999999999999851E-4</v>
      </c>
      <c r="AF84" s="143">
        <f t="shared" si="71"/>
        <v>-2.5999999999999851E-4</v>
      </c>
      <c r="AG84" s="143">
        <f t="shared" si="71"/>
        <v>-2.3999999999999846E-4</v>
      </c>
      <c r="AH84" s="143">
        <f t="shared" si="71"/>
        <v>-2.1999999999999846E-4</v>
      </c>
      <c r="AI84" s="143">
        <f t="shared" si="71"/>
        <v>-1.9999999999999841E-4</v>
      </c>
      <c r="AJ84" s="143">
        <f t="shared" si="71"/>
        <v>-1.7999999999999844E-4</v>
      </c>
      <c r="AK84" s="143">
        <f t="shared" ref="AK84:BP84" si="72">[1]!StB08RechteckMN_test($E$3,$E$4,$E$5,$E$6,$E$8,$I$2,$I$3,$I$4,$I$5,$I$6,$I$7,$I$8,$I$9,$M$2,$M$3,$M$4,$M$5,$M$6,$C$66,$C$67,-12,AK$68)</f>
        <v>-1.5999999999999839E-4</v>
      </c>
      <c r="AL84" s="143">
        <f t="shared" si="72"/>
        <v>-1.3999999999999839E-4</v>
      </c>
      <c r="AM84" s="143">
        <f t="shared" si="72"/>
        <v>-1.1999999999999839E-4</v>
      </c>
      <c r="AN84" s="143">
        <f t="shared" si="72"/>
        <v>-9.9999999999998338E-5</v>
      </c>
      <c r="AO84" s="143">
        <f t="shared" si="72"/>
        <v>-7.9999999999998353E-5</v>
      </c>
      <c r="AP84" s="143">
        <f t="shared" si="72"/>
        <v>-5.999999999999824E-5</v>
      </c>
      <c r="AQ84" s="143">
        <f t="shared" si="72"/>
        <v>-3.9999999999998248E-5</v>
      </c>
      <c r="AR84" s="143">
        <f t="shared" si="72"/>
        <v>-1.9999999999998192E-5</v>
      </c>
      <c r="AS84" s="143">
        <f t="shared" si="72"/>
        <v>2.5834928407729787E-17</v>
      </c>
      <c r="AT84" s="143">
        <f t="shared" si="72"/>
        <v>2.9071428571431182E-4</v>
      </c>
      <c r="AU84" s="143">
        <f t="shared" si="72"/>
        <v>5.8142857142859784E-4</v>
      </c>
      <c r="AV84" s="143">
        <f t="shared" si="72"/>
        <v>8.7214285714288381E-4</v>
      </c>
      <c r="AW84" s="143">
        <f t="shared" si="72"/>
        <v>1.1628571428571697E-3</v>
      </c>
      <c r="AX84" s="143">
        <f t="shared" si="72"/>
        <v>1.4535714285714557E-3</v>
      </c>
      <c r="AY84" s="143">
        <f t="shared" si="72"/>
        <v>1.7442857142857416E-3</v>
      </c>
      <c r="AZ84" s="143">
        <f t="shared" si="72"/>
        <v>2.0350000000000277E-3</v>
      </c>
      <c r="BA84" s="143">
        <f t="shared" si="72"/>
        <v>2.3257142857143137E-3</v>
      </c>
      <c r="BB84" s="143">
        <f t="shared" si="72"/>
        <v>2.6164285714285998E-3</v>
      </c>
      <c r="BC84" s="143">
        <f t="shared" si="72"/>
        <v>2.9071428571428855E-3</v>
      </c>
      <c r="BD84" s="143">
        <f t="shared" si="72"/>
        <v>3.1978571428571715E-3</v>
      </c>
      <c r="BE84" s="143">
        <f t="shared" si="72"/>
        <v>3.4885714285714576E-3</v>
      </c>
      <c r="BF84" s="143">
        <f t="shared" si="72"/>
        <v>3.7792857142857437E-3</v>
      </c>
      <c r="BG84" s="143">
        <f t="shared" si="72"/>
        <v>4.0700000000000293E-3</v>
      </c>
      <c r="BH84" s="143">
        <f t="shared" si="72"/>
        <v>4.3607142857143158E-3</v>
      </c>
      <c r="BI84" s="143">
        <f t="shared" si="72"/>
        <v>4.6514285714286015E-3</v>
      </c>
      <c r="BJ84" s="143">
        <f t="shared" si="72"/>
        <v>4.942142857142888E-3</v>
      </c>
      <c r="BK84" s="143">
        <f t="shared" si="72"/>
        <v>5.2328571428571736E-3</v>
      </c>
      <c r="BL84" s="143">
        <f t="shared" si="72"/>
        <v>5.5235714285714593E-3</v>
      </c>
      <c r="BM84" s="143">
        <f t="shared" si="72"/>
        <v>5.8142857142857458E-3</v>
      </c>
      <c r="BN84" s="143">
        <f t="shared" si="72"/>
        <v>6.1050000000000314E-3</v>
      </c>
      <c r="BO84" s="143">
        <f t="shared" si="72"/>
        <v>6.3957142857143179E-3</v>
      </c>
      <c r="BP84" s="143">
        <f t="shared" si="72"/>
        <v>6.6864285714286036E-3</v>
      </c>
      <c r="BQ84" s="143">
        <f t="shared" ref="BQ84:DA84" si="73">[1]!StB08RechteckMN_test($E$3,$E$4,$E$5,$E$6,$E$8,$I$2,$I$3,$I$4,$I$5,$I$6,$I$7,$I$8,$I$9,$M$2,$M$3,$M$4,$M$5,$M$6,$C$66,$C$67,-12,BQ$68)</f>
        <v>6.9771428571428901E-3</v>
      </c>
      <c r="BR84" s="143">
        <f t="shared" si="73"/>
        <v>7.2678571428571757E-3</v>
      </c>
      <c r="BS84" s="143">
        <f t="shared" si="73"/>
        <v>7.5585714285714613E-3</v>
      </c>
      <c r="BT84" s="143">
        <f t="shared" si="73"/>
        <v>7.8492857142857479E-3</v>
      </c>
      <c r="BU84" s="143">
        <f t="shared" si="73"/>
        <v>8.1400000000000344E-3</v>
      </c>
      <c r="BV84" s="143">
        <f t="shared" si="73"/>
        <v>8.4307142857143191E-3</v>
      </c>
      <c r="BW84" s="143">
        <f t="shared" si="73"/>
        <v>8.7214285714286056E-3</v>
      </c>
      <c r="BX84" s="143">
        <f t="shared" si="73"/>
        <v>9.8842857142857499E-3</v>
      </c>
      <c r="BY84" s="143">
        <f t="shared" si="73"/>
        <v>1.1047142857142894E-2</v>
      </c>
      <c r="BZ84" s="143">
        <f t="shared" si="73"/>
        <v>1.2210000000000039E-2</v>
      </c>
      <c r="CA84" s="143">
        <f t="shared" si="73"/>
        <v>1.3372857142857181E-2</v>
      </c>
      <c r="CB84" s="143">
        <f t="shared" si="73"/>
        <v>1.4535714285714324E-2</v>
      </c>
      <c r="CC84" s="143">
        <f t="shared" si="73"/>
        <v>1.5698571428571464E-2</v>
      </c>
      <c r="CD84" s="143">
        <f t="shared" si="73"/>
        <v>1.6861428571428607E-2</v>
      </c>
      <c r="CE84" s="143">
        <f t="shared" si="73"/>
        <v>1.802428571428575E-2</v>
      </c>
      <c r="CF84" s="143">
        <f t="shared" si="73"/>
        <v>1.9187142857142896E-2</v>
      </c>
      <c r="CG84" s="143">
        <f t="shared" si="73"/>
        <v>2.0350000000000035E-2</v>
      </c>
      <c r="CH84" s="143">
        <f t="shared" si="73"/>
        <v>2.1512857142857177E-2</v>
      </c>
      <c r="CI84" s="143">
        <f t="shared" si="73"/>
        <v>2.2675714285714323E-2</v>
      </c>
      <c r="CJ84" s="143">
        <f t="shared" si="73"/>
        <v>2.3838571428571462E-2</v>
      </c>
      <c r="CK84" s="143">
        <f t="shared" si="73"/>
        <v>2.5001428571428605E-2</v>
      </c>
      <c r="CL84" s="143">
        <f t="shared" si="73"/>
        <v>2.6164285714285751E-2</v>
      </c>
      <c r="CM84" s="143">
        <f t="shared" si="73"/>
        <v>2.7327142857142894E-2</v>
      </c>
      <c r="CN84" s="143">
        <f t="shared" si="73"/>
        <v>2.8490000000000036E-2</v>
      </c>
      <c r="CO84" s="143">
        <f t="shared" si="73"/>
        <v>2.9030714285714285E-2</v>
      </c>
      <c r="CP84" s="143">
        <f t="shared" si="73"/>
        <v>2.8949285714285712E-2</v>
      </c>
      <c r="CQ84" s="143">
        <f t="shared" si="73"/>
        <v>2.8867857142857143E-2</v>
      </c>
      <c r="CR84" s="143">
        <f t="shared" si="73"/>
        <v>2.878642857142857E-2</v>
      </c>
      <c r="CS84" s="143">
        <f t="shared" si="73"/>
        <v>2.8704999999999998E-2</v>
      </c>
      <c r="CT84" s="143">
        <f t="shared" si="73"/>
        <v>2.7850000000000003E-2</v>
      </c>
      <c r="CU84" s="143">
        <f t="shared" si="73"/>
        <v>2.7442857142857144E-2</v>
      </c>
      <c r="CV84" s="143">
        <f t="shared" si="73"/>
        <v>2.7035714285714288E-2</v>
      </c>
      <c r="CW84" s="143">
        <f t="shared" si="73"/>
        <v>2.6628571428571429E-2</v>
      </c>
      <c r="CX84" s="143">
        <f t="shared" si="73"/>
        <v>2.6221428571428573E-2</v>
      </c>
      <c r="CY84" s="143">
        <f t="shared" si="73"/>
        <v>2.5814285714285717E-2</v>
      </c>
      <c r="CZ84" s="143">
        <f t="shared" si="73"/>
        <v>2.5407142857142857E-2</v>
      </c>
      <c r="DA84" s="143">
        <f t="shared" si="73"/>
        <v>2.5000000000000001E-2</v>
      </c>
    </row>
    <row r="85" spans="1:105" x14ac:dyDescent="0.2">
      <c r="A85" s="138" t="s">
        <v>422</v>
      </c>
      <c r="B85" s="130" t="s">
        <v>86</v>
      </c>
      <c r="C85" s="143">
        <f>[1]!StB08RechteckMN_test($E$3,$E$4,$E$5,$E$6,$E$8,$I$2,$I$3,$I$4,$I$5,$I$6,$I$7,$I$8,$I$9,$M$2,$M$3,$M$4,$M$5,$M$6,$C$66,$C$67,-13,O$67)</f>
        <v>-2.8374172278812955E-3</v>
      </c>
      <c r="D85" s="143">
        <f>[1]!StB08RechteckMN_test($E$3,$E$4,$E$5,$E$6,$E$8,$I$2,$I$3,$I$4,$I$5,$I$6,$I$7,$I$8,$I$9,$M$2,$M$3,$M$4,$M$5,$M$6,$C$66,$C$67,-13,P$67)</f>
        <v>-3.0000016519001554E-3</v>
      </c>
      <c r="E85" s="143">
        <f t="shared" ref="E85:AJ85" si="74">[1]!StB08RechteckMN_test($E$3,$E$4,$E$5,$E$6,$E$8,$I$2,$I$3,$I$4,$I$5,$I$6,$I$7,$I$8,$I$9,$M$2,$M$3,$M$4,$M$5,$M$6,$C$66,$C$67,-13,E$68)</f>
        <v>-2E-3</v>
      </c>
      <c r="F85" s="143">
        <f t="shared" si="74"/>
        <v>-2.0425E-3</v>
      </c>
      <c r="G85" s="143">
        <f t="shared" si="74"/>
        <v>-2.0850000000000005E-3</v>
      </c>
      <c r="H85" s="143">
        <f t="shared" si="74"/>
        <v>-2.1275000000000001E-3</v>
      </c>
      <c r="I85" s="143">
        <f t="shared" si="74"/>
        <v>-2.1700000000000001E-3</v>
      </c>
      <c r="J85" s="143">
        <f t="shared" si="74"/>
        <v>-2.2125000000000005E-3</v>
      </c>
      <c r="K85" s="143">
        <f t="shared" si="74"/>
        <v>-2.2550000000000005E-3</v>
      </c>
      <c r="L85" s="143">
        <f t="shared" si="74"/>
        <v>-2.2975000000000001E-3</v>
      </c>
      <c r="M85" s="143">
        <f t="shared" si="74"/>
        <v>-2.3400000000000005E-3</v>
      </c>
      <c r="N85" s="143">
        <f t="shared" si="74"/>
        <v>-2.3825000000000005E-3</v>
      </c>
      <c r="O85" s="143">
        <f t="shared" si="74"/>
        <v>-2.4250000000000005E-3</v>
      </c>
      <c r="P85" s="143">
        <f t="shared" si="74"/>
        <v>-2.4675000000000005E-3</v>
      </c>
      <c r="Q85" s="143">
        <f t="shared" si="74"/>
        <v>-2.5100000000000005E-3</v>
      </c>
      <c r="R85" s="143">
        <f t="shared" si="74"/>
        <v>-2.5525000000000005E-3</v>
      </c>
      <c r="S85" s="143">
        <f t="shared" si="74"/>
        <v>-2.5950000000000005E-3</v>
      </c>
      <c r="T85" s="143">
        <f t="shared" si="74"/>
        <v>-2.6375000000000005E-3</v>
      </c>
      <c r="U85" s="143">
        <f t="shared" si="74"/>
        <v>-2.6800000000000005E-3</v>
      </c>
      <c r="V85" s="143">
        <f t="shared" si="74"/>
        <v>-2.7225000000000005E-3</v>
      </c>
      <c r="W85" s="143">
        <f t="shared" si="74"/>
        <v>-2.765000000000001E-3</v>
      </c>
      <c r="X85" s="143">
        <f t="shared" si="74"/>
        <v>-2.8075000000000005E-3</v>
      </c>
      <c r="Y85" s="143">
        <f t="shared" si="74"/>
        <v>-2.8500000000000005E-3</v>
      </c>
      <c r="Z85" s="143">
        <f t="shared" si="74"/>
        <v>-2.8606250000000008E-3</v>
      </c>
      <c r="AA85" s="143">
        <f t="shared" si="74"/>
        <v>-2.871250000000001E-3</v>
      </c>
      <c r="AB85" s="143">
        <f t="shared" si="74"/>
        <v>-2.8818750000000012E-3</v>
      </c>
      <c r="AC85" s="143">
        <f t="shared" si="74"/>
        <v>-2.892500000000001E-3</v>
      </c>
      <c r="AD85" s="143">
        <f t="shared" si="74"/>
        <v>-2.9031250000000008E-3</v>
      </c>
      <c r="AE85" s="143">
        <f t="shared" si="74"/>
        <v>-2.913750000000001E-3</v>
      </c>
      <c r="AF85" s="143">
        <f t="shared" si="74"/>
        <v>-2.9243750000000008E-3</v>
      </c>
      <c r="AG85" s="143">
        <f t="shared" si="74"/>
        <v>-2.935000000000001E-3</v>
      </c>
      <c r="AH85" s="143">
        <f t="shared" si="74"/>
        <v>-2.9456250000000008E-3</v>
      </c>
      <c r="AI85" s="143">
        <f t="shared" si="74"/>
        <v>-2.956250000000001E-3</v>
      </c>
      <c r="AJ85" s="143">
        <f t="shared" si="74"/>
        <v>-2.9668750000000008E-3</v>
      </c>
      <c r="AK85" s="143">
        <f t="shared" ref="AK85:BP85" si="75">[1]!StB08RechteckMN_test($E$3,$E$4,$E$5,$E$6,$E$8,$I$2,$I$3,$I$4,$I$5,$I$6,$I$7,$I$8,$I$9,$M$2,$M$3,$M$4,$M$5,$M$6,$C$66,$C$67,-13,AK$68)</f>
        <v>-2.977500000000001E-3</v>
      </c>
      <c r="AL85" s="143">
        <f t="shared" si="75"/>
        <v>-2.9881250000000008E-3</v>
      </c>
      <c r="AM85" s="143">
        <f t="shared" si="75"/>
        <v>-2.998750000000001E-3</v>
      </c>
      <c r="AN85" s="143">
        <f t="shared" si="75"/>
        <v>-3.0093750000000012E-3</v>
      </c>
      <c r="AO85" s="143">
        <f t="shared" si="75"/>
        <v>-3.020000000000001E-3</v>
      </c>
      <c r="AP85" s="143">
        <f t="shared" si="75"/>
        <v>-3.0306250000000012E-3</v>
      </c>
      <c r="AQ85" s="143">
        <f t="shared" si="75"/>
        <v>-3.041250000000001E-3</v>
      </c>
      <c r="AR85" s="143">
        <f t="shared" si="75"/>
        <v>-3.0518750000000012E-3</v>
      </c>
      <c r="AS85" s="143">
        <f t="shared" si="75"/>
        <v>-3.0624999999999966E-3</v>
      </c>
      <c r="AT85" s="143">
        <f t="shared" si="75"/>
        <v>-3.0261607142857113E-3</v>
      </c>
      <c r="AU85" s="143">
        <f t="shared" si="75"/>
        <v>-2.9898214285714255E-3</v>
      </c>
      <c r="AV85" s="143">
        <f t="shared" si="75"/>
        <v>-2.9534821428571396E-3</v>
      </c>
      <c r="AW85" s="143">
        <f t="shared" si="75"/>
        <v>-2.9171428571428538E-3</v>
      </c>
      <c r="AX85" s="143">
        <f t="shared" si="75"/>
        <v>-2.880803571428568E-3</v>
      </c>
      <c r="AY85" s="143">
        <f t="shared" si="75"/>
        <v>-2.8444642857142822E-3</v>
      </c>
      <c r="AZ85" s="143">
        <f t="shared" si="75"/>
        <v>-2.8081249999999964E-3</v>
      </c>
      <c r="BA85" s="143">
        <f t="shared" si="75"/>
        <v>-2.771785714285711E-3</v>
      </c>
      <c r="BB85" s="143">
        <f t="shared" si="75"/>
        <v>-2.7354464285714252E-3</v>
      </c>
      <c r="BC85" s="143">
        <f t="shared" si="75"/>
        <v>-2.6991071428571394E-3</v>
      </c>
      <c r="BD85" s="143">
        <f t="shared" si="75"/>
        <v>-2.6627678571428536E-3</v>
      </c>
      <c r="BE85" s="143">
        <f t="shared" si="75"/>
        <v>-2.6264285714285678E-3</v>
      </c>
      <c r="BF85" s="143">
        <f t="shared" si="75"/>
        <v>-2.5900892857142819E-3</v>
      </c>
      <c r="BG85" s="143">
        <f t="shared" si="75"/>
        <v>-2.5537499999999966E-3</v>
      </c>
      <c r="BH85" s="143">
        <f t="shared" si="75"/>
        <v>-2.5174107142857107E-3</v>
      </c>
      <c r="BI85" s="143">
        <f t="shared" si="75"/>
        <v>-2.4810714285714249E-3</v>
      </c>
      <c r="BJ85" s="143">
        <f t="shared" si="75"/>
        <v>-2.4447321428571391E-3</v>
      </c>
      <c r="BK85" s="143">
        <f t="shared" si="75"/>
        <v>-2.4083928571428533E-3</v>
      </c>
      <c r="BL85" s="143">
        <f t="shared" si="75"/>
        <v>-2.3720535714285675E-3</v>
      </c>
      <c r="BM85" s="143">
        <f t="shared" si="75"/>
        <v>-2.3357142857142817E-3</v>
      </c>
      <c r="BN85" s="143">
        <f t="shared" si="75"/>
        <v>-2.2993749999999963E-3</v>
      </c>
      <c r="BO85" s="143">
        <f t="shared" si="75"/>
        <v>-2.2630357142857105E-3</v>
      </c>
      <c r="BP85" s="143">
        <f t="shared" si="75"/>
        <v>-2.2266964285714247E-3</v>
      </c>
      <c r="BQ85" s="143">
        <f t="shared" ref="BQ85:DA85" si="76">[1]!StB08RechteckMN_test($E$3,$E$4,$E$5,$E$6,$E$8,$I$2,$I$3,$I$4,$I$5,$I$6,$I$7,$I$8,$I$9,$M$2,$M$3,$M$4,$M$5,$M$6,$C$66,$C$67,-13,BQ$68)</f>
        <v>-2.1903571428571389E-3</v>
      </c>
      <c r="BR85" s="143">
        <f t="shared" si="76"/>
        <v>-2.154017857142853E-3</v>
      </c>
      <c r="BS85" s="143">
        <f t="shared" si="76"/>
        <v>-2.1176785714285672E-3</v>
      </c>
      <c r="BT85" s="143">
        <f t="shared" si="76"/>
        <v>-2.0813392857142814E-3</v>
      </c>
      <c r="BU85" s="143">
        <f t="shared" si="76"/>
        <v>-2.044999999999996E-3</v>
      </c>
      <c r="BV85" s="143">
        <f t="shared" si="76"/>
        <v>-2.0086607142857102E-3</v>
      </c>
      <c r="BW85" s="143">
        <f t="shared" si="76"/>
        <v>-1.9723214285714244E-3</v>
      </c>
      <c r="BX85" s="143">
        <f t="shared" si="76"/>
        <v>-1.8269642857142814E-3</v>
      </c>
      <c r="BY85" s="143">
        <f t="shared" si="76"/>
        <v>-1.6816071428571383E-3</v>
      </c>
      <c r="BZ85" s="143">
        <f t="shared" si="76"/>
        <v>-1.5362499999999953E-3</v>
      </c>
      <c r="CA85" s="143">
        <f t="shared" si="76"/>
        <v>-1.3908928571428523E-3</v>
      </c>
      <c r="CB85" s="143">
        <f t="shared" si="76"/>
        <v>-1.2455357142857097E-3</v>
      </c>
      <c r="CC85" s="143">
        <f t="shared" si="76"/>
        <v>-1.1001785714285668E-3</v>
      </c>
      <c r="CD85" s="143">
        <f t="shared" si="76"/>
        <v>-9.5482142857142402E-4</v>
      </c>
      <c r="CE85" s="143">
        <f t="shared" si="76"/>
        <v>-8.0946428571428131E-4</v>
      </c>
      <c r="CF85" s="143">
        <f t="shared" si="76"/>
        <v>-6.6410714285713827E-4</v>
      </c>
      <c r="CG85" s="143">
        <f t="shared" si="76"/>
        <v>-5.1874999999999578E-4</v>
      </c>
      <c r="CH85" s="143">
        <f t="shared" si="76"/>
        <v>-3.7339285714285279E-4</v>
      </c>
      <c r="CI85" s="143">
        <f t="shared" si="76"/>
        <v>-2.2803571428570976E-4</v>
      </c>
      <c r="CJ85" s="143">
        <f t="shared" si="76"/>
        <v>-8.2678571428567249E-5</v>
      </c>
      <c r="CK85" s="143">
        <f t="shared" si="76"/>
        <v>6.2678571428575748E-5</v>
      </c>
      <c r="CL85" s="143">
        <f t="shared" si="76"/>
        <v>2.0803571428571876E-4</v>
      </c>
      <c r="CM85" s="143">
        <f t="shared" si="76"/>
        <v>3.5339285714286174E-4</v>
      </c>
      <c r="CN85" s="143">
        <f t="shared" si="76"/>
        <v>4.9875000000000429E-4</v>
      </c>
      <c r="CO85" s="143">
        <f t="shared" si="76"/>
        <v>8.1571428571430046E-4</v>
      </c>
      <c r="CP85" s="143">
        <f t="shared" si="76"/>
        <v>1.3042857142857292E-3</v>
      </c>
      <c r="CQ85" s="143">
        <f t="shared" si="76"/>
        <v>1.7928571428571574E-3</v>
      </c>
      <c r="CR85" s="143">
        <f t="shared" si="76"/>
        <v>2.2814285714285866E-3</v>
      </c>
      <c r="CS85" s="143">
        <f t="shared" si="76"/>
        <v>2.7700000000000151E-3</v>
      </c>
      <c r="CT85" s="143">
        <f t="shared" si="76"/>
        <v>7.9000000000000008E-3</v>
      </c>
      <c r="CU85" s="143">
        <f t="shared" si="76"/>
        <v>1.0342857142857143E-2</v>
      </c>
      <c r="CV85" s="143">
        <f t="shared" si="76"/>
        <v>1.2785714285714287E-2</v>
      </c>
      <c r="CW85" s="143">
        <f t="shared" si="76"/>
        <v>1.522857142857143E-2</v>
      </c>
      <c r="CX85" s="143">
        <f t="shared" si="76"/>
        <v>1.7671428571428571E-2</v>
      </c>
      <c r="CY85" s="143">
        <f t="shared" si="76"/>
        <v>2.0114285714285716E-2</v>
      </c>
      <c r="CZ85" s="143">
        <f t="shared" si="76"/>
        <v>2.2557142857142859E-2</v>
      </c>
      <c r="DA85" s="143">
        <f t="shared" si="76"/>
        <v>2.5000000000000001E-2</v>
      </c>
    </row>
    <row r="86" spans="1:105" x14ac:dyDescent="0.2">
      <c r="A86" s="138" t="s">
        <v>423</v>
      </c>
      <c r="B86" s="130" t="s">
        <v>86</v>
      </c>
      <c r="C86" s="143">
        <f>[1]!StB08RechteckMN_test($E$3,$E$4,$E$5,$E$6,$E$8,$I$2,$I$3,$I$4,$I$5,$I$6,$I$7,$I$8,$I$9,$M$2,$M$3,$M$4,$M$5,$M$6,$C$66,$C$67,-14,O$67)</f>
        <v>1.1380794048309326E-3</v>
      </c>
      <c r="D86" s="143">
        <f>[1]!StB08RechteckMN_test($E$3,$E$4,$E$5,$E$6,$E$8,$I$2,$I$3,$I$4,$I$5,$I$6,$I$7,$I$8,$I$9,$M$2,$M$3,$M$4,$M$5,$M$6,$C$66,$C$67,-14,P$67)</f>
        <v>-1.1563301086411538E-8</v>
      </c>
      <c r="E86" s="143">
        <f t="shared" ref="E86:AJ86" si="77">[1]!StB08RechteckMN_test($E$3,$E$4,$E$5,$E$6,$E$8,$I$2,$I$3,$I$4,$I$5,$I$6,$I$7,$I$8,$I$9,$M$2,$M$3,$M$4,$M$5,$M$6,$C$66,$C$67,-14,E$68)</f>
        <v>-2E-3</v>
      </c>
      <c r="F86" s="143">
        <f t="shared" si="77"/>
        <v>-1.9375E-3</v>
      </c>
      <c r="G86" s="143">
        <f t="shared" si="77"/>
        <v>-1.8749999999999999E-3</v>
      </c>
      <c r="H86" s="143">
        <f t="shared" si="77"/>
        <v>-1.8124999999999999E-3</v>
      </c>
      <c r="I86" s="143">
        <f t="shared" si="77"/>
        <v>-1.7499999999999998E-3</v>
      </c>
      <c r="J86" s="143">
        <f t="shared" si="77"/>
        <v>-1.6874999999999998E-3</v>
      </c>
      <c r="K86" s="143">
        <f t="shared" si="77"/>
        <v>-1.6249999999999997E-3</v>
      </c>
      <c r="L86" s="143">
        <f t="shared" si="77"/>
        <v>-1.5624999999999997E-3</v>
      </c>
      <c r="M86" s="143">
        <f t="shared" si="77"/>
        <v>-1.4999999999999996E-3</v>
      </c>
      <c r="N86" s="143">
        <f t="shared" si="77"/>
        <v>-1.4374999999999995E-3</v>
      </c>
      <c r="O86" s="143">
        <f t="shared" si="77"/>
        <v>-1.3749999999999995E-3</v>
      </c>
      <c r="P86" s="143">
        <f t="shared" si="77"/>
        <v>-1.3124999999999994E-3</v>
      </c>
      <c r="Q86" s="143">
        <f t="shared" si="77"/>
        <v>-1.2499999999999994E-3</v>
      </c>
      <c r="R86" s="143">
        <f t="shared" si="77"/>
        <v>-1.1874999999999993E-3</v>
      </c>
      <c r="S86" s="143">
        <f t="shared" si="77"/>
        <v>-1.1249999999999993E-3</v>
      </c>
      <c r="T86" s="143">
        <f t="shared" si="77"/>
        <v>-1.0624999999999992E-3</v>
      </c>
      <c r="U86" s="143">
        <f t="shared" si="77"/>
        <v>-9.9999999999999915E-4</v>
      </c>
      <c r="V86" s="143">
        <f t="shared" si="77"/>
        <v>-9.374999999999991E-4</v>
      </c>
      <c r="W86" s="143">
        <f t="shared" si="77"/>
        <v>-8.7499999999999904E-4</v>
      </c>
      <c r="X86" s="143">
        <f t="shared" si="77"/>
        <v>-8.1249999999999899E-4</v>
      </c>
      <c r="Y86" s="143">
        <f t="shared" si="77"/>
        <v>-7.4999999999999893E-4</v>
      </c>
      <c r="Z86" s="143">
        <f t="shared" si="77"/>
        <v>-7.3437499999999892E-4</v>
      </c>
      <c r="AA86" s="143">
        <f t="shared" si="77"/>
        <v>-7.187499999999989E-4</v>
      </c>
      <c r="AB86" s="143">
        <f t="shared" si="77"/>
        <v>-7.0312499999999889E-4</v>
      </c>
      <c r="AC86" s="143">
        <f t="shared" si="77"/>
        <v>-6.8749999999999888E-4</v>
      </c>
      <c r="AD86" s="143">
        <f t="shared" si="77"/>
        <v>-6.7187499999999886E-4</v>
      </c>
      <c r="AE86" s="143">
        <f t="shared" si="77"/>
        <v>-6.5624999999999885E-4</v>
      </c>
      <c r="AF86" s="143">
        <f t="shared" si="77"/>
        <v>-6.4062499999999883E-4</v>
      </c>
      <c r="AG86" s="143">
        <f t="shared" si="77"/>
        <v>-6.2499999999999882E-4</v>
      </c>
      <c r="AH86" s="143">
        <f t="shared" si="77"/>
        <v>-6.0937499999999881E-4</v>
      </c>
      <c r="AI86" s="143">
        <f t="shared" si="77"/>
        <v>-5.9374999999999879E-4</v>
      </c>
      <c r="AJ86" s="143">
        <f t="shared" si="77"/>
        <v>-5.7812499999999878E-4</v>
      </c>
      <c r="AK86" s="143">
        <f t="shared" ref="AK86:BP86" si="78">[1]!StB08RechteckMN_test($E$3,$E$4,$E$5,$E$6,$E$8,$I$2,$I$3,$I$4,$I$5,$I$6,$I$7,$I$8,$I$9,$M$2,$M$3,$M$4,$M$5,$M$6,$C$66,$C$67,-14,AK$68)</f>
        <v>-5.6249999999999876E-4</v>
      </c>
      <c r="AL86" s="143">
        <f t="shared" si="78"/>
        <v>-5.4687499999999875E-4</v>
      </c>
      <c r="AM86" s="143">
        <f t="shared" si="78"/>
        <v>-5.3124999999999874E-4</v>
      </c>
      <c r="AN86" s="143">
        <f t="shared" si="78"/>
        <v>-5.1562499999999872E-4</v>
      </c>
      <c r="AO86" s="143">
        <f t="shared" si="78"/>
        <v>-4.9999999999999871E-4</v>
      </c>
      <c r="AP86" s="143">
        <f t="shared" si="78"/>
        <v>-4.8437499999999864E-4</v>
      </c>
      <c r="AQ86" s="143">
        <f t="shared" si="78"/>
        <v>-4.6874999999999863E-4</v>
      </c>
      <c r="AR86" s="143">
        <f t="shared" si="78"/>
        <v>-4.5312499999999861E-4</v>
      </c>
      <c r="AS86" s="143">
        <f t="shared" si="78"/>
        <v>-4.374999999999774E-4</v>
      </c>
      <c r="AT86" s="143">
        <f t="shared" si="78"/>
        <v>-1.8312499999997717E-4</v>
      </c>
      <c r="AU86" s="143">
        <f t="shared" si="78"/>
        <v>7.1250000000023064E-5</v>
      </c>
      <c r="AV86" s="143">
        <f t="shared" si="78"/>
        <v>3.2562500000002332E-4</v>
      </c>
      <c r="AW86" s="143">
        <f t="shared" si="78"/>
        <v>5.8000000000002353E-4</v>
      </c>
      <c r="AX86" s="143">
        <f t="shared" si="78"/>
        <v>8.3437500000002379E-4</v>
      </c>
      <c r="AY86" s="143">
        <f t="shared" si="78"/>
        <v>1.0887500000000239E-3</v>
      </c>
      <c r="AZ86" s="143">
        <f t="shared" si="78"/>
        <v>1.3431250000000242E-3</v>
      </c>
      <c r="BA86" s="143">
        <f t="shared" si="78"/>
        <v>1.5975000000000245E-3</v>
      </c>
      <c r="BB86" s="143">
        <f t="shared" si="78"/>
        <v>1.8518750000000247E-3</v>
      </c>
      <c r="BC86" s="143">
        <f t="shared" si="78"/>
        <v>2.1062500000000248E-3</v>
      </c>
      <c r="BD86" s="143">
        <f t="shared" si="78"/>
        <v>2.360625000000025E-3</v>
      </c>
      <c r="BE86" s="143">
        <f t="shared" si="78"/>
        <v>2.6150000000000253E-3</v>
      </c>
      <c r="BF86" s="143">
        <f t="shared" si="78"/>
        <v>2.8693750000000256E-3</v>
      </c>
      <c r="BG86" s="143">
        <f t="shared" si="78"/>
        <v>3.1237500000000258E-3</v>
      </c>
      <c r="BH86" s="143">
        <f t="shared" si="78"/>
        <v>3.3781250000000261E-3</v>
      </c>
      <c r="BI86" s="143">
        <f t="shared" si="78"/>
        <v>3.6325000000000263E-3</v>
      </c>
      <c r="BJ86" s="143">
        <f t="shared" si="78"/>
        <v>3.8868750000000266E-3</v>
      </c>
      <c r="BK86" s="143">
        <f t="shared" si="78"/>
        <v>4.1412500000000269E-3</v>
      </c>
      <c r="BL86" s="143">
        <f t="shared" si="78"/>
        <v>4.3956250000000271E-3</v>
      </c>
      <c r="BM86" s="143">
        <f t="shared" si="78"/>
        <v>4.6500000000000274E-3</v>
      </c>
      <c r="BN86" s="143">
        <f t="shared" si="78"/>
        <v>4.9043750000000276E-3</v>
      </c>
      <c r="BO86" s="143">
        <f t="shared" si="78"/>
        <v>5.1587500000000279E-3</v>
      </c>
      <c r="BP86" s="143">
        <f t="shared" si="78"/>
        <v>5.4131250000000282E-3</v>
      </c>
      <c r="BQ86" s="143">
        <f t="shared" ref="BQ86:DA86" si="79">[1]!StB08RechteckMN_test($E$3,$E$4,$E$5,$E$6,$E$8,$I$2,$I$3,$I$4,$I$5,$I$6,$I$7,$I$8,$I$9,$M$2,$M$3,$M$4,$M$5,$M$6,$C$66,$C$67,-14,BQ$68)</f>
        <v>5.6675000000000284E-3</v>
      </c>
      <c r="BR86" s="143">
        <f t="shared" si="79"/>
        <v>5.9218750000000287E-3</v>
      </c>
      <c r="BS86" s="143">
        <f t="shared" si="79"/>
        <v>6.1762500000000289E-3</v>
      </c>
      <c r="BT86" s="143">
        <f t="shared" si="79"/>
        <v>6.4306250000000292E-3</v>
      </c>
      <c r="BU86" s="143">
        <f t="shared" si="79"/>
        <v>6.6850000000000295E-3</v>
      </c>
      <c r="BV86" s="143">
        <f t="shared" si="79"/>
        <v>6.9393750000000297E-3</v>
      </c>
      <c r="BW86" s="143">
        <f t="shared" si="79"/>
        <v>7.19375000000003E-3</v>
      </c>
      <c r="BX86" s="143">
        <f t="shared" si="79"/>
        <v>8.211250000000031E-3</v>
      </c>
      <c r="BY86" s="143">
        <f t="shared" si="79"/>
        <v>9.2287500000000321E-3</v>
      </c>
      <c r="BZ86" s="143">
        <f t="shared" si="79"/>
        <v>1.0246250000000033E-2</v>
      </c>
      <c r="CA86" s="143">
        <f t="shared" si="79"/>
        <v>1.1263750000000034E-2</v>
      </c>
      <c r="CB86" s="143">
        <f t="shared" si="79"/>
        <v>1.2281250000000033E-2</v>
      </c>
      <c r="CC86" s="143">
        <f t="shared" si="79"/>
        <v>1.3298750000000033E-2</v>
      </c>
      <c r="CD86" s="143">
        <f t="shared" si="79"/>
        <v>1.4316250000000032E-2</v>
      </c>
      <c r="CE86" s="143">
        <f t="shared" si="79"/>
        <v>1.5333750000000031E-2</v>
      </c>
      <c r="CF86" s="143">
        <f t="shared" si="79"/>
        <v>1.6351250000000032E-2</v>
      </c>
      <c r="CG86" s="143">
        <f t="shared" si="79"/>
        <v>1.736875000000003E-2</v>
      </c>
      <c r="CH86" s="143">
        <f t="shared" si="79"/>
        <v>1.8386250000000031E-2</v>
      </c>
      <c r="CI86" s="143">
        <f t="shared" si="79"/>
        <v>1.9403750000000032E-2</v>
      </c>
      <c r="CJ86" s="143">
        <f t="shared" si="79"/>
        <v>2.042125000000003E-2</v>
      </c>
      <c r="CK86" s="143">
        <f t="shared" si="79"/>
        <v>2.1438750000000031E-2</v>
      </c>
      <c r="CL86" s="143">
        <f t="shared" si="79"/>
        <v>2.2456250000000032E-2</v>
      </c>
      <c r="CM86" s="143">
        <f t="shared" si="79"/>
        <v>2.3473750000000033E-2</v>
      </c>
      <c r="CN86" s="143">
        <f t="shared" si="79"/>
        <v>2.449125000000003E-2</v>
      </c>
      <c r="CO86" s="143">
        <f t="shared" si="79"/>
        <v>2.5000000000000001E-2</v>
      </c>
      <c r="CP86" s="143">
        <f t="shared" si="79"/>
        <v>2.5000000000000001E-2</v>
      </c>
      <c r="CQ86" s="143">
        <f t="shared" si="79"/>
        <v>2.5000000000000001E-2</v>
      </c>
      <c r="CR86" s="143">
        <f t="shared" si="79"/>
        <v>2.5000000000000001E-2</v>
      </c>
      <c r="CS86" s="143">
        <f t="shared" si="79"/>
        <v>2.5000000000000001E-2</v>
      </c>
      <c r="CT86" s="143">
        <f t="shared" si="79"/>
        <v>2.5000000000000001E-2</v>
      </c>
      <c r="CU86" s="143">
        <f t="shared" si="79"/>
        <v>2.5000000000000001E-2</v>
      </c>
      <c r="CV86" s="143">
        <f t="shared" si="79"/>
        <v>2.5000000000000001E-2</v>
      </c>
      <c r="CW86" s="143">
        <f t="shared" si="79"/>
        <v>2.5000000000000001E-2</v>
      </c>
      <c r="CX86" s="143">
        <f t="shared" si="79"/>
        <v>2.5000000000000001E-2</v>
      </c>
      <c r="CY86" s="143">
        <f t="shared" si="79"/>
        <v>2.5000000000000001E-2</v>
      </c>
      <c r="CZ86" s="143">
        <f t="shared" si="79"/>
        <v>2.5000000000000001E-2</v>
      </c>
      <c r="DA86" s="143">
        <f t="shared" si="79"/>
        <v>2.5000000000000001E-2</v>
      </c>
    </row>
    <row r="87" spans="1:105" x14ac:dyDescent="0.2">
      <c r="A87" s="92" t="s">
        <v>427</v>
      </c>
      <c r="B87" s="92" t="s">
        <v>86</v>
      </c>
      <c r="C87" s="141">
        <f>[1]!StB08RechteckMN_test($E$3,$E$4,$E$5,$E$6,$E$8,$I$2,$I$3,$I$4,$I$5,$I$6,$I$7,$I$8,$I$9,$M$2,$M$3,$M$4,$M$5,$M$6,$C$66,$C$67,-15,O$67)</f>
        <v>34042.1961336116</v>
      </c>
      <c r="D87" s="141">
        <f>[1]!StB08RechteckMN_test($E$3,$E$4,$E$5,$E$6,$E$8,$I$2,$I$3,$I$4,$I$5,$I$6,$I$7,$I$8,$I$9,$M$2,$M$3,$M$4,$M$5,$M$6,$C$66,$C$67,-15,P$67)</f>
        <v>-0.57443647640131912</v>
      </c>
      <c r="E87" s="141">
        <f t="shared" ref="E87:AJ87" si="80">[1]!StB08RechteckMN_test($E$3,$E$4,$E$5,$E$6,$E$8,$I$2,$I$3,$I$4,$I$5,$I$6,$I$7,$I$8,$I$9,$M$2,$M$3,$M$4,$M$5,$M$6,$C$66,$C$67,-15,E$68)</f>
        <v>-0.39873030598958326</v>
      </c>
      <c r="F87" s="141">
        <f t="shared" si="80"/>
        <v>-0.40455004181794313</v>
      </c>
      <c r="G87" s="141">
        <f t="shared" si="80"/>
        <v>-0.41016589044259677</v>
      </c>
      <c r="H87" s="141">
        <f t="shared" si="80"/>
        <v>-0.41556834935282372</v>
      </c>
      <c r="I87" s="141">
        <f t="shared" si="80"/>
        <v>-0.42074731621164524</v>
      </c>
      <c r="J87" s="141">
        <f t="shared" si="80"/>
        <v>-0.42569204076848738</v>
      </c>
      <c r="K87" s="141">
        <f t="shared" si="80"/>
        <v>-0.43039107207033744</v>
      </c>
      <c r="L87" s="141">
        <f t="shared" si="80"/>
        <v>-0.43483220042623277</v>
      </c>
      <c r="M87" s="141">
        <f t="shared" si="80"/>
        <v>-0.43900239350645698</v>
      </c>
      <c r="N87" s="141">
        <f t="shared" si="80"/>
        <v>-0.44288772587303626</v>
      </c>
      <c r="O87" s="141">
        <f t="shared" si="80"/>
        <v>-0.44647330114002787</v>
      </c>
      <c r="P87" s="141">
        <f t="shared" si="80"/>
        <v>-0.44974316584834995</v>
      </c>
      <c r="Q87" s="141">
        <f t="shared" si="80"/>
        <v>-0.45353286345521682</v>
      </c>
      <c r="R87" s="141">
        <f t="shared" si="80"/>
        <v>-0.45988871207527632</v>
      </c>
      <c r="S87" s="141">
        <f t="shared" si="80"/>
        <v>-0.46611794761580455</v>
      </c>
      <c r="T87" s="141">
        <f t="shared" si="80"/>
        <v>-0.47220981408837465</v>
      </c>
      <c r="U87" s="141">
        <f t="shared" si="80"/>
        <v>-0.47815230168134176</v>
      </c>
      <c r="V87" s="141">
        <f t="shared" si="80"/>
        <v>-0.48393195857840404</v>
      </c>
      <c r="W87" s="141">
        <f t="shared" si="80"/>
        <v>-0.48953366783622981</v>
      </c>
      <c r="X87" s="141">
        <f t="shared" si="80"/>
        <v>-0.49494038151043374</v>
      </c>
      <c r="Y87" s="141">
        <f t="shared" si="80"/>
        <v>-0.50013280215791012</v>
      </c>
      <c r="Z87" s="141">
        <f t="shared" si="80"/>
        <v>-0.50139491815140602</v>
      </c>
      <c r="AA87" s="141">
        <f t="shared" si="80"/>
        <v>-0.50264191420879878</v>
      </c>
      <c r="AB87" s="141">
        <f t="shared" si="80"/>
        <v>-0.50387340675982173</v>
      </c>
      <c r="AC87" s="141">
        <f t="shared" si="80"/>
        <v>-0.50508899914941885</v>
      </c>
      <c r="AD87" s="141">
        <f t="shared" si="80"/>
        <v>-0.50628828107499113</v>
      </c>
      <c r="AE87" s="141">
        <f t="shared" si="80"/>
        <v>-0.50747082799434795</v>
      </c>
      <c r="AF87" s="141">
        <f t="shared" si="80"/>
        <v>-0.50863620050256686</v>
      </c>
      <c r="AG87" s="141">
        <f t="shared" si="80"/>
        <v>-0.50978394367584223</v>
      </c>
      <c r="AH87" s="141">
        <f t="shared" si="80"/>
        <v>-0.51091358638026363</v>
      </c>
      <c r="AI87" s="141">
        <f t="shared" si="80"/>
        <v>-0.51202464054331542</v>
      </c>
      <c r="AJ87" s="141">
        <f t="shared" si="80"/>
        <v>-0.51311660038573481</v>
      </c>
      <c r="AK87" s="141">
        <f t="shared" ref="AK87:BP87" si="81">[1]!StB08RechteckMN_test($E$3,$E$4,$E$5,$E$6,$E$8,$I$2,$I$3,$I$4,$I$5,$I$6,$I$7,$I$8,$I$9,$M$2,$M$3,$M$4,$M$5,$M$6,$C$66,$C$67,-15,AK$68)</f>
        <v>-0.51418894161118489</v>
      </c>
      <c r="AL87" s="141">
        <f t="shared" si="81"/>
        <v>-0.51524112055101601</v>
      </c>
      <c r="AM87" s="141">
        <f t="shared" si="81"/>
        <v>-0.51627257326118592</v>
      </c>
      <c r="AN87" s="141">
        <f t="shared" si="81"/>
        <v>-0.51728271456818486</v>
      </c>
      <c r="AO87" s="141">
        <f t="shared" si="81"/>
        <v>-0.51827093706057559</v>
      </c>
      <c r="AP87" s="141">
        <f t="shared" si="81"/>
        <v>-0.51923661002249522</v>
      </c>
      <c r="AQ87" s="141">
        <f t="shared" si="81"/>
        <v>-0.52017907830518728</v>
      </c>
      <c r="AR87" s="141">
        <f t="shared" si="81"/>
        <v>-0.52109766113231926</v>
      </c>
      <c r="AS87" s="141">
        <f t="shared" si="81"/>
        <v>-0.52199165083450882</v>
      </c>
      <c r="AT87" s="141">
        <f t="shared" si="81"/>
        <v>-0.54293110117521226</v>
      </c>
      <c r="AU87" s="141">
        <f t="shared" si="81"/>
        <v>-0.59174443542786936</v>
      </c>
      <c r="AV87" s="141">
        <f t="shared" si="81"/>
        <v>-0.68898625530108659</v>
      </c>
      <c r="AW87" s="141">
        <f t="shared" si="81"/>
        <v>-0.89505108069788675</v>
      </c>
      <c r="AX87" s="141">
        <f t="shared" si="81"/>
        <v>-1.4755869374630941</v>
      </c>
      <c r="AY87" s="141">
        <f t="shared" si="81"/>
        <v>-8.1892650662575495</v>
      </c>
      <c r="AZ87" s="141">
        <f t="shared" si="81"/>
        <v>1.7820229571663357</v>
      </c>
      <c r="BA87" s="141">
        <f t="shared" si="81"/>
        <v>0.7220156578771243</v>
      </c>
      <c r="BB87" s="141">
        <f t="shared" si="81"/>
        <v>0.42304711178183874</v>
      </c>
      <c r="BC87" s="141">
        <f t="shared" si="81"/>
        <v>0.28460635409503954</v>
      </c>
      <c r="BD87" s="141">
        <f t="shared" si="81"/>
        <v>0.20607446474566002</v>
      </c>
      <c r="BE87" s="141">
        <f t="shared" si="81"/>
        <v>0.16923933650359635</v>
      </c>
      <c r="BF87" s="141">
        <f t="shared" si="81"/>
        <v>0.15484750988877069</v>
      </c>
      <c r="BG87" s="141">
        <f t="shared" si="81"/>
        <v>0.14182080804203648</v>
      </c>
      <c r="BH87" s="141">
        <f t="shared" si="81"/>
        <v>0.12998187331591518</v>
      </c>
      <c r="BI87" s="141">
        <f t="shared" si="81"/>
        <v>0.11844994663239901</v>
      </c>
      <c r="BJ87" s="141">
        <f t="shared" si="81"/>
        <v>0.10736288094992751</v>
      </c>
      <c r="BK87" s="141">
        <f t="shared" si="81"/>
        <v>9.7319754504629569E-2</v>
      </c>
      <c r="BL87" s="141">
        <f t="shared" si="81"/>
        <v>8.8196541305535198E-2</v>
      </c>
      <c r="BM87" s="141">
        <f t="shared" si="81"/>
        <v>7.9887225023523578E-2</v>
      </c>
      <c r="BN87" s="141">
        <f t="shared" si="81"/>
        <v>7.2300719571626648E-2</v>
      </c>
      <c r="BO87" s="141">
        <f t="shared" si="81"/>
        <v>6.5358391822183975E-2</v>
      </c>
      <c r="BP87" s="141">
        <f t="shared" si="81"/>
        <v>5.8992054754932306E-2</v>
      </c>
      <c r="BQ87" s="141">
        <f t="shared" ref="BQ87:DA87" si="82">[1]!StB08RechteckMN_test($E$3,$E$4,$E$5,$E$6,$E$8,$I$2,$I$3,$I$4,$I$5,$I$6,$I$7,$I$8,$I$9,$M$2,$M$3,$M$4,$M$5,$M$6,$C$66,$C$67,-15,BQ$68)</f>
        <v>5.314233101975719E-2</v>
      </c>
      <c r="BR87" s="141">
        <f t="shared" si="82"/>
        <v>4.7757310308307467E-2</v>
      </c>
      <c r="BS87" s="141">
        <f t="shared" si="82"/>
        <v>4.2791441384555429E-2</v>
      </c>
      <c r="BT87" s="141">
        <f t="shared" si="82"/>
        <v>3.8204612754623724E-2</v>
      </c>
      <c r="BU87" s="141">
        <f t="shared" si="82"/>
        <v>3.3961385914465007E-2</v>
      </c>
      <c r="BV87" s="141">
        <f t="shared" si="82"/>
        <v>3.0030352725549315E-2</v>
      </c>
      <c r="BW87" s="141">
        <f t="shared" si="82"/>
        <v>2.6383594329560112E-2</v>
      </c>
      <c r="BX87" s="141">
        <f t="shared" si="82"/>
        <v>1.4179271635955762E-2</v>
      </c>
      <c r="BY87" s="141">
        <f t="shared" si="82"/>
        <v>4.9376807503283358E-3</v>
      </c>
      <c r="BZ87" s="141">
        <f t="shared" si="82"/>
        <v>-2.1600178752505372E-3</v>
      </c>
      <c r="CA87" s="141">
        <f t="shared" si="82"/>
        <v>-7.6720489978952307E-3</v>
      </c>
      <c r="CB87" s="141">
        <f t="shared" si="82"/>
        <v>-1.1989492985490529E-2</v>
      </c>
      <c r="CC87" s="141">
        <f t="shared" si="82"/>
        <v>-1.5392765333553831E-2</v>
      </c>
      <c r="CD87" s="141">
        <f t="shared" si="82"/>
        <v>-1.8086987298874837E-2</v>
      </c>
      <c r="CE87" s="141">
        <f t="shared" si="82"/>
        <v>-2.0224829129421262E-2</v>
      </c>
      <c r="CF87" s="141">
        <f t="shared" si="82"/>
        <v>-2.192166263460063E-2</v>
      </c>
      <c r="CG87" s="141">
        <f t="shared" si="82"/>
        <v>-2.3265850836542718E-2</v>
      </c>
      <c r="CH87" s="141">
        <f t="shared" si="82"/>
        <v>-2.4325881730414792E-2</v>
      </c>
      <c r="CI87" s="141">
        <f t="shared" si="82"/>
        <v>-2.5155406198751815E-2</v>
      </c>
      <c r="CJ87" s="141">
        <f t="shared" si="82"/>
        <v>-2.5796855119819675E-2</v>
      </c>
      <c r="CK87" s="141">
        <f t="shared" si="82"/>
        <v>-2.6284075322212035E-2</v>
      </c>
      <c r="CL87" s="141">
        <f t="shared" si="82"/>
        <v>-2.6644276590676374E-2</v>
      </c>
      <c r="CM87" s="141">
        <f t="shared" si="82"/>
        <v>-2.6899487523736616E-2</v>
      </c>
      <c r="CN87" s="141">
        <f t="shared" si="82"/>
        <v>-2.7067656389275573E-2</v>
      </c>
      <c r="CO87" s="141">
        <f t="shared" si="82"/>
        <v>-2.8095886124510663E-2</v>
      </c>
      <c r="CP87" s="141">
        <f t="shared" si="82"/>
        <v>-2.9880177652413749E-2</v>
      </c>
      <c r="CQ87" s="141">
        <f t="shared" si="82"/>
        <v>-3.1481491549563978E-2</v>
      </c>
      <c r="CR87" s="141">
        <f t="shared" si="82"/>
        <v>-3.2870955986110513E-2</v>
      </c>
      <c r="CS87" s="141">
        <f t="shared" si="82"/>
        <v>-3.4750219672324056E-2</v>
      </c>
      <c r="CT87" s="141">
        <f t="shared" si="82"/>
        <v>-3.663871951219512E-2</v>
      </c>
      <c r="CU87" s="141">
        <f t="shared" si="82"/>
        <v>-3.6523579639431022E-2</v>
      </c>
      <c r="CV87" s="141">
        <f t="shared" si="82"/>
        <v>-3.6409161170651273E-2</v>
      </c>
      <c r="CW87" s="141">
        <f t="shared" si="82"/>
        <v>-3.6295457347140035E-2</v>
      </c>
      <c r="CX87" s="141">
        <f t="shared" si="82"/>
        <v>-3.6182461494347042E-2</v>
      </c>
      <c r="CY87" s="141">
        <f t="shared" si="82"/>
        <v>-3.6070167020581509E-2</v>
      </c>
      <c r="CZ87" s="141">
        <f t="shared" si="82"/>
        <v>-3.5958567415730336E-2</v>
      </c>
      <c r="DA87" s="141">
        <f t="shared" si="82"/>
        <v>-3.5847656249999998E-2</v>
      </c>
    </row>
    <row r="88" spans="1:105" x14ac:dyDescent="0.2">
      <c r="A88" s="92" t="s">
        <v>428</v>
      </c>
      <c r="B88" s="92" t="s">
        <v>86</v>
      </c>
      <c r="C88" s="141">
        <f>[1]!StB08RechteckMN_test($E$3,$E$4,$E$5,$E$6,$E$8,$I$2,$I$3,$I$4,$I$5,$I$6,$I$7,$I$8,$I$9,$M$2,$M$3,$M$4,$M$5,$M$6,$C$66,$C$67,-16,O$67)</f>
        <v>0.34820684165028248</v>
      </c>
      <c r="D88" s="141">
        <f>[1]!StB08RechteckMN_test($E$3,$E$4,$E$5,$E$6,$E$8,$I$2,$I$3,$I$4,$I$5,$I$6,$I$7,$I$8,$I$9,$M$2,$M$3,$M$4,$M$5,$M$6,$C$66,$C$67,-16,P$67)</f>
        <v>-56577.785411915538</v>
      </c>
      <c r="E88" s="141">
        <f t="shared" ref="E88:AJ88" si="83">[1]!StB08RechteckMN_test($E$3,$E$4,$E$5,$E$6,$E$8,$I$2,$I$3,$I$4,$I$5,$I$6,$I$7,$I$8,$I$9,$M$2,$M$3,$M$4,$M$5,$M$6,$C$66,$C$67,-16,E$68)</f>
        <v>-0.57997135416666656</v>
      </c>
      <c r="F88" s="141">
        <f t="shared" si="83"/>
        <v>-0.59840188003803674</v>
      </c>
      <c r="G88" s="141">
        <f t="shared" si="83"/>
        <v>-0.6174861041572185</v>
      </c>
      <c r="H88" s="141">
        <f t="shared" si="83"/>
        <v>-0.63729165048088199</v>
      </c>
      <c r="I88" s="141">
        <f t="shared" si="83"/>
        <v>-0.65789580353093624</v>
      </c>
      <c r="J88" s="141">
        <f t="shared" si="83"/>
        <v>-0.679387297388091</v>
      </c>
      <c r="K88" s="141">
        <f t="shared" si="83"/>
        <v>-0.70186851753008894</v>
      </c>
      <c r="L88" s="141">
        <f t="shared" si="83"/>
        <v>-0.7254582311111113</v>
      </c>
      <c r="M88" s="141">
        <f t="shared" si="83"/>
        <v>-0.75029499981103565</v>
      </c>
      <c r="N88" s="141">
        <f t="shared" si="83"/>
        <v>-0.77654148299319736</v>
      </c>
      <c r="O88" s="141">
        <f t="shared" si="83"/>
        <v>-0.80438991445062891</v>
      </c>
      <c r="P88" s="141">
        <f t="shared" si="83"/>
        <v>-0.83406914393694009</v>
      </c>
      <c r="Q88" s="141">
        <f t="shared" si="83"/>
        <v>-0.86585379115646288</v>
      </c>
      <c r="R88" s="141">
        <f t="shared" si="83"/>
        <v>-0.90007629048812554</v>
      </c>
      <c r="S88" s="141">
        <f t="shared" si="83"/>
        <v>-0.93714295061728425</v>
      </c>
      <c r="T88" s="141">
        <f t="shared" si="83"/>
        <v>-0.97755568227290957</v>
      </c>
      <c r="U88" s="141">
        <f t="shared" si="83"/>
        <v>-1.0219418738662136</v>
      </c>
      <c r="V88" s="141">
        <f t="shared" si="83"/>
        <v>-1.0710962173847325</v>
      </c>
      <c r="W88" s="141">
        <f t="shared" si="83"/>
        <v>-1.126040459669583</v>
      </c>
      <c r="X88" s="141">
        <f t="shared" si="83"/>
        <v>-1.1881107312053036</v>
      </c>
      <c r="Y88" s="141">
        <f t="shared" si="83"/>
        <v>-1.2590885393046118</v>
      </c>
      <c r="Z88" s="141">
        <f t="shared" si="83"/>
        <v>-1.278491309306703</v>
      </c>
      <c r="AA88" s="141">
        <f t="shared" si="83"/>
        <v>-1.2986439274376431</v>
      </c>
      <c r="AB88" s="141">
        <f t="shared" si="83"/>
        <v>-1.3195963835726898</v>
      </c>
      <c r="AC88" s="141">
        <f t="shared" si="83"/>
        <v>-1.3414032121212138</v>
      </c>
      <c r="AD88" s="141">
        <f t="shared" si="83"/>
        <v>-1.3641240204608991</v>
      </c>
      <c r="AE88" s="141">
        <f t="shared" si="83"/>
        <v>-1.3878240928625436</v>
      </c>
      <c r="AF88" s="141">
        <f t="shared" si="83"/>
        <v>-1.412575082794095</v>
      </c>
      <c r="AG88" s="141">
        <f t="shared" si="83"/>
        <v>-1.4384558090702966</v>
      </c>
      <c r="AH88" s="141">
        <f t="shared" si="83"/>
        <v>-1.465553174486891</v>
      </c>
      <c r="AI88" s="141">
        <f t="shared" si="83"/>
        <v>-1.4939632295023295</v>
      </c>
      <c r="AJ88" s="141">
        <f t="shared" si="83"/>
        <v>-1.5237924084084105</v>
      </c>
      <c r="AK88" s="141">
        <f t="shared" ref="AK88:BP88" si="84">[1]!StB08RechteckMN_test($E$3,$E$4,$E$5,$E$6,$E$8,$I$2,$I$3,$I$4,$I$5,$I$6,$I$7,$I$8,$I$9,$M$2,$M$3,$M$4,$M$5,$M$6,$C$66,$C$67,-16,AK$68)</f>
        <v>-1.5551589715293552</v>
      </c>
      <c r="AL88" s="141">
        <f t="shared" si="84"/>
        <v>-1.5881946946550074</v>
      </c>
      <c r="AM88" s="141">
        <f t="shared" si="84"/>
        <v>-1.6230468566093132</v>
      </c>
      <c r="AN88" s="141">
        <f t="shared" si="84"/>
        <v>-1.6598805881948768</v>
      </c>
      <c r="AO88" s="141">
        <f t="shared" si="84"/>
        <v>-1.6988816615646292</v>
      </c>
      <c r="AP88" s="141">
        <f t="shared" si="84"/>
        <v>-1.7402598194718786</v>
      </c>
      <c r="AQ88" s="141">
        <f t="shared" si="84"/>
        <v>-1.7842527703703743</v>
      </c>
      <c r="AR88" s="141">
        <f t="shared" si="84"/>
        <v>-1.8311310100867977</v>
      </c>
      <c r="AS88" s="141">
        <f t="shared" si="84"/>
        <v>-1.881203676708852</v>
      </c>
      <c r="AT88" s="141">
        <f t="shared" si="84"/>
        <v>-3.9199136717392915</v>
      </c>
      <c r="AU88" s="141">
        <f t="shared" si="84"/>
        <v>8.8665116039793883</v>
      </c>
      <c r="AV88" s="141">
        <f t="shared" si="84"/>
        <v>1.7202787619530115</v>
      </c>
      <c r="AW88" s="141">
        <f t="shared" si="84"/>
        <v>0.86182681308570319</v>
      </c>
      <c r="AX88" s="141">
        <f t="shared" si="84"/>
        <v>0.53746625940400972</v>
      </c>
      <c r="AY88" s="141">
        <f t="shared" si="84"/>
        <v>0.37122177343434731</v>
      </c>
      <c r="AZ88" s="141">
        <f t="shared" si="84"/>
        <v>0.27226083642953014</v>
      </c>
      <c r="BA88" s="141">
        <f t="shared" si="84"/>
        <v>0.20779755647609655</v>
      </c>
      <c r="BB88" s="141">
        <f t="shared" si="84"/>
        <v>0.16318161896641092</v>
      </c>
      <c r="BC88" s="141">
        <f t="shared" si="84"/>
        <v>0.13091970282414425</v>
      </c>
      <c r="BD88" s="141">
        <f t="shared" si="84"/>
        <v>0.10680205440061781</v>
      </c>
      <c r="BE88" s="141">
        <f t="shared" si="84"/>
        <v>9.2308459959985628E-2</v>
      </c>
      <c r="BF88" s="141">
        <f t="shared" si="84"/>
        <v>8.4549501994086854E-2</v>
      </c>
      <c r="BG88" s="141">
        <f t="shared" si="84"/>
        <v>7.7519661719109553E-2</v>
      </c>
      <c r="BH88" s="141">
        <f t="shared" si="84"/>
        <v>7.1124339628144531E-2</v>
      </c>
      <c r="BI88" s="141">
        <f t="shared" si="84"/>
        <v>6.5284314561316448E-2</v>
      </c>
      <c r="BJ88" s="141">
        <f t="shared" si="84"/>
        <v>5.9932782803431207E-2</v>
      </c>
      <c r="BK88" s="141">
        <f t="shared" si="84"/>
        <v>5.5013049034067354E-2</v>
      </c>
      <c r="BL88" s="141">
        <f t="shared" si="84"/>
        <v>5.047670893120855E-2</v>
      </c>
      <c r="BM88" s="141">
        <f t="shared" si="84"/>
        <v>4.6282206421445683E-2</v>
      </c>
      <c r="BN88" s="141">
        <f t="shared" si="84"/>
        <v>4.2393679153087518E-2</v>
      </c>
      <c r="BO88" s="141">
        <f t="shared" si="84"/>
        <v>3.8780027687727696E-2</v>
      </c>
      <c r="BP88" s="141">
        <f t="shared" si="84"/>
        <v>3.5414159793817408E-2</v>
      </c>
      <c r="BQ88" s="141">
        <f t="shared" ref="BQ88:DA88" si="85">[1]!StB08RechteckMN_test($E$3,$E$4,$E$5,$E$6,$E$8,$I$2,$I$3,$I$4,$I$5,$I$6,$I$7,$I$8,$I$9,$M$2,$M$3,$M$4,$M$5,$M$6,$C$66,$C$67,-16,BQ$68)</f>
        <v>3.2272372864318499E-2</v>
      </c>
      <c r="BR88" s="141">
        <f t="shared" si="85"/>
        <v>2.933384609087963E-2</v>
      </c>
      <c r="BS88" s="141">
        <f t="shared" si="85"/>
        <v>2.6580220456486094E-2</v>
      </c>
      <c r="BT88" s="141">
        <f t="shared" si="85"/>
        <v>2.3995249451672064E-2</v>
      </c>
      <c r="BU88" s="141">
        <f t="shared" si="85"/>
        <v>2.1564507097714604E-2</v>
      </c>
      <c r="BV88" s="141">
        <f t="shared" si="85"/>
        <v>1.9275142675685513E-2</v>
      </c>
      <c r="BW88" s="141">
        <f t="shared" si="85"/>
        <v>1.7115673731128066E-2</v>
      </c>
      <c r="BX88" s="141">
        <f t="shared" si="85"/>
        <v>9.5858634868084026E-3</v>
      </c>
      <c r="BY88" s="141">
        <f t="shared" si="85"/>
        <v>3.4718377418715848E-3</v>
      </c>
      <c r="BZ88" s="141">
        <f t="shared" si="85"/>
        <v>-1.5767656863873705E-3</v>
      </c>
      <c r="CA88" s="141">
        <f t="shared" si="85"/>
        <v>-5.8046044799032982E-3</v>
      </c>
      <c r="CB88" s="141">
        <f t="shared" si="85"/>
        <v>-9.3874562658853265E-3</v>
      </c>
      <c r="CC88" s="141">
        <f t="shared" si="85"/>
        <v>-1.2454722247408245E-2</v>
      </c>
      <c r="CD88" s="141">
        <f t="shared" si="85"/>
        <v>-1.5103688731441536E-2</v>
      </c>
      <c r="CE88" s="141">
        <f t="shared" si="85"/>
        <v>-1.7408853459165288E-2</v>
      </c>
      <c r="CF88" s="141">
        <f t="shared" si="85"/>
        <v>-1.9428193760135031E-2</v>
      </c>
      <c r="CG88" s="141">
        <f t="shared" si="85"/>
        <v>-2.1207481963544314E-2</v>
      </c>
      <c r="CH88" s="141">
        <f t="shared" si="85"/>
        <v>-2.2783320490664262E-2</v>
      </c>
      <c r="CI88" s="141">
        <f t="shared" si="85"/>
        <v>-2.4185317528321457E-2</v>
      </c>
      <c r="CJ88" s="141">
        <f t="shared" si="85"/>
        <v>-2.543767354520898E-2</v>
      </c>
      <c r="CK88" s="141">
        <f t="shared" si="85"/>
        <v>-2.6560356199959494E-2</v>
      </c>
      <c r="CL88" s="141">
        <f t="shared" si="85"/>
        <v>-2.7569982711843809E-2</v>
      </c>
      <c r="CM88" s="141">
        <f t="shared" si="85"/>
        <v>-2.8480491054051028E-2</v>
      </c>
      <c r="CN88" s="141">
        <f t="shared" si="85"/>
        <v>-2.9303656516577868E-2</v>
      </c>
      <c r="CO88" s="141">
        <f t="shared" si="85"/>
        <v>-3.1884020947909923E-2</v>
      </c>
      <c r="CP88" s="141">
        <f t="shared" si="85"/>
        <v>-3.6321878289167955E-2</v>
      </c>
      <c r="CQ88" s="141">
        <f t="shared" si="85"/>
        <v>-4.0810717498726466E-2</v>
      </c>
      <c r="CR88" s="141">
        <f t="shared" si="85"/>
        <v>-4.5266449896339281E-2</v>
      </c>
      <c r="CS88" s="141">
        <f t="shared" si="85"/>
        <v>-4.9127046092130193E-2</v>
      </c>
      <c r="CT88" s="141">
        <f t="shared" si="85"/>
        <v>-5.2142045454545448E-2</v>
      </c>
      <c r="CU88" s="141">
        <f t="shared" si="85"/>
        <v>-5.2142045454545448E-2</v>
      </c>
      <c r="CV88" s="141">
        <f t="shared" si="85"/>
        <v>-5.2142045454545448E-2</v>
      </c>
      <c r="CW88" s="141">
        <f t="shared" si="85"/>
        <v>-5.2142045454545448E-2</v>
      </c>
      <c r="CX88" s="141">
        <f t="shared" si="85"/>
        <v>-5.2142045454545448E-2</v>
      </c>
      <c r="CY88" s="141">
        <f t="shared" si="85"/>
        <v>-5.2142045454545448E-2</v>
      </c>
      <c r="CZ88" s="141">
        <f t="shared" si="85"/>
        <v>-5.2142045454545448E-2</v>
      </c>
      <c r="DA88" s="141">
        <f t="shared" si="85"/>
        <v>-5.2142045454545448E-2</v>
      </c>
    </row>
    <row r="89" spans="1:105" x14ac:dyDescent="0.2">
      <c r="A89" s="92" t="s">
        <v>426</v>
      </c>
      <c r="B89" s="92" t="s">
        <v>86</v>
      </c>
      <c r="C89" s="141">
        <f>[1]!StB08RechteckMN_test($E$3,$E$4,$E$5,$E$6,$E$8,$I$2,$I$3,$I$4,$I$5,$I$6,$I$7,$I$8,$I$9,$M$2,$M$3,$M$4,$M$5,$M$6,$C$66,$C$67,-17,O$67)</f>
        <v>8.5566171827286194E-2</v>
      </c>
      <c r="D89" s="141">
        <f>[1]!StB08RechteckMN_test($E$3,$E$4,$E$5,$E$6,$E$8,$I$2,$I$3,$I$4,$I$5,$I$6,$I$7,$I$8,$I$9,$M$2,$M$3,$M$4,$M$5,$M$6,$C$66,$C$67,-17,P$67)</f>
        <v>6.6182064451688213E-2</v>
      </c>
      <c r="E89" s="141">
        <f t="shared" ref="E89:AJ89" si="86">[1]!StB08RechteckMN_test($E$3,$E$4,$E$5,$E$6,$E$8,$I$2,$I$3,$I$4,$I$5,$I$6,$I$7,$I$8,$I$9,$M$2,$M$3,$M$4,$M$5,$M$6,$C$66,$C$67,-17,E$68)</f>
        <v>2.2727272727272725E-4</v>
      </c>
      <c r="F89" s="141">
        <f t="shared" si="86"/>
        <v>7.3531487425273212E-3</v>
      </c>
      <c r="G89" s="141">
        <f t="shared" si="86"/>
        <v>1.4287452875695751E-2</v>
      </c>
      <c r="H89" s="141">
        <f t="shared" si="86"/>
        <v>2.1018040166975924E-2</v>
      </c>
      <c r="I89" s="141">
        <f t="shared" si="86"/>
        <v>2.7532765656565678E-2</v>
      </c>
      <c r="J89" s="141">
        <f t="shared" si="86"/>
        <v>3.3819484384662993E-2</v>
      </c>
      <c r="K89" s="141">
        <f t="shared" si="86"/>
        <v>3.9866051391465714E-2</v>
      </c>
      <c r="L89" s="141">
        <f t="shared" si="86"/>
        <v>4.5660321717171742E-2</v>
      </c>
      <c r="M89" s="141">
        <f t="shared" si="86"/>
        <v>5.1190150401979023E-2</v>
      </c>
      <c r="N89" s="141">
        <f t="shared" si="86"/>
        <v>5.6443392486085368E-2</v>
      </c>
      <c r="O89" s="141">
        <f t="shared" si="86"/>
        <v>6.140790300968877E-2</v>
      </c>
      <c r="P89" s="141">
        <f t="shared" si="86"/>
        <v>6.6071537012987069E-2</v>
      </c>
      <c r="Q89" s="141">
        <f t="shared" si="86"/>
        <v>6.9807199440321599E-2</v>
      </c>
      <c r="R89" s="141">
        <f t="shared" si="86"/>
        <v>7.1278783421888994E-2</v>
      </c>
      <c r="S89" s="141">
        <f t="shared" si="86"/>
        <v>7.2518312758136916E-2</v>
      </c>
      <c r="T89" s="141">
        <f t="shared" si="86"/>
        <v>7.3525236645794689E-2</v>
      </c>
      <c r="U89" s="141">
        <f t="shared" si="86"/>
        <v>7.4299004281591433E-2</v>
      </c>
      <c r="V89" s="141">
        <f t="shared" si="86"/>
        <v>7.4839064862256374E-2</v>
      </c>
      <c r="W89" s="141">
        <f t="shared" si="86"/>
        <v>7.514486758451866E-2</v>
      </c>
      <c r="X89" s="141">
        <f t="shared" si="86"/>
        <v>7.5215861645107532E-2</v>
      </c>
      <c r="Y89" s="141">
        <f t="shared" si="86"/>
        <v>7.5051496240752177E-2</v>
      </c>
      <c r="Z89" s="141">
        <f t="shared" si="86"/>
        <v>7.4973565426007541E-2</v>
      </c>
      <c r="AA89" s="141">
        <f t="shared" si="86"/>
        <v>7.4880881613198322E-2</v>
      </c>
      <c r="AB89" s="141">
        <f t="shared" si="86"/>
        <v>7.4773436196023432E-2</v>
      </c>
      <c r="AC89" s="141">
        <f t="shared" si="86"/>
        <v>7.4651220568181811E-2</v>
      </c>
      <c r="AD89" s="141">
        <f t="shared" si="86"/>
        <v>7.4514226123372315E-2</v>
      </c>
      <c r="AE89" s="141">
        <f t="shared" si="86"/>
        <v>7.4362444255293855E-2</v>
      </c>
      <c r="AF89" s="141">
        <f t="shared" si="86"/>
        <v>7.4195866357645301E-2</v>
      </c>
      <c r="AG89" s="141">
        <f t="shared" si="86"/>
        <v>7.4014483824125593E-2</v>
      </c>
      <c r="AH89" s="141">
        <f t="shared" si="86"/>
        <v>7.3818288048433614E-2</v>
      </c>
      <c r="AI89" s="141">
        <f t="shared" si="86"/>
        <v>7.3607270424268192E-2</v>
      </c>
      <c r="AJ89" s="141">
        <f t="shared" si="86"/>
        <v>7.338142234532824E-2</v>
      </c>
      <c r="AK89" s="141">
        <f t="shared" ref="AK89:BP89" si="87">[1]!StB08RechteckMN_test($E$3,$E$4,$E$5,$E$6,$E$8,$I$2,$I$3,$I$4,$I$5,$I$6,$I$7,$I$8,$I$9,$M$2,$M$3,$M$4,$M$5,$M$6,$C$66,$C$67,-17,AK$68)</f>
        <v>7.3140735205312765E-2</v>
      </c>
      <c r="AL89" s="141">
        <f t="shared" si="87"/>
        <v>7.2885200397920499E-2</v>
      </c>
      <c r="AM89" s="141">
        <f t="shared" si="87"/>
        <v>7.2614809316850437E-2</v>
      </c>
      <c r="AN89" s="141">
        <f t="shared" si="87"/>
        <v>7.2329553355801462E-2</v>
      </c>
      <c r="AO89" s="141">
        <f t="shared" si="87"/>
        <v>7.2029423908472473E-2</v>
      </c>
      <c r="AP89" s="141">
        <f t="shared" si="87"/>
        <v>7.1714412368562325E-2</v>
      </c>
      <c r="AQ89" s="141">
        <f t="shared" si="87"/>
        <v>7.1384510129769874E-2</v>
      </c>
      <c r="AR89" s="141">
        <f t="shared" si="87"/>
        <v>7.1039708585794142E-2</v>
      </c>
      <c r="AS89" s="141">
        <f t="shared" si="87"/>
        <v>7.0679999130333335E-2</v>
      </c>
      <c r="AT89" s="141">
        <f t="shared" si="87"/>
        <v>6.6495420228242216E-2</v>
      </c>
      <c r="AU89" s="141">
        <f t="shared" si="87"/>
        <v>6.6504265220108924E-2</v>
      </c>
      <c r="AV89" s="141">
        <f t="shared" si="87"/>
        <v>6.9142372282982062E-2</v>
      </c>
      <c r="AW89" s="141">
        <f t="shared" si="87"/>
        <v>7.3405818905775466E-2</v>
      </c>
      <c r="AX89" s="141">
        <f t="shared" si="87"/>
        <v>7.8639525314315284E-2</v>
      </c>
      <c r="AY89" s="141">
        <f t="shared" si="87"/>
        <v>8.4410935951204483E-2</v>
      </c>
      <c r="AZ89" s="141">
        <f t="shared" si="87"/>
        <v>9.0432355419395385E-2</v>
      </c>
      <c r="BA89" s="141">
        <f t="shared" si="87"/>
        <v>9.6512007150625662E-2</v>
      </c>
      <c r="BB89" s="141">
        <f t="shared" si="87"/>
        <v>0.10252252527014923</v>
      </c>
      <c r="BC89" s="141">
        <f t="shared" si="87"/>
        <v>0.10838028866598159</v>
      </c>
      <c r="BD89" s="141">
        <f t="shared" si="87"/>
        <v>0.11403164496268949</v>
      </c>
      <c r="BE89" s="141">
        <f t="shared" si="87"/>
        <v>0.11408547502779365</v>
      </c>
      <c r="BF89" s="141">
        <f t="shared" si="87"/>
        <v>0.10795611021024645</v>
      </c>
      <c r="BG89" s="141">
        <f t="shared" si="87"/>
        <v>0.10229975648303717</v>
      </c>
      <c r="BH89" s="141">
        <f t="shared" si="87"/>
        <v>9.7063523900219703E-2</v>
      </c>
      <c r="BI89" s="141">
        <f t="shared" si="87"/>
        <v>9.22887245870294E-2</v>
      </c>
      <c r="BJ89" s="141">
        <f t="shared" si="87"/>
        <v>8.7959881843681018E-2</v>
      </c>
      <c r="BK89" s="141">
        <f t="shared" si="87"/>
        <v>8.3967321191978639E-2</v>
      </c>
      <c r="BL89" s="141">
        <f t="shared" si="87"/>
        <v>8.0275808938885571E-2</v>
      </c>
      <c r="BM89" s="141">
        <f t="shared" si="87"/>
        <v>7.6854840571663197E-2</v>
      </c>
      <c r="BN89" s="141">
        <f t="shared" si="87"/>
        <v>7.3677876584343119E-2</v>
      </c>
      <c r="BO89" s="141">
        <f t="shared" si="87"/>
        <v>7.0721721297599099E-2</v>
      </c>
      <c r="BP89" s="141">
        <f t="shared" si="87"/>
        <v>6.7966014495581956E-2</v>
      </c>
      <c r="BQ89" s="141">
        <f t="shared" ref="BQ89:DA89" si="88">[1]!StB08RechteckMN_test($E$3,$E$4,$E$5,$E$6,$E$8,$I$2,$I$3,$I$4,$I$5,$I$6,$I$7,$I$8,$I$9,$M$2,$M$3,$M$4,$M$5,$M$6,$C$66,$C$67,-17,BQ$68)</f>
        <v>6.5392812749276594E-2</v>
      </c>
      <c r="BR89" s="141">
        <f t="shared" si="88"/>
        <v>6.2986242547724391E-2</v>
      </c>
      <c r="BS89" s="141">
        <f t="shared" si="88"/>
        <v>6.073221130872012E-2</v>
      </c>
      <c r="BT89" s="141">
        <f t="shared" si="88"/>
        <v>5.8618165337447486E-2</v>
      </c>
      <c r="BU89" s="141">
        <f t="shared" si="88"/>
        <v>5.663288609348234E-2</v>
      </c>
      <c r="BV89" s="141">
        <f t="shared" si="88"/>
        <v>5.4766317892859656E-2</v>
      </c>
      <c r="BW89" s="141">
        <f t="shared" si="88"/>
        <v>5.300942154287544E-2</v>
      </c>
      <c r="BX89" s="141">
        <f t="shared" si="88"/>
        <v>4.6926834384202691E-2</v>
      </c>
      <c r="BY89" s="141">
        <f t="shared" si="88"/>
        <v>4.2068764127241261E-2</v>
      </c>
      <c r="BZ89" s="141">
        <f t="shared" si="88"/>
        <v>3.81487281812177E-2</v>
      </c>
      <c r="CA89" s="141">
        <f t="shared" si="88"/>
        <v>3.4962958766531452E-2</v>
      </c>
      <c r="CB89" s="141">
        <f t="shared" si="88"/>
        <v>3.2362610078960477E-2</v>
      </c>
      <c r="CC89" s="141">
        <f t="shared" si="88"/>
        <v>3.0236450876185633E-2</v>
      </c>
      <c r="CD89" s="141">
        <f t="shared" si="88"/>
        <v>2.8499705566189464E-2</v>
      </c>
      <c r="CE89" s="141">
        <f t="shared" si="88"/>
        <v>2.7086640633229572E-2</v>
      </c>
      <c r="CF89" s="141">
        <f t="shared" si="88"/>
        <v>2.5945508974923127E-2</v>
      </c>
      <c r="CG89" s="141">
        <f t="shared" si="88"/>
        <v>2.5035022085294515E-2</v>
      </c>
      <c r="CH89" s="141">
        <f t="shared" si="88"/>
        <v>2.432183771491353E-2</v>
      </c>
      <c r="CI89" s="141">
        <f t="shared" si="88"/>
        <v>2.3778737883122042E-2</v>
      </c>
      <c r="CJ89" s="141">
        <f t="shared" si="88"/>
        <v>2.3383285793923E-2</v>
      </c>
      <c r="CK89" s="141">
        <f t="shared" si="88"/>
        <v>2.311682107023906E-2</v>
      </c>
      <c r="CL89" s="141">
        <f t="shared" si="88"/>
        <v>2.2963697957604751E-2</v>
      </c>
      <c r="CM89" s="141">
        <f t="shared" si="88"/>
        <v>2.2910700652024329E-2</v>
      </c>
      <c r="CN89" s="141">
        <f t="shared" si="88"/>
        <v>2.2946589528034817E-2</v>
      </c>
      <c r="CO89" s="141">
        <f t="shared" si="88"/>
        <v>2.1784505114543082E-2</v>
      </c>
      <c r="CP89" s="141">
        <f t="shared" si="88"/>
        <v>1.8868547595184117E-2</v>
      </c>
      <c r="CQ89" s="141">
        <f t="shared" si="88"/>
        <v>1.5175383155631801E-2</v>
      </c>
      <c r="CR89" s="141">
        <f t="shared" si="88"/>
        <v>1.0733294110751183E-2</v>
      </c>
      <c r="CS89" s="141">
        <f t="shared" si="88"/>
        <v>4.4235570894714214E-3</v>
      </c>
      <c r="CT89" s="141">
        <f t="shared" si="88"/>
        <v>-1.9210227272727254E-3</v>
      </c>
      <c r="CU89" s="141">
        <f t="shared" si="88"/>
        <v>-1.6912337662337643E-3</v>
      </c>
      <c r="CV89" s="141">
        <f t="shared" si="88"/>
        <v>-1.4614448051948063E-3</v>
      </c>
      <c r="CW89" s="141">
        <f t="shared" si="88"/>
        <v>-1.2316558441558452E-3</v>
      </c>
      <c r="CX89" s="141">
        <f t="shared" si="88"/>
        <v>-1.0018668831168838E-3</v>
      </c>
      <c r="CY89" s="141">
        <f t="shared" si="88"/>
        <v>-7.7207792207792251E-4</v>
      </c>
      <c r="CZ89" s="141">
        <f t="shared" si="88"/>
        <v>-5.4228896103896123E-4</v>
      </c>
      <c r="DA89" s="141">
        <f t="shared" si="88"/>
        <v>-3.1249999999999995E-4</v>
      </c>
    </row>
    <row r="90" spans="1:105" x14ac:dyDescent="0.2">
      <c r="A90" s="92" t="s">
        <v>430</v>
      </c>
      <c r="B90" s="92" t="s">
        <v>86</v>
      </c>
      <c r="C90" s="141">
        <f>[1]!StB08RechteckMN_test($E$3,$E$4,$E$5,$E$6,$E$8,$I$2,$I$3,$I$4,$I$5,$I$6,$I$7,$I$8,$I$9,$M$2,$M$3,$M$4,$M$5,$M$6,$C$66,$C$67,-18,O$67)</f>
        <v>6.5490217940071691E-2</v>
      </c>
      <c r="D90" s="141">
        <f>[1]!StB08RechteckMN_test($E$3,$E$4,$E$5,$E$6,$E$8,$I$2,$I$3,$I$4,$I$5,$I$6,$I$7,$I$8,$I$9,$M$2,$M$3,$M$4,$M$5,$M$6,$C$66,$C$67,-18,P$67)</f>
        <v>-7.6329549273064587E-7</v>
      </c>
      <c r="E90" s="141">
        <f t="shared" ref="E90:AJ90" si="89">[1]!StB08RechteckMN_test($E$3,$E$4,$E$5,$E$6,$E$8,$I$2,$I$3,$I$4,$I$5,$I$6,$I$7,$I$8,$I$9,$M$2,$M$3,$M$4,$M$5,$M$6,$C$66,$C$67,-18,E$68)</f>
        <v>-0.13738636363636361</v>
      </c>
      <c r="F90" s="141">
        <f t="shared" si="89"/>
        <v>-0.13309086702484021</v>
      </c>
      <c r="G90" s="141">
        <f t="shared" si="89"/>
        <v>-0.12879130527210886</v>
      </c>
      <c r="H90" s="141">
        <f t="shared" si="89"/>
        <v>-0.12448809891001854</v>
      </c>
      <c r="I90" s="141">
        <f t="shared" si="89"/>
        <v>-0.12018166847041845</v>
      </c>
      <c r="J90" s="141">
        <f t="shared" si="89"/>
        <v>-0.11587243448515767</v>
      </c>
      <c r="K90" s="141">
        <f t="shared" si="89"/>
        <v>-0.1115608174860853</v>
      </c>
      <c r="L90" s="141">
        <f t="shared" si="89"/>
        <v>-0.1072472380050505</v>
      </c>
      <c r="M90" s="141">
        <f t="shared" si="89"/>
        <v>-0.10293211657390226</v>
      </c>
      <c r="N90" s="141">
        <f t="shared" si="89"/>
        <v>-9.861587372448978E-2</v>
      </c>
      <c r="O90" s="141">
        <f t="shared" si="89"/>
        <v>-9.4298929988662086E-2</v>
      </c>
      <c r="P90" s="141">
        <f t="shared" si="89"/>
        <v>-8.9981705898268372E-2</v>
      </c>
      <c r="Q90" s="141">
        <f t="shared" si="89"/>
        <v>-8.5664621985157646E-2</v>
      </c>
      <c r="R90" s="141">
        <f t="shared" si="89"/>
        <v>-8.1348098781179087E-2</v>
      </c>
      <c r="S90" s="141">
        <f t="shared" si="89"/>
        <v>-7.7032556818181774E-2</v>
      </c>
      <c r="T90" s="141">
        <f t="shared" si="89"/>
        <v>-7.2718416628014787E-2</v>
      </c>
      <c r="U90" s="141">
        <f t="shared" si="89"/>
        <v>-6.8406098742527247E-2</v>
      </c>
      <c r="V90" s="141">
        <f t="shared" si="89"/>
        <v>-6.4096023693568274E-2</v>
      </c>
      <c r="W90" s="141">
        <f t="shared" si="89"/>
        <v>-5.978861201298695E-2</v>
      </c>
      <c r="X90" s="141">
        <f t="shared" si="89"/>
        <v>-5.5484284232632373E-2</v>
      </c>
      <c r="Y90" s="141">
        <f t="shared" si="89"/>
        <v>-5.1183460884353667E-2</v>
      </c>
      <c r="Z90" s="141">
        <f t="shared" si="89"/>
        <v>-5.0108851895871914E-2</v>
      </c>
      <c r="AA90" s="141">
        <f t="shared" si="89"/>
        <v>-4.9034494788445605E-2</v>
      </c>
      <c r="AB90" s="141">
        <f t="shared" si="89"/>
        <v>-4.79603961328849E-2</v>
      </c>
      <c r="AC90" s="141">
        <f t="shared" si="89"/>
        <v>-4.688656249999993E-2</v>
      </c>
      <c r="AD90" s="141">
        <f t="shared" si="89"/>
        <v>-4.5813000460600828E-2</v>
      </c>
      <c r="AE90" s="141">
        <f t="shared" si="89"/>
        <v>-4.4739716585497753E-2</v>
      </c>
      <c r="AF90" s="141">
        <f t="shared" si="89"/>
        <v>-4.3666717445500852E-2</v>
      </c>
      <c r="AG90" s="141">
        <f t="shared" si="89"/>
        <v>-4.2594009611420243E-2</v>
      </c>
      <c r="AH90" s="141">
        <f t="shared" si="89"/>
        <v>-4.1521599654066085E-2</v>
      </c>
      <c r="AI90" s="141">
        <f t="shared" si="89"/>
        <v>-4.0449494144248525E-2</v>
      </c>
      <c r="AJ90" s="141">
        <f t="shared" si="89"/>
        <v>-3.9377699652777695E-2</v>
      </c>
      <c r="AK90" s="141">
        <f t="shared" ref="AK90:BP90" si="90">[1]!StB08RechteckMN_test($E$3,$E$4,$E$5,$E$6,$E$8,$I$2,$I$3,$I$4,$I$5,$I$6,$I$7,$I$8,$I$9,$M$2,$M$3,$M$4,$M$5,$M$6,$C$66,$C$67,-18,AK$68)</f>
        <v>-3.8306222750463734E-2</v>
      </c>
      <c r="AL90" s="141">
        <f t="shared" si="90"/>
        <v>-3.7235070008116794E-2</v>
      </c>
      <c r="AM90" s="141">
        <f t="shared" si="90"/>
        <v>-3.6164247996547015E-2</v>
      </c>
      <c r="AN90" s="141">
        <f t="shared" si="90"/>
        <v>-3.5093763286564529E-2</v>
      </c>
      <c r="AO90" s="141">
        <f t="shared" si="90"/>
        <v>-3.402362244897951E-2</v>
      </c>
      <c r="AP90" s="141">
        <f t="shared" si="90"/>
        <v>-3.2953832054602054E-2</v>
      </c>
      <c r="AQ90" s="141">
        <f t="shared" si="90"/>
        <v>-3.188439867424233E-2</v>
      </c>
      <c r="AR90" s="141">
        <f t="shared" si="90"/>
        <v>-3.0815328878710482E-2</v>
      </c>
      <c r="AS90" s="141">
        <f t="shared" si="90"/>
        <v>-2.974662923881518E-2</v>
      </c>
      <c r="AT90" s="141">
        <f t="shared" si="90"/>
        <v>-1.2275460801163009E-2</v>
      </c>
      <c r="AU90" s="141">
        <f t="shared" si="90"/>
        <v>4.6712008656413003E-3</v>
      </c>
      <c r="AV90" s="141">
        <f t="shared" si="90"/>
        <v>2.0774293744793816E-2</v>
      </c>
      <c r="AW90" s="141">
        <f t="shared" si="90"/>
        <v>3.5893400766242194E-2</v>
      </c>
      <c r="AX90" s="141">
        <f t="shared" si="90"/>
        <v>4.9986962136795224E-2</v>
      </c>
      <c r="AY90" s="141">
        <f t="shared" si="90"/>
        <v>6.3067623233023562E-2</v>
      </c>
      <c r="AZ90" s="141">
        <f t="shared" si="90"/>
        <v>7.5176805120981488E-2</v>
      </c>
      <c r="BA90" s="141">
        <f t="shared" si="90"/>
        <v>8.6370073432439118E-2</v>
      </c>
      <c r="BB90" s="141">
        <f t="shared" si="90"/>
        <v>9.6708703720244274E-2</v>
      </c>
      <c r="BC90" s="141">
        <f t="shared" si="90"/>
        <v>0.10625486152912865</v>
      </c>
      <c r="BD90" s="141">
        <f t="shared" si="90"/>
        <v>0.11506891572933856</v>
      </c>
      <c r="BE90" s="141">
        <f t="shared" si="90"/>
        <v>0.11784989663210939</v>
      </c>
      <c r="BF90" s="141">
        <f t="shared" si="90"/>
        <v>0.11408411935018632</v>
      </c>
      <c r="BG90" s="141">
        <f t="shared" si="90"/>
        <v>0.11048579114003677</v>
      </c>
      <c r="BH90" s="141">
        <f t="shared" si="90"/>
        <v>0.10704914727800403</v>
      </c>
      <c r="BI90" s="141">
        <f t="shared" si="90"/>
        <v>0.10376748265143011</v>
      </c>
      <c r="BJ90" s="141">
        <f t="shared" si="90"/>
        <v>0.10063360673716429</v>
      </c>
      <c r="BK90" s="141">
        <f t="shared" si="90"/>
        <v>9.7640151116403048E-2</v>
      </c>
      <c r="BL90" s="141">
        <f t="shared" si="90"/>
        <v>9.4779775132332919E-2</v>
      </c>
      <c r="BM90" s="141">
        <f t="shared" si="90"/>
        <v>9.2045300921859807E-2</v>
      </c>
      <c r="BN90" s="141">
        <f t="shared" si="90"/>
        <v>8.9429799382549163E-2</v>
      </c>
      <c r="BO90" s="141">
        <f t="shared" si="90"/>
        <v>8.6926642063501341E-2</v>
      </c>
      <c r="BP90" s="141">
        <f t="shared" si="90"/>
        <v>8.4529529460184813E-2</v>
      </c>
      <c r="BQ90" s="141">
        <f t="shared" ref="BQ90:DA90" si="91">[1]!StB08RechteckMN_test($E$3,$E$4,$E$5,$E$6,$E$8,$I$2,$I$3,$I$4,$I$5,$I$6,$I$7,$I$8,$I$9,$M$2,$M$3,$M$4,$M$5,$M$6,$C$66,$C$67,-18,BQ$68)</f>
        <v>8.2232503074303173E-2</v>
      </c>
      <c r="BR90" s="141">
        <f t="shared" si="91"/>
        <v>8.0029946426075735E-2</v>
      </c>
      <c r="BS90" s="141">
        <f t="shared" si="91"/>
        <v>7.7916578681396995E-2</v>
      </c>
      <c r="BT90" s="141">
        <f t="shared" si="91"/>
        <v>7.5887443480458436E-2</v>
      </c>
      <c r="BU90" s="141">
        <f t="shared" si="91"/>
        <v>7.393789479167874E-2</v>
      </c>
      <c r="BV90" s="141">
        <f t="shared" si="91"/>
        <v>7.2063581071937471E-2</v>
      </c>
      <c r="BW90" s="141">
        <f t="shared" si="91"/>
        <v>7.0260428626623586E-2</v>
      </c>
      <c r="BX90" s="141">
        <f t="shared" si="91"/>
        <v>6.3686748936717399E-2</v>
      </c>
      <c r="BY90" s="141">
        <f t="shared" si="91"/>
        <v>5.7986928409685008E-2</v>
      </c>
      <c r="BZ90" s="141">
        <f t="shared" si="91"/>
        <v>5.3000145344947805E-2</v>
      </c>
      <c r="CA90" s="141">
        <f t="shared" si="91"/>
        <v>4.8601383780023072E-2</v>
      </c>
      <c r="CB90" s="141">
        <f t="shared" si="91"/>
        <v>4.4692462786097314E-2</v>
      </c>
      <c r="CC90" s="141">
        <f t="shared" si="91"/>
        <v>4.1195447722533876E-2</v>
      </c>
      <c r="CD90" s="141">
        <f t="shared" si="91"/>
        <v>3.8047822223769012E-2</v>
      </c>
      <c r="CE90" s="141">
        <f t="shared" si="91"/>
        <v>3.5198932848510708E-2</v>
      </c>
      <c r="CF90" s="141">
        <f t="shared" si="91"/>
        <v>3.2607349284547761E-2</v>
      </c>
      <c r="CG90" s="141">
        <f t="shared" si="91"/>
        <v>3.0238885369992145E-2</v>
      </c>
      <c r="CH90" s="141">
        <f t="shared" si="91"/>
        <v>2.8065100458762798E-2</v>
      </c>
      <c r="CI90" s="141">
        <f t="shared" si="91"/>
        <v>2.6062153054548003E-2</v>
      </c>
      <c r="CJ90" s="141">
        <f t="shared" si="91"/>
        <v>2.4209915279970816E-2</v>
      </c>
      <c r="CK90" s="141">
        <f t="shared" si="91"/>
        <v>2.2491282379293251E-2</v>
      </c>
      <c r="CL90" s="141">
        <f t="shared" si="91"/>
        <v>2.0891629469465108E-2</v>
      </c>
      <c r="CM90" s="141">
        <f t="shared" si="91"/>
        <v>1.9398380509938629E-2</v>
      </c>
      <c r="CN90" s="141">
        <f t="shared" si="91"/>
        <v>1.8000663569049623E-2</v>
      </c>
      <c r="CO90" s="141">
        <f t="shared" si="91"/>
        <v>1.3761141996060974E-2</v>
      </c>
      <c r="CP90" s="141">
        <f t="shared" si="91"/>
        <v>6.2797625716576582E-3</v>
      </c>
      <c r="CQ90" s="141">
        <f t="shared" si="91"/>
        <v>-1.6790818795870304E-3</v>
      </c>
      <c r="CR90" s="141">
        <f t="shared" si="91"/>
        <v>-9.9906860434877346E-3</v>
      </c>
      <c r="CS90" s="141">
        <f t="shared" si="91"/>
        <v>-1.7498599073622344E-2</v>
      </c>
      <c r="CT90" s="141">
        <f t="shared" si="91"/>
        <v>-2.359375E-2</v>
      </c>
      <c r="CU90" s="141">
        <f t="shared" si="91"/>
        <v>-2.359375E-2</v>
      </c>
      <c r="CV90" s="141">
        <f t="shared" si="91"/>
        <v>-2.359375E-2</v>
      </c>
      <c r="CW90" s="141">
        <f t="shared" si="91"/>
        <v>-2.359375E-2</v>
      </c>
      <c r="CX90" s="141">
        <f t="shared" si="91"/>
        <v>-2.359375E-2</v>
      </c>
      <c r="CY90" s="141">
        <f t="shared" si="91"/>
        <v>-2.359375E-2</v>
      </c>
      <c r="CZ90" s="141">
        <f t="shared" si="91"/>
        <v>-2.359375E-2</v>
      </c>
      <c r="DA90" s="141">
        <f t="shared" si="91"/>
        <v>-2.359375E-2</v>
      </c>
    </row>
  </sheetData>
  <sheetProtection sheet="1" objects="1" scenarios="1"/>
  <phoneticPr fontId="0" type="noConversion"/>
  <conditionalFormatting sqref="C74:DA74 C89:DA90 C81:DA82">
    <cfRule type="cellIs" dxfId="2" priority="1" stopIfTrue="1" operator="lessThan">
      <formula>0</formula>
    </cfRule>
    <cfRule type="cellIs" dxfId="1" priority="2" stopIfTrue="1" operator="greaterThan">
      <formula>0</formula>
    </cfRule>
  </conditionalFormatting>
  <conditionalFormatting sqref="C73:DA73 C87:DA88 C79:DA80">
    <cfRule type="cellIs" dxfId="0" priority="3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Drop Down 3">
              <controlPr defaultSize="0" autoLine="0" autoPict="0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Drop Down 4">
              <controlPr defaultSize="0" autoLine="0" autoPict="0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Drop Down 5">
              <controlPr defaultSize="0" autoLine="0" autoPict="0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LA</vt:lpstr>
      <vt:lpstr>Info</vt:lpstr>
      <vt:lpstr>StB88-K</vt:lpstr>
      <vt:lpstr>StB88-Ka</vt:lpstr>
      <vt:lpstr>StB88-R</vt:lpstr>
      <vt:lpstr>StB01-K</vt:lpstr>
      <vt:lpstr>StB01-Ka</vt:lpstr>
      <vt:lpstr>StB01-R</vt:lpstr>
      <vt:lpstr>StB08-K</vt:lpstr>
      <vt:lpstr>StB08-Ka</vt:lpstr>
      <vt:lpstr>StB08-R</vt:lpstr>
      <vt:lpstr>StB-Werte</vt:lpstr>
      <vt:lpstr>StB-K</vt:lpstr>
      <vt:lpstr>StB-Ks</vt:lpstr>
      <vt:lpstr>StB-R</vt:lpstr>
      <vt:lpstr>StB08-Test</vt:lpstr>
      <vt:lpstr>'StB08-K'!Print_Area</vt:lpstr>
      <vt:lpstr>'StB08-Ka'!Print_Area</vt:lpstr>
      <vt:lpstr>'StB-K'!Print_Area</vt:lpstr>
      <vt:lpstr>'StB-Ks'!Print_Area</vt:lpstr>
      <vt:lpstr>'StB-R'!Print_Area</vt:lpstr>
      <vt:lpstr>'StB-Werte'!Print_Area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Berthold Klobe</dc:creator>
  <cp:lastModifiedBy>Baseski Onur</cp:lastModifiedBy>
  <cp:lastPrinted>2017-12-06T10:03:05Z</cp:lastPrinted>
  <dcterms:created xsi:type="dcterms:W3CDTF">1999-09-26T15:44:50Z</dcterms:created>
  <dcterms:modified xsi:type="dcterms:W3CDTF">2019-03-26T16:13:54Z</dcterms:modified>
</cp:coreProperties>
</file>