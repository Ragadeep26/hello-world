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updateLinks="always" codeName="DieseArbeitsmappe" defaultThemeVersion="124226"/>
  <mc:AlternateContent xmlns:mc="http://schemas.openxmlformats.org/markup-compatibility/2006">
    <mc:Choice Requires="x15">
      <x15ac:absPath xmlns:x15ac="http://schemas.microsoft.com/office/spreadsheetml/2010/11/ac" url="D:\Data\3Packages\Moniman\solver\plaxis2d\profile_steels\"/>
    </mc:Choice>
  </mc:AlternateContent>
  <xr:revisionPtr revIDLastSave="0" documentId="8_{E406373C-DB3D-46C2-A538-F32DE29EBDC7}" xr6:coauthVersionLast="47" xr6:coauthVersionMax="47" xr10:uidLastSave="{00000000-0000-0000-0000-000000000000}"/>
  <bookViews>
    <workbookView xWindow="60720" yWindow="3390" windowWidth="21600" windowHeight="11385" tabRatio="801" activeTab="5" xr2:uid="{00000000-000D-0000-FFFF-FFFF00000000}"/>
  </bookViews>
  <sheets>
    <sheet name="Adressen_Statiker" sheetId="11" r:id="rId1"/>
    <sheet name="Adressen" sheetId="6" r:id="rId2"/>
    <sheet name="Bst" sheetId="5" r:id="rId3"/>
    <sheet name="Ro" sheetId="4" r:id="rId4"/>
    <sheet name="L&amp;PU" sheetId="3" r:id="rId5"/>
    <sheet name="U&amp;I" sheetId="12" r:id="rId6"/>
    <sheet name="Strand" sheetId="8" r:id="rId7"/>
    <sheet name="UnitPrice" sheetId="9" r:id="rId8"/>
    <sheet name="Sprache" sheetId="1" r:id="rId9"/>
    <sheet name="PopUp" sheetId="7" r:id="rId10"/>
    <sheet name="Company" sheetId="10" r:id="rId11"/>
  </sheets>
  <externalReferences>
    <externalReference r:id="rId12"/>
    <externalReference r:id="rId13"/>
    <externalReference r:id="rId14"/>
  </externalReferences>
  <definedNames>
    <definedName name="_xlnm.Print_Area" localSheetId="4">'L&amp;PU'!$A$1:$T$183</definedName>
    <definedName name="_xlnm.Print_Area" localSheetId="3">Ro!$A$1:$J$90</definedName>
    <definedName name="_xlnm.Print_Area" localSheetId="8">Sprache!#REF!</definedName>
    <definedName name="_xlnm.Print_Area" localSheetId="6">Strand!$A$1:$X$100</definedName>
    <definedName name="_xlnm.Print_Titles" localSheetId="6">Strand!$1:$3</definedName>
    <definedName name="OLE_LINK1" localSheetId="8">Sprache!$B$2044</definedName>
    <definedName name="SpracheIn">[1]BOD!$J$7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196" i="12" l="1"/>
  <c r="O196" i="12"/>
  <c r="U196" i="12"/>
  <c r="AC196" i="12" s="1"/>
  <c r="U221" i="12"/>
  <c r="AC221" i="12" s="1"/>
  <c r="R221" i="12"/>
  <c r="O221" i="12"/>
  <c r="S227" i="12"/>
  <c r="AC227" i="12"/>
  <c r="U227" i="12"/>
  <c r="P227" i="12"/>
  <c r="O227" i="12" s="1"/>
  <c r="B31" i="6" l="1"/>
  <c r="B30" i="6"/>
  <c r="B29" i="6"/>
  <c r="B28" i="6"/>
  <c r="B27" i="6"/>
  <c r="B26" i="6"/>
  <c r="B25" i="6"/>
  <c r="B24" i="6"/>
  <c r="B23" i="6"/>
  <c r="B22" i="6"/>
  <c r="B21" i="6"/>
  <c r="B20" i="6"/>
  <c r="B19" i="6"/>
  <c r="B18" i="6"/>
  <c r="B17" i="6"/>
  <c r="B16" i="6"/>
  <c r="B15" i="6"/>
  <c r="B14" i="6"/>
  <c r="B13" i="6"/>
  <c r="B12" i="6"/>
  <c r="B11" i="6"/>
  <c r="B10" i="6"/>
  <c r="B9" i="6"/>
  <c r="B8"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7" i="6"/>
  <c r="B6" i="6"/>
  <c r="B5" i="6"/>
  <c r="B4" i="6"/>
  <c r="B3" i="6"/>
  <c r="X43" i="8" l="1"/>
  <c r="U43" i="8"/>
  <c r="T43" i="8"/>
  <c r="O43" i="8"/>
  <c r="H43" i="8"/>
  <c r="Z43" i="8" s="1"/>
  <c r="X42" i="8"/>
  <c r="U42" i="8"/>
  <c r="T42" i="8"/>
  <c r="O42" i="8"/>
  <c r="H42" i="8"/>
  <c r="Z42" i="8" s="1"/>
  <c r="Q43" i="8" l="1"/>
  <c r="Q42" i="8"/>
  <c r="X26" i="8" l="1"/>
  <c r="U26" i="8"/>
  <c r="T26" i="8"/>
  <c r="O26" i="8"/>
  <c r="H26" i="8"/>
  <c r="Z26" i="8" s="1"/>
  <c r="X25" i="8"/>
  <c r="U25" i="8"/>
  <c r="T25" i="8"/>
  <c r="O25" i="8"/>
  <c r="H25" i="8"/>
  <c r="Z25" i="8" s="1"/>
  <c r="Q25" i="8" l="1"/>
  <c r="Q26" i="8"/>
  <c r="H160" i="8"/>
  <c r="Z160" i="8" s="1"/>
  <c r="H140" i="8"/>
  <c r="Z140" i="8" s="1"/>
  <c r="H141" i="8"/>
  <c r="Z141" i="8" s="1"/>
  <c r="H142" i="8"/>
  <c r="H143" i="8"/>
  <c r="Z143" i="8" s="1"/>
  <c r="H144" i="8"/>
  <c r="H145" i="8"/>
  <c r="Z145" i="8" s="1"/>
  <c r="H150" i="8"/>
  <c r="H151" i="8"/>
  <c r="H152" i="8"/>
  <c r="Z152" i="8" s="1"/>
  <c r="H153" i="8"/>
  <c r="H154" i="8"/>
  <c r="H155" i="8"/>
  <c r="Z155" i="8" s="1"/>
  <c r="H156" i="8"/>
  <c r="Z156" i="8" s="1"/>
  <c r="H157" i="8"/>
  <c r="H158" i="8"/>
  <c r="H159" i="8"/>
  <c r="H139" i="8"/>
  <c r="Z139" i="8" s="1"/>
  <c r="X160" i="8"/>
  <c r="U160" i="8"/>
  <c r="T160" i="8"/>
  <c r="O160" i="8"/>
  <c r="Z159" i="8"/>
  <c r="X159" i="8"/>
  <c r="U159" i="8"/>
  <c r="T159" i="8"/>
  <c r="Q159" i="8"/>
  <c r="O159" i="8"/>
  <c r="Z158" i="8"/>
  <c r="X158" i="8"/>
  <c r="U158" i="8"/>
  <c r="T158" i="8"/>
  <c r="Q158" i="8"/>
  <c r="O158" i="8"/>
  <c r="X157" i="8"/>
  <c r="U157" i="8"/>
  <c r="T157" i="8"/>
  <c r="O157" i="8"/>
  <c r="Z157" i="8"/>
  <c r="X156" i="8"/>
  <c r="U156" i="8"/>
  <c r="T156" i="8"/>
  <c r="O156" i="8"/>
  <c r="X155" i="8"/>
  <c r="U155" i="8"/>
  <c r="T155" i="8"/>
  <c r="O155" i="8"/>
  <c r="Z154" i="8"/>
  <c r="X154" i="8"/>
  <c r="U154" i="8"/>
  <c r="T154" i="8"/>
  <c r="Q154" i="8"/>
  <c r="O154" i="8"/>
  <c r="X153" i="8"/>
  <c r="U153" i="8"/>
  <c r="T153" i="8"/>
  <c r="O153" i="8"/>
  <c r="Z153" i="8"/>
  <c r="X152" i="8"/>
  <c r="U152" i="8"/>
  <c r="T152" i="8"/>
  <c r="O152" i="8"/>
  <c r="Z151" i="8"/>
  <c r="X151" i="8"/>
  <c r="U151" i="8"/>
  <c r="T151" i="8"/>
  <c r="Q151" i="8"/>
  <c r="O151" i="8"/>
  <c r="Z150" i="8"/>
  <c r="X150" i="8"/>
  <c r="U150" i="8"/>
  <c r="T150" i="8"/>
  <c r="Q150" i="8"/>
  <c r="O150" i="8"/>
  <c r="X149" i="8"/>
  <c r="O149" i="8"/>
  <c r="X148" i="8"/>
  <c r="O148" i="8"/>
  <c r="X147" i="8"/>
  <c r="O147" i="8"/>
  <c r="X146" i="8"/>
  <c r="O146" i="8"/>
  <c r="F146" i="8"/>
  <c r="F147" i="8" s="1"/>
  <c r="H147" i="8" s="1"/>
  <c r="X145" i="8"/>
  <c r="U145" i="8"/>
  <c r="T145" i="8"/>
  <c r="O145" i="8"/>
  <c r="X144" i="8"/>
  <c r="U144" i="8"/>
  <c r="T144" i="8"/>
  <c r="O144" i="8"/>
  <c r="Z144" i="8"/>
  <c r="X143" i="8"/>
  <c r="U143" i="8"/>
  <c r="T143" i="8"/>
  <c r="O143" i="8"/>
  <c r="Z142" i="8"/>
  <c r="X142" i="8"/>
  <c r="U142" i="8"/>
  <c r="T142" i="8"/>
  <c r="Q142" i="8"/>
  <c r="O142" i="8"/>
  <c r="X141" i="8"/>
  <c r="U141" i="8"/>
  <c r="T141" i="8"/>
  <c r="O141" i="8"/>
  <c r="X140" i="8"/>
  <c r="U140" i="8"/>
  <c r="T140" i="8"/>
  <c r="O140" i="8"/>
  <c r="X139" i="8"/>
  <c r="U139" i="8"/>
  <c r="T139" i="8"/>
  <c r="O139" i="8"/>
  <c r="X138" i="8"/>
  <c r="O127" i="8"/>
  <c r="O130" i="8"/>
  <c r="O131" i="8"/>
  <c r="O132" i="8"/>
  <c r="O133" i="8"/>
  <c r="O134" i="8"/>
  <c r="O135" i="8"/>
  <c r="O136" i="8"/>
  <c r="O137" i="8"/>
  <c r="O138" i="8"/>
  <c r="H130" i="8"/>
  <c r="Q130" i="8" s="1"/>
  <c r="H131" i="8"/>
  <c r="Q131" i="8" s="1"/>
  <c r="H132" i="8"/>
  <c r="Q132" i="8" s="1"/>
  <c r="H133" i="8"/>
  <c r="Z133" i="8" s="1"/>
  <c r="H134" i="8"/>
  <c r="Q134" i="8" s="1"/>
  <c r="H135" i="8"/>
  <c r="Q135" i="8" s="1"/>
  <c r="H136" i="8"/>
  <c r="Q136" i="8" s="1"/>
  <c r="H137" i="8"/>
  <c r="Z137" i="8" s="1"/>
  <c r="H138" i="8"/>
  <c r="Q138" i="8" s="1"/>
  <c r="X130" i="8"/>
  <c r="X131" i="8"/>
  <c r="X132" i="8"/>
  <c r="X133" i="8"/>
  <c r="X134" i="8"/>
  <c r="X135" i="8"/>
  <c r="X136" i="8"/>
  <c r="X137" i="8"/>
  <c r="Z132" i="8"/>
  <c r="Z135" i="8"/>
  <c r="Z136" i="8"/>
  <c r="H117" i="8"/>
  <c r="H118" i="8"/>
  <c r="H119" i="8"/>
  <c r="H120" i="8"/>
  <c r="Z120" i="8" s="1"/>
  <c r="H121" i="8"/>
  <c r="X129" i="8"/>
  <c r="O129" i="8"/>
  <c r="X128" i="8"/>
  <c r="O128" i="8"/>
  <c r="X127" i="8"/>
  <c r="X126" i="8"/>
  <c r="O126" i="8"/>
  <c r="X125" i="8"/>
  <c r="O125" i="8"/>
  <c r="X124" i="8"/>
  <c r="O124" i="8"/>
  <c r="X123" i="8"/>
  <c r="O123" i="8"/>
  <c r="X122" i="8"/>
  <c r="O122" i="8"/>
  <c r="X121" i="8"/>
  <c r="O121" i="8"/>
  <c r="X120" i="8"/>
  <c r="U120" i="8"/>
  <c r="T120" i="8"/>
  <c r="O120" i="8"/>
  <c r="Z134" i="8" l="1"/>
  <c r="Z130" i="8"/>
  <c r="Z138" i="8"/>
  <c r="Z131" i="8"/>
  <c r="Q137" i="8"/>
  <c r="Q133" i="8"/>
  <c r="U146" i="8"/>
  <c r="H146" i="8"/>
  <c r="Z146" i="8" s="1"/>
  <c r="Q155" i="8"/>
  <c r="Q143" i="8"/>
  <c r="Q139" i="8"/>
  <c r="F148" i="8"/>
  <c r="H148" i="8" s="1"/>
  <c r="T147" i="8"/>
  <c r="U147" i="8"/>
  <c r="Q141" i="8"/>
  <c r="Q145" i="8"/>
  <c r="Q153" i="8"/>
  <c r="Q157" i="8"/>
  <c r="Q140" i="8"/>
  <c r="Q144" i="8"/>
  <c r="T146" i="8"/>
  <c r="Q152" i="8"/>
  <c r="Q156" i="8"/>
  <c r="Q160" i="8"/>
  <c r="Z121" i="8"/>
  <c r="Q121" i="8"/>
  <c r="U121" i="8"/>
  <c r="T121" i="8"/>
  <c r="Q120" i="8"/>
  <c r="O10" i="8"/>
  <c r="Q146" i="8" l="1"/>
  <c r="Z147" i="8"/>
  <c r="Q147" i="8"/>
  <c r="F149" i="8"/>
  <c r="H149" i="8" s="1"/>
  <c r="T148" i="8"/>
  <c r="U148" i="8"/>
  <c r="U122" i="8"/>
  <c r="H122" i="8"/>
  <c r="T122" i="8"/>
  <c r="A58" i="1"/>
  <c r="A1144" i="1"/>
  <c r="A1718" i="1"/>
  <c r="A1474" i="1"/>
  <c r="A1156" i="1"/>
  <c r="A1502" i="1"/>
  <c r="A1152" i="1"/>
  <c r="A292" i="1"/>
  <c r="A1368" i="1"/>
  <c r="A986" i="1"/>
  <c r="A915" i="1"/>
  <c r="A1436" i="1"/>
  <c r="A976" i="1"/>
  <c r="A1486" i="1"/>
  <c r="A1215" i="1"/>
  <c r="A1218" i="1"/>
  <c r="A1127" i="1"/>
  <c r="A1128" i="1"/>
  <c r="A902" i="1"/>
  <c r="A1727" i="1"/>
  <c r="A1975" i="1"/>
  <c r="A365" i="1"/>
  <c r="A1170" i="1"/>
  <c r="A1986" i="1"/>
  <c r="A1715" i="1"/>
  <c r="A1469" i="1"/>
  <c r="A834" i="1"/>
  <c r="A992" i="1"/>
  <c r="A1418" i="1"/>
  <c r="A1210" i="1"/>
  <c r="A1148" i="1"/>
  <c r="A1340" i="1"/>
  <c r="A2214" i="1"/>
  <c r="A1415" i="1"/>
  <c r="A1409" i="1"/>
  <c r="A773" i="1"/>
  <c r="A71" i="1"/>
  <c r="A1699" i="1"/>
  <c r="A2420" i="1"/>
  <c r="A2419" i="1"/>
  <c r="A2418" i="1"/>
  <c r="A2417" i="1"/>
  <c r="A2416" i="1"/>
  <c r="A2415" i="1"/>
  <c r="A2414" i="1"/>
  <c r="A2413" i="1"/>
  <c r="A2412" i="1"/>
  <c r="A2411" i="1"/>
  <c r="A2410" i="1"/>
  <c r="A2409" i="1"/>
  <c r="A2408" i="1"/>
  <c r="A2407" i="1"/>
  <c r="A2406" i="1"/>
  <c r="A2405" i="1"/>
  <c r="A2404" i="1"/>
  <c r="A2403" i="1"/>
  <c r="T149" i="8" l="1"/>
  <c r="U149" i="8"/>
  <c r="Z148" i="8"/>
  <c r="Q148" i="8"/>
  <c r="F124" i="8"/>
  <c r="T123" i="8"/>
  <c r="U123" i="8"/>
  <c r="H123" i="8"/>
  <c r="Z122" i="8"/>
  <c r="Q122" i="8"/>
  <c r="X116" i="8"/>
  <c r="X115" i="8"/>
  <c r="X114" i="8"/>
  <c r="X113" i="8"/>
  <c r="X112" i="8"/>
  <c r="Z149" i="8" l="1"/>
  <c r="Q149" i="8"/>
  <c r="Z123" i="8"/>
  <c r="Q123" i="8"/>
  <c r="U124" i="8"/>
  <c r="H124" i="8"/>
  <c r="F125" i="8"/>
  <c r="T124" i="8"/>
  <c r="O226" i="12"/>
  <c r="O223" i="12"/>
  <c r="O220" i="12"/>
  <c r="O219" i="12"/>
  <c r="O218" i="12"/>
  <c r="O217" i="12"/>
  <c r="O216" i="12"/>
  <c r="O215" i="12"/>
  <c r="O214" i="12"/>
  <c r="O213" i="12"/>
  <c r="O212" i="12"/>
  <c r="O211" i="12"/>
  <c r="O210" i="12"/>
  <c r="O209" i="12"/>
  <c r="O208" i="12"/>
  <c r="O207" i="12"/>
  <c r="O206" i="12"/>
  <c r="O205" i="12"/>
  <c r="O204" i="12"/>
  <c r="O203" i="12"/>
  <c r="O202" i="12"/>
  <c r="O201" i="12"/>
  <c r="O200" i="12"/>
  <c r="O199" i="12"/>
  <c r="O198" i="12"/>
  <c r="O197" i="12"/>
  <c r="O195" i="12"/>
  <c r="O194" i="12"/>
  <c r="O193" i="12"/>
  <c r="O192" i="12"/>
  <c r="O191" i="12"/>
  <c r="O190" i="12"/>
  <c r="O225" i="12"/>
  <c r="O224" i="12"/>
  <c r="O222" i="12"/>
  <c r="O189" i="12"/>
  <c r="O188" i="12"/>
  <c r="O187" i="12"/>
  <c r="O186" i="12"/>
  <c r="O185" i="12"/>
  <c r="O171" i="12"/>
  <c r="O170" i="12"/>
  <c r="O169" i="12"/>
  <c r="O168" i="12"/>
  <c r="O167" i="12"/>
  <c r="O166" i="12"/>
  <c r="O165" i="12"/>
  <c r="O164" i="12"/>
  <c r="O163" i="12"/>
  <c r="O162" i="12"/>
  <c r="O161" i="12"/>
  <c r="O160" i="12"/>
  <c r="O159" i="12"/>
  <c r="O158" i="12"/>
  <c r="O157" i="12"/>
  <c r="O156" i="12"/>
  <c r="O155" i="12"/>
  <c r="O154" i="12"/>
  <c r="O153" i="12"/>
  <c r="O152" i="12"/>
  <c r="O151" i="12"/>
  <c r="O150" i="12"/>
  <c r="O149" i="12"/>
  <c r="O148" i="12"/>
  <c r="O147" i="12"/>
  <c r="O146" i="12"/>
  <c r="O145" i="12"/>
  <c r="O144" i="12"/>
  <c r="O143" i="12"/>
  <c r="O142" i="12"/>
  <c r="O141" i="12"/>
  <c r="O140" i="12"/>
  <c r="O139" i="12"/>
  <c r="O138" i="12"/>
  <c r="O137" i="12"/>
  <c r="O136" i="12"/>
  <c r="O135" i="12"/>
  <c r="O134" i="12"/>
  <c r="O133" i="12"/>
  <c r="O132" i="12"/>
  <c r="O131" i="12"/>
  <c r="O130" i="12"/>
  <c r="O129" i="12"/>
  <c r="O128" i="12"/>
  <c r="O127" i="12"/>
  <c r="O126" i="12"/>
  <c r="O125" i="12"/>
  <c r="O124" i="12"/>
  <c r="O123" i="12"/>
  <c r="O122" i="12"/>
  <c r="O121" i="12"/>
  <c r="O120" i="12"/>
  <c r="O119" i="12"/>
  <c r="O118" i="12"/>
  <c r="O117" i="12"/>
  <c r="O116" i="12"/>
  <c r="O115" i="12"/>
  <c r="O114" i="12"/>
  <c r="O113" i="12"/>
  <c r="O112" i="12"/>
  <c r="O111" i="12"/>
  <c r="O110" i="12"/>
  <c r="O109" i="12"/>
  <c r="O108" i="12"/>
  <c r="O107" i="12"/>
  <c r="O106" i="12"/>
  <c r="O105" i="12"/>
  <c r="O104" i="12"/>
  <c r="O103" i="12"/>
  <c r="O102" i="12"/>
  <c r="O101" i="12"/>
  <c r="O100" i="12"/>
  <c r="O99" i="12"/>
  <c r="O98" i="12"/>
  <c r="O97" i="12"/>
  <c r="O96" i="12"/>
  <c r="O95" i="12"/>
  <c r="O94" i="12"/>
  <c r="O93" i="12"/>
  <c r="O92" i="12"/>
  <c r="O91" i="12"/>
  <c r="O90" i="12"/>
  <c r="O89" i="12"/>
  <c r="O88" i="12"/>
  <c r="O87" i="12"/>
  <c r="O86" i="12"/>
  <c r="O60" i="12"/>
  <c r="O71" i="12"/>
  <c r="O70" i="12"/>
  <c r="O69" i="12"/>
  <c r="O68" i="12"/>
  <c r="O67" i="12"/>
  <c r="O66" i="12"/>
  <c r="O65" i="12"/>
  <c r="O64" i="12"/>
  <c r="O63" i="12"/>
  <c r="O62" i="12"/>
  <c r="O61"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O33" i="12"/>
  <c r="O32" i="12"/>
  <c r="O31" i="12"/>
  <c r="O30" i="12"/>
  <c r="O29" i="12"/>
  <c r="O28" i="12"/>
  <c r="O27" i="12"/>
  <c r="O26" i="12"/>
  <c r="O25" i="12"/>
  <c r="O24" i="12"/>
  <c r="O23" i="12"/>
  <c r="O22" i="12"/>
  <c r="O21" i="12"/>
  <c r="O20" i="12"/>
  <c r="O19" i="12"/>
  <c r="O18" i="12"/>
  <c r="O17" i="12"/>
  <c r="O16" i="12"/>
  <c r="O15" i="12"/>
  <c r="O14" i="12"/>
  <c r="O13" i="12"/>
  <c r="O12" i="12"/>
  <c r="O11" i="12"/>
  <c r="O10" i="12"/>
  <c r="O9" i="12"/>
  <c r="O8" i="12"/>
  <c r="O7" i="12"/>
  <c r="O6" i="12"/>
  <c r="O5" i="12"/>
  <c r="O4" i="12"/>
  <c r="S4" i="12"/>
  <c r="Z124" i="8" l="1"/>
  <c r="Q124" i="8"/>
  <c r="H125" i="8"/>
  <c r="F126" i="8"/>
  <c r="T125" i="8"/>
  <c r="U125" i="8"/>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Z125" i="8" l="1"/>
  <c r="Q125" i="8"/>
  <c r="U126" i="8"/>
  <c r="H126" i="8"/>
  <c r="F127" i="8"/>
  <c r="T126" i="8"/>
  <c r="X201" i="3"/>
  <c r="X200" i="3"/>
  <c r="X199" i="3"/>
  <c r="X198" i="3"/>
  <c r="X197" i="3"/>
  <c r="X196" i="3"/>
  <c r="X195" i="3"/>
  <c r="X194" i="3"/>
  <c r="X193" i="3"/>
  <c r="X192" i="3"/>
  <c r="X191" i="3"/>
  <c r="X185" i="3"/>
  <c r="X184" i="3"/>
  <c r="X183" i="3"/>
  <c r="X182" i="3"/>
  <c r="X181" i="3"/>
  <c r="X180" i="3"/>
  <c r="X179" i="3"/>
  <c r="X174" i="3"/>
  <c r="X173" i="3"/>
  <c r="X155" i="3"/>
  <c r="X154" i="3"/>
  <c r="X29" i="3"/>
  <c r="X28" i="3"/>
  <c r="X27" i="3"/>
  <c r="X26" i="3"/>
  <c r="X25" i="3"/>
  <c r="X24" i="3"/>
  <c r="X23" i="3"/>
  <c r="X22" i="3"/>
  <c r="X21" i="3"/>
  <c r="X164" i="3"/>
  <c r="W164" i="3"/>
  <c r="W155" i="3"/>
  <c r="Z126" i="8" l="1"/>
  <c r="Q126" i="8"/>
  <c r="T127" i="8"/>
  <c r="U127" i="8"/>
  <c r="H127" i="8"/>
  <c r="X43" i="3"/>
  <c r="X42" i="3"/>
  <c r="X41" i="3"/>
  <c r="X40" i="3"/>
  <c r="X39" i="3"/>
  <c r="X38" i="3"/>
  <c r="X37" i="3"/>
  <c r="X36" i="3"/>
  <c r="X35" i="3"/>
  <c r="W184" i="3"/>
  <c r="U128" i="8" l="1"/>
  <c r="H128" i="8"/>
  <c r="T128" i="8"/>
  <c r="Z127" i="8"/>
  <c r="Q127" i="8"/>
  <c r="W29" i="3"/>
  <c r="W201" i="3"/>
  <c r="W200" i="3"/>
  <c r="W199" i="3"/>
  <c r="W198" i="3"/>
  <c r="W197" i="3"/>
  <c r="W196" i="3"/>
  <c r="W195" i="3"/>
  <c r="W194" i="3"/>
  <c r="W193" i="3"/>
  <c r="W192" i="3"/>
  <c r="W191" i="3"/>
  <c r="P201" i="3"/>
  <c r="O201" i="3"/>
  <c r="M201" i="3"/>
  <c r="Q201" i="3" s="1"/>
  <c r="P200" i="3"/>
  <c r="O200" i="3"/>
  <c r="M200" i="3"/>
  <c r="P199" i="3"/>
  <c r="O199" i="3"/>
  <c r="M199" i="3"/>
  <c r="P198" i="3"/>
  <c r="O198" i="3"/>
  <c r="M198" i="3"/>
  <c r="P197" i="3"/>
  <c r="O197" i="3"/>
  <c r="M197" i="3"/>
  <c r="Q197" i="3" s="1"/>
  <c r="P196" i="3"/>
  <c r="O196" i="3"/>
  <c r="M196" i="3"/>
  <c r="P195" i="3"/>
  <c r="O195" i="3"/>
  <c r="M195" i="3"/>
  <c r="P194" i="3"/>
  <c r="O194" i="3"/>
  <c r="M194" i="3"/>
  <c r="P193" i="3"/>
  <c r="O193" i="3"/>
  <c r="M193" i="3"/>
  <c r="P192" i="3"/>
  <c r="O192" i="3"/>
  <c r="M192" i="3"/>
  <c r="Q192" i="3" s="1"/>
  <c r="P191" i="3"/>
  <c r="O191" i="3"/>
  <c r="M191" i="3"/>
  <c r="M173" i="3"/>
  <c r="W174" i="3"/>
  <c r="W173" i="3"/>
  <c r="W185" i="3"/>
  <c r="W182" i="3"/>
  <c r="W181" i="3"/>
  <c r="W180" i="3"/>
  <c r="W179" i="3"/>
  <c r="W183" i="3"/>
  <c r="W154" i="3"/>
  <c r="W43" i="3"/>
  <c r="W42" i="3"/>
  <c r="W41" i="3"/>
  <c r="W40" i="3"/>
  <c r="W39" i="3"/>
  <c r="W38" i="3"/>
  <c r="W37" i="3"/>
  <c r="W36" i="3"/>
  <c r="W35" i="3"/>
  <c r="W28" i="3"/>
  <c r="W27" i="3"/>
  <c r="W26" i="3"/>
  <c r="W25" i="3"/>
  <c r="W24" i="3"/>
  <c r="W23" i="3"/>
  <c r="W22" i="3"/>
  <c r="W21" i="3"/>
  <c r="W77" i="3"/>
  <c r="W76" i="3"/>
  <c r="W75" i="3"/>
  <c r="W74" i="3"/>
  <c r="W73" i="3"/>
  <c r="W71" i="3"/>
  <c r="W70" i="3"/>
  <c r="W69" i="3"/>
  <c r="W68" i="3"/>
  <c r="W67" i="3"/>
  <c r="Q195" i="3" l="1"/>
  <c r="T129" i="8"/>
  <c r="U129" i="8"/>
  <c r="H129" i="8"/>
  <c r="Q129" i="8" s="1"/>
  <c r="Z128" i="8"/>
  <c r="Q128" i="8"/>
  <c r="Q193" i="3"/>
  <c r="Q198" i="3"/>
  <c r="Q191" i="3"/>
  <c r="Q196" i="3"/>
  <c r="Q200" i="3"/>
  <c r="Q194" i="3"/>
  <c r="Q199" i="3"/>
  <c r="U226" i="12"/>
  <c r="AC226" i="12" s="1"/>
  <c r="AC225" i="12"/>
  <c r="U225" i="12"/>
  <c r="S225" i="12"/>
  <c r="R225" i="12"/>
  <c r="AC224" i="12"/>
  <c r="U224" i="12"/>
  <c r="U223" i="12"/>
  <c r="AC223" i="12" s="1"/>
  <c r="S223" i="12"/>
  <c r="R223" i="12"/>
  <c r="AC222" i="12"/>
  <c r="U222" i="12"/>
  <c r="S222" i="12"/>
  <c r="R222" i="12"/>
  <c r="U220" i="12"/>
  <c r="AC220" i="12" s="1"/>
  <c r="S220" i="12"/>
  <c r="R220" i="12"/>
  <c r="U219" i="12"/>
  <c r="AC219" i="12" s="1"/>
  <c r="S219" i="12"/>
  <c r="R219" i="12"/>
  <c r="U218" i="12"/>
  <c r="AC218" i="12" s="1"/>
  <c r="S218" i="12"/>
  <c r="R218" i="12"/>
  <c r="U217" i="12"/>
  <c r="AC217" i="12" s="1"/>
  <c r="S217" i="12"/>
  <c r="R217" i="12"/>
  <c r="U216" i="12"/>
  <c r="AC216" i="12" s="1"/>
  <c r="S216" i="12"/>
  <c r="R216" i="12"/>
  <c r="U215" i="12"/>
  <c r="AC215" i="12" s="1"/>
  <c r="S215" i="12"/>
  <c r="R215" i="12"/>
  <c r="U214" i="12"/>
  <c r="AC214" i="12" s="1"/>
  <c r="S214" i="12"/>
  <c r="R214" i="12"/>
  <c r="U213" i="12"/>
  <c r="AC213" i="12" s="1"/>
  <c r="S213" i="12"/>
  <c r="R213" i="12"/>
  <c r="U212" i="12"/>
  <c r="AC212" i="12" s="1"/>
  <c r="S212" i="12"/>
  <c r="R212" i="12"/>
  <c r="U211" i="12"/>
  <c r="AC211" i="12" s="1"/>
  <c r="S211" i="12"/>
  <c r="R211" i="12"/>
  <c r="U210" i="12"/>
  <c r="AC210" i="12" s="1"/>
  <c r="S210" i="12"/>
  <c r="R210" i="12"/>
  <c r="U209" i="12"/>
  <c r="AC209" i="12" s="1"/>
  <c r="S209" i="12"/>
  <c r="R209" i="12"/>
  <c r="U208" i="12"/>
  <c r="AC208" i="12" s="1"/>
  <c r="S208" i="12"/>
  <c r="R208" i="12"/>
  <c r="U207" i="12"/>
  <c r="AC207" i="12" s="1"/>
  <c r="S207" i="12"/>
  <c r="R207" i="12"/>
  <c r="U206" i="12"/>
  <c r="AC206" i="12" s="1"/>
  <c r="S206" i="12"/>
  <c r="R206" i="12"/>
  <c r="U205" i="12"/>
  <c r="AC205" i="12" s="1"/>
  <c r="S205" i="12"/>
  <c r="R205" i="12"/>
  <c r="U204" i="12"/>
  <c r="AC204" i="12" s="1"/>
  <c r="S204" i="12"/>
  <c r="R204" i="12"/>
  <c r="U203" i="12"/>
  <c r="AC203" i="12" s="1"/>
  <c r="S203" i="12"/>
  <c r="R203" i="12"/>
  <c r="U202" i="12"/>
  <c r="AC202" i="12" s="1"/>
  <c r="S202" i="12"/>
  <c r="R202" i="12"/>
  <c r="U201" i="12"/>
  <c r="AC201" i="12" s="1"/>
  <c r="S201" i="12"/>
  <c r="R201" i="12"/>
  <c r="U200" i="12"/>
  <c r="AC200" i="12" s="1"/>
  <c r="S200" i="12"/>
  <c r="R200" i="12"/>
  <c r="U199" i="12"/>
  <c r="AC199" i="12" s="1"/>
  <c r="S199" i="12"/>
  <c r="R199" i="12"/>
  <c r="U198" i="12"/>
  <c r="AC198" i="12" s="1"/>
  <c r="S198" i="12"/>
  <c r="R198" i="12"/>
  <c r="U197" i="12"/>
  <c r="AC197" i="12" s="1"/>
  <c r="S197" i="12"/>
  <c r="R197" i="12"/>
  <c r="U195" i="12"/>
  <c r="AC195" i="12" s="1"/>
  <c r="S195" i="12"/>
  <c r="R195" i="12"/>
  <c r="U194" i="12"/>
  <c r="AC194" i="12" s="1"/>
  <c r="S194" i="12"/>
  <c r="R194" i="12"/>
  <c r="U193" i="12"/>
  <c r="AC193" i="12" s="1"/>
  <c r="S193" i="12"/>
  <c r="R193" i="12"/>
  <c r="U192" i="12"/>
  <c r="AC192" i="12" s="1"/>
  <c r="S192" i="12"/>
  <c r="R192" i="12"/>
  <c r="U191" i="12"/>
  <c r="AC191" i="12" s="1"/>
  <c r="S191" i="12"/>
  <c r="R191" i="12"/>
  <c r="U190" i="12"/>
  <c r="AC190" i="12" s="1"/>
  <c r="S190" i="12"/>
  <c r="R190" i="12"/>
  <c r="AC189" i="12"/>
  <c r="U189" i="12"/>
  <c r="AC188" i="12"/>
  <c r="U188" i="12"/>
  <c r="AC187" i="12"/>
  <c r="U187" i="12"/>
  <c r="AC186" i="12"/>
  <c r="U186" i="12"/>
  <c r="AC185" i="12"/>
  <c r="U185" i="12"/>
  <c r="AC184" i="12"/>
  <c r="U184" i="12"/>
  <c r="U183" i="12"/>
  <c r="AC183" i="12" s="1"/>
  <c r="U182" i="12"/>
  <c r="AC182" i="12" s="1"/>
  <c r="U181" i="12"/>
  <c r="AC181" i="12" s="1"/>
  <c r="U180" i="12"/>
  <c r="AC180" i="12" s="1"/>
  <c r="U179" i="12"/>
  <c r="AC179" i="12" s="1"/>
  <c r="U178" i="12"/>
  <c r="AC178" i="12" s="1"/>
  <c r="U177" i="12"/>
  <c r="AC177" i="12" s="1"/>
  <c r="U176" i="12"/>
  <c r="AC176" i="12" s="1"/>
  <c r="U175" i="12"/>
  <c r="AC175" i="12" s="1"/>
  <c r="U174" i="12"/>
  <c r="AC174" i="12" s="1"/>
  <c r="U173" i="12"/>
  <c r="AC173" i="12" s="1"/>
  <c r="U172" i="12"/>
  <c r="AC172" i="12" s="1"/>
  <c r="V171" i="12"/>
  <c r="U171" i="12"/>
  <c r="AC171" i="12" s="1"/>
  <c r="T171" i="12"/>
  <c r="R171" i="12"/>
  <c r="Q171" i="12"/>
  <c r="S171" i="12" s="1"/>
  <c r="V170" i="12"/>
  <c r="U170" i="12"/>
  <c r="AC170" i="12" s="1"/>
  <c r="T170" i="12"/>
  <c r="R170" i="12"/>
  <c r="Q170" i="12"/>
  <c r="S170" i="12" s="1"/>
  <c r="V169" i="12"/>
  <c r="U169" i="12"/>
  <c r="AC169" i="12" s="1"/>
  <c r="T169" i="12"/>
  <c r="R169" i="12"/>
  <c r="Q169" i="12"/>
  <c r="S169" i="12" s="1"/>
  <c r="V168" i="12"/>
  <c r="U168" i="12"/>
  <c r="AC168" i="12" s="1"/>
  <c r="T168" i="12"/>
  <c r="R168" i="12"/>
  <c r="Q168" i="12"/>
  <c r="S168" i="12" s="1"/>
  <c r="V167" i="12"/>
  <c r="U167" i="12"/>
  <c r="AC167" i="12" s="1"/>
  <c r="T167" i="12"/>
  <c r="R167" i="12"/>
  <c r="Q167" i="12"/>
  <c r="S167" i="12" s="1"/>
  <c r="AC166" i="12"/>
  <c r="U166" i="12"/>
  <c r="T166" i="12"/>
  <c r="AC165" i="12"/>
  <c r="U165" i="12"/>
  <c r="T165" i="12"/>
  <c r="AC164" i="12"/>
  <c r="U164" i="12"/>
  <c r="T164" i="12"/>
  <c r="AC163" i="12"/>
  <c r="U163" i="12"/>
  <c r="T163" i="12"/>
  <c r="AC162" i="12"/>
  <c r="U162" i="12"/>
  <c r="T162" i="12"/>
  <c r="AC161" i="12"/>
  <c r="U161" i="12"/>
  <c r="T161" i="12"/>
  <c r="AC160" i="12"/>
  <c r="U160" i="12"/>
  <c r="T160" i="12"/>
  <c r="R160" i="12"/>
  <c r="Q160" i="12"/>
  <c r="S160" i="12" s="1"/>
  <c r="AC159" i="12"/>
  <c r="U159" i="12"/>
  <c r="T159" i="12"/>
  <c r="R159" i="12"/>
  <c r="Q159" i="12"/>
  <c r="S159" i="12" s="1"/>
  <c r="AC158" i="12"/>
  <c r="U158" i="12"/>
  <c r="T158" i="12"/>
  <c r="R158" i="12"/>
  <c r="Q158" i="12"/>
  <c r="S158" i="12" s="1"/>
  <c r="AC157" i="12"/>
  <c r="U157" i="12"/>
  <c r="T157" i="12"/>
  <c r="R157" i="12"/>
  <c r="Q157" i="12"/>
  <c r="S157" i="12" s="1"/>
  <c r="AC156" i="12"/>
  <c r="U156" i="12"/>
  <c r="T156" i="12"/>
  <c r="R156" i="12"/>
  <c r="Q156" i="12"/>
  <c r="S156" i="12" s="1"/>
  <c r="AC155" i="12"/>
  <c r="U155" i="12"/>
  <c r="T155" i="12"/>
  <c r="R155" i="12"/>
  <c r="Q155" i="12"/>
  <c r="S155" i="12" s="1"/>
  <c r="AC154" i="12"/>
  <c r="U154" i="12"/>
  <c r="T154" i="12"/>
  <c r="R154" i="12"/>
  <c r="Q154" i="12"/>
  <c r="S154" i="12" s="1"/>
  <c r="AC153" i="12"/>
  <c r="U153" i="12"/>
  <c r="T153" i="12"/>
  <c r="S153" i="12"/>
  <c r="R153" i="12"/>
  <c r="Q153" i="12"/>
  <c r="U152" i="12"/>
  <c r="AC152" i="12" s="1"/>
  <c r="T152" i="12"/>
  <c r="R152" i="12"/>
  <c r="Q152" i="12"/>
  <c r="S152" i="12" s="1"/>
  <c r="U151" i="12"/>
  <c r="AC151" i="12" s="1"/>
  <c r="T151" i="12"/>
  <c r="R151" i="12"/>
  <c r="Q151" i="12"/>
  <c r="S151" i="12" s="1"/>
  <c r="U150" i="12"/>
  <c r="AC150" i="12" s="1"/>
  <c r="T150" i="12"/>
  <c r="R150" i="12"/>
  <c r="Q150" i="12"/>
  <c r="S150" i="12" s="1"/>
  <c r="U149" i="12"/>
  <c r="AC149" i="12" s="1"/>
  <c r="T149" i="12"/>
  <c r="R149" i="12"/>
  <c r="Q149" i="12"/>
  <c r="S149" i="12" s="1"/>
  <c r="U148" i="12"/>
  <c r="AC148" i="12" s="1"/>
  <c r="T148" i="12"/>
  <c r="R148" i="12"/>
  <c r="Q148" i="12"/>
  <c r="S148" i="12" s="1"/>
  <c r="U147" i="12"/>
  <c r="AC147" i="12" s="1"/>
  <c r="T147" i="12"/>
  <c r="R147" i="12"/>
  <c r="Q147" i="12"/>
  <c r="S147" i="12" s="1"/>
  <c r="U146" i="12"/>
  <c r="AC146" i="12" s="1"/>
  <c r="T146" i="12"/>
  <c r="R146" i="12"/>
  <c r="Q146" i="12"/>
  <c r="S146" i="12" s="1"/>
  <c r="U145" i="12"/>
  <c r="AC145" i="12" s="1"/>
  <c r="T145" i="12"/>
  <c r="R145" i="12"/>
  <c r="Q145" i="12"/>
  <c r="S145" i="12" s="1"/>
  <c r="U144" i="12"/>
  <c r="AC144" i="12" s="1"/>
  <c r="T144" i="12"/>
  <c r="R144" i="12"/>
  <c r="Q144" i="12"/>
  <c r="S144" i="12" s="1"/>
  <c r="U143" i="12"/>
  <c r="AC143" i="12" s="1"/>
  <c r="T143" i="12"/>
  <c r="R143" i="12"/>
  <c r="Q143" i="12"/>
  <c r="S143" i="12" s="1"/>
  <c r="U142" i="12"/>
  <c r="AC142" i="12" s="1"/>
  <c r="T142" i="12"/>
  <c r="R142" i="12"/>
  <c r="Q142" i="12"/>
  <c r="S142" i="12" s="1"/>
  <c r="U141" i="12"/>
  <c r="AC141" i="12" s="1"/>
  <c r="T141" i="12"/>
  <c r="R141" i="12"/>
  <c r="Q141" i="12"/>
  <c r="S141" i="12" s="1"/>
  <c r="U140" i="12"/>
  <c r="AC140" i="12" s="1"/>
  <c r="T140" i="12"/>
  <c r="R140" i="12"/>
  <c r="Q140" i="12"/>
  <c r="S140" i="12" s="1"/>
  <c r="U139" i="12"/>
  <c r="AC139" i="12" s="1"/>
  <c r="T139" i="12"/>
  <c r="R139" i="12"/>
  <c r="Q139" i="12"/>
  <c r="S139" i="12" s="1"/>
  <c r="U138" i="12"/>
  <c r="AC138" i="12" s="1"/>
  <c r="T138" i="12"/>
  <c r="R138" i="12"/>
  <c r="Q138" i="12"/>
  <c r="S138" i="12" s="1"/>
  <c r="U137" i="12"/>
  <c r="AC137" i="12" s="1"/>
  <c r="T137" i="12"/>
  <c r="R137" i="12"/>
  <c r="Q137" i="12"/>
  <c r="S137" i="12" s="1"/>
  <c r="U136" i="12"/>
  <c r="AC136" i="12" s="1"/>
  <c r="T136" i="12"/>
  <c r="S136" i="12"/>
  <c r="R136" i="12"/>
  <c r="Q136" i="12"/>
  <c r="U135" i="12"/>
  <c r="AC135" i="12" s="1"/>
  <c r="T135" i="12"/>
  <c r="R135" i="12"/>
  <c r="Q135" i="12"/>
  <c r="S135" i="12" s="1"/>
  <c r="U134" i="12"/>
  <c r="AC134" i="12" s="1"/>
  <c r="T134" i="12"/>
  <c r="R134" i="12"/>
  <c r="Q134" i="12"/>
  <c r="S134" i="12" s="1"/>
  <c r="U133" i="12"/>
  <c r="AC133" i="12" s="1"/>
  <c r="T133" i="12"/>
  <c r="R133" i="12"/>
  <c r="Q133" i="12"/>
  <c r="S133" i="12" s="1"/>
  <c r="U132" i="12"/>
  <c r="AC132" i="12" s="1"/>
  <c r="T132" i="12"/>
  <c r="R132" i="12"/>
  <c r="Q132" i="12"/>
  <c r="S132" i="12" s="1"/>
  <c r="U131" i="12"/>
  <c r="AC131" i="12" s="1"/>
  <c r="T131" i="12"/>
  <c r="R131" i="12"/>
  <c r="Q131" i="12"/>
  <c r="S131" i="12" s="1"/>
  <c r="U130" i="12"/>
  <c r="AC130" i="12" s="1"/>
  <c r="T130" i="12"/>
  <c r="R130" i="12"/>
  <c r="Q130" i="12"/>
  <c r="S130" i="12" s="1"/>
  <c r="U129" i="12"/>
  <c r="AC129" i="12" s="1"/>
  <c r="T129" i="12"/>
  <c r="R129" i="12"/>
  <c r="Q129" i="12"/>
  <c r="S129" i="12" s="1"/>
  <c r="U128" i="12"/>
  <c r="AC128" i="12" s="1"/>
  <c r="T128" i="12"/>
  <c r="R128" i="12"/>
  <c r="Q128" i="12"/>
  <c r="S128" i="12" s="1"/>
  <c r="U127" i="12"/>
  <c r="AC127" i="12" s="1"/>
  <c r="T127" i="12"/>
  <c r="R127" i="12"/>
  <c r="Q127" i="12"/>
  <c r="S127" i="12" s="1"/>
  <c r="U126" i="12"/>
  <c r="AC126" i="12" s="1"/>
  <c r="T126" i="12"/>
  <c r="R126" i="12"/>
  <c r="Q126" i="12"/>
  <c r="S126" i="12" s="1"/>
  <c r="U125" i="12"/>
  <c r="AC125" i="12" s="1"/>
  <c r="T125" i="12"/>
  <c r="R125" i="12"/>
  <c r="Q125" i="12"/>
  <c r="S125" i="12" s="1"/>
  <c r="U124" i="12"/>
  <c r="AC124" i="12" s="1"/>
  <c r="T124" i="12"/>
  <c r="R124" i="12"/>
  <c r="Q124" i="12"/>
  <c r="S124" i="12" s="1"/>
  <c r="U123" i="12"/>
  <c r="AC123" i="12" s="1"/>
  <c r="T123" i="12"/>
  <c r="R123" i="12"/>
  <c r="Q123" i="12"/>
  <c r="S123" i="12" s="1"/>
  <c r="U122" i="12"/>
  <c r="AC122" i="12" s="1"/>
  <c r="T122" i="12"/>
  <c r="R122" i="12"/>
  <c r="Q122" i="12"/>
  <c r="S122" i="12" s="1"/>
  <c r="U121" i="12"/>
  <c r="AC121" i="12" s="1"/>
  <c r="T121" i="12"/>
  <c r="R121" i="12"/>
  <c r="Q121" i="12"/>
  <c r="S121" i="12" s="1"/>
  <c r="U120" i="12"/>
  <c r="AC120" i="12" s="1"/>
  <c r="T120" i="12"/>
  <c r="R120" i="12"/>
  <c r="Q120" i="12"/>
  <c r="S120" i="12" s="1"/>
  <c r="U119" i="12"/>
  <c r="AC119" i="12" s="1"/>
  <c r="T119" i="12"/>
  <c r="R119" i="12"/>
  <c r="Q119" i="12"/>
  <c r="S119" i="12" s="1"/>
  <c r="V118" i="12"/>
  <c r="U118" i="12"/>
  <c r="AC118" i="12" s="1"/>
  <c r="T118" i="12"/>
  <c r="R118" i="12"/>
  <c r="Q118" i="12"/>
  <c r="S118" i="12" s="1"/>
  <c r="V117" i="12"/>
  <c r="U117" i="12"/>
  <c r="AC117" i="12" s="1"/>
  <c r="T117" i="12"/>
  <c r="R117" i="12"/>
  <c r="Q117" i="12"/>
  <c r="S117" i="12" s="1"/>
  <c r="V116" i="12"/>
  <c r="U116" i="12"/>
  <c r="AC116" i="12" s="1"/>
  <c r="T116" i="12"/>
  <c r="R116" i="12"/>
  <c r="Q116" i="12"/>
  <c r="S116" i="12" s="1"/>
  <c r="U115" i="12"/>
  <c r="AC115" i="12" s="1"/>
  <c r="T115" i="12"/>
  <c r="R115" i="12"/>
  <c r="Q115" i="12"/>
  <c r="S115" i="12" s="1"/>
  <c r="U114" i="12"/>
  <c r="AC114" i="12" s="1"/>
  <c r="T114" i="12"/>
  <c r="R114" i="12"/>
  <c r="Q114" i="12"/>
  <c r="S114" i="12" s="1"/>
  <c r="U113" i="12"/>
  <c r="AC113" i="12" s="1"/>
  <c r="T113" i="12"/>
  <c r="R113" i="12"/>
  <c r="Q113" i="12"/>
  <c r="S113" i="12" s="1"/>
  <c r="U112" i="12"/>
  <c r="AC112" i="12" s="1"/>
  <c r="T112" i="12"/>
  <c r="R112" i="12"/>
  <c r="Q112" i="12"/>
  <c r="S112" i="12" s="1"/>
  <c r="U111" i="12"/>
  <c r="AC111" i="12" s="1"/>
  <c r="T111" i="12"/>
  <c r="R111" i="12"/>
  <c r="Q111" i="12"/>
  <c r="S111" i="12" s="1"/>
  <c r="U110" i="12"/>
  <c r="AC110" i="12" s="1"/>
  <c r="T110" i="12"/>
  <c r="R110" i="12"/>
  <c r="Q110" i="12"/>
  <c r="S110" i="12" s="1"/>
  <c r="U109" i="12"/>
  <c r="AC109" i="12" s="1"/>
  <c r="T109" i="12"/>
  <c r="R109" i="12"/>
  <c r="Q109" i="12"/>
  <c r="S109" i="12" s="1"/>
  <c r="U108" i="12"/>
  <c r="AC108" i="12" s="1"/>
  <c r="T108" i="12"/>
  <c r="R108" i="12"/>
  <c r="Q108" i="12"/>
  <c r="S108" i="12" s="1"/>
  <c r="U107" i="12"/>
  <c r="AC107" i="12" s="1"/>
  <c r="T107" i="12"/>
  <c r="R107" i="12"/>
  <c r="Q107" i="12"/>
  <c r="S107" i="12" s="1"/>
  <c r="U106" i="12"/>
  <c r="AC106" i="12" s="1"/>
  <c r="T106" i="12"/>
  <c r="R106" i="12"/>
  <c r="Q106" i="12"/>
  <c r="S106" i="12" s="1"/>
  <c r="U105" i="12"/>
  <c r="AC105" i="12" s="1"/>
  <c r="T105" i="12"/>
  <c r="R105" i="12"/>
  <c r="Q105" i="12"/>
  <c r="S105" i="12" s="1"/>
  <c r="U104" i="12"/>
  <c r="AC104" i="12" s="1"/>
  <c r="T104" i="12"/>
  <c r="R104" i="12"/>
  <c r="Q104" i="12"/>
  <c r="S104" i="12" s="1"/>
  <c r="U103" i="12"/>
  <c r="AC103" i="12" s="1"/>
  <c r="T103" i="12"/>
  <c r="R103" i="12"/>
  <c r="Q103" i="12"/>
  <c r="S103" i="12" s="1"/>
  <c r="U102" i="12"/>
  <c r="AC102" i="12" s="1"/>
  <c r="T102" i="12"/>
  <c r="R102" i="12"/>
  <c r="Q102" i="12"/>
  <c r="S102" i="12" s="1"/>
  <c r="U101" i="12"/>
  <c r="AC101" i="12" s="1"/>
  <c r="T101" i="12"/>
  <c r="R101" i="12"/>
  <c r="Q101" i="12"/>
  <c r="S101" i="12" s="1"/>
  <c r="U100" i="12"/>
  <c r="AC100" i="12" s="1"/>
  <c r="T100" i="12"/>
  <c r="R100" i="12"/>
  <c r="Q100" i="12"/>
  <c r="S100" i="12" s="1"/>
  <c r="U99" i="12"/>
  <c r="AC99" i="12" s="1"/>
  <c r="T99" i="12"/>
  <c r="S99" i="12"/>
  <c r="R99" i="12"/>
  <c r="Q99" i="12"/>
  <c r="U98" i="12"/>
  <c r="AC98" i="12" s="1"/>
  <c r="T98" i="12"/>
  <c r="R98" i="12"/>
  <c r="Q98" i="12"/>
  <c r="S98" i="12" s="1"/>
  <c r="U97" i="12"/>
  <c r="AC97" i="12" s="1"/>
  <c r="T97" i="12"/>
  <c r="R97" i="12"/>
  <c r="Q97" i="12"/>
  <c r="S97" i="12" s="1"/>
  <c r="U96" i="12"/>
  <c r="AC96" i="12" s="1"/>
  <c r="T96" i="12"/>
  <c r="R96" i="12"/>
  <c r="Q96" i="12"/>
  <c r="S96" i="12" s="1"/>
  <c r="U95" i="12"/>
  <c r="AC95" i="12" s="1"/>
  <c r="T95" i="12"/>
  <c r="R95" i="12"/>
  <c r="Q95" i="12"/>
  <c r="S95" i="12" s="1"/>
  <c r="U94" i="12"/>
  <c r="AC94" i="12" s="1"/>
  <c r="T94" i="12"/>
  <c r="R94" i="12"/>
  <c r="Q94" i="12"/>
  <c r="S94" i="12" s="1"/>
  <c r="U93" i="12"/>
  <c r="AC93" i="12" s="1"/>
  <c r="T93" i="12"/>
  <c r="S93" i="12"/>
  <c r="R93" i="12"/>
  <c r="Q93" i="12"/>
  <c r="U92" i="12"/>
  <c r="AC92" i="12" s="1"/>
  <c r="T92" i="12"/>
  <c r="R92" i="12"/>
  <c r="Q92" i="12"/>
  <c r="S92" i="12" s="1"/>
  <c r="U91" i="12"/>
  <c r="AC91" i="12" s="1"/>
  <c r="T91" i="12"/>
  <c r="R91" i="12"/>
  <c r="Q91" i="12"/>
  <c r="S91" i="12" s="1"/>
  <c r="U90" i="12"/>
  <c r="AC90" i="12" s="1"/>
  <c r="T90" i="12"/>
  <c r="R90" i="12"/>
  <c r="Q90" i="12"/>
  <c r="S90" i="12" s="1"/>
  <c r="U89" i="12"/>
  <c r="AC89" i="12" s="1"/>
  <c r="T89" i="12"/>
  <c r="R89" i="12"/>
  <c r="Q89" i="12"/>
  <c r="S89" i="12" s="1"/>
  <c r="U88" i="12"/>
  <c r="AC88" i="12" s="1"/>
  <c r="T88" i="12"/>
  <c r="R88" i="12"/>
  <c r="Q88" i="12"/>
  <c r="S88" i="12" s="1"/>
  <c r="U87" i="12"/>
  <c r="AC87" i="12" s="1"/>
  <c r="T87" i="12"/>
  <c r="R87" i="12"/>
  <c r="Q87" i="12"/>
  <c r="S87" i="12" s="1"/>
  <c r="U86" i="12"/>
  <c r="AC86" i="12" s="1"/>
  <c r="T86" i="12"/>
  <c r="R86" i="12"/>
  <c r="Q86" i="12"/>
  <c r="S86" i="12" s="1"/>
  <c r="AC85" i="12"/>
  <c r="U85" i="12"/>
  <c r="P85" i="12"/>
  <c r="O85" i="12" s="1"/>
  <c r="AC84" i="12"/>
  <c r="U84" i="12"/>
  <c r="P84" i="12"/>
  <c r="O84" i="12" s="1"/>
  <c r="AC83" i="12"/>
  <c r="U83" i="12"/>
  <c r="P83" i="12"/>
  <c r="O83" i="12" s="1"/>
  <c r="AC82" i="12"/>
  <c r="U82" i="12"/>
  <c r="P82" i="12"/>
  <c r="O82" i="12" s="1"/>
  <c r="AC81" i="12"/>
  <c r="U81" i="12"/>
  <c r="P81" i="12"/>
  <c r="O81" i="12" s="1"/>
  <c r="AC80" i="12"/>
  <c r="U80" i="12"/>
  <c r="S80" i="12"/>
  <c r="P80" i="12"/>
  <c r="AC79" i="12"/>
  <c r="U79" i="12"/>
  <c r="S79" i="12"/>
  <c r="P79" i="12"/>
  <c r="O79" i="12" s="1"/>
  <c r="AC78" i="12"/>
  <c r="U78" i="12"/>
  <c r="S78" i="12"/>
  <c r="P78" i="12"/>
  <c r="AC77" i="12"/>
  <c r="U77" i="12"/>
  <c r="S77" i="12"/>
  <c r="P77" i="12"/>
  <c r="O77" i="12" s="1"/>
  <c r="AC76" i="12"/>
  <c r="U76" i="12"/>
  <c r="S76" i="12"/>
  <c r="P76" i="12"/>
  <c r="AC75" i="12"/>
  <c r="U75" i="12"/>
  <c r="S75" i="12"/>
  <c r="P75" i="12"/>
  <c r="O75" i="12" s="1"/>
  <c r="AC74" i="12"/>
  <c r="U74" i="12"/>
  <c r="S74" i="12"/>
  <c r="P74" i="12"/>
  <c r="AC73" i="12"/>
  <c r="U73" i="12"/>
  <c r="S73" i="12"/>
  <c r="P73" i="12"/>
  <c r="O73" i="12" s="1"/>
  <c r="AC72" i="12"/>
  <c r="U72" i="12"/>
  <c r="S72" i="12"/>
  <c r="P72" i="12"/>
  <c r="U71" i="12"/>
  <c r="AC71" i="12" s="1"/>
  <c r="S71" i="12"/>
  <c r="R71" i="12"/>
  <c r="U70" i="12"/>
  <c r="AC70" i="12" s="1"/>
  <c r="S70" i="12"/>
  <c r="R70" i="12"/>
  <c r="U69" i="12"/>
  <c r="AC69" i="12" s="1"/>
  <c r="S69" i="12"/>
  <c r="R69" i="12"/>
  <c r="U68" i="12"/>
  <c r="AC68" i="12" s="1"/>
  <c r="S68" i="12"/>
  <c r="R68" i="12"/>
  <c r="U67" i="12"/>
  <c r="AC67" i="12" s="1"/>
  <c r="S67" i="12"/>
  <c r="R67" i="12"/>
  <c r="U66" i="12"/>
  <c r="AC66" i="12" s="1"/>
  <c r="S66" i="12"/>
  <c r="R66" i="12"/>
  <c r="U65" i="12"/>
  <c r="AC65" i="12" s="1"/>
  <c r="S65" i="12"/>
  <c r="R65" i="12"/>
  <c r="U64" i="12"/>
  <c r="AC64" i="12" s="1"/>
  <c r="S64" i="12"/>
  <c r="R64" i="12"/>
  <c r="U63" i="12"/>
  <c r="AC63" i="12" s="1"/>
  <c r="S63" i="12"/>
  <c r="R63" i="12"/>
  <c r="U62" i="12"/>
  <c r="AC62" i="12" s="1"/>
  <c r="S62" i="12"/>
  <c r="R62" i="12"/>
  <c r="U61" i="12"/>
  <c r="AC61" i="12" s="1"/>
  <c r="T61" i="12"/>
  <c r="R61" i="12"/>
  <c r="Q61" i="12"/>
  <c r="S61" i="12" s="1"/>
  <c r="AC60" i="12"/>
  <c r="U60" i="12"/>
  <c r="T60" i="12"/>
  <c r="R60" i="12"/>
  <c r="Q60" i="12"/>
  <c r="S60" i="12" s="1"/>
  <c r="U59" i="12"/>
  <c r="AC59" i="12" s="1"/>
  <c r="S59" i="12"/>
  <c r="R59" i="12"/>
  <c r="U58" i="12"/>
  <c r="AC58" i="12" s="1"/>
  <c r="S58" i="12"/>
  <c r="R58" i="12"/>
  <c r="U57" i="12"/>
  <c r="AC57" i="12" s="1"/>
  <c r="S57" i="12"/>
  <c r="R57" i="12"/>
  <c r="U56" i="12"/>
  <c r="AC56" i="12" s="1"/>
  <c r="S56" i="12"/>
  <c r="R56" i="12"/>
  <c r="U55" i="12"/>
  <c r="AC55" i="12" s="1"/>
  <c r="S55" i="12"/>
  <c r="R55" i="12"/>
  <c r="U54" i="12"/>
  <c r="AC54" i="12" s="1"/>
  <c r="S54" i="12"/>
  <c r="R54" i="12"/>
  <c r="U53" i="12"/>
  <c r="AC53" i="12" s="1"/>
  <c r="S53" i="12"/>
  <c r="R53" i="12"/>
  <c r="U52" i="12"/>
  <c r="AC52" i="12" s="1"/>
  <c r="S52" i="12"/>
  <c r="R52" i="12"/>
  <c r="U51" i="12"/>
  <c r="AC51" i="12" s="1"/>
  <c r="S51" i="12"/>
  <c r="R51" i="12"/>
  <c r="U50" i="12"/>
  <c r="AC50" i="12" s="1"/>
  <c r="S50" i="12"/>
  <c r="R50" i="12"/>
  <c r="U49" i="12"/>
  <c r="AC49" i="12" s="1"/>
  <c r="S49" i="12"/>
  <c r="R49" i="12"/>
  <c r="U48" i="12"/>
  <c r="AC48" i="12" s="1"/>
  <c r="S48" i="12"/>
  <c r="R48" i="12"/>
  <c r="U47" i="12"/>
  <c r="AC47" i="12" s="1"/>
  <c r="S47" i="12"/>
  <c r="R47" i="12"/>
  <c r="U46" i="12"/>
  <c r="AC46" i="12" s="1"/>
  <c r="S46" i="12"/>
  <c r="R46" i="12"/>
  <c r="U45" i="12"/>
  <c r="AC45" i="12" s="1"/>
  <c r="S45" i="12"/>
  <c r="R45" i="12"/>
  <c r="U44" i="12"/>
  <c r="AC44" i="12" s="1"/>
  <c r="S44" i="12"/>
  <c r="R44" i="12"/>
  <c r="U43" i="12"/>
  <c r="AC43" i="12" s="1"/>
  <c r="S43" i="12"/>
  <c r="R43" i="12"/>
  <c r="U42" i="12"/>
  <c r="AC42" i="12" s="1"/>
  <c r="S42" i="12"/>
  <c r="R42" i="12"/>
  <c r="U41" i="12"/>
  <c r="AC41" i="12" s="1"/>
  <c r="S41" i="12"/>
  <c r="R41" i="12"/>
  <c r="U40" i="12"/>
  <c r="AC40" i="12" s="1"/>
  <c r="S40" i="12"/>
  <c r="R40" i="12"/>
  <c r="U39" i="12"/>
  <c r="AC39" i="12" s="1"/>
  <c r="S39" i="12"/>
  <c r="R39" i="12"/>
  <c r="U38" i="12"/>
  <c r="AC38" i="12" s="1"/>
  <c r="S38" i="12"/>
  <c r="R38" i="12"/>
  <c r="AC37" i="12"/>
  <c r="U37" i="12"/>
  <c r="S37" i="12"/>
  <c r="R37" i="12"/>
  <c r="U36" i="12"/>
  <c r="AC36" i="12" s="1"/>
  <c r="S36" i="12"/>
  <c r="R36" i="12"/>
  <c r="U35" i="12"/>
  <c r="AC35" i="12" s="1"/>
  <c r="S35" i="12"/>
  <c r="R35" i="12"/>
  <c r="U34" i="12"/>
  <c r="AC34" i="12" s="1"/>
  <c r="S34" i="12"/>
  <c r="R34" i="12"/>
  <c r="U33" i="12"/>
  <c r="AC33" i="12" s="1"/>
  <c r="S33" i="12"/>
  <c r="R33" i="12"/>
  <c r="U32" i="12"/>
  <c r="AC32" i="12" s="1"/>
  <c r="S32" i="12"/>
  <c r="R32" i="12"/>
  <c r="U31" i="12"/>
  <c r="AC31" i="12" s="1"/>
  <c r="S31" i="12"/>
  <c r="R31" i="12"/>
  <c r="U30" i="12"/>
  <c r="AC30" i="12" s="1"/>
  <c r="S30" i="12"/>
  <c r="R30" i="12"/>
  <c r="U29" i="12"/>
  <c r="AC29" i="12" s="1"/>
  <c r="S29" i="12"/>
  <c r="R29" i="12"/>
  <c r="U28" i="12"/>
  <c r="AC28" i="12" s="1"/>
  <c r="S28" i="12"/>
  <c r="R28" i="12"/>
  <c r="U27" i="12"/>
  <c r="AC27" i="12" s="1"/>
  <c r="U26" i="12"/>
  <c r="AC26" i="12" s="1"/>
  <c r="U25" i="12"/>
  <c r="AC25" i="12" s="1"/>
  <c r="S25" i="12"/>
  <c r="R25" i="12"/>
  <c r="U24" i="12"/>
  <c r="AC24" i="12" s="1"/>
  <c r="S24" i="12"/>
  <c r="R24" i="12"/>
  <c r="U23" i="12"/>
  <c r="AC23" i="12" s="1"/>
  <c r="S23" i="12"/>
  <c r="R23" i="12"/>
  <c r="U22" i="12"/>
  <c r="AC22" i="12" s="1"/>
  <c r="S22" i="12"/>
  <c r="R22" i="12"/>
  <c r="U21" i="12"/>
  <c r="AC21" i="12" s="1"/>
  <c r="S21" i="12"/>
  <c r="R21" i="12"/>
  <c r="U20" i="12"/>
  <c r="AC20" i="12" s="1"/>
  <c r="S20" i="12"/>
  <c r="R20" i="12"/>
  <c r="U19" i="12"/>
  <c r="AC19" i="12" s="1"/>
  <c r="S19" i="12"/>
  <c r="R19" i="12"/>
  <c r="U18" i="12"/>
  <c r="AC18" i="12" s="1"/>
  <c r="S18" i="12"/>
  <c r="R18" i="12"/>
  <c r="U17" i="12"/>
  <c r="AC17" i="12" s="1"/>
  <c r="S17" i="12"/>
  <c r="R17" i="12"/>
  <c r="U16" i="12"/>
  <c r="AC16" i="12" s="1"/>
  <c r="S16" i="12"/>
  <c r="R16" i="12"/>
  <c r="U15" i="12"/>
  <c r="AC15" i="12" s="1"/>
  <c r="S15" i="12"/>
  <c r="R15" i="12"/>
  <c r="U14" i="12"/>
  <c r="AC14" i="12" s="1"/>
  <c r="S14" i="12"/>
  <c r="R14" i="12"/>
  <c r="U13" i="12"/>
  <c r="AC13" i="12" s="1"/>
  <c r="S13" i="12"/>
  <c r="R13" i="12"/>
  <c r="U12" i="12"/>
  <c r="AC12" i="12" s="1"/>
  <c r="S12" i="12"/>
  <c r="R12" i="12"/>
  <c r="U11" i="12"/>
  <c r="AC11" i="12" s="1"/>
  <c r="S11" i="12"/>
  <c r="R11" i="12"/>
  <c r="U10" i="12"/>
  <c r="AC10" i="12" s="1"/>
  <c r="S10" i="12"/>
  <c r="R10" i="12"/>
  <c r="U9" i="12"/>
  <c r="AC9" i="12" s="1"/>
  <c r="S9" i="12"/>
  <c r="R9" i="12"/>
  <c r="U8" i="12"/>
  <c r="AC8" i="12" s="1"/>
  <c r="S8" i="12"/>
  <c r="R8" i="12"/>
  <c r="U7" i="12"/>
  <c r="AC7" i="12" s="1"/>
  <c r="S7" i="12"/>
  <c r="R7" i="12"/>
  <c r="U6" i="12"/>
  <c r="AC6" i="12" s="1"/>
  <c r="S6" i="12"/>
  <c r="R6" i="12"/>
  <c r="U5" i="12"/>
  <c r="AC5" i="12" s="1"/>
  <c r="S5" i="12"/>
  <c r="R5" i="12"/>
  <c r="A5" i="12"/>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U4" i="12"/>
  <c r="AC4" i="12" s="1"/>
  <c r="R4" i="12"/>
  <c r="C1" i="12"/>
  <c r="D1" i="12" s="1"/>
  <c r="E1" i="12" s="1"/>
  <c r="F1" i="12" s="1"/>
  <c r="G1" i="12" s="1"/>
  <c r="H1" i="12" s="1"/>
  <c r="I1" i="12" s="1"/>
  <c r="J1" i="12" s="1"/>
  <c r="K1" i="12" s="1"/>
  <c r="L1" i="12" s="1"/>
  <c r="M1" i="12" s="1"/>
  <c r="N1" i="12" s="1"/>
  <c r="O1" i="12" s="1"/>
  <c r="P1" i="12" s="1"/>
  <c r="Q1" i="12" s="1"/>
  <c r="R1" i="12" s="1"/>
  <c r="S1" i="12" s="1"/>
  <c r="T1" i="12" s="1"/>
  <c r="U1" i="12" s="1"/>
  <c r="V1" i="12" s="1"/>
  <c r="A230" i="12" l="1"/>
  <c r="Q82" i="12"/>
  <c r="S82" i="12" s="1"/>
  <c r="R81" i="12"/>
  <c r="Q85" i="12"/>
  <c r="S85" i="12" s="1"/>
  <c r="R75" i="12"/>
  <c r="R79" i="12"/>
  <c r="Z129" i="8"/>
  <c r="R76" i="12"/>
  <c r="O76" i="12"/>
  <c r="R77" i="12"/>
  <c r="R78" i="12"/>
  <c r="O78" i="12"/>
  <c r="R82" i="12"/>
  <c r="R85" i="12"/>
  <c r="R72" i="12"/>
  <c r="O72" i="12"/>
  <c r="R80" i="12"/>
  <c r="O80" i="12"/>
  <c r="R73" i="12"/>
  <c r="R74" i="12"/>
  <c r="O74" i="12"/>
  <c r="Q81" i="12"/>
  <c r="S81" i="12" s="1"/>
  <c r="R84" i="12"/>
  <c r="Q84" i="12"/>
  <c r="S84" i="12" s="1"/>
  <c r="R83" i="12"/>
  <c r="Q83" i="12"/>
  <c r="S83" i="12" s="1"/>
  <c r="Z119" i="8" l="1"/>
  <c r="X119" i="8"/>
  <c r="X118" i="8"/>
  <c r="O119" i="8"/>
  <c r="Q119" i="8"/>
  <c r="Z118" i="8"/>
  <c r="O118" i="8"/>
  <c r="Q118" i="8"/>
  <c r="Z117" i="8" l="1"/>
  <c r="X117" i="8"/>
  <c r="Q117" i="8"/>
  <c r="O117" i="8"/>
  <c r="A4" i="11" l="1"/>
  <c r="A5" i="11" s="1"/>
  <c r="A6" i="11" s="1"/>
  <c r="A7" i="11" s="1"/>
  <c r="A8" i="11" s="1"/>
  <c r="A9" i="11" s="1"/>
  <c r="A10" i="11" s="1"/>
  <c r="C1" i="11"/>
  <c r="D1" i="11" s="1"/>
  <c r="E1" i="11" s="1"/>
  <c r="F1" i="11" s="1"/>
  <c r="G1" i="11" s="1"/>
  <c r="H1" i="11" s="1"/>
  <c r="I1" i="11" s="1"/>
  <c r="J1" i="11" s="1"/>
  <c r="A11" i="11" l="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4" i="6"/>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X36" i="8" l="1"/>
  <c r="X39" i="8"/>
  <c r="X38" i="8"/>
  <c r="X37" i="8"/>
  <c r="X35" i="8"/>
  <c r="X34" i="8"/>
  <c r="X33" i="8"/>
  <c r="X32" i="8"/>
  <c r="X31" i="8"/>
  <c r="X30" i="8"/>
  <c r="X29" i="8"/>
  <c r="X28" i="8"/>
  <c r="X27" i="8"/>
  <c r="O189" i="3" l="1"/>
  <c r="M189" i="3"/>
  <c r="P190" i="3"/>
  <c r="H190" i="3"/>
  <c r="O190" i="3" s="1"/>
  <c r="Q190" i="3" l="1"/>
  <c r="M190" i="3"/>
  <c r="P174" i="3"/>
  <c r="O174" i="3"/>
  <c r="M174" i="3"/>
  <c r="P173" i="3"/>
  <c r="O173" i="3"/>
  <c r="Q174" i="3" l="1"/>
  <c r="Q173" i="3"/>
  <c r="P28" i="3"/>
  <c r="P27" i="3"/>
  <c r="O28" i="3"/>
  <c r="O27" i="3"/>
  <c r="N28" i="3"/>
  <c r="M28" i="3" s="1"/>
  <c r="M27" i="3"/>
  <c r="A945" i="1" l="1"/>
  <c r="A2361" i="1" l="1"/>
  <c r="A1434" i="1"/>
  <c r="A1429" i="1"/>
  <c r="A1428" i="1"/>
  <c r="A878" i="1"/>
  <c r="A354" i="1" l="1"/>
  <c r="A353" i="1" l="1"/>
  <c r="A2351" i="1" l="1"/>
  <c r="A493" i="1" l="1"/>
  <c r="A2360" i="1" l="1"/>
  <c r="A2359" i="1" l="1"/>
  <c r="A2358" i="1" l="1"/>
  <c r="A2357" i="1" l="1"/>
  <c r="A2356" i="1" l="1"/>
  <c r="A2355" i="1"/>
  <c r="A2236" i="1" l="1"/>
  <c r="A2227" i="1"/>
  <c r="A2354" i="1" l="1"/>
  <c r="A2116" i="1"/>
  <c r="A352" i="1" l="1"/>
  <c r="A668" i="1" l="1"/>
  <c r="A688" i="1" l="1"/>
  <c r="A689" i="1"/>
  <c r="A2095" i="1" l="1"/>
  <c r="A2094" i="1"/>
  <c r="A2093" i="1"/>
  <c r="A2092" i="1"/>
  <c r="A2091" i="1"/>
  <c r="A2090" i="1"/>
  <c r="A2089" i="1"/>
  <c r="A2088" i="1"/>
  <c r="A2087" i="1"/>
  <c r="A2086" i="1"/>
  <c r="A2085" i="1"/>
  <c r="A2084" i="1"/>
  <c r="A2083" i="1"/>
  <c r="A2082" i="1"/>
  <c r="A2081" i="1"/>
  <c r="A2080" i="1"/>
  <c r="A2079" i="1"/>
  <c r="A2078" i="1"/>
  <c r="A2077" i="1"/>
  <c r="A2076" i="1"/>
  <c r="E138" i="9"/>
  <c r="E136" i="9"/>
  <c r="E134" i="9"/>
  <c r="E104" i="9"/>
  <c r="E114" i="9"/>
  <c r="E124" i="9"/>
  <c r="E106" i="9"/>
  <c r="E116" i="9"/>
  <c r="E126" i="9"/>
  <c r="E110" i="9"/>
  <c r="E120" i="9"/>
  <c r="E130" i="9"/>
  <c r="E108" i="9"/>
  <c r="E118" i="9"/>
  <c r="E128" i="9"/>
  <c r="E11" i="9"/>
  <c r="E8" i="9"/>
  <c r="A2353" i="1"/>
  <c r="E5" i="9"/>
  <c r="E6" i="9"/>
  <c r="E12" i="9"/>
  <c r="E7" i="9"/>
  <c r="E112" i="9"/>
  <c r="E122" i="9"/>
  <c r="E132" i="9"/>
  <c r="E9" i="9"/>
  <c r="E10" i="9"/>
  <c r="E13" i="9"/>
  <c r="E21" i="9"/>
  <c r="E23" i="9"/>
  <c r="E15" i="9"/>
  <c r="E144" i="9"/>
  <c r="E158" i="9"/>
  <c r="E156" i="9"/>
  <c r="E161" i="9"/>
  <c r="E165" i="9"/>
  <c r="E163" i="9"/>
  <c r="E142" i="9"/>
  <c r="E154" i="9"/>
  <c r="E150" i="9"/>
  <c r="E152" i="9"/>
  <c r="E146" i="9"/>
  <c r="E148" i="9"/>
  <c r="E171" i="9"/>
  <c r="E177" i="9"/>
  <c r="E173" i="9"/>
  <c r="E363" i="9"/>
  <c r="E179" i="9"/>
  <c r="E183" i="9"/>
  <c r="E175" i="9"/>
  <c r="E181" i="9"/>
  <c r="E185" i="9"/>
  <c r="E187" i="9"/>
  <c r="E191" i="9"/>
  <c r="E199" i="9"/>
  <c r="E207" i="9"/>
  <c r="E227" i="9"/>
  <c r="E229" i="9"/>
  <c r="E213" i="9"/>
  <c r="E193" i="9"/>
  <c r="E201" i="9"/>
  <c r="E209" i="9"/>
  <c r="E195" i="9"/>
  <c r="E203" i="9"/>
  <c r="E211" i="9"/>
  <c r="E231" i="9"/>
  <c r="E233" i="9"/>
  <c r="E197" i="9"/>
  <c r="E205" i="9"/>
  <c r="E261" i="9"/>
  <c r="E263" i="9"/>
  <c r="E265" i="9"/>
  <c r="E267" i="9"/>
  <c r="E237" i="9"/>
  <c r="E239" i="9"/>
  <c r="E269" i="9"/>
  <c r="E271" i="9"/>
  <c r="E273" i="9"/>
  <c r="E275" i="9"/>
  <c r="E255" i="9"/>
  <c r="E249" i="9"/>
  <c r="E283" i="9"/>
  <c r="E247" i="9"/>
  <c r="E415" i="9"/>
  <c r="E419" i="9"/>
  <c r="E423" i="9"/>
  <c r="E429" i="9"/>
  <c r="E431" i="9"/>
  <c r="E437" i="9"/>
  <c r="E241" i="9"/>
  <c r="E243" i="9"/>
  <c r="E245" i="9"/>
  <c r="E251" i="9"/>
  <c r="E253" i="9"/>
  <c r="E277" i="9"/>
  <c r="E279" i="9"/>
  <c r="E281" i="9"/>
  <c r="E285" i="9"/>
  <c r="E287" i="9"/>
  <c r="E417" i="9"/>
  <c r="E425" i="9"/>
  <c r="E427" i="9"/>
  <c r="E435" i="9"/>
  <c r="E293" i="9"/>
  <c r="E301" i="9"/>
  <c r="E309" i="9"/>
  <c r="E371" i="9"/>
  <c r="E381" i="9"/>
  <c r="E391" i="9"/>
  <c r="E295" i="9"/>
  <c r="E303" i="9"/>
  <c r="E311" i="9"/>
  <c r="E297" i="9"/>
  <c r="E305" i="9"/>
  <c r="E313" i="9"/>
  <c r="E373" i="9"/>
  <c r="E393" i="9"/>
  <c r="E299" i="9"/>
  <c r="E307" i="9"/>
  <c r="E315" i="9"/>
  <c r="E375" i="9"/>
  <c r="E395" i="9"/>
  <c r="E377" i="9"/>
  <c r="E397" i="9"/>
  <c r="E379" i="9"/>
  <c r="E399" i="9"/>
  <c r="E333" i="9"/>
  <c r="E335" i="9"/>
  <c r="E337" i="9"/>
  <c r="E339" i="9"/>
  <c r="E321" i="9"/>
  <c r="E323" i="9"/>
  <c r="E325" i="9"/>
  <c r="E327" i="9"/>
  <c r="E329" i="9"/>
  <c r="E331" i="9"/>
  <c r="E365" i="9"/>
  <c r="E359" i="9"/>
  <c r="E215" i="9"/>
  <c r="E217" i="9"/>
  <c r="E219" i="9"/>
  <c r="E221" i="9"/>
  <c r="E409" i="9"/>
  <c r="E403" i="9"/>
  <c r="E383" i="9"/>
  <c r="E385" i="9"/>
  <c r="E387" i="9"/>
  <c r="E389" i="9"/>
  <c r="E443" i="9"/>
  <c r="E451" i="9"/>
  <c r="E447" i="9"/>
  <c r="E457" i="9"/>
  <c r="E469" i="9"/>
  <c r="E459" i="9"/>
  <c r="E471" i="9"/>
  <c r="E461" i="9"/>
  <c r="E473" i="9"/>
  <c r="E463" i="9"/>
  <c r="E475" i="9"/>
  <c r="E465" i="9"/>
  <c r="E477" i="9"/>
  <c r="O31" i="8"/>
  <c r="E18" i="9"/>
  <c r="E39" i="9"/>
  <c r="E40"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E16" i="9"/>
  <c r="E17" i="9"/>
  <c r="E19" i="9"/>
  <c r="E20" i="9"/>
  <c r="E22" i="9"/>
  <c r="E24" i="9"/>
  <c r="E25" i="9"/>
  <c r="E26" i="9"/>
  <c r="E27" i="9"/>
  <c r="E28" i="9"/>
  <c r="E29" i="9"/>
  <c r="E30" i="9"/>
  <c r="E31" i="9"/>
  <c r="E32" i="9"/>
  <c r="E33" i="9"/>
  <c r="E34" i="9"/>
  <c r="E35" i="9"/>
  <c r="E36" i="9"/>
  <c r="E37" i="9"/>
  <c r="E38"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5" i="9"/>
  <c r="E107" i="9"/>
  <c r="E109" i="9"/>
  <c r="E111" i="9"/>
  <c r="E113" i="9"/>
  <c r="E115" i="9"/>
  <c r="E117" i="9"/>
  <c r="E119" i="9"/>
  <c r="E121" i="9"/>
  <c r="E123" i="9"/>
  <c r="E125" i="9"/>
  <c r="E127" i="9"/>
  <c r="E129" i="9"/>
  <c r="E131" i="9"/>
  <c r="E133" i="9"/>
  <c r="E135" i="9"/>
  <c r="E137" i="9"/>
  <c r="E139" i="9"/>
  <c r="E143" i="9"/>
  <c r="E145" i="9"/>
  <c r="E147" i="9"/>
  <c r="E149" i="9"/>
  <c r="E151" i="9"/>
  <c r="E153" i="9"/>
  <c r="E155" i="9"/>
  <c r="E157" i="9"/>
  <c r="E159" i="9"/>
  <c r="E162" i="9"/>
  <c r="E164" i="9"/>
  <c r="E166" i="9"/>
  <c r="E170" i="9"/>
  <c r="E172" i="9"/>
  <c r="E174" i="9"/>
  <c r="E176" i="9"/>
  <c r="E178" i="9"/>
  <c r="E180" i="9"/>
  <c r="E182" i="9"/>
  <c r="E184" i="9"/>
  <c r="E186" i="9"/>
  <c r="E188" i="9"/>
  <c r="E190" i="9"/>
  <c r="E192" i="9"/>
  <c r="E194" i="9"/>
  <c r="E196" i="9"/>
  <c r="E198" i="9"/>
  <c r="E200" i="9"/>
  <c r="E202" i="9"/>
  <c r="E204" i="9"/>
  <c r="E206" i="9"/>
  <c r="E208" i="9"/>
  <c r="E210" i="9"/>
  <c r="E212" i="9"/>
  <c r="E214" i="9"/>
  <c r="E216" i="9"/>
  <c r="E218" i="9"/>
  <c r="E220" i="9"/>
  <c r="E222" i="9"/>
  <c r="E223" i="9"/>
  <c r="E224" i="9"/>
  <c r="E226" i="9"/>
  <c r="E228" i="9"/>
  <c r="E230" i="9"/>
  <c r="E232" i="9"/>
  <c r="E234" i="9"/>
  <c r="E236" i="9"/>
  <c r="E238" i="9"/>
  <c r="E240" i="9"/>
  <c r="E242" i="9"/>
  <c r="E244" i="9"/>
  <c r="E246" i="9"/>
  <c r="E248" i="9"/>
  <c r="E250" i="9"/>
  <c r="E252" i="9"/>
  <c r="E254" i="9"/>
  <c r="E256" i="9"/>
  <c r="E260" i="9"/>
  <c r="E262" i="9"/>
  <c r="E264" i="9"/>
  <c r="E266" i="9"/>
  <c r="E268" i="9"/>
  <c r="E270" i="9"/>
  <c r="E272" i="9"/>
  <c r="E274" i="9"/>
  <c r="E276" i="9"/>
  <c r="E278" i="9"/>
  <c r="E280" i="9"/>
  <c r="E282" i="9"/>
  <c r="E284" i="9"/>
  <c r="E286" i="9"/>
  <c r="E288" i="9"/>
  <c r="E292" i="9"/>
  <c r="E294" i="9"/>
  <c r="E296" i="9"/>
  <c r="E298" i="9"/>
  <c r="E300" i="9"/>
  <c r="E302" i="9"/>
  <c r="E304" i="9"/>
  <c r="E306" i="9"/>
  <c r="E308" i="9"/>
  <c r="E310" i="9"/>
  <c r="E312" i="9"/>
  <c r="E314" i="9"/>
  <c r="E316" i="9"/>
  <c r="E320" i="9"/>
  <c r="E322" i="9"/>
  <c r="E324" i="9"/>
  <c r="E326" i="9"/>
  <c r="E328" i="9"/>
  <c r="E330" i="9"/>
  <c r="E332" i="9"/>
  <c r="E334" i="9"/>
  <c r="E336" i="9"/>
  <c r="E338" i="9"/>
  <c r="E340" i="9"/>
  <c r="E341" i="9"/>
  <c r="E342" i="9"/>
  <c r="E343" i="9"/>
  <c r="E344" i="9"/>
  <c r="E346" i="9"/>
  <c r="E347" i="9"/>
  <c r="E348" i="9"/>
  <c r="E349" i="9"/>
  <c r="E350" i="9"/>
  <c r="E351" i="9"/>
  <c r="E352" i="9"/>
  <c r="E353" i="9"/>
  <c r="E354" i="9"/>
  <c r="E356" i="9"/>
  <c r="E358" i="9"/>
  <c r="E360" i="9"/>
  <c r="E362" i="9"/>
  <c r="E364" i="9"/>
  <c r="E366" i="9"/>
  <c r="E370" i="9"/>
  <c r="E372" i="9"/>
  <c r="E374" i="9"/>
  <c r="E376" i="9"/>
  <c r="E378" i="9"/>
  <c r="E380" i="9"/>
  <c r="E382" i="9"/>
  <c r="E384" i="9"/>
  <c r="E386" i="9"/>
  <c r="E388" i="9"/>
  <c r="E390" i="9"/>
  <c r="E392" i="9"/>
  <c r="E394" i="9"/>
  <c r="E396" i="9"/>
  <c r="E398" i="9"/>
  <c r="E400" i="9"/>
  <c r="E402" i="9"/>
  <c r="E404" i="9"/>
  <c r="E406" i="9"/>
  <c r="E407" i="9"/>
  <c r="E408" i="9"/>
  <c r="E410" i="9"/>
  <c r="E412" i="9"/>
  <c r="E414" i="9"/>
  <c r="E416" i="9"/>
  <c r="E418" i="9"/>
  <c r="E420" i="9"/>
  <c r="E421" i="9"/>
  <c r="E422" i="9"/>
  <c r="E424" i="9"/>
  <c r="E426" i="9"/>
  <c r="E428" i="9"/>
  <c r="E430" i="9"/>
  <c r="E432" i="9"/>
  <c r="E433" i="9"/>
  <c r="E434" i="9"/>
  <c r="E436" i="9"/>
  <c r="E438" i="9"/>
  <c r="E442" i="9"/>
  <c r="E444" i="9"/>
  <c r="E446" i="9"/>
  <c r="E448" i="9"/>
  <c r="E450" i="9"/>
  <c r="E452" i="9"/>
  <c r="E456" i="9"/>
  <c r="E458" i="9"/>
  <c r="E460" i="9"/>
  <c r="E462" i="9"/>
  <c r="E464" i="9"/>
  <c r="E466" i="9"/>
  <c r="E468" i="9"/>
  <c r="E470" i="9"/>
  <c r="E472" i="9"/>
  <c r="E474" i="9"/>
  <c r="E476" i="9"/>
  <c r="E478" i="9"/>
  <c r="K2" i="9"/>
  <c r="L2" i="9"/>
  <c r="M2" i="9"/>
  <c r="N2" i="9"/>
  <c r="O2" i="9"/>
  <c r="P2" i="9"/>
  <c r="Q2" i="9"/>
  <c r="R2" i="9"/>
  <c r="S2" i="9"/>
  <c r="T2" i="9"/>
  <c r="U2" i="9"/>
  <c r="V2" i="9"/>
  <c r="W2" i="9"/>
  <c r="X2" i="9"/>
  <c r="Y2" i="9"/>
  <c r="Z2" i="9"/>
  <c r="AA2" i="9"/>
  <c r="AB2" i="9"/>
  <c r="G2" i="9"/>
  <c r="H2" i="9"/>
  <c r="I2" i="9"/>
  <c r="J2" i="9"/>
  <c r="F2" i="9"/>
  <c r="H116" i="8"/>
  <c r="Z116" i="8" s="1"/>
  <c r="U116" i="8"/>
  <c r="T116" i="8"/>
  <c r="O116" i="8"/>
  <c r="H115" i="8"/>
  <c r="Z115" i="8" s="1"/>
  <c r="U115" i="8"/>
  <c r="T115" i="8"/>
  <c r="O115" i="8"/>
  <c r="H114" i="8"/>
  <c r="Z114" i="8" s="1"/>
  <c r="U114" i="8"/>
  <c r="T114" i="8"/>
  <c r="O114" i="8"/>
  <c r="H113" i="8"/>
  <c r="Z113" i="8" s="1"/>
  <c r="U113" i="8"/>
  <c r="T113" i="8"/>
  <c r="O113" i="8"/>
  <c r="H112" i="8"/>
  <c r="Z112" i="8" s="1"/>
  <c r="U112" i="8"/>
  <c r="T112" i="8"/>
  <c r="O112" i="8"/>
  <c r="Z111" i="8"/>
  <c r="Z110" i="8"/>
  <c r="Z109" i="8"/>
  <c r="Z108" i="8"/>
  <c r="Z107" i="8"/>
  <c r="Z106" i="8"/>
  <c r="Z105" i="8"/>
  <c r="Z104" i="8"/>
  <c r="Z103" i="8"/>
  <c r="Z102" i="8"/>
  <c r="Z101" i="8"/>
  <c r="Z100" i="8"/>
  <c r="Z99" i="8"/>
  <c r="Z98" i="8"/>
  <c r="Z97" i="8"/>
  <c r="Z96" i="8"/>
  <c r="Z95" i="8"/>
  <c r="Z94" i="8"/>
  <c r="Z93" i="8"/>
  <c r="Z92" i="8"/>
  <c r="Z91" i="8"/>
  <c r="Z90" i="8"/>
  <c r="Z89" i="8"/>
  <c r="Z88" i="8"/>
  <c r="Z68" i="8"/>
  <c r="Z67" i="8"/>
  <c r="Z66" i="8"/>
  <c r="Z65" i="8"/>
  <c r="Z64" i="8"/>
  <c r="Z63" i="8"/>
  <c r="Z62" i="8"/>
  <c r="Z61" i="8"/>
  <c r="Z41" i="8"/>
  <c r="Z40" i="8"/>
  <c r="N170" i="3"/>
  <c r="M170" i="3" s="1"/>
  <c r="Q170" i="3" s="1"/>
  <c r="P170" i="3"/>
  <c r="O170" i="3"/>
  <c r="N169" i="3"/>
  <c r="M169" i="3" s="1"/>
  <c r="Q169" i="3" s="1"/>
  <c r="P169" i="3"/>
  <c r="O169" i="3"/>
  <c r="Q189" i="3"/>
  <c r="P189" i="3"/>
  <c r="A175" i="3"/>
  <c r="A176" i="3" s="1"/>
  <c r="A177" i="3" s="1"/>
  <c r="A178" i="3" s="1"/>
  <c r="A179" i="3" s="1"/>
  <c r="A180" i="3" s="1"/>
  <c r="A181" i="3" s="1"/>
  <c r="A182" i="3" s="1"/>
  <c r="A183" i="3" s="1"/>
  <c r="A184" i="3" s="1"/>
  <c r="A185" i="3" s="1"/>
  <c r="A186" i="3" s="1"/>
  <c r="A187" i="3" s="1"/>
  <c r="A188" i="3" s="1"/>
  <c r="A189" i="3" s="1"/>
  <c r="M188" i="3"/>
  <c r="O188" i="3"/>
  <c r="Q188" i="3"/>
  <c r="P188" i="3"/>
  <c r="M187" i="3"/>
  <c r="O187" i="3"/>
  <c r="Q187" i="3"/>
  <c r="P187" i="3"/>
  <c r="M186" i="3"/>
  <c r="O186" i="3"/>
  <c r="Q186" i="3"/>
  <c r="P186" i="3"/>
  <c r="M185" i="3"/>
  <c r="O185" i="3"/>
  <c r="Q185" i="3"/>
  <c r="P185" i="3"/>
  <c r="M184" i="3"/>
  <c r="O184" i="3"/>
  <c r="P184" i="3"/>
  <c r="M183" i="3"/>
  <c r="O183" i="3"/>
  <c r="P183" i="3"/>
  <c r="M182" i="3"/>
  <c r="Q182" i="3" s="1"/>
  <c r="O182" i="3"/>
  <c r="P182" i="3"/>
  <c r="P181" i="3"/>
  <c r="O181" i="3"/>
  <c r="M181" i="3"/>
  <c r="P180" i="3"/>
  <c r="O180" i="3"/>
  <c r="M180" i="3"/>
  <c r="P179" i="3"/>
  <c r="O179" i="3"/>
  <c r="M179" i="3"/>
  <c r="M178" i="3"/>
  <c r="O178" i="3"/>
  <c r="P178" i="3"/>
  <c r="M177" i="3"/>
  <c r="O177" i="3"/>
  <c r="P177" i="3"/>
  <c r="P176" i="3"/>
  <c r="O176" i="3"/>
  <c r="P175" i="3"/>
  <c r="O175" i="3"/>
  <c r="M172" i="3"/>
  <c r="O172" i="3"/>
  <c r="P172" i="3"/>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M171" i="3"/>
  <c r="Q171" i="3" s="1"/>
  <c r="O171" i="3"/>
  <c r="P171" i="3"/>
  <c r="N168" i="3"/>
  <c r="M168" i="3" s="1"/>
  <c r="Q168" i="3" s="1"/>
  <c r="P168" i="3"/>
  <c r="O168" i="3"/>
  <c r="N167" i="3"/>
  <c r="M167" i="3" s="1"/>
  <c r="Q167" i="3" s="1"/>
  <c r="P167" i="3"/>
  <c r="O167" i="3"/>
  <c r="N166" i="3"/>
  <c r="M166" i="3" s="1"/>
  <c r="Q166" i="3" s="1"/>
  <c r="P166" i="3"/>
  <c r="O166" i="3"/>
  <c r="N165" i="3"/>
  <c r="M165" i="3" s="1"/>
  <c r="O165" i="3"/>
  <c r="P165" i="3"/>
  <c r="N164" i="3"/>
  <c r="M164" i="3" s="1"/>
  <c r="O164" i="3"/>
  <c r="P164" i="3"/>
  <c r="N163" i="3"/>
  <c r="M163" i="3" s="1"/>
  <c r="O163" i="3"/>
  <c r="P163" i="3"/>
  <c r="N162" i="3"/>
  <c r="M162" i="3" s="1"/>
  <c r="O162" i="3"/>
  <c r="P162" i="3"/>
  <c r="N161" i="3"/>
  <c r="M161" i="3" s="1"/>
  <c r="O161" i="3"/>
  <c r="P161" i="3"/>
  <c r="N160" i="3"/>
  <c r="M160" i="3" s="1"/>
  <c r="O160" i="3"/>
  <c r="P160" i="3"/>
  <c r="N159" i="3"/>
  <c r="M159" i="3" s="1"/>
  <c r="O159" i="3"/>
  <c r="P159" i="3"/>
  <c r="N158" i="3"/>
  <c r="M158" i="3" s="1"/>
  <c r="O158" i="3"/>
  <c r="P158" i="3"/>
  <c r="N157" i="3"/>
  <c r="M157" i="3" s="1"/>
  <c r="O157" i="3"/>
  <c r="P157" i="3"/>
  <c r="N156" i="3"/>
  <c r="M156" i="3" s="1"/>
  <c r="O156" i="3"/>
  <c r="P156" i="3"/>
  <c r="P155" i="3"/>
  <c r="O155" i="3"/>
  <c r="N155" i="3"/>
  <c r="P154" i="3"/>
  <c r="O154" i="3"/>
  <c r="N154" i="3"/>
  <c r="M153" i="3"/>
  <c r="O153" i="3"/>
  <c r="P153" i="3"/>
  <c r="M152" i="3"/>
  <c r="O152" i="3"/>
  <c r="Q152" i="3" s="1"/>
  <c r="P152" i="3"/>
  <c r="M151" i="3"/>
  <c r="O151" i="3"/>
  <c r="P151" i="3"/>
  <c r="M150" i="3"/>
  <c r="O150" i="3"/>
  <c r="P150" i="3"/>
  <c r="M149" i="3"/>
  <c r="O149" i="3"/>
  <c r="P149" i="3"/>
  <c r="M148" i="3"/>
  <c r="O148" i="3"/>
  <c r="Q148" i="3" s="1"/>
  <c r="P148" i="3"/>
  <c r="M147" i="3"/>
  <c r="O147" i="3"/>
  <c r="P147" i="3"/>
  <c r="M146" i="3"/>
  <c r="O146" i="3"/>
  <c r="P146" i="3"/>
  <c r="M145" i="3"/>
  <c r="O145" i="3"/>
  <c r="P145" i="3"/>
  <c r="M144" i="3"/>
  <c r="O144" i="3"/>
  <c r="Q144" i="3" s="1"/>
  <c r="P144" i="3"/>
  <c r="M143" i="3"/>
  <c r="O143" i="3"/>
  <c r="P143" i="3"/>
  <c r="M142" i="3"/>
  <c r="O142" i="3"/>
  <c r="P142" i="3"/>
  <c r="M141" i="3"/>
  <c r="O141" i="3"/>
  <c r="P141" i="3"/>
  <c r="M140" i="3"/>
  <c r="O140" i="3"/>
  <c r="Q140" i="3" s="1"/>
  <c r="P140" i="3"/>
  <c r="M139" i="3"/>
  <c r="O139" i="3"/>
  <c r="P139" i="3"/>
  <c r="M138" i="3"/>
  <c r="O138" i="3"/>
  <c r="P138" i="3"/>
  <c r="M137" i="3"/>
  <c r="O137" i="3"/>
  <c r="P137" i="3"/>
  <c r="M136" i="3"/>
  <c r="O136" i="3"/>
  <c r="Q136" i="3" s="1"/>
  <c r="P136" i="3"/>
  <c r="R135" i="3"/>
  <c r="N135" i="3"/>
  <c r="M135" i="3" s="1"/>
  <c r="O135" i="3"/>
  <c r="P135" i="3"/>
  <c r="R134" i="3"/>
  <c r="N134" i="3"/>
  <c r="M134" i="3" s="1"/>
  <c r="O134" i="3"/>
  <c r="P134" i="3"/>
  <c r="R133" i="3"/>
  <c r="N133" i="3"/>
  <c r="M133" i="3" s="1"/>
  <c r="O133" i="3"/>
  <c r="P133" i="3"/>
  <c r="R132" i="3"/>
  <c r="N132" i="3"/>
  <c r="M132" i="3" s="1"/>
  <c r="O132" i="3"/>
  <c r="P132" i="3"/>
  <c r="R131" i="3"/>
  <c r="N131" i="3"/>
  <c r="M131" i="3" s="1"/>
  <c r="O131" i="3"/>
  <c r="P131" i="3"/>
  <c r="R130" i="3"/>
  <c r="N130" i="3"/>
  <c r="M130" i="3" s="1"/>
  <c r="O130" i="3"/>
  <c r="P130" i="3"/>
  <c r="R129" i="3"/>
  <c r="N129" i="3"/>
  <c r="M129" i="3" s="1"/>
  <c r="O129" i="3"/>
  <c r="P129" i="3"/>
  <c r="R128" i="3"/>
  <c r="N128" i="3"/>
  <c r="M128" i="3" s="1"/>
  <c r="O128" i="3"/>
  <c r="P128" i="3"/>
  <c r="R127" i="3"/>
  <c r="N127" i="3"/>
  <c r="M127" i="3" s="1"/>
  <c r="O127" i="3"/>
  <c r="P127" i="3"/>
  <c r="R126" i="3"/>
  <c r="N126" i="3"/>
  <c r="M126" i="3" s="1"/>
  <c r="O126" i="3"/>
  <c r="P126" i="3"/>
  <c r="R125" i="3"/>
  <c r="N125" i="3"/>
  <c r="M125" i="3" s="1"/>
  <c r="O125" i="3"/>
  <c r="P125" i="3"/>
  <c r="R124" i="3"/>
  <c r="N124" i="3"/>
  <c r="M124" i="3" s="1"/>
  <c r="O124" i="3"/>
  <c r="P124" i="3"/>
  <c r="R123" i="3"/>
  <c r="N123" i="3"/>
  <c r="M123" i="3" s="1"/>
  <c r="O123" i="3"/>
  <c r="P123" i="3"/>
  <c r="R122" i="3"/>
  <c r="N122" i="3"/>
  <c r="M122" i="3" s="1"/>
  <c r="O122" i="3"/>
  <c r="P122" i="3"/>
  <c r="R121" i="3"/>
  <c r="N121" i="3"/>
  <c r="M121" i="3" s="1"/>
  <c r="O121" i="3"/>
  <c r="P121" i="3"/>
  <c r="R120" i="3"/>
  <c r="N120" i="3"/>
  <c r="M120" i="3" s="1"/>
  <c r="O120" i="3"/>
  <c r="P120" i="3"/>
  <c r="R119" i="3"/>
  <c r="N119" i="3"/>
  <c r="M119" i="3" s="1"/>
  <c r="O119" i="3"/>
  <c r="P119" i="3"/>
  <c r="R118" i="3"/>
  <c r="N118" i="3"/>
  <c r="M118" i="3" s="1"/>
  <c r="O118" i="3"/>
  <c r="P118" i="3"/>
  <c r="R117" i="3"/>
  <c r="N117" i="3"/>
  <c r="M117" i="3" s="1"/>
  <c r="O117" i="3"/>
  <c r="P117" i="3"/>
  <c r="R116" i="3"/>
  <c r="N116" i="3"/>
  <c r="M116" i="3" s="1"/>
  <c r="O116" i="3"/>
  <c r="P116" i="3"/>
  <c r="R115" i="3"/>
  <c r="N115" i="3"/>
  <c r="M115" i="3" s="1"/>
  <c r="O115" i="3"/>
  <c r="P115" i="3"/>
  <c r="R114" i="3"/>
  <c r="N114" i="3"/>
  <c r="M114" i="3" s="1"/>
  <c r="O114" i="3"/>
  <c r="P114" i="3"/>
  <c r="R113" i="3"/>
  <c r="N113" i="3"/>
  <c r="M113" i="3" s="1"/>
  <c r="O113" i="3"/>
  <c r="P113" i="3"/>
  <c r="R112" i="3"/>
  <c r="N112" i="3"/>
  <c r="M112" i="3" s="1"/>
  <c r="O112" i="3"/>
  <c r="P112" i="3"/>
  <c r="H111" i="3"/>
  <c r="N111" i="3" s="1"/>
  <c r="M111" i="3" s="1"/>
  <c r="P111" i="3"/>
  <c r="H110" i="3"/>
  <c r="N110" i="3" s="1"/>
  <c r="M110" i="3" s="1"/>
  <c r="P110" i="3"/>
  <c r="H109" i="3"/>
  <c r="N109" i="3" s="1"/>
  <c r="M109" i="3" s="1"/>
  <c r="P109" i="3"/>
  <c r="H108" i="3"/>
  <c r="N108" i="3" s="1"/>
  <c r="M108" i="3" s="1"/>
  <c r="P108" i="3"/>
  <c r="H107" i="3"/>
  <c r="N107" i="3" s="1"/>
  <c r="M107" i="3" s="1"/>
  <c r="P107" i="3"/>
  <c r="N106" i="3"/>
  <c r="M106" i="3" s="1"/>
  <c r="Q106" i="3" s="1"/>
  <c r="O106" i="3"/>
  <c r="P106" i="3"/>
  <c r="N105" i="3"/>
  <c r="M105" i="3" s="1"/>
  <c r="O105" i="3"/>
  <c r="P105" i="3"/>
  <c r="N104" i="3"/>
  <c r="M104" i="3"/>
  <c r="Q104" i="3" s="1"/>
  <c r="O104" i="3"/>
  <c r="P104" i="3"/>
  <c r="N103" i="3"/>
  <c r="M103" i="3" s="1"/>
  <c r="O103" i="3"/>
  <c r="P103" i="3"/>
  <c r="N102" i="3"/>
  <c r="M102" i="3" s="1"/>
  <c r="Q102" i="3" s="1"/>
  <c r="O102" i="3"/>
  <c r="P102" i="3"/>
  <c r="N101" i="3"/>
  <c r="M101" i="3" s="1"/>
  <c r="O101" i="3"/>
  <c r="P101" i="3"/>
  <c r="N100" i="3"/>
  <c r="M100" i="3"/>
  <c r="Q100" i="3" s="1"/>
  <c r="O100" i="3"/>
  <c r="P100" i="3"/>
  <c r="N99" i="3"/>
  <c r="M99" i="3" s="1"/>
  <c r="O99" i="3"/>
  <c r="P99" i="3"/>
  <c r="N98" i="3"/>
  <c r="M98" i="3" s="1"/>
  <c r="Q98" i="3" s="1"/>
  <c r="O98" i="3"/>
  <c r="P98" i="3"/>
  <c r="N97" i="3"/>
  <c r="M97" i="3" s="1"/>
  <c r="O97" i="3"/>
  <c r="P97" i="3"/>
  <c r="N96" i="3"/>
  <c r="M96" i="3"/>
  <c r="Q96" i="3" s="1"/>
  <c r="O96" i="3"/>
  <c r="P96" i="3"/>
  <c r="N95" i="3"/>
  <c r="M95" i="3" s="1"/>
  <c r="O95" i="3"/>
  <c r="P95" i="3"/>
  <c r="N94" i="3"/>
  <c r="M94" i="3" s="1"/>
  <c r="Q94" i="3" s="1"/>
  <c r="O94" i="3"/>
  <c r="P94" i="3"/>
  <c r="N93" i="3"/>
  <c r="M93" i="3" s="1"/>
  <c r="O93" i="3"/>
  <c r="P93" i="3"/>
  <c r="N92" i="3"/>
  <c r="M92" i="3"/>
  <c r="Q92" i="3" s="1"/>
  <c r="O92" i="3"/>
  <c r="P92" i="3"/>
  <c r="N91" i="3"/>
  <c r="M91" i="3" s="1"/>
  <c r="O91" i="3"/>
  <c r="P91" i="3"/>
  <c r="N90" i="3"/>
  <c r="M90" i="3" s="1"/>
  <c r="Q90" i="3" s="1"/>
  <c r="O90" i="3"/>
  <c r="P90" i="3"/>
  <c r="N89" i="3"/>
  <c r="M89" i="3" s="1"/>
  <c r="O89" i="3"/>
  <c r="P89" i="3"/>
  <c r="N88" i="3"/>
  <c r="M88" i="3"/>
  <c r="Q88" i="3" s="1"/>
  <c r="O88" i="3"/>
  <c r="P88" i="3"/>
  <c r="N87" i="3"/>
  <c r="M87" i="3" s="1"/>
  <c r="O87" i="3"/>
  <c r="P87" i="3"/>
  <c r="N86" i="3"/>
  <c r="M86" i="3" s="1"/>
  <c r="Q86" i="3" s="1"/>
  <c r="O86" i="3"/>
  <c r="P86" i="3"/>
  <c r="N85" i="3"/>
  <c r="M85" i="3" s="1"/>
  <c r="O85" i="3"/>
  <c r="P85" i="3"/>
  <c r="N84" i="3"/>
  <c r="M84" i="3"/>
  <c r="Q84" i="3" s="1"/>
  <c r="O84" i="3"/>
  <c r="P84" i="3"/>
  <c r="N83" i="3"/>
  <c r="M83" i="3" s="1"/>
  <c r="O83" i="3"/>
  <c r="P83" i="3"/>
  <c r="N82" i="3"/>
  <c r="M82" i="3" s="1"/>
  <c r="Q82" i="3" s="1"/>
  <c r="O82" i="3"/>
  <c r="P82" i="3"/>
  <c r="N81" i="3"/>
  <c r="M81" i="3" s="1"/>
  <c r="O81" i="3"/>
  <c r="P81" i="3"/>
  <c r="N80" i="3"/>
  <c r="M80" i="3"/>
  <c r="Q80" i="3" s="1"/>
  <c r="O80" i="3"/>
  <c r="P80" i="3"/>
  <c r="M79" i="3"/>
  <c r="O79" i="3"/>
  <c r="P79" i="3"/>
  <c r="N78" i="3"/>
  <c r="M78" i="3" s="1"/>
  <c r="O78" i="3"/>
  <c r="P78" i="3"/>
  <c r="M77" i="3"/>
  <c r="O77" i="3"/>
  <c r="Q77" i="3" s="1"/>
  <c r="P77" i="3"/>
  <c r="M76" i="3"/>
  <c r="O76" i="3"/>
  <c r="P76" i="3"/>
  <c r="M75" i="3"/>
  <c r="O75" i="3"/>
  <c r="P75" i="3"/>
  <c r="M74" i="3"/>
  <c r="O74" i="3"/>
  <c r="P74" i="3"/>
  <c r="M73" i="3"/>
  <c r="O73" i="3"/>
  <c r="Q73" i="3" s="1"/>
  <c r="P73" i="3"/>
  <c r="M72" i="3"/>
  <c r="O72" i="3"/>
  <c r="P72" i="3"/>
  <c r="M71" i="3"/>
  <c r="O71" i="3"/>
  <c r="P71" i="3"/>
  <c r="M70" i="3"/>
  <c r="O70" i="3"/>
  <c r="P70" i="3"/>
  <c r="M69" i="3"/>
  <c r="O69" i="3"/>
  <c r="Q69" i="3" s="1"/>
  <c r="P69" i="3"/>
  <c r="N68" i="3"/>
  <c r="M68" i="3" s="1"/>
  <c r="O68" i="3"/>
  <c r="P68" i="3"/>
  <c r="N67" i="3"/>
  <c r="M67" i="3" s="1"/>
  <c r="O67" i="3"/>
  <c r="P67" i="3"/>
  <c r="P66" i="3"/>
  <c r="O66" i="3"/>
  <c r="N66" i="3"/>
  <c r="M66" i="3" s="1"/>
  <c r="P65" i="3"/>
  <c r="O65" i="3"/>
  <c r="N65" i="3"/>
  <c r="M65" i="3" s="1"/>
  <c r="P64" i="3"/>
  <c r="O64" i="3"/>
  <c r="N64" i="3"/>
  <c r="F64" i="3"/>
  <c r="P63" i="3"/>
  <c r="O63" i="3"/>
  <c r="N63" i="3"/>
  <c r="F63" i="3"/>
  <c r="P62" i="3"/>
  <c r="O62" i="3"/>
  <c r="N62" i="3"/>
  <c r="F62" i="3"/>
  <c r="P61" i="3"/>
  <c r="O61" i="3"/>
  <c r="N61" i="3"/>
  <c r="F61" i="3"/>
  <c r="P60" i="3"/>
  <c r="O60" i="3"/>
  <c r="N60" i="3"/>
  <c r="F60" i="3"/>
  <c r="P59" i="3"/>
  <c r="O59" i="3"/>
  <c r="N59" i="3"/>
  <c r="F59" i="3"/>
  <c r="P58" i="3"/>
  <c r="O58" i="3"/>
  <c r="N58" i="3"/>
  <c r="F58" i="3"/>
  <c r="P57" i="3"/>
  <c r="O57" i="3"/>
  <c r="N57" i="3"/>
  <c r="F57" i="3"/>
  <c r="P56" i="3"/>
  <c r="O56" i="3"/>
  <c r="N56" i="3"/>
  <c r="F56" i="3"/>
  <c r="P55" i="3"/>
  <c r="O55" i="3"/>
  <c r="N55" i="3"/>
  <c r="F55" i="3"/>
  <c r="P54" i="3"/>
  <c r="O54" i="3"/>
  <c r="N54" i="3"/>
  <c r="F54" i="3"/>
  <c r="P53" i="3"/>
  <c r="O53" i="3"/>
  <c r="N53" i="3"/>
  <c r="F53" i="3"/>
  <c r="P52" i="3"/>
  <c r="O52" i="3"/>
  <c r="N52" i="3"/>
  <c r="F52" i="3"/>
  <c r="P51" i="3"/>
  <c r="O51" i="3"/>
  <c r="N51" i="3"/>
  <c r="G51" i="3"/>
  <c r="F51" i="3"/>
  <c r="M50" i="3"/>
  <c r="O50" i="3"/>
  <c r="Q50" i="3" s="1"/>
  <c r="P50" i="3"/>
  <c r="F50" i="3"/>
  <c r="M49" i="3"/>
  <c r="O49" i="3"/>
  <c r="P49" i="3"/>
  <c r="F49" i="3"/>
  <c r="P48" i="3"/>
  <c r="O48" i="3"/>
  <c r="F48" i="3"/>
  <c r="P47" i="3"/>
  <c r="O47" i="3"/>
  <c r="F47" i="3"/>
  <c r="N46" i="3"/>
  <c r="M46" i="3" s="1"/>
  <c r="O46" i="3"/>
  <c r="P46" i="3"/>
  <c r="F46" i="3"/>
  <c r="N45" i="3"/>
  <c r="M45" i="3" s="1"/>
  <c r="O45" i="3"/>
  <c r="P45" i="3"/>
  <c r="F45" i="3"/>
  <c r="P44" i="3"/>
  <c r="O44" i="3"/>
  <c r="M44" i="3"/>
  <c r="M43" i="3"/>
  <c r="Q43" i="3" s="1"/>
  <c r="O43" i="3"/>
  <c r="P43" i="3"/>
  <c r="M42" i="3"/>
  <c r="O42" i="3"/>
  <c r="P42" i="3"/>
  <c r="M41" i="3"/>
  <c r="Q41" i="3" s="1"/>
  <c r="O41" i="3"/>
  <c r="P41" i="3"/>
  <c r="M40" i="3"/>
  <c r="O40" i="3"/>
  <c r="P40" i="3"/>
  <c r="M39" i="3"/>
  <c r="Q39" i="3" s="1"/>
  <c r="O39" i="3"/>
  <c r="P39" i="3"/>
  <c r="M38" i="3"/>
  <c r="O38" i="3"/>
  <c r="P38" i="3"/>
  <c r="M37" i="3"/>
  <c r="Q37" i="3" s="1"/>
  <c r="O37" i="3"/>
  <c r="P37" i="3"/>
  <c r="M36" i="3"/>
  <c r="O36" i="3"/>
  <c r="P36" i="3"/>
  <c r="M35" i="3"/>
  <c r="Q35" i="3" s="1"/>
  <c r="O35" i="3"/>
  <c r="P35" i="3"/>
  <c r="M34" i="3"/>
  <c r="O34" i="3"/>
  <c r="P34" i="3"/>
  <c r="M33" i="3"/>
  <c r="Q33" i="3" s="1"/>
  <c r="O33" i="3"/>
  <c r="P33" i="3"/>
  <c r="M32" i="3"/>
  <c r="O32" i="3"/>
  <c r="P32" i="3"/>
  <c r="M31" i="3"/>
  <c r="Q31" i="3" s="1"/>
  <c r="O31" i="3"/>
  <c r="P31" i="3"/>
  <c r="M30" i="3"/>
  <c r="O30" i="3"/>
  <c r="P30" i="3"/>
  <c r="Q28" i="3"/>
  <c r="Q29" i="3" s="1"/>
  <c r="P29" i="3"/>
  <c r="O29" i="3"/>
  <c r="M29" i="3"/>
  <c r="Q27" i="3"/>
  <c r="M26" i="3"/>
  <c r="O26" i="3"/>
  <c r="P26" i="3"/>
  <c r="O25" i="3"/>
  <c r="Q25" i="3" s="1"/>
  <c r="P25" i="3"/>
  <c r="P24" i="3"/>
  <c r="O24" i="3"/>
  <c r="M24" i="3"/>
  <c r="P23" i="3"/>
  <c r="O23" i="3"/>
  <c r="M23" i="3"/>
  <c r="P22" i="3"/>
  <c r="O22" i="3"/>
  <c r="M22" i="3"/>
  <c r="P21" i="3"/>
  <c r="O21" i="3"/>
  <c r="M21" i="3"/>
  <c r="M20" i="3"/>
  <c r="O20" i="3"/>
  <c r="Q20" i="3" s="1"/>
  <c r="P20" i="3"/>
  <c r="M19" i="3"/>
  <c r="O19" i="3"/>
  <c r="P19" i="3"/>
  <c r="M18" i="3"/>
  <c r="O18" i="3"/>
  <c r="P18" i="3"/>
  <c r="P17" i="3"/>
  <c r="O17" i="3"/>
  <c r="P16" i="3"/>
  <c r="O16" i="3"/>
  <c r="P15" i="3"/>
  <c r="O15" i="3"/>
  <c r="M15" i="3"/>
  <c r="P14" i="3"/>
  <c r="O14" i="3"/>
  <c r="M14" i="3"/>
  <c r="P13" i="3"/>
  <c r="O13" i="3"/>
  <c r="M13" i="3"/>
  <c r="P12" i="3"/>
  <c r="O12" i="3"/>
  <c r="P11" i="3"/>
  <c r="O11" i="3"/>
  <c r="P10" i="3"/>
  <c r="O10" i="3"/>
  <c r="P9" i="3"/>
  <c r="O9" i="3"/>
  <c r="P8" i="3"/>
  <c r="O8" i="3"/>
  <c r="P7" i="3"/>
  <c r="O7" i="3"/>
  <c r="P6" i="3"/>
  <c r="O6" i="3"/>
  <c r="P5" i="3"/>
  <c r="O5" i="3"/>
  <c r="P4" i="3"/>
  <c r="O4" i="3"/>
  <c r="A1490" i="1"/>
  <c r="A1121" i="1"/>
  <c r="U138" i="8"/>
  <c r="T138" i="8"/>
  <c r="U137" i="8"/>
  <c r="T137" i="8"/>
  <c r="U136" i="8"/>
  <c r="T136" i="8"/>
  <c r="U135" i="8"/>
  <c r="T135" i="8"/>
  <c r="U134" i="8"/>
  <c r="T134" i="8"/>
  <c r="U133" i="8"/>
  <c r="T133" i="8"/>
  <c r="U132" i="8"/>
  <c r="T132" i="8"/>
  <c r="U131" i="8"/>
  <c r="T131" i="8"/>
  <c r="U130" i="8"/>
  <c r="T130" i="8"/>
  <c r="U119" i="8"/>
  <c r="T119" i="8"/>
  <c r="U118" i="8"/>
  <c r="T118" i="8"/>
  <c r="U117" i="8"/>
  <c r="T117" i="8"/>
  <c r="X107" i="8"/>
  <c r="U107" i="8"/>
  <c r="T107" i="8"/>
  <c r="Q107" i="8"/>
  <c r="O107" i="8"/>
  <c r="X106" i="8"/>
  <c r="U106" i="8"/>
  <c r="T106" i="8"/>
  <c r="Q106" i="8"/>
  <c r="O106" i="8"/>
  <c r="X105" i="8"/>
  <c r="U105" i="8"/>
  <c r="T105" i="8"/>
  <c r="Q105" i="8"/>
  <c r="O105" i="8"/>
  <c r="X104" i="8"/>
  <c r="U104" i="8"/>
  <c r="T104" i="8"/>
  <c r="Q104" i="8"/>
  <c r="O104" i="8"/>
  <c r="X103" i="8"/>
  <c r="U103" i="8"/>
  <c r="T103" i="8"/>
  <c r="Q103" i="8"/>
  <c r="O103" i="8"/>
  <c r="X102" i="8"/>
  <c r="U102" i="8"/>
  <c r="T102" i="8"/>
  <c r="Q102" i="8"/>
  <c r="O102" i="8"/>
  <c r="X101" i="8"/>
  <c r="U101" i="8"/>
  <c r="T101" i="8"/>
  <c r="Q101" i="8"/>
  <c r="O101" i="8"/>
  <c r="X100" i="8"/>
  <c r="U100" i="8"/>
  <c r="T100" i="8"/>
  <c r="Q100" i="8"/>
  <c r="O100" i="8"/>
  <c r="X99" i="8"/>
  <c r="U99" i="8"/>
  <c r="T99" i="8"/>
  <c r="Q99" i="8"/>
  <c r="O99" i="8"/>
  <c r="X98" i="8"/>
  <c r="U98" i="8"/>
  <c r="T98" i="8"/>
  <c r="Q98" i="8"/>
  <c r="O98" i="8"/>
  <c r="A440" i="1"/>
  <c r="A590" i="1"/>
  <c r="A1021" i="1"/>
  <c r="A1020" i="1"/>
  <c r="A1019" i="1"/>
  <c r="A1018" i="1"/>
  <c r="A1017" i="1"/>
  <c r="A1016" i="1"/>
  <c r="A1015" i="1"/>
  <c r="A1014" i="1"/>
  <c r="A1013" i="1"/>
  <c r="A1012" i="1"/>
  <c r="N74" i="8"/>
  <c r="M74" i="8"/>
  <c r="N73" i="8"/>
  <c r="M73" i="8"/>
  <c r="N72" i="8"/>
  <c r="M72" i="8"/>
  <c r="X72" i="8" s="1"/>
  <c r="N71" i="8"/>
  <c r="M71" i="8"/>
  <c r="O71" i="8" s="1"/>
  <c r="N70" i="8"/>
  <c r="M70" i="8"/>
  <c r="X70" i="8" s="1"/>
  <c r="N69" i="8"/>
  <c r="M69" i="8"/>
  <c r="O69" i="8" s="1"/>
  <c r="M87" i="8"/>
  <c r="X87" i="8" s="1"/>
  <c r="M86" i="8"/>
  <c r="M85" i="8"/>
  <c r="M84" i="8"/>
  <c r="M83" i="8"/>
  <c r="O83" i="8" s="1"/>
  <c r="M82" i="8"/>
  <c r="M81" i="8"/>
  <c r="M80" i="8"/>
  <c r="M79" i="8"/>
  <c r="X79" i="8" s="1"/>
  <c r="M78" i="8"/>
  <c r="M77" i="8"/>
  <c r="M76" i="8"/>
  <c r="M75" i="8"/>
  <c r="O75" i="8" s="1"/>
  <c r="O72" i="8"/>
  <c r="G72" i="8"/>
  <c r="G71" i="8"/>
  <c r="G70" i="8"/>
  <c r="G69" i="8"/>
  <c r="H69" i="8" s="1"/>
  <c r="H72" i="8"/>
  <c r="Z72" i="8" s="1"/>
  <c r="A2352" i="1"/>
  <c r="A2350" i="1"/>
  <c r="Z4" i="8"/>
  <c r="H87" i="8"/>
  <c r="Z87" i="8" s="1"/>
  <c r="H86" i="8"/>
  <c r="Z86" i="8" s="1"/>
  <c r="H85" i="8"/>
  <c r="Z85" i="8" s="1"/>
  <c r="H84" i="8"/>
  <c r="Z84" i="8" s="1"/>
  <c r="H83" i="8"/>
  <c r="Z83" i="8" s="1"/>
  <c r="H82" i="8"/>
  <c r="Z82" i="8" s="1"/>
  <c r="H81" i="8"/>
  <c r="Z81" i="8" s="1"/>
  <c r="H80" i="8"/>
  <c r="Z80" i="8" s="1"/>
  <c r="H79" i="8"/>
  <c r="Z79" i="8" s="1"/>
  <c r="H78" i="8"/>
  <c r="Z78" i="8" s="1"/>
  <c r="H77" i="8"/>
  <c r="Z77" i="8" s="1"/>
  <c r="H76" i="8"/>
  <c r="Z76" i="8" s="1"/>
  <c r="H75" i="8"/>
  <c r="Z75" i="8" s="1"/>
  <c r="H74" i="8"/>
  <c r="Z74" i="8" s="1"/>
  <c r="H73" i="8"/>
  <c r="Z73" i="8" s="1"/>
  <c r="H60" i="8"/>
  <c r="Z60" i="8" s="1"/>
  <c r="H59" i="8"/>
  <c r="Z59" i="8" s="1"/>
  <c r="H58" i="8"/>
  <c r="H57" i="8"/>
  <c r="Z57" i="8" s="1"/>
  <c r="H56" i="8"/>
  <c r="Z56" i="8" s="1"/>
  <c r="H55" i="8"/>
  <c r="Z55" i="8" s="1"/>
  <c r="H54" i="8"/>
  <c r="H53" i="8"/>
  <c r="Z53" i="8" s="1"/>
  <c r="H52" i="8"/>
  <c r="Z52" i="8" s="1"/>
  <c r="H51" i="8"/>
  <c r="Z51" i="8" s="1"/>
  <c r="H50" i="8"/>
  <c r="H49" i="8"/>
  <c r="Z49" i="8" s="1"/>
  <c r="H48" i="8"/>
  <c r="Z48" i="8" s="1"/>
  <c r="H47" i="8"/>
  <c r="Z47" i="8" s="1"/>
  <c r="H46" i="8"/>
  <c r="H45" i="8"/>
  <c r="Z45" i="8" s="1"/>
  <c r="H44" i="8"/>
  <c r="Z44" i="8" s="1"/>
  <c r="H39" i="8"/>
  <c r="H38" i="8"/>
  <c r="Z38" i="8" s="1"/>
  <c r="H37" i="8"/>
  <c r="Z37" i="8" s="1"/>
  <c r="H36" i="8"/>
  <c r="Z36" i="8" s="1"/>
  <c r="H35" i="8"/>
  <c r="H34" i="8"/>
  <c r="H33" i="8"/>
  <c r="Z33" i="8" s="1"/>
  <c r="H32" i="8"/>
  <c r="Z32" i="8" s="1"/>
  <c r="H31" i="8"/>
  <c r="H30" i="8"/>
  <c r="H29" i="8"/>
  <c r="Z29" i="8" s="1"/>
  <c r="H28" i="8"/>
  <c r="Z28" i="8" s="1"/>
  <c r="H27" i="8"/>
  <c r="H24" i="8"/>
  <c r="H23" i="8"/>
  <c r="Z23" i="8" s="1"/>
  <c r="H22" i="8"/>
  <c r="Z22" i="8" s="1"/>
  <c r="H21" i="8"/>
  <c r="H20" i="8"/>
  <c r="H19" i="8"/>
  <c r="Z19" i="8" s="1"/>
  <c r="H18" i="8"/>
  <c r="Z18" i="8" s="1"/>
  <c r="H17" i="8"/>
  <c r="H16" i="8"/>
  <c r="H15" i="8"/>
  <c r="Z15" i="8" s="1"/>
  <c r="F6" i="8"/>
  <c r="F7" i="8" s="1"/>
  <c r="H5" i="8"/>
  <c r="A5" i="8"/>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1707" i="1"/>
  <c r="A536" i="1"/>
  <c r="B12" i="5"/>
  <c r="B13" i="5"/>
  <c r="I15" i="5"/>
  <c r="B15" i="5"/>
  <c r="D127" i="7"/>
  <c r="D119" i="7"/>
  <c r="E127" i="7"/>
  <c r="E119" i="7"/>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X46" i="8"/>
  <c r="X47" i="8"/>
  <c r="A2308" i="1"/>
  <c r="A2309" i="1"/>
  <c r="A2310" i="1"/>
  <c r="A2311" i="1"/>
  <c r="A2312" i="1"/>
  <c r="A2307" i="1"/>
  <c r="A2306" i="1"/>
  <c r="A2305" i="1"/>
  <c r="A2304" i="1"/>
  <c r="A2303" i="1"/>
  <c r="A2302" i="1"/>
  <c r="A2301" i="1"/>
  <c r="H1" i="1"/>
  <c r="I1" i="1" s="1"/>
  <c r="A2300" i="1"/>
  <c r="A593" i="1"/>
  <c r="A1706" i="1"/>
  <c r="A1709" i="1"/>
  <c r="A1260" i="1"/>
  <c r="A2299" i="1"/>
  <c r="A2298" i="1"/>
  <c r="C1" i="1"/>
  <c r="D1" i="1" s="1"/>
  <c r="A505" i="1"/>
  <c r="A745" i="1"/>
  <c r="A4" i="10"/>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C1" i="10"/>
  <c r="D1" i="10" s="1"/>
  <c r="E1" i="10" s="1"/>
  <c r="F1" i="10" s="1"/>
  <c r="A2297" i="1"/>
  <c r="A2296" i="1"/>
  <c r="A2295" i="1"/>
  <c r="A2294" i="1"/>
  <c r="A2293" i="1"/>
  <c r="A2292" i="1"/>
  <c r="A2291" i="1"/>
  <c r="A2290" i="1"/>
  <c r="A2289" i="1"/>
  <c r="A2288" i="1"/>
  <c r="A2287" i="1"/>
  <c r="A2286" i="1"/>
  <c r="A2285" i="1"/>
  <c r="A2284" i="1"/>
  <c r="A2283" i="1"/>
  <c r="A2282" i="1"/>
  <c r="A2281" i="1"/>
  <c r="A2280" i="1"/>
  <c r="A2279" i="1"/>
  <c r="A1463" i="1"/>
  <c r="A1462"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735" i="1"/>
  <c r="A310" i="1"/>
  <c r="A702" i="1"/>
  <c r="A79" i="1"/>
  <c r="A68" i="1"/>
  <c r="A719" i="1"/>
  <c r="A2276" i="1"/>
  <c r="A2218" i="1"/>
  <c r="A2217" i="1"/>
  <c r="E12" i="7"/>
  <c r="D12" i="7"/>
  <c r="A63" i="7"/>
  <c r="D27" i="7"/>
  <c r="A2278" i="1"/>
  <c r="A2277"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5" i="1"/>
  <c r="A2234" i="1"/>
  <c r="A2233" i="1"/>
  <c r="A2232" i="1"/>
  <c r="A2231" i="1"/>
  <c r="A2230" i="1"/>
  <c r="A2229" i="1"/>
  <c r="A2228" i="1"/>
  <c r="A2226" i="1"/>
  <c r="A2225" i="1"/>
  <c r="A2224" i="1"/>
  <c r="A2223" i="1"/>
  <c r="A2222" i="1"/>
  <c r="A2221" i="1"/>
  <c r="A2220" i="1"/>
  <c r="A2219" i="1"/>
  <c r="A2216" i="1"/>
  <c r="A2215"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5" i="1"/>
  <c r="A2114" i="1"/>
  <c r="A2113" i="1"/>
  <c r="A2112" i="1"/>
  <c r="A2111" i="1"/>
  <c r="A2110" i="1"/>
  <c r="A2109" i="1"/>
  <c r="A2108" i="1"/>
  <c r="A2107" i="1"/>
  <c r="A2106" i="1"/>
  <c r="A2105" i="1"/>
  <c r="A2104" i="1"/>
  <c r="A2103" i="1"/>
  <c r="A2102" i="1"/>
  <c r="A2101" i="1"/>
  <c r="A2100" i="1"/>
  <c r="A2099" i="1"/>
  <c r="A2098" i="1"/>
  <c r="A2097" i="1"/>
  <c r="A209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5" i="1"/>
  <c r="A1984" i="1"/>
  <c r="A1983" i="1"/>
  <c r="A1982" i="1"/>
  <c r="A1981" i="1"/>
  <c r="A1980" i="1"/>
  <c r="A1979" i="1"/>
  <c r="A1978" i="1"/>
  <c r="A1977" i="1"/>
  <c r="A1976"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6" i="1"/>
  <c r="A1725" i="1"/>
  <c r="A1724" i="1"/>
  <c r="A1723" i="1"/>
  <c r="A1722" i="1"/>
  <c r="A1721" i="1"/>
  <c r="A1720" i="1"/>
  <c r="A1719" i="1"/>
  <c r="A1717" i="1"/>
  <c r="A1716" i="1"/>
  <c r="A1714" i="1"/>
  <c r="A1713" i="1"/>
  <c r="A1712" i="1"/>
  <c r="A1711" i="1"/>
  <c r="A1710" i="1"/>
  <c r="A1708" i="1"/>
  <c r="A1705" i="1"/>
  <c r="A1704" i="1"/>
  <c r="A1703" i="1"/>
  <c r="A1702" i="1"/>
  <c r="A1701" i="1"/>
  <c r="A1700"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1" i="1"/>
  <c r="A1500" i="1"/>
  <c r="A1499" i="1"/>
  <c r="A1498" i="1"/>
  <c r="A1497" i="1"/>
  <c r="A1496" i="1"/>
  <c r="A1495" i="1"/>
  <c r="A1494" i="1"/>
  <c r="A1493" i="1"/>
  <c r="A1492" i="1"/>
  <c r="A1491" i="1"/>
  <c r="A1489" i="1"/>
  <c r="A1488" i="1"/>
  <c r="A1487" i="1"/>
  <c r="A1485" i="1"/>
  <c r="A1484" i="1"/>
  <c r="A1483" i="1"/>
  <c r="A1482" i="1"/>
  <c r="A1481" i="1"/>
  <c r="A1480" i="1"/>
  <c r="A1479" i="1"/>
  <c r="A1478" i="1"/>
  <c r="A1477" i="1"/>
  <c r="A1476" i="1"/>
  <c r="A1475" i="1"/>
  <c r="A1473" i="1"/>
  <c r="A1472" i="1"/>
  <c r="A1471" i="1"/>
  <c r="A1470" i="1"/>
  <c r="A1468" i="1"/>
  <c r="A1467" i="1"/>
  <c r="A1466" i="1"/>
  <c r="A1465" i="1"/>
  <c r="A1464"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5" i="1"/>
  <c r="A1433" i="1"/>
  <c r="A1432" i="1"/>
  <c r="A1431" i="1"/>
  <c r="A1430" i="1"/>
  <c r="A1427" i="1"/>
  <c r="A1426" i="1"/>
  <c r="A1425" i="1"/>
  <c r="A1424" i="1"/>
  <c r="A1423" i="1"/>
  <c r="A1422" i="1"/>
  <c r="A1421" i="1"/>
  <c r="A1420" i="1"/>
  <c r="A1419" i="1"/>
  <c r="A1417" i="1"/>
  <c r="A1416"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7" i="1"/>
  <c r="A1216" i="1"/>
  <c r="A1214" i="1"/>
  <c r="A1213" i="1"/>
  <c r="A1212" i="1"/>
  <c r="A1211"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69" i="1"/>
  <c r="A1168" i="1"/>
  <c r="A1167" i="1"/>
  <c r="A1166" i="1"/>
  <c r="A1165" i="1"/>
  <c r="A1164" i="1"/>
  <c r="A1163" i="1"/>
  <c r="A1162" i="1"/>
  <c r="A1161" i="1"/>
  <c r="A1160" i="1"/>
  <c r="A1159" i="1"/>
  <c r="A1158" i="1"/>
  <c r="A1157" i="1"/>
  <c r="A1155" i="1"/>
  <c r="A1154" i="1"/>
  <c r="A1153" i="1"/>
  <c r="A1151" i="1"/>
  <c r="A1150" i="1"/>
  <c r="A1149" i="1"/>
  <c r="A1147" i="1"/>
  <c r="A1146" i="1"/>
  <c r="A1145" i="1"/>
  <c r="A1143" i="1"/>
  <c r="A1142" i="1"/>
  <c r="A1141" i="1"/>
  <c r="A1140" i="1"/>
  <c r="A1139" i="1"/>
  <c r="A1138" i="1"/>
  <c r="A1137" i="1"/>
  <c r="A1136" i="1"/>
  <c r="A1135" i="1"/>
  <c r="A1134" i="1"/>
  <c r="A1133" i="1"/>
  <c r="A1132" i="1"/>
  <c r="A1131" i="1"/>
  <c r="A1130" i="1"/>
  <c r="A1129" i="1"/>
  <c r="A1126" i="1"/>
  <c r="A1125" i="1"/>
  <c r="A1124" i="1"/>
  <c r="A1123" i="1"/>
  <c r="A1122"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11" i="1"/>
  <c r="A1010" i="1"/>
  <c r="A1009" i="1"/>
  <c r="A1008" i="1"/>
  <c r="A1007" i="1"/>
  <c r="A1006" i="1"/>
  <c r="A1005" i="1"/>
  <c r="A1004" i="1"/>
  <c r="A1003" i="1"/>
  <c r="A1002" i="1"/>
  <c r="A1001" i="1"/>
  <c r="A1000" i="1"/>
  <c r="A999" i="1"/>
  <c r="A998" i="1"/>
  <c r="A997" i="1"/>
  <c r="A996" i="1"/>
  <c r="A995" i="1"/>
  <c r="A994" i="1"/>
  <c r="A993" i="1"/>
  <c r="A991" i="1"/>
  <c r="A990" i="1"/>
  <c r="A989" i="1"/>
  <c r="A988" i="1"/>
  <c r="A987" i="1"/>
  <c r="A985" i="1"/>
  <c r="A984" i="1"/>
  <c r="A983" i="1"/>
  <c r="A980" i="1"/>
  <c r="A979" i="1"/>
  <c r="A978" i="1"/>
  <c r="A977"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4" i="1"/>
  <c r="A913" i="1"/>
  <c r="A912" i="1"/>
  <c r="A911" i="1"/>
  <c r="A910" i="1"/>
  <c r="A909" i="1"/>
  <c r="A908" i="1"/>
  <c r="A907" i="1"/>
  <c r="A906" i="1"/>
  <c r="A905" i="1"/>
  <c r="A904" i="1"/>
  <c r="A903" i="1"/>
  <c r="A901" i="1"/>
  <c r="A900" i="1"/>
  <c r="A899" i="1"/>
  <c r="A898" i="1"/>
  <c r="A897" i="1"/>
  <c r="A896" i="1"/>
  <c r="A895" i="1"/>
  <c r="A894" i="1"/>
  <c r="A893" i="1"/>
  <c r="A892" i="1"/>
  <c r="A891" i="1"/>
  <c r="A890" i="1"/>
  <c r="A889" i="1"/>
  <c r="A888" i="1"/>
  <c r="A887" i="1"/>
  <c r="A886" i="1"/>
  <c r="A885" i="1"/>
  <c r="A884" i="1"/>
  <c r="A883" i="1"/>
  <c r="A882" i="1"/>
  <c r="A881" i="1"/>
  <c r="A880" i="1"/>
  <c r="A879"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4" i="1"/>
  <c r="A743" i="1"/>
  <c r="A742" i="1"/>
  <c r="A741" i="1"/>
  <c r="A740" i="1"/>
  <c r="A739" i="1"/>
  <c r="A738" i="1"/>
  <c r="A737" i="1"/>
  <c r="A736"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1" i="1"/>
  <c r="A700" i="1"/>
  <c r="A699" i="1"/>
  <c r="A698" i="1"/>
  <c r="A697" i="1"/>
  <c r="A696" i="1"/>
  <c r="A695" i="1"/>
  <c r="A694" i="1"/>
  <c r="A693" i="1"/>
  <c r="A692" i="1"/>
  <c r="A691" i="1"/>
  <c r="A690" i="1"/>
  <c r="A687" i="1"/>
  <c r="A686" i="1"/>
  <c r="A685" i="1"/>
  <c r="A684" i="1"/>
  <c r="A683" i="1"/>
  <c r="A682" i="1"/>
  <c r="A681" i="1"/>
  <c r="A680" i="1"/>
  <c r="A679" i="1"/>
  <c r="A678" i="1"/>
  <c r="A677" i="1"/>
  <c r="A676" i="1"/>
  <c r="A675" i="1"/>
  <c r="A674" i="1"/>
  <c r="A673" i="1"/>
  <c r="A672" i="1"/>
  <c r="A671" i="1"/>
  <c r="A670" i="1"/>
  <c r="A669"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2" i="1"/>
  <c r="A591" i="1"/>
  <c r="A589" i="1"/>
  <c r="A588" i="1"/>
  <c r="A587" i="1"/>
  <c r="A546" i="1"/>
  <c r="A545" i="1"/>
  <c r="A544" i="1"/>
  <c r="A543" i="1"/>
  <c r="A542" i="1"/>
  <c r="A541" i="1"/>
  <c r="A540" i="1"/>
  <c r="A539" i="1"/>
  <c r="A538" i="1"/>
  <c r="A537"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4" i="1"/>
  <c r="A503" i="1"/>
  <c r="A502" i="1"/>
  <c r="A501" i="1"/>
  <c r="A500" i="1"/>
  <c r="A499" i="1"/>
  <c r="A498" i="1"/>
  <c r="A497" i="1"/>
  <c r="A496" i="1"/>
  <c r="A495" i="1"/>
  <c r="A494"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4" i="1"/>
  <c r="A363" i="1"/>
  <c r="A362" i="1"/>
  <c r="A361" i="1"/>
  <c r="A360" i="1"/>
  <c r="A359" i="1"/>
  <c r="A358" i="1"/>
  <c r="A357" i="1"/>
  <c r="A356" i="1"/>
  <c r="A355"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09" i="1"/>
  <c r="A308" i="1"/>
  <c r="A307" i="1"/>
  <c r="A306" i="1"/>
  <c r="A305" i="1"/>
  <c r="A304" i="1"/>
  <c r="A303" i="1"/>
  <c r="A302" i="1"/>
  <c r="A301" i="1"/>
  <c r="A300" i="1"/>
  <c r="A299" i="1"/>
  <c r="A298" i="1"/>
  <c r="A297" i="1"/>
  <c r="A296" i="1"/>
  <c r="A295" i="1"/>
  <c r="A294" i="1"/>
  <c r="A293"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8" i="1"/>
  <c r="A77" i="1"/>
  <c r="A76" i="1"/>
  <c r="A75" i="1"/>
  <c r="A74" i="1"/>
  <c r="A73" i="1"/>
  <c r="A72" i="1"/>
  <c r="A70" i="1"/>
  <c r="A69" i="1"/>
  <c r="A67" i="1"/>
  <c r="A66" i="1"/>
  <c r="A65" i="1"/>
  <c r="A64" i="1"/>
  <c r="A63" i="1"/>
  <c r="A62" i="1"/>
  <c r="A61" i="1"/>
  <c r="A60" i="1"/>
  <c r="A59" i="1"/>
  <c r="A57" i="1"/>
  <c r="A56" i="1"/>
  <c r="A55" i="1"/>
  <c r="A54" i="1"/>
  <c r="A53" i="1"/>
  <c r="A52"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6" i="7"/>
  <c r="A125" i="7"/>
  <c r="A124" i="7"/>
  <c r="A123" i="7"/>
  <c r="A122" i="7"/>
  <c r="A121" i="7"/>
  <c r="A120"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5" i="7"/>
  <c r="A4" i="7"/>
  <c r="A3" i="7"/>
  <c r="A2" i="7"/>
  <c r="A1" i="7"/>
  <c r="A6" i="7"/>
  <c r="D205" i="7"/>
  <c r="D204" i="7"/>
  <c r="D203" i="7"/>
  <c r="D199" i="7"/>
  <c r="D202" i="7"/>
  <c r="D201" i="7"/>
  <c r="D200" i="7"/>
  <c r="D198" i="7"/>
  <c r="D197" i="7"/>
  <c r="D196" i="7"/>
  <c r="D195" i="7"/>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4" i="7"/>
  <c r="D153" i="7"/>
  <c r="D155" i="7"/>
  <c r="D152" i="7"/>
  <c r="D148" i="7"/>
  <c r="D147" i="7"/>
  <c r="D151" i="7"/>
  <c r="D150" i="7"/>
  <c r="D149" i="7"/>
  <c r="D146" i="7"/>
  <c r="D145" i="7"/>
  <c r="D144" i="7"/>
  <c r="D143" i="7"/>
  <c r="D137" i="7"/>
  <c r="D142" i="7"/>
  <c r="D141" i="7"/>
  <c r="D140" i="7"/>
  <c r="D139" i="7"/>
  <c r="D138" i="7"/>
  <c r="D136" i="7"/>
  <c r="D135" i="7"/>
  <c r="D133" i="7"/>
  <c r="D132" i="7"/>
  <c r="D131" i="7"/>
  <c r="D134" i="7"/>
  <c r="D130" i="7"/>
  <c r="D126" i="7"/>
  <c r="D125" i="7"/>
  <c r="D129" i="7"/>
  <c r="D128" i="7"/>
  <c r="D124" i="7"/>
  <c r="D123" i="7"/>
  <c r="D122" i="7"/>
  <c r="D118" i="7"/>
  <c r="D121" i="7"/>
  <c r="D120" i="7"/>
  <c r="D117" i="7"/>
  <c r="D116" i="7"/>
  <c r="D114" i="7"/>
  <c r="D115" i="7"/>
  <c r="D113" i="7"/>
  <c r="D112" i="7"/>
  <c r="D111" i="7"/>
  <c r="D110" i="7"/>
  <c r="D109" i="7"/>
  <c r="D108" i="7"/>
  <c r="D107" i="7"/>
  <c r="D106" i="7"/>
  <c r="D105" i="7"/>
  <c r="D103" i="7"/>
  <c r="D102" i="7"/>
  <c r="D101" i="7"/>
  <c r="D104" i="7"/>
  <c r="D99" i="7"/>
  <c r="D100" i="7"/>
  <c r="D98" i="7"/>
  <c r="D95" i="7"/>
  <c r="D97" i="7"/>
  <c r="D96" i="7"/>
  <c r="D94" i="7"/>
  <c r="D90" i="7"/>
  <c r="D93" i="7"/>
  <c r="D92" i="7"/>
  <c r="D91" i="7"/>
  <c r="D89" i="7"/>
  <c r="D88" i="7"/>
  <c r="D87" i="7"/>
  <c r="D86" i="7"/>
  <c r="D84" i="7"/>
  <c r="D85" i="7"/>
  <c r="D83" i="7"/>
  <c r="D80" i="7"/>
  <c r="D82" i="7"/>
  <c r="D79" i="7"/>
  <c r="D81" i="7"/>
  <c r="D78" i="7"/>
  <c r="D77" i="7"/>
  <c r="D75" i="7"/>
  <c r="D76" i="7"/>
  <c r="D74" i="7"/>
  <c r="D73" i="7"/>
  <c r="D72" i="7"/>
  <c r="D65" i="7"/>
  <c r="D70" i="7"/>
  <c r="D71" i="7"/>
  <c r="D68" i="7"/>
  <c r="D69" i="7"/>
  <c r="D67" i="7"/>
  <c r="D66" i="7"/>
  <c r="D64" i="7"/>
  <c r="D61" i="7"/>
  <c r="D62" i="7"/>
  <c r="D63" i="7"/>
  <c r="D60" i="7"/>
  <c r="D59" i="7"/>
  <c r="D58" i="7"/>
  <c r="D56" i="7"/>
  <c r="D55" i="7"/>
  <c r="D57" i="7"/>
  <c r="D54" i="7"/>
  <c r="D53" i="7"/>
  <c r="D52" i="7"/>
  <c r="D51" i="7"/>
  <c r="D50" i="7"/>
  <c r="D49" i="7"/>
  <c r="D48" i="7"/>
  <c r="D47" i="7"/>
  <c r="D46" i="7"/>
  <c r="D45" i="7"/>
  <c r="D44" i="7"/>
  <c r="D43" i="7"/>
  <c r="D42" i="7"/>
  <c r="D41" i="7"/>
  <c r="D40" i="7"/>
  <c r="D39" i="7"/>
  <c r="D38" i="7"/>
  <c r="D36" i="7"/>
  <c r="D37" i="7"/>
  <c r="D34" i="7"/>
  <c r="D35" i="7"/>
  <c r="D32" i="7"/>
  <c r="D31" i="7"/>
  <c r="D30" i="7"/>
  <c r="D33" i="7"/>
  <c r="D29" i="7"/>
  <c r="D28" i="7"/>
  <c r="D25" i="7"/>
  <c r="D26" i="7"/>
  <c r="D24" i="7"/>
  <c r="D23" i="7"/>
  <c r="D22" i="7"/>
  <c r="D21" i="7"/>
  <c r="D20" i="7"/>
  <c r="D19" i="7"/>
  <c r="D15" i="7"/>
  <c r="D18" i="7"/>
  <c r="D17" i="7"/>
  <c r="D16" i="7"/>
  <c r="D14" i="7"/>
  <c r="D13" i="7"/>
  <c r="D11" i="7"/>
  <c r="D10" i="7"/>
  <c r="D9" i="7"/>
  <c r="D8" i="7"/>
  <c r="D7" i="7"/>
  <c r="D6" i="7"/>
  <c r="D4" i="7"/>
  <c r="D5" i="7"/>
  <c r="D3" i="7"/>
  <c r="D2" i="7"/>
  <c r="X59" i="8"/>
  <c r="X58" i="8"/>
  <c r="X57" i="8"/>
  <c r="X56" i="8"/>
  <c r="X55" i="8"/>
  <c r="X54" i="8"/>
  <c r="X60" i="8"/>
  <c r="U60" i="8"/>
  <c r="T60" i="8"/>
  <c r="Q60" i="8"/>
  <c r="O60" i="8"/>
  <c r="Q32" i="8"/>
  <c r="Q36" i="8"/>
  <c r="Q33" i="8"/>
  <c r="Q67" i="8"/>
  <c r="O61" i="8"/>
  <c r="O62" i="8"/>
  <c r="O63" i="8"/>
  <c r="O64" i="8"/>
  <c r="O65" i="8"/>
  <c r="O66" i="8"/>
  <c r="O67" i="8"/>
  <c r="O68" i="8"/>
  <c r="O74" i="8"/>
  <c r="O78" i="8"/>
  <c r="O79" i="8"/>
  <c r="O82" i="8"/>
  <c r="O86" i="8"/>
  <c r="O87" i="8"/>
  <c r="O88" i="8"/>
  <c r="O89" i="8"/>
  <c r="O90" i="8"/>
  <c r="O91" i="8"/>
  <c r="O92" i="8"/>
  <c r="O93" i="8"/>
  <c r="O94" i="8"/>
  <c r="O95" i="8"/>
  <c r="O96" i="8"/>
  <c r="O97" i="8"/>
  <c r="O5" i="8"/>
  <c r="O6" i="8"/>
  <c r="O7" i="8"/>
  <c r="O8" i="8"/>
  <c r="O9" i="8"/>
  <c r="O11" i="8"/>
  <c r="O12" i="8"/>
  <c r="O13" i="8"/>
  <c r="O14" i="8"/>
  <c r="O15" i="8"/>
  <c r="O16" i="8"/>
  <c r="O17" i="8"/>
  <c r="O18" i="8"/>
  <c r="O19" i="8"/>
  <c r="O20" i="8"/>
  <c r="O21" i="8"/>
  <c r="O22" i="8"/>
  <c r="O23" i="8"/>
  <c r="O24" i="8"/>
  <c r="O27" i="8"/>
  <c r="O28" i="8"/>
  <c r="O29" i="8"/>
  <c r="O30" i="8"/>
  <c r="O37" i="8"/>
  <c r="X24" i="8"/>
  <c r="X23" i="8"/>
  <c r="X22" i="8"/>
  <c r="X21" i="8"/>
  <c r="X20" i="8"/>
  <c r="X19" i="8"/>
  <c r="X18" i="8"/>
  <c r="X17" i="8"/>
  <c r="X16" i="8"/>
  <c r="X15" i="8"/>
  <c r="X14" i="8"/>
  <c r="X13" i="8"/>
  <c r="X12" i="8"/>
  <c r="X11" i="8"/>
  <c r="X10" i="8"/>
  <c r="X9" i="8"/>
  <c r="X8" i="8"/>
  <c r="X7" i="8"/>
  <c r="X6" i="8"/>
  <c r="X5" i="8"/>
  <c r="X97" i="8"/>
  <c r="N97" i="8"/>
  <c r="T97" i="8" s="1"/>
  <c r="Q97" i="8"/>
  <c r="X96" i="8"/>
  <c r="N96" i="8"/>
  <c r="U96" i="8" s="1"/>
  <c r="Q96" i="8"/>
  <c r="X95" i="8"/>
  <c r="N95" i="8"/>
  <c r="U95" i="8" s="1"/>
  <c r="Q95" i="8"/>
  <c r="X94" i="8"/>
  <c r="N94" i="8"/>
  <c r="U94" i="8" s="1"/>
  <c r="Q94" i="8"/>
  <c r="X93" i="8"/>
  <c r="N93" i="8"/>
  <c r="T93" i="8" s="1"/>
  <c r="Q93" i="8"/>
  <c r="X92" i="8"/>
  <c r="N92" i="8"/>
  <c r="U92" i="8" s="1"/>
  <c r="Q92" i="8"/>
  <c r="X91" i="8"/>
  <c r="N91" i="8"/>
  <c r="U91" i="8" s="1"/>
  <c r="Q91" i="8"/>
  <c r="X90" i="8"/>
  <c r="N90" i="8"/>
  <c r="U90" i="8" s="1"/>
  <c r="Q90" i="8"/>
  <c r="X89" i="8"/>
  <c r="N89" i="8"/>
  <c r="T89" i="8" s="1"/>
  <c r="Q89" i="8"/>
  <c r="X88" i="8"/>
  <c r="N88" i="8"/>
  <c r="U88" i="8" s="1"/>
  <c r="Q88" i="8"/>
  <c r="N87" i="8"/>
  <c r="X86" i="8"/>
  <c r="N86" i="8"/>
  <c r="U86" i="8" s="1"/>
  <c r="Q86" i="8"/>
  <c r="X85" i="8"/>
  <c r="N85" i="8"/>
  <c r="T85" i="8" s="1"/>
  <c r="Q85" i="8"/>
  <c r="N84" i="8"/>
  <c r="Q84" i="8"/>
  <c r="N83" i="8"/>
  <c r="U83" i="8" s="1"/>
  <c r="X82" i="8"/>
  <c r="N82" i="8"/>
  <c r="U82" i="8" s="1"/>
  <c r="Q82" i="8"/>
  <c r="X81" i="8"/>
  <c r="N81" i="8"/>
  <c r="T81" i="8" s="1"/>
  <c r="Q81" i="8"/>
  <c r="N80" i="8"/>
  <c r="Q80" i="8"/>
  <c r="N79" i="8"/>
  <c r="X78" i="8"/>
  <c r="N78" i="8"/>
  <c r="U78" i="8" s="1"/>
  <c r="Q78" i="8"/>
  <c r="X77" i="8"/>
  <c r="N77" i="8"/>
  <c r="T77" i="8" s="1"/>
  <c r="Q77" i="8"/>
  <c r="N76" i="8"/>
  <c r="Q76" i="8"/>
  <c r="X75" i="8"/>
  <c r="N75" i="8"/>
  <c r="X74" i="8"/>
  <c r="U74" i="8"/>
  <c r="Q74" i="8"/>
  <c r="C1" i="8"/>
  <c r="D1" i="8" s="1"/>
  <c r="E1" i="8" s="1"/>
  <c r="F1" i="8" s="1"/>
  <c r="G1" i="8" s="1"/>
  <c r="H1" i="8" s="1"/>
  <c r="I1" i="8" s="1"/>
  <c r="J1" i="8" s="1"/>
  <c r="K1" i="8" s="1"/>
  <c r="L1" i="8" s="1"/>
  <c r="M1" i="8" s="1"/>
  <c r="N1" i="8" s="1"/>
  <c r="O1" i="8" s="1"/>
  <c r="P1" i="8" s="1"/>
  <c r="Q1" i="8" s="1"/>
  <c r="R1" i="8" s="1"/>
  <c r="S1" i="8" s="1"/>
  <c r="T1" i="8" s="1"/>
  <c r="U1" i="8" s="1"/>
  <c r="V1" i="8" s="1"/>
  <c r="W1" i="8" s="1"/>
  <c r="X1" i="8" s="1"/>
  <c r="Y1" i="8" s="1"/>
  <c r="Q68" i="8"/>
  <c r="Q66" i="8"/>
  <c r="Q65" i="8"/>
  <c r="Q64" i="8"/>
  <c r="Q63" i="8"/>
  <c r="Q62" i="8"/>
  <c r="Q61" i="8"/>
  <c r="Q57" i="8"/>
  <c r="Q56" i="8"/>
  <c r="Q53" i="8"/>
  <c r="Q52" i="8"/>
  <c r="Q51" i="8"/>
  <c r="Q49" i="8"/>
  <c r="Q48" i="8"/>
  <c r="Q45" i="8"/>
  <c r="Q44" i="8"/>
  <c r="Q41" i="8"/>
  <c r="Q40" i="8"/>
  <c r="Q38" i="8"/>
  <c r="Q37" i="8"/>
  <c r="Q29" i="8"/>
  <c r="Q28" i="8"/>
  <c r="Q23" i="8"/>
  <c r="Q22" i="8"/>
  <c r="Q19" i="8"/>
  <c r="Q18" i="8"/>
  <c r="Q15" i="8"/>
  <c r="X45" i="8"/>
  <c r="X48" i="8"/>
  <c r="X49" i="8"/>
  <c r="X50" i="8"/>
  <c r="X51" i="8"/>
  <c r="X52" i="8"/>
  <c r="X53" i="8"/>
  <c r="X44" i="8"/>
  <c r="N61" i="8"/>
  <c r="N62" i="8"/>
  <c r="N63" i="8"/>
  <c r="X63" i="8" s="1"/>
  <c r="N64" i="8"/>
  <c r="X64" i="8" s="1"/>
  <c r="N65" i="8"/>
  <c r="N66" i="8"/>
  <c r="N67" i="8"/>
  <c r="X67" i="8" s="1"/>
  <c r="N68" i="8"/>
  <c r="X68" i="8" s="1"/>
  <c r="AA1" i="8"/>
  <c r="AB1" i="8" s="1"/>
  <c r="AC1" i="8" s="1"/>
  <c r="AD1" i="8" s="1"/>
  <c r="J84" i="4"/>
  <c r="G84" i="4"/>
  <c r="E84" i="4"/>
  <c r="H84" i="4"/>
  <c r="B84" i="4"/>
  <c r="J83" i="4"/>
  <c r="G83" i="4"/>
  <c r="E83" i="4"/>
  <c r="H83" i="4"/>
  <c r="B83" i="4"/>
  <c r="J82" i="4"/>
  <c r="G82" i="4"/>
  <c r="E82" i="4"/>
  <c r="I82" i="4" s="1"/>
  <c r="H82" i="4"/>
  <c r="B82" i="4"/>
  <c r="U49" i="8"/>
  <c r="T49" i="8"/>
  <c r="O49" i="8"/>
  <c r="U44" i="8"/>
  <c r="T44" i="8"/>
  <c r="O44" i="8"/>
  <c r="U59" i="8"/>
  <c r="T59" i="8"/>
  <c r="O59" i="8"/>
  <c r="U58" i="8"/>
  <c r="T58" i="8"/>
  <c r="O58" i="8"/>
  <c r="U57" i="8"/>
  <c r="T57" i="8"/>
  <c r="O57" i="8"/>
  <c r="U56" i="8"/>
  <c r="T56" i="8"/>
  <c r="O56" i="8"/>
  <c r="U55" i="8"/>
  <c r="T55" i="8"/>
  <c r="O55" i="8"/>
  <c r="U54" i="8"/>
  <c r="T54" i="8"/>
  <c r="O54" i="8"/>
  <c r="V4" i="8"/>
  <c r="W4" i="8"/>
  <c r="T5" i="8"/>
  <c r="U5" i="8"/>
  <c r="T6" i="8"/>
  <c r="U6" i="8"/>
  <c r="T7" i="8"/>
  <c r="U7" i="8"/>
  <c r="T15" i="8"/>
  <c r="U15" i="8"/>
  <c r="T16" i="8"/>
  <c r="U16" i="8"/>
  <c r="T17" i="8"/>
  <c r="U17" i="8"/>
  <c r="T18" i="8"/>
  <c r="U18" i="8"/>
  <c r="T19" i="8"/>
  <c r="U19" i="8"/>
  <c r="T20" i="8"/>
  <c r="U20" i="8"/>
  <c r="T21" i="8"/>
  <c r="U21" i="8"/>
  <c r="T22" i="8"/>
  <c r="U22" i="8"/>
  <c r="T23" i="8"/>
  <c r="U23" i="8"/>
  <c r="T24" i="8"/>
  <c r="U24" i="8"/>
  <c r="T27" i="8"/>
  <c r="U27" i="8"/>
  <c r="T28" i="8"/>
  <c r="U28" i="8"/>
  <c r="T29" i="8"/>
  <c r="U29" i="8"/>
  <c r="T30" i="8"/>
  <c r="U30" i="8"/>
  <c r="T31" i="8"/>
  <c r="U31" i="8"/>
  <c r="T32" i="8"/>
  <c r="U32" i="8"/>
  <c r="T33" i="8"/>
  <c r="U33" i="8"/>
  <c r="T34" i="8"/>
  <c r="U34" i="8"/>
  <c r="T35" i="8"/>
  <c r="U35" i="8"/>
  <c r="T36" i="8"/>
  <c r="U36" i="8"/>
  <c r="T37" i="8"/>
  <c r="U37" i="8"/>
  <c r="T38" i="8"/>
  <c r="U38" i="8"/>
  <c r="T39" i="8"/>
  <c r="U39" i="8"/>
  <c r="T40" i="8"/>
  <c r="U40" i="8"/>
  <c r="T41" i="8"/>
  <c r="U41" i="8"/>
  <c r="T45" i="8"/>
  <c r="U45" i="8"/>
  <c r="T46" i="8"/>
  <c r="U46" i="8"/>
  <c r="T47" i="8"/>
  <c r="U47" i="8"/>
  <c r="T48" i="8"/>
  <c r="U48" i="8"/>
  <c r="T50" i="8"/>
  <c r="U50" i="8"/>
  <c r="T51" i="8"/>
  <c r="U51" i="8"/>
  <c r="T52" i="8"/>
  <c r="U52" i="8"/>
  <c r="T53" i="8"/>
  <c r="U53" i="8"/>
  <c r="O45" i="8"/>
  <c r="O46" i="8"/>
  <c r="O47" i="8"/>
  <c r="O48" i="8"/>
  <c r="O50" i="8"/>
  <c r="O51" i="8"/>
  <c r="O52" i="8"/>
  <c r="O53" i="8"/>
  <c r="O38" i="8"/>
  <c r="O39" i="8"/>
  <c r="E205" i="7"/>
  <c r="E203" i="7"/>
  <c r="E199" i="7"/>
  <c r="E202" i="7"/>
  <c r="E201" i="7"/>
  <c r="E200"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4" i="7"/>
  <c r="E153" i="7"/>
  <c r="E155" i="7"/>
  <c r="E152" i="7"/>
  <c r="E148" i="7"/>
  <c r="E147" i="7"/>
  <c r="E151" i="7"/>
  <c r="E150" i="7"/>
  <c r="E149" i="7"/>
  <c r="E146" i="7"/>
  <c r="E145" i="7"/>
  <c r="E144" i="7"/>
  <c r="E143" i="7"/>
  <c r="E137" i="7"/>
  <c r="E142" i="7"/>
  <c r="E141" i="7"/>
  <c r="E140" i="7"/>
  <c r="E139" i="7"/>
  <c r="E138" i="7"/>
  <c r="E136" i="7"/>
  <c r="E135" i="7"/>
  <c r="E133" i="7"/>
  <c r="E132" i="7"/>
  <c r="E131" i="7"/>
  <c r="E134" i="7"/>
  <c r="E130" i="7"/>
  <c r="E126" i="7"/>
  <c r="E125" i="7"/>
  <c r="E129" i="7"/>
  <c r="E128" i="7"/>
  <c r="E124" i="7"/>
  <c r="E123" i="7"/>
  <c r="E122" i="7"/>
  <c r="E118" i="7"/>
  <c r="E121" i="7"/>
  <c r="E120" i="7"/>
  <c r="E117" i="7"/>
  <c r="E116" i="7"/>
  <c r="E114" i="7"/>
  <c r="E115" i="7"/>
  <c r="E113" i="7"/>
  <c r="E112" i="7"/>
  <c r="E111" i="7"/>
  <c r="E110" i="7"/>
  <c r="E109" i="7"/>
  <c r="E108" i="7"/>
  <c r="E107" i="7"/>
  <c r="E106" i="7"/>
  <c r="E105" i="7"/>
  <c r="E103" i="7"/>
  <c r="E102" i="7"/>
  <c r="E101" i="7"/>
  <c r="E104" i="7"/>
  <c r="E99" i="7"/>
  <c r="E100" i="7"/>
  <c r="E98" i="7"/>
  <c r="E95" i="7"/>
  <c r="E97" i="7"/>
  <c r="E96" i="7"/>
  <c r="E94" i="7"/>
  <c r="E90" i="7"/>
  <c r="E93" i="7"/>
  <c r="E92" i="7"/>
  <c r="E91" i="7"/>
  <c r="E89" i="7"/>
  <c r="E88" i="7"/>
  <c r="E87" i="7"/>
  <c r="E86" i="7"/>
  <c r="E84" i="7"/>
  <c r="E85" i="7"/>
  <c r="E83" i="7"/>
  <c r="E80" i="7"/>
  <c r="E82" i="7"/>
  <c r="E79" i="7"/>
  <c r="E81" i="7"/>
  <c r="E78" i="7"/>
  <c r="E77" i="7"/>
  <c r="E75" i="7"/>
  <c r="E76" i="7"/>
  <c r="E74" i="7"/>
  <c r="E73" i="7"/>
  <c r="E72" i="7"/>
  <c r="E65" i="7"/>
  <c r="E70" i="7"/>
  <c r="E71" i="7"/>
  <c r="E68" i="7"/>
  <c r="E69" i="7"/>
  <c r="E67" i="7"/>
  <c r="E66" i="7"/>
  <c r="E64" i="7"/>
  <c r="E27" i="7"/>
  <c r="E61" i="7"/>
  <c r="E62" i="7"/>
  <c r="E63" i="7"/>
  <c r="E60" i="7"/>
  <c r="E59" i="7"/>
  <c r="E58" i="7"/>
  <c r="E56" i="7"/>
  <c r="E55" i="7"/>
  <c r="E57" i="7"/>
  <c r="E54" i="7"/>
  <c r="E53" i="7"/>
  <c r="E52" i="7"/>
  <c r="E51" i="7"/>
  <c r="E50" i="7"/>
  <c r="E49" i="7"/>
  <c r="E48" i="7"/>
  <c r="E47" i="7"/>
  <c r="E46" i="7"/>
  <c r="E45" i="7"/>
  <c r="E44" i="7"/>
  <c r="E43" i="7"/>
  <c r="E42" i="7"/>
  <c r="E41" i="7"/>
  <c r="E40" i="7"/>
  <c r="E39" i="7"/>
  <c r="E38" i="7"/>
  <c r="E36" i="7"/>
  <c r="E37" i="7"/>
  <c r="E34" i="7"/>
  <c r="E35" i="7"/>
  <c r="E32" i="7"/>
  <c r="E31" i="7"/>
  <c r="E30" i="7"/>
  <c r="E33" i="7"/>
  <c r="E29" i="7"/>
  <c r="E28" i="7"/>
  <c r="E25" i="7"/>
  <c r="E26" i="7"/>
  <c r="E24" i="7"/>
  <c r="E23" i="7"/>
  <c r="E22" i="7"/>
  <c r="E21" i="7"/>
  <c r="E20" i="7"/>
  <c r="E19" i="7"/>
  <c r="E15" i="7"/>
  <c r="E18" i="7"/>
  <c r="E17" i="7"/>
  <c r="E16" i="7"/>
  <c r="E14" i="7"/>
  <c r="E13" i="7"/>
  <c r="E11" i="7"/>
  <c r="E10" i="7"/>
  <c r="E9" i="7"/>
  <c r="E8" i="7"/>
  <c r="E7" i="7"/>
  <c r="E6" i="7"/>
  <c r="E4" i="7"/>
  <c r="E5" i="7"/>
  <c r="E3" i="7"/>
  <c r="E2" i="7"/>
  <c r="E204" i="7"/>
  <c r="C1" i="7"/>
  <c r="A82" i="4"/>
  <c r="A83" i="4" s="1"/>
  <c r="A84" i="4" s="1"/>
  <c r="A85" i="4" s="1"/>
  <c r="A86" i="4" s="1"/>
  <c r="A87" i="4" s="1"/>
  <c r="A88" i="4" s="1"/>
  <c r="A89" i="4" s="1"/>
  <c r="A90" i="4" s="1"/>
  <c r="B14" i="5"/>
  <c r="C1" i="6"/>
  <c r="D1" i="6" s="1"/>
  <c r="E1" i="6" s="1"/>
  <c r="F1" i="6" s="1"/>
  <c r="G1" i="6" s="1"/>
  <c r="H1" i="6" s="1"/>
  <c r="I1" i="6" s="1"/>
  <c r="J1" i="6" s="1"/>
  <c r="A68" i="6"/>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D4" i="5"/>
  <c r="E4" i="5"/>
  <c r="F4" i="5"/>
  <c r="G4" i="5"/>
  <c r="H4" i="5"/>
  <c r="I4" i="5"/>
  <c r="J4" i="5"/>
  <c r="K4" i="5"/>
  <c r="L4" i="5"/>
  <c r="M4" i="5"/>
  <c r="N4" i="5"/>
  <c r="O4" i="5"/>
  <c r="D5" i="5"/>
  <c r="E5" i="5"/>
  <c r="F5" i="5"/>
  <c r="G5" i="5"/>
  <c r="H5" i="5"/>
  <c r="I5" i="5"/>
  <c r="J5" i="5"/>
  <c r="K5" i="5"/>
  <c r="L5" i="5"/>
  <c r="M5" i="5"/>
  <c r="N5" i="5"/>
  <c r="O5" i="5"/>
  <c r="I10" i="5"/>
  <c r="B11" i="5"/>
  <c r="I11" i="5"/>
  <c r="I12" i="5"/>
  <c r="I13" i="5"/>
  <c r="I14" i="5"/>
  <c r="I16" i="5"/>
  <c r="B17" i="5"/>
  <c r="I17" i="5"/>
  <c r="B18" i="5"/>
  <c r="I18" i="5"/>
  <c r="B19" i="5"/>
  <c r="I19" i="5"/>
  <c r="B20" i="5"/>
  <c r="I20" i="5"/>
  <c r="B21" i="5"/>
  <c r="B22" i="5"/>
  <c r="B4" i="4"/>
  <c r="E4" i="4"/>
  <c r="F4" i="4" s="1"/>
  <c r="G4" i="4"/>
  <c r="I4" i="4" s="1"/>
  <c r="H4" i="4"/>
  <c r="J4" i="4"/>
  <c r="A5" i="4"/>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B5" i="4"/>
  <c r="E5" i="4"/>
  <c r="F5" i="4" s="1"/>
  <c r="G5" i="4"/>
  <c r="H5" i="4"/>
  <c r="J5" i="4"/>
  <c r="B6" i="4"/>
  <c r="E6" i="4"/>
  <c r="F6" i="4" s="1"/>
  <c r="G6" i="4"/>
  <c r="H6" i="4"/>
  <c r="J6" i="4"/>
  <c r="B7" i="4"/>
  <c r="E7" i="4"/>
  <c r="F7" i="4" s="1"/>
  <c r="G7" i="4"/>
  <c r="H7" i="4"/>
  <c r="J7" i="4"/>
  <c r="B8" i="4"/>
  <c r="E8" i="4"/>
  <c r="F8" i="4" s="1"/>
  <c r="G8" i="4"/>
  <c r="H8" i="4"/>
  <c r="J8" i="4"/>
  <c r="B9" i="4"/>
  <c r="E9" i="4"/>
  <c r="F9" i="4" s="1"/>
  <c r="G9" i="4"/>
  <c r="H9" i="4"/>
  <c r="J9" i="4"/>
  <c r="B10" i="4"/>
  <c r="E10" i="4"/>
  <c r="F10" i="4" s="1"/>
  <c r="G10" i="4"/>
  <c r="H10" i="4"/>
  <c r="J10" i="4"/>
  <c r="B11" i="4"/>
  <c r="E11" i="4"/>
  <c r="F11" i="4" s="1"/>
  <c r="G11" i="4"/>
  <c r="I11" i="4" s="1"/>
  <c r="H11" i="4"/>
  <c r="J11" i="4"/>
  <c r="B12" i="4"/>
  <c r="E12" i="4"/>
  <c r="F12" i="4" s="1"/>
  <c r="G12" i="4"/>
  <c r="H12" i="4"/>
  <c r="J12" i="4"/>
  <c r="B13" i="4"/>
  <c r="E13" i="4"/>
  <c r="F13" i="4" s="1"/>
  <c r="G13" i="4"/>
  <c r="H13" i="4"/>
  <c r="J13" i="4"/>
  <c r="B14" i="4"/>
  <c r="E14" i="4"/>
  <c r="F14" i="4" s="1"/>
  <c r="G14" i="4"/>
  <c r="H14" i="4"/>
  <c r="J14" i="4"/>
  <c r="B15" i="4"/>
  <c r="E15" i="4"/>
  <c r="F15" i="4" s="1"/>
  <c r="G15" i="4"/>
  <c r="H15" i="4"/>
  <c r="J15" i="4"/>
  <c r="B16" i="4"/>
  <c r="E16" i="4"/>
  <c r="F16" i="4" s="1"/>
  <c r="G16" i="4"/>
  <c r="H16" i="4"/>
  <c r="J16" i="4"/>
  <c r="B17" i="4"/>
  <c r="E17" i="4"/>
  <c r="F17" i="4" s="1"/>
  <c r="G17" i="4"/>
  <c r="H17" i="4"/>
  <c r="J17" i="4"/>
  <c r="B18" i="4"/>
  <c r="E18" i="4"/>
  <c r="F18" i="4" s="1"/>
  <c r="G18" i="4"/>
  <c r="H18" i="4"/>
  <c r="J18" i="4"/>
  <c r="B19" i="4"/>
  <c r="E19" i="4"/>
  <c r="F19" i="4" s="1"/>
  <c r="G19" i="4"/>
  <c r="I19" i="4" s="1"/>
  <c r="H19" i="4"/>
  <c r="J19" i="4"/>
  <c r="B20" i="4"/>
  <c r="E20" i="4"/>
  <c r="F20" i="4" s="1"/>
  <c r="G20" i="4"/>
  <c r="H20" i="4"/>
  <c r="J20" i="4"/>
  <c r="B21" i="4"/>
  <c r="E21" i="4"/>
  <c r="F21" i="4" s="1"/>
  <c r="G21" i="4"/>
  <c r="H21" i="4"/>
  <c r="J21" i="4"/>
  <c r="B22" i="4"/>
  <c r="E22" i="4"/>
  <c r="F22" i="4" s="1"/>
  <c r="G22" i="4"/>
  <c r="H22" i="4"/>
  <c r="J22" i="4"/>
  <c r="B23" i="4"/>
  <c r="E23" i="4"/>
  <c r="F23" i="4" s="1"/>
  <c r="G23" i="4"/>
  <c r="H23" i="4"/>
  <c r="J23" i="4"/>
  <c r="B24" i="4"/>
  <c r="E24" i="4"/>
  <c r="F24" i="4" s="1"/>
  <c r="G24" i="4"/>
  <c r="H24" i="4"/>
  <c r="J24" i="4"/>
  <c r="B25" i="4"/>
  <c r="E25" i="4"/>
  <c r="F25" i="4" s="1"/>
  <c r="G25" i="4"/>
  <c r="H25" i="4"/>
  <c r="J25" i="4"/>
  <c r="B26" i="4"/>
  <c r="E26" i="4"/>
  <c r="F26" i="4" s="1"/>
  <c r="G26" i="4"/>
  <c r="H26" i="4"/>
  <c r="J26" i="4"/>
  <c r="B27" i="4"/>
  <c r="E27" i="4"/>
  <c r="F27" i="4" s="1"/>
  <c r="G27" i="4"/>
  <c r="I27" i="4" s="1"/>
  <c r="H27" i="4"/>
  <c r="J27" i="4"/>
  <c r="B28" i="4"/>
  <c r="E28" i="4"/>
  <c r="F28" i="4" s="1"/>
  <c r="G28" i="4"/>
  <c r="I28" i="4" s="1"/>
  <c r="H28" i="4"/>
  <c r="J28" i="4"/>
  <c r="B29" i="4"/>
  <c r="E29" i="4"/>
  <c r="F29" i="4" s="1"/>
  <c r="G29" i="4"/>
  <c r="H29" i="4"/>
  <c r="J29" i="4"/>
  <c r="B30" i="4"/>
  <c r="E30" i="4"/>
  <c r="F30" i="4" s="1"/>
  <c r="G30" i="4"/>
  <c r="I30" i="4" s="1"/>
  <c r="H30" i="4"/>
  <c r="J30" i="4"/>
  <c r="B31" i="4"/>
  <c r="E31" i="4"/>
  <c r="F31" i="4" s="1"/>
  <c r="G31" i="4"/>
  <c r="H31" i="4"/>
  <c r="J31" i="4"/>
  <c r="B32" i="4"/>
  <c r="E32" i="4"/>
  <c r="F32" i="4" s="1"/>
  <c r="G32" i="4"/>
  <c r="H32" i="4"/>
  <c r="J32" i="4"/>
  <c r="B33" i="4"/>
  <c r="E33" i="4"/>
  <c r="F33" i="4" s="1"/>
  <c r="G33" i="4"/>
  <c r="H33" i="4"/>
  <c r="J33" i="4"/>
  <c r="B34" i="4"/>
  <c r="E34" i="4"/>
  <c r="F34" i="4" s="1"/>
  <c r="G34" i="4"/>
  <c r="I34" i="4" s="1"/>
  <c r="H34" i="4"/>
  <c r="J34" i="4"/>
  <c r="B35" i="4"/>
  <c r="E35" i="4"/>
  <c r="F35" i="4" s="1"/>
  <c r="G35" i="4"/>
  <c r="H35" i="4"/>
  <c r="J35" i="4"/>
  <c r="B36" i="4"/>
  <c r="E36" i="4"/>
  <c r="F36" i="4" s="1"/>
  <c r="G36" i="4"/>
  <c r="I36" i="4" s="1"/>
  <c r="H36" i="4"/>
  <c r="J36" i="4"/>
  <c r="B37" i="4"/>
  <c r="E37" i="4"/>
  <c r="F37" i="4" s="1"/>
  <c r="G37" i="4"/>
  <c r="H37" i="4"/>
  <c r="J37" i="4"/>
  <c r="B38" i="4"/>
  <c r="E38" i="4"/>
  <c r="F38" i="4" s="1"/>
  <c r="G38" i="4"/>
  <c r="H38" i="4"/>
  <c r="J38" i="4"/>
  <c r="B39" i="4"/>
  <c r="E39" i="4"/>
  <c r="F39" i="4" s="1"/>
  <c r="G39" i="4"/>
  <c r="H39" i="4"/>
  <c r="J39" i="4"/>
  <c r="B40" i="4"/>
  <c r="E40" i="4"/>
  <c r="F40" i="4" s="1"/>
  <c r="G40" i="4"/>
  <c r="H40" i="4"/>
  <c r="J40" i="4"/>
  <c r="B41" i="4"/>
  <c r="E41" i="4"/>
  <c r="F41" i="4" s="1"/>
  <c r="G41" i="4"/>
  <c r="H41" i="4"/>
  <c r="J41" i="4"/>
  <c r="B42" i="4"/>
  <c r="E42" i="4"/>
  <c r="F42" i="4" s="1"/>
  <c r="G42" i="4"/>
  <c r="I42" i="4" s="1"/>
  <c r="H42" i="4"/>
  <c r="J42" i="4"/>
  <c r="B43" i="4"/>
  <c r="E43" i="4"/>
  <c r="F43" i="4" s="1"/>
  <c r="G43" i="4"/>
  <c r="H43" i="4"/>
  <c r="J43" i="4"/>
  <c r="B44" i="4"/>
  <c r="E44" i="4"/>
  <c r="F44" i="4" s="1"/>
  <c r="G44" i="4"/>
  <c r="H44" i="4"/>
  <c r="I44" i="4"/>
  <c r="J44" i="4"/>
  <c r="B45" i="4"/>
  <c r="E45" i="4"/>
  <c r="F45" i="4" s="1"/>
  <c r="G45" i="4"/>
  <c r="H45" i="4"/>
  <c r="J45" i="4"/>
  <c r="B46" i="4"/>
  <c r="E46" i="4"/>
  <c r="F46" i="4" s="1"/>
  <c r="G46" i="4"/>
  <c r="H46" i="4"/>
  <c r="J46" i="4"/>
  <c r="B47" i="4"/>
  <c r="E47" i="4"/>
  <c r="F47" i="4" s="1"/>
  <c r="G47" i="4"/>
  <c r="I47" i="4" s="1"/>
  <c r="H47" i="4"/>
  <c r="J47" i="4"/>
  <c r="B48" i="4"/>
  <c r="E48" i="4"/>
  <c r="F48" i="4" s="1"/>
  <c r="G48" i="4"/>
  <c r="H48" i="4"/>
  <c r="J48" i="4"/>
  <c r="B49" i="4"/>
  <c r="E49" i="4"/>
  <c r="F49" i="4" s="1"/>
  <c r="G49" i="4"/>
  <c r="H49" i="4"/>
  <c r="J49" i="4"/>
  <c r="B50" i="4"/>
  <c r="E50" i="4"/>
  <c r="F50" i="4" s="1"/>
  <c r="G50" i="4"/>
  <c r="H50" i="4"/>
  <c r="J50" i="4"/>
  <c r="B51" i="4"/>
  <c r="E51" i="4"/>
  <c r="F51" i="4" s="1"/>
  <c r="G51" i="4"/>
  <c r="H51" i="4"/>
  <c r="J51" i="4"/>
  <c r="B52" i="4"/>
  <c r="E52" i="4"/>
  <c r="F52" i="4" s="1"/>
  <c r="G52" i="4"/>
  <c r="H52" i="4"/>
  <c r="J52" i="4"/>
  <c r="B53" i="4"/>
  <c r="E53" i="4"/>
  <c r="F53" i="4" s="1"/>
  <c r="G53" i="4"/>
  <c r="H53" i="4"/>
  <c r="J53" i="4"/>
  <c r="B54" i="4"/>
  <c r="E54" i="4"/>
  <c r="F54" i="4" s="1"/>
  <c r="G54" i="4"/>
  <c r="H54" i="4"/>
  <c r="J54" i="4"/>
  <c r="B55" i="4"/>
  <c r="E55" i="4"/>
  <c r="F55" i="4" s="1"/>
  <c r="G55" i="4"/>
  <c r="H55" i="4"/>
  <c r="J55" i="4"/>
  <c r="B56" i="4"/>
  <c r="E56" i="4"/>
  <c r="F56" i="4" s="1"/>
  <c r="G56" i="4"/>
  <c r="H56" i="4"/>
  <c r="J56" i="4"/>
  <c r="B57" i="4"/>
  <c r="E57" i="4"/>
  <c r="F57" i="4" s="1"/>
  <c r="G57" i="4"/>
  <c r="H57" i="4"/>
  <c r="J57" i="4"/>
  <c r="B58" i="4"/>
  <c r="E58" i="4"/>
  <c r="F58" i="4" s="1"/>
  <c r="G58" i="4"/>
  <c r="H58" i="4"/>
  <c r="J58" i="4"/>
  <c r="B59" i="4"/>
  <c r="E59" i="4"/>
  <c r="F59" i="4" s="1"/>
  <c r="G59" i="4"/>
  <c r="H59" i="4"/>
  <c r="J59" i="4"/>
  <c r="B60" i="4"/>
  <c r="E60" i="4"/>
  <c r="F60" i="4" s="1"/>
  <c r="G60" i="4"/>
  <c r="H60" i="4"/>
  <c r="J60" i="4"/>
  <c r="B61" i="4"/>
  <c r="E61" i="4"/>
  <c r="F61" i="4" s="1"/>
  <c r="G61" i="4"/>
  <c r="H61" i="4"/>
  <c r="J61" i="4"/>
  <c r="B62" i="4"/>
  <c r="E62" i="4"/>
  <c r="F62" i="4" s="1"/>
  <c r="G62" i="4"/>
  <c r="H62" i="4"/>
  <c r="J62" i="4"/>
  <c r="B63" i="4"/>
  <c r="E63" i="4"/>
  <c r="F63" i="4" s="1"/>
  <c r="G63" i="4"/>
  <c r="H63" i="4"/>
  <c r="J63" i="4"/>
  <c r="B64" i="4"/>
  <c r="E64" i="4"/>
  <c r="F64" i="4" s="1"/>
  <c r="G64" i="4"/>
  <c r="I64" i="4" s="1"/>
  <c r="H64" i="4"/>
  <c r="J64" i="4"/>
  <c r="B65" i="4"/>
  <c r="E65" i="4"/>
  <c r="F65" i="4" s="1"/>
  <c r="G65" i="4"/>
  <c r="H65" i="4"/>
  <c r="J65" i="4"/>
  <c r="B66" i="4"/>
  <c r="E66" i="4"/>
  <c r="F66" i="4" s="1"/>
  <c r="G66" i="4"/>
  <c r="H66" i="4"/>
  <c r="J66" i="4"/>
  <c r="B67" i="4"/>
  <c r="E67" i="4"/>
  <c r="F67" i="4" s="1"/>
  <c r="G67" i="4"/>
  <c r="I67" i="4" s="1"/>
  <c r="H67" i="4"/>
  <c r="J67" i="4"/>
  <c r="B68" i="4"/>
  <c r="E68" i="4"/>
  <c r="F68" i="4" s="1"/>
  <c r="G68" i="4"/>
  <c r="H68" i="4"/>
  <c r="J68" i="4"/>
  <c r="B69" i="4"/>
  <c r="E69" i="4"/>
  <c r="F69" i="4" s="1"/>
  <c r="G69" i="4"/>
  <c r="H69" i="4"/>
  <c r="J69" i="4"/>
  <c r="B70" i="4"/>
  <c r="E70" i="4"/>
  <c r="F70" i="4" s="1"/>
  <c r="G70" i="4"/>
  <c r="H70" i="4"/>
  <c r="J70" i="4"/>
  <c r="B71" i="4"/>
  <c r="E71" i="4"/>
  <c r="F71" i="4" s="1"/>
  <c r="G71" i="4"/>
  <c r="I71" i="4" s="1"/>
  <c r="H71" i="4"/>
  <c r="J71" i="4"/>
  <c r="B72" i="4"/>
  <c r="E72" i="4"/>
  <c r="F72" i="4" s="1"/>
  <c r="G72" i="4"/>
  <c r="H72" i="4"/>
  <c r="J72" i="4"/>
  <c r="B73" i="4"/>
  <c r="E73" i="4"/>
  <c r="F73" i="4" s="1"/>
  <c r="G73" i="4"/>
  <c r="H73" i="4"/>
  <c r="J73" i="4"/>
  <c r="B74" i="4"/>
  <c r="E74" i="4"/>
  <c r="F74" i="4" s="1"/>
  <c r="G74" i="4"/>
  <c r="H74" i="4"/>
  <c r="J74" i="4"/>
  <c r="B75" i="4"/>
  <c r="E75" i="4"/>
  <c r="F75" i="4" s="1"/>
  <c r="G75" i="4"/>
  <c r="H75" i="4"/>
  <c r="J75" i="4"/>
  <c r="B76" i="4"/>
  <c r="E76" i="4"/>
  <c r="F76" i="4" s="1"/>
  <c r="G76" i="4"/>
  <c r="H76" i="4"/>
  <c r="J76" i="4"/>
  <c r="B77" i="4"/>
  <c r="E77" i="4"/>
  <c r="F77" i="4" s="1"/>
  <c r="G77" i="4"/>
  <c r="H77" i="4"/>
  <c r="J77" i="4"/>
  <c r="B78" i="4"/>
  <c r="E78" i="4"/>
  <c r="F78" i="4" s="1"/>
  <c r="G78" i="4"/>
  <c r="H78" i="4"/>
  <c r="J78" i="4"/>
  <c r="B79" i="4"/>
  <c r="E79" i="4"/>
  <c r="F79" i="4" s="1"/>
  <c r="G79" i="4"/>
  <c r="I79" i="4" s="1"/>
  <c r="H79" i="4"/>
  <c r="J79" i="4"/>
  <c r="B80" i="4"/>
  <c r="E80" i="4"/>
  <c r="F80" i="4" s="1"/>
  <c r="G80" i="4"/>
  <c r="I80" i="4" s="1"/>
  <c r="H80" i="4"/>
  <c r="J80" i="4"/>
  <c r="B81" i="4"/>
  <c r="E81" i="4"/>
  <c r="F81" i="4" s="1"/>
  <c r="G81" i="4"/>
  <c r="H81" i="4"/>
  <c r="J81" i="4"/>
  <c r="C1" i="3"/>
  <c r="D1" i="3" s="1"/>
  <c r="E1" i="3" s="1"/>
  <c r="F1" i="3" s="1"/>
  <c r="G1" i="3" s="1"/>
  <c r="H1" i="3" s="1"/>
  <c r="I1" i="3" s="1"/>
  <c r="J1" i="3" s="1"/>
  <c r="K1" i="3" s="1"/>
  <c r="L1" i="3" s="1"/>
  <c r="M1" i="3" s="1"/>
  <c r="N1" i="3" s="1"/>
  <c r="O1" i="3" s="1"/>
  <c r="P1" i="3" s="1"/>
  <c r="Q1" i="3" s="1"/>
  <c r="A190" i="3"/>
  <c r="A191" i="3" s="1"/>
  <c r="A192" i="3" s="1"/>
  <c r="A193" i="3" s="1"/>
  <c r="A194" i="3" s="1"/>
  <c r="A195" i="3" s="1"/>
  <c r="A196" i="3" s="1"/>
  <c r="A197" i="3" s="1"/>
  <c r="A198" i="3" s="1"/>
  <c r="A199" i="3" s="1"/>
  <c r="A200" i="3" s="1"/>
  <c r="A201" i="3" s="1"/>
  <c r="E1" i="1"/>
  <c r="F1" i="1" s="1"/>
  <c r="J1" i="1"/>
  <c r="K1" i="1" s="1"/>
  <c r="L1" i="1" s="1"/>
  <c r="M1" i="1" s="1"/>
  <c r="N1" i="1" s="1"/>
  <c r="O1" i="1" s="1"/>
  <c r="P1" i="1" s="1"/>
  <c r="Q1" i="1" s="1"/>
  <c r="I81" i="4" l="1"/>
  <c r="I78" i="4"/>
  <c r="I68" i="4"/>
  <c r="I65" i="4"/>
  <c r="I62" i="4"/>
  <c r="I22" i="4"/>
  <c r="A40" i="8"/>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T70" i="8"/>
  <c r="T74" i="8"/>
  <c r="Q32" i="3"/>
  <c r="Q36" i="3"/>
  <c r="Q40" i="3"/>
  <c r="Q79" i="3"/>
  <c r="O70" i="8"/>
  <c r="O107" i="3"/>
  <c r="O108" i="3"/>
  <c r="O109" i="3"/>
  <c r="O110" i="3"/>
  <c r="O111" i="3"/>
  <c r="I76" i="4"/>
  <c r="I75" i="4"/>
  <c r="I73" i="4"/>
  <c r="I72" i="4"/>
  <c r="I70" i="4"/>
  <c r="I60" i="4"/>
  <c r="I59" i="4"/>
  <c r="I56" i="4"/>
  <c r="I54" i="4"/>
  <c r="I50" i="4"/>
  <c r="I43" i="4"/>
  <c r="I39" i="4"/>
  <c r="I31" i="4"/>
  <c r="I15" i="4"/>
  <c r="I12" i="4"/>
  <c r="I10" i="4"/>
  <c r="I6" i="4"/>
  <c r="Q34" i="3"/>
  <c r="Q38" i="3"/>
  <c r="Q42" i="3"/>
  <c r="I63" i="4"/>
  <c r="U79" i="8"/>
  <c r="X83" i="8"/>
  <c r="Q75" i="8"/>
  <c r="U87" i="8"/>
  <c r="Q55" i="8"/>
  <c r="U75" i="8"/>
  <c r="Q83" i="8"/>
  <c r="T79" i="8"/>
  <c r="H70" i="8"/>
  <c r="Z70" i="8" s="1"/>
  <c r="T72" i="8"/>
  <c r="T68" i="8"/>
  <c r="T78" i="8"/>
  <c r="T86" i="8"/>
  <c r="I74" i="4"/>
  <c r="I66" i="4"/>
  <c r="I58" i="4"/>
  <c r="I48" i="4"/>
  <c r="I26" i="4"/>
  <c r="I14" i="4"/>
  <c r="T67" i="8"/>
  <c r="I84" i="4"/>
  <c r="T75" i="8"/>
  <c r="T87" i="8"/>
  <c r="U89" i="8"/>
  <c r="T90" i="8"/>
  <c r="T91" i="8"/>
  <c r="U93" i="8"/>
  <c r="T94" i="8"/>
  <c r="T95" i="8"/>
  <c r="U97" i="8"/>
  <c r="Q159" i="3"/>
  <c r="Q178" i="3"/>
  <c r="I46" i="4"/>
  <c r="I20" i="4"/>
  <c r="T63" i="8"/>
  <c r="Q26" i="3"/>
  <c r="Q68" i="3"/>
  <c r="Q71" i="3"/>
  <c r="Q75" i="3"/>
  <c r="I35" i="4"/>
  <c r="I23" i="4"/>
  <c r="I77" i="4"/>
  <c r="I69" i="4"/>
  <c r="I61" i="4"/>
  <c r="I52" i="4"/>
  <c r="I38" i="4"/>
  <c r="I18" i="4"/>
  <c r="T64" i="8"/>
  <c r="T82" i="8"/>
  <c r="T83" i="8"/>
  <c r="Q18" i="3"/>
  <c r="Q163" i="3"/>
  <c r="Q184" i="3"/>
  <c r="Q183" i="3"/>
  <c r="X66" i="8"/>
  <c r="T66" i="8"/>
  <c r="Z5" i="8"/>
  <c r="Q5" i="8"/>
  <c r="Z17" i="8"/>
  <c r="Q17" i="8"/>
  <c r="Z21" i="8"/>
  <c r="Q21" i="8"/>
  <c r="Z27" i="8"/>
  <c r="Q27" i="8"/>
  <c r="Z31" i="8"/>
  <c r="Q31" i="8"/>
  <c r="Z35" i="8"/>
  <c r="Q35" i="8"/>
  <c r="Z39" i="8"/>
  <c r="Q39" i="8"/>
  <c r="H71" i="8"/>
  <c r="T71" i="8"/>
  <c r="I51" i="4"/>
  <c r="X65" i="8"/>
  <c r="T65" i="8"/>
  <c r="X61" i="8"/>
  <c r="T61" i="8"/>
  <c r="Q47" i="8"/>
  <c r="Q79" i="8"/>
  <c r="Q87" i="8"/>
  <c r="O76" i="8"/>
  <c r="X76" i="8"/>
  <c r="O80" i="8"/>
  <c r="X80" i="8"/>
  <c r="O84" i="8"/>
  <c r="X84" i="8"/>
  <c r="U73" i="8"/>
  <c r="O73" i="8"/>
  <c r="T73" i="8"/>
  <c r="I55" i="4"/>
  <c r="I40" i="4"/>
  <c r="I32" i="4"/>
  <c r="I24" i="4"/>
  <c r="I16" i="4"/>
  <c r="I8" i="4"/>
  <c r="Q59" i="8"/>
  <c r="U69" i="8"/>
  <c r="X73" i="8"/>
  <c r="O77" i="8"/>
  <c r="U77" i="8"/>
  <c r="O81" i="8"/>
  <c r="U81" i="8"/>
  <c r="O85" i="8"/>
  <c r="U85" i="8"/>
  <c r="Q45" i="3"/>
  <c r="Q46" i="3"/>
  <c r="Q157" i="3"/>
  <c r="Q161" i="3"/>
  <c r="Q165" i="3"/>
  <c r="X62" i="8"/>
  <c r="T62" i="8"/>
  <c r="Z16" i="8"/>
  <c r="Q16" i="8"/>
  <c r="Z20" i="8"/>
  <c r="Q20" i="8"/>
  <c r="Z24" i="8"/>
  <c r="Q24" i="8"/>
  <c r="Z30" i="8"/>
  <c r="Q30" i="8"/>
  <c r="Z34" i="8"/>
  <c r="Q34" i="8"/>
  <c r="Z46" i="8"/>
  <c r="Q46" i="8"/>
  <c r="Z50" i="8"/>
  <c r="Q50" i="8"/>
  <c r="Z54" i="8"/>
  <c r="Q54" i="8"/>
  <c r="Z58" i="8"/>
  <c r="Q58" i="8"/>
  <c r="X69" i="8"/>
  <c r="X71" i="8"/>
  <c r="U76" i="8"/>
  <c r="U80" i="8"/>
  <c r="U84" i="8"/>
  <c r="Q30" i="3"/>
  <c r="Q78" i="3"/>
  <c r="Q81" i="3"/>
  <c r="Q83" i="3"/>
  <c r="Q85" i="3"/>
  <c r="Q87" i="3"/>
  <c r="Q89" i="3"/>
  <c r="Q91" i="3"/>
  <c r="Q93" i="3"/>
  <c r="Q95" i="3"/>
  <c r="Q97" i="3"/>
  <c r="Q99" i="3"/>
  <c r="Q101" i="3"/>
  <c r="Q103" i="3"/>
  <c r="Q105" i="3"/>
  <c r="Q107" i="3"/>
  <c r="Q108" i="3"/>
  <c r="Q109" i="3"/>
  <c r="Q110" i="3"/>
  <c r="Q111" i="3"/>
  <c r="Q112" i="3"/>
  <c r="Q113" i="3"/>
  <c r="Q114" i="3"/>
  <c r="Q115" i="3"/>
  <c r="Q172" i="3"/>
  <c r="U70" i="8"/>
  <c r="U72" i="8"/>
  <c r="Q138" i="3"/>
  <c r="Q142" i="3"/>
  <c r="Q146" i="3"/>
  <c r="Q150" i="3"/>
  <c r="A28" i="3"/>
  <c r="A29" i="3" s="1"/>
  <c r="A30" i="3" s="1"/>
  <c r="A31" i="3" s="1"/>
  <c r="A32" i="3" s="1"/>
  <c r="A33" i="3" s="1"/>
  <c r="A34" i="3" s="1"/>
  <c r="A35" i="3" s="1"/>
  <c r="A36" i="3" s="1"/>
  <c r="A37" i="3" s="1"/>
  <c r="A38" i="3" s="1"/>
  <c r="A39" i="3" s="1"/>
  <c r="A40" i="3" s="1"/>
  <c r="A41" i="3" s="1"/>
  <c r="A42" i="3" s="1"/>
  <c r="A43" i="3" s="1"/>
  <c r="A27" i="3"/>
  <c r="I57" i="4"/>
  <c r="I53" i="4"/>
  <c r="I49" i="4"/>
  <c r="I45" i="4"/>
  <c r="I41" i="4"/>
  <c r="I37" i="4"/>
  <c r="I33" i="4"/>
  <c r="I29" i="4"/>
  <c r="I25" i="4"/>
  <c r="I21" i="4"/>
  <c r="I17" i="4"/>
  <c r="I13" i="4"/>
  <c r="Q116" i="3"/>
  <c r="Q117" i="3"/>
  <c r="Q118" i="3"/>
  <c r="Q119" i="3"/>
  <c r="Q120" i="3"/>
  <c r="Q121" i="3"/>
  <c r="Q122" i="3"/>
  <c r="Q123" i="3"/>
  <c r="Q124" i="3"/>
  <c r="Q125" i="3"/>
  <c r="Q126" i="3"/>
  <c r="Q127" i="3"/>
  <c r="Q128" i="3"/>
  <c r="Q129" i="3"/>
  <c r="Q130" i="3"/>
  <c r="Q131" i="3"/>
  <c r="Q132" i="3"/>
  <c r="Q133" i="3"/>
  <c r="Q134" i="3"/>
  <c r="Q135" i="3"/>
  <c r="Q137" i="3"/>
  <c r="Q139" i="3"/>
  <c r="Q141" i="3"/>
  <c r="Q143" i="3"/>
  <c r="Q145" i="3"/>
  <c r="Q147" i="3"/>
  <c r="Q149" i="3"/>
  <c r="Q151" i="3"/>
  <c r="Q153" i="3"/>
  <c r="Q156" i="3"/>
  <c r="Q158" i="3"/>
  <c r="Q160" i="3"/>
  <c r="Q162" i="3"/>
  <c r="Q164" i="3"/>
  <c r="Q177" i="3"/>
  <c r="Q114" i="8"/>
  <c r="Q116" i="8"/>
  <c r="U61" i="8"/>
  <c r="U62" i="8"/>
  <c r="U63" i="8"/>
  <c r="U64" i="8"/>
  <c r="U65" i="8"/>
  <c r="U66" i="8"/>
  <c r="U67" i="8"/>
  <c r="U68" i="8"/>
  <c r="F82" i="4"/>
  <c r="I83" i="4"/>
  <c r="F84" i="4"/>
  <c r="T76" i="8"/>
  <c r="T80" i="8"/>
  <c r="T84" i="8"/>
  <c r="T88" i="8"/>
  <c r="T92" i="8"/>
  <c r="T96" i="8"/>
  <c r="Q70" i="8"/>
  <c r="Q19" i="3"/>
  <c r="Q49" i="3"/>
  <c r="Q67" i="3"/>
  <c r="Q70" i="3"/>
  <c r="Q72" i="3"/>
  <c r="Q74" i="3"/>
  <c r="Q76" i="3"/>
  <c r="A43" i="4"/>
  <c r="A44" i="4"/>
  <c r="A45" i="4" s="1"/>
  <c r="A46" i="4" s="1"/>
  <c r="A47" i="4" s="1"/>
  <c r="A48" i="4" s="1"/>
  <c r="A49" i="4" s="1"/>
  <c r="A50" i="4" s="1"/>
  <c r="A51" i="4" s="1"/>
  <c r="A52" i="4" s="1"/>
  <c r="A53" i="4" s="1"/>
  <c r="A54" i="4" s="1"/>
  <c r="A55" i="4" s="1"/>
  <c r="A56" i="4" s="1"/>
  <c r="A57" i="4" s="1"/>
  <c r="A58" i="4" s="1"/>
  <c r="I9" i="4"/>
  <c r="I7" i="4"/>
  <c r="I5" i="4"/>
  <c r="F8" i="8"/>
  <c r="H7" i="8"/>
  <c r="Z69" i="8"/>
  <c r="Q69" i="8"/>
  <c r="Z71" i="8"/>
  <c r="Q71" i="8"/>
  <c r="F83" i="4"/>
  <c r="Q72" i="8"/>
  <c r="H6" i="8"/>
  <c r="T69" i="8"/>
  <c r="U71" i="8"/>
  <c r="Q73" i="8"/>
  <c r="Q112" i="8"/>
  <c r="Q113" i="8"/>
  <c r="Q115" i="8"/>
  <c r="A45" i="3" l="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44" i="3"/>
  <c r="Z6" i="8"/>
  <c r="Q6" i="8"/>
  <c r="Z7" i="8"/>
  <c r="Q7" i="8"/>
  <c r="F9" i="8"/>
  <c r="H8" i="8"/>
  <c r="T8" i="8"/>
  <c r="U8" i="8"/>
  <c r="F10" i="8" l="1"/>
  <c r="H9" i="8"/>
  <c r="T9" i="8"/>
  <c r="U9" i="8"/>
  <c r="Z8" i="8"/>
  <c r="Q8" i="8"/>
  <c r="Z9" i="8" l="1"/>
  <c r="Q9" i="8"/>
  <c r="F11" i="8"/>
  <c r="H10" i="8"/>
  <c r="T10" i="8"/>
  <c r="U10" i="8"/>
  <c r="Z10" i="8" l="1"/>
  <c r="Q10" i="8"/>
  <c r="F12" i="8"/>
  <c r="H11" i="8"/>
  <c r="T11" i="8"/>
  <c r="U11" i="8"/>
  <c r="F13" i="8" l="1"/>
  <c r="H12" i="8"/>
  <c r="T12" i="8"/>
  <c r="U12" i="8"/>
  <c r="Z11" i="8"/>
  <c r="Q11" i="8"/>
  <c r="Z12" i="8" l="1"/>
  <c r="Q12" i="8"/>
  <c r="F14" i="8"/>
  <c r="H13" i="8"/>
  <c r="T13" i="8"/>
  <c r="U13" i="8"/>
  <c r="Z13" i="8" l="1"/>
  <c r="Q13" i="8"/>
  <c r="H14" i="8"/>
  <c r="T14" i="8"/>
  <c r="U14" i="8"/>
  <c r="Z14" i="8" l="1"/>
  <c r="Q14" i="8"/>
</calcChain>
</file>

<file path=xl/sharedStrings.xml><?xml version="1.0" encoding="utf-8"?>
<sst xmlns="http://schemas.openxmlformats.org/spreadsheetml/2006/main" count="14562" uniqueCount="9224">
  <si>
    <t>Профиль сваи на выдерг.</t>
  </si>
  <si>
    <t>Металлоемк.</t>
  </si>
  <si>
    <t>Поверхн. нагрузка</t>
  </si>
  <si>
    <t>Сосредоточенная нагрузка</t>
  </si>
  <si>
    <t>Тип распорки</t>
  </si>
  <si>
    <t>H-распорка</t>
  </si>
  <si>
    <t>2H-распорка</t>
  </si>
  <si>
    <t>Распорка из трубы</t>
  </si>
  <si>
    <t>Распорка из бетона</t>
  </si>
  <si>
    <t>Управление нагрузками</t>
  </si>
  <si>
    <t>Дополнительные условия</t>
  </si>
  <si>
    <t>Этап разр. котл. 1</t>
  </si>
  <si>
    <t>Этап разр. котл. 2</t>
  </si>
  <si>
    <t>Этап разр. котл. 3</t>
  </si>
  <si>
    <t>Этап разр. котл. 4</t>
  </si>
  <si>
    <t>Этап разр. котл. 5</t>
  </si>
  <si>
    <t>Этап разр. котл. 6</t>
  </si>
  <si>
    <t>Этап обр. засыпки R</t>
  </si>
  <si>
    <t>Этап обр. засыпки S</t>
  </si>
  <si>
    <t>Фундамент</t>
  </si>
  <si>
    <t>Окружность</t>
  </si>
  <si>
    <t>Верт. эллипс</t>
  </si>
  <si>
    <t>Гор. эллипс</t>
  </si>
  <si>
    <t>тангенс. распред. нагр.</t>
  </si>
  <si>
    <t xml:space="preserve">Р А С Ч Е Т Н А Я   С Х Е М А    Разрез   </t>
  </si>
  <si>
    <t xml:space="preserve">Огр. котлована в Разрезе </t>
  </si>
  <si>
    <t>index aktualnego przekroju</t>
  </si>
  <si>
    <t>η-poslizgu</t>
  </si>
  <si>
    <t>Opt. kotwa, ∆z, b, C, φmin</t>
  </si>
  <si>
    <t xml:space="preserve">Opt: uzyc dla l-A </t>
  </si>
  <si>
    <t>∆zRozpora [m]</t>
  </si>
  <si>
    <t>∆zKotwa [m]</t>
  </si>
  <si>
    <t>∆zBulawa [m]</t>
  </si>
  <si>
    <t>UC356x406x634</t>
  </si>
  <si>
    <t>Empirical value (BAUER) for soil concretes with high sand and cement contents</t>
  </si>
  <si>
    <t>with Lmax being the largest span</t>
  </si>
  <si>
    <t>Excavation Level</t>
  </si>
  <si>
    <t>TMIP calculation</t>
  </si>
  <si>
    <t xml:space="preserve">B e n d i n g  A n a l y s i s  D I A P H R A G M  W A L L   Section </t>
  </si>
  <si>
    <t xml:space="preserve">Shear design D I A P H R A G M  W A L L   Section </t>
  </si>
  <si>
    <t>from</t>
  </si>
  <si>
    <t>addition must be made</t>
  </si>
  <si>
    <t>BO inserted support</t>
  </si>
  <si>
    <t>Wasserhaltung</t>
  </si>
  <si>
    <t>Ström1</t>
  </si>
  <si>
    <t>Ström2</t>
  </si>
  <si>
    <t>LochWand</t>
  </si>
  <si>
    <t>AussEntspann</t>
  </si>
  <si>
    <t>1 Lanze</t>
  </si>
  <si>
    <t>2 Lanzen</t>
  </si>
  <si>
    <t>Bodeneigenschaften</t>
  </si>
  <si>
    <t>Höhe der Schicht - UK</t>
  </si>
  <si>
    <t>Reibungs-winkel</t>
  </si>
  <si>
    <t>Siebdurch-gang d10</t>
  </si>
  <si>
    <t>Boden- gruppen</t>
  </si>
  <si>
    <t>Berechnungsintervalle</t>
  </si>
  <si>
    <t>minimaler Gleitflächenwinkel =</t>
  </si>
  <si>
    <t>maximaler Gleitflächenwinkel in Grad =</t>
  </si>
  <si>
    <t>Variationsintervall des Gleitflächenwinkel =</t>
  </si>
  <si>
    <t>Variationsintervall der Berechnungstiefe =</t>
  </si>
  <si>
    <t>*** Eingabefehler</t>
  </si>
  <si>
    <t>Keine Trägerbohlwand mit plastischer Bemessung!</t>
  </si>
  <si>
    <t>Dauerbauwerk</t>
  </si>
  <si>
    <t>Ruhedruck [%]</t>
  </si>
  <si>
    <t>At rest press[%]</t>
  </si>
  <si>
    <t>GW-Polygon</t>
  </si>
  <si>
    <t>Phase GW-Poly</t>
  </si>
  <si>
    <t>Vorbauzustand 1</t>
  </si>
  <si>
    <t>Vorbauzustand 2</t>
  </si>
  <si>
    <t>Vorbauzustand 3</t>
  </si>
  <si>
    <t>Vorbauzustand 4</t>
  </si>
  <si>
    <t>Vorbauzustand 5</t>
  </si>
  <si>
    <t>Vorbauzustand 6</t>
  </si>
  <si>
    <t>N Eigengewicht</t>
  </si>
  <si>
    <t>N Erddruck</t>
  </si>
  <si>
    <t>N Anker</t>
  </si>
  <si>
    <t>N Einzellast</t>
  </si>
  <si>
    <t>Vorverformung</t>
  </si>
  <si>
    <t>Fehler, ...</t>
  </si>
  <si>
    <t>Redistribution</t>
  </si>
  <si>
    <t>Phase 1</t>
  </si>
  <si>
    <t>Phase 2</t>
  </si>
  <si>
    <t>10. After deactivating sheet protection it is possible to place any graphical object in the plan</t>
  </si>
  <si>
    <t>Borehole</t>
  </si>
  <si>
    <t>PFGewölbe = Pfahlbohlwand mit Spritzbetongewölbe</t>
  </si>
  <si>
    <t>PFMIPmittig = Pfahlbohlwand mit mittig angeordneter MIP-Ausfachung</t>
  </si>
  <si>
    <t>minimum  sliding surface angle =</t>
  </si>
  <si>
    <t>99734 Nordhausen</t>
  </si>
  <si>
    <t>Frank.Holzhäuser@bauer.de</t>
  </si>
  <si>
    <t>Nachweis entfällt wegen 2U-Steckträger in Ankerachse</t>
  </si>
  <si>
    <t>Check not required 2U-channels in axis of anchor</t>
  </si>
  <si>
    <t>Мин. продольная армат.</t>
  </si>
  <si>
    <t xml:space="preserve">Глубина крепления t [м] </t>
  </si>
  <si>
    <t>Спираль в поперечнике</t>
  </si>
  <si>
    <t>Низ помещ.</t>
  </si>
  <si>
    <t xml:space="preserve">Анализ напряжений, подбор арматуры: </t>
  </si>
  <si>
    <r>
      <t>допуст. реакция в подошве  E</t>
    </r>
    <r>
      <rPr>
        <vertAlign val="subscript"/>
        <sz val="10"/>
        <rFont val="Arial"/>
        <family val="2"/>
      </rPr>
      <t>ph</t>
    </r>
    <r>
      <rPr>
        <sz val="10"/>
        <rFont val="Arial"/>
        <family val="2"/>
      </rPr>
      <t>' =</t>
    </r>
  </si>
  <si>
    <t>Сопротивление:</t>
  </si>
  <si>
    <r>
      <t>1)</t>
    </r>
    <r>
      <rPr>
        <sz val="10"/>
        <color indexed="8"/>
        <rFont val="Arial"/>
        <family val="2"/>
      </rPr>
      <t xml:space="preserve"> Сопротивление в опоре выбрано больше или равно действ. нагрузкам</t>
    </r>
  </si>
  <si>
    <t>Gurtneigung</t>
  </si>
  <si>
    <t>Vorh. horiz. Linienlast</t>
  </si>
  <si>
    <t>vorh. Stützkraft A</t>
  </si>
  <si>
    <t>Abstand e</t>
  </si>
  <si>
    <t>Elastische Ermittlung der  Nachweisschnittkräfte:</t>
  </si>
  <si>
    <t>Schnittlängen, Sohlflächen</t>
  </si>
  <si>
    <t xml:space="preserve">G U R T B E M E S S U N G  Schnitt </t>
  </si>
  <si>
    <t>PF Längsbewehrung Luft</t>
  </si>
  <si>
    <t>PF Längsbewehrung Erde</t>
  </si>
  <si>
    <t>Schedlbauer</t>
  </si>
  <si>
    <t xml:space="preserve">Gestützt=1 Freistehend=0 </t>
  </si>
  <si>
    <t>Grenzmantelreibung</t>
  </si>
  <si>
    <t>Grenzspitzendruck</t>
  </si>
  <si>
    <t>$Basis</t>
  </si>
  <si>
    <t>Boden</t>
  </si>
  <si>
    <t>Berechnungsbohrprofile</t>
  </si>
  <si>
    <t>Verlauf Bettungsmodul unter Aushubsohle</t>
  </si>
  <si>
    <t>Vorgegebene Wasserdruckverteilung</t>
  </si>
  <si>
    <t>Allgemeine Berechnungsannahmen</t>
  </si>
  <si>
    <t>grunty organiczne, pl</t>
  </si>
  <si>
    <t>torf</t>
  </si>
  <si>
    <t>namul gliniasty</t>
  </si>
  <si>
    <t>skala bardzo twarda</t>
  </si>
  <si>
    <t>skala twarda</t>
  </si>
  <si>
    <t>skala miekka</t>
  </si>
  <si>
    <t>glina</t>
  </si>
  <si>
    <t>gruz</t>
  </si>
  <si>
    <t>pyl wulkaniczny</t>
  </si>
  <si>
    <t>wegiel brunatny</t>
  </si>
  <si>
    <t>smieci</t>
  </si>
  <si>
    <t>beton zbrojony</t>
  </si>
  <si>
    <t>beton zwykly</t>
  </si>
  <si>
    <t>masoneria</t>
  </si>
  <si>
    <t>stal</t>
  </si>
  <si>
    <t>drewno</t>
  </si>
  <si>
    <t>woda gruntowa</t>
  </si>
  <si>
    <t>kamienisty</t>
  </si>
  <si>
    <t>zwirowy</t>
  </si>
  <si>
    <t>piaskowy</t>
  </si>
  <si>
    <t>ilasty</t>
  </si>
  <si>
    <t>pylasty</t>
  </si>
  <si>
    <t>gruby</t>
  </si>
  <si>
    <t>sredni</t>
  </si>
  <si>
    <t>drobny</t>
  </si>
  <si>
    <t>Projektant</t>
  </si>
  <si>
    <t>budowla</t>
  </si>
  <si>
    <t>element konstrukcji</t>
  </si>
  <si>
    <t>rysownik</t>
  </si>
  <si>
    <t>nadzor</t>
  </si>
  <si>
    <t>Data</t>
  </si>
  <si>
    <t>typ gruntu</t>
  </si>
  <si>
    <t>kat tarcia</t>
  </si>
  <si>
    <t>spojnosc (kohezja)</t>
  </si>
  <si>
    <t>Grafiken</t>
  </si>
  <si>
    <t>Berechnungen</t>
  </si>
  <si>
    <t>Calculation</t>
  </si>
  <si>
    <t>Ausdruck</t>
  </si>
  <si>
    <t>Berechnung</t>
  </si>
  <si>
    <t>Nachweis</t>
  </si>
  <si>
    <t>letzte Seite</t>
  </si>
  <si>
    <t>Bearbeiter:</t>
  </si>
  <si>
    <t>Telefon:</t>
  </si>
  <si>
    <t>Datei:</t>
  </si>
  <si>
    <t xml:space="preserve"> Massen</t>
  </si>
  <si>
    <t>Druckzeit:</t>
  </si>
  <si>
    <t>MOP (béton de sol)</t>
  </si>
  <si>
    <t>Beton</t>
  </si>
  <si>
    <t xml:space="preserve">Béton  </t>
  </si>
  <si>
    <t>hormigón</t>
  </si>
  <si>
    <t>tangierend</t>
  </si>
  <si>
    <t>tangent</t>
  </si>
  <si>
    <t>Tangente</t>
  </si>
  <si>
    <t>tangencial</t>
  </si>
  <si>
    <t>Brunnen</t>
  </si>
  <si>
    <t>Puits</t>
  </si>
  <si>
    <t>pozo</t>
  </si>
  <si>
    <t>sind Umlaute oder sonstige Sonderzeichen enthalten!</t>
  </si>
  <si>
    <t>Erlaeuterungen</t>
  </si>
  <si>
    <t>Entfaellt</t>
  </si>
  <si>
    <t>Berechnungsansaetze</t>
  </si>
  <si>
    <t>Sohlabstuetzung</t>
  </si>
  <si>
    <t>Fußtragfaehigkeit</t>
  </si>
  <si>
    <t xml:space="preserve">für gerammte/geruettelte Träger nach Rossner, Winter: Normierte Verbau- </t>
  </si>
  <si>
    <t>Vorbelegung ist erst nach Vergabe Projektname mit mit ''Speichern unter'' lauffaehig.</t>
  </si>
  <si>
    <r>
      <t>1)</t>
    </r>
    <r>
      <rPr>
        <sz val="10"/>
        <color indexed="8"/>
        <rFont val="Arial"/>
        <family val="2"/>
      </rPr>
      <t xml:space="preserve"> The resistance of the support is selected greater or equal to imposed loads</t>
    </r>
  </si>
  <si>
    <r>
      <t>Passive earth press. E</t>
    </r>
    <r>
      <rPr>
        <vertAlign val="subscript"/>
        <sz val="10"/>
        <color indexed="8"/>
        <rFont val="Arial"/>
        <family val="2"/>
      </rPr>
      <t>ph</t>
    </r>
    <r>
      <rPr>
        <sz val="10"/>
        <color indexed="8"/>
        <rFont val="Arial"/>
        <family val="2"/>
      </rPr>
      <t xml:space="preserve"> =</t>
    </r>
  </si>
  <si>
    <t>Loads:</t>
  </si>
  <si>
    <t>Safety against determination of section forces for foot support γ S =</t>
  </si>
  <si>
    <r>
      <t xml:space="preserve">Permanent load, safety γ </t>
    </r>
    <r>
      <rPr>
        <vertAlign val="subscript"/>
        <sz val="10"/>
        <color indexed="8"/>
        <rFont val="Arial"/>
        <family val="2"/>
      </rPr>
      <t>G</t>
    </r>
    <r>
      <rPr>
        <sz val="10"/>
        <color indexed="8"/>
        <rFont val="Arial"/>
        <family val="2"/>
      </rPr>
      <t xml:space="preserve"> =</t>
    </r>
  </si>
  <si>
    <r>
      <t xml:space="preserve">Adaptation factor for the passive earth press. η </t>
    </r>
    <r>
      <rPr>
        <vertAlign val="subscript"/>
        <sz val="10"/>
        <color indexed="8"/>
        <rFont val="Arial"/>
        <family val="2"/>
      </rPr>
      <t>Ep</t>
    </r>
    <r>
      <rPr>
        <sz val="10"/>
        <color indexed="8"/>
        <rFont val="Arial"/>
        <family val="2"/>
      </rPr>
      <t xml:space="preserve"> =</t>
    </r>
  </si>
  <si>
    <t>Bew: 1-Lagen 0-Bündel</t>
  </si>
  <si>
    <t>Rft: 1-layers 0-bundle</t>
  </si>
  <si>
    <t xml:space="preserve">H P I - A R C H </t>
  </si>
  <si>
    <t>acc. to license</t>
  </si>
  <si>
    <t>acc. DIN1045</t>
  </si>
  <si>
    <t>No           - Overwrite everything beside support files</t>
  </si>
  <si>
    <t>Aussenluft</t>
  </si>
  <si>
    <t>Стена из балки, помещенной в бетон, и заполнения MIP со стороны грунта</t>
  </si>
  <si>
    <t>Шпунтовая стенка</t>
  </si>
  <si>
    <t>Шпунтовая стенка, помещенная в трашею</t>
  </si>
  <si>
    <t>Шпунтовая стенка с обвязочной балкой</t>
  </si>
  <si>
    <t>Шпунтовая стенка с обвязочной балкой, помещенная в трашею</t>
  </si>
  <si>
    <t>Стена из свай с армированием через сваю</t>
  </si>
  <si>
    <t>Стена из свай с армированием через сваю и стальной балкой сверху</t>
  </si>
  <si>
    <t>Стена из свай с армированием каждой четвертой сваи</t>
  </si>
  <si>
    <t>Бурокасательные сваи с армированием каждой сваи</t>
  </si>
  <si>
    <t>"Стена в грунте"</t>
  </si>
  <si>
    <t>"Стена в грунте" со стальной балкой сверху</t>
  </si>
  <si>
    <t>Стена из свай с заполнением из 3х неарм. свай</t>
  </si>
  <si>
    <t>Стена из свай с заполнением из армированного торкретбетона</t>
  </si>
  <si>
    <t>Стена из свай с арочным заполнением из торкретбетона</t>
  </si>
  <si>
    <t>Стена из свай с MIP-заполнением по центру</t>
  </si>
  <si>
    <t>Стена из свай с MIP-заполнением за осью свай со стороны грунта</t>
  </si>
  <si>
    <t>Стена из свай с MIP-заполнением со стороны грунта</t>
  </si>
  <si>
    <t>MIP-стена с балками по центру</t>
  </si>
  <si>
    <t>Стена из балок и MIP-заполнением со стороны грунта</t>
  </si>
  <si>
    <t>Однофаз. стена с помещ. балками по центру</t>
  </si>
  <si>
    <t>MOP стена с помещ. балками по центру</t>
  </si>
  <si>
    <t>Крепление "Jet grouting"</t>
  </si>
  <si>
    <t>Стена из торкретбетона с анкерными плитами</t>
  </si>
  <si>
    <t xml:space="preserve"> без крепления</t>
  </si>
  <si>
    <t>Ряд анкеров</t>
  </si>
  <si>
    <t xml:space="preserve"> без анкеров</t>
  </si>
  <si>
    <t xml:space="preserve"> ряд крепления из микросвай</t>
  </si>
  <si>
    <t xml:space="preserve"> ряд крепления из инъекционных грунтовых анкеров</t>
  </si>
  <si>
    <t xml:space="preserve"> ряд крепления стальными распорками</t>
  </si>
  <si>
    <t xml:space="preserve"> GEWI ряд</t>
  </si>
  <si>
    <t xml:space="preserve"> ряд распорок</t>
  </si>
  <si>
    <t>Weight of affixed soilbody:</t>
  </si>
  <si>
    <t>Biegedrillknicken</t>
  </si>
  <si>
    <t>Nachweis Bindebleche, Gurt:</t>
  </si>
  <si>
    <t>Schlankheit Gesamtstab</t>
  </si>
  <si>
    <t xml:space="preserve"> Berechnung Ankerlaenge Staffelverbau</t>
  </si>
  <si>
    <t>Berechnung Schnittgroessen</t>
  </si>
  <si>
    <t>$WAL</t>
  </si>
  <si>
    <t>ohne</t>
  </si>
  <si>
    <t xml:space="preserve"> enthaelt eine Laufwerksbezeichnung ungleich C:\ oder D:\.</t>
  </si>
  <si>
    <t xml:space="preserve"> </t>
  </si>
  <si>
    <t>00201</t>
  </si>
  <si>
    <t>00201010</t>
  </si>
  <si>
    <t>O,steif</t>
  </si>
  <si>
    <t>O,weich</t>
  </si>
  <si>
    <t>H</t>
  </si>
  <si>
    <t>F</t>
  </si>
  <si>
    <t>Z,sehrhart</t>
  </si>
  <si>
    <t>Z,hart</t>
  </si>
  <si>
    <t>Z,weich</t>
  </si>
  <si>
    <t>Y</t>
  </si>
  <si>
    <t>Mu</t>
  </si>
  <si>
    <t>L</t>
  </si>
  <si>
    <t>Lx</t>
  </si>
  <si>
    <t>Lg</t>
  </si>
  <si>
    <t>Loe</t>
  </si>
  <si>
    <t>Kl</t>
  </si>
  <si>
    <t>Wk</t>
  </si>
  <si>
    <t>002</t>
  </si>
  <si>
    <t>Bauer Ukraine</t>
  </si>
  <si>
    <t xml:space="preserve">BAUER-Altis GmbH • 04116-Kiev  • Telefon (+380) 44 2304732 • Fax (+380) 44 2304734
</t>
  </si>
  <si>
    <t>BAUER-Altis GmbH</t>
  </si>
  <si>
    <t>BAUER-Altis GmbH Sholudenko str. 3, office 106 04116-Kiev                  Telefon (+380) 44 2304732    Fax (+380) 44 2304734</t>
  </si>
  <si>
    <t xml:space="preserve"> is open yet. Please close the actual powerpoint presentation file  before clicking OK.</t>
  </si>
  <si>
    <t>contains no correct PROG-control string or it is not   WLS, DBU or DAT filetype!</t>
  </si>
  <si>
    <t>should the changes in the office section be overwritten with new calculation?</t>
  </si>
  <si>
    <t>not yet or no longer available or the type of file is not WLS, DBU or FILE.</t>
  </si>
  <si>
    <t>Допущение при распределении давления воды на стену учитывает сокращение давления воды к сниженному значению.</t>
  </si>
  <si>
    <t>Вес грунта в этих слоях расчитан с учетом общего веса грунта и воды.</t>
  </si>
  <si>
    <t>Нет заполнения из древесины!!!</t>
  </si>
  <si>
    <t>Endverankerung</t>
  </si>
  <si>
    <t>Anchorage end support</t>
  </si>
  <si>
    <t>beidseitig</t>
  </si>
  <si>
    <t>both side</t>
  </si>
  <si>
    <t>erdseitig</t>
  </si>
  <si>
    <t>earth side</t>
  </si>
  <si>
    <t>air side</t>
  </si>
  <si>
    <t>luftseitig</t>
  </si>
  <si>
    <t>Boîte postale 1260
D-86522 Schrobenhausen
République Fédérale Allemagne
Téléphone +49(8252)97-0 Téléfax +49(8252)9-1359</t>
  </si>
  <si>
    <t>Шаг помещенных стальных балок</t>
  </si>
  <si>
    <t>Толщина стены/свай</t>
  </si>
  <si>
    <t>Эффектив. глубина d</t>
  </si>
  <si>
    <t>Макс. спираль в попер. сеч.</t>
  </si>
  <si>
    <t xml:space="preserve">Макс. глубина крепления </t>
  </si>
  <si>
    <t>длина арм. каркасов b, м</t>
  </si>
  <si>
    <t xml:space="preserve">Часть Q1 для оценки стали </t>
  </si>
  <si>
    <t>Расчет на продавлив.</t>
  </si>
  <si>
    <t>горизонтальная сила в анкере</t>
  </si>
  <si>
    <t>Углубл. для головы анкера</t>
  </si>
  <si>
    <t>макс. H-давл.</t>
  </si>
  <si>
    <t>Факт.B, котл.</t>
  </si>
  <si>
    <t>Факт.B, гр.</t>
  </si>
  <si>
    <t xml:space="preserve">предл. </t>
  </si>
  <si>
    <t>LF Bem Endaushub</t>
  </si>
  <si>
    <t>LC Dim final phase</t>
  </si>
  <si>
    <t>Коэффициент надежности опоры основания подтвержден величиной заделки стены с значением равным или больше, чем</t>
  </si>
  <si>
    <t>рассматривается.</t>
  </si>
  <si>
    <t>с реакцией грунтового основания</t>
  </si>
  <si>
    <t>с выбранной заделкой стены и реакцией грунтового основания</t>
  </si>
  <si>
    <t>с пружинами анкеров так же, как реакция грунтового основания с выбранной заделкой</t>
  </si>
  <si>
    <t xml:space="preserve">C O N C R E T E  G A P  INF I L L  Section </t>
  </si>
  <si>
    <t>Relevant moment:</t>
  </si>
  <si>
    <t>Situation of strain =</t>
  </si>
  <si>
    <t>No arch gap infill!</t>
  </si>
  <si>
    <t xml:space="preserve">A R C H  G A P  I N F I L L  Section </t>
  </si>
  <si>
    <t>Spacing of pair of beams</t>
  </si>
  <si>
    <t>Arch radius:</t>
  </si>
  <si>
    <t>Permissible stress</t>
  </si>
  <si>
    <t>Exist. stress</t>
  </si>
  <si>
    <t>Soldier Pile Wall</t>
  </si>
  <si>
    <t>Soildier Beam Wall</t>
  </si>
  <si>
    <t>No MIP gap infill!</t>
  </si>
  <si>
    <t xml:space="preserve">M I P  G A P  I N F I L L </t>
  </si>
  <si>
    <t>C/c Spacing of</t>
  </si>
  <si>
    <t>Width of the horizontal waler</t>
  </si>
  <si>
    <t xml:space="preserve">Width of  </t>
  </si>
  <si>
    <t>Wall thk.:</t>
  </si>
  <si>
    <t>Structural height:</t>
  </si>
  <si>
    <t>Beam height:</t>
  </si>
  <si>
    <t>Arch height:</t>
  </si>
  <si>
    <t>Gap infill</t>
  </si>
  <si>
    <t>Nominal strength σd</t>
  </si>
  <si>
    <r>
      <t>Nominal strength f</t>
    </r>
    <r>
      <rPr>
        <vertAlign val="subscript"/>
        <sz val="10"/>
        <color indexed="8"/>
        <rFont val="Arial"/>
        <family val="2"/>
      </rPr>
      <t>ck</t>
    </r>
  </si>
  <si>
    <t>Safety material</t>
  </si>
  <si>
    <t>Compression anchor plate:</t>
  </si>
  <si>
    <t>Plate diameter:</t>
  </si>
  <si>
    <t>Pressure at support:</t>
  </si>
  <si>
    <t>Arch</t>
  </si>
  <si>
    <t>Tino.Weinhold@bauer.de</t>
  </si>
  <si>
    <t>maximum sliding surface angle =</t>
  </si>
  <si>
    <t>Auflasten</t>
  </si>
  <si>
    <t>Streifenlasten</t>
  </si>
  <si>
    <t>Belastung</t>
  </si>
  <si>
    <t>Anfang [x]</t>
  </si>
  <si>
    <t>Ende [x]</t>
  </si>
  <si>
    <t>Höhe y</t>
  </si>
  <si>
    <t>Einfluss</t>
  </si>
  <si>
    <t>Tauflast</t>
  </si>
  <si>
    <t>gel blando</t>
  </si>
  <si>
    <t>Feinstzement</t>
  </si>
  <si>
    <t>Ciment fin</t>
  </si>
  <si>
    <t>cemento fino</t>
  </si>
  <si>
    <t>Unterwasserbeton</t>
  </si>
  <si>
    <t>Béton coulé sous la nappe</t>
  </si>
  <si>
    <t>hormigón hidraulico</t>
  </si>
  <si>
    <t>abschnittsweise eingebauter Unterbeton</t>
  </si>
  <si>
    <t>Béton de propreté par passes</t>
  </si>
  <si>
    <t>losa de gravedad</t>
  </si>
  <si>
    <t>Ситуационный план</t>
  </si>
  <si>
    <t>Масштаб: ---</t>
  </si>
  <si>
    <t>размер чертежа: 1.0 м²</t>
  </si>
  <si>
    <t>Начертил: Wallmann</t>
  </si>
  <si>
    <t>Разработал:</t>
  </si>
  <si>
    <t>Тендерный инженер:</t>
  </si>
  <si>
    <t>прямоугольник для изменения масштаба x=</t>
  </si>
  <si>
    <t>торф</t>
  </si>
  <si>
    <t>ил, сапропель</t>
  </si>
  <si>
    <t>Phase 3</t>
  </si>
  <si>
    <t>Phase 4</t>
  </si>
  <si>
    <t>Phase 5</t>
  </si>
  <si>
    <t>Phase 6</t>
  </si>
  <si>
    <t>Predisplacement</t>
  </si>
  <si>
    <t>Error, ….</t>
  </si>
  <si>
    <t>Nachweisstatus</t>
  </si>
  <si>
    <t>Wand</t>
  </si>
  <si>
    <t>Die Berechnung erfolgt mit dem Profile des unteren Verbaus, der Office-Schnitt wird mit dem oberen Profil erstellt!</t>
  </si>
  <si>
    <r>
      <t>Grenzzustandsgleichung Ed &lt; R</t>
    </r>
    <r>
      <rPr>
        <vertAlign val="subscript"/>
        <sz val="10"/>
        <rFont val="Arial"/>
        <family val="2"/>
      </rPr>
      <t>i,d</t>
    </r>
  </si>
  <si>
    <t>Verpr.läng. [m]</t>
  </si>
  <si>
    <t>TO-wall</t>
  </si>
  <si>
    <t>BO-wall</t>
  </si>
  <si>
    <t>z-GW walll</t>
  </si>
  <si>
    <t>profile U&amp;H</t>
  </si>
  <si>
    <t>D-boring [cm]</t>
  </si>
  <si>
    <t>Designation</t>
  </si>
  <si>
    <t>Average value</t>
  </si>
  <si>
    <t>Conservative values</t>
  </si>
  <si>
    <t>Expected values</t>
  </si>
  <si>
    <t>Remark  section</t>
  </si>
  <si>
    <t>Control of calculation</t>
  </si>
  <si>
    <t>Seepage1</t>
  </si>
  <si>
    <t>Seepage2</t>
  </si>
  <si>
    <t>Open wall</t>
  </si>
  <si>
    <t>Outer pressure relief</t>
  </si>
  <si>
    <t>1 Lance</t>
  </si>
  <si>
    <t>2 Lance</t>
  </si>
  <si>
    <t>The scale length X or Y is smaller then 0. Calculation of line length not possilble.</t>
  </si>
  <si>
    <t>negC-h.bett</t>
  </si>
  <si>
    <t>max-h-druck</t>
  </si>
  <si>
    <t>Schicht 1 Fuß</t>
  </si>
  <si>
    <t>Schicht 2 Fuß</t>
  </si>
  <si>
    <t>Schicht 3 Fuß</t>
  </si>
  <si>
    <t>Sum-V analysis is not necessary!</t>
  </si>
  <si>
    <t>Fehler bei der Gewölbe-geometrieeingabe: Gewölbespannweite zu klein oder groß!</t>
  </si>
  <si>
    <t>Fehler bei der Gewölbe-geometrieeingabe: Gewölbespannweite zu klein oder zu groß!</t>
  </si>
  <si>
    <t>Gewölbestich:</t>
  </si>
  <si>
    <t>Gewölbedicke</t>
  </si>
  <si>
    <t>Gewölbemittelpkt v. Verbauachse =</t>
  </si>
  <si>
    <t>Gleitwinkel</t>
  </si>
  <si>
    <t>vorh. Gleitsicherheit</t>
  </si>
  <si>
    <t>Gewölbeschubkraft</t>
  </si>
  <si>
    <t>Nachweis der Betondruckspannungen:</t>
  </si>
  <si>
    <t>Betonausfachung</t>
  </si>
  <si>
    <t xml:space="preserve"> Ausfachung</t>
  </si>
  <si>
    <t>MIP-Ausfachung</t>
  </si>
  <si>
    <t>Bewehrter Pfahl</t>
  </si>
  <si>
    <t xml:space="preserve"> LF</t>
  </si>
  <si>
    <t>Beanspruchungen Nd =</t>
  </si>
  <si>
    <t>zul.</t>
  </si>
  <si>
    <t>Angaben gelten für alle Schnitte! Werden bei Update überschrieben!</t>
  </si>
  <si>
    <t>Ausfachungsstoff</t>
  </si>
  <si>
    <t>B Ausfachung Ausfachstoff m</t>
  </si>
  <si>
    <t>Erddruckfigur</t>
  </si>
  <si>
    <t>Bewehrungsrandabstand</t>
  </si>
  <si>
    <t>Sicherheit Ausfachung</t>
  </si>
  <si>
    <t>Minderstärke</t>
  </si>
  <si>
    <t>Verschieben Gewölbemittelpkt.</t>
  </si>
  <si>
    <t>Lastfall nach</t>
  </si>
  <si>
    <t>$PfS</t>
  </si>
  <si>
    <t>Achsabstand der PF/T</t>
  </si>
  <si>
    <t xml:space="preserve">B E T O N  A U S F A C H U N G  Schnitt </t>
  </si>
  <si>
    <t>Achsabstand der Pfähle</t>
  </si>
  <si>
    <t>Bemessungsmoment:</t>
  </si>
  <si>
    <t>Sicherheitbeiwerte, Lastfälle</t>
  </si>
  <si>
    <t>Safety factors, loadcases</t>
  </si>
  <si>
    <t>LF Stütz Endaushub</t>
  </si>
  <si>
    <t>LF Stütz Vorbau</t>
  </si>
  <si>
    <t>LC Support final excav</t>
  </si>
  <si>
    <t>LC Support excav steps</t>
  </si>
  <si>
    <t>Globale Sicherheitsbeiwerte Fußauflager</t>
  </si>
  <si>
    <t>Global safety factors wall embedment</t>
  </si>
  <si>
    <t>Embedment depth</t>
  </si>
  <si>
    <t>Statical forces</t>
  </si>
  <si>
    <t>Einbindungstiefe</t>
  </si>
  <si>
    <t xml:space="preserve">Partial safety factors </t>
  </si>
  <si>
    <t xml:space="preserve">Baustahl </t>
  </si>
  <si>
    <t>Beton bewehrt</t>
  </si>
  <si>
    <t>Beton unbewehrt</t>
  </si>
  <si>
    <t>MIP, HDI</t>
  </si>
  <si>
    <t xml:space="preserve">Verpreßkörper  </t>
  </si>
  <si>
    <t>Mikropfahl</t>
  </si>
  <si>
    <t>Pfahldruck</t>
  </si>
  <si>
    <t xml:space="preserve">Pfahlzug </t>
  </si>
  <si>
    <t>Auftrieb destabilisiernd</t>
  </si>
  <si>
    <t>Auftrieb stabilisiernd</t>
  </si>
  <si>
    <t>Concrete reinforced</t>
  </si>
  <si>
    <t>Concrete unreinforced</t>
  </si>
  <si>
    <t xml:space="preserve">construction steel </t>
  </si>
  <si>
    <t>MIP, HPI</t>
  </si>
  <si>
    <t>Tension member</t>
  </si>
  <si>
    <t>Grout body</t>
  </si>
  <si>
    <t>Micro pile</t>
  </si>
  <si>
    <t>Pile compression</t>
  </si>
  <si>
    <t>Pile tension</t>
  </si>
  <si>
    <t>Buoyancy destabilizing</t>
  </si>
  <si>
    <t>Buoyancy stabilizing</t>
  </si>
  <si>
    <t>γG,stb Günstige ständige Einwirkungen</t>
  </si>
  <si>
    <t xml:space="preserve">γG,stb Favorable permanent effects </t>
  </si>
  <si>
    <t xml:space="preserve"> Расчет km-значения </t>
  </si>
  <si>
    <t xml:space="preserve"> Расчет заглубления ограждения</t>
  </si>
  <si>
    <t xml:space="preserve"> Расчет усилий в сечении</t>
  </si>
  <si>
    <t xml:space="preserve"> Расчет длины анкера</t>
  </si>
  <si>
    <t xml:space="preserve">     Р А С Ч Е Т   Г Л У Б И Н Ы   З А Д Е Л К И   О Г Р А Ж Д Е Н И Я </t>
  </si>
  <si>
    <t xml:space="preserve">     Р А С Ч Е Т   Д Е Й С Т В У Ю Щ И Х   У С И Л И Й  </t>
  </si>
  <si>
    <t xml:space="preserve">     Р А С Ч Е Т   km  -   З Н А Ч Е Н И Я </t>
  </si>
  <si>
    <t xml:space="preserve">     Р А С Ч Е Т   Д Л И Н Ы   А Н К Е Р А   Ярус крепления </t>
  </si>
  <si>
    <t xml:space="preserve">     Р А С Ч Е Т   П О Д В Е Д Е Н И Я   ( К Р Е П Л Е Н И Я)   Ф У Н Д А М ЕН Т О В </t>
  </si>
  <si>
    <t xml:space="preserve">     Р А С Ч Е Т   Г Р У Н Т О В Ы Х   Н А Г Е Л Е Й  </t>
  </si>
  <si>
    <t xml:space="preserve">     Р А С Ч Е Т   Д Л И Н Ы    А Н К Е Р А</t>
  </si>
  <si>
    <t xml:space="preserve">    Р А С Ч Е Т   П Р О Ч Н О С Т И   Г Р У Н Т О В О Г О   М А С С И В А</t>
  </si>
  <si>
    <t xml:space="preserve">  Расчет длины анкера яруса крепления </t>
  </si>
  <si>
    <t>Расчет усилий в сечении</t>
  </si>
  <si>
    <t>Расчет усилий в сечении, длины анкеров</t>
  </si>
  <si>
    <t>Индекс каната</t>
  </si>
  <si>
    <t>Индекс длины бурения</t>
  </si>
  <si>
    <t>Длина каната</t>
  </si>
  <si>
    <t>Бурение против давл. воды &gt; 1</t>
  </si>
  <si>
    <t xml:space="preserve">Пост. оголовок анкера </t>
  </si>
  <si>
    <t xml:space="preserve">Часть грунта </t>
  </si>
  <si>
    <t>Часть слаб./прочн. скалы</t>
  </si>
  <si>
    <t>Оч. прочн. скала</t>
  </si>
  <si>
    <t>Индекс силы</t>
  </si>
  <si>
    <t>Цена за ед.</t>
  </si>
  <si>
    <t>Цена за ед. материала</t>
  </si>
  <si>
    <t>Цена за ед. бурения</t>
  </si>
  <si>
    <t xml:space="preserve">Цена оголовка </t>
  </si>
  <si>
    <t xml:space="preserve">Цена за кажд. анкер </t>
  </si>
  <si>
    <t xml:space="preserve">Цена анкера </t>
  </si>
  <si>
    <t>Пов. нагр.</t>
  </si>
  <si>
    <t>Уровени</t>
  </si>
  <si>
    <t>Текст</t>
  </si>
  <si>
    <t>Масштаб</t>
  </si>
  <si>
    <t>№ чертежа</t>
  </si>
  <si>
    <t>Опции печати</t>
  </si>
  <si>
    <t xml:space="preserve"> The safety of the foot support for the determination of internal and anchor forces is </t>
  </si>
  <si>
    <t>00202010</t>
  </si>
  <si>
    <t>00202020</t>
  </si>
  <si>
    <t>00202030</t>
  </si>
  <si>
    <t>00202040</t>
  </si>
  <si>
    <t>00202050</t>
  </si>
  <si>
    <t>Усилия сечения M и N разделены между балкой и MIP-стеной при учете равновесия. Краевое напряжение MIP-стены выбрано так, что краевое напряжение балки минимально.</t>
  </si>
  <si>
    <t>Растягивающие силы в балке, которые обычно определяются из условия равновесия, передаются в MIP-стену через сцепляющие напряжения. Это проверено следующим образом.</t>
  </si>
  <si>
    <t xml:space="preserve">Анализ балки в упруго-пластической постановке для сочетания нагрузок  </t>
  </si>
  <si>
    <t>Допуст. оборачив.</t>
  </si>
  <si>
    <t xml:space="preserve">Анализ MIP для сочет. нагр. </t>
  </si>
  <si>
    <t>Анализ сцепляющих напряжений:</t>
  </si>
  <si>
    <t xml:space="preserve">Допол. связыв. пластины необх. для </t>
  </si>
  <si>
    <t xml:space="preserve">кН для надежного сцепления!  </t>
  </si>
  <si>
    <t>Допол. связыв. пластины не нужны для надеж. сцепления!</t>
  </si>
  <si>
    <t>Длина сцепления l = мин (верх стены-z,z-низ стены)</t>
  </si>
  <si>
    <t xml:space="preserve">Сила сцепления балки получена из нормальной силы в MIP-стене с учетом внешней нормальной силы в сечении. Максимально допустимая сила сцепления рассчитана из напряжений сцепления при минимальной площади сцепления по отношению к </t>
  </si>
  <si>
    <t xml:space="preserve">Верх или низ стены. Безопасно допустимая величина сцепления использована согласно 41014 табл. 9 как для слабой скальной породы. Если усилия сцепления балок не достаточно малы, </t>
  </si>
  <si>
    <t xml:space="preserve"> будут учтены существующие плиты для надежного сцепления. </t>
  </si>
  <si>
    <t xml:space="preserve">Жесткость на изгиб: </t>
  </si>
  <si>
    <t>только балка</t>
  </si>
  <si>
    <t>временными анкерами, замоноличенными цементным раствором</t>
  </si>
  <si>
    <t>Коэффициент безопасности опоры основания для определения внутренней и анкерной силы</t>
  </si>
  <si>
    <t xml:space="preserve">файлы сохранены в </t>
  </si>
  <si>
    <t>FakB,Luft</t>
  </si>
  <si>
    <t>pyl, miekkoplastyczny</t>
  </si>
  <si>
    <t>il, zwarty</t>
  </si>
  <si>
    <t>il, polzwarty</t>
  </si>
  <si>
    <t>il, twardoplastyczny</t>
  </si>
  <si>
    <t>il, plastyczny</t>
  </si>
  <si>
    <t>UK-Steck</t>
  </si>
  <si>
    <t>BO-insert</t>
  </si>
  <si>
    <t>Spannungsnachweise, Bewehrungsermittlung:</t>
  </si>
  <si>
    <t>Стена из балки, помещенной в MIP, и деревянной забирки</t>
  </si>
  <si>
    <t>Стена из балки, помещенной в бетон, и заполнения из торкретбетона</t>
  </si>
  <si>
    <t>Стена из балки, помещенной в бетон, и заполнения MIP по центру</t>
  </si>
  <si>
    <t>Michael</t>
  </si>
  <si>
    <t>Sheet pile wall</t>
  </si>
  <si>
    <t>Sheet pile wall with waler</t>
  </si>
  <si>
    <t>Detailbemessungsergebnisse --&gt; CAD-Schnittstelle</t>
  </si>
  <si>
    <t>Bohrlänge</t>
  </si>
  <si>
    <t>Zuggliedlänge</t>
  </si>
  <si>
    <t>Spritzbeton Matte</t>
  </si>
  <si>
    <t>ANK a-Masz Lage</t>
  </si>
  <si>
    <t>ANK Platte Lage</t>
  </si>
  <si>
    <t>ANK Stegplatte Lage</t>
  </si>
  <si>
    <t>Zugpfahlprofil</t>
  </si>
  <si>
    <t>Steifenprofil</t>
  </si>
  <si>
    <t>Stahlbedarf</t>
  </si>
  <si>
    <t>LF-Steuerung</t>
  </si>
  <si>
    <t>BTBW Holz</t>
  </si>
  <si>
    <t>BTBW MIPT</t>
  </si>
  <si>
    <t>BTBW Spritzbeton</t>
  </si>
  <si>
    <t>TBMIPmittig</t>
  </si>
  <si>
    <t>P.O. Box 43673 
Abu Dhabi, UAE 
Telefon (00971)2/672-1405
Telefax (00971)2/672-5594</t>
  </si>
  <si>
    <t>P.O. Box 52298 
Dubai, UAE 
Telefon (00971)4/295-7472
Telefax (00971)4/295-6971</t>
  </si>
  <si>
    <t>Steife Lage</t>
  </si>
  <si>
    <t>Strut layer</t>
  </si>
  <si>
    <t>UK Schablone, Leitwand</t>
  </si>
  <si>
    <t>OK Kellersohle</t>
  </si>
  <si>
    <t>UK Fundament</t>
  </si>
  <si>
    <t>BO foundation</t>
  </si>
  <si>
    <t>Fundamentbreite</t>
  </si>
  <si>
    <t>Fundamentpressung</t>
  </si>
  <si>
    <t>V O R B E L E G U N G</t>
  </si>
  <si>
    <t>Schnittindex</t>
  </si>
  <si>
    <t>Wand &amp; Fach</t>
  </si>
  <si>
    <t>Verbau oben</t>
  </si>
  <si>
    <t>Versatz</t>
  </si>
  <si>
    <t xml:space="preserve">Этот разрез - нижняя часть ступенчатого крепления. Верхняя часть - разрез  </t>
  </si>
  <si>
    <t>Нет "стены в грунте"!</t>
  </si>
  <si>
    <t xml:space="preserve">Р А С Ч Е Т   " С Т Е Н Ы   В   Г Р У Н Т Е "   Н А   И З Г И Б     Разрез </t>
  </si>
  <si>
    <t>Система:</t>
  </si>
  <si>
    <t>Расчетная длина со ст. гр.:</t>
  </si>
  <si>
    <t>Расчетная длина со ст. котл.:</t>
  </si>
  <si>
    <t xml:space="preserve">Длина арм. каркаса b = </t>
  </si>
  <si>
    <t>Защитный слой бетона c =</t>
  </si>
  <si>
    <t xml:space="preserve">Расч. высота h = </t>
  </si>
  <si>
    <t>(N отриц. для сжим. силы)</t>
  </si>
  <si>
    <r>
      <t>Момент со ст. гр. M</t>
    </r>
    <r>
      <rPr>
        <vertAlign val="subscript"/>
        <sz val="10"/>
        <rFont val="Arial"/>
        <family val="2"/>
      </rPr>
      <t>E</t>
    </r>
    <r>
      <rPr>
        <sz val="10"/>
        <rFont val="Arial"/>
        <family val="2"/>
      </rPr>
      <t xml:space="preserve"> =</t>
    </r>
  </si>
  <si>
    <r>
      <t>Момент со ст. котл. M</t>
    </r>
    <r>
      <rPr>
        <vertAlign val="subscript"/>
        <sz val="10"/>
        <rFont val="Arial"/>
        <family val="2"/>
      </rPr>
      <t>L</t>
    </r>
    <r>
      <rPr>
        <sz val="10"/>
        <rFont val="Arial"/>
        <family val="2"/>
      </rPr>
      <t xml:space="preserve"> =</t>
    </r>
  </si>
  <si>
    <r>
      <t>Соотв. норм. сила N</t>
    </r>
    <r>
      <rPr>
        <vertAlign val="subscript"/>
        <sz val="10"/>
        <rFont val="Arial"/>
        <family val="2"/>
      </rPr>
      <t>E</t>
    </r>
    <r>
      <rPr>
        <sz val="10"/>
        <rFont val="Arial"/>
        <family val="2"/>
      </rPr>
      <t xml:space="preserve"> = </t>
    </r>
  </si>
  <si>
    <r>
      <t xml:space="preserve">    на глубине z</t>
    </r>
    <r>
      <rPr>
        <vertAlign val="subscript"/>
        <sz val="10"/>
        <rFont val="Arial"/>
        <family val="2"/>
      </rPr>
      <t>E</t>
    </r>
    <r>
      <rPr>
        <sz val="10"/>
        <rFont val="Arial"/>
        <family val="2"/>
      </rPr>
      <t xml:space="preserve"> =</t>
    </r>
  </si>
  <si>
    <r>
      <t>Момент со стороны грунта M</t>
    </r>
    <r>
      <rPr>
        <vertAlign val="subscript"/>
        <sz val="10"/>
        <rFont val="Arial"/>
        <family val="2"/>
      </rPr>
      <t>ED</t>
    </r>
    <r>
      <rPr>
        <sz val="10"/>
        <rFont val="Arial"/>
        <family val="2"/>
      </rPr>
      <t xml:space="preserve"> =</t>
    </r>
  </si>
  <si>
    <r>
      <t>Момент со стороны котлована M</t>
    </r>
    <r>
      <rPr>
        <vertAlign val="subscript"/>
        <sz val="10"/>
        <rFont val="Arial"/>
        <family val="2"/>
      </rPr>
      <t>LD</t>
    </r>
    <r>
      <rPr>
        <sz val="10"/>
        <rFont val="Arial"/>
        <family val="2"/>
      </rPr>
      <t xml:space="preserve"> =</t>
    </r>
  </si>
  <si>
    <r>
      <t>Соотв. норм. сила N</t>
    </r>
    <r>
      <rPr>
        <vertAlign val="subscript"/>
        <sz val="10"/>
        <rFont val="Arial"/>
        <family val="2"/>
      </rPr>
      <t>ED</t>
    </r>
    <r>
      <rPr>
        <sz val="10"/>
        <rFont val="Arial"/>
        <family val="2"/>
      </rPr>
      <t xml:space="preserve"> = </t>
    </r>
  </si>
  <si>
    <r>
      <t>Соотв. норм. сила N</t>
    </r>
    <r>
      <rPr>
        <vertAlign val="subscript"/>
        <sz val="10"/>
        <rFont val="Arial"/>
        <family val="2"/>
      </rPr>
      <t>LD</t>
    </r>
    <r>
      <rPr>
        <sz val="10"/>
        <rFont val="Arial"/>
        <family val="2"/>
      </rPr>
      <t xml:space="preserve"> = </t>
    </r>
  </si>
  <si>
    <t>Армирование на изгиб</t>
  </si>
  <si>
    <t>Сторона грунта:</t>
  </si>
  <si>
    <t>шаг арм.: сторона котлована:</t>
  </si>
  <si>
    <t xml:space="preserve">Р А С Ч Е Т   " С Т Е Н Ы   В   Г Р У Н Т Е "   Н А   П О П Е Р .    С И Л У     Разрез </t>
  </si>
  <si>
    <t>Поперечная сила</t>
  </si>
  <si>
    <t>Соотв. момент</t>
  </si>
  <si>
    <t>Соотв. норм. сила</t>
  </si>
  <si>
    <t xml:space="preserve">Попер. армиров. для </t>
  </si>
  <si>
    <t>выбранного армирования недостаточно!</t>
  </si>
  <si>
    <t>Хомут</t>
  </si>
  <si>
    <t>неверный диаметр!</t>
  </si>
  <si>
    <t>B-попер.</t>
  </si>
  <si>
    <t>требуется добавление!</t>
  </si>
  <si>
    <t xml:space="preserve">Прод. арм. со ст. грунта: </t>
  </si>
  <si>
    <t xml:space="preserve">Прод. арм. со ст. котл.: </t>
  </si>
  <si>
    <t xml:space="preserve">Хомуты: </t>
  </si>
  <si>
    <t>Вес арматуры:</t>
  </si>
  <si>
    <t xml:space="preserve">Макс. арм. сетка </t>
  </si>
  <si>
    <t>Номер прод. арм.</t>
  </si>
  <si>
    <t>Армир. попер. сечения</t>
  </si>
  <si>
    <t>Число</t>
  </si>
  <si>
    <t>Шт.</t>
  </si>
  <si>
    <t>сущ. армир.</t>
  </si>
  <si>
    <t>Предл. армиров. автом.</t>
  </si>
  <si>
    <t>Слои/шаги</t>
  </si>
  <si>
    <t>Стор. котлов.</t>
  </si>
  <si>
    <t>Спираль</t>
  </si>
  <si>
    <t>Шаг продол. арматуры</t>
  </si>
  <si>
    <t>Шаг хомутов</t>
  </si>
  <si>
    <t>Армир. со ст. гр.</t>
  </si>
  <si>
    <t>Армир. со ст. котл.</t>
  </si>
  <si>
    <r>
      <t>на глубине z</t>
    </r>
    <r>
      <rPr>
        <vertAlign val="subscript"/>
        <sz val="10"/>
        <rFont val="Arial"/>
        <family val="2"/>
      </rPr>
      <t>L</t>
    </r>
    <r>
      <rPr>
        <sz val="10"/>
        <rFont val="Arial"/>
        <family val="2"/>
      </rPr>
      <t xml:space="preserve"> =</t>
    </r>
  </si>
  <si>
    <r>
      <t>Соотв. норм. сила N</t>
    </r>
    <r>
      <rPr>
        <vertAlign val="subscript"/>
        <sz val="10"/>
        <rFont val="Arial"/>
        <family val="2"/>
      </rPr>
      <t>L</t>
    </r>
    <r>
      <rPr>
        <sz val="10"/>
        <rFont val="Arial"/>
        <family val="2"/>
      </rPr>
      <t xml:space="preserve"> = </t>
    </r>
  </si>
  <si>
    <t>Wartwall = Стена из торкретбетона с анкерными плитами</t>
  </si>
  <si>
    <t>Пост. констр.</t>
  </si>
  <si>
    <t>Давл. покоя (%)</t>
  </si>
  <si>
    <t>Перераспр.</t>
  </si>
  <si>
    <t>Водопониж.</t>
  </si>
  <si>
    <t>ГВ-полигон</t>
  </si>
  <si>
    <t>Этап ГВ-полигон</t>
  </si>
  <si>
    <t>Этап 1</t>
  </si>
  <si>
    <t>Этап 2</t>
  </si>
  <si>
    <t>Этап 3</t>
  </si>
  <si>
    <t>Этап 4</t>
  </si>
  <si>
    <t>Этап 5</t>
  </si>
  <si>
    <t>Этап 6</t>
  </si>
  <si>
    <t>N собст. вес</t>
  </si>
  <si>
    <t>N давл. грунта</t>
  </si>
  <si>
    <t>N анкер</t>
  </si>
  <si>
    <t>N сосред. нагр.</t>
  </si>
  <si>
    <t>Нач. деформации</t>
  </si>
  <si>
    <t>Фактор сейсмики</t>
  </si>
  <si>
    <t>Ошибка, ... .</t>
  </si>
  <si>
    <t>Статус определения</t>
  </si>
  <si>
    <t>Заполнение</t>
  </si>
  <si>
    <t>Стена</t>
  </si>
  <si>
    <t>HPI- сигма</t>
  </si>
  <si>
    <t>Анкер</t>
  </si>
  <si>
    <t>Сумма V</t>
  </si>
  <si>
    <t>Обвяз. балка</t>
  </si>
  <si>
    <t>Распорка</t>
  </si>
  <si>
    <t>Макс. |h|</t>
  </si>
  <si>
    <t>η-скольжения</t>
  </si>
  <si>
    <t>Оптим. анк.,∆z,b,C,φмин</t>
  </si>
  <si>
    <t>Оптим.: испол. I-A</t>
  </si>
  <si>
    <t>∆zРаспорка [м]</t>
  </si>
  <si>
    <t>∆zАнкер [м]</t>
  </si>
  <si>
    <t>∆zГВ [м]</t>
  </si>
  <si>
    <t>∆zБетонирование [м]</t>
  </si>
  <si>
    <t>bКрепящая распорка [м]</t>
  </si>
  <si>
    <t>Voigt</t>
  </si>
  <si>
    <t>Heiko</t>
  </si>
  <si>
    <t>BO anchor</t>
  </si>
  <si>
    <t>Optimierung Anker</t>
  </si>
  <si>
    <t>Abminderung Wand/Sohle</t>
  </si>
  <si>
    <r>
      <t>Vertikalkraft nach oben gerichtet: v[kN/m]/Phase =</t>
    </r>
    <r>
      <rPr>
        <vertAlign val="superscript"/>
        <sz val="10"/>
        <color indexed="8"/>
        <rFont val="Arial"/>
        <family val="2"/>
      </rPr>
      <t xml:space="preserve"> </t>
    </r>
  </si>
  <si>
    <t>Passiver Wandreibungswinkel oder evtl. negative Steifenneigungen reduzieren, oder es ist eine ausreichende Einbindung zur Verankerung von Zugkräften aus den folgenden Phasen gegeben.</t>
  </si>
  <si>
    <t xml:space="preserve">Vertical force upwards: v[kN/m]/Phase = </t>
  </si>
  <si>
    <t>Reduce passive factor of wall friction or evtl. negative strut inclination, or a sufficient embdement depth for anchoring of tension forces out of the following phases is given.</t>
  </si>
  <si>
    <t>Arco de hormigón proyectado</t>
  </si>
  <si>
    <t>1:1-System</t>
  </si>
  <si>
    <t>système 1:1</t>
  </si>
  <si>
    <t>sistema 1:1</t>
  </si>
  <si>
    <t>1:3-System</t>
  </si>
  <si>
    <t>système 1:3</t>
  </si>
  <si>
    <t>sistema 1:3</t>
  </si>
  <si>
    <t>1:5-System</t>
  </si>
  <si>
    <t>Länge Teilschlitz 2 =</t>
  </si>
  <si>
    <t>Eigenschaften der Suspension</t>
  </si>
  <si>
    <t>Wichte oben =</t>
  </si>
  <si>
    <t>Wichte unten =</t>
  </si>
  <si>
    <t>Tirants à ancrage multiple</t>
  </si>
  <si>
    <t>anclaje escalonado</t>
  </si>
  <si>
    <t>Enlèvement</t>
  </si>
  <si>
    <t>remoción</t>
  </si>
  <si>
    <t xml:space="preserve">Arbeitsplanum </t>
  </si>
  <si>
    <t>Plateforme de travail</t>
  </si>
  <si>
    <t>plataforma de trabajo</t>
  </si>
  <si>
    <t>Weichgel</t>
  </si>
  <si>
    <t>Gel mou</t>
  </si>
  <si>
    <r>
      <t>zugeh. N</t>
    </r>
    <r>
      <rPr>
        <vertAlign val="subscript"/>
        <sz val="10"/>
        <rFont val="Arial"/>
        <family val="2"/>
      </rPr>
      <t>d</t>
    </r>
    <r>
      <rPr>
        <sz val="10"/>
        <rFont val="Arial"/>
        <family val="2"/>
      </rPr>
      <t xml:space="preserve"> =</t>
    </r>
  </si>
  <si>
    <r>
      <t>zugeh. M</t>
    </r>
    <r>
      <rPr>
        <vertAlign val="subscript"/>
        <sz val="10"/>
        <rFont val="Arial"/>
        <family val="2"/>
      </rPr>
      <t>d</t>
    </r>
    <r>
      <rPr>
        <sz val="10"/>
        <rFont val="Arial"/>
        <family val="2"/>
      </rPr>
      <t xml:space="preserve"> =</t>
    </r>
  </si>
  <si>
    <r>
      <t>Moment erdseitig M</t>
    </r>
    <r>
      <rPr>
        <vertAlign val="subscript"/>
        <sz val="10"/>
        <rFont val="Arial"/>
        <family val="2"/>
      </rPr>
      <t>E</t>
    </r>
    <r>
      <rPr>
        <sz val="10"/>
        <rFont val="Arial"/>
        <family val="2"/>
      </rPr>
      <t xml:space="preserve"> =</t>
    </r>
  </si>
  <si>
    <r>
      <t>Moment luftseitig M</t>
    </r>
    <r>
      <rPr>
        <vertAlign val="subscript"/>
        <sz val="10"/>
        <rFont val="Arial"/>
        <family val="2"/>
      </rPr>
      <t>L</t>
    </r>
    <r>
      <rPr>
        <sz val="10"/>
        <rFont val="Arial"/>
        <family val="2"/>
      </rPr>
      <t xml:space="preserve"> =</t>
    </r>
  </si>
  <si>
    <t>Разрез</t>
  </si>
  <si>
    <t>вид опоры</t>
  </si>
  <si>
    <t>распорки</t>
  </si>
  <si>
    <t>poziom morza</t>
  </si>
  <si>
    <t>zbrojenie</t>
  </si>
  <si>
    <t>konstrukcja trwala</t>
  </si>
  <si>
    <t>chemikalia</t>
  </si>
  <si>
    <t>klasa ekspozycji</t>
  </si>
  <si>
    <t>γM profile stalowe</t>
  </si>
  <si>
    <t>γS zbrojenie do betonu</t>
  </si>
  <si>
    <t>γC beton zbrojony</t>
  </si>
  <si>
    <t>beton nie zbrojony</t>
  </si>
  <si>
    <t>γM drewno budowlane</t>
  </si>
  <si>
    <t>pusty</t>
  </si>
  <si>
    <t>drukarka</t>
  </si>
  <si>
    <t>drukarka kolorowa</t>
  </si>
  <si>
    <t>guma</t>
  </si>
  <si>
    <t>zauwazone przekroje</t>
  </si>
  <si>
    <t>wprowadzenie danych</t>
  </si>
  <si>
    <t>wyniki</t>
  </si>
  <si>
    <t>analiza</t>
  </si>
  <si>
    <t>zawartosc</t>
  </si>
  <si>
    <t>wyjasnienia</t>
  </si>
  <si>
    <t>zalozenie</t>
  </si>
  <si>
    <t>plan</t>
  </si>
  <si>
    <t>2. Acordul scris al autorului.
3. Contractarea catre BAUER a Proiectarii independent de executie.</t>
  </si>
  <si>
    <t>Sediul Central BAUER International</t>
  </si>
  <si>
    <t>Client/Beneficiar</t>
  </si>
  <si>
    <t>Antreprenor General</t>
  </si>
  <si>
    <t>Proiect</t>
  </si>
  <si>
    <t>Proiect nr.</t>
  </si>
  <si>
    <t>Scara: ---</t>
  </si>
  <si>
    <t>Desenator: Wallmann</t>
  </si>
  <si>
    <t>Proiectant:</t>
  </si>
  <si>
    <t>Ofertant:</t>
  </si>
  <si>
    <t>Sef santier:</t>
  </si>
  <si>
    <t>Data:</t>
  </si>
  <si>
    <t>Plan nr.</t>
  </si>
  <si>
    <t>mono bar</t>
  </si>
  <si>
    <t>30/16</t>
  </si>
  <si>
    <t>TITAN</t>
  </si>
  <si>
    <t>GEWI+</t>
  </si>
  <si>
    <t>30/11</t>
  </si>
  <si>
    <t>40/20</t>
  </si>
  <si>
    <t>40/16</t>
  </si>
  <si>
    <t>52/26</t>
  </si>
  <si>
    <t>73/53</t>
  </si>
  <si>
    <t>103/78</t>
  </si>
  <si>
    <t>105/53</t>
  </si>
  <si>
    <t>short text german</t>
  </si>
  <si>
    <t>short text english</t>
  </si>
  <si>
    <t xml:space="preserve"> mm</t>
  </si>
  <si>
    <t>PE26,5</t>
  </si>
  <si>
    <t>PE32</t>
  </si>
  <si>
    <t>PE36</t>
  </si>
  <si>
    <t>PE40</t>
  </si>
  <si>
    <t>temp multiple strand</t>
  </si>
  <si>
    <t>perm multiple strand</t>
  </si>
  <si>
    <t>temp GEWI</t>
  </si>
  <si>
    <t>perm GEWI single corr</t>
  </si>
  <si>
    <t>perm GEWI double corr</t>
  </si>
  <si>
    <t>temp mono bar</t>
  </si>
  <si>
    <t>Einstab 40</t>
  </si>
  <si>
    <t>Einstab 26,5 dopp Korr</t>
  </si>
  <si>
    <t>Einstab 18 dopp Korr</t>
  </si>
  <si>
    <t>Einstab 32 dopp Korr</t>
  </si>
  <si>
    <t>Einstab 36 dopp Korr</t>
  </si>
  <si>
    <t>Einstab 40 dopp Korr</t>
  </si>
  <si>
    <t>GEWI+ 28</t>
  </si>
  <si>
    <t>GEWI+ 30</t>
  </si>
  <si>
    <t>GEWI+ 35</t>
  </si>
  <si>
    <t>GEWI+ 43</t>
  </si>
  <si>
    <t>GEWI+ 57,5</t>
  </si>
  <si>
    <t>GEWI+ 63,5</t>
  </si>
  <si>
    <t>TITAN 30/16</t>
  </si>
  <si>
    <t>TITAN 30/11</t>
  </si>
  <si>
    <t>TITAN 40/20</t>
  </si>
  <si>
    <t>TITAN 40/16</t>
  </si>
  <si>
    <t>γB Widerstand flex. Bewehrung</t>
  </si>
  <si>
    <t xml:space="preserve"> Berechnung Bodenvernagelung</t>
  </si>
  <si>
    <t xml:space="preserve"> Berechnung Einbindetiefe</t>
  </si>
  <si>
    <t xml:space="preserve"> Berechnung Schnittgroessen</t>
  </si>
  <si>
    <t>Ankerquerschnitt</t>
  </si>
  <si>
    <t>Spannung Gebrauchszustand</t>
  </si>
  <si>
    <t>Sicherheit Zugglied</t>
  </si>
  <si>
    <t>einer Unterwasserbetonsohle</t>
  </si>
  <si>
    <t>00202440</t>
  </si>
  <si>
    <t>00202450</t>
  </si>
  <si>
    <t>00202460</t>
  </si>
  <si>
    <t>00202470</t>
  </si>
  <si>
    <t>00202480</t>
  </si>
  <si>
    <t>00202490</t>
  </si>
  <si>
    <t>00202500</t>
  </si>
  <si>
    <t>00202510</t>
  </si>
  <si>
    <t>00202520</t>
  </si>
  <si>
    <t>00202530</t>
  </si>
  <si>
    <t>00202540</t>
  </si>
  <si>
    <t>00202550</t>
  </si>
  <si>
    <t>00202560</t>
  </si>
  <si>
    <t>00202570</t>
  </si>
  <si>
    <t>00202580</t>
  </si>
  <si>
    <t>00202590</t>
  </si>
  <si>
    <t>00202600</t>
  </si>
  <si>
    <t>00202610</t>
  </si>
  <si>
    <t>00202620</t>
  </si>
  <si>
    <t>00202630</t>
  </si>
  <si>
    <t>00202640</t>
  </si>
  <si>
    <t>00202650</t>
  </si>
  <si>
    <t>00202660</t>
  </si>
  <si>
    <t>00202670</t>
  </si>
  <si>
    <t>00202680</t>
  </si>
  <si>
    <t>00202690</t>
  </si>
  <si>
    <t>00202700</t>
  </si>
  <si>
    <t>00202710</t>
  </si>
  <si>
    <t>00202720</t>
  </si>
  <si>
    <t>00202730</t>
  </si>
  <si>
    <t>00202740</t>
  </si>
  <si>
    <t>00202750</t>
  </si>
  <si>
    <t>00202760</t>
  </si>
  <si>
    <t>00202770</t>
  </si>
  <si>
    <t>00202780</t>
  </si>
  <si>
    <t>00202790</t>
  </si>
  <si>
    <t>00202800</t>
  </si>
  <si>
    <t>00202810</t>
  </si>
  <si>
    <t>00202820</t>
  </si>
  <si>
    <t>00202830</t>
  </si>
  <si>
    <t>00202840</t>
  </si>
  <si>
    <t>00202850</t>
  </si>
  <si>
    <t>00202860</t>
  </si>
  <si>
    <t>00202870</t>
  </si>
  <si>
    <t>00202880</t>
  </si>
  <si>
    <t>a deep level grout slab with ultra fine cement</t>
  </si>
  <si>
    <t>In the file name or path</t>
  </si>
  <si>
    <t>Zeile</t>
  </si>
  <si>
    <t>Spalte</t>
  </si>
  <si>
    <t>Josef</t>
  </si>
  <si>
    <t>Pache</t>
  </si>
  <si>
    <t>Beate</t>
  </si>
  <si>
    <t>Beate.Pache@bauer.de</t>
  </si>
  <si>
    <t xml:space="preserve">H O L Z A U S F A C H U N G  Schnitt </t>
  </si>
  <si>
    <t>Statisches System und</t>
  </si>
  <si>
    <t>Achsabstand der Träger</t>
  </si>
  <si>
    <t>Spreizung der Träger</t>
  </si>
  <si>
    <t>Breite der Träger</t>
  </si>
  <si>
    <t>Stützweite:</t>
  </si>
  <si>
    <t>Träger:</t>
  </si>
  <si>
    <t>H-Druck</t>
  </si>
  <si>
    <t>H-press.</t>
  </si>
  <si>
    <t>Verkehr</t>
  </si>
  <si>
    <t>Eigengew.</t>
  </si>
  <si>
    <t>Last</t>
  </si>
  <si>
    <t>Abminderung nach</t>
  </si>
  <si>
    <t xml:space="preserve">Nadelholz </t>
  </si>
  <si>
    <t xml:space="preserve"> Umlagerungsform </t>
  </si>
  <si>
    <t>Festigkeit</t>
  </si>
  <si>
    <t>Sortierklasse</t>
  </si>
  <si>
    <t>Holzstärke cm</t>
  </si>
  <si>
    <t>Wert</t>
  </si>
  <si>
    <t>Einzelberechnung</t>
  </si>
  <si>
    <t>Seitennummer</t>
  </si>
  <si>
    <t>Schnittbezeichnung</t>
  </si>
  <si>
    <t>Ausfachungsart</t>
  </si>
  <si>
    <t>Erddruckansatz Ausfachung</t>
  </si>
  <si>
    <t>Umlagerung Erddruck Wand</t>
  </si>
  <si>
    <t>Holzdicke</t>
  </si>
  <si>
    <t>00203150</t>
  </si>
  <si>
    <t>00203160</t>
  </si>
  <si>
    <t>St</t>
  </si>
  <si>
    <t>00203170</t>
  </si>
  <si>
    <t>подведение фундаментов</t>
  </si>
  <si>
    <t>грунтовые нагели</t>
  </si>
  <si>
    <t>тип заполнения стены</t>
  </si>
  <si>
    <t>неармированные сваи в</t>
  </si>
  <si>
    <t>Jet-grouting (HPI)</t>
  </si>
  <si>
    <t>постоянные анкеры</t>
  </si>
  <si>
    <t>микросваи без защиты от коррозии в</t>
  </si>
  <si>
    <t>микросваи с защитой от коррозии в</t>
  </si>
  <si>
    <t>глубокорасположенные мягкие гели (ПФЗ)</t>
  </si>
  <si>
    <t>высокорасположенная ПФЗ (Jet-grouting)</t>
  </si>
  <si>
    <t>глубокорасположенная плита из очень мелкого цемента</t>
  </si>
  <si>
    <t>плита при подводном бетонировании</t>
  </si>
  <si>
    <t>естественный водоупор</t>
  </si>
  <si>
    <t>бетонная подготовка</t>
  </si>
  <si>
    <t>бетонная плита</t>
  </si>
  <si>
    <t>Древесина</t>
  </si>
  <si>
    <t xml:space="preserve"> коэффициенты уменьшения внутреннего трения на контакте "стена-грунт"  </t>
  </si>
  <si>
    <t xml:space="preserve"> глубоколежащая ПФЗ (Jet-grouting)</t>
  </si>
  <si>
    <t xml:space="preserve"> коэффициент уменьшения внутреннего трения на контакте "стена-грунт"  </t>
  </si>
  <si>
    <t xml:space="preserve"> Для того, чтобы определить сопротивление грунта </t>
  </si>
  <si>
    <t>Stützungsausfall</t>
  </si>
  <si>
    <t>failure of support</t>
  </si>
  <si>
    <t>Постоянный многопрядевый анкер</t>
  </si>
  <si>
    <t xml:space="preserve">Временная микросвая </t>
  </si>
  <si>
    <t>Постоянная микросвая; обычн. защита от коррозии</t>
  </si>
  <si>
    <t>Постоянная микросвая; двойн. защита от коррозии</t>
  </si>
  <si>
    <t>Не работает</t>
  </si>
  <si>
    <t>Временный однопрядевой анкер</t>
  </si>
  <si>
    <t>Постоянный однопрядевой анкер</t>
  </si>
  <si>
    <t xml:space="preserve">Анкер Ischebeck </t>
  </si>
  <si>
    <t>Анкер с круглым стержнем</t>
  </si>
  <si>
    <t xml:space="preserve">Балка </t>
  </si>
  <si>
    <t xml:space="preserve">Длина от центра стены до корня анкера </t>
  </si>
  <si>
    <t>Треб. площадь попереч.</t>
  </si>
  <si>
    <t>Приращ. к общ. длине растягив. элемента</t>
  </si>
  <si>
    <t>Длина сварных швов</t>
  </si>
  <si>
    <t>Число сварных швов</t>
  </si>
  <si>
    <t>Обозначение</t>
  </si>
  <si>
    <t xml:space="preserve">Компенсация склона </t>
  </si>
  <si>
    <t>Поддерживающая плита</t>
  </si>
  <si>
    <t>Вертик. стенка плита</t>
  </si>
  <si>
    <t xml:space="preserve">Консоль </t>
  </si>
  <si>
    <t xml:space="preserve">Толщина свар. шва </t>
  </si>
  <si>
    <t xml:space="preserve">Число швов </t>
  </si>
  <si>
    <t>U&amp;I надета</t>
  </si>
  <si>
    <t xml:space="preserve">U утоплена </t>
  </si>
  <si>
    <t>I утоплена</t>
  </si>
  <si>
    <t>SPW паз</t>
  </si>
  <si>
    <t>SPW L-обв. пояс</t>
  </si>
  <si>
    <t>SPW 2U-обв. пояс</t>
  </si>
  <si>
    <t>GEWI плита</t>
  </si>
  <si>
    <t xml:space="preserve">GEWI трение </t>
  </si>
  <si>
    <t>Скругл. плита, наклон</t>
  </si>
  <si>
    <t>Градус</t>
  </si>
  <si>
    <t>ОК</t>
  </si>
  <si>
    <t>Не определено</t>
  </si>
  <si>
    <t>Тип оголов. анкера</t>
  </si>
  <si>
    <t>Коэф. зап. корня анк.</t>
  </si>
  <si>
    <t xml:space="preserve">Поверхность </t>
  </si>
  <si>
    <t>00402240</t>
  </si>
  <si>
    <t>Экспертная оценка для разрушение цементого камня необходима</t>
  </si>
  <si>
    <t>Eta-T расчет не требуется!!!</t>
  </si>
  <si>
    <t xml:space="preserve">Расчет опорной реакции в грунте </t>
  </si>
  <si>
    <t xml:space="preserve">Расчетная схема </t>
  </si>
  <si>
    <t>2) special order with consent of the author.            3) separate design contract independently of the construction work</t>
  </si>
  <si>
    <t>Owner</t>
  </si>
  <si>
    <t>Main contractor / Client</t>
  </si>
  <si>
    <t>Project No.</t>
  </si>
  <si>
    <t>size of drawing: 1.0 m²</t>
  </si>
  <si>
    <t xml:space="preserve"> found:</t>
  </si>
  <si>
    <t>Faza GW-Poly</t>
  </si>
  <si>
    <t>GW-Poligon</t>
  </si>
  <si>
    <t>obliczenia</t>
  </si>
  <si>
    <t>GW-wybieranie</t>
  </si>
  <si>
    <t>cisnienie [%]</t>
  </si>
  <si>
    <t>Flansch</t>
  </si>
  <si>
    <t xml:space="preserve"> zu schlank</t>
  </si>
  <si>
    <t>grenz</t>
  </si>
  <si>
    <t>2) Es wird jeweils die Ausnutzung bei der Ermittlung der Grenzschlankheit für Schub und Biegung berücksichtigt.</t>
  </si>
  <si>
    <t>Sicherheit Baustahl</t>
  </si>
  <si>
    <t>$SPPL</t>
  </si>
  <si>
    <t xml:space="preserve">S P U N D W A N D B E M E S S U N G  Schnitt </t>
  </si>
  <si>
    <t>Zusammenstellung der Nachweisschnittkräfte:</t>
  </si>
  <si>
    <t>1) Teilsicherheitsbeiwerte:</t>
  </si>
  <si>
    <t>base inclusion rigide</t>
  </si>
  <si>
    <t>B.I. pilotes no armados</t>
  </si>
  <si>
    <t>Betonplombe D=</t>
  </si>
  <si>
    <t>bouchon de béton D=</t>
  </si>
  <si>
    <t>Print</t>
  </si>
  <si>
    <t>Bt</t>
  </si>
  <si>
    <t>V</t>
  </si>
  <si>
    <t>Bk</t>
  </si>
  <si>
    <t>Müll</t>
  </si>
  <si>
    <t>Einzellasten</t>
  </si>
  <si>
    <t>Lastfallsteuerung</t>
  </si>
  <si>
    <t>Sparten</t>
  </si>
  <si>
    <t>Vorbau 1</t>
  </si>
  <si>
    <t>Vorbau 2</t>
  </si>
  <si>
    <t>Vorbau 3</t>
  </si>
  <si>
    <t>Vorbau 4</t>
  </si>
  <si>
    <t>Vorbau 5</t>
  </si>
  <si>
    <t>Vorbau 6</t>
  </si>
  <si>
    <t>Rückbau R</t>
  </si>
  <si>
    <t>Rückbau S</t>
  </si>
  <si>
    <t>Fundament</t>
  </si>
  <si>
    <t>number</t>
  </si>
  <si>
    <t>Stück</t>
  </si>
  <si>
    <t>Text</t>
  </si>
  <si>
    <t>ist Bewehrung brutto</t>
  </si>
  <si>
    <t>Ist</t>
  </si>
  <si>
    <t>Vorgebene Bewehrung Automat</t>
  </si>
  <si>
    <t>Lagen/Abstand</t>
  </si>
  <si>
    <t>Luftseitig</t>
  </si>
  <si>
    <t>Wendel</t>
  </si>
  <si>
    <t>Stäbe/Lagen</t>
  </si>
  <si>
    <t>Номинальная прочность fck [МН/м²]</t>
  </si>
  <si>
    <t>Сборные ж.б. элементы</t>
  </si>
  <si>
    <t>MIP-свод, оптимиз.</t>
  </si>
  <si>
    <t>Длина шва [мм]</t>
  </si>
  <si>
    <t>Число швов [-]</t>
  </si>
  <si>
    <t>Выст. балки выше стены [м]</t>
  </si>
  <si>
    <t>Шаг балок [м]</t>
  </si>
  <si>
    <t>Уменьш. на корроз.</t>
  </si>
  <si>
    <t>Уменьш. на корроз. [мм]</t>
  </si>
  <si>
    <t>Коэф. увел. армат.</t>
  </si>
  <si>
    <t>Защ. слой бет. [см]</t>
  </si>
  <si>
    <t>Арм.: 1-слои 0-пучки</t>
  </si>
  <si>
    <t>Арм. свай: 0-сим 1-асим</t>
  </si>
  <si>
    <t>Угол несущ. арматуры</t>
  </si>
  <si>
    <t>Угол ошибки</t>
  </si>
  <si>
    <t>Длина панелей</t>
  </si>
  <si>
    <t>Длина армокаркасов</t>
  </si>
  <si>
    <t>Свая:пр.арм.со ст.котл.</t>
  </si>
  <si>
    <t>Свая:пр.арм.со ст.гр.</t>
  </si>
  <si>
    <t>Свая: поперечная арм.</t>
  </si>
  <si>
    <t>"Ст.вГр":пр.арм.со ст.котл.</t>
  </si>
  <si>
    <t>"Ст.вГр":пр.арм.со ст.гр.</t>
  </si>
  <si>
    <t>"Ст.вГр":попер. арм.</t>
  </si>
  <si>
    <t>Профиль распорки</t>
  </si>
  <si>
    <t>Длина расп. для кол-ва</t>
  </si>
  <si>
    <t>Толщ. крепл.</t>
  </si>
  <si>
    <t>0-пласт.</t>
  </si>
  <si>
    <t>Слой грунта</t>
  </si>
  <si>
    <t>Окруж. среда</t>
  </si>
  <si>
    <t>Метал. стена</t>
  </si>
  <si>
    <t>Бет. стена</t>
  </si>
  <si>
    <t>Распредел. арматуры</t>
  </si>
  <si>
    <t>Класс</t>
  </si>
  <si>
    <t>Временный</t>
  </si>
  <si>
    <t>Нет</t>
  </si>
  <si>
    <t>Немного</t>
  </si>
  <si>
    <t>Средне</t>
  </si>
  <si>
    <t>Много</t>
  </si>
  <si>
    <t>Влажный грунт</t>
  </si>
  <si>
    <t>Сырые помещения</t>
  </si>
  <si>
    <t>Открытый воздух</t>
  </si>
  <si>
    <t>Морской воздух</t>
  </si>
  <si>
    <t xml:space="preserve">edge distance [cm] </t>
  </si>
  <si>
    <t>edge distance d</t>
  </si>
  <si>
    <t>Dateiname</t>
  </si>
  <si>
    <t>ändern</t>
  </si>
  <si>
    <t>keine</t>
  </si>
  <si>
    <t>Sprbet</t>
  </si>
  <si>
    <t>SprGewölbe</t>
  </si>
  <si>
    <t>Ausfachstoff</t>
  </si>
  <si>
    <t>B-Nullpunkt</t>
  </si>
  <si>
    <t>HDI tief</t>
  </si>
  <si>
    <t>HDI hoch</t>
  </si>
  <si>
    <t>F.zement tief</t>
  </si>
  <si>
    <t>UWB</t>
  </si>
  <si>
    <t>Stauer</t>
  </si>
  <si>
    <t>Unterbeton</t>
  </si>
  <si>
    <t>Verfahren</t>
  </si>
  <si>
    <t>Rohr/Schlitz</t>
  </si>
  <si>
    <t>SOB</t>
  </si>
  <si>
    <t>Rütteln</t>
  </si>
  <si>
    <t>GW-Druck</t>
  </si>
  <si>
    <t xml:space="preserve"> Wall with beam set in concrete &amp; Timber Infill</t>
  </si>
  <si>
    <t>Wall with beam set in MIP &amp; Timber Infill</t>
  </si>
  <si>
    <t xml:space="preserve"> Wall with beam set in concrete  &amp; shotcrete infill</t>
  </si>
  <si>
    <t>Wall with beam set in concrete &amp; MIP infill at center</t>
  </si>
  <si>
    <t>Wall with beam set in concrete &amp; MIP infill on earth side</t>
  </si>
  <si>
    <t>Wall with beam &amp; MIP infill on earth side</t>
  </si>
  <si>
    <t>Slurry wall with inserted  beams at center</t>
  </si>
  <si>
    <t>MOP wall with inserted  beams at center</t>
  </si>
  <si>
    <t>Sheet pile inserted in trench</t>
  </si>
  <si>
    <t>Pile wall with reinforcement in every alternate pile</t>
  </si>
  <si>
    <t>Pile wall with reinforcement in every alternate pile and inserted steel beam at top</t>
  </si>
  <si>
    <t>Pile wall with reinforcement in every fourth pile</t>
  </si>
  <si>
    <t xml:space="preserve">Cast-in-place diaphragm Wall </t>
  </si>
  <si>
    <t>Cast-in-place diaphragm Wall and inserted steel beams at top</t>
  </si>
  <si>
    <t>Pile wall with three plain piles as infill</t>
  </si>
  <si>
    <t>Pile Wall with MIP infill at centre</t>
  </si>
  <si>
    <t>Pile Wall with MIP infill on earth side</t>
  </si>
  <si>
    <t>MIP walls with inserted beams at centre</t>
  </si>
  <si>
    <t>Zugehörige Vertikalkräfte mit den folgenden Anteilen ermittelt:</t>
  </si>
  <si>
    <t>Erfahrungswert BAUER für sand- und zementreiche Erdbetone</t>
  </si>
  <si>
    <t>4) Reduktion Q bei Blumscher Einspannung 50%</t>
  </si>
  <si>
    <t>wobei LMax die größte Feldweite ist</t>
  </si>
  <si>
    <t>Feldlänge</t>
  </si>
  <si>
    <t>z-unterster Anker</t>
  </si>
  <si>
    <t>OKW</t>
  </si>
  <si>
    <t>zFuß</t>
  </si>
  <si>
    <t>BGS</t>
  </si>
  <si>
    <t>UKW</t>
  </si>
  <si>
    <t>Ausnutzung</t>
  </si>
  <si>
    <t>TMIP-Bemessung</t>
  </si>
  <si>
    <t>Größte Feldweite</t>
  </si>
  <si>
    <t>$SCH</t>
  </si>
  <si>
    <t>Deaktiviert</t>
  </si>
  <si>
    <t>Slip circle stability analysis not necessary!</t>
  </si>
  <si>
    <t>coeff. acc. to DIN 4017:</t>
  </si>
  <si>
    <t>BO guide wall</t>
  </si>
  <si>
    <t>D E F A U L T</t>
  </si>
  <si>
    <t>Gen lock</t>
  </si>
  <si>
    <t>Read lock</t>
  </si>
  <si>
    <t>Bew.Randabstand [cm]</t>
  </si>
  <si>
    <t>PF Bew: 0-sym 1-asym</t>
  </si>
  <si>
    <t>Winkel Tragbereich</t>
  </si>
  <si>
    <t>Winkelfehler</t>
  </si>
  <si>
    <t>10x0,62"</t>
  </si>
  <si>
    <t>11x0,62"</t>
  </si>
  <si>
    <t>Daten fuer die Vorbelegung fehlen. Die Schnittbezeichnung ist nicht belegt!</t>
  </si>
  <si>
    <t>Daten fuer die Vorbelegung fehlen. Es ist keine Wandtypeingabe vorhanden!</t>
  </si>
  <si>
    <t>Nein              - Alles ausser Stuetzungsdaten ueberschreiben</t>
  </si>
  <si>
    <t>Ja                  - Alles auch Stuetzungsdaten ueberschreiben</t>
  </si>
  <si>
    <t>Fuer den User Nominem Nominandum darf WallMann nicht arbeiten!</t>
  </si>
  <si>
    <r>
      <t>vorh. Ankerkraft E</t>
    </r>
    <r>
      <rPr>
        <vertAlign val="subscript"/>
        <sz val="10"/>
        <rFont val="Arial"/>
        <family val="2"/>
      </rPr>
      <t>k</t>
    </r>
  </si>
  <si>
    <r>
      <t>Einwirkung E</t>
    </r>
    <r>
      <rPr>
        <vertAlign val="subscript"/>
        <sz val="10"/>
        <rFont val="Arial"/>
        <family val="2"/>
      </rPr>
      <t>d</t>
    </r>
  </si>
  <si>
    <r>
      <t>Widerstand R</t>
    </r>
    <r>
      <rPr>
        <vertAlign val="subscript"/>
        <sz val="10"/>
        <rFont val="Arial"/>
        <family val="2"/>
      </rPr>
      <t>i,d</t>
    </r>
  </si>
  <si>
    <t>PF tangierend = Tangierende Pfahlwand mit Bewehrung in jedem Pfahl</t>
  </si>
  <si>
    <t>SCH = Ortbetonschlitzwand</t>
  </si>
  <si>
    <t>SCH&amp;Steck = Ortbetonschlitzwand mit Steckträgerverbau</t>
  </si>
  <si>
    <t>Pileforces</t>
  </si>
  <si>
    <t>Vertical point loads</t>
  </si>
  <si>
    <t>Skin friction embedment</t>
  </si>
  <si>
    <t>LX 2Od BS</t>
  </si>
  <si>
    <t>LX 25 BS</t>
  </si>
  <si>
    <t>LX 25d BS</t>
  </si>
  <si>
    <t>LX 32 BS</t>
  </si>
  <si>
    <t>LX 32d BS</t>
  </si>
  <si>
    <t>LX 38 BS</t>
  </si>
  <si>
    <t>6W BS</t>
  </si>
  <si>
    <t>20Wd BS</t>
  </si>
  <si>
    <t>γF Strength with unfavorable underground flow</t>
  </si>
  <si>
    <t>γF Strength with favorable underground flow</t>
  </si>
  <si>
    <t xml:space="preserve">γG Generally Permanent effects  </t>
  </si>
  <si>
    <t>Keine hochliegende Sohle!</t>
  </si>
  <si>
    <t xml:space="preserve"> mit Werten und Formeln eines aktuellen Projektes abgespeichert wurde, </t>
  </si>
  <si>
    <t xml:space="preserve">If </t>
  </si>
  <si>
    <t>Peter</t>
  </si>
  <si>
    <t>Thomas</t>
  </si>
  <si>
    <t>xmin = B/2 half width</t>
  </si>
  <si>
    <t>negC-h.elastic</t>
  </si>
  <si>
    <t>max-h-pressure</t>
  </si>
  <si>
    <t>Schicht 1 Sohle</t>
  </si>
  <si>
    <t>I-Steife</t>
  </si>
  <si>
    <t>2I-Steife</t>
  </si>
  <si>
    <t>Rohrsteife</t>
  </si>
  <si>
    <t>Betonsteife</t>
  </si>
  <si>
    <t>H-strut</t>
  </si>
  <si>
    <t>2H-strut</t>
  </si>
  <si>
    <t>Massiv</t>
  </si>
  <si>
    <t>Gewi Platte</t>
  </si>
  <si>
    <t>Sistem secant 1:5</t>
  </si>
  <si>
    <t>suspensie ciment-bentonita</t>
  </si>
  <si>
    <t>HDI (injectie inalta presiune)</t>
  </si>
  <si>
    <t>Put</t>
  </si>
  <si>
    <t>Wasserdruck</t>
  </si>
  <si>
    <t>N-Bem Eigengewicht</t>
  </si>
  <si>
    <t>N-Bem dead load</t>
  </si>
  <si>
    <t>N-Bem vertk. Erddruck</t>
  </si>
  <si>
    <t>N-Bem vertical earth press.</t>
  </si>
  <si>
    <t>N-Bem vertk.Ankerkraft</t>
  </si>
  <si>
    <t>Mantel</t>
  </si>
  <si>
    <t>Sohlnachweis:</t>
  </si>
  <si>
    <t>Differenzdruck</t>
  </si>
  <si>
    <t>Stützweite</t>
  </si>
  <si>
    <t>rechn. Sohldicke</t>
  </si>
  <si>
    <t>Gewölbespannung</t>
  </si>
  <si>
    <t>Festigkeit UW-Beton</t>
  </si>
  <si>
    <t>HDI-Festigkeit</t>
  </si>
  <si>
    <t>Durchstanzen</t>
  </si>
  <si>
    <t>SCH&amp;insert</t>
  </si>
  <si>
    <t>PFBW 1:3</t>
  </si>
  <si>
    <t>PFSpritzbeton</t>
  </si>
  <si>
    <t>PFGewölbe</t>
  </si>
  <si>
    <t>PFMIPmittig</t>
  </si>
  <si>
    <t>PFMIPmiddle</t>
  </si>
  <si>
    <t>PFMIPhalberdseitig</t>
  </si>
  <si>
    <t>PFMIPhalf on earthside</t>
  </si>
  <si>
    <t>PFMIPerdseitig</t>
  </si>
  <si>
    <t>PFMIPearthside</t>
  </si>
  <si>
    <t>TWMIPmittig</t>
  </si>
  <si>
    <t>TWMIPmiddle</t>
  </si>
  <si>
    <t>TWMIPerdseitig</t>
  </si>
  <si>
    <t>TWMIPearthside</t>
  </si>
  <si>
    <t>TW Einphas</t>
  </si>
  <si>
    <t>TW MOP</t>
  </si>
  <si>
    <t>UK ob. Ausfachung</t>
  </si>
  <si>
    <t>UK Steckträger</t>
  </si>
  <si>
    <t>a Steckverbau</t>
  </si>
  <si>
    <t>$BOD</t>
  </si>
  <si>
    <t>X</t>
  </si>
  <si>
    <t>Averaged working platform</t>
  </si>
  <si>
    <t>Foundation load</t>
  </si>
  <si>
    <t xml:space="preserve">Slip circle stability foundation  section </t>
  </si>
  <si>
    <t>Radius</t>
  </si>
  <si>
    <t>Kegel</t>
  </si>
  <si>
    <t>Pfahl</t>
  </si>
  <si>
    <t>Reihengruppe</t>
  </si>
  <si>
    <t>UK-Wand ist jedoch hoeher mit 32 mueNN im Datensatz enthalten!</t>
  </si>
  <si>
    <t>Soll das vorhandene Skalierungrechteck zurueckgesetzt werden?</t>
  </si>
  <si>
    <t>4. Positionslinie anklicken fuer einfuegen Schnitteillaenge</t>
  </si>
  <si>
    <t xml:space="preserve"> ohne Verknuepfungen als Exceldatei gespeichert werden?</t>
  </si>
  <si>
    <t>Verschiebung</t>
  </si>
  <si>
    <t>displacement</t>
  </si>
  <si>
    <t>Temporary micropile</t>
  </si>
  <si>
    <t>Permanent micropile; base corr. protected</t>
  </si>
  <si>
    <t>Permanent micropile; double corr. protected</t>
  </si>
  <si>
    <t>Out of order</t>
  </si>
  <si>
    <t>Temporary mono strand anchor</t>
  </si>
  <si>
    <t>Permanent mono strand anchor</t>
  </si>
  <si>
    <t>Length centre-wall-groutbody</t>
  </si>
  <si>
    <t>Req. Cross section</t>
  </si>
  <si>
    <t>Extra to total length of tension element</t>
  </si>
  <si>
    <t>Length of welding</t>
  </si>
  <si>
    <t>Number of weldings</t>
  </si>
  <si>
    <t>Slope compensation</t>
  </si>
  <si>
    <t>Anchor plate</t>
  </si>
  <si>
    <t>Support plate</t>
  </si>
  <si>
    <t>Web plate</t>
  </si>
  <si>
    <t>Corbel</t>
  </si>
  <si>
    <t>Heavy</t>
  </si>
  <si>
    <t>Ball plate inclined</t>
  </si>
  <si>
    <t>Degree</t>
  </si>
  <si>
    <t>Underdesigned</t>
  </si>
  <si>
    <t>Anchor head design</t>
  </si>
  <si>
    <t>Safety grout body</t>
  </si>
  <si>
    <t>Sheet metal</t>
  </si>
  <si>
    <t>Safety micropile</t>
  </si>
  <si>
    <t>Double anchor</t>
  </si>
  <si>
    <t>Triple anchor</t>
  </si>
  <si>
    <t>Quadruple anchor</t>
  </si>
  <si>
    <t>Protective measure cement corrosion</t>
  </si>
  <si>
    <t>Expertise concerning  cement corrosion necessary</t>
  </si>
  <si>
    <t>00803010</t>
  </si>
  <si>
    <t>m³</t>
  </si>
  <si>
    <t>00904010</t>
  </si>
  <si>
    <t>Този чертеж е изключителна собственост на БАУЕР и копирането и/или използането на части от него не може да става без съгласието на БАУЕР, освен в случайте когато:    1. Има подписан договор с Bauer Spezialtiefbau GmbH или нейна дъщерна фирма.</t>
  </si>
  <si>
    <t>rechn. Tragwinkel</t>
  </si>
  <si>
    <t>Winkel Einbaufehler</t>
  </si>
  <si>
    <t>Byte is much bigger than the wal-file with</t>
  </si>
  <si>
    <t>Please select the user first on sheet BOD.</t>
  </si>
  <si>
    <t>end of anchor in layer</t>
  </si>
  <si>
    <t>the bottom of the anchorage of the cut off as a spacing of</t>
  </si>
  <si>
    <t>not existing. Reading of walls data not possible</t>
  </si>
  <si>
    <t>m to top of the wall</t>
  </si>
  <si>
    <t>The file name C:\Statik\Stamak\LEER_EN_.xls contains names of sections</t>
  </si>
  <si>
    <t>ERROR in Modul Fehler in der Eingabefolge :</t>
  </si>
  <si>
    <t>ERROR in modul error in the sequence of input :</t>
  </si>
  <si>
    <t>Stababstand: luftseitig:</t>
  </si>
  <si>
    <t xml:space="preserve">Schubbemessung  S c h l i t z w a n d   Schnitt </t>
  </si>
  <si>
    <t>Querkraft</t>
  </si>
  <si>
    <t>zug. Moment</t>
  </si>
  <si>
    <t>zug. Normalkraft</t>
  </si>
  <si>
    <t>Schubbewehrung für</t>
  </si>
  <si>
    <t>aus</t>
  </si>
  <si>
    <t>gew. Bewehrung nicht ausreichend!</t>
  </si>
  <si>
    <t>Bügel</t>
  </si>
  <si>
    <t>ungültiger Bewehrungsdurchmesser!</t>
  </si>
  <si>
    <t>diameter is false!!</t>
  </si>
  <si>
    <t>B-Schub</t>
  </si>
  <si>
    <t>Zulage erforderlich</t>
  </si>
  <si>
    <t xml:space="preserve">Längsbewehrung Erdseitig: </t>
  </si>
  <si>
    <t xml:space="preserve">Längsbewehrung Luftseitig: </t>
  </si>
  <si>
    <t xml:space="preserve">Bügelbewehrung: </t>
  </si>
  <si>
    <t>GEWI &lt;30 m</t>
  </si>
  <si>
    <t>01201050</t>
  </si>
  <si>
    <t>GEWI &lt;35 m</t>
  </si>
  <si>
    <t>01202</t>
  </si>
  <si>
    <t>Auftriebssicherung GEWI von Ponton</t>
  </si>
  <si>
    <t>01202010</t>
  </si>
  <si>
    <t>01202020</t>
  </si>
  <si>
    <t>01202030</t>
  </si>
  <si>
    <t>01202040</t>
  </si>
  <si>
    <t>01202050</t>
  </si>
  <si>
    <t>1) The numbers for the items for the partial lengths 1 to 15 are rounded up. An addition for division is not necassary</t>
  </si>
  <si>
    <t>No. of strut layers</t>
  </si>
  <si>
    <t xml:space="preserve">D I M E N S I O N I N G  o f  B E AM S  Section </t>
  </si>
  <si>
    <t>S H E E T  P I L E  W A L L   D I M E N S I O N I N G  Section</t>
  </si>
  <si>
    <t>Summary of the section forces:</t>
  </si>
  <si>
    <t xml:space="preserve">M I P - B E A M  D I M E N S I O N I N G  Section </t>
  </si>
  <si>
    <t xml:space="preserve">über eine Potentialfeldberechnung ermittelt </t>
  </si>
  <si>
    <t xml:space="preserve">mit einer wandparallelen Umströmung ermittelt </t>
  </si>
  <si>
    <t xml:space="preserve">Bei der Ermittlung des aktiven Erddruckes wird ein </t>
  </si>
  <si>
    <t>Pfahlwand mit Bewehrung in jedem zweiten Pfahl</t>
  </si>
  <si>
    <t>Pfahlwand mit Bewehrung in jedem zweiten Pfahl und Steckträgerverbau</t>
  </si>
  <si>
    <t>micropiles with corrosion protection in</t>
  </si>
  <si>
    <t>a deep level soft-gel-blanket</t>
  </si>
  <si>
    <t>PosNum</t>
  </si>
  <si>
    <t>Menge</t>
  </si>
  <si>
    <t>Eh</t>
  </si>
  <si>
    <t>und Abdeckkonstruktionen, Wilhelm-Ernst &amp; Sohn, Berlin</t>
  </si>
  <si>
    <t xml:space="preserve"> - München, 1981</t>
  </si>
  <si>
    <t>Einspanntiefe  t=</t>
  </si>
  <si>
    <t>Spitzendruckfläche</t>
  </si>
  <si>
    <t>Abminderungsfaktor</t>
  </si>
  <si>
    <t xml:space="preserve">Seite </t>
  </si>
  <si>
    <t>système 1:5</t>
  </si>
  <si>
    <t>sistema 1:5</t>
  </si>
  <si>
    <t>MIP</t>
  </si>
  <si>
    <t>MIP1Gew</t>
  </si>
  <si>
    <t>MIP2Gew</t>
  </si>
  <si>
    <t>MIP3Gew</t>
  </si>
  <si>
    <t>MIP4Gew</t>
  </si>
  <si>
    <t>MIP5Gew</t>
  </si>
  <si>
    <t>rectangle</t>
  </si>
  <si>
    <t>triangle</t>
  </si>
  <si>
    <t>MIPgirder</t>
  </si>
  <si>
    <t>MIP1 arc type</t>
  </si>
  <si>
    <t>trapezoid</t>
  </si>
  <si>
    <t>MIP2 arc type</t>
  </si>
  <si>
    <t>MIP3 arc type</t>
  </si>
  <si>
    <t>MIP4 arc type</t>
  </si>
  <si>
    <t>MIP5 arc type</t>
  </si>
  <si>
    <t>L-Gurt</t>
  </si>
  <si>
    <t>2L-Gurt</t>
  </si>
  <si>
    <t>U-Gurt</t>
  </si>
  <si>
    <t>2U-Gurt</t>
  </si>
  <si>
    <t>IPB-Gurt</t>
  </si>
  <si>
    <t>2IPB-Gurt</t>
  </si>
  <si>
    <t>Flacheisen</t>
  </si>
  <si>
    <t>L-waler</t>
  </si>
  <si>
    <t>2L-waler</t>
  </si>
  <si>
    <t>U-waler</t>
  </si>
  <si>
    <t>2U-waler</t>
  </si>
  <si>
    <t>H-waler</t>
  </si>
  <si>
    <t>2H-waler</t>
  </si>
  <si>
    <t>Инженер проекта:</t>
  </si>
  <si>
    <t>Номер телефона:</t>
  </si>
  <si>
    <t>Файл:</t>
  </si>
  <si>
    <t>не пригодный</t>
  </si>
  <si>
    <t>Profil U&amp;I</t>
  </si>
  <si>
    <t>Zahl U&amp;I</t>
  </si>
  <si>
    <t>Profil Larssen</t>
  </si>
  <si>
    <t>Trägerbohlwand, Trägerwand, Steckverbau</t>
  </si>
  <si>
    <t>Anzahl Träger</t>
  </si>
  <si>
    <t>Profile/Träger</t>
  </si>
  <si>
    <t>Profiltyp</t>
  </si>
  <si>
    <t>Länge</t>
  </si>
  <si>
    <t>Hauptausfachung</t>
  </si>
  <si>
    <t>Steckausfachung</t>
  </si>
  <si>
    <t>eingestellt</t>
  </si>
  <si>
    <t>Dichtwandhöhe</t>
  </si>
  <si>
    <t>Dichtwandfläche</t>
  </si>
  <si>
    <t>bewehrte Pfähle</t>
  </si>
  <si>
    <t>unbewehrte Pfähle</t>
  </si>
  <si>
    <t>Leerbohrung</t>
  </si>
  <si>
    <t>Länge Beton</t>
  </si>
  <si>
    <t>Gesamtlänge, leer</t>
  </si>
  <si>
    <t>Korblänge</t>
  </si>
  <si>
    <t>Betonstahl</t>
  </si>
  <si>
    <t>Schlitzhöhe</t>
  </si>
  <si>
    <t>Knicklinie y/z-Achse:</t>
  </si>
  <si>
    <t>Optimisation of arch 0-no 1-stress 2-shear</t>
  </si>
  <si>
    <t>Геолог. скв.</t>
  </si>
  <si>
    <t>"стена в грунте" d=</t>
  </si>
  <si>
    <t>стена из отдельност. свай</t>
  </si>
  <si>
    <t>деревянная забирка s=</t>
  </si>
  <si>
    <t>MIP (грунтоцемент)</t>
  </si>
  <si>
    <t>цементно-бентонитовая суспензия</t>
  </si>
  <si>
    <t>HPI (Jet Grouting)</t>
  </si>
  <si>
    <t>откр. водопонижение</t>
  </si>
  <si>
    <t>бет. пояс</t>
  </si>
  <si>
    <t>обвяз. пояс</t>
  </si>
  <si>
    <t xml:space="preserve">бет. плита </t>
  </si>
  <si>
    <t>Грав.фунд.плита</t>
  </si>
  <si>
    <t>секущиеся</t>
  </si>
  <si>
    <t>Параметры грунта</t>
  </si>
  <si>
    <t xml:space="preserve">  Разрез</t>
  </si>
  <si>
    <t>На этот чертеж распространяется авторское право, поэтому его нельзя копировать или представлять неуполномоченным лицам без специального разрешения, кроме таких случаев, когда:  1. Заключен контракт с Bauer Spezialtiefbau GmbH или одной из его дочерних компаний</t>
  </si>
  <si>
    <t>2. Специальное разрешение с согласием автора.          3. Отдельный контракт на проектные работы независимо от строительных работ.</t>
  </si>
  <si>
    <t>Инвестор:</t>
  </si>
  <si>
    <t>Заказчик:</t>
  </si>
  <si>
    <t>Проект:</t>
  </si>
  <si>
    <t>Чертежи:</t>
  </si>
  <si>
    <t xml:space="preserve">Проект № </t>
  </si>
  <si>
    <t>Руководитель проекта:</t>
  </si>
  <si>
    <t xml:space="preserve">Чертеж № </t>
  </si>
  <si>
    <t>hormigón proyectado d=</t>
  </si>
  <si>
    <t>UK Bewehrung</t>
  </si>
  <si>
    <t>BO reinforcement</t>
  </si>
  <si>
    <t>Base des armatures</t>
  </si>
  <si>
    <t>B.I. armaduras</t>
  </si>
  <si>
    <t>Holz s=</t>
  </si>
  <si>
    <t>Bauer Spezialtiefbau GmbH • D-86522 Schrobenhausen • Tel 08252/97-0 • Fax 08252/97-1516</t>
  </si>
  <si>
    <t>short</t>
  </si>
  <si>
    <t>footline</t>
  </si>
  <si>
    <t>layout name</t>
  </si>
  <si>
    <t>layout adress</t>
  </si>
  <si>
    <t xml:space="preserve">BAUER International    
Head office  </t>
  </si>
  <si>
    <t>Bauer Int</t>
  </si>
  <si>
    <t>Bauer Abu Dhabi</t>
  </si>
  <si>
    <t>BAUER International    
UAE Branch of Bauer Spezialtiefbau GmbH</t>
  </si>
  <si>
    <t>Bauer Dubai</t>
  </si>
  <si>
    <t>Bauer International • Dubai, UAE • Tel (00971)4/295-7472 • Fax -6971</t>
  </si>
  <si>
    <t>Bauer International • Abu Dhabi, UAE • Tel (00971)2/672-1405 • Fax -5594</t>
  </si>
  <si>
    <t xml:space="preserve">Der Nachweis der Grenzzustandsgleichungen erfolgt für den Lastfall </t>
  </si>
  <si>
    <t>Pfahlbohlwand</t>
  </si>
  <si>
    <t>Unterfangung</t>
  </si>
  <si>
    <t>underpinning</t>
  </si>
  <si>
    <t>Bodenvernagelung</t>
  </si>
  <si>
    <t>soil nailing</t>
  </si>
  <si>
    <t>$COST</t>
  </si>
  <si>
    <t>Die Datei C:\Statik\Stamak\LEER_EN_.xls enthaelt Schnittbezeichnungen.</t>
  </si>
  <si>
    <t>Bitte zuerst den zutreffenden Bearbeitern auf Blatt BOD auswaehlen.</t>
  </si>
  <si>
    <t>Schnittumschalter nur bei einer WallMann-Datei funktionsfaehig.</t>
  </si>
  <si>
    <t>Wollen Sie die Lage oder die Form des Skalierrechteck aendern?</t>
  </si>
  <si>
    <t>Folgende Auffaelligkeiten von Abmessungen sind erkannt worden:</t>
  </si>
  <si>
    <t>Pfahldurchmesser D</t>
  </si>
  <si>
    <t>Stahlabstand d1</t>
  </si>
  <si>
    <t>Bogenlänge Bew.korb</t>
  </si>
  <si>
    <t>Teilsicherheitsbeiwerte Widerstände</t>
  </si>
  <si>
    <t>s. Hinweis</t>
  </si>
  <si>
    <t>L 703+0,5</t>
  </si>
  <si>
    <t>L 704-0,5</t>
  </si>
  <si>
    <t>L 704+0,5</t>
  </si>
  <si>
    <t>L 601-0,5</t>
  </si>
  <si>
    <t>L 601+0,5</t>
  </si>
  <si>
    <t>L 602-0,5</t>
  </si>
  <si>
    <t>L 602+0,5</t>
  </si>
  <si>
    <t>L 603-0,5</t>
  </si>
  <si>
    <t>Einzelpfahl</t>
  </si>
  <si>
    <t>Pfahlreihe</t>
  </si>
  <si>
    <t>00202060</t>
  </si>
  <si>
    <t>00202070</t>
  </si>
  <si>
    <t>00202080</t>
  </si>
  <si>
    <t>00202090</t>
  </si>
  <si>
    <t>00202100</t>
  </si>
  <si>
    <t>00202110</t>
  </si>
  <si>
    <t>00202120</t>
  </si>
  <si>
    <t>Sandy</t>
  </si>
  <si>
    <t>Clayey</t>
  </si>
  <si>
    <t>Nennfestigkeit fck/s [MN/m²]</t>
  </si>
  <si>
    <t>MIP-Gewölbeoptimierung</t>
  </si>
  <si>
    <t>Schweißnahtlänge [mm]</t>
  </si>
  <si>
    <t>Anzahl Nähte [-]</t>
  </si>
  <si>
    <t>Trägerüberstand [m]</t>
  </si>
  <si>
    <t>Spreizung Träger [m]</t>
  </si>
  <si>
    <t>PF1:1&amp;Steck = Pfahlwand mit Bewehrung in jedem zweiten Pfahl und Steckträgerverbau</t>
  </si>
  <si>
    <t>PF1:3 = Pfahlwand mit Bewehrung in jedem vierten Pfahl</t>
  </si>
  <si>
    <t>Stoney</t>
  </si>
  <si>
    <t>Gravelly</t>
  </si>
  <si>
    <r>
      <t>Test load suitability R</t>
    </r>
    <r>
      <rPr>
        <vertAlign val="subscript"/>
        <sz val="10"/>
        <color indexed="8"/>
        <rFont val="Arial"/>
        <family val="2"/>
      </rPr>
      <t>a,k</t>
    </r>
    <r>
      <rPr>
        <sz val="10"/>
        <color indexed="8"/>
        <rFont val="Arial"/>
        <family val="2"/>
      </rPr>
      <t xml:space="preserve"> [KN]/Utilistaion [%]</t>
    </r>
  </si>
  <si>
    <r>
      <t>Test load acceptance P</t>
    </r>
    <r>
      <rPr>
        <vertAlign val="subscript"/>
        <sz val="10"/>
        <color indexed="8"/>
        <rFont val="Arial"/>
        <family val="2"/>
      </rPr>
      <t>p</t>
    </r>
    <r>
      <rPr>
        <sz val="10"/>
        <color indexed="8"/>
        <rFont val="Arial"/>
        <family val="2"/>
      </rPr>
      <t xml:space="preserve"> [KN]/Utilistaion [%]</t>
    </r>
  </si>
  <si>
    <t>Check Service limit state stress</t>
  </si>
  <si>
    <r>
      <t>Locking force P</t>
    </r>
    <r>
      <rPr>
        <vertAlign val="subscript"/>
        <sz val="10"/>
        <color indexed="8"/>
        <rFont val="Arial"/>
        <family val="2"/>
      </rPr>
      <t>0</t>
    </r>
  </si>
  <si>
    <t>Service limit state stress</t>
  </si>
  <si>
    <t>Bemessungseintrag</t>
  </si>
  <si>
    <t>Ankerindex Versagen Litze</t>
  </si>
  <si>
    <t>Ankerindex Versagen SVP</t>
  </si>
  <si>
    <t>Ankerindex</t>
  </si>
  <si>
    <t>Ankerindex Litze</t>
  </si>
  <si>
    <t>Ankerindex Litze wenn unterbemessen</t>
  </si>
  <si>
    <t>wilgotnosc gleby</t>
  </si>
  <si>
    <t>wilgotne miejsca</t>
  </si>
  <si>
    <t>atmosfera zewnetrzna</t>
  </si>
  <si>
    <t>powietrze morskie</t>
  </si>
  <si>
    <t>w wodzie gruntowej</t>
  </si>
  <si>
    <t>zmiana wody gruntowej</t>
  </si>
  <si>
    <t>zmiana poziomu morza</t>
  </si>
  <si>
    <t>TSVP+75</t>
  </si>
  <si>
    <t>Dauerstab verpreßpfahl, einfacher Korrosion schutz</t>
  </si>
  <si>
    <t>Paroi moulée e=</t>
  </si>
  <si>
    <t>muro colado d=</t>
  </si>
  <si>
    <t>Spritzbeton d=</t>
  </si>
  <si>
    <t>Béton projeté e=</t>
  </si>
  <si>
    <t>nasyp budowlany / nie budowlany</t>
  </si>
  <si>
    <t>grunty organiczne, tpl</t>
  </si>
  <si>
    <t>kg/m²</t>
  </si>
  <si>
    <t>cm²/m</t>
  </si>
  <si>
    <t>-</t>
  </si>
  <si>
    <t>º</t>
  </si>
  <si>
    <t>L 601</t>
  </si>
  <si>
    <t>U</t>
  </si>
  <si>
    <t>L 602</t>
  </si>
  <si>
    <t>AZ 36 - 700</t>
  </si>
  <si>
    <t>AZ 38 - 700</t>
  </si>
  <si>
    <t>AZ 40 - 700</t>
  </si>
  <si>
    <t>PU18</t>
  </si>
  <si>
    <t>PU22</t>
  </si>
  <si>
    <t>PU33 old</t>
  </si>
  <si>
    <t>PU16 old</t>
  </si>
  <si>
    <t>PU20 old</t>
  </si>
  <si>
    <t>For this, with a safe side approach, a maximum MIP-bearing capacity is assumed with a triangular comression zone with the neutral axis in the centre of the wall.</t>
  </si>
  <si>
    <t>Knick</t>
  </si>
  <si>
    <t>S-y</t>
  </si>
  <si>
    <t>mm</t>
  </si>
  <si>
    <t>cm2</t>
  </si>
  <si>
    <t>kg/m</t>
  </si>
  <si>
    <t>cm4</t>
  </si>
  <si>
    <t>cm3</t>
  </si>
  <si>
    <t>cm</t>
  </si>
  <si>
    <t>cm²</t>
  </si>
  <si>
    <t>linie</t>
  </si>
  <si>
    <t>cm³</t>
  </si>
  <si>
    <t>HEB 120</t>
  </si>
  <si>
    <t>HEB 140</t>
  </si>
  <si>
    <t>HEB 160</t>
  </si>
  <si>
    <t>HEB 180</t>
  </si>
  <si>
    <t>HEB 200</t>
  </si>
  <si>
    <t>HEB 220</t>
  </si>
  <si>
    <t>HEB 240</t>
  </si>
  <si>
    <t>HEB 260</t>
  </si>
  <si>
    <t>HEB 280</t>
  </si>
  <si>
    <t>HEB 300</t>
  </si>
  <si>
    <t>wszystkie</t>
  </si>
  <si>
    <t>GW-faza</t>
  </si>
  <si>
    <t>mod. trapez.</t>
  </si>
  <si>
    <t>optymalizacja</t>
  </si>
  <si>
    <t>powierzchnia [m²]</t>
  </si>
  <si>
    <t>Nachweis MIP für LF</t>
  </si>
  <si>
    <t>Verbundnachweise:</t>
  </si>
  <si>
    <t>HZ 775 D K24/18</t>
  </si>
  <si>
    <t>HZ 975 A K24/18</t>
  </si>
  <si>
    <t>HZ 975 B K24/18</t>
  </si>
  <si>
    <t>HZ 975 C K24/18</t>
  </si>
  <si>
    <t>HZ 975 D K24/18</t>
  </si>
  <si>
    <t>AZ 12</t>
  </si>
  <si>
    <t>PFcontiguos = Бурокасательные сваи с армированием каждой сваи</t>
  </si>
  <si>
    <t>SCH = "Стена в грунте"</t>
  </si>
  <si>
    <t>SCH&amp;Steck = "Стена в грунте" со стальной балкой сверху</t>
  </si>
  <si>
    <t>PFBW 1:3 = Стена из свай с заполнением из 3х неарм. свай</t>
  </si>
  <si>
    <t>PFshotcrete = Стена из свай с заполнением из армированного торкретбетона</t>
  </si>
  <si>
    <t>PFarch = Стена из свай с арочным заполнением из торкретбетона</t>
  </si>
  <si>
    <t>PFmiddle = Стена из свай с MIP-заполнением по центру</t>
  </si>
  <si>
    <t>PFMIPhalf on earthside = Стена из свай с MIP-заполнением за осью свай со стороны грунта</t>
  </si>
  <si>
    <t>PFMIPearthside = Стена из свай с MIP-заполнением со стороны грунта</t>
  </si>
  <si>
    <t>TWMIPmiddle = MIP-стена с балками по центру</t>
  </si>
  <si>
    <t>TWMIPearthside = Стена из балок и MIP-заполнением со стороны грунта</t>
  </si>
  <si>
    <t>TW-Einphas = Однофаз. стена с помещ. балками по центру</t>
  </si>
  <si>
    <t>TW MOP = MOP стена с помещ. балками по центру</t>
  </si>
  <si>
    <t>Underpinning = Крепление "Jet grouting"</t>
  </si>
  <si>
    <t>Soil nailing = Грунтовые нагели</t>
  </si>
  <si>
    <t>Min. emb.length ins. beam</t>
  </si>
  <si>
    <t>Circumference [m]</t>
  </si>
  <si>
    <t>Elastic</t>
  </si>
  <si>
    <t>Plastic</t>
  </si>
  <si>
    <t>Optimization</t>
  </si>
  <si>
    <t>Trap/Rectang.</t>
  </si>
  <si>
    <t>mod Trapez.</t>
  </si>
  <si>
    <t>At rest1</t>
  </si>
  <si>
    <t>Trapez.</t>
  </si>
  <si>
    <t>Final+Slipcircle</t>
  </si>
  <si>
    <t>Plot Structure</t>
  </si>
  <si>
    <t>last Phase</t>
  </si>
  <si>
    <t>Plot value</t>
  </si>
  <si>
    <t>Delete</t>
  </si>
  <si>
    <t>Copy</t>
  </si>
  <si>
    <t>BO-Cut off</t>
  </si>
  <si>
    <t>Grout.length [m]</t>
  </si>
  <si>
    <t>a Top beam</t>
  </si>
  <si>
    <t>EI-Top beam [MNm]</t>
  </si>
  <si>
    <t>H-Profile [m]</t>
  </si>
  <si>
    <t>00402060</t>
  </si>
  <si>
    <t>00402070</t>
  </si>
  <si>
    <t>Environmental</t>
  </si>
  <si>
    <t>низ</t>
  </si>
  <si>
    <t>b Низ [см]</t>
  </si>
  <si>
    <t>b Ушир. [см]</t>
  </si>
  <si>
    <t>b макс.-ah [см]</t>
  </si>
  <si>
    <t>Грунт. нагели</t>
  </si>
  <si>
    <t>Отм. земли</t>
  </si>
  <si>
    <t>Угол накл. стены</t>
  </si>
  <si>
    <t>Макс. ∆z нагель</t>
  </si>
  <si>
    <t>Утолщение</t>
  </si>
  <si>
    <t>Отм. верхн. нагеля</t>
  </si>
  <si>
    <t>Число слоев нагелей</t>
  </si>
  <si>
    <t>z-ГВ ПФЗ</t>
  </si>
  <si>
    <t>Верх ПФЗ</t>
  </si>
  <si>
    <t>Тип анкера</t>
  </si>
  <si>
    <t>Сетка a</t>
  </si>
  <si>
    <t>Сетка b &gt; a</t>
  </si>
  <si>
    <t>Низ анкера</t>
  </si>
  <si>
    <t>Оптимиз. анкера</t>
  </si>
  <si>
    <t>D-сваи экв. [см]</t>
  </si>
  <si>
    <t>∆γ' подъема</t>
  </si>
  <si>
    <t>Этап разр. котлована</t>
  </si>
  <si>
    <t>z-УПВ</t>
  </si>
  <si>
    <t>Перераспр.Eah</t>
  </si>
  <si>
    <t>Грунт. распор [см]</t>
  </si>
  <si>
    <t>Траншея для анкера</t>
  </si>
  <si>
    <t>bКрепящий анкер [м]</t>
  </si>
  <si>
    <t>bКрепящая плита [м]</t>
  </si>
  <si>
    <t>C плита [кН/м]</t>
  </si>
  <si>
    <t>C ПФЗ [кН/м]</t>
  </si>
  <si>
    <t>φ'мин давление грунта</t>
  </si>
  <si>
    <t>Испол. введеные данные</t>
  </si>
  <si>
    <t>Номер оконч. разр. котл.</t>
  </si>
  <si>
    <t>Управление печатью</t>
  </si>
  <si>
    <t>Рез-ты по стр.</t>
  </si>
  <si>
    <t>w/M/Q/Hдавл</t>
  </si>
  <si>
    <t>Смещен. стен</t>
  </si>
  <si>
    <t>Комментарии к разрезу</t>
  </si>
  <si>
    <t>Контроль расчета</t>
  </si>
  <si>
    <t>Gen блок.</t>
  </si>
  <si>
    <t>Read блок.</t>
  </si>
  <si>
    <t>без</t>
  </si>
  <si>
    <t>ПФЗ</t>
  </si>
  <si>
    <t>Водопониж.1</t>
  </si>
  <si>
    <t>Водопониж.2</t>
  </si>
  <si>
    <t>Фильтр.стена</t>
  </si>
  <si>
    <t>Водопон. со стор. гр.</t>
  </si>
  <si>
    <t>1Дрен. трубки</t>
  </si>
  <si>
    <t>2Дрен. трубки</t>
  </si>
  <si>
    <t>D/a частично</t>
  </si>
  <si>
    <t>Стена из двутавров и деревянной забиркой</t>
  </si>
  <si>
    <t>Стена из балки, помещенной в бетон, и деревянной забирки</t>
  </si>
  <si>
    <t xml:space="preserve">Unterwasserbeton Schwergewichtssohle </t>
  </si>
  <si>
    <t>underwaterconcrete slab heavy weight</t>
  </si>
  <si>
    <t>U&amp;I aufgesetzt</t>
  </si>
  <si>
    <t>U&amp;I put on</t>
  </si>
  <si>
    <t>U versenkt</t>
  </si>
  <si>
    <t>I versenkt</t>
  </si>
  <si>
    <t>SPW Tal</t>
  </si>
  <si>
    <t>SPW valley</t>
  </si>
  <si>
    <t>SPW L-Gurt</t>
  </si>
  <si>
    <t>SPW 2U-Gurt</t>
  </si>
  <si>
    <t>L 603</t>
  </si>
  <si>
    <t>L 604</t>
  </si>
  <si>
    <t>L 605</t>
  </si>
  <si>
    <t>SPW = Spundwand</t>
  </si>
  <si>
    <t>SPWeing = Spundwand in einen Schlitz eingestellt</t>
  </si>
  <si>
    <t>no plot</t>
  </si>
  <si>
    <t>all</t>
  </si>
  <si>
    <t>in the sea</t>
  </si>
  <si>
    <t>LC</t>
  </si>
  <si>
    <t>γF Strömungskraft bei günstigem Untergrund</t>
  </si>
  <si>
    <t>plot</t>
  </si>
  <si>
    <t>eta(a)min &gt;= 1,1 gefordert</t>
  </si>
  <si>
    <t>input values according to the WALLS-calculation</t>
  </si>
  <si>
    <r>
      <t>in the depth z</t>
    </r>
    <r>
      <rPr>
        <vertAlign val="subscript"/>
        <sz val="10"/>
        <color indexed="8"/>
        <rFont val="Arial"/>
        <family val="2"/>
      </rPr>
      <t>E</t>
    </r>
    <r>
      <rPr>
        <sz val="10"/>
        <color indexed="8"/>
        <rFont val="Arial"/>
        <family val="2"/>
      </rPr>
      <t xml:space="preserve"> =</t>
    </r>
  </si>
  <si>
    <t>Wasserballast Kelly</t>
  </si>
  <si>
    <t>Waterballst Kelly</t>
  </si>
  <si>
    <t>Bergstützung, Feld mit 2 Bohlen 100%, Kragarm 1 Bohle 50%</t>
  </si>
  <si>
    <t>Fuer den oberen Verbau ist eine andere Bohrung wie fuer den unteren Verbau ausgewaehlt.</t>
  </si>
  <si>
    <t>Распр. нагр. на один пролет</t>
  </si>
  <si>
    <t>Один консол. пролет сверху</t>
  </si>
  <si>
    <t>Балка с обв. поясом</t>
  </si>
  <si>
    <t>А-фактор</t>
  </si>
  <si>
    <t>Стык с покрыв. плитой</t>
  </si>
  <si>
    <t>Ширина полки балки</t>
  </si>
  <si>
    <t>Наклон</t>
  </si>
  <si>
    <t>Высота</t>
  </si>
  <si>
    <t>2 Q-плиты</t>
  </si>
  <si>
    <t xml:space="preserve"> Св. шов a = </t>
  </si>
  <si>
    <t xml:space="preserve">Тип обв. пояс </t>
  </si>
  <si>
    <t xml:space="preserve">Проф. обв. пояса U&amp;I </t>
  </si>
  <si>
    <t xml:space="preserve">Сист. обв. пояса </t>
  </si>
  <si>
    <t xml:space="preserve">Расчет слоя обв. пояса </t>
  </si>
  <si>
    <t>сущ. гор. лин. нагрузка</t>
  </si>
  <si>
    <t>Расчет: 0-пласт 1-упруг</t>
  </si>
  <si>
    <t>Шаг балка-анкер</t>
  </si>
  <si>
    <t>Ширина обвяз. пояса b</t>
  </si>
  <si>
    <t>Высота обвяз. пояса h</t>
  </si>
  <si>
    <t xml:space="preserve">Шаг крепления </t>
  </si>
  <si>
    <t>Нет требуется</t>
  </si>
  <si>
    <t>Нет распорок !!!</t>
  </si>
  <si>
    <t xml:space="preserve">Р А С Ч Е Т   Р А С П О Р О К     Разрез </t>
  </si>
  <si>
    <t>(согл. Weißenbach 'Baugruben Teil III', параграф 7.6 и DIN18800 T2 11/90)</t>
  </si>
  <si>
    <t xml:space="preserve">Позиция = </t>
  </si>
  <si>
    <t xml:space="preserve">Сущ. сила в расп. = </t>
  </si>
  <si>
    <t>Угол накл. расп. α =</t>
  </si>
  <si>
    <t>Угол накл. расп. ß =</t>
  </si>
  <si>
    <t>Вертик.</t>
  </si>
  <si>
    <t>Гориз.</t>
  </si>
  <si>
    <t xml:space="preserve">Шаг распорок a = </t>
  </si>
  <si>
    <t xml:space="preserve">Эксцентриситет </t>
  </si>
  <si>
    <t xml:space="preserve">Длина изгиба </t>
  </si>
  <si>
    <t xml:space="preserve">Системное значение: </t>
  </si>
  <si>
    <t xml:space="preserve">Кривые изгиба y/z-ось: </t>
  </si>
  <si>
    <t>Ось</t>
  </si>
  <si>
    <t>Внутр. расчетные усилия:</t>
  </si>
  <si>
    <t xml:space="preserve">Промеж. значения: </t>
  </si>
  <si>
    <t xml:space="preserve">Граничные условия: </t>
  </si>
  <si>
    <t xml:space="preserve">Расчет: </t>
  </si>
  <si>
    <t>Прогиб при изгибе</t>
  </si>
  <si>
    <t>Поверхн. изгиб при кручении</t>
  </si>
  <si>
    <t xml:space="preserve">Расчет скрепл. мет. листов, обв. пояса: </t>
  </si>
  <si>
    <t>тонкость стержня</t>
  </si>
  <si>
    <t>слишком тонкий</t>
  </si>
  <si>
    <t xml:space="preserve">Профиль: </t>
  </si>
  <si>
    <t xml:space="preserve">Тип распорки: </t>
  </si>
  <si>
    <t xml:space="preserve"> berücksichtigt. </t>
  </si>
  <si>
    <t>Protection double</t>
  </si>
  <si>
    <t>prot. de corr. doble</t>
  </si>
  <si>
    <t>Betongurt</t>
  </si>
  <si>
    <t>Poutre de répartition en béton</t>
  </si>
  <si>
    <t>correa de hormigón</t>
  </si>
  <si>
    <t xml:space="preserve">Kopfbalken </t>
  </si>
  <si>
    <t>00202200</t>
  </si>
  <si>
    <t>00202210</t>
  </si>
  <si>
    <t>GEWI 28 mm S500/550</t>
  </si>
  <si>
    <t>00202220</t>
  </si>
  <si>
    <t>GEWI 32 mm S500/550</t>
  </si>
  <si>
    <t>00202230</t>
  </si>
  <si>
    <t>GEWI 40 mm S500/550</t>
  </si>
  <si>
    <t>00202240</t>
  </si>
  <si>
    <t>GEWI 50 mm S500/550</t>
  </si>
  <si>
    <t>00202250</t>
  </si>
  <si>
    <t>GEWI 63 mm S555/700</t>
  </si>
  <si>
    <t>00202260</t>
  </si>
  <si>
    <t>GEWI 28 mm S500/550 doppelter Korrosionschu</t>
  </si>
  <si>
    <t>00202270</t>
  </si>
  <si>
    <t>GEWI 32 mm S500/550 doppelter Korrosionschu</t>
  </si>
  <si>
    <t>00202280</t>
  </si>
  <si>
    <t>GEWI 40 mm S500/550 doppelter Korrosionschu</t>
  </si>
  <si>
    <t>00202290</t>
  </si>
  <si>
    <t>Maßnahmen Zementsteinkorrosion</t>
  </si>
  <si>
    <t>Soll die Ermittlung der Einbindung und Schnittkraftberechnung gestartet werden?</t>
  </si>
  <si>
    <t>Do you want to delete the Section files?</t>
  </si>
  <si>
    <t>Nein - Einlesen abbrechen</t>
  </si>
  <si>
    <t>No - Cancel import</t>
  </si>
  <si>
    <t>layer</t>
  </si>
  <si>
    <t>vertical portion of earth pressure</t>
  </si>
  <si>
    <t>Auflast 7</t>
  </si>
  <si>
    <t>Auflast 8</t>
  </si>
  <si>
    <t>Auflast 9</t>
  </si>
  <si>
    <t>Auflast 10</t>
  </si>
  <si>
    <t>Oberkante Gelände OKG =</t>
  </si>
  <si>
    <t>Schlitzwandtiefe ta =</t>
  </si>
  <si>
    <t>∆length-anchor [m]</t>
  </si>
  <si>
    <t>∆z-Bohr [m]</t>
  </si>
  <si>
    <t>∆z-boring [m]</t>
  </si>
  <si>
    <t>TO-work level</t>
  </si>
  <si>
    <t>Bauer Egypt</t>
  </si>
  <si>
    <t>BAUER Egypt S.A.E • El Mohandseen Cairo • Tel 02-3026083 • Fax 02-3023805</t>
  </si>
  <si>
    <t>BAUER Egypt S.A.E</t>
  </si>
  <si>
    <t>197, 26 July Street
El Mohandseen Cairo, EGYPT 
Telefon (0020) 2-3026083
Telefax (0020) 2-3023805</t>
  </si>
  <si>
    <t xml:space="preserve"> enthaelt Umlaute oder Sonderzeichen. Dies kann in der Pfadbezeichnung oder im Dateinamen sein. Die Eingabe wird wiederholt.</t>
  </si>
  <si>
    <t>определено с помощью анализа потенциальной линии</t>
  </si>
  <si>
    <t>определено с помощью расчета фильтрации, параллельной стене</t>
  </si>
  <si>
    <t xml:space="preserve">При определении активного давления грунта </t>
  </si>
  <si>
    <t>учтено.</t>
  </si>
  <si>
    <t xml:space="preserve"> спереди или перед</t>
  </si>
  <si>
    <t>подошва</t>
  </si>
  <si>
    <t>анализ расчета</t>
  </si>
  <si>
    <t>анализ конструкции</t>
  </si>
  <si>
    <t>число</t>
  </si>
  <si>
    <t>При таких допущениях деформации стены носят оценочный характер.</t>
  </si>
  <si>
    <t xml:space="preserve"> Водопонижение имеет место с </t>
  </si>
  <si>
    <t>система дренажа в уровне дна котлована. Распределение давления воды на стену рассчитано с учетом фильтрации воды.</t>
  </si>
  <si>
    <t>водопонизительные скважины в уровне дна котлована. Распределение давления воды на стену учитывает снижение давления воды к низу водоупора</t>
  </si>
  <si>
    <t>водопонизительные скважины в уровне дна котлована. Распределение давления воды на стену уменьшено из-за наличия фильтрующих отверстий в стене.</t>
  </si>
  <si>
    <t>водопонизительные скважины в уровне дна котлована. Распределение давления воды на стену уменьшено из-за наличия водопонизительных скважин за стеной.</t>
  </si>
  <si>
    <t>Q 424 A</t>
  </si>
  <si>
    <t>Q 524 A</t>
  </si>
  <si>
    <t>Q 636 A</t>
  </si>
  <si>
    <t>R 424 A</t>
  </si>
  <si>
    <t>R 524 A</t>
  </si>
  <si>
    <t>Alfons</t>
  </si>
  <si>
    <t>Alfons.Stotz@bauer.de</t>
  </si>
  <si>
    <t>Calculation assumptions</t>
  </si>
  <si>
    <t>GW reduction</t>
  </si>
  <si>
    <t>N-Bem vertical anchor force</t>
  </si>
  <si>
    <t>Tangent for the load spread of block loads</t>
  </si>
  <si>
    <t>Nachweis gewählte Eingabe</t>
  </si>
  <si>
    <t>Dimensioning of selected input</t>
  </si>
  <si>
    <t xml:space="preserve"> gefunden:</t>
  </si>
  <si>
    <t xml:space="preserve">Result file </t>
  </si>
  <si>
    <t xml:space="preserve">Eingabedatei </t>
  </si>
  <si>
    <t xml:space="preserve">Input file </t>
  </si>
  <si>
    <t xml:space="preserve"> for WINWALLS doesn't exist!</t>
  </si>
  <si>
    <t xml:space="preserve">Die Wandoberkante mit </t>
  </si>
  <si>
    <t>Trägerwand</t>
  </si>
  <si>
    <t>Litzenanker</t>
  </si>
  <si>
    <t>Dauerlitzenanker</t>
  </si>
  <si>
    <t>GEWI</t>
  </si>
  <si>
    <t>GEWI-pile</t>
  </si>
  <si>
    <t>GEWI einfach Korr.schutz</t>
  </si>
  <si>
    <t xml:space="preserve">  поддерживается </t>
  </si>
  <si>
    <t xml:space="preserve"> Промежутки заполнены  </t>
  </si>
  <si>
    <t xml:space="preserve"> Стена поддерживается </t>
  </si>
  <si>
    <t xml:space="preserve"> Дно котлована должно быть водонепроницаемым в этом разрезе. Водонепроницаемость обеспечивается с помощью </t>
  </si>
  <si>
    <t xml:space="preserve"> Устойчивость котлована будет обеспечена с пом. тощего бетона в пределах данного разреза.</t>
  </si>
  <si>
    <t xml:space="preserve"> Геологический разрез принят согласно скважины </t>
  </si>
  <si>
    <t xml:space="preserve"> Определение граничного условия выполняется для нагрузки </t>
  </si>
  <si>
    <t>стеной из свай с заполнением</t>
  </si>
  <si>
    <t>I-z</t>
  </si>
  <si>
    <t>W-z</t>
  </si>
  <si>
    <t>i-z</t>
  </si>
  <si>
    <t>A-q</t>
  </si>
  <si>
    <t>r</t>
  </si>
  <si>
    <t>S-f</t>
  </si>
  <si>
    <t>W-yv</t>
  </si>
  <si>
    <t>A-qv</t>
  </si>
  <si>
    <t>Bohrdurchmesser</t>
  </si>
  <si>
    <t>Wandbreite</t>
  </si>
  <si>
    <t>Träger-/Bohrabstand</t>
  </si>
  <si>
    <t>Fußhöhe</t>
  </si>
  <si>
    <t>HDI-Knick</t>
  </si>
  <si>
    <t>b HDI-Knick</t>
  </si>
  <si>
    <t>b HDI-Sohle</t>
  </si>
  <si>
    <t>b HDI-Sporn</t>
  </si>
  <si>
    <t>OK-Bovena</t>
  </si>
  <si>
    <t>Wandneigung</t>
  </si>
  <si>
    <t>Nagellagen</t>
  </si>
  <si>
    <t>Stützung der Verbauwand</t>
  </si>
  <si>
    <t>Stützung Lage</t>
  </si>
  <si>
    <t>Umlagerung</t>
  </si>
  <si>
    <t>Ankergraben</t>
  </si>
  <si>
    <t>Sohlabstützung</t>
  </si>
  <si>
    <t>Vollaushub</t>
  </si>
  <si>
    <t>Stützung Rückbauzustand</t>
  </si>
  <si>
    <t>Baugrubensohle</t>
  </si>
  <si>
    <t>Sohlenart</t>
  </si>
  <si>
    <t>Ok-Sohle</t>
  </si>
  <si>
    <t>Add. Hor.&amp;vert. punching rft must be placed</t>
  </si>
  <si>
    <t>Author</t>
  </si>
  <si>
    <t>Program</t>
  </si>
  <si>
    <t>Construction</t>
  </si>
  <si>
    <t>Project number</t>
  </si>
  <si>
    <t xml:space="preserve">Exist. Shear </t>
  </si>
  <si>
    <t>Stress=</t>
  </si>
  <si>
    <t>Stress exceeded by</t>
  </si>
  <si>
    <t>Shear stress</t>
  </si>
  <si>
    <t>Load case anchor</t>
  </si>
  <si>
    <t>Safety of strand</t>
  </si>
  <si>
    <t>Locking factor</t>
  </si>
  <si>
    <t>Earth press. at rest portion</t>
  </si>
  <si>
    <t>Anchor position</t>
  </si>
  <si>
    <t>Согласно DIN1054 4.3.2 (2) 7. опорная реакция в грунте определена из разницы давл. грунта и воды, внешней нагрузки, окончательного сопротивления грунта сзади стены и сил в креплениях.</t>
  </si>
  <si>
    <t xml:space="preserve"> Общее давление грунта определены из анализа стены с перераспределенным давлением грунта, сопротивлением грунта и допустимой силы в подошве стены. </t>
  </si>
  <si>
    <t xml:space="preserve">Запас: </t>
  </si>
  <si>
    <t xml:space="preserve">Заглубление T= </t>
  </si>
  <si>
    <r>
      <t xml:space="preserve">Коэф. запаса пассив. давления грунта γ </t>
    </r>
    <r>
      <rPr>
        <vertAlign val="subscript"/>
        <sz val="10"/>
        <rFont val="Arial"/>
        <family val="2"/>
      </rPr>
      <t>Ep</t>
    </r>
    <r>
      <rPr>
        <sz val="10"/>
        <rFont val="Arial"/>
        <family val="2"/>
      </rPr>
      <t xml:space="preserve"> =</t>
    </r>
  </si>
  <si>
    <r>
      <t xml:space="preserve">Соотв. коэф. для пассив. давл. гр.  η </t>
    </r>
    <r>
      <rPr>
        <vertAlign val="subscript"/>
        <sz val="10"/>
        <color indexed="8"/>
        <rFont val="Arial"/>
        <family val="2"/>
      </rPr>
      <t>Ep</t>
    </r>
    <r>
      <rPr>
        <sz val="10"/>
        <color indexed="8"/>
        <rFont val="Arial"/>
        <family val="2"/>
      </rPr>
      <t xml:space="preserve"> =</t>
    </r>
  </si>
  <si>
    <r>
      <t xml:space="preserve">Постоянная нагрузка, коэф. запаса γ </t>
    </r>
    <r>
      <rPr>
        <vertAlign val="subscript"/>
        <sz val="10"/>
        <rFont val="Arial"/>
        <family val="2"/>
      </rPr>
      <t>G</t>
    </r>
    <r>
      <rPr>
        <sz val="10"/>
        <rFont val="Arial"/>
        <family val="2"/>
      </rPr>
      <t xml:space="preserve"> =</t>
    </r>
  </si>
  <si>
    <r>
      <t xml:space="preserve">Коэф. запаса на определ. сил в сечениях для опоры в подошве γ </t>
    </r>
    <r>
      <rPr>
        <vertAlign val="subscript"/>
        <sz val="10"/>
        <rFont val="Arial"/>
        <family val="2"/>
      </rPr>
      <t>S</t>
    </r>
    <r>
      <rPr>
        <sz val="10"/>
        <rFont val="Arial"/>
        <family val="2"/>
      </rPr>
      <t xml:space="preserve"> =</t>
    </r>
  </si>
  <si>
    <t>Нагрузки:</t>
  </si>
  <si>
    <r>
      <t>Пассивное давл. гр. E</t>
    </r>
    <r>
      <rPr>
        <vertAlign val="subscript"/>
        <sz val="10"/>
        <rFont val="Arial"/>
        <family val="2"/>
      </rPr>
      <t>ph</t>
    </r>
    <r>
      <rPr>
        <sz val="10"/>
        <rFont val="Arial"/>
        <family val="2"/>
      </rPr>
      <t xml:space="preserve"> = </t>
    </r>
  </si>
  <si>
    <t>Soll eine Zusammenstellung von Schnitten, Posplan-Grundriss, Kennwerten und Bohrprofilen auf einem A0-Plan erstellt werden, obwohl es eine Weile dauert?</t>
  </si>
  <si>
    <t>exist. horiz. line load</t>
  </si>
  <si>
    <t>(acc. to Weißenbach 'Baugruben Teil III', paragraph 7.6 and DIN18800 T2 11/90)</t>
  </si>
  <si>
    <t xml:space="preserve"> Die Wasserhaltung erfolgt mit </t>
  </si>
  <si>
    <t xml:space="preserve"> The dewatering takes place with </t>
  </si>
  <si>
    <t xml:space="preserve">Dränage auf Höhe der Baugrubensohle. Die Wasserdruckverteilung auf die Verbauwand wird mit einer Umströmungsberechnung ermittelt.
</t>
  </si>
  <si>
    <t>E-uml/E-p/W</t>
  </si>
  <si>
    <t>w/M/Q/Hdruck</t>
  </si>
  <si>
    <t>Bet, bew</t>
  </si>
  <si>
    <t>Contiguos pile wall wih reinforcement in every pile</t>
  </si>
  <si>
    <t>beliebiges statische System</t>
  </si>
  <si>
    <t>Trägerspreizung</t>
  </si>
  <si>
    <t>Gewölberadius:</t>
  </si>
  <si>
    <t>Einwirkung</t>
  </si>
  <si>
    <t>Widerstand</t>
  </si>
  <si>
    <t>zul. Spannung</t>
  </si>
  <si>
    <t>vorh. Spannung</t>
  </si>
  <si>
    <t>PFBW</t>
  </si>
  <si>
    <t>TBW</t>
  </si>
  <si>
    <t>$MIP</t>
  </si>
  <si>
    <t>Keine MIP-Ausfachung!</t>
  </si>
  <si>
    <t xml:space="preserve">H D I - G E W Ö L B E </t>
  </si>
  <si>
    <t xml:space="preserve">M I X E D - I N - P L A C E   A U S F A C H U N G  </t>
  </si>
  <si>
    <t xml:space="preserve">Achsabstand der </t>
  </si>
  <si>
    <t>Spreizung der</t>
  </si>
  <si>
    <t>Breite des horizontalen Gurtes</t>
  </si>
  <si>
    <t xml:space="preserve">Breite der </t>
  </si>
  <si>
    <t>Wandstärke:</t>
  </si>
  <si>
    <t>Statische Höhe:</t>
  </si>
  <si>
    <t>Trägerhöhe:</t>
  </si>
  <si>
    <t>Gewölbehöhe</t>
  </si>
  <si>
    <t xml:space="preserve"> Gewölbe</t>
  </si>
  <si>
    <t xml:space="preserve">Ausfachung </t>
  </si>
  <si>
    <t>Faktor EI</t>
  </si>
  <si>
    <t>GW-Abbau</t>
  </si>
  <si>
    <t>Plan</t>
  </si>
  <si>
    <t>Drawing</t>
  </si>
  <si>
    <t>Dibujo</t>
  </si>
  <si>
    <t>Projekt Nr.</t>
  </si>
  <si>
    <t>Projet no.</t>
  </si>
  <si>
    <t>Proyecto N°</t>
  </si>
  <si>
    <t>Vue en plan</t>
  </si>
  <si>
    <t>Plan de posiciones</t>
  </si>
  <si>
    <t>Scale: without</t>
  </si>
  <si>
    <t>Echelle: ---</t>
  </si>
  <si>
    <t>Escala: ---</t>
  </si>
  <si>
    <t>Plangröße: 1,0 m²</t>
  </si>
  <si>
    <t>Taille du plan 1m2</t>
  </si>
  <si>
    <t>Tamaño del dibujo: 1,0 m²</t>
  </si>
  <si>
    <t>OK-Wand/GOK</t>
  </si>
  <si>
    <t>UK-Wand</t>
  </si>
  <si>
    <t>GW</t>
  </si>
  <si>
    <t>Uk-Dichtwand</t>
  </si>
  <si>
    <t>Berechnungstyp</t>
  </si>
  <si>
    <t>Ausfachung</t>
  </si>
  <si>
    <t>U,breiig</t>
  </si>
  <si>
    <t>Abminderung angeh. Erdkörper</t>
  </si>
  <si>
    <t>Sicherheit Pfahlzug</t>
  </si>
  <si>
    <t>Sicherheit Gleiten</t>
  </si>
  <si>
    <t>Sohle</t>
  </si>
  <si>
    <t>Mantelreibung</t>
  </si>
  <si>
    <t>2) specjalny dokument ze zgoda autora,  3) istnieje oddzielny kontrakt na projekt , nie zaleznie z pracami na budowie.</t>
  </si>
  <si>
    <t>odwierty</t>
  </si>
  <si>
    <t>TypIndex</t>
  </si>
  <si>
    <t>TX Steel</t>
  </si>
  <si>
    <t>Глава</t>
  </si>
  <si>
    <t>Содержание</t>
  </si>
  <si>
    <t>Страницы</t>
  </si>
  <si>
    <t>Основная часть</t>
  </si>
  <si>
    <t>Объяснения</t>
  </si>
  <si>
    <t>Исходные данные</t>
  </si>
  <si>
    <t>Графики</t>
  </si>
  <si>
    <t>Расчет</t>
  </si>
  <si>
    <t>Распечатка</t>
  </si>
  <si>
    <t>Расчеты</t>
  </si>
  <si>
    <t>Последняя страница</t>
  </si>
  <si>
    <t>Разрез 1:</t>
  </si>
  <si>
    <t>основная арматура</t>
  </si>
  <si>
    <t>теоретически подходящий угол</t>
  </si>
  <si>
    <t xml:space="preserve">     C A L C U L A T I O N km - V A L U E S</t>
  </si>
  <si>
    <t xml:space="preserve">     B E R E C H N U N G    D E R   A N K E R L A E N G E  Staffelverbau</t>
  </si>
  <si>
    <t>Рядом с улицей</t>
  </si>
  <si>
    <t>В ГВ</t>
  </si>
  <si>
    <t>Измен. УГВ</t>
  </si>
  <si>
    <t>В море</t>
  </si>
  <si>
    <t>Измен. уровень моря</t>
  </si>
  <si>
    <t>Армирование</t>
  </si>
  <si>
    <t>Химическ.</t>
  </si>
  <si>
    <t>Прочность</t>
  </si>
  <si>
    <t>Класс воздействия</t>
  </si>
  <si>
    <t>Продольная арматура</t>
  </si>
  <si>
    <t>Хомуты</t>
  </si>
  <si>
    <t>Нагрузки и воздействия</t>
  </si>
  <si>
    <t>Сочет. нагр.</t>
  </si>
  <si>
    <t>γEpr,Gr Благопр. пост. воздействия</t>
  </si>
  <si>
    <t xml:space="preserve">γG,dst Неблагопр. пост. воздействия </t>
  </si>
  <si>
    <t>γF Прочность при благопр. подземн. течениях</t>
  </si>
  <si>
    <t>γF Прочность при неблагопр. подземн. течениях</t>
  </si>
  <si>
    <t>BAUER Panama</t>
  </si>
  <si>
    <t>BAUER Fundaciones Panamá, S.A.</t>
  </si>
  <si>
    <t>BAUER Fundaciones Panamá, S.A.  • Corozal West  • Telefon (+507)317-6078 • Fax  (+507)317-6286</t>
  </si>
  <si>
    <t>BAUER Fundaciones Panamá, S.A.
Corozal West
Building 319D
Telefon (+507)317-6078
Fax  (+507)317-6286</t>
  </si>
  <si>
    <t>Input data is missing. The input for wall type doesn't exist!</t>
  </si>
  <si>
    <t>Do you want quit without saving the changes to section ?</t>
  </si>
  <si>
    <r>
      <t>1)</t>
    </r>
    <r>
      <rPr>
        <sz val="10"/>
        <rFont val="Arial"/>
        <family val="2"/>
      </rPr>
      <t xml:space="preserve"> G определяется в уровне дна котлована, учитывая давление воды на подошву стены.</t>
    </r>
  </si>
  <si>
    <t xml:space="preserve">Вертикальные усилия,  направл. вверх: v[кН/м]/фаза </t>
  </si>
  <si>
    <t>Снижание пассивного трения по стенке или возможного негативного отклонения распорок, или достаточной глубины заделки для анкеровки от растягивающих усилий дано в следующих фазах.</t>
  </si>
  <si>
    <t>Нагрузка:</t>
  </si>
  <si>
    <t>Шаг балок</t>
  </si>
  <si>
    <t>Длина стены</t>
  </si>
  <si>
    <t>Разрез в уровне дна  котлована</t>
  </si>
  <si>
    <t>Ниже подошвы стены</t>
  </si>
  <si>
    <t>Ниже дна котлована</t>
  </si>
  <si>
    <t>Толщина (м)</t>
  </si>
  <si>
    <t>Наименование слоя</t>
  </si>
  <si>
    <t xml:space="preserve">Толщина слоя (м) </t>
  </si>
  <si>
    <t>Сцепление c' [KN/m³]</t>
  </si>
  <si>
    <t>Удельный вес грунта γ  [KN/m³]</t>
  </si>
  <si>
    <t>Удельный вес влажн. грунта γ' [KN/m³]</t>
  </si>
  <si>
    <t>Сумма</t>
  </si>
  <si>
    <t xml:space="preserve">Тип подошвы стены: </t>
  </si>
  <si>
    <t>Глубина заделки =</t>
  </si>
  <si>
    <t>Площадь плиты</t>
  </si>
  <si>
    <t>Коэффициент запаса несущей способности</t>
  </si>
  <si>
    <t>Фактор формы для круга</t>
  </si>
  <si>
    <t>Пояснение</t>
  </si>
  <si>
    <t>Пояснения</t>
  </si>
  <si>
    <t>Введение</t>
  </si>
  <si>
    <t>План</t>
  </si>
  <si>
    <t>Количество</t>
  </si>
  <si>
    <t>Сопр. письмо</t>
  </si>
  <si>
    <t>стр. 1</t>
  </si>
  <si>
    <t>№ раздела 1</t>
  </si>
  <si>
    <t>Пуст.строки TXT</t>
  </si>
  <si>
    <t>Номер стр.</t>
  </si>
  <si>
    <t>Процент белого</t>
  </si>
  <si>
    <t>Высота букв текста</t>
  </si>
  <si>
    <t>Давление воды</t>
  </si>
  <si>
    <t>Заливка площадей</t>
  </si>
  <si>
    <t>blad kata</t>
  </si>
  <si>
    <t>profile rozpor</t>
  </si>
  <si>
    <t>dlugosc rozpor dla masy</t>
  </si>
  <si>
    <t xml:space="preserve">     C A L C U L A T I O N   A N C H O R   L E N G T H</t>
  </si>
  <si>
    <t xml:space="preserve">     B E R E C H N U N G    D E R   G E L A E N D E B R U C H S I C H E R H E I T</t>
  </si>
  <si>
    <t>KD VI/6</t>
  </si>
  <si>
    <t>KD VI/8</t>
  </si>
  <si>
    <r>
      <t>Mantelreibungsfläche A</t>
    </r>
    <r>
      <rPr>
        <vertAlign val="subscript"/>
        <sz val="10"/>
        <rFont val="Arial"/>
        <family val="2"/>
      </rPr>
      <t>m</t>
    </r>
    <r>
      <rPr>
        <sz val="10"/>
        <rFont val="Arial"/>
        <family val="2"/>
      </rPr>
      <t xml:space="preserve"> =</t>
    </r>
  </si>
  <si>
    <t>maximale Querkraft:</t>
  </si>
  <si>
    <t>zugehörig. Moment:</t>
  </si>
  <si>
    <t>WallMann ist bei der Arbeit behindert       USEROK??</t>
  </si>
  <si>
    <t>Programmfehler: Wenden Sie sich an den Betreue                                                            r</t>
  </si>
  <si>
    <t>zug. Vertikalkraft</t>
  </si>
  <si>
    <t>minimale Querkraft:</t>
  </si>
  <si>
    <t>Teilsicherheitsbeiwerte</t>
  </si>
  <si>
    <t>Schnitt 1 :</t>
  </si>
  <si>
    <t>Waler</t>
  </si>
  <si>
    <t>exist. σ cut off slab</t>
  </si>
  <si>
    <t>allowbl. σ cut off slab</t>
  </si>
  <si>
    <t>allowbl. τ cut off slab</t>
  </si>
  <si>
    <t>there is a incorrect data value</t>
  </si>
  <si>
    <t>TW MOP = MOP-Wand mit mittig angeordneten Trägern</t>
  </si>
  <si>
    <t xml:space="preserve">Unterfangung = Unterfangung mit Hochdruckinjektion </t>
  </si>
  <si>
    <t>Bodenvernagelung = Bodenvernagelung</t>
  </si>
  <si>
    <t>Statical calculation for retaining works</t>
  </si>
  <si>
    <t>$GMIP</t>
  </si>
  <si>
    <t xml:space="preserve">voll </t>
  </si>
  <si>
    <t xml:space="preserve">Bei der Ermittlung des aktiven Erddruckes werden </t>
  </si>
  <si>
    <t xml:space="preserve"> und </t>
  </si>
  <si>
    <t xml:space="preserve"> and </t>
  </si>
  <si>
    <t xml:space="preserve">Ruhedruckanteile von </t>
  </si>
  <si>
    <t xml:space="preserve"> bis </t>
  </si>
  <si>
    <t xml:space="preserve"> to </t>
  </si>
  <si>
    <t xml:space="preserve">Ruhedruckanteile bis zu </t>
  </si>
  <si>
    <t xml:space="preserve">Wegen baulicher Anlagen werden </t>
  </si>
  <si>
    <t xml:space="preserve">Because of constructional components the </t>
  </si>
  <si>
    <t>BAUER-Straße 1</t>
  </si>
  <si>
    <t>BAUER-Straße 1, Postfach 1260
86522 Schrobenhausen
Telefon (08252)97-0
Telefax (08252)97-1359</t>
  </si>
  <si>
    <t xml:space="preserve">Wandober- oder -unterkante. Die zulässige Verbundspannung wird nach DIN 41014 Tabelle 9 wie für weichen Fels auf der sicheren Seite in Ansatz gebracht.  Sofern die Verbundspannungen des  Trägers nicht ausreichend niedrig sind, </t>
  </si>
  <si>
    <t>PFMIPhalberdseitig = Pfahlbohlwand mit auf Vorderkante auf Pfahlachse erdseitig angeordneter MIP-Ausfachung</t>
  </si>
  <si>
    <t>The section forces M and N are split up between the beam and the MIP-wall under the consideration of the equilibrium. The stress on the edge of MIP-wall is chosen with regard to the stress on the edge of the beam becoming minimal.</t>
  </si>
  <si>
    <t xml:space="preserve">Soll die Positionsplandateizusammenstellung unter dem Namen </t>
  </si>
  <si>
    <t>Grenzzustandsbedingungen nach dem Verfahren Elastisch-Plastisch DIN18800 T1 für LF</t>
  </si>
  <si>
    <t>Spundwandprofil</t>
  </si>
  <si>
    <t>Plastische Bemessung</t>
  </si>
  <si>
    <t>$TMIP</t>
  </si>
  <si>
    <t>Keine MIP-Trägerwand!</t>
  </si>
  <si>
    <t xml:space="preserve">M I P -  T R Ä G E R B E M E S S U N G  Schnitt </t>
  </si>
  <si>
    <t>zug. Querkraft:</t>
  </si>
  <si>
    <t xml:space="preserve">Die Bemessung erfolgt unter Berücksichtigung des Zusammenwirkens des Trägers mit der MIP-Wand in vertikaler Richtung. </t>
  </si>
  <si>
    <t>foraj</t>
  </si>
  <si>
    <t>cota inf. perete etansare</t>
  </si>
  <si>
    <t>cota inf. Piloti nearmati</t>
  </si>
  <si>
    <t>parte de beton nearmat D=</t>
  </si>
  <si>
    <t>foraj D=</t>
  </si>
  <si>
    <t>foraj MIP D=</t>
  </si>
  <si>
    <t>Mortar D=</t>
  </si>
  <si>
    <t>подошва неармированных свай</t>
  </si>
  <si>
    <t>бетонная заглушка для сваи D=</t>
  </si>
  <si>
    <t>буровая скважина D=</t>
  </si>
  <si>
    <t>буровая скважина MIP D=</t>
  </si>
  <si>
    <t>песчаная основа для сваи D=</t>
  </si>
  <si>
    <t>подпорная стена из свай D=</t>
  </si>
  <si>
    <t>торкретбетон d=</t>
  </si>
  <si>
    <t>уровень низа арматурного каркаса</t>
  </si>
  <si>
    <t>Necess. length single pile</t>
  </si>
  <si>
    <t>Intermediate calculation soil</t>
  </si>
  <si>
    <t>exist. τ cut off slab</t>
  </si>
  <si>
    <t>Skin friction</t>
  </si>
  <si>
    <t>Stability against sliding</t>
  </si>
  <si>
    <t>Saftey factor pile tension</t>
  </si>
  <si>
    <t xml:space="preserve">Reduction concern. Earth body </t>
  </si>
  <si>
    <t>Reduction wall/cut off slab</t>
  </si>
  <si>
    <t>Optimization anchor</t>
  </si>
  <si>
    <t>Sum of tolerances</t>
  </si>
  <si>
    <t>Head plate</t>
  </si>
  <si>
    <t>Strength of cut off slab</t>
  </si>
  <si>
    <t>Hor. support force slab</t>
  </si>
  <si>
    <t>Specif. weight pile uplift</t>
  </si>
  <si>
    <t>Diameter tension pile</t>
  </si>
  <si>
    <t>Top of Injected cut off slab</t>
  </si>
  <si>
    <t>Unloading per pile internal load carrying capacity</t>
  </si>
  <si>
    <t>Reduction per pile</t>
  </si>
  <si>
    <t>Reduction regarding the area of the slab</t>
  </si>
  <si>
    <t>Decisive reduction</t>
  </si>
  <si>
    <t>Reduction per pile of the affixed soil body</t>
  </si>
  <si>
    <t>max Reduction of arch effect of the slab</t>
  </si>
  <si>
    <t>Reduction of affixed soil body</t>
  </si>
  <si>
    <t>Half width of excavation</t>
  </si>
  <si>
    <t>Wall weight</t>
  </si>
  <si>
    <t>Wall data</t>
  </si>
  <si>
    <t>Analysis for influence of wall on the tension piles</t>
  </si>
  <si>
    <t xml:space="preserve">Limit coefficient of friction </t>
  </si>
  <si>
    <t>00201080</t>
  </si>
  <si>
    <t>00201090</t>
  </si>
  <si>
    <t>00202</t>
  </si>
  <si>
    <t>Clay,hard</t>
  </si>
  <si>
    <t>Clay,stiff</t>
  </si>
  <si>
    <t>Clay,firm</t>
  </si>
  <si>
    <t>Clay,soft</t>
  </si>
  <si>
    <t>Clay,very soft</t>
  </si>
  <si>
    <t>Marl,hard</t>
  </si>
  <si>
    <t>Marl,stiff</t>
  </si>
  <si>
    <t>Marl,firm</t>
  </si>
  <si>
    <t>Marl,soft</t>
  </si>
  <si>
    <t>Marl,very soft</t>
  </si>
  <si>
    <t>Fill</t>
  </si>
  <si>
    <t>Organic,firm</t>
  </si>
  <si>
    <t>Organic,soft</t>
  </si>
  <si>
    <t>Peat</t>
  </si>
  <si>
    <t>Mud, sapropel</t>
  </si>
  <si>
    <t>Rock,very hard</t>
  </si>
  <si>
    <t>Rock,hard</t>
  </si>
  <si>
    <t>Rock,soft</t>
  </si>
  <si>
    <t>Blocks</t>
  </si>
  <si>
    <t>Top soil</t>
  </si>
  <si>
    <t>Loam</t>
  </si>
  <si>
    <t>Debris</t>
  </si>
  <si>
    <t>Boulder clay</t>
  </si>
  <si>
    <t>Loess</t>
  </si>
  <si>
    <t>Clay/Sea silt</t>
  </si>
  <si>
    <t>Lake marl, chalk</t>
  </si>
  <si>
    <t>Varved clay</t>
  </si>
  <si>
    <t>Volcanic ash</t>
  </si>
  <si>
    <t>Brown coal</t>
  </si>
  <si>
    <t>Waste</t>
  </si>
  <si>
    <t>Plain concrete</t>
  </si>
  <si>
    <t>Masonry</t>
  </si>
  <si>
    <t>Steel</t>
  </si>
  <si>
    <t>Timber</t>
  </si>
  <si>
    <t>Groud water</t>
  </si>
  <si>
    <t>Masonary</t>
  </si>
  <si>
    <t>Напряжение сдвига</t>
  </si>
  <si>
    <t xml:space="preserve">Сочет. нагр. на анкер </t>
  </si>
  <si>
    <t xml:space="preserve">Коэф. зап. канатов </t>
  </si>
  <si>
    <t xml:space="preserve">Коэф. блокир. усилия </t>
  </si>
  <si>
    <t xml:space="preserve">Часть пассивного давл. грунта </t>
  </si>
  <si>
    <t>Расположение анкера</t>
  </si>
  <si>
    <t>Расположение   z</t>
  </si>
  <si>
    <t>Угол наклона анкера</t>
  </si>
  <si>
    <t xml:space="preserve">Шаг анкеров </t>
  </si>
  <si>
    <t>Площ. попер. сеч. анкера</t>
  </si>
  <si>
    <r>
      <t xml:space="preserve">Сущ. горизонт. опорная сила </t>
    </r>
    <r>
      <rPr>
        <vertAlign val="superscript"/>
        <sz val="10"/>
        <rFont val="Arial"/>
        <family val="2"/>
      </rPr>
      <t>1)</t>
    </r>
  </si>
  <si>
    <r>
      <t>Сущ. анкерная сила E</t>
    </r>
    <r>
      <rPr>
        <vertAlign val="subscript"/>
        <sz val="10"/>
        <rFont val="Arial"/>
        <family val="2"/>
      </rPr>
      <t>k</t>
    </r>
  </si>
  <si>
    <t>Интерпретация в соответствии с</t>
  </si>
  <si>
    <t>Расчет элементов натяжения</t>
  </si>
  <si>
    <r>
      <t>Нагрузка E</t>
    </r>
    <r>
      <rPr>
        <vertAlign val="subscript"/>
        <sz val="10"/>
        <rFont val="Arial"/>
        <family val="2"/>
      </rPr>
      <t>d</t>
    </r>
  </si>
  <si>
    <r>
      <t>Сопрот. R</t>
    </r>
    <r>
      <rPr>
        <vertAlign val="subscript"/>
        <sz val="10"/>
        <rFont val="Arial"/>
        <family val="2"/>
      </rPr>
      <t>i,d</t>
    </r>
  </si>
  <si>
    <r>
      <t>Граничное условие E</t>
    </r>
    <r>
      <rPr>
        <vertAlign val="subscript"/>
        <sz val="10"/>
        <rFont val="Arial"/>
        <family val="2"/>
      </rPr>
      <t>d</t>
    </r>
    <r>
      <rPr>
        <sz val="10"/>
        <rFont val="Arial"/>
        <family val="2"/>
      </rPr>
      <t>&lt;R</t>
    </r>
    <r>
      <rPr>
        <vertAlign val="subscript"/>
        <sz val="10"/>
        <rFont val="Arial"/>
        <family val="2"/>
      </rPr>
      <t>i,d</t>
    </r>
  </si>
  <si>
    <r>
      <t>Нагр. при испыт. на пригодн. R</t>
    </r>
    <r>
      <rPr>
        <vertAlign val="subscript"/>
        <sz val="10"/>
        <rFont val="Arial"/>
        <family val="2"/>
      </rPr>
      <t>a,k</t>
    </r>
    <r>
      <rPr>
        <sz val="10"/>
        <rFont val="Arial"/>
        <family val="2"/>
      </rPr>
      <t xml:space="preserve"> [KN] / Эксплуатация [%]</t>
    </r>
  </si>
  <si>
    <r>
      <t>Нагр. при прием. испыт. P</t>
    </r>
    <r>
      <rPr>
        <vertAlign val="subscript"/>
        <sz val="10"/>
        <rFont val="Arial"/>
        <family val="2"/>
      </rPr>
      <t>p</t>
    </r>
    <r>
      <rPr>
        <sz val="10"/>
        <rFont val="Arial"/>
        <family val="2"/>
      </rPr>
      <t xml:space="preserve"> [KN] / Эксплуатация [%]</t>
    </r>
  </si>
  <si>
    <t>Проверка на пригод. при пред. напряж.</t>
  </si>
  <si>
    <t>Konstruktive</t>
  </si>
  <si>
    <t>Structural</t>
  </si>
  <si>
    <t>Kein Eta-T Nachweis angefordert!</t>
  </si>
  <si>
    <t>Dehungszustand =</t>
  </si>
  <si>
    <t>$PfG</t>
  </si>
  <si>
    <t>wartosc konserwatywna</t>
  </si>
  <si>
    <t>AZ 13</t>
  </si>
  <si>
    <t>AZ 14</t>
  </si>
  <si>
    <t>AZ 17</t>
  </si>
  <si>
    <t>AZ 18</t>
  </si>
  <si>
    <t>AZ 19</t>
  </si>
  <si>
    <t>AZ 25</t>
  </si>
  <si>
    <t>AZ 26</t>
  </si>
  <si>
    <t>AZ 28</t>
  </si>
  <si>
    <t>00402080</t>
  </si>
  <si>
    <t>00402090</t>
  </si>
  <si>
    <t>00402100</t>
  </si>
  <si>
    <t>00402110</t>
  </si>
  <si>
    <t>00402120</t>
  </si>
  <si>
    <t>T,fest</t>
  </si>
  <si>
    <t>T,halbfest</t>
  </si>
  <si>
    <t>T,steif</t>
  </si>
  <si>
    <t>T,weich</t>
  </si>
  <si>
    <t>T,breiig</t>
  </si>
  <si>
    <t>Mg,fest</t>
  </si>
  <si>
    <t>Mg,halbfest</t>
  </si>
  <si>
    <t>Mg,steif</t>
  </si>
  <si>
    <t>Mg,weich</t>
  </si>
  <si>
    <t>Mg,breig</t>
  </si>
  <si>
    <t>A</t>
  </si>
  <si>
    <t>TBMIPearthside = Стена из балки, помещенной в бетон, и заполнения MIP со стороны грунта</t>
  </si>
  <si>
    <t>SPW = Шпунтовая стенка</t>
  </si>
  <si>
    <t>SPWinsert = Шпунтовая стенка, помещенная в трашею</t>
  </si>
  <si>
    <t>SPWwaler = Шпунтовая стенка с обвязочной балкой</t>
  </si>
  <si>
    <t>furas</t>
  </si>
  <si>
    <t xml:space="preserve">Угол отклонения при установке </t>
  </si>
  <si>
    <t>Эффект. угол со стороны грунта и котлована   ß</t>
  </si>
  <si>
    <t xml:space="preserve">Табл. групп грунтов </t>
  </si>
  <si>
    <t xml:space="preserve">№ </t>
  </si>
  <si>
    <t>Сокращ.</t>
  </si>
  <si>
    <t>Имя</t>
  </si>
  <si>
    <t xml:space="preserve">Камень </t>
  </si>
  <si>
    <t>Щебень, пл.</t>
  </si>
  <si>
    <t>Щебень, ср. пл.</t>
  </si>
  <si>
    <t>Щебень, неупл.</t>
  </si>
  <si>
    <t>Песок, пл.</t>
  </si>
  <si>
    <t>Песок, ср. пл.</t>
  </si>
  <si>
    <t>Песок, рых.</t>
  </si>
  <si>
    <t>Ил, тв.</t>
  </si>
  <si>
    <t>Ил, полутв.</t>
  </si>
  <si>
    <t>Ил, тугопласт.</t>
  </si>
  <si>
    <t>Ил, мягк.</t>
  </si>
  <si>
    <t>Ил, пластич.</t>
  </si>
  <si>
    <t>Глина, тв.</t>
  </si>
  <si>
    <t>Глина, полутв.</t>
  </si>
  <si>
    <t>Глина, тугопласт.</t>
  </si>
  <si>
    <t>Глина, мягк.</t>
  </si>
  <si>
    <t>Глина, пласт.</t>
  </si>
  <si>
    <t>Обр. зас. с примесями</t>
  </si>
  <si>
    <t>Органика, тв</t>
  </si>
  <si>
    <t>Органика, мягк.</t>
  </si>
  <si>
    <t>Торф</t>
  </si>
  <si>
    <t>Сапропель</t>
  </si>
  <si>
    <t>Илы</t>
  </si>
  <si>
    <t xml:space="preserve">Мусор </t>
  </si>
  <si>
    <t>Железобетон</t>
  </si>
  <si>
    <t>Бетон</t>
  </si>
  <si>
    <t>Дерево</t>
  </si>
  <si>
    <t xml:space="preserve">Грунтовые воды </t>
  </si>
  <si>
    <t>система 1:1</t>
  </si>
  <si>
    <t>система 1:3</t>
  </si>
  <si>
    <t>система 1:5</t>
  </si>
  <si>
    <t>HPI, существ. Sig=</t>
  </si>
  <si>
    <t>МОР</t>
  </si>
  <si>
    <t>касательный</t>
  </si>
  <si>
    <t>колодец</t>
  </si>
  <si>
    <t>колодец для слива воды</t>
  </si>
  <si>
    <t>иглофильтр</t>
  </si>
  <si>
    <t>проемы в стене</t>
  </si>
  <si>
    <t>простая защита от коррозии</t>
  </si>
  <si>
    <t>двойная защита от коррозии</t>
  </si>
  <si>
    <t>Structural system and</t>
  </si>
  <si>
    <t>Spacing of soldier beams</t>
  </si>
  <si>
    <t>distance between pair elements</t>
  </si>
  <si>
    <t>Width of beams</t>
  </si>
  <si>
    <t>Span:</t>
  </si>
  <si>
    <t>Beam:</t>
  </si>
  <si>
    <t xml:space="preserve"> Double beam</t>
  </si>
  <si>
    <t>Single beam</t>
  </si>
  <si>
    <t>Traffic</t>
  </si>
  <si>
    <t>Dead load</t>
  </si>
  <si>
    <t>Reduction after</t>
  </si>
  <si>
    <t>Proposed:</t>
  </si>
  <si>
    <t>Temporär</t>
  </si>
  <si>
    <t>Kein</t>
  </si>
  <si>
    <t>Schwacher</t>
  </si>
  <si>
    <t>Mäßiger</t>
  </si>
  <si>
    <t>Starker</t>
  </si>
  <si>
    <t>Bodenfeuchte</t>
  </si>
  <si>
    <t xml:space="preserve">Длина дуги для армирования </t>
  </si>
  <si>
    <t>треб. количество арматуры</t>
  </si>
  <si>
    <t>1. Армир. со ст. котл.</t>
  </si>
  <si>
    <t>2. Армир. со ст. грунта</t>
  </si>
  <si>
    <t>3. Армир. основания</t>
  </si>
  <si>
    <t xml:space="preserve">Отдельн. стержни </t>
  </si>
  <si>
    <t>Стержни/слои</t>
  </si>
  <si>
    <t>Слои</t>
  </si>
  <si>
    <t>Конструктивный элемент:</t>
  </si>
  <si>
    <t>Требуется больше поперечн. арматуры</t>
  </si>
  <si>
    <t>Длина сваи</t>
  </si>
  <si>
    <t xml:space="preserve">Спираль, шаг </t>
  </si>
  <si>
    <t>g- конструктивная</t>
  </si>
  <si>
    <t>Дуга</t>
  </si>
  <si>
    <t>Макс. размер арматуры / дуги</t>
  </si>
  <si>
    <t>Выкл.</t>
  </si>
  <si>
    <t xml:space="preserve"> с помещенными стальными балками</t>
  </si>
  <si>
    <t>Feuchträume</t>
  </si>
  <si>
    <t xml:space="preserve"> Berechnung Ankerlaenge</t>
  </si>
  <si>
    <t xml:space="preserve">     B E R E C H N U N G    D E R   E I N B I N D E T I E F E</t>
  </si>
  <si>
    <t xml:space="preserve">     C A L C U L A T I O N   E M B E D M E N T   D E P T H</t>
  </si>
  <si>
    <t>L-przekroj-15-[m]</t>
  </si>
  <si>
    <t>trapez</t>
  </si>
  <si>
    <t>faza ostateczna</t>
  </si>
  <si>
    <t>powietrze</t>
  </si>
  <si>
    <t>woda</t>
  </si>
  <si>
    <t>beton podkladowy</t>
  </si>
  <si>
    <t>rura / przegroda</t>
  </si>
  <si>
    <t>beton piaskowy D=</t>
  </si>
  <si>
    <t>index przekrojow</t>
  </si>
  <si>
    <t>PF1:1&amp;wstawka</t>
  </si>
  <si>
    <t>RTBW drewno</t>
  </si>
  <si>
    <t>BTBW drewno</t>
  </si>
  <si>
    <t>BTBW beton natryskowy</t>
  </si>
  <si>
    <t>TBMIP centralny</t>
  </si>
  <si>
    <t>TBMIPstrona ziemi</t>
  </si>
  <si>
    <t>SPW opaska</t>
  </si>
  <si>
    <t>PF beton natryskowy</t>
  </si>
  <si>
    <t>permanent anchorhead to 600 kN</t>
  </si>
  <si>
    <t>permanent anchorhead to 1000 kN</t>
  </si>
  <si>
    <t>permanent anchorhead to 1400 kN</t>
  </si>
  <si>
    <t>anchor tension members</t>
  </si>
  <si>
    <t>temporary strand anchor 2*0,6" S1570/1770</t>
  </si>
  <si>
    <t>temporary strand anchor 3*0,6" S1570/1770</t>
  </si>
  <si>
    <t>temporary strand anchor 4*0,6" S1570/1770</t>
  </si>
  <si>
    <t>temporary strand anchor 5*0,6" S1570/1770</t>
  </si>
  <si>
    <t>temporary strand anchor 6*0,6" S1570/1770</t>
  </si>
  <si>
    <t>temporary strand anchor 7*0,6" S1570/1770</t>
  </si>
  <si>
    <t>temporary strand anchor 8*0,6" S1570/1770</t>
  </si>
  <si>
    <t>temporary strand anchor 9*0,6" S1570/1770</t>
  </si>
  <si>
    <t>temporary strand anchor 10*0,6" S1570/1770</t>
  </si>
  <si>
    <t>temporary strand anchor 11*0,6" S1570/1770</t>
  </si>
  <si>
    <t>permaneter strand anchor 2*0,6" S1570/1770</t>
  </si>
  <si>
    <t>permaneter strand anchor 3*0,6" S1570/1770</t>
  </si>
  <si>
    <t>permaneter strand anchor 4*0,6" S1570/1770</t>
  </si>
  <si>
    <t>permaneter strand anchor 5*0,6" S1570/1770</t>
  </si>
  <si>
    <t>permaneter strand anchor 6*0,6" S1570/1770</t>
  </si>
  <si>
    <t>permaneter strand anchor 7*0,6" S1570/1770</t>
  </si>
  <si>
    <t>permaneter strand anchor 8*0,6" S1570/1770</t>
  </si>
  <si>
    <t>permaneter strand anchor 9*0,6" S1570/1770</t>
  </si>
  <si>
    <t>permaneter strand anchor 10*0,6" S1570/1770</t>
  </si>
  <si>
    <t>permaneter strand anchor 11*0,6" S1570/1770</t>
  </si>
  <si>
    <t>mono bar anchor 18,0 mm S950/1030</t>
  </si>
  <si>
    <t>mono bar anchor 26,5 mm S950/1030</t>
  </si>
  <si>
    <t>mono bar anchor 32,0 mm S950/1030</t>
  </si>
  <si>
    <t>mono bar anchor 36,0 mm S950/1030</t>
  </si>
  <si>
    <t>mono bar anchor 40,0 mm S950/1030</t>
  </si>
  <si>
    <t>compression tube anchor 26,5 mm S950/1030</t>
  </si>
  <si>
    <t>compression tube anchor 32 mm S950/1030</t>
  </si>
  <si>
    <t>compression tube anchor 36 mm S950/1030</t>
  </si>
  <si>
    <t>compression tube anchor 18,0 mm S950/1029</t>
  </si>
  <si>
    <t>compression tube anchor 40 mm S950/1031</t>
  </si>
  <si>
    <t>anchor boring</t>
  </si>
  <si>
    <t xml:space="preserve"> boring Kelly</t>
  </si>
  <si>
    <t>nur der montage !!!</t>
  </si>
  <si>
    <t>softgel</t>
  </si>
  <si>
    <t xml:space="preserve">boring incl. montage &lt;15 m, soil normal </t>
  </si>
  <si>
    <t xml:space="preserve">boring incl. montage &lt;20 m, soil normal </t>
  </si>
  <si>
    <t xml:space="preserve">boring incl. montage &lt;30 m, soil normal </t>
  </si>
  <si>
    <t xml:space="preserve">boring incl. montage &lt;40 m, soil normal </t>
  </si>
  <si>
    <t xml:space="preserve">boring incl. montage &lt;50 m, soil normal </t>
  </si>
  <si>
    <t xml:space="preserve">boring incl. montage &lt;15 m, rock soft </t>
  </si>
  <si>
    <t xml:space="preserve">boring incl. montage &lt;20 m, rock soft </t>
  </si>
  <si>
    <t xml:space="preserve">boring incl. montage &lt;30 m, rock soft </t>
  </si>
  <si>
    <t xml:space="preserve">boring incl. montage &lt;40 m, rock soft </t>
  </si>
  <si>
    <t xml:space="preserve">boring incl. montage &lt;50 m, rock soft </t>
  </si>
  <si>
    <t xml:space="preserve">boring incl. montage &lt;15 m, rock hard </t>
  </si>
  <si>
    <t xml:space="preserve">boring incl. montage &lt;20 m, rock hard </t>
  </si>
  <si>
    <t xml:space="preserve">boring incl. montage &lt;30 m, rock hard </t>
  </si>
  <si>
    <t xml:space="preserve">boring incl. montage &lt;40 m, rock hard </t>
  </si>
  <si>
    <t xml:space="preserve">boring incl. montage &lt;50 m, rock hard </t>
  </si>
  <si>
    <t>Add. cost  boring Add. cost GW for SPW</t>
  </si>
  <si>
    <t>Add. cost  boring Add. cost GW for PFW</t>
  </si>
  <si>
    <t>Add. cost  boring Add. cost GW for SW</t>
  </si>
  <si>
    <t>max. 6 m water pressure !!!</t>
  </si>
  <si>
    <t>struts, walers</t>
  </si>
  <si>
    <t>steel</t>
  </si>
  <si>
    <t>montage struts/walers H-profil S235</t>
  </si>
  <si>
    <t>montage struts/walers H-profil S355</t>
  </si>
  <si>
    <t>montage struts/walers U-profil S235</t>
  </si>
  <si>
    <t>montage struts/walers U-profil S355</t>
  </si>
  <si>
    <t>montage struts/walers L-profil S235</t>
  </si>
  <si>
    <t>montage struts/walers L-profil S355</t>
  </si>
  <si>
    <t>concrete</t>
  </si>
  <si>
    <t>Spritzconcretegewölbe</t>
  </si>
  <si>
    <t>incl. concrete</t>
  </si>
  <si>
    <t>excl. concrete</t>
  </si>
  <si>
    <t>Unterwasserconcrete</t>
  </si>
  <si>
    <t>demolition struts/walers steel</t>
  </si>
  <si>
    <t>production einer softgelsohle</t>
  </si>
  <si>
    <t>production einer HDI-Sohle tief</t>
  </si>
  <si>
    <t>production einer Unterwasserconcretesohle</t>
  </si>
  <si>
    <t>production concrete struts</t>
  </si>
  <si>
    <t>montage von concretesteel</t>
  </si>
  <si>
    <t>Demolition reinforced concrete</t>
  </si>
  <si>
    <t>material steel</t>
  </si>
  <si>
    <t>material</t>
  </si>
  <si>
    <t>montage struts tube profil S235</t>
  </si>
  <si>
    <t>montage struts tube profil S355</t>
  </si>
  <si>
    <t>berlin type wallsTBW</t>
  </si>
  <si>
    <t xml:space="preserve">truss beams/ rft cages MIP  </t>
  </si>
  <si>
    <t xml:space="preserve"> boring Kelly D=620 mm to soft rock</t>
  </si>
  <si>
    <t xml:space="preserve"> boring Kelly D=750 mm to soft rock</t>
  </si>
  <si>
    <t xml:space="preserve"> boring Kelly D=880 mm to soft rock</t>
  </si>
  <si>
    <t xml:space="preserve"> boring Kelly D=1180 mm to soft rock</t>
  </si>
  <si>
    <t xml:space="preserve"> boring Kelly D=620 mm hard rock</t>
  </si>
  <si>
    <t xml:space="preserve"> boring Kelly D=750 mm hard rock</t>
  </si>
  <si>
    <t xml:space="preserve"> boring Kelly D=880 mm hard rock</t>
  </si>
  <si>
    <t xml:space="preserve"> boring Kelly D=1180 mm hard rock</t>
  </si>
  <si>
    <t xml:space="preserve"> boring SOB D=620 mm to soft rock</t>
  </si>
  <si>
    <t xml:space="preserve"> boring SOB D=750 mm to soft rock</t>
  </si>
  <si>
    <t xml:space="preserve"> boring SOB D=880 mm to soft rock</t>
  </si>
  <si>
    <t xml:space="preserve"> boring SOB D=1180 mm to soft rock</t>
  </si>
  <si>
    <t xml:space="preserve"> boring Kelly D=620 mm very hard rock</t>
  </si>
  <si>
    <t xml:space="preserve"> boring Kelly D=750 mm very hard rock</t>
  </si>
  <si>
    <t xml:space="preserve"> boring Kelly D=880 mm very hard rock</t>
  </si>
  <si>
    <t xml:space="preserve"> boring Kelly D=1180 mm very hard rock</t>
  </si>
  <si>
    <t xml:space="preserve"> boring MIP</t>
  </si>
  <si>
    <t xml:space="preserve"> boring MIP D=550</t>
  </si>
  <si>
    <t xml:space="preserve"> boring MIP D=630</t>
  </si>
  <si>
    <t xml:space="preserve"> boring MIP D=750</t>
  </si>
  <si>
    <t xml:space="preserve"> boring MIP D=880</t>
  </si>
  <si>
    <t>Spritzconcretefilling d= 10 cm</t>
  </si>
  <si>
    <t>Spritzconcretefilling d= 15 cm</t>
  </si>
  <si>
    <t>Spritzconcretefilling d= 20 cm</t>
  </si>
  <si>
    <t>Spritzconcretefilling d= 25 cm</t>
  </si>
  <si>
    <t>filling</t>
  </si>
  <si>
    <t>anchorhead to 600 kN ander groand water table</t>
  </si>
  <si>
    <t>anchorhead to 1000 kN ander groand water table</t>
  </si>
  <si>
    <t>anchorhead to 1400 kN ander groand water table</t>
  </si>
  <si>
    <t xml:space="preserve">head over groandwater </t>
  </si>
  <si>
    <t>Add. cost  boring Kelly ander groand water table</t>
  </si>
  <si>
    <t>incl. material and montage</t>
  </si>
  <si>
    <t>MIP-walls</t>
  </si>
  <si>
    <t>MIP-walls D= 400 mm qu=5</t>
  </si>
  <si>
    <t>MIP-walls D= 400 mm qu=7,5</t>
  </si>
  <si>
    <t>MIP-walls D= 400 mm qu=10</t>
  </si>
  <si>
    <t>MIP-walls D= 400 mm qu=12,5</t>
  </si>
  <si>
    <t>MIP-walls D= 550 mm qu=5</t>
  </si>
  <si>
    <t>MIP-walls D= 550 mm qu=7,5</t>
  </si>
  <si>
    <t>MIP-walls D= 550 mm qu=10</t>
  </si>
  <si>
    <t>MIP-walls D= 550 mm qu=12,5</t>
  </si>
  <si>
    <t>Spandwalls</t>
  </si>
  <si>
    <t>Schlitzwalls</t>
  </si>
  <si>
    <t>timber filling d= 8cm</t>
  </si>
  <si>
    <t>timber filling d= 10 cm</t>
  </si>
  <si>
    <t>timber filling d= 12 cm</t>
  </si>
  <si>
    <t>timber filling d= 14 cm</t>
  </si>
  <si>
    <t>timber filling d= 16 cm</t>
  </si>
  <si>
    <t>in sand and gravel</t>
  </si>
  <si>
    <t>in silt, very limited!!!!</t>
  </si>
  <si>
    <t>bentonite cement walls</t>
  </si>
  <si>
    <t xml:space="preserve">bentonite cement walls d=400 mm </t>
  </si>
  <si>
    <t xml:space="preserve">bentonite cement walls d=600 mm </t>
  </si>
  <si>
    <t xml:space="preserve">bentonite cement walls d=800 mm </t>
  </si>
  <si>
    <t xml:space="preserve">bentonite cement walls d=1000 mm </t>
  </si>
  <si>
    <t>in loose soil</t>
  </si>
  <si>
    <t>in soft rock</t>
  </si>
  <si>
    <t>in hard rock</t>
  </si>
  <si>
    <t>sheet pile wall</t>
  </si>
  <si>
    <t>steel beams 2U S235 lost</t>
  </si>
  <si>
    <t>steel beams 2U S355 lost</t>
  </si>
  <si>
    <t>steel beams H-Profil S235 lost</t>
  </si>
  <si>
    <t>steel beams H-Profil S355 lost</t>
  </si>
  <si>
    <t>sheet pile profileU lost S235</t>
  </si>
  <si>
    <t>sheet pile profileU lost S355</t>
  </si>
  <si>
    <t>sheet pile profileU lost S430</t>
  </si>
  <si>
    <t>sheet pile profileZ lost S235</t>
  </si>
  <si>
    <t>sheet pile profileZ lost S355</t>
  </si>
  <si>
    <t>sheet pile profileZ lost S430</t>
  </si>
  <si>
    <t>steel beams 2U S235 pulled out</t>
  </si>
  <si>
    <t>steel beams 2U S355 pulled out</t>
  </si>
  <si>
    <t>steel beams H-Profil S235 pulled out</t>
  </si>
  <si>
    <t>steel beams H-Profil S355 pulled out</t>
  </si>
  <si>
    <t>sheet pile profileU pulled out S235</t>
  </si>
  <si>
    <t>sheet pile profileU pulled out S355</t>
  </si>
  <si>
    <t>sheet pile profileU pulled out S430</t>
  </si>
  <si>
    <t>sheet pile profileZ pulled out S235</t>
  </si>
  <si>
    <t>sheet pile profileZ pulled out S355</t>
  </si>
  <si>
    <t>sheet pile profileZ pulled out S430</t>
  </si>
  <si>
    <t>Vibration sheet piles</t>
  </si>
  <si>
    <t>Vibration sheet piles to 15 m</t>
  </si>
  <si>
    <t>Vibration sheet piles to 20 m</t>
  </si>
  <si>
    <t>Vibration sheet piles to 25 m</t>
  </si>
  <si>
    <t>Vibration sheet piles to 30 m</t>
  </si>
  <si>
    <t>pile walls PFW</t>
  </si>
  <si>
    <t>pile concrete</t>
  </si>
  <si>
    <t>reinforced</t>
  </si>
  <si>
    <t>pile reinforced</t>
  </si>
  <si>
    <t>reinforcement</t>
  </si>
  <si>
    <t>pile reinforcement</t>
  </si>
  <si>
    <t>inserted beams</t>
  </si>
  <si>
    <t>inserted beamsmontage</t>
  </si>
  <si>
    <t>D-wall</t>
  </si>
  <si>
    <t>inserted beams montage</t>
  </si>
  <si>
    <t xml:space="preserve">D-wall </t>
  </si>
  <si>
    <t>D-wall  in soft rock D=400 mm</t>
  </si>
  <si>
    <t>D-wall  in soft rock D=600 mm</t>
  </si>
  <si>
    <t>D-wall  in soft rock D=800 mm</t>
  </si>
  <si>
    <t>D-wall  in soft rock D=1000 mm</t>
  </si>
  <si>
    <t>D-wall  in soft rock D=1200 mm</t>
  </si>
  <si>
    <t>D-wall  in hard rock D=400 mm</t>
  </si>
  <si>
    <t>D-wall  in hard rock D=600 mm</t>
  </si>
  <si>
    <t>D-wall  in hard rock D=800 mm</t>
  </si>
  <si>
    <t>D-wall  in hard rock D=1000 mm</t>
  </si>
  <si>
    <t>D-wall  in hard rock D=1200 mm</t>
  </si>
  <si>
    <t>D-wall  in loose soil D=400 mm</t>
  </si>
  <si>
    <t>D-wall  in loose soil D=600 mm</t>
  </si>
  <si>
    <t>D-wall  in loose soil D=800 mm</t>
  </si>
  <si>
    <t>D-wall  in loose soil D=1000 mm</t>
  </si>
  <si>
    <t>D-wall  in loose soil D=1200 mm</t>
  </si>
  <si>
    <t>D-wall reinforcement</t>
  </si>
  <si>
    <t>only montage !!!</t>
  </si>
  <si>
    <t>D-wall concrete</t>
  </si>
  <si>
    <t>HPI underpining</t>
  </si>
  <si>
    <t>HPI underpining in sand, gravel qu=5</t>
  </si>
  <si>
    <t>HPI underpining in sand, gravel qu=7,5</t>
  </si>
  <si>
    <t>HPI underpining in sand, gravel qu=10</t>
  </si>
  <si>
    <t>HPI underpining in sand, gravel qu=12,5</t>
  </si>
  <si>
    <t>HPI underpining in silt qu=5</t>
  </si>
  <si>
    <t>HPI underpining in silt qu=7,5</t>
  </si>
  <si>
    <t>HPI underpining in silt qu=10</t>
  </si>
  <si>
    <t>HPI underpining in silt qu=12,5</t>
  </si>
  <si>
    <t>HPI underpining in clay qu=5</t>
  </si>
  <si>
    <t>HPI underpining in clay qu=7,5</t>
  </si>
  <si>
    <t>HPI underpining in clay qu=10</t>
  </si>
  <si>
    <t>HPI underpining in clay qu=12,5</t>
  </si>
  <si>
    <t>cut offs horizontal</t>
  </si>
  <si>
    <t>production of softgel cut off</t>
  </si>
  <si>
    <t>production HPI-cut off deep</t>
  </si>
  <si>
    <t>under water concrete</t>
  </si>
  <si>
    <t>production under water concrete</t>
  </si>
  <si>
    <t>tie back GEWI</t>
  </si>
  <si>
    <t>tie back prodoction GEWI from ground</t>
  </si>
  <si>
    <t>tie back prodoction GEWI from ponton</t>
  </si>
  <si>
    <t>unit price</t>
  </si>
  <si>
    <t>quantitie</t>
  </si>
  <si>
    <t>00601</t>
  </si>
  <si>
    <t>Учитывая опыт работы, определение деформации стены не обязательны.</t>
  </si>
  <si>
    <t>анкерная плита</t>
  </si>
  <si>
    <t xml:space="preserve">Границы предельного состояния: </t>
  </si>
  <si>
    <t>Uniform load n span</t>
  </si>
  <si>
    <t>Uniform load Gerber</t>
  </si>
  <si>
    <t>Optional statical system</t>
  </si>
  <si>
    <t>Support front flange, span with 3U 100%, cantilever 1 U 100%</t>
  </si>
  <si>
    <t>Support front flange, span with 2 U 100%, cantilever 1 U 100%</t>
  </si>
  <si>
    <t>Support front flange, span with 2 U 100%, cantilever 1 U 50%</t>
  </si>
  <si>
    <t>Uniform load with n-span</t>
  </si>
  <si>
    <t>Uniform load with a cantlilever length of half the anchor spacing</t>
  </si>
  <si>
    <t>Gerber beam with uniform load</t>
  </si>
  <si>
    <t>Gerber beam with support on the top</t>
  </si>
  <si>
    <t>Gerber beam with support in the valley</t>
  </si>
  <si>
    <t>Hill</t>
  </si>
  <si>
    <t>Uniform n-span</t>
  </si>
  <si>
    <t>Uniform 1-span</t>
  </si>
  <si>
    <t>Uniform gerber</t>
  </si>
  <si>
    <t>Hill/top gerber</t>
  </si>
  <si>
    <t>Valley gerber</t>
  </si>
  <si>
    <t>Description waler system</t>
  </si>
  <si>
    <t>Analysis of the waler beam:</t>
  </si>
  <si>
    <t>Analysis with the elastic-elastic method DIN 18800 T1</t>
  </si>
  <si>
    <t xml:space="preserve">Gleiches gilt für die Sicherheit in der tiefen Gleitfuge. Die Sicherheit für Schnittgrößenermittlung beträgt nach DIN1054 neu wie bei horizontal belasteten Pfählen 1,0. </t>
  </si>
  <si>
    <t xml:space="preserve"> Berechnung Schnittgroessen, Ankerlaenge </t>
  </si>
  <si>
    <t xml:space="preserve"> Berechnung km-Werte </t>
  </si>
  <si>
    <t>Datei nicht mehr vorhanden.</t>
  </si>
  <si>
    <t xml:space="preserve">Die Bak-Datei mit </t>
  </si>
  <si>
    <t>oder</t>
  </si>
  <si>
    <t>Die Datei</t>
  </si>
  <si>
    <t>Die PDF-Statik</t>
  </si>
  <si>
    <t>Abminderung Holzbemessung bei wirklichkeitsnaher Erddruckverteilung EB47</t>
  </si>
  <si>
    <t>Leer</t>
  </si>
  <si>
    <t>Drucken</t>
  </si>
  <si>
    <t>Drucksteuerung</t>
  </si>
  <si>
    <t>Radierer</t>
  </si>
  <si>
    <t>Erl. Schnitt</t>
  </si>
  <si>
    <t>Eingabe</t>
  </si>
  <si>
    <t>Plot</t>
  </si>
  <si>
    <t>Zus.Nachweise</t>
  </si>
  <si>
    <t>Erläuterung</t>
  </si>
  <si>
    <t>PosPlan</t>
  </si>
  <si>
    <t>Massenmatrix</t>
  </si>
  <si>
    <t>Hight text-section</t>
  </si>
  <si>
    <t>zug. Vertikalkraft:</t>
  </si>
  <si>
    <t>Zusammenstellung der Schnittkräfte:</t>
  </si>
  <si>
    <t>Bemessung:</t>
  </si>
  <si>
    <t>FakB,Erde</t>
  </si>
  <si>
    <t>$GUR</t>
  </si>
  <si>
    <t>Kein Gurt!</t>
  </si>
  <si>
    <t>00402210</t>
  </si>
  <si>
    <t>00402220</t>
  </si>
  <si>
    <t>00402230</t>
  </si>
  <si>
    <t>Diaphragm walls</t>
  </si>
  <si>
    <t>Secant pile walls</t>
  </si>
  <si>
    <t>Sheet pile walls</t>
  </si>
  <si>
    <t>in beginning</t>
  </si>
  <si>
    <t>soft-gel cut off slab</t>
  </si>
  <si>
    <t>a deep level HPI cut off slab</t>
  </si>
  <si>
    <t>Bettungs-skalierung</t>
  </si>
  <si>
    <t>Bez.</t>
  </si>
  <si>
    <t>Bohrprofile</t>
  </si>
  <si>
    <t>Mittelwerte</t>
  </si>
  <si>
    <t>konservative Werte</t>
  </si>
  <si>
    <t>Erwartungswerte</t>
  </si>
  <si>
    <t>nicht</t>
  </si>
  <si>
    <t>not</t>
  </si>
  <si>
    <t>schwach</t>
  </si>
  <si>
    <t>stark</t>
  </si>
  <si>
    <t>sehr stark</t>
  </si>
  <si>
    <t>$STECK</t>
  </si>
  <si>
    <t>Kein Steckträger!</t>
  </si>
  <si>
    <t>UK Holzverzug über Sprbet mNN</t>
  </si>
  <si>
    <t>Festigkeitsklassen Holz</t>
  </si>
  <si>
    <t>Sicherheit Bauholz</t>
  </si>
  <si>
    <t>Grenzmantel-reibung Pfahl</t>
  </si>
  <si>
    <t>zul. Ankerver-preßkörperlast</t>
  </si>
  <si>
    <t>Aktiviert</t>
  </si>
  <si>
    <t>Erster aktiver</t>
  </si>
  <si>
    <t>Index akt. Schnitt Sheet</t>
  </si>
  <si>
    <t>Index akt. Schnitt VBA</t>
  </si>
  <si>
    <t>Index akt. Schnitt</t>
  </si>
  <si>
    <t>ZTVK-Format</t>
  </si>
  <si>
    <t>NL</t>
  </si>
  <si>
    <t xml:space="preserve">Auftriebssicherheit tiefliegende Sohle  Schnitt </t>
  </si>
  <si>
    <t>Wasserstände:</t>
  </si>
  <si>
    <t xml:space="preserve">Betonstützung </t>
  </si>
  <si>
    <t xml:space="preserve">support en béton </t>
  </si>
  <si>
    <t xml:space="preserve">soporte de hormigón </t>
  </si>
  <si>
    <t xml:space="preserve">suport de beton </t>
  </si>
  <si>
    <t xml:space="preserve">бетонова подпора </t>
  </si>
  <si>
    <t xml:space="preserve">BV </t>
  </si>
  <si>
    <t xml:space="preserve">Bearbeiter </t>
  </si>
  <si>
    <t>$ST</t>
  </si>
  <si>
    <t>Keine tiefliegende Sohle!</t>
  </si>
  <si>
    <t xml:space="preserve">Auftriebssicherheit Schwergewichtssohle  Schnitt </t>
  </si>
  <si>
    <r>
      <t>Блокиров. нагр. P</t>
    </r>
    <r>
      <rPr>
        <vertAlign val="subscript"/>
        <sz val="10"/>
        <rFont val="Arial"/>
        <family val="2"/>
      </rPr>
      <t xml:space="preserve">0 </t>
    </r>
  </si>
  <si>
    <t>Пригодн. при пред. напряж.</t>
  </si>
  <si>
    <t>Общ. длина элем. натяж.</t>
  </si>
  <si>
    <t>включая выступ. часть</t>
  </si>
  <si>
    <t>Вертик. сила в анкере</t>
  </si>
  <si>
    <t>Сила в сварном шве</t>
  </si>
  <si>
    <t>Влияние коэф. надежн.</t>
  </si>
  <si>
    <t>Коэф. надежн. напрягаемой арматуры</t>
  </si>
  <si>
    <r>
      <t xml:space="preserve">1) </t>
    </r>
    <r>
      <rPr>
        <sz val="10"/>
        <rFont val="Arial"/>
        <family val="2"/>
      </rPr>
      <t xml:space="preserve"> V (уров. экскавации) или Е (пост. поддержив. уров.) являются определяющими </t>
    </r>
  </si>
  <si>
    <t>Слой</t>
  </si>
  <si>
    <t xml:space="preserve">Индекс типа анкера </t>
  </si>
  <si>
    <t>Имя анкера</t>
  </si>
  <si>
    <t>Постоянный тип</t>
  </si>
  <si>
    <t>Текст типа анкера</t>
  </si>
  <si>
    <t>Сталь</t>
  </si>
  <si>
    <t xml:space="preserve">Текст сочет. нагр./Запас </t>
  </si>
  <si>
    <t>Коэф. запаса стали</t>
  </si>
  <si>
    <t>Число текста</t>
  </si>
  <si>
    <t>Канат</t>
  </si>
  <si>
    <t>Канаты</t>
  </si>
  <si>
    <t xml:space="preserve">Число канатов </t>
  </si>
  <si>
    <t>Группы канатов</t>
  </si>
  <si>
    <t xml:space="preserve">Сила в анкере </t>
  </si>
  <si>
    <t xml:space="preserve">Индекс диаметра </t>
  </si>
  <si>
    <t xml:space="preserve">Диаметр </t>
  </si>
  <si>
    <t>Запись результатов расчета</t>
  </si>
  <si>
    <t xml:space="preserve">Индекс разрушения канатов анкера </t>
  </si>
  <si>
    <t>Индекс разрушения анкера SVP</t>
  </si>
  <si>
    <t xml:space="preserve">Индекс анкера </t>
  </si>
  <si>
    <t xml:space="preserve">Индекс канатов анкера </t>
  </si>
  <si>
    <t>Индекс канатов анкера, если не определено</t>
  </si>
  <si>
    <t xml:space="preserve">Треб. страницы анкера </t>
  </si>
  <si>
    <t>Тип оголовка анкера</t>
  </si>
  <si>
    <t>Тип</t>
  </si>
  <si>
    <t>Временный многопрядевый анкер</t>
  </si>
  <si>
    <t>00202330</t>
  </si>
  <si>
    <t>RTBW Holz = gerüttelte Trägerbohlwand mit Holzausfachung</t>
  </si>
  <si>
    <t>BTBW Holz = gebohrte Trägerbohlwand mit Holzausfachung</t>
  </si>
  <si>
    <t>BTBW MIPT = gebohrte Trägerbohlwand mit im MIP-Verfahren eingebrachten Trägern mit Holzausfachung</t>
  </si>
  <si>
    <t>BTBW Spritzbeton = gebohrte Trägerbohlwand mit Spritzbetonausfachung</t>
  </si>
  <si>
    <t>Baukonstruktion</t>
  </si>
  <si>
    <t>Anrede</t>
  </si>
  <si>
    <t>Sehr geehrte Frau</t>
  </si>
  <si>
    <t>Sehr geehrter Herr</t>
  </si>
  <si>
    <t>Nomen est Omen@bauer.de</t>
  </si>
  <si>
    <t>NL Bayern</t>
  </si>
  <si>
    <t>85221 Dachau</t>
  </si>
  <si>
    <t>GEWI 28 sing corr protect</t>
  </si>
  <si>
    <t>GEWI 32 sing corr protect</t>
  </si>
  <si>
    <t>GEWI 40 sing corr protect</t>
  </si>
  <si>
    <t>GEWI 50 sing corr protect</t>
  </si>
  <si>
    <t>Michael.Pregler@bauer.de</t>
  </si>
  <si>
    <t>Gleitkreis</t>
  </si>
  <si>
    <t>Staffelung</t>
  </si>
  <si>
    <t>Druck GruBruSi GEB</t>
  </si>
  <si>
    <t>xmin = B/2 Grube</t>
  </si>
  <si>
    <t>Officeschnitt geändert</t>
  </si>
  <si>
    <t xml:space="preserve">2) Es wird jeweils die Ausnutzung bei der Ermittlung der Grenzschlankheit für Schub und Biegung berücksichtigt. b/t-Faktoren nach DIN18800 /1 und ENV 1993-5: 1998. </t>
  </si>
  <si>
    <t>Angaben gelten für alle Schnitte! Werden bei Update überschrieben! Überschreiben den Automat!</t>
  </si>
  <si>
    <t>$TS</t>
  </si>
  <si>
    <t>Kein Träger mit Spritzbetonausfachung!</t>
  </si>
  <si>
    <t xml:space="preserve">B E T O N A U S F A C H U N G  Schnitt </t>
  </si>
  <si>
    <t>Schnittgrößen:</t>
  </si>
  <si>
    <t>Bemessungsmoment</t>
  </si>
  <si>
    <t>Überschreitung um</t>
  </si>
  <si>
    <t>Ergebnis</t>
  </si>
  <si>
    <t>Matte</t>
  </si>
  <si>
    <t>erf.</t>
  </si>
  <si>
    <t>und</t>
  </si>
  <si>
    <t>and</t>
  </si>
  <si>
    <t>vorh.</t>
  </si>
  <si>
    <t>Umlagerung Ausfachung</t>
  </si>
  <si>
    <t>Spritzbetondicke</t>
  </si>
  <si>
    <t>Randabstand</t>
  </si>
  <si>
    <t>Sicherheit Betonstahl</t>
  </si>
  <si>
    <t>Sicherheit bewehrter Beton</t>
  </si>
  <si>
    <t>Sicherheit unbew. Beton</t>
  </si>
  <si>
    <t>Steckträger</t>
  </si>
  <si>
    <t>Träger</t>
  </si>
  <si>
    <t>h</t>
  </si>
  <si>
    <t>b</t>
  </si>
  <si>
    <t>t-s</t>
  </si>
  <si>
    <t>Keine MIP-Gitterträgerwand!</t>
  </si>
  <si>
    <t>maximaler H-Duck</t>
  </si>
  <si>
    <t>Nachweis Gitterträger</t>
  </si>
  <si>
    <t>Schweißnahtnachweise</t>
  </si>
  <si>
    <t>WallMann can only execute files on harddisk C:\ or D:\. For computation, please use "Save WAL-file as"  to save the project walfile.</t>
  </si>
  <si>
    <t>WALLS-calculation not possible. Please modify WALLS-input manualy!</t>
  </si>
  <si>
    <t>11. Save: Save, Save Changes and quite plan, Quite plan without changes</t>
  </si>
  <si>
    <t xml:space="preserve">Please rename file/path, problem enchountered with Schnittespooler under Hijack-Konverters </t>
  </si>
  <si>
    <t xml:space="preserve"> and vertical anchor force </t>
  </si>
  <si>
    <t xml:space="preserve"> and vertical single loads</t>
  </si>
  <si>
    <t>Structural element:</t>
  </si>
  <si>
    <t>Chapter</t>
  </si>
  <si>
    <t>Contents</t>
  </si>
  <si>
    <t>Pages</t>
  </si>
  <si>
    <t>Basis</t>
  </si>
  <si>
    <t>Diagrams</t>
  </si>
  <si>
    <t>Print out</t>
  </si>
  <si>
    <t>Analysis</t>
  </si>
  <si>
    <t>Last page</t>
  </si>
  <si>
    <t>Design Eng.:</t>
  </si>
  <si>
    <t>File is not yet available or is deleted!</t>
  </si>
  <si>
    <t>Abbrechen - Abbruch</t>
  </si>
  <si>
    <t>Cancel - End</t>
  </si>
  <si>
    <t>UC152x152x30</t>
  </si>
  <si>
    <t>UC203x203x52</t>
  </si>
  <si>
    <t>UC203x203x71</t>
  </si>
  <si>
    <t>einf. Korr.schutz</t>
  </si>
  <si>
    <t>Protection simple</t>
  </si>
  <si>
    <t>prot. de corr. simple</t>
  </si>
  <si>
    <t>dopp. Korr.schutz</t>
  </si>
  <si>
    <t>for the global variable</t>
  </si>
  <si>
    <t>Specif. weight of soil γ  [KN/m³]</t>
  </si>
  <si>
    <t>Cohesion c' [KN/m³]</t>
  </si>
  <si>
    <t>Layer thick. [m]</t>
  </si>
  <si>
    <t>Layer designation</t>
  </si>
  <si>
    <t>Thickness [m]</t>
  </si>
  <si>
    <t>Below BO excavation</t>
  </si>
  <si>
    <t>Below wall toe</t>
  </si>
  <si>
    <t>Soil parameters:</t>
  </si>
  <si>
    <t xml:space="preserve">Section at excavation level: </t>
  </si>
  <si>
    <t>Wall length</t>
  </si>
  <si>
    <t>Pile spacing</t>
  </si>
  <si>
    <t>Gewi plate</t>
  </si>
  <si>
    <t>Gewi Verbund</t>
  </si>
  <si>
    <t>Gewi bond</t>
  </si>
  <si>
    <t>Grad</t>
  </si>
  <si>
    <t>Erfüllt</t>
  </si>
  <si>
    <t>OK</t>
  </si>
  <si>
    <t>Unterbemessen</t>
  </si>
  <si>
    <t>Геометрия закрепленного тела грунта:</t>
  </si>
  <si>
    <t>Одиноч. свая</t>
  </si>
  <si>
    <t>Ряд свай</t>
  </si>
  <si>
    <t>Группа свай</t>
  </si>
  <si>
    <t>Коэф. запаса закрепленного тела грунта:</t>
  </si>
  <si>
    <t xml:space="preserve">Активац. вес грунта с трением ) </t>
  </si>
  <si>
    <t xml:space="preserve">Сетка свай </t>
  </si>
  <si>
    <t>Длина свай под поверх. слоем</t>
  </si>
  <si>
    <t>Сваи на растяж.</t>
  </si>
  <si>
    <t>Возм. растягив. элем.</t>
  </si>
  <si>
    <t xml:space="preserve">     C A L C U L A T I O N   G R O U N D   F A I L U R E</t>
  </si>
  <si>
    <t>Contratista principal</t>
  </si>
  <si>
    <t>Projekt</t>
  </si>
  <si>
    <t>Project</t>
  </si>
  <si>
    <t>Projet</t>
  </si>
  <si>
    <t>Proyecto</t>
  </si>
  <si>
    <t xml:space="preserve">, the excavation has to be supported by a retaining structure. The excavation will be supported by means of  </t>
  </si>
  <si>
    <t>Yes    - Overwrite everything including the supporting files</t>
  </si>
  <si>
    <t>Folgende Dateneingaben der Wandeigenschaften fehlen im Vergleich zur Vorbelegung:</t>
  </si>
  <si>
    <t>Following data inputs of the wall characteristics are missing in comparison to the default</t>
  </si>
  <si>
    <t>Boring against waterpressure &gt; 1</t>
  </si>
  <si>
    <t>Dauerankerkopf</t>
  </si>
  <si>
    <t>Permanent anchor head</t>
  </si>
  <si>
    <t>Kraft index</t>
  </si>
  <si>
    <t>EP Material</t>
  </si>
  <si>
    <t>EP Bohren</t>
  </si>
  <si>
    <t>Erf. Länge Einzelpfahl</t>
  </si>
  <si>
    <t>Erf. Länge Pfahlreihe</t>
  </si>
  <si>
    <t>Erf. Länge Pfahlgruppe</t>
  </si>
  <si>
    <t>Erf. Länge Mantelreibung</t>
  </si>
  <si>
    <t>Sohlankertypindex</t>
  </si>
  <si>
    <t>Sicherheit Stahl</t>
  </si>
  <si>
    <t>Zulassung</t>
  </si>
  <si>
    <t>Stabdurchmesser</t>
  </si>
  <si>
    <t>Mittelung Baugrundwichte</t>
  </si>
  <si>
    <t>Nr Schicht unter Sohle</t>
  </si>
  <si>
    <t>Устойч. от скольж. при пересеч. стены</t>
  </si>
  <si>
    <t xml:space="preserve">Наклон арки </t>
  </si>
  <si>
    <t>Пред. коэф. трения</t>
  </si>
  <si>
    <t>Расчет влияния стены на сваи, работ. на выдерг.</t>
  </si>
  <si>
    <r>
      <t>Разрушающая нагрузка R</t>
    </r>
    <r>
      <rPr>
        <vertAlign val="subscript"/>
        <sz val="10"/>
        <rFont val="Arial"/>
        <family val="2"/>
      </rPr>
      <t>n,k</t>
    </r>
    <r>
      <rPr>
        <sz val="10"/>
        <rFont val="Arial"/>
        <family val="2"/>
      </rPr>
      <t xml:space="preserve"> =</t>
    </r>
  </si>
  <si>
    <t>Вертикальная сила</t>
  </si>
  <si>
    <t>Глубина</t>
  </si>
  <si>
    <t>Ширина</t>
  </si>
  <si>
    <t>Понижение угла внутреннего трения грунта о поверзность стены!</t>
  </si>
  <si>
    <r>
      <t>Площадь боковой поверхности A</t>
    </r>
    <r>
      <rPr>
        <vertAlign val="subscript"/>
        <sz val="10"/>
        <rFont val="Arial"/>
        <family val="2"/>
      </rPr>
      <t>s</t>
    </r>
    <r>
      <rPr>
        <sz val="10"/>
        <rFont val="Arial"/>
        <family val="2"/>
      </rPr>
      <t>=</t>
    </r>
  </si>
  <si>
    <t xml:space="preserve"> Расширение</t>
  </si>
  <si>
    <t>Способ установки</t>
  </si>
  <si>
    <t>Шаг балок/свай</t>
  </si>
  <si>
    <t xml:space="preserve">Глубина заделки </t>
  </si>
  <si>
    <t>Диаметр бурения / толщина стены</t>
  </si>
  <si>
    <t>Коэф. запаса на разрушение грунта</t>
  </si>
  <si>
    <t>Коэф. запаса на сжатие сваи</t>
  </si>
  <si>
    <t>Поддерживаемая = 1, Отдельностоящая = 0</t>
  </si>
  <si>
    <t>Предельное поверхностное трение</t>
  </si>
  <si>
    <t>Предельное сопротивление по подошве</t>
  </si>
  <si>
    <t>Нет глубоколежащей ПФЗ!</t>
  </si>
  <si>
    <t>Расчет против гидрост. поднятия гравитац. основания плиты       Разрез</t>
  </si>
  <si>
    <t>Расчет против гидрост. поднятия глубоколеж. ПФЗ        Разрез</t>
  </si>
  <si>
    <t xml:space="preserve">Уровни воды: </t>
  </si>
  <si>
    <t xml:space="preserve">Уровень воды для расчета: </t>
  </si>
  <si>
    <t xml:space="preserve">Уровень воды в котловане: </t>
  </si>
  <si>
    <t xml:space="preserve">Низ инъекции ПФЗ </t>
  </si>
  <si>
    <t>Толщина слоя в уровне дна котл.</t>
  </si>
  <si>
    <t xml:space="preserve">Угол внутреннего трения </t>
  </si>
  <si>
    <t xml:space="preserve">Сцепление </t>
  </si>
  <si>
    <t>Вес грунта под водой γ '</t>
  </si>
  <si>
    <t>Вес грунта γ</t>
  </si>
  <si>
    <t>Пригружающие силы:</t>
  </si>
  <si>
    <t>Перекрывание ПФЗ</t>
  </si>
  <si>
    <t xml:space="preserve">Толщина слоя </t>
  </si>
  <si>
    <t>Гидрост. поднятия</t>
  </si>
  <si>
    <t>без гидрост. поднятия</t>
  </si>
  <si>
    <t>перекрывания</t>
  </si>
  <si>
    <t>1) inf.: пригруз со сниженным весом грунта</t>
  </si>
  <si>
    <t>Давл. воды в уровне котл.</t>
  </si>
  <si>
    <t>Давление воды:</t>
  </si>
  <si>
    <t>Благопр. пост. нагрузки =</t>
  </si>
  <si>
    <t>Неблагопр. пост. нагрузки =</t>
  </si>
  <si>
    <t>Толщ. слоя от уровня дна котл.</t>
  </si>
  <si>
    <t>Толщ. грунта над ПФЗ</t>
  </si>
  <si>
    <t>Толщ. выше уровня ГВ</t>
  </si>
  <si>
    <t>Подошва слоя</t>
  </si>
  <si>
    <t>Метод установки</t>
  </si>
  <si>
    <t>Уменьшение веса грунта за счет взвешивающего действия воды</t>
  </si>
  <si>
    <t>Нет высокозалегающей ПФЗ!</t>
  </si>
  <si>
    <t>Грунт или анкера перегружены!!!</t>
  </si>
  <si>
    <t>Расчет против гидрост. поднятия высокозалег. ПФЗ        Разрез</t>
  </si>
  <si>
    <t xml:space="preserve">Параметры ПФЗ: </t>
  </si>
  <si>
    <t>Уровень воды для расчета ПФЗ</t>
  </si>
  <si>
    <t xml:space="preserve">верх ПФЗ </t>
  </si>
  <si>
    <t>низ ПФЗ</t>
  </si>
  <si>
    <t>Вес свай под гидрост. поднятием</t>
  </si>
  <si>
    <t>1) inf.: пригруз со сниженным весом грунта  sup: пригруз с полным весом грунта</t>
  </si>
  <si>
    <t>Макс. толщина</t>
  </si>
  <si>
    <t>Объем HPI</t>
  </si>
  <si>
    <t>Общ. объем HPI</t>
  </si>
  <si>
    <t>Крепление торкретбетоном</t>
  </si>
  <si>
    <t>Перим. гор. плиты</t>
  </si>
  <si>
    <t>Толщ. гор. плиты</t>
  </si>
  <si>
    <t xml:space="preserve">Сетка из анкеров </t>
  </si>
  <si>
    <t xml:space="preserve">Кол-во анкеров </t>
  </si>
  <si>
    <t>Расст.: верх ПФЗ/низ анкера</t>
  </si>
  <si>
    <t>Итого по креплению</t>
  </si>
  <si>
    <t>Траншея</t>
  </si>
  <si>
    <t>Слой распорок</t>
  </si>
  <si>
    <t>Расчет подведения (крепления) фундаментов</t>
  </si>
  <si>
    <t xml:space="preserve"> Расчет</t>
  </si>
  <si>
    <t xml:space="preserve"> Расчет грунтовых нагелей</t>
  </si>
  <si>
    <t>hor. Stützkraft Sohle</t>
  </si>
  <si>
    <t>Festigkeit Sohle</t>
  </si>
  <si>
    <t>Kopfplatte</t>
  </si>
  <si>
    <t>Summe Toleranzen</t>
  </si>
  <si>
    <t>UK Anker</t>
  </si>
  <si>
    <t>Winter</t>
  </si>
  <si>
    <t>Michael.Winter@bauer.de</t>
  </si>
  <si>
    <t>Pressung Ankerplatte:</t>
  </si>
  <si>
    <t>Plattendurchmesser:</t>
  </si>
  <si>
    <t>Auflagerpressung:</t>
  </si>
  <si>
    <t>zul. Teilflächenpressung:</t>
  </si>
  <si>
    <t>Der Querzug aus Teilflächenpressung ist durch Gewölbeschub und Fundamentlast abgesichert.</t>
  </si>
  <si>
    <t>Nachweis Pressung Ankerplatte</t>
  </si>
  <si>
    <t xml:space="preserve"> am oder vor </t>
  </si>
  <si>
    <t>Fuß</t>
  </si>
  <si>
    <t>foot</t>
  </si>
  <si>
    <t>Berechnungsanalyse</t>
  </si>
  <si>
    <t>calculation analysis</t>
  </si>
  <si>
    <t>The same is applied for the analysis acc. to KRANZ. The saftey factor for the determination of section forces is  acc. to DIN1054, as the safety for horizontally loaded piles 1.0.</t>
  </si>
  <si>
    <t>Einstab 26,5</t>
  </si>
  <si>
    <t>Einstab 32</t>
  </si>
  <si>
    <t>Einstab 36</t>
  </si>
  <si>
    <t>из</t>
  </si>
  <si>
    <t>zul b/t</t>
  </si>
  <si>
    <t>permis. b/t</t>
  </si>
  <si>
    <t>Steg b/t</t>
  </si>
  <si>
    <t>maßgeblich für Pfahllänge</t>
  </si>
  <si>
    <t>Steifenlänge (Masse)</t>
  </si>
  <si>
    <t>Metergewicht</t>
  </si>
  <si>
    <t>Handelsgewicht</t>
  </si>
  <si>
    <t>Commercial weight</t>
  </si>
  <si>
    <t>Gurt</t>
  </si>
  <si>
    <t>geometrische Schlitzwandparameter</t>
  </si>
  <si>
    <t>Spannungsüberschreitung um</t>
  </si>
  <si>
    <t>Schubspannung</t>
  </si>
  <si>
    <t>Lastfall Anker</t>
  </si>
  <si>
    <t>Festlegefaktor</t>
  </si>
  <si>
    <t>Ruhedruckanteil</t>
  </si>
  <si>
    <t>Ankerlage</t>
  </si>
  <si>
    <t>Ankertyp</t>
  </si>
  <si>
    <t>Stahlgüte</t>
  </si>
  <si>
    <t>Ansatzpunkt   z</t>
  </si>
  <si>
    <t>Ankerneigung</t>
  </si>
  <si>
    <t>Ankerabstand</t>
  </si>
  <si>
    <t>Пустые стр. разрезов</t>
  </si>
  <si>
    <t>Пустые стр. расчета</t>
  </si>
  <si>
    <t>Пустые стр. измер.</t>
  </si>
  <si>
    <t>Глубокая поверхн. разруш.</t>
  </si>
  <si>
    <t>Поверх. скольжения</t>
  </si>
  <si>
    <t>Печать зап. по нес. сп.</t>
  </si>
  <si>
    <t>xмин=B/2 полов. ширины</t>
  </si>
  <si>
    <t>Разрез редактировался</t>
  </si>
  <si>
    <t>Длина корня анк.</t>
  </si>
  <si>
    <t>Импортировать усилия и пересчитать</t>
  </si>
  <si>
    <t>n-Подошва</t>
  </si>
  <si>
    <t>negC-h.упруг.</t>
  </si>
  <si>
    <t>макс.-h-давл.</t>
  </si>
  <si>
    <t>все A</t>
  </si>
  <si>
    <t>Слой 1 подошва</t>
  </si>
  <si>
    <t>Слой 2 подошва</t>
  </si>
  <si>
    <t>Слой 3 подошва</t>
  </si>
  <si>
    <t>Свая на выдергив.</t>
  </si>
  <si>
    <t>Слой 1 подош. со ст. котл.</t>
  </si>
  <si>
    <t>Слой 2 подош. со ст. котл.</t>
  </si>
  <si>
    <t>Слой 3 подош. со ст. котл.</t>
  </si>
  <si>
    <t>Слой 4 подош. со ст. котл.</t>
  </si>
  <si>
    <t>Слой 5 подош. со ст. котл.</t>
  </si>
  <si>
    <t>Грунты ниже подошвы стены</t>
  </si>
  <si>
    <t>Грунты ниже дна котлована</t>
  </si>
  <si>
    <t>Детальные результ. размеров --&gt; CAD-interface</t>
  </si>
  <si>
    <t>Длина бур.</t>
  </si>
  <si>
    <t>Длина канат.</t>
  </si>
  <si>
    <t>Торкретбетон арм. сеткой</t>
  </si>
  <si>
    <t>АНК толщ. сварки</t>
  </si>
  <si>
    <t>АНК полож. плиты</t>
  </si>
  <si>
    <t>Standards use a version of WALLS which has not yet been adapted. For this, the safety of the embedment is determined with the global safety factor as the product of the safety factors for permanent load and passive earth pressure.</t>
  </si>
  <si>
    <t>The geotechnical calculations are carried out with the following approach.</t>
  </si>
  <si>
    <t>Assumptions</t>
  </si>
  <si>
    <t xml:space="preserve"> The bottom of the excavation has to be made tight against the ground water. The sealing (cut off salb) is done by means of </t>
  </si>
  <si>
    <t>noch nicht oder nicht mehr vorhanden oder der Dateityp ist nicht WLS, DBU oder DAT.</t>
  </si>
  <si>
    <t>hat einen Abstand von</t>
  </si>
  <si>
    <t>has a distance of</t>
  </si>
  <si>
    <t>Erdbebenbeiwert</t>
  </si>
  <si>
    <t>Factor seismic design</t>
  </si>
  <si>
    <t>zul A</t>
  </si>
  <si>
    <t>all A</t>
  </si>
  <si>
    <t>Poutre de couronnement</t>
  </si>
  <si>
    <t>viga cabezal</t>
  </si>
  <si>
    <t>Staffelanker</t>
  </si>
  <si>
    <t>Nachweis Preßpunkte</t>
  </si>
  <si>
    <t>erf. Preßpunkte =</t>
  </si>
  <si>
    <t>Stück/m</t>
  </si>
  <si>
    <t>Standardpresspunkte/m</t>
  </si>
  <si>
    <t>&gt; 3,5 Zusatzpresspunkte notwendig</t>
  </si>
  <si>
    <t>nbr/m</t>
  </si>
  <si>
    <t>lAnk</t>
  </si>
  <si>
    <t>Cah</t>
  </si>
  <si>
    <t>Pah</t>
  </si>
  <si>
    <t>Anordnung</t>
  </si>
  <si>
    <t>α Stützung</t>
  </si>
  <si>
    <t>α support</t>
  </si>
  <si>
    <t>Pah [kN/m]</t>
  </si>
  <si>
    <t>Cah [kN/m/m]</t>
  </si>
  <si>
    <t>Officeschnitt wurde schon manuell geaendert oder ergaenzt.</t>
  </si>
  <si>
    <t>enthaelt eine Laufwerksbezeichnung ungleich C:\ oder D:\.</t>
  </si>
  <si>
    <t>Grenzzustandsbedingung Sicherheit gegen Herausziehen:</t>
  </si>
  <si>
    <t>Grenzzustandsbedingung Materialversagen Zugpfahl:</t>
  </si>
  <si>
    <t>STK</t>
  </si>
  <si>
    <t>Pregler</t>
  </si>
  <si>
    <t xml:space="preserve">Die Verbundkraft des Trägers ergibt sich aus der Normalkraft der MIP-Wand im betrachteten Schnitt überlagert mit der äußeren Normalkraft in diesem Schnitt. Die zulässige Verbundkraft ergibt sich aus der Verbundspannung mit der minimalen Verbundfläche zur </t>
  </si>
  <si>
    <t>und so weiter und so fort</t>
  </si>
  <si>
    <t>and so on</t>
  </si>
  <si>
    <t>Aidelsburger</t>
  </si>
  <si>
    <t>BK</t>
  </si>
  <si>
    <t>aj</t>
  </si>
  <si>
    <t>Aringer</t>
  </si>
  <si>
    <t>Calculation soil nailing</t>
  </si>
  <si>
    <t xml:space="preserve"> Calculation km-value</t>
  </si>
  <si>
    <t xml:space="preserve"> Calculation embedment depth</t>
  </si>
  <si>
    <t xml:space="preserve"> Calculation section forces</t>
  </si>
  <si>
    <t>Trench</t>
  </si>
  <si>
    <t>Length top Cut off slab - BO anchor</t>
  </si>
  <si>
    <t>No. anchors</t>
  </si>
  <si>
    <t>TBMIPmiddle</t>
  </si>
  <si>
    <t>TBMIPerdseitig</t>
  </si>
  <si>
    <t>zakonczenie zbrojenia</t>
  </si>
  <si>
    <t>drewno s=</t>
  </si>
  <si>
    <t>beton natryskowy w ksztalcie luku</t>
  </si>
  <si>
    <t>system 1:1</t>
  </si>
  <si>
    <t>system 1:3</t>
  </si>
  <si>
    <t>system 1:5</t>
  </si>
  <si>
    <t>iniekcja wysokocisnieniowa ( jet grouting-HPI)</t>
  </si>
  <si>
    <t>HPI, Sig=</t>
  </si>
  <si>
    <t>beton</t>
  </si>
  <si>
    <t>studnia</t>
  </si>
  <si>
    <t>studnia przelewowa</t>
  </si>
  <si>
    <t>siec drenarska</t>
  </si>
  <si>
    <t>otwarcie sciany</t>
  </si>
  <si>
    <t>otwarte odwadnianie</t>
  </si>
  <si>
    <t>prosta ochrona przeciwkorozyjna</t>
  </si>
  <si>
    <t>podwojna ochrona przeciwkorozyjna</t>
  </si>
  <si>
    <t>opaska betonowa</t>
  </si>
  <si>
    <t>wierzcholek belki</t>
  </si>
  <si>
    <t>podpora betonowa</t>
  </si>
  <si>
    <t xml:space="preserve"> without linkage as a Exel file?</t>
  </si>
  <si>
    <t xml:space="preserve">Soll die Datei </t>
  </si>
  <si>
    <t xml:space="preserve">Do you want to save the file </t>
  </si>
  <si>
    <t xml:space="preserve"> before opening the new file?</t>
  </si>
  <si>
    <t>calculationdepth =</t>
  </si>
  <si>
    <t>Nummer der Schicht</t>
  </si>
  <si>
    <t>Bodengruppentabelle</t>
  </si>
  <si>
    <t>Nummer</t>
  </si>
  <si>
    <t>Kurzbez.</t>
  </si>
  <si>
    <t>Name</t>
  </si>
  <si>
    <t>Steine und Blöcke</t>
  </si>
  <si>
    <t>Kies, dicht</t>
  </si>
  <si>
    <t>Kies, mitteldicht</t>
  </si>
  <si>
    <t>Kies, locker</t>
  </si>
  <si>
    <t>Sand, dicht</t>
  </si>
  <si>
    <t>Sand, mitteldicht</t>
  </si>
  <si>
    <t>Sand, locker</t>
  </si>
  <si>
    <t>Schluff, fest</t>
  </si>
  <si>
    <t>Schluff, halbfest</t>
  </si>
  <si>
    <t>Schluff, steif</t>
  </si>
  <si>
    <t>Schluff, weich</t>
  </si>
  <si>
    <t>φ'min earthpressure</t>
  </si>
  <si>
    <t>Bohrbereich</t>
  </si>
  <si>
    <t>Plotsteuerung</t>
  </si>
  <si>
    <t>Ergebnisse je Blatt</t>
  </si>
  <si>
    <t>E-a,0/Erde/Extr</t>
  </si>
  <si>
    <t xml:space="preserve"> in Ansatz gebracht. </t>
  </si>
  <si>
    <t xml:space="preserve">Die Sicherheit des Fußauflagers bei der Ermittlung der Schnitt- und Ankerkräfte beträgt </t>
  </si>
  <si>
    <t>System</t>
  </si>
  <si>
    <t>Druckgewölbe</t>
  </si>
  <si>
    <t>Weichgelsohle</t>
  </si>
  <si>
    <t>HDI-Sohle tiefliegend</t>
  </si>
  <si>
    <t>HDI-Sohle hochliegend</t>
  </si>
  <si>
    <t>Feinstzemetzementsohle tiefliegend</t>
  </si>
  <si>
    <t>einem natürlicher Stauer</t>
  </si>
  <si>
    <t>Verbindung</t>
  </si>
  <si>
    <t>connection</t>
  </si>
  <si>
    <t>Offene Wasserhaltung</t>
  </si>
  <si>
    <t>Dessiné par: Wallmann</t>
  </si>
  <si>
    <t>Dibujo: Wallmann</t>
  </si>
  <si>
    <t xml:space="preserve">Statiker: </t>
  </si>
  <si>
    <t xml:space="preserve">Designed: </t>
  </si>
  <si>
    <t xml:space="preserve">Calculé par: </t>
  </si>
  <si>
    <t xml:space="preserve">Diseño: </t>
  </si>
  <si>
    <t xml:space="preserve">Vertrieb: </t>
  </si>
  <si>
    <t xml:space="preserve">Appel d'offre: </t>
  </si>
  <si>
    <t xml:space="preserve">Adquisición: </t>
  </si>
  <si>
    <t xml:space="preserve">Responsable du projet: </t>
  </si>
  <si>
    <t xml:space="preserve">Gerente del proyecto: </t>
  </si>
  <si>
    <t xml:space="preserve">Datum: </t>
  </si>
  <si>
    <t xml:space="preserve">Date: </t>
  </si>
  <si>
    <t xml:space="preserve">Fecha: </t>
  </si>
  <si>
    <t xml:space="preserve">Plan Nr.: </t>
  </si>
  <si>
    <t xml:space="preserve"> contains umlauts or special characters.  This can be in the path designation or in the file name. The input is repeated.</t>
  </si>
  <si>
    <t xml:space="preserve">Beim Schnitt </t>
  </si>
  <si>
    <t xml:space="preserve">For section </t>
  </si>
  <si>
    <t xml:space="preserve"> the determination of the internal forces in phase </t>
  </si>
  <si>
    <t>Keine fehlenden Dateneingaben der Wandeigenschaften im Vergleich zur Vorbelegung gefunden.</t>
  </si>
  <si>
    <t>With ''Data/New WAL-file'' the data will be cleared and than you can save it as</t>
  </si>
  <si>
    <t>Do you want to start the internal force and embedment depth calculation?</t>
  </si>
  <si>
    <t>with ''Workbooks/Save Workbook'' as an empty workbook.</t>
  </si>
  <si>
    <t>G,dicht</t>
  </si>
  <si>
    <t>G,midi</t>
  </si>
  <si>
    <t>G,locker</t>
  </si>
  <si>
    <t>S,dicht</t>
  </si>
  <si>
    <t>S,midi</t>
  </si>
  <si>
    <t>S,locker</t>
  </si>
  <si>
    <t>U,fest</t>
  </si>
  <si>
    <t>U,halbfest</t>
  </si>
  <si>
    <t>Скрепл. мет. листы</t>
  </si>
  <si>
    <t>Толщ. сварного шва</t>
  </si>
  <si>
    <t>допуст. b/t</t>
  </si>
  <si>
    <t>Стенка балки b/t</t>
  </si>
  <si>
    <t xml:space="preserve">Несовершенство: </t>
  </si>
  <si>
    <t xml:space="preserve">Эксцентрик. теория II. эффект: </t>
  </si>
  <si>
    <t xml:space="preserve">Усил. в сечении. теория II. эффект: </t>
  </si>
  <si>
    <t>Расчет по окружности скольжения не требуется!!!</t>
  </si>
  <si>
    <t>Устойчивость фундамента по окружности скольжения.     Разрез</t>
  </si>
  <si>
    <t xml:space="preserve">Данные для выбора слоя 1 и/или 2 отсутствуют на листе MAS в линии </t>
  </si>
  <si>
    <t xml:space="preserve">Нагрузки на фундамент </t>
  </si>
  <si>
    <t>Осреднен. рабоч. уровень</t>
  </si>
  <si>
    <t>Осреднено по прич. незначит. шир. траншеи</t>
  </si>
  <si>
    <t xml:space="preserve">коэф. согл. DIN 4017: </t>
  </si>
  <si>
    <t xml:space="preserve">Разрушение по окр. скольж. со стороны крепления </t>
  </si>
  <si>
    <t>Напластование до подошвы фундаментов</t>
  </si>
  <si>
    <t xml:space="preserve">Определяющ. вес слоя </t>
  </si>
  <si>
    <t>Устойчив. по окр. скольж. со ст. здания</t>
  </si>
  <si>
    <t xml:space="preserve">Рабочий уровень </t>
  </si>
  <si>
    <t>Верх плиты подвала</t>
  </si>
  <si>
    <t>Низ фундамента</t>
  </si>
  <si>
    <t>Ширина фундамента</t>
  </si>
  <si>
    <t>Давление на фунд.</t>
  </si>
  <si>
    <t xml:space="preserve">Исходные параметры для расчета </t>
  </si>
  <si>
    <t xml:space="preserve">Начертил: </t>
  </si>
  <si>
    <t xml:space="preserve">Проверил: </t>
  </si>
  <si>
    <t xml:space="preserve">Дата </t>
  </si>
  <si>
    <t>Язык ввода</t>
  </si>
  <si>
    <t>Язык вывода</t>
  </si>
  <si>
    <t>Параметры по-умолчанию</t>
  </si>
  <si>
    <t>Тип грунта</t>
  </si>
  <si>
    <t>Примеси, Основной грунт</t>
  </si>
  <si>
    <t>Угол внутреннего трения</t>
  </si>
  <si>
    <t>Вес грунта в естественном состоянии</t>
  </si>
  <si>
    <t>Сцепление</t>
  </si>
  <si>
    <t>Вес грунта во взвешенном состоянии</t>
  </si>
  <si>
    <t>Памятка</t>
  </si>
  <si>
    <t>Предельное давление</t>
  </si>
  <si>
    <t>Пред. трение по бок. поверх. сваи</t>
  </si>
  <si>
    <t>Допуст. нагр. на корень анкера</t>
  </si>
  <si>
    <t>Пред. тр. по бок. поверх. сваи на выдергив. "свая-ПФЗ"</t>
  </si>
  <si>
    <t>Пред. трение по бок. поверх. нагеля</t>
  </si>
  <si>
    <t>Мод. гор. реак. гр. осн. ksh / мод. жест. Es</t>
  </si>
  <si>
    <t>Коэф. фильтрации</t>
  </si>
  <si>
    <t>Длина корня анкера</t>
  </si>
  <si>
    <t>Агрессивность для бетона</t>
  </si>
  <si>
    <t>Агрессивность для стали</t>
  </si>
  <si>
    <t>Пересчит. гориз. реакция гр. основ.</t>
  </si>
  <si>
    <t>Обозн.</t>
  </si>
  <si>
    <t>Скважина</t>
  </si>
  <si>
    <t>Средние значения</t>
  </si>
  <si>
    <t>Консервативные значения</t>
  </si>
  <si>
    <t>Ожидаемые значения</t>
  </si>
  <si>
    <t>нет</t>
  </si>
  <si>
    <t>незначительно</t>
  </si>
  <si>
    <t>очень</t>
  </si>
  <si>
    <t>значительно</t>
  </si>
  <si>
    <t>z Скважины</t>
  </si>
  <si>
    <t>Номер разреза</t>
  </si>
  <si>
    <t>Стена и заполнитель</t>
  </si>
  <si>
    <t>Водопонижение</t>
  </si>
  <si>
    <t>Верх. стена</t>
  </si>
  <si>
    <t xml:space="preserve"> To stabilise the bottom of the excavation, base concrete is installed in sections. </t>
  </si>
  <si>
    <t>General</t>
  </si>
  <si>
    <t>max. Bewehrung net</t>
  </si>
  <si>
    <t>Index Längsbewehrung</t>
  </si>
  <si>
    <t>Überbeansprucht!!!!</t>
  </si>
  <si>
    <t>Rechteck</t>
  </si>
  <si>
    <t>Dreieck</t>
  </si>
  <si>
    <t>Pfähle</t>
  </si>
  <si>
    <t>Выводы</t>
  </si>
  <si>
    <t>Дата печати:</t>
  </si>
  <si>
    <t>less</t>
  </si>
  <si>
    <t xml:space="preserve">For the determination of earth resistance a </t>
  </si>
  <si>
    <t xml:space="preserve"> is considered.</t>
  </si>
  <si>
    <t>zu Vorderkante Wand</t>
  </si>
  <si>
    <t>Ankerende Lage</t>
  </si>
  <si>
    <t>to front of wall</t>
  </si>
  <si>
    <t>Datei</t>
  </si>
  <si>
    <t>file can not be opened with miniKEDIT</t>
  </si>
  <si>
    <t>File is not existing yet or it is deleted!</t>
  </si>
  <si>
    <t>The file name</t>
  </si>
  <si>
    <t>Cancel reading?</t>
  </si>
  <si>
    <t>Erst durch erneutes Speichern von</t>
  </si>
  <si>
    <t>Folgende Fehler im WALLS-Ergebnis von Schnitt</t>
  </si>
  <si>
    <t>were found:</t>
  </si>
  <si>
    <t>Grundwasserstand Schnitt</t>
  </si>
  <si>
    <t>is defined over top of the wall!</t>
  </si>
  <si>
    <t>Im Dateinamen oder -pfad</t>
  </si>
  <si>
    <t>einf. Korr</t>
  </si>
  <si>
    <t>dopp. Korr</t>
  </si>
  <si>
    <t>Keine Holzausfachung!</t>
  </si>
  <si>
    <t>without hydrostatic uplift</t>
  </si>
  <si>
    <t>Überdeckung</t>
  </si>
  <si>
    <t>Bemessungswert σd</t>
  </si>
  <si>
    <t>Kosten</t>
  </si>
  <si>
    <t>Cost</t>
  </si>
  <si>
    <t>Uk-Sohle</t>
  </si>
  <si>
    <t>Raster</t>
  </si>
  <si>
    <t>Δγ' Auftrieb</t>
  </si>
  <si>
    <t xml:space="preserve"> The walls are not supported. </t>
  </si>
  <si>
    <t>TBMIPmittig = Trägerbohlwand mit mittig angeordneter MIP-Ausfachung</t>
  </si>
  <si>
    <t>TBMIPerdseitig = Trägerbohlwand mit erdseitig angeordneter MIP-Ausfachung</t>
  </si>
  <si>
    <t xml:space="preserve">Mrs. </t>
  </si>
  <si>
    <t>change</t>
  </si>
  <si>
    <t>HPI (джет граутинг)</t>
  </si>
  <si>
    <t>HPI,  съществ. Sig=</t>
  </si>
  <si>
    <t>бетон</t>
  </si>
  <si>
    <t>тангиращ</t>
  </si>
  <si>
    <t>кладенец</t>
  </si>
  <si>
    <t>кладенец на самоизлив</t>
  </si>
  <si>
    <t>място на дрениране</t>
  </si>
  <si>
    <t>отвори в стена</t>
  </si>
  <si>
    <t>открито водочерпене</t>
  </si>
  <si>
    <t>Frank</t>
  </si>
  <si>
    <t>Holzhäuser</t>
  </si>
  <si>
    <t>NL Nordhausen</t>
  </si>
  <si>
    <t>Industrieweg 2a</t>
  </si>
  <si>
    <t>00201020</t>
  </si>
  <si>
    <t>00201030</t>
  </si>
  <si>
    <t>00201040</t>
  </si>
  <si>
    <t>Es wird die Aufnahme der Vertikalkraft auf Höhe der Baugrubensohle mit dem Ansatz von Spitzendruck und Mantelreibung nachgewiesen. Die Vertikalkomponente des Erdwiderstandes wird dementsprechend zur vertikalen Fußkraft hinzuaddiert.</t>
  </si>
  <si>
    <t>PFSpritzbeton = Pfahlbohlwand mit bewehrter Spritzbetonausfachung</t>
  </si>
  <si>
    <t>Clay, plastic</t>
  </si>
  <si>
    <t>Clay, stiff</t>
  </si>
  <si>
    <t>Clay, semisolid</t>
  </si>
  <si>
    <t>Clay, solid</t>
  </si>
  <si>
    <t>Silt,Plastic</t>
  </si>
  <si>
    <t>Silt, soft</t>
  </si>
  <si>
    <t>Silt, stiff</t>
  </si>
  <si>
    <t>Silt, Semisolid</t>
  </si>
  <si>
    <t>Silt, solid</t>
  </si>
  <si>
    <t>Sand, looes</t>
  </si>
  <si>
    <t>Sand,Semi dense</t>
  </si>
  <si>
    <t>Sand, dense</t>
  </si>
  <si>
    <t>Gravel, loose</t>
  </si>
  <si>
    <t>Gravel, Semi dense</t>
  </si>
  <si>
    <t>Gravel, dense</t>
  </si>
  <si>
    <t xml:space="preserve">Stone </t>
  </si>
  <si>
    <t>Short term</t>
  </si>
  <si>
    <t>Soil group table</t>
  </si>
  <si>
    <t>Safety against diaphragm wall,sliding surface  failure</t>
  </si>
  <si>
    <t>eta(gw) &gt;= 1,05 , Required</t>
  </si>
  <si>
    <t>eta(a)min &gt;= 1.1, required</t>
  </si>
  <si>
    <t>eta(i)min  &gt;= 1.0 , Required</t>
  </si>
  <si>
    <t>Upper edge</t>
  </si>
  <si>
    <t>Top edge</t>
  </si>
  <si>
    <t>Soil Layer</t>
  </si>
  <si>
    <t>Support  resistance</t>
  </si>
  <si>
    <t>Soil pressure</t>
  </si>
  <si>
    <t>Results</t>
  </si>
  <si>
    <t xml:space="preserve">Diagram </t>
  </si>
  <si>
    <t>Strip load</t>
  </si>
  <si>
    <t>Maximum sliding surface angle =</t>
  </si>
  <si>
    <t>Minimum  sliding surface angle =</t>
  </si>
  <si>
    <t>Calculation Interval</t>
  </si>
  <si>
    <t>Soil Group</t>
  </si>
  <si>
    <t>Mean partical size d10</t>
  </si>
  <si>
    <t>Specific weight under buoyancy</t>
  </si>
  <si>
    <t>Depth of the upper edge</t>
  </si>
  <si>
    <t>Number of Soil Layer</t>
  </si>
  <si>
    <r>
      <t>Abstand d</t>
    </r>
    <r>
      <rPr>
        <vertAlign val="subscript"/>
        <sz val="10"/>
        <rFont val="Arial"/>
        <family val="2"/>
      </rPr>
      <t>1</t>
    </r>
    <r>
      <rPr>
        <sz val="10"/>
        <rFont val="Arial"/>
        <family val="2"/>
      </rPr>
      <t xml:space="preserve"> bis zur Stahlachse</t>
    </r>
  </si>
  <si>
    <r>
      <t>Gewölberadius r</t>
    </r>
    <r>
      <rPr>
        <vertAlign val="subscript"/>
        <sz val="10"/>
        <rFont val="Arial"/>
        <family val="2"/>
      </rPr>
      <t>min</t>
    </r>
    <r>
      <rPr>
        <sz val="10"/>
        <rFont val="Arial"/>
        <family val="2"/>
      </rPr>
      <t xml:space="preserve"> =</t>
    </r>
  </si>
  <si>
    <r>
      <t>Festigkeit f</t>
    </r>
    <r>
      <rPr>
        <vertAlign val="subscript"/>
        <sz val="11"/>
        <rFont val="Arial"/>
        <family val="2"/>
      </rPr>
      <t>ck</t>
    </r>
    <r>
      <rPr>
        <sz val="11"/>
        <rFont val="Arial"/>
        <family val="2"/>
      </rPr>
      <t xml:space="preserve"> =</t>
    </r>
  </si>
  <si>
    <t>TW cement-bentonite</t>
  </si>
  <si>
    <t>mud</t>
  </si>
  <si>
    <t>Internal design forces:</t>
  </si>
  <si>
    <t>Unterkante Sohlankerung hat einen Abstand von</t>
  </si>
  <si>
    <t>WallMann hat ein  Problem</t>
  </si>
  <si>
    <t>Wallmann hat ein Problem!</t>
  </si>
  <si>
    <t xml:space="preserve">The bond force of the beam is a result of the normal force in the MIP wall, superponed with the outer normal force in the section. The maximum permissible bond force is a result of the bond stres with the minimal bond area towards the </t>
  </si>
  <si>
    <t xml:space="preserve">Top or the bottom of the wall. The permissible bond stress is used on the safe side according to 41014 table 9 as for soft rock. If the bond stress is not sufficiently small, </t>
  </si>
  <si>
    <t>SPWGurt = Spundwand mit Gurt</t>
  </si>
  <si>
    <t>SPWeingGurt = In Schlitz eingestellte Spundwand mit Gurt</t>
  </si>
  <si>
    <t>PF1:1 = Pfahlwand mit Bewehrung in jedem zweiten Pfahl</t>
  </si>
  <si>
    <t>Deutsch</t>
  </si>
  <si>
    <t>English</t>
  </si>
  <si>
    <t>Francais</t>
  </si>
  <si>
    <t>Espagnole</t>
  </si>
  <si>
    <t>Rumänisch</t>
  </si>
  <si>
    <t>Bohrung</t>
  </si>
  <si>
    <t>sondage</t>
  </si>
  <si>
    <t>perforación</t>
  </si>
  <si>
    <t>UK Dichtwand</t>
  </si>
  <si>
    <t>base paroi étanche</t>
  </si>
  <si>
    <t>B.I. muro impermeable</t>
  </si>
  <si>
    <t>Positionsbezeichnungen aktualisieren</t>
  </si>
  <si>
    <t xml:space="preserve">9. Generieren Schnittbezeichnungen mit </t>
  </si>
  <si>
    <t xml:space="preserve">9. Generate section text with </t>
  </si>
  <si>
    <t xml:space="preserve">Метал. лист </t>
  </si>
  <si>
    <t>Коэф. зап. микросвай</t>
  </si>
  <si>
    <t>Двойной анкер</t>
  </si>
  <si>
    <t>3-ой анкер</t>
  </si>
  <si>
    <t>4-ой анкер</t>
  </si>
  <si>
    <t>Мероприятия по защите цем. камня от разруш.</t>
  </si>
  <si>
    <t>IPE200</t>
  </si>
  <si>
    <t>IPE220</t>
  </si>
  <si>
    <t>01103</t>
  </si>
  <si>
    <t>Zeichner: Wallmann</t>
  </si>
  <si>
    <t xml:space="preserve">the files are saved as </t>
  </si>
  <si>
    <t xml:space="preserve"> at or in front of </t>
  </si>
  <si>
    <t>No timber lagging!</t>
  </si>
  <si>
    <t>Level</t>
  </si>
  <si>
    <t>Gerberträger mit Gleichlast</t>
  </si>
  <si>
    <t>Gleichlast mit Kragarmlänge Ankerabstand/2</t>
  </si>
  <si>
    <t>Gleichlast mit n-Feldern</t>
  </si>
  <si>
    <r>
      <t>in the depth z</t>
    </r>
    <r>
      <rPr>
        <vertAlign val="subscript"/>
        <sz val="10"/>
        <color indexed="8"/>
        <rFont val="Arial"/>
        <family val="2"/>
      </rPr>
      <t>L</t>
    </r>
    <r>
      <rPr>
        <sz val="10"/>
        <color indexed="8"/>
        <rFont val="Arial"/>
        <family val="2"/>
      </rPr>
      <t xml:space="preserve"> =</t>
    </r>
  </si>
  <si>
    <t>partial piece of section</t>
  </si>
  <si>
    <t>Bergstützung, Feld mit 2 Bohlen 100%, Kragarm 1 Bohle 100%</t>
  </si>
  <si>
    <t>Bergstützung, Feld mit 3 Bohlen 100%, Kragarm 1 Bohle 100%</t>
  </si>
  <si>
    <t>Bending stiffness:</t>
  </si>
  <si>
    <t>Beam only</t>
  </si>
  <si>
    <t>Completely cracked</t>
  </si>
  <si>
    <t>Uncracked</t>
  </si>
  <si>
    <t>4) Reduction over 50% for Fixation acc. to Blum</t>
  </si>
  <si>
    <t>z-lowest Anchor</t>
  </si>
  <si>
    <t>Top of wall</t>
  </si>
  <si>
    <t>z Foot/Base</t>
  </si>
  <si>
    <t>Utilization</t>
  </si>
  <si>
    <t>Largest span</t>
  </si>
  <si>
    <t>max. H-Pressure</t>
  </si>
  <si>
    <t>Pile spacing:</t>
  </si>
  <si>
    <t>Compilation of the section forces:</t>
  </si>
  <si>
    <t>Dimensioning:</t>
  </si>
  <si>
    <t>Concrete strength</t>
  </si>
  <si>
    <r>
      <t>Yield point of steel f</t>
    </r>
    <r>
      <rPr>
        <vertAlign val="subscript"/>
        <sz val="10"/>
        <color indexed="8"/>
        <rFont val="Arial"/>
        <family val="2"/>
      </rPr>
      <t>yK</t>
    </r>
  </si>
  <si>
    <t>Pile diameter D</t>
  </si>
  <si>
    <t>Length of the arch for the reinforcing cage</t>
  </si>
  <si>
    <r>
      <t>Req. reinforcement        A</t>
    </r>
    <r>
      <rPr>
        <vertAlign val="subscript"/>
        <sz val="10"/>
        <color indexed="8"/>
        <rFont val="Arial"/>
        <family val="2"/>
      </rPr>
      <t xml:space="preserve">sL </t>
    </r>
    <r>
      <rPr>
        <sz val="10"/>
        <color indexed="8"/>
        <rFont val="Arial"/>
        <family val="2"/>
      </rPr>
      <t xml:space="preserve"> =</t>
    </r>
  </si>
  <si>
    <t>See note</t>
  </si>
  <si>
    <t>selected:     longi. Rft.</t>
  </si>
  <si>
    <t>max. Reinforcement</t>
  </si>
  <si>
    <t>Nos.,     Ø</t>
  </si>
  <si>
    <t>max. Shear Force:</t>
  </si>
  <si>
    <t>Assoc. Moment:</t>
  </si>
  <si>
    <t>Assoc. Vertical force:</t>
  </si>
  <si>
    <t>Min. Shear force:</t>
  </si>
  <si>
    <t>Selected:    Helical Rft.</t>
  </si>
  <si>
    <t>State</t>
  </si>
  <si>
    <t>Spiral   Ø</t>
  </si>
  <si>
    <t>Analysiss</t>
  </si>
  <si>
    <t>Section force distribution of the structural computation</t>
  </si>
  <si>
    <t>Curtailing of bundles/ layers 1-U 2-D 3-T 4-Q 5-C 6-S</t>
  </si>
  <si>
    <t>Rft. air side:</t>
  </si>
  <si>
    <t>Spiral:</t>
  </si>
  <si>
    <t>Own weight</t>
  </si>
  <si>
    <t>UC254x254x73</t>
  </si>
  <si>
    <t>UC254x254x89</t>
  </si>
  <si>
    <t>UC254x254x107</t>
  </si>
  <si>
    <t>UC305x305x97</t>
  </si>
  <si>
    <t>UC305x305x118</t>
  </si>
  <si>
    <t>UC305x305x137</t>
  </si>
  <si>
    <t>UC356x368x129</t>
  </si>
  <si>
    <t>UC356x368x153</t>
  </si>
  <si>
    <t>UC356x368x177</t>
  </si>
  <si>
    <t>UC356x368x202</t>
  </si>
  <si>
    <t>UC356x406x235</t>
  </si>
  <si>
    <t>UC356x406x287</t>
  </si>
  <si>
    <t>UC356x406x340</t>
  </si>
  <si>
    <t>UC356x406x393</t>
  </si>
  <si>
    <t>UC356x406x467</t>
  </si>
  <si>
    <t>UC356x406x551</t>
  </si>
  <si>
    <t>UBP356x368x174</t>
  </si>
  <si>
    <t>UBP356x368x152</t>
  </si>
  <si>
    <t>UBP356x368x133</t>
  </si>
  <si>
    <t xml:space="preserve">Исходные данные согласно расчету WALLS и оценочных нормальных сил: </t>
  </si>
  <si>
    <t>Шаг балок:</t>
  </si>
  <si>
    <t>Макс. момент:</t>
  </si>
  <si>
    <t xml:space="preserve">Соотв. норм. сила: </t>
  </si>
  <si>
    <t xml:space="preserve">Мин. момент: </t>
  </si>
  <si>
    <t>Суммарное воздействие:</t>
  </si>
  <si>
    <t>Уменьшение на 50% Q согл. крепл. по Блюму</t>
  </si>
  <si>
    <t>Соотв. Nd =</t>
  </si>
  <si>
    <t>Соотв. Md =</t>
  </si>
  <si>
    <t xml:space="preserve">1) Коэф. запаса по материалу.: </t>
  </si>
  <si>
    <t xml:space="preserve">2) Предел. гибкость: </t>
  </si>
  <si>
    <t>Стенка балки:</t>
  </si>
  <si>
    <t>Полка балки:</t>
  </si>
  <si>
    <t xml:space="preserve"> слишком гибкая</t>
  </si>
  <si>
    <t xml:space="preserve">предел </t>
  </si>
  <si>
    <t>2) Оборачиваемость балок учтена в расчете предельной гибкости на величины поперечных и изгибающих усилий.</t>
  </si>
  <si>
    <t xml:space="preserve">Коэф. запаса стали </t>
  </si>
  <si>
    <t xml:space="preserve">Соотв. Nd = </t>
  </si>
  <si>
    <t>Нет помещенных стальных балок!!!</t>
  </si>
  <si>
    <t xml:space="preserve">Критерий для величины заглубления: </t>
  </si>
  <si>
    <t>Коэф. запаса на сцепл.</t>
  </si>
  <si>
    <t xml:space="preserve">рассчит. на глуб. = </t>
  </si>
  <si>
    <t>gam (верх суспензии) =</t>
  </si>
  <si>
    <t>gam (низ суспензии) =</t>
  </si>
  <si>
    <t>tauf (суспензия) =</t>
  </si>
  <si>
    <t>Верх суспензии =</t>
  </si>
  <si>
    <t xml:space="preserve">Длина панелей = </t>
  </si>
  <si>
    <t xml:space="preserve">Запас по сцеплению = </t>
  </si>
  <si>
    <t xml:space="preserve">Боков. давл. билинейн. (DIN 4126) </t>
  </si>
  <si>
    <t xml:space="preserve">Давл. покоя на форшахту </t>
  </si>
  <si>
    <t xml:space="preserve">Ширина панелей "стены в грунте" = </t>
  </si>
  <si>
    <t xml:space="preserve">Верхняя граница самого верхнего слоя грунта </t>
  </si>
  <si>
    <t xml:space="preserve">Высота верхней границы самого верхнего слоя грунта = </t>
  </si>
  <si>
    <t>Грунт-группа</t>
  </si>
  <si>
    <t>Интервал расчета</t>
  </si>
  <si>
    <t xml:space="preserve">Мин. угол поверхн. скольжения = </t>
  </si>
  <si>
    <t xml:space="preserve">Макс. угол поверхн. скольжения = </t>
  </si>
  <si>
    <t>Откосы</t>
  </si>
  <si>
    <t xml:space="preserve">Высота </t>
  </si>
  <si>
    <t xml:space="preserve"> Откос</t>
  </si>
  <si>
    <t>Откос 1</t>
  </si>
  <si>
    <t>Откос 2</t>
  </si>
  <si>
    <t>Откос 3</t>
  </si>
  <si>
    <t>Откос 4</t>
  </si>
  <si>
    <t>Откос 5</t>
  </si>
  <si>
    <t>Откос 6</t>
  </si>
  <si>
    <t>Графическое представление</t>
  </si>
  <si>
    <t>Результаты и проверки</t>
  </si>
  <si>
    <t>Глубина расчета</t>
  </si>
  <si>
    <t>Угол скольж. поверхности</t>
  </si>
  <si>
    <t>Давл. грунта</t>
  </si>
  <si>
    <t>Давл. суспензии</t>
  </si>
  <si>
    <t>Коэф. запаса</t>
  </si>
  <si>
    <t>Градиент давления</t>
  </si>
  <si>
    <t>Поверх. нагр. 1</t>
  </si>
  <si>
    <t>Поверх. нагр. 2</t>
  </si>
  <si>
    <t>Поверх. нагр. 3</t>
  </si>
  <si>
    <t>Поверх. нагр. 4</t>
  </si>
  <si>
    <t>Поверх. нагр. 5</t>
  </si>
  <si>
    <t>Поверх. нагр. 6</t>
  </si>
  <si>
    <t>Поверх. нагр. 7</t>
  </si>
  <si>
    <t>Поверх. нагр. 8</t>
  </si>
  <si>
    <t>Поверх. нагр. 9</t>
  </si>
  <si>
    <t>Поверх. нагр. 10</t>
  </si>
  <si>
    <t xml:space="preserve">при глубине расчета = </t>
  </si>
  <si>
    <t>Условия расчета</t>
  </si>
  <si>
    <t>Грунт</t>
  </si>
  <si>
    <t>Геологические разрезы</t>
  </si>
  <si>
    <t>Распределение реакции грунтового основания ниже дна котлована</t>
  </si>
  <si>
    <t>Заданное распределение давл. воды</t>
  </si>
  <si>
    <t>Основные допущения при расчете</t>
  </si>
  <si>
    <t>Коэф. EI</t>
  </si>
  <si>
    <t>Взвешив. действ. воды</t>
  </si>
  <si>
    <t>N-Bem собст. вес</t>
  </si>
  <si>
    <t>Тип стены</t>
  </si>
  <si>
    <t>Откос, нагрузка</t>
  </si>
  <si>
    <t>Тангенс для распространения от блока нагрузок</t>
  </si>
  <si>
    <t>Подпорная стена</t>
  </si>
  <si>
    <t>Область разреза</t>
  </si>
  <si>
    <t>Верх стены/уровень земли</t>
  </si>
  <si>
    <t>Подошва стены</t>
  </si>
  <si>
    <t>УГВ</t>
  </si>
  <si>
    <t>Подошва непроницаумой стены</t>
  </si>
  <si>
    <t>Тип расчета</t>
  </si>
  <si>
    <t>Проф. U&amp;I</t>
  </si>
  <si>
    <t>Номер U&amp;I</t>
  </si>
  <si>
    <t xml:space="preserve">Диаметр бурения </t>
  </si>
  <si>
    <t>Толщ. стены =</t>
  </si>
  <si>
    <t>Шаг балок/бурения</t>
  </si>
  <si>
    <t xml:space="preserve">Высота подошвы </t>
  </si>
  <si>
    <t>HDI-выступ</t>
  </si>
  <si>
    <t>b HDI-выступ</t>
  </si>
  <si>
    <t>b HDI-низ</t>
  </si>
  <si>
    <t>b HDI-колея</t>
  </si>
  <si>
    <t xml:space="preserve">Верх гр. нагелей </t>
  </si>
  <si>
    <t xml:space="preserve">Наклон стены </t>
  </si>
  <si>
    <t xml:space="preserve">Ряды нагелей </t>
  </si>
  <si>
    <t>Крепление подпорной стены</t>
  </si>
  <si>
    <t>Расположение крепления</t>
  </si>
  <si>
    <t>Перераспред.</t>
  </si>
  <si>
    <t>Крепление в виде плиты</t>
  </si>
  <si>
    <t>Полн. экскавация</t>
  </si>
  <si>
    <t>00202340</t>
  </si>
  <si>
    <t>00202350</t>
  </si>
  <si>
    <t>00202360</t>
  </si>
  <si>
    <t>00202370</t>
  </si>
  <si>
    <t>00202380</t>
  </si>
  <si>
    <t>00202390</t>
  </si>
  <si>
    <t>Kriterien für Einbindtiefe:</t>
  </si>
  <si>
    <t>Betonspannung</t>
  </si>
  <si>
    <t>Schubspannung Trägereinspannung &lt; zul</t>
  </si>
  <si>
    <t>Uk Steckverbau</t>
  </si>
  <si>
    <t>Wendel/Bügel</t>
  </si>
  <si>
    <t>Pfahlkraft</t>
  </si>
  <si>
    <t>Durchmesser Kopf</t>
  </si>
  <si>
    <t>Bemessungsergebnis</t>
  </si>
  <si>
    <t>BAUER Lebanon</t>
  </si>
  <si>
    <t>BAUER Lebanon Foundation Specialists S.A.R.L.</t>
  </si>
  <si>
    <t>мягкий гель</t>
  </si>
  <si>
    <t>мелкий цемент</t>
  </si>
  <si>
    <t>подводное бетонирование</t>
  </si>
  <si>
    <t>подготовка из тощего бетона</t>
  </si>
  <si>
    <t>проект котлована</t>
  </si>
  <si>
    <t>план</t>
  </si>
  <si>
    <t>скважины</t>
  </si>
  <si>
    <t>Soil type</t>
  </si>
  <si>
    <t>Secondary soil, Major soil</t>
  </si>
  <si>
    <t>Angle of friction</t>
  </si>
  <si>
    <t>Specif. weight</t>
  </si>
  <si>
    <t>Cohesion</t>
  </si>
  <si>
    <t>Submerged Specif. weight of soil</t>
  </si>
  <si>
    <t>End-bearing pressure</t>
  </si>
  <si>
    <t>Sistem secant 1:1</t>
  </si>
  <si>
    <t>Sistem secant 1:3</t>
  </si>
  <si>
    <t>kN/m²</t>
  </si>
  <si>
    <t>Пояснения и ремарки могут быть добавлены на листе MATR для отдельного разреза. Если ячейки пустые на листе MATR, то на листе SCHNITT будет использован текст по-умолчанию.</t>
  </si>
  <si>
    <t>Контроль добавляемого автоматически текста для листов ERL и SCHNITT!</t>
  </si>
  <si>
    <t>Разрешение 1</t>
  </si>
  <si>
    <t>Разрешение 2</t>
  </si>
  <si>
    <t>Разрешение 3</t>
  </si>
  <si>
    <t>Авто+Дополн.</t>
  </si>
  <si>
    <t>Автомат</t>
  </si>
  <si>
    <t xml:space="preserve">Дополнения </t>
  </si>
  <si>
    <t xml:space="preserve">Для проекта </t>
  </si>
  <si>
    <t xml:space="preserve">, котлован будет раскреплен подпорной конструкцией. Котлован будет крепиться с помощью </t>
  </si>
  <si>
    <t>$E</t>
  </si>
  <si>
    <t>Holzausfachung Träger incl. gemippter Träger</t>
  </si>
  <si>
    <t>Spritzbetonausfachung Träger</t>
  </si>
  <si>
    <t>1-3/5-1-Pfahlgewölbe / MIP-Gewölbe mittig in Pfahlwand</t>
  </si>
  <si>
    <t>Spritzbetonausfachung Pfahlwand</t>
  </si>
  <si>
    <t>Spritzbetongewölbeausfachung T/PF/PFB</t>
  </si>
  <si>
    <t>MIP-Gewölbe</t>
  </si>
  <si>
    <t>Nachweis Spritzbetonsicherung</t>
  </si>
  <si>
    <t>Entfallen durch neue Normen!</t>
  </si>
  <si>
    <t>Steckträgernachweis</t>
  </si>
  <si>
    <t>Pfahlnachweis</t>
  </si>
  <si>
    <t xml:space="preserve">Schlitzwandnachweis </t>
  </si>
  <si>
    <t>Nachweis MIP-Verbundträger</t>
  </si>
  <si>
    <t>Ankernachweis !Bemessung</t>
  </si>
  <si>
    <t>Nachweis Ableitung Vertikalkräfte</t>
  </si>
  <si>
    <t>Nachweis Ableitung Vertikalkräfte gerammt</t>
  </si>
  <si>
    <t>Nachweis tiefliegende Sohle</t>
  </si>
  <si>
    <t>Nachweis hoch- und mittelhochliegende Sohle</t>
  </si>
  <si>
    <t>Gurtnachweis L, 2L, U, 2U, I, 2I</t>
  </si>
  <si>
    <t>keine Gurtbewehrung erforderlich</t>
  </si>
  <si>
    <t>unbewehrte Ausführung nicht möglich</t>
  </si>
  <si>
    <t>Gleitsicherheit Wandanschnitt:</t>
  </si>
  <si>
    <t>Gewölbeneigung</t>
  </si>
  <si>
    <t>Grenzreibbeiwert</t>
  </si>
  <si>
    <t>Nachweis Wandeinfluß auf die Sohlverankerung</t>
  </si>
  <si>
    <t>Wanddaten</t>
  </si>
  <si>
    <t>Wandgewicht</t>
  </si>
  <si>
    <t>vertikaler Erddruckanteil</t>
  </si>
  <si>
    <t>Pfahlfläche Apfahl</t>
  </si>
  <si>
    <t>Halbe Baugrubenbreite</t>
  </si>
  <si>
    <t>TE18</t>
  </si>
  <si>
    <t>PE18</t>
  </si>
  <si>
    <t>Roland</t>
  </si>
  <si>
    <t>Heinrich</t>
  </si>
  <si>
    <r>
      <t xml:space="preserve">Anpassungsfaktor Erdwiderstand η </t>
    </r>
    <r>
      <rPr>
        <vertAlign val="subscript"/>
        <sz val="10"/>
        <color indexed="8"/>
        <rFont val="Arial"/>
        <family val="2"/>
      </rPr>
      <t>Ep</t>
    </r>
    <r>
      <rPr>
        <sz val="10"/>
        <color indexed="8"/>
        <rFont val="Arial"/>
        <family val="2"/>
      </rPr>
      <t xml:space="preserve"> =</t>
    </r>
  </si>
  <si>
    <r>
      <t>Sicherheit Widerstand Bauholz γ</t>
    </r>
    <r>
      <rPr>
        <vertAlign val="subscript"/>
        <sz val="10"/>
        <rFont val="Arial"/>
        <family val="2"/>
      </rPr>
      <t>M</t>
    </r>
    <r>
      <rPr>
        <sz val="10"/>
        <rFont val="Arial"/>
        <family val="2"/>
      </rPr>
      <t xml:space="preserve"> =</t>
    </r>
  </si>
  <si>
    <r>
      <t xml:space="preserve">1) </t>
    </r>
    <r>
      <rPr>
        <sz val="10"/>
        <rFont val="Arial"/>
        <family val="2"/>
      </rPr>
      <t>maßgeblich ist V - Vorbau oder E - End-/Vollaushub</t>
    </r>
  </si>
  <si>
    <r>
      <t>Sicherheit Einwirkung γ</t>
    </r>
    <r>
      <rPr>
        <vertAlign val="subscript"/>
        <sz val="10"/>
        <rFont val="Arial"/>
        <family val="2"/>
      </rPr>
      <t xml:space="preserve">G </t>
    </r>
    <r>
      <rPr>
        <sz val="10"/>
        <rFont val="Arial"/>
        <family val="2"/>
      </rPr>
      <t>=</t>
    </r>
  </si>
  <si>
    <r>
      <t>zugeh. N</t>
    </r>
    <r>
      <rPr>
        <vertAlign val="subscript"/>
        <sz val="10"/>
        <color indexed="8"/>
        <rFont val="Arial"/>
        <family val="2"/>
      </rPr>
      <t>D</t>
    </r>
    <r>
      <rPr>
        <sz val="10"/>
        <color indexed="8"/>
        <rFont val="Arial"/>
        <family val="2"/>
      </rPr>
      <t xml:space="preserve"> =</t>
    </r>
  </si>
  <si>
    <r>
      <t>1)</t>
    </r>
    <r>
      <rPr>
        <sz val="10"/>
        <rFont val="Arial"/>
        <family val="2"/>
      </rPr>
      <t xml:space="preserve"> Der Widerstand der Stützung wird größer gleich der Einwirkung gewählt.</t>
    </r>
  </si>
  <si>
    <r>
      <t>Bruchlast  R</t>
    </r>
    <r>
      <rPr>
        <vertAlign val="subscript"/>
        <sz val="10"/>
        <rFont val="Arial"/>
        <family val="2"/>
      </rPr>
      <t>n,k</t>
    </r>
    <r>
      <rPr>
        <sz val="10"/>
        <rFont val="Arial"/>
        <family val="2"/>
      </rPr>
      <t xml:space="preserve"> =</t>
    </r>
  </si>
  <si>
    <r>
      <t>Mantelreibungsfläche A</t>
    </r>
    <r>
      <rPr>
        <vertAlign val="subscript"/>
        <sz val="10"/>
        <rFont val="Arial"/>
        <family val="2"/>
      </rPr>
      <t>s</t>
    </r>
    <r>
      <rPr>
        <sz val="10"/>
        <rFont val="Arial"/>
        <family val="2"/>
      </rPr>
      <t>=</t>
    </r>
  </si>
  <si>
    <t xml:space="preserve">BAUER Spezialtiefbau Ges.m.b.H.  • A 1110 Wien • Telefon (+43)1-7602206 • Fax  (+43) 1-7602222
</t>
  </si>
  <si>
    <t>BAUER Spezialtiefbau Ges.m.b.H.</t>
  </si>
  <si>
    <t xml:space="preserve">The saftey factor of the foot support for the calculation of the section forces and anchor forces is </t>
  </si>
  <si>
    <t xml:space="preserve"> werden unter Anrechnung der vorhandenen Bindebleche zur Verbundsicherung angeordnet.</t>
  </si>
  <si>
    <t>Biegesteifigkeit:</t>
  </si>
  <si>
    <t>nur Träger</t>
  </si>
  <si>
    <t>Gesamt gerissen</t>
  </si>
  <si>
    <t>Gesamt ungerissen</t>
  </si>
  <si>
    <t xml:space="preserve"> werden Sicherungen der Baugrube erforderlich. Die Baugrubenwände werden gesichert durch </t>
  </si>
  <si>
    <t xml:space="preserve"> Die Ausfachung der Wände erfolgt mit </t>
  </si>
  <si>
    <t>Silty</t>
  </si>
  <si>
    <t>Coarse</t>
  </si>
  <si>
    <t>Medium</t>
  </si>
  <si>
    <t>Fine</t>
  </si>
  <si>
    <t>z Boreholes</t>
  </si>
  <si>
    <t>Offset of walls</t>
  </si>
  <si>
    <t xml:space="preserve"> von </t>
  </si>
  <si>
    <t xml:space="preserve"> from </t>
  </si>
  <si>
    <t>2. Explanation</t>
  </si>
  <si>
    <t>Spundwände</t>
  </si>
  <si>
    <t>Schlitzwände</t>
  </si>
  <si>
    <t>Unterfangungen</t>
  </si>
  <si>
    <t>Bodenvernagelungen</t>
  </si>
  <si>
    <t>$MATR</t>
  </si>
  <si>
    <t>Massenmatrix Verbauarbeiten</t>
  </si>
  <si>
    <t>Summen</t>
  </si>
  <si>
    <t xml:space="preserve"> Massenmatrix</t>
  </si>
  <si>
    <t>Schlitzlänge/Korb</t>
  </si>
  <si>
    <t>Safety against diaphragm wall ,sliding surface  failure</t>
  </si>
  <si>
    <t>MIP (béton de sol)</t>
  </si>
  <si>
    <t>Berme 4</t>
  </si>
  <si>
    <t xml:space="preserve"> mit ''Workbooks/Save Workbook'' als leeres Eingabeformular gespeichert werden.</t>
  </si>
  <si>
    <t>γc,cu Kohäsion un-, dränierter Boden</t>
  </si>
  <si>
    <t>γN,Z Boden-, Felsnägel, Zugpfähle</t>
  </si>
  <si>
    <t>γB Flexible Bewehrungselemente</t>
  </si>
  <si>
    <t>γM Baustahl</t>
  </si>
  <si>
    <t>Krause</t>
  </si>
  <si>
    <t>Andreas.Krause@bauer.de</t>
  </si>
  <si>
    <t>L 605 K</t>
  </si>
  <si>
    <t>L 603 K</t>
  </si>
  <si>
    <t>L 603 10/10</t>
  </si>
  <si>
    <t>Вертикальная несущая способность ограждения проверяется в уровне подошвы стены / или бетонной заглушки, проверяя защиту против разрушения грунта</t>
  </si>
  <si>
    <t xml:space="preserve">Bügelbewehrung über </t>
  </si>
  <si>
    <t xml:space="preserve">Wendelquerschnitt über </t>
  </si>
  <si>
    <t xml:space="preserve">Spiral cross section over </t>
  </si>
  <si>
    <t>Доп. армиров. на гор. или верт. продавл. должно быть помещено</t>
  </si>
  <si>
    <t>Нет анкеров!</t>
  </si>
  <si>
    <t>Автор</t>
  </si>
  <si>
    <t>Программа</t>
  </si>
  <si>
    <t>Строительство</t>
  </si>
  <si>
    <t>Р А С Ч Е Т   А Н К Е Р О В     Разрез</t>
  </si>
  <si>
    <t xml:space="preserve">Номер проекта </t>
  </si>
  <si>
    <t xml:space="preserve">Сущ. сдвиг </t>
  </si>
  <si>
    <t>Напряжение =</t>
  </si>
  <si>
    <t>Напряжение, повышенное</t>
  </si>
  <si>
    <t>Sicherheit Material</t>
  </si>
  <si>
    <t>nach Zulassung</t>
  </si>
  <si>
    <t>nach DIN1045</t>
  </si>
  <si>
    <t>Nachweis: 0-plast 1-elast</t>
  </si>
  <si>
    <t>Abstand e  Träger-Anker</t>
  </si>
  <si>
    <t>$STEI</t>
  </si>
  <si>
    <t>Keine Steife!</t>
  </si>
  <si>
    <t>Wall &amp; Infill</t>
  </si>
  <si>
    <t xml:space="preserve"> Wall with driven H-beam &amp; Timber Infill</t>
  </si>
  <si>
    <t>PF1:1&amp;Steck</t>
  </si>
  <si>
    <t>PF1:1&amp;insert</t>
  </si>
  <si>
    <t>PF1:3</t>
  </si>
  <si>
    <t>PF tangierend</t>
  </si>
  <si>
    <t>SCH</t>
  </si>
  <si>
    <t>SCH&amp;Steck</t>
  </si>
  <si>
    <t>Explanation</t>
  </si>
  <si>
    <t>Schnittdar-stellung</t>
  </si>
  <si>
    <t>Sectional view</t>
  </si>
  <si>
    <t>Eingabedaten</t>
  </si>
  <si>
    <t>Input data</t>
  </si>
  <si>
    <t>Сила в анкере N-ek</t>
  </si>
  <si>
    <t>Давл. грунт+вода σ-ek</t>
  </si>
  <si>
    <t>Доп. армиров. на продавл. необходимо</t>
  </si>
  <si>
    <t>треб.</t>
  </si>
  <si>
    <t xml:space="preserve">Der Schnitt ist der untere Teil eines Staffelverbaus. Oben liegt Schnitt </t>
  </si>
  <si>
    <t xml:space="preserve">This section is the lower part of the staggered support. Above is section </t>
  </si>
  <si>
    <t>Keine Schlitzwand!</t>
  </si>
  <si>
    <t>No diaphragm wall!</t>
  </si>
  <si>
    <t>Stahlwand</t>
  </si>
  <si>
    <t>Betonwand</t>
  </si>
  <si>
    <t>Staffel Bewehrung</t>
  </si>
  <si>
    <t>Klasse</t>
  </si>
  <si>
    <t>No H-Beam wall plastic calculation!</t>
  </si>
  <si>
    <t>effective depth d</t>
  </si>
  <si>
    <t>00203120</t>
  </si>
  <si>
    <t>00203130</t>
  </si>
  <si>
    <r>
      <t>zug. Normalkraft N</t>
    </r>
    <r>
      <rPr>
        <vertAlign val="subscript"/>
        <sz val="10"/>
        <rFont val="Arial"/>
        <family val="2"/>
      </rPr>
      <t>E</t>
    </r>
    <r>
      <rPr>
        <sz val="10"/>
        <rFont val="Arial"/>
        <family val="2"/>
      </rPr>
      <t xml:space="preserve"> =</t>
    </r>
  </si>
  <si>
    <r>
      <t>in der Tiefe z</t>
    </r>
    <r>
      <rPr>
        <vertAlign val="subscript"/>
        <sz val="10"/>
        <rFont val="Arial"/>
        <family val="2"/>
      </rPr>
      <t>E</t>
    </r>
    <r>
      <rPr>
        <sz val="10"/>
        <rFont val="Arial"/>
        <family val="2"/>
      </rPr>
      <t xml:space="preserve"> =</t>
    </r>
  </si>
  <si>
    <t>zero level</t>
  </si>
  <si>
    <t>OK-Planum</t>
  </si>
  <si>
    <t>UK-Schablone</t>
  </si>
  <si>
    <t>OK-Wand</t>
  </si>
  <si>
    <t>z-GW Wand</t>
  </si>
  <si>
    <t>aggressiveness to concrete</t>
  </si>
  <si>
    <t>aggressiveness to steel</t>
  </si>
  <si>
    <t>slightly</t>
  </si>
  <si>
    <t>00203140</t>
  </si>
  <si>
    <t xml:space="preserve">The vertical capacity is verified at the level of excavation by end bearing and skin friction. The vertical component of the passive earth pressure is added to the vertical foot force. </t>
  </si>
  <si>
    <t>GEWI-pile; basic corrosion protected</t>
  </si>
  <si>
    <t>GEWI-pile; double corrosion protected</t>
  </si>
  <si>
    <t>TSVP-GEWI PESVP-GEWI basic corr. protected; PDSVP-GEWI double corr. protected</t>
  </si>
  <si>
    <t>Rysunek jest chroniony prawnie i nie moze byc kopiowany lub prezentowany bez specjalnego pozwolenia, chyba ze: 1) zawarto kontrakt z Bauer Spezialtiefbau GmbH lub jedna z  filii firmy</t>
  </si>
  <si>
    <t xml:space="preserve">Korrosionsabschlag </t>
  </si>
  <si>
    <t>2.2. Geotechnical assumptions</t>
  </si>
  <si>
    <t>wells in the excavation pit. The distribution of the waterpressure on the wall is destressed with one layer of drainage-lances behind the wall.</t>
  </si>
  <si>
    <t>ohne Verknuepfungen als Exceldatei gespeichert werden?</t>
  </si>
  <si>
    <t>Massstab: ohne</t>
  </si>
  <si>
    <t>Lageplan Massstab: ohne</t>
  </si>
  <si>
    <t>layout scale: without</t>
  </si>
  <si>
    <t>Vue en plan Echelle: ---</t>
  </si>
  <si>
    <t>Plan de posiciones Escala: ---</t>
  </si>
  <si>
    <t>Plan de situatie Scara: ---</t>
  </si>
  <si>
    <t>Ситуация М: ---</t>
  </si>
  <si>
    <t>Geologie</t>
  </si>
  <si>
    <t>geology</t>
  </si>
  <si>
    <t>Toe of cut off wall</t>
  </si>
  <si>
    <t>Toe of nonreinforced piles</t>
  </si>
  <si>
    <t>Concrete plug D=</t>
  </si>
  <si>
    <t>Sandconcrete D=</t>
  </si>
  <si>
    <t>Pile wall D=</t>
  </si>
  <si>
    <t>Diaphragm wall d=</t>
  </si>
  <si>
    <t>Shotcrete d=</t>
  </si>
  <si>
    <t>Timber lagging s=</t>
  </si>
  <si>
    <t>Shotcrete arch</t>
  </si>
  <si>
    <t>Cement-bentonite-slurry</t>
  </si>
  <si>
    <t>Jet Grouting (HPI)</t>
  </si>
  <si>
    <t>Concrete</t>
  </si>
  <si>
    <t>Well</t>
  </si>
  <si>
    <t>Overflow well</t>
  </si>
  <si>
    <t>Well point</t>
  </si>
  <si>
    <t>Pfahlbohlwand mit Ausfachung durch 3 unbewehrte Pfähle</t>
  </si>
  <si>
    <t>Pfahlbohlwand mit bewehrter Spritzbetonausfachung</t>
  </si>
  <si>
    <t>Pfahlbohlwand mit Spritzbetongewölbe</t>
  </si>
  <si>
    <t>Pfahlbohlwand mit mittig angeordneter MIP-Ausfachung</t>
  </si>
  <si>
    <t>Bezeichnung</t>
  </si>
  <si>
    <t>Neigungsausgleich</t>
  </si>
  <si>
    <t>Ankerplatte</t>
  </si>
  <si>
    <t>Knagge</t>
  </si>
  <si>
    <t>Stegplatte</t>
  </si>
  <si>
    <t>Konsole</t>
  </si>
  <si>
    <t>Schweißnahtdicke</t>
  </si>
  <si>
    <t>Anzahl der Nähte</t>
  </si>
  <si>
    <t>N obciazenie skupione</t>
  </si>
  <si>
    <t>Blad,….</t>
  </si>
  <si>
    <t>sciana</t>
  </si>
  <si>
    <t>HPI - Sigma</t>
  </si>
  <si>
    <t>dowod</t>
  </si>
  <si>
    <t>Schichtdicke  [m]</t>
  </si>
  <si>
    <t>Kohäsion c' [KN/m³]</t>
  </si>
  <si>
    <t>Wichte γ  [KN/m³]</t>
  </si>
  <si>
    <t>Wichte γ' [KN/m³]</t>
  </si>
  <si>
    <t>Summe</t>
  </si>
  <si>
    <t>Fußausbildung:</t>
  </si>
  <si>
    <t>Einspanntiefe =</t>
  </si>
  <si>
    <t>Sohlfläche</t>
  </si>
  <si>
    <t>Tragfähigkeitsbeiwerte</t>
  </si>
  <si>
    <t>Spannungsermittlung:</t>
  </si>
  <si>
    <t>P.O. Box 1260
D-86522 Schrobenhausen
Germany
Phone +49-(0)8252-97-1178 Fax +49-(0)8252-97-1493</t>
  </si>
  <si>
    <t>Cut off</t>
  </si>
  <si>
    <t>Beton, bewehrt</t>
  </si>
  <si>
    <t>Beton, unbewehrt</t>
  </si>
  <si>
    <t>Grundwasser</t>
  </si>
  <si>
    <t>Number</t>
  </si>
  <si>
    <t>Verpresslänge</t>
  </si>
  <si>
    <t>WALLS-Import und Umrechnungen</t>
  </si>
  <si>
    <t>n-Fuß</t>
  </si>
  <si>
    <t>Slab area [m²]</t>
  </si>
  <si>
    <t>подошва "стены в грунте"</t>
  </si>
  <si>
    <t>принятая:   спиральная арматура</t>
  </si>
  <si>
    <t>Участок</t>
  </si>
  <si>
    <t>Спираль   Ø</t>
  </si>
  <si>
    <t xml:space="preserve">Распределения внутреннего усилия при расчете </t>
  </si>
  <si>
    <t>Последовательность узлов / слоев 1-U 2-D 3-T 4-Q 5-C 6-S</t>
  </si>
  <si>
    <t>Data applies to all sections! Data will be overwritten by the update!</t>
  </si>
  <si>
    <t>Formbeiwerte f. Kreis</t>
  </si>
  <si>
    <t>Vertikalkraft</t>
  </si>
  <si>
    <t>Winkel zw. den Teilschlitzen =</t>
  </si>
  <si>
    <t>GEWI 28 einf Korrschutz</t>
  </si>
  <si>
    <t>GEWI 32 einf Korrschutz</t>
  </si>
  <si>
    <t>GEWI 40 einf Korrschutz</t>
  </si>
  <si>
    <t>GEWI 50 einf Korrschutz</t>
  </si>
  <si>
    <t>GEWI 63 einf Korrschutz</t>
  </si>
  <si>
    <t>GEWI 28 dopp Korrschutz</t>
  </si>
  <si>
    <t>Anschreiben</t>
  </si>
  <si>
    <t>1. Seite</t>
  </si>
  <si>
    <t>Language input</t>
  </si>
  <si>
    <t>Sprache Ausgabe</t>
  </si>
  <si>
    <t>Language output</t>
  </si>
  <si>
    <t>Pfahlwand mit Bewehrung in jedem vierten Pfahl</t>
  </si>
  <si>
    <t>Tangierende Pfahlwand mit Bewehrung in jedem Pfahl</t>
  </si>
  <si>
    <t>Ortbetonschlitzwand</t>
  </si>
  <si>
    <t>Ortbetonschlitzwand mit Steckträgerverbau</t>
  </si>
  <si>
    <t>ил тв.</t>
  </si>
  <si>
    <t>ил п/тв.</t>
  </si>
  <si>
    <t>ил тугопл.</t>
  </si>
  <si>
    <t>ил мягк.</t>
  </si>
  <si>
    <t>ил оч. мягк.</t>
  </si>
  <si>
    <t>глина тв.</t>
  </si>
  <si>
    <t>глина п/тв.</t>
  </si>
  <si>
    <t>глина тугопл.</t>
  </si>
  <si>
    <t>глина мягк.</t>
  </si>
  <si>
    <t>глина оч. мягк.</t>
  </si>
  <si>
    <t>мерг. тв.</t>
  </si>
  <si>
    <t>мерг. п/тв.</t>
  </si>
  <si>
    <t>мерг. тугопл.</t>
  </si>
  <si>
    <t>мерг. мягк.</t>
  </si>
  <si>
    <t>мерг. оч. мягк.</t>
  </si>
  <si>
    <t>насыпь</t>
  </si>
  <si>
    <t>орг., пл.</t>
  </si>
  <si>
    <t>орг., мягк.</t>
  </si>
  <si>
    <t xml:space="preserve">скала оч. тв. </t>
  </si>
  <si>
    <t xml:space="preserve">скала тв. </t>
  </si>
  <si>
    <t>скала мягк.</t>
  </si>
  <si>
    <t>почва</t>
  </si>
  <si>
    <t>глин./морс. ил</t>
  </si>
  <si>
    <t>слоистая глина</t>
  </si>
  <si>
    <t>вулк. зола</t>
  </si>
  <si>
    <t>корич. уголь</t>
  </si>
  <si>
    <t>ж/бетон</t>
  </si>
  <si>
    <t>древесина</t>
  </si>
  <si>
    <t>кирпичный</t>
  </si>
  <si>
    <t xml:space="preserve">Проект: </t>
  </si>
  <si>
    <t xml:space="preserve">Разработал: </t>
  </si>
  <si>
    <t xml:space="preserve">Конструкция: </t>
  </si>
  <si>
    <t xml:space="preserve">Элем. конструкции: </t>
  </si>
  <si>
    <t>Grenzzustandsbedingung Sicherheit gegen Abheben:</t>
  </si>
  <si>
    <t>boundary conditions uplift safety:</t>
  </si>
  <si>
    <t>Bemessung Sohlverankerung:</t>
  </si>
  <si>
    <t>b max-ah [cm]</t>
  </si>
  <si>
    <t>TO</t>
  </si>
  <si>
    <t>z erdge</t>
  </si>
  <si>
    <t>BO</t>
  </si>
  <si>
    <t>Bovena</t>
  </si>
  <si>
    <t>GOK Ansatzpunkt</t>
  </si>
  <si>
    <t>Warze</t>
  </si>
  <si>
    <t>Es wird die Aufnahme der Vertikalkraft auf Höhe des Wandfußes bzw. der Betonplombe mit dem Nachweis der Grundbruchsicherheit überprüft.</t>
  </si>
  <si>
    <r>
      <t>1)</t>
    </r>
    <r>
      <rPr>
        <sz val="10"/>
        <color indexed="8"/>
        <rFont val="Arial"/>
        <family val="2"/>
      </rPr>
      <t xml:space="preserve"> G wird auf Höhe der Baugrubensohle unter Berücksichtigung des Wasserdruckes auf UK-Wand ermittelt.</t>
    </r>
  </si>
  <si>
    <t>Belastung:</t>
  </si>
  <si>
    <t>Trägerabstand</t>
  </si>
  <si>
    <t>Pfahlabstand</t>
  </si>
  <si>
    <t>Wandlänge</t>
  </si>
  <si>
    <t>Keine Zusatzbindebleche zur Verbundsicherung erforderlich</t>
  </si>
  <si>
    <t>P.O. Box 1260
D-86522 Schrobenhausen
Germany
phone:+49-(0)8252-97-1178               fax:+49-(0)8252-97-1359</t>
  </si>
  <si>
    <t>miekki zel</t>
  </si>
  <si>
    <t>cement drobny</t>
  </si>
  <si>
    <t>beton podwodny</t>
  </si>
  <si>
    <t>plan sytuacyjny</t>
  </si>
  <si>
    <t>parametry gruntu</t>
  </si>
  <si>
    <t>przekroj</t>
  </si>
  <si>
    <t xml:space="preserve">BAUER International  </t>
  </si>
  <si>
    <t>Klient,</t>
  </si>
  <si>
    <t>Wlasciciel</t>
  </si>
  <si>
    <t>Plan sytuacyjny</t>
  </si>
  <si>
    <t>Projekt nr</t>
  </si>
  <si>
    <t>Skala : bez</t>
  </si>
  <si>
    <t>Bauer Polska</t>
  </si>
  <si>
    <t xml:space="preserve">BAUER Funderingstechniek B.V.  • NL 3641 SK Mijdrecht • Telefoon (+31) 297 231150 • Fax  (+31) 297 231155
</t>
  </si>
  <si>
    <t xml:space="preserve">BAUER Spezialtiefbau Polska Sp.Z.O.O  • PL 25-540 Kielce • Telefon (+48) 41 3432356 • Fax  (+48) 41 3432354
</t>
  </si>
  <si>
    <t xml:space="preserve">BAUER Spezialtiefbau Polska Sp.Z.O.O </t>
  </si>
  <si>
    <t>BAUER Spezialtiefbau Polska Sp.Z.O.O.
ul. Jesionova 31 b
PL 25-540 Kielce
Telefon (+48) 41 3432356
Telefon (+48) 41 3432354</t>
  </si>
  <si>
    <t>Boundary conditions   Pull out safety:</t>
  </si>
  <si>
    <t>Einheitspreis</t>
  </si>
  <si>
    <t>Positionspreis</t>
  </si>
  <si>
    <t>margiel, plastyczny</t>
  </si>
  <si>
    <t>margiel, miekkoplastyczny</t>
  </si>
  <si>
    <t>Grundwasserstand</t>
  </si>
  <si>
    <t>Keinen Schnitt zur Bearbeitung aktiviert!</t>
  </si>
  <si>
    <t>Projektdaten vor Beendigung speichern?</t>
  </si>
  <si>
    <t>Sofern</t>
  </si>
  <si>
    <t>Extra anchorlength m</t>
  </si>
  <si>
    <t>Concrete grade</t>
  </si>
  <si>
    <t>Air</t>
  </si>
  <si>
    <t>Chem attack concrete</t>
  </si>
  <si>
    <t>Chem attack steel</t>
  </si>
  <si>
    <t>wells in the excavation pit. The distribution of the waterpressure on the wall is destressed with two layer of drainage-lances behind the wall.</t>
  </si>
  <si>
    <t>Wartwall = Shotcrete wall with shotcrete support of the anchor plates</t>
  </si>
  <si>
    <t>SPWwaler</t>
  </si>
  <si>
    <t>SPWinsert,waler</t>
  </si>
  <si>
    <t>wartosc przecietna</t>
  </si>
  <si>
    <t xml:space="preserve">for driven/vibrated beams acc. to Rossner, Winter: standardized retaining </t>
  </si>
  <si>
    <t>constructions and covering structures,Wilhelm-Ernst &amp; Sohn, Berlin</t>
  </si>
  <si>
    <t xml:space="preserve">The excavation wall in Section </t>
  </si>
  <si>
    <t xml:space="preserve"> is supported by a </t>
  </si>
  <si>
    <t xml:space="preserve"> The gaps are filled with  </t>
  </si>
  <si>
    <t xml:space="preserve"> The bottom slab is to be sealed against ground water in this section. Sealing is done by</t>
  </si>
  <si>
    <t xml:space="preserve"> The excavation is stabilized with base concrete in the area of this section. </t>
  </si>
  <si>
    <t>Bauer France</t>
  </si>
  <si>
    <t>Bauer Fondations Spéciales S.A.S • F-67100 Strasbourg • Tel 03 90 40 98 50 • Fax 03 88 40 05 01</t>
  </si>
  <si>
    <t xml:space="preserve">Bauer Fondations Spéciales S.A.S    
 </t>
  </si>
  <si>
    <t>5, rue la Fayette
67100 Strasbourg, FRANCE 
Telefon (0033) 3 90 40 98 50
Telefax (0033) 3 88 40 05 01</t>
  </si>
  <si>
    <t>beton natryskowy</t>
  </si>
  <si>
    <t>The bending stiffness in a cracked state is a result of the total stiffness of the compression zone of the MIP wall and the beam. The ratio EIII/EIT is the stiffening of the beam through the MIP wall.</t>
  </si>
  <si>
    <t>gebohrte Trägerbohlwand mit im MIP-Verfahren eingebrachten Trägern mit Holzausfachung</t>
  </si>
  <si>
    <t>gebohrte Trägerbohlwand mit Spritzbetonausfachung</t>
  </si>
  <si>
    <t>Trägerbohlwand mit mittig angeordneter MIP-Ausfachung</t>
  </si>
  <si>
    <t>MIP-Typ</t>
  </si>
  <si>
    <t>Eingabe Wandunterkante</t>
  </si>
  <si>
    <t>fehlt.</t>
  </si>
  <si>
    <t>input of top of wall</t>
  </si>
  <si>
    <t>is missing</t>
  </si>
  <si>
    <t>Steel wall</t>
  </si>
  <si>
    <t>Concrete wall</t>
  </si>
  <si>
    <t>Class</t>
  </si>
  <si>
    <t>Temporary</t>
  </si>
  <si>
    <t>Environmental Exposer</t>
  </si>
  <si>
    <t>Moderat</t>
  </si>
  <si>
    <t>Extrem</t>
  </si>
  <si>
    <t>Soil humidity</t>
  </si>
  <si>
    <t>Damp room</t>
  </si>
  <si>
    <t>Air outside</t>
  </si>
  <si>
    <t>Sea air</t>
  </si>
  <si>
    <t>Beside street</t>
  </si>
  <si>
    <t>Reinforcement</t>
  </si>
  <si>
    <t>Тип крепления</t>
  </si>
  <si>
    <t>α крепления</t>
  </si>
  <si>
    <t>L анкера</t>
  </si>
  <si>
    <t>Cah [кН/м/м]</t>
  </si>
  <si>
    <t>Pah [кН/м]</t>
  </si>
  <si>
    <t>Расстан. анкеров</t>
  </si>
  <si>
    <t>x1s-Склона</t>
  </si>
  <si>
    <t>x2s-Склона</t>
  </si>
  <si>
    <t>zs-Склона</t>
  </si>
  <si>
    <t>Крепление</t>
  </si>
  <si>
    <t>z-Плита1</t>
  </si>
  <si>
    <t>z-Плита2</t>
  </si>
  <si>
    <t>Заданное распределение давления воды</t>
  </si>
  <si>
    <t>глубоколеж. уровень мягких гелей</t>
  </si>
  <si>
    <t>глубоколеж. уровень инъекц. под выс. давл.</t>
  </si>
  <si>
    <t>глубоколеж. уровень инъекц. под выс. давл. с песком</t>
  </si>
  <si>
    <t>глубоколеж. бет. плита с оч. мелким цементом</t>
  </si>
  <si>
    <t>Этап результатов</t>
  </si>
  <si>
    <t>Этап для разр./пов. скольж.</t>
  </si>
  <si>
    <t>Масштаб        1  :</t>
  </si>
  <si>
    <t>Управление расчетом</t>
  </si>
  <si>
    <t>Сниж. коэф. сопр. осн. fad</t>
  </si>
  <si>
    <t>kah, мин. давл. грунта</t>
  </si>
  <si>
    <t>Анк. над распоркой = 90º</t>
  </si>
  <si>
    <t>SPWinsert,waler = Шпунтовая стенка с обвязочной балкой, помещенная в трашею</t>
  </si>
  <si>
    <t>PF1:1 = Стена из свай с армированием через сваю</t>
  </si>
  <si>
    <t>PF1:1&amp;insert = Стена из свай с армированием через сваю и стальной балкой сверху</t>
  </si>
  <si>
    <t>PF1:3 = Стена из свай с армированием каждой четвертой сваи</t>
  </si>
  <si>
    <t>Крепл. по верху, пролет с 2 U 100%, консоль с 1 U 50%</t>
  </si>
  <si>
    <t>Крепл. по верху, пролет с 2 U 100%, консоль с 1 U 100%</t>
  </si>
  <si>
    <t>Крепл. по верху, пролет с 3 U 100%, консоль с 1 U 100%</t>
  </si>
  <si>
    <t>Дополнительная расчетная схема</t>
  </si>
  <si>
    <t>Схема обвязочного пояса</t>
  </si>
  <si>
    <t>Распр. нагр. на балку с шарн.</t>
  </si>
  <si>
    <t>специальные настройки страницы</t>
  </si>
  <si>
    <t>Филиал</t>
  </si>
  <si>
    <t>Отдел проектирования</t>
  </si>
  <si>
    <t>Фамилия</t>
  </si>
  <si>
    <t>Улица</t>
  </si>
  <si>
    <t>Город</t>
  </si>
  <si>
    <t>∆L Анкер, если a &gt;2,5 м</t>
  </si>
  <si>
    <t>TG-услов. для низа стены</t>
  </si>
  <si>
    <t>Стр. ноль</t>
  </si>
  <si>
    <t>Раб. отм.</t>
  </si>
  <si>
    <t>Низ форшахты</t>
  </si>
  <si>
    <t>Верх стены</t>
  </si>
  <si>
    <t>Низ стены</t>
  </si>
  <si>
    <t>z-УГВ стены</t>
  </si>
  <si>
    <t>Низ ПФЗ</t>
  </si>
  <si>
    <t>Расчет стены</t>
  </si>
  <si>
    <t>Суспензия</t>
  </si>
  <si>
    <t>Проф. U&amp;H</t>
  </si>
  <si>
    <t>Кол-во U&amp;H</t>
  </si>
  <si>
    <t>Проф. Ларссена</t>
  </si>
  <si>
    <t>Марка стали</t>
  </si>
  <si>
    <t>TMIPP-композит</t>
  </si>
  <si>
    <t>D-бурения [см]</t>
  </si>
  <si>
    <t>Метод</t>
  </si>
  <si>
    <t>D-SCH/HDI [см]</t>
  </si>
  <si>
    <t>a-I/U/D [м]</t>
  </si>
  <si>
    <t>a-шаг крепления [м]</t>
  </si>
  <si>
    <t>Длина корня анкера [м]</t>
  </si>
  <si>
    <t>∆l-длина анкера [м]</t>
  </si>
  <si>
    <t>∆z-бурения [м]</t>
  </si>
  <si>
    <t>Верхн. заполн., EI</t>
  </si>
  <si>
    <t>Верхн. заполнение</t>
  </si>
  <si>
    <t>Низ верхн. заполн.</t>
  </si>
  <si>
    <t>Низ помещ. балок</t>
  </si>
  <si>
    <t>a Верхн. балки</t>
  </si>
  <si>
    <t>EI [МНм]</t>
  </si>
  <si>
    <t>EI-Верхн. балка [МНм]</t>
  </si>
  <si>
    <t>H-проф. [м]</t>
  </si>
  <si>
    <t>Крепл.</t>
  </si>
  <si>
    <t>верх</t>
  </si>
  <si>
    <t>b Верх [см]</t>
  </si>
  <si>
    <t>z Низ [см]</t>
  </si>
  <si>
    <t>b Середина [см]</t>
  </si>
  <si>
    <t xml:space="preserve"> Заполнение стены выполняется из </t>
  </si>
  <si>
    <t xml:space="preserve"> Стена котлована раскрепляется с помощью </t>
  </si>
  <si>
    <t xml:space="preserve"> Стены котлована по высоте не крепятся.</t>
  </si>
  <si>
    <t xml:space="preserve"> Низ котлована должен быть непроницаем для грунтовых вод. Водонепроницаемый слой (ПФЗ) выполнена с помощью </t>
  </si>
  <si>
    <t xml:space="preserve"> Для раскрепления низа котлована, устроена подготовка из бетона по секциям. </t>
  </si>
  <si>
    <t>Общее</t>
  </si>
  <si>
    <t>Допущения</t>
  </si>
  <si>
    <t>Геотехнические расчеты выполнены с учетом следующих особенностей.</t>
  </si>
  <si>
    <t>Геотехнические расчеты выполнены согласно новым нормативным документам. Временные нагрузки &gt;10 кН/м² увеличины в зависимости от коэф. запаса или от временных нагрузок к постоянным. Этот расчет согласно новым</t>
  </si>
  <si>
    <t>Нормы используют версию WALLS, которая еще не принята. Поэтому безопасность по заглублению ограждения определяется с учетом глобального коэффициента запаса как результата коэффициентов запаса для постоянного нагружения и пассивного давления грунта.</t>
  </si>
  <si>
    <t>При расчете использованы средние значения k для пассивного давления, активное давление для поверхностных нагрузок и веса грунта и активное давление для блока нагрузок.</t>
  </si>
  <si>
    <t xml:space="preserve"> В расчете нижняя часть стены рассматривается </t>
  </si>
  <si>
    <t>без крепления.</t>
  </si>
  <si>
    <t>с креплением по Блюму.</t>
  </si>
  <si>
    <t>с креплением по Блюму и шарнирным креплением при полной разработки котлована</t>
  </si>
  <si>
    <t>без подошвы стены</t>
  </si>
  <si>
    <t>уменьшено до подошвы стены</t>
  </si>
  <si>
    <t>уменьшено от уровня дна котлована до подошвы стены</t>
  </si>
  <si>
    <t>уменьшено на верхом противофильтрационной плиты</t>
  </si>
  <si>
    <t>над распределением давления воды</t>
  </si>
  <si>
    <t xml:space="preserve"> ist anscheinend noch geoeffnet. Bitte vor Eingabe OK Datei in Powerpoint schliessen!</t>
  </si>
  <si>
    <t>Position   z</t>
  </si>
  <si>
    <t>Anchor inclination</t>
  </si>
  <si>
    <t>L 22</t>
  </si>
  <si>
    <t>L 23</t>
  </si>
  <si>
    <t>L 24</t>
  </si>
  <si>
    <t>L 24/12</t>
  </si>
  <si>
    <t>L 25</t>
  </si>
  <si>
    <t>AU 14</t>
  </si>
  <si>
    <t>AU 16</t>
  </si>
  <si>
    <t>AU 17</t>
  </si>
  <si>
    <t>AU 18</t>
  </si>
  <si>
    <t>AU 20</t>
  </si>
  <si>
    <t>AU 21</t>
  </si>
  <si>
    <t>AU 23</t>
  </si>
  <si>
    <t>AU 25</t>
  </si>
  <si>
    <t>AU 26</t>
  </si>
  <si>
    <t>L 755-0,5</t>
  </si>
  <si>
    <t>L 755+0,5</t>
  </si>
  <si>
    <t>L 703-0,5</t>
  </si>
  <si>
    <t>Systemwerte:</t>
  </si>
  <si>
    <t>Achse</t>
  </si>
  <si>
    <t>contains the string  -&gt;Leer&lt;-!</t>
  </si>
  <si>
    <t>Bitte Dateinamen ohne den String -&gt;Leer&lt;- eingeben.</t>
  </si>
  <si>
    <t>Please give a filename without -&gt;Leer&lt;- .</t>
  </si>
  <si>
    <t xml:space="preserve"> Die Wand wird gestützt durch </t>
  </si>
  <si>
    <t xml:space="preserve"> Die Baugrubensohle im Bereich des Schnittes muß gegen das Grundwasser abgedichtet werden. Die Abdichtung der Sohle erfolgt mit </t>
  </si>
  <si>
    <t xml:space="preserve">Schnitt </t>
  </si>
  <si>
    <t xml:space="preserve">Section </t>
  </si>
  <si>
    <t>Phase Ergebnisse</t>
  </si>
  <si>
    <t>PF Schubbewehrung</t>
  </si>
  <si>
    <t>SCHL Längsbew Erde</t>
  </si>
  <si>
    <t>Exzentrizität</t>
  </si>
  <si>
    <t>Knicklänge</t>
  </si>
  <si>
    <t>UK</t>
  </si>
  <si>
    <t>Verteilung</t>
  </si>
  <si>
    <t>Ankerdurchmesser</t>
  </si>
  <si>
    <t>Profilausbildung:</t>
  </si>
  <si>
    <t>Mittel:</t>
  </si>
  <si>
    <t xml:space="preserve"> nachgewiesen. </t>
  </si>
  <si>
    <t xml:space="preserve"> Die Sicherheit des Fußauflagers bei der Ermittlung der Schnitt- und Ankerkräfte beträgt </t>
  </si>
  <si>
    <t xml:space="preserve">Bei der Ermittlung des Erdwiderstandes wird ein </t>
  </si>
  <si>
    <t>not found!</t>
  </si>
  <si>
    <t>Nein - Einlesen abbbrechen</t>
  </si>
  <si>
    <t>No - cancel reading</t>
  </si>
  <si>
    <t xml:space="preserve">In Blatt </t>
  </si>
  <si>
    <t>In sheet</t>
  </si>
  <si>
    <t>in row</t>
  </si>
  <si>
    <t>in Spalte</t>
  </si>
  <si>
    <t>in column</t>
  </si>
  <si>
    <t>ist ein fehlerhafter Datenwert</t>
  </si>
  <si>
    <t>t-g</t>
  </si>
  <si>
    <t>g</t>
  </si>
  <si>
    <t>I-y</t>
  </si>
  <si>
    <t>W-y</t>
  </si>
  <si>
    <t>i-y</t>
  </si>
  <si>
    <t>Eingabewerte laut WALLS-Berechnung:</t>
  </si>
  <si>
    <t>Martin</t>
  </si>
  <si>
    <t>Friedrich</t>
  </si>
  <si>
    <t>Ersatzbreite</t>
  </si>
  <si>
    <t>Quader</t>
  </si>
  <si>
    <t>Keil</t>
  </si>
  <si>
    <t>Gruppe</t>
  </si>
  <si>
    <t>$GEB</t>
  </si>
  <si>
    <t>Kein GruBruSi-Nachweis für Giebel angefordert!</t>
  </si>
  <si>
    <t>Äußere Horizontalkräfte F =</t>
  </si>
  <si>
    <t>Fußkraft Ch =</t>
  </si>
  <si>
    <t>Negative Bettungskräfte Ch =</t>
  </si>
  <si>
    <t>Vorbauzustand maßgebend</t>
  </si>
  <si>
    <t>Endzustand maßgebend</t>
  </si>
  <si>
    <t>Stützkraft</t>
  </si>
  <si>
    <t>Grenzzustandsbedingung erfüllt</t>
  </si>
  <si>
    <t>Grenzzustandsbedingung nicht erfüllt!</t>
  </si>
  <si>
    <t>Iteration Einbindung</t>
  </si>
  <si>
    <t>Einbindung</t>
  </si>
  <si>
    <t>Sicherheit Lasten</t>
  </si>
  <si>
    <t>Sicherheit Schnittkraft Fußauflager</t>
  </si>
  <si>
    <t>umgelagerter Erddruck</t>
  </si>
  <si>
    <t>PF contiguos = Tangent pile wall wih reinforcement in every pile</t>
  </si>
  <si>
    <t>PF contiguos</t>
  </si>
  <si>
    <t>1:1-system secant</t>
  </si>
  <si>
    <t>1:3-system secant</t>
  </si>
  <si>
    <t>1:5-system secant</t>
  </si>
  <si>
    <t>00202410</t>
  </si>
  <si>
    <t>00203</t>
  </si>
  <si>
    <t>00203010</t>
  </si>
  <si>
    <t>00203020</t>
  </si>
  <si>
    <t>00203030</t>
  </si>
  <si>
    <t xml:space="preserve"> vor Oeffnen der neuen Datei gespeichert werden?</t>
  </si>
  <si>
    <t>vor Oeffnen der neuen Datei gespeichert werden?</t>
  </si>
  <si>
    <t>Soll das Ueberschreiben der Wal-Datei abgebrochen werden?</t>
  </si>
  <si>
    <t xml:space="preserve">Sofern C:\Statik\Stamak\LEER_EN_.xls mit Werten und Formeln eines aktuellen Projektes abgespeichert wurde, muss als erstes mit ''WallManndatei speichern unter'' auf die entsprechende Datei gespeichert werden um Probleme zu vermeiden. </t>
  </si>
  <si>
    <t xml:space="preserve">mit Werten und Formeln eines aktuellen Projektes abgespeichert wurde, muss als erstes mit ''WallManndatei speichern unter'' auf die entsprechende Datei gespeichert werden um Probleme zu vermeiden. </t>
  </si>
  <si>
    <t>specific weight at top  =</t>
  </si>
  <si>
    <t>Property of supporting fluid</t>
  </si>
  <si>
    <t>Angle between sections in ground plan =</t>
  </si>
  <si>
    <t>Diaphragm wall section 2 in ground plan =</t>
  </si>
  <si>
    <t xml:space="preserve">Opt: use of l-A </t>
  </si>
  <si>
    <t>∆zStrut [m]</t>
  </si>
  <si>
    <t>∆zAnchor [m]</t>
  </si>
  <si>
    <t>∆zGrouting [m]</t>
  </si>
  <si>
    <t>bSupport strut [m]</t>
  </si>
  <si>
    <t>bSupport anchor [m]</t>
  </si>
  <si>
    <t>in der Eingabefolge :</t>
  </si>
  <si>
    <t>in the input sequence</t>
  </si>
  <si>
    <t>Nachweis nach dem Verfahren Elastisch-Elastisch DIN18800 T1</t>
  </si>
  <si>
    <t>Gurtnachweis:</t>
  </si>
  <si>
    <t>Beschreibung Gurtsystem</t>
  </si>
  <si>
    <t>Tal Gerber</t>
  </si>
  <si>
    <t>Berg Gerber</t>
  </si>
  <si>
    <t>very</t>
  </si>
  <si>
    <t>extremely</t>
  </si>
  <si>
    <t xml:space="preserve">I n s e r t e d  s t e e l  b e a m  calculation  Section </t>
  </si>
  <si>
    <t>Kraft Schweißnaht</t>
  </si>
  <si>
    <t>Put de decompresiune</t>
  </si>
  <si>
    <t>lance de drenaj</t>
  </si>
  <si>
    <t>RTBW Timber =  Wall with driven beam &amp; Timber Infill</t>
  </si>
  <si>
    <t>BTBW Timber =  Wall with beam set in concrete &amp; Timber Infill</t>
  </si>
  <si>
    <t>BTBW MIPT = Wall with beam set in MIP &amp; Timber Infill</t>
  </si>
  <si>
    <t>BTBW Shotcrete = Wall with beam set in concrete &amp; shotcrete Infill</t>
  </si>
  <si>
    <t>Randabstand Bewehrung</t>
  </si>
  <si>
    <t>max Wendelquerschnitt</t>
  </si>
  <si>
    <t>min Einspanntiefe</t>
  </si>
  <si>
    <t>min fixation depth</t>
  </si>
  <si>
    <t>Länge Bew.-Korb b m</t>
  </si>
  <si>
    <t>Betongüte</t>
  </si>
  <si>
    <t>Anteil Q1 für Stahlschätzung</t>
  </si>
  <si>
    <t>Durchstanznachweis</t>
  </si>
  <si>
    <t>Gewicht</t>
  </si>
  <si>
    <t>lü,längs</t>
  </si>
  <si>
    <t>lü,quer</t>
  </si>
  <si>
    <t>[cm²/m]</t>
  </si>
  <si>
    <t>[m]</t>
  </si>
  <si>
    <t>[kg]</t>
  </si>
  <si>
    <t>[kg/m²]</t>
  </si>
  <si>
    <t>[cm]</t>
  </si>
  <si>
    <t>Q 188 A</t>
  </si>
  <si>
    <t>Q 257 A</t>
  </si>
  <si>
    <t>Q 335 A</t>
  </si>
  <si>
    <t>R 188 A</t>
  </si>
  <si>
    <t>R 257 A</t>
  </si>
  <si>
    <t>R 335 A</t>
  </si>
  <si>
    <t>N94</t>
  </si>
  <si>
    <t>N141</t>
  </si>
  <si>
    <t>Nach, Vorname</t>
  </si>
  <si>
    <t>Nachname</t>
  </si>
  <si>
    <t>Nebenbestanteil, Hauptkörnung</t>
  </si>
  <si>
    <t>Reibungswinkel</t>
  </si>
  <si>
    <t>Wichte erdfeucht</t>
  </si>
  <si>
    <t>Kohäsion</t>
  </si>
  <si>
    <t>Wichte unter Auftrieb</t>
  </si>
  <si>
    <t>Memotext</t>
  </si>
  <si>
    <t>Grenzspitzen-druck</t>
  </si>
  <si>
    <t>wells in the excavation pit. The distribution of the waterpressure on the wall is destressed with openings in the wall.</t>
  </si>
  <si>
    <t>Trägerbohlwand mit erdseitig angeordneter MIP-Ausfachung</t>
  </si>
  <si>
    <t>Spundwand in einen Schlitz eingestellt</t>
  </si>
  <si>
    <t>Spundwand mit Gurt</t>
  </si>
  <si>
    <t>In Schlitz eingestellte Spundwand mit Gurt</t>
  </si>
  <si>
    <t>Tragwinkel Erd&amp;Luftseite ß</t>
  </si>
  <si>
    <t>Bogenlänge Tragbewehrung</t>
  </si>
  <si>
    <t>erf. Tragbewehrung</t>
  </si>
  <si>
    <t>2. Tragbew. Erde</t>
  </si>
  <si>
    <t>Einzelstäbe</t>
  </si>
  <si>
    <t>Bauteil:</t>
  </si>
  <si>
    <t>The tension forces of the beam which usually result from the conditions of equilibrium are diverted into the MIP wall through bond stresses. These are verified as follows.</t>
  </si>
  <si>
    <t>elastyczny</t>
  </si>
  <si>
    <t>plastyczny</t>
  </si>
  <si>
    <t>L-przekroj-1-[m]</t>
  </si>
  <si>
    <t>L-przekroj-2-[m]</t>
  </si>
  <si>
    <t>L-przekroj-3-[m]</t>
  </si>
  <si>
    <t>L-przekroj-4-[m]</t>
  </si>
  <si>
    <t xml:space="preserve"> Zur Aussteifung der  Baugrubensohle wird abschnittsweise eingebauter Unterbeton eingesetzt. </t>
  </si>
  <si>
    <t>Allgemeines</t>
  </si>
  <si>
    <t>Ansätze</t>
  </si>
  <si>
    <t>layer support with steel struts</t>
  </si>
  <si>
    <t>GEWI layer</t>
  </si>
  <si>
    <t xml:space="preserve"> Berme </t>
  </si>
  <si>
    <t xml:space="preserve">  die Wandunterkante zu </t>
  </si>
  <si>
    <t>Do you want the standart values?</t>
  </si>
  <si>
    <t>Polski / Polish</t>
  </si>
  <si>
    <t>odwiert</t>
  </si>
  <si>
    <t>podstawa sciany</t>
  </si>
  <si>
    <t>podstawa niezbrojonego pala</t>
  </si>
  <si>
    <t>plomba betonowa D=</t>
  </si>
  <si>
    <t>owtor D=</t>
  </si>
  <si>
    <t>MIP-srednica D=</t>
  </si>
  <si>
    <t>palisada (scianka z pali) D=</t>
  </si>
  <si>
    <t>sciana szczelinowa d=</t>
  </si>
  <si>
    <t>beton natryskowy d=</t>
  </si>
  <si>
    <r>
      <t>permissible foot support force E</t>
    </r>
    <r>
      <rPr>
        <vertAlign val="subscript"/>
        <sz val="10"/>
        <color indexed="8"/>
        <rFont val="Arial"/>
        <family val="2"/>
      </rPr>
      <t>ph</t>
    </r>
    <r>
      <rPr>
        <sz val="10"/>
        <color indexed="8"/>
        <rFont val="Arial"/>
        <family val="2"/>
      </rPr>
      <t>' =</t>
    </r>
  </si>
  <si>
    <r>
      <t>loads ΣE</t>
    </r>
    <r>
      <rPr>
        <vertAlign val="subscript"/>
        <sz val="10"/>
        <color indexed="8"/>
        <rFont val="Arial"/>
        <family val="2"/>
      </rPr>
      <t>d,i</t>
    </r>
    <r>
      <rPr>
        <sz val="10"/>
        <color indexed="8"/>
        <rFont val="Arial"/>
        <family val="2"/>
      </rPr>
      <t xml:space="preserve"> =</t>
    </r>
  </si>
  <si>
    <t>Gutachten</t>
  </si>
  <si>
    <t>Expertise</t>
  </si>
  <si>
    <t>Only with repetition of save of</t>
  </si>
  <si>
    <t>Distiller ist noch nicht fertig!</t>
  </si>
  <si>
    <t>ADOBE Distiller  is not ready yet!</t>
  </si>
  <si>
    <t>Die Dateibezeichnung</t>
  </si>
  <si>
    <t>Schwergewichtssohle</t>
  </si>
  <si>
    <t>Béton de poids lourd</t>
  </si>
  <si>
    <t>Entwurf Baugrube</t>
  </si>
  <si>
    <t>Conception du soutènement</t>
  </si>
  <si>
    <t>diseno de muros de contención</t>
  </si>
  <si>
    <t>$Planspiegel</t>
  </si>
  <si>
    <t>Positionsplan</t>
  </si>
  <si>
    <t>Layout</t>
  </si>
  <si>
    <t>Plan de situation</t>
  </si>
  <si>
    <t>plan de posiciones</t>
  </si>
  <si>
    <t>Baugrundkennwerte</t>
  </si>
  <si>
    <t>gebohrte Trägerbohlwand mit Holzausfachung</t>
  </si>
  <si>
    <t>WallMan informs</t>
  </si>
  <si>
    <t>WallMan has a problem</t>
  </si>
  <si>
    <t>WallMan has a question</t>
  </si>
  <si>
    <t>As [cm²]</t>
  </si>
  <si>
    <t>G [kg/m]</t>
  </si>
  <si>
    <t>Lagermatten</t>
  </si>
  <si>
    <t>Bez</t>
  </si>
  <si>
    <t>längs</t>
  </si>
  <si>
    <t>quer</t>
  </si>
  <si>
    <t xml:space="preserve">     C A L C U L A T I O N   A N C H O R   L E N G T H   staggered support</t>
  </si>
  <si>
    <t xml:space="preserve">     B E R E C H N U N G    D E R   U N T E R F A N G U N G</t>
  </si>
  <si>
    <t xml:space="preserve">     C A L C U L A T I O N   U N D E R P I N N I N G</t>
  </si>
  <si>
    <t xml:space="preserve">     B E R E C H N U N G    D E R   B O D E N V E R N A G E L U N G</t>
  </si>
  <si>
    <t xml:space="preserve">     C A L C U L A T I O N   S O I L   N A I L I N G</t>
  </si>
  <si>
    <t xml:space="preserve">     B E R E C H N U N G    D E R   A N K E R L A E N G E</t>
  </si>
  <si>
    <t>Structure</t>
  </si>
  <si>
    <t>TM3x0,6"</t>
  </si>
  <si>
    <t>TM4x0,6"</t>
  </si>
  <si>
    <t>TM5x0,6"</t>
  </si>
  <si>
    <t>TM6x0,6"</t>
  </si>
  <si>
    <t>TM7x0,6"</t>
  </si>
  <si>
    <t>TM8x0,6"</t>
  </si>
  <si>
    <t>TM9x0,6"</t>
  </si>
  <si>
    <t>TM10x0,6"</t>
  </si>
  <si>
    <t>TM11x0,6"</t>
  </si>
  <si>
    <t>PM2x0,6"</t>
  </si>
  <si>
    <t>PM3x0,6"</t>
  </si>
  <si>
    <t>PM4x0,6"</t>
  </si>
  <si>
    <t>PM5x0,6"</t>
  </si>
  <si>
    <t>PM6x0,6"</t>
  </si>
  <si>
    <t>PM7x0,6"</t>
  </si>
  <si>
    <t>PM8x0,6"</t>
  </si>
  <si>
    <t>PM9x0,6"</t>
  </si>
  <si>
    <t>PM10x0,6"</t>
  </si>
  <si>
    <t>PM11x0,6"</t>
  </si>
  <si>
    <t>γQ,dst Неблагопр. времен. воздействия</t>
  </si>
  <si>
    <t xml:space="preserve">γG Общ. пост. воздействия  </t>
  </si>
  <si>
    <t>γQ Неблагопр. врем. нагружения</t>
  </si>
  <si>
    <t>γG Пост. нагружения</t>
  </si>
  <si>
    <t>GZ1B Сопротивление</t>
  </si>
  <si>
    <t>γEp, Gr Пассивное / несущее сопротивление грунта</t>
  </si>
  <si>
    <t>γGl Сопротивление сдвигу</t>
  </si>
  <si>
    <t>γPc Сопр. свай на сжатие</t>
  </si>
  <si>
    <t>γPt Сопр. свай на растяжение</t>
  </si>
  <si>
    <t xml:space="preserve">γM  Сопр. анкерных тяг, </t>
  </si>
  <si>
    <t xml:space="preserve">γA Сопр. заделки анкера, </t>
  </si>
  <si>
    <t>γEog Пост. нагружение, пассивное давление</t>
  </si>
  <si>
    <t>γB Сопр. геотекстиля</t>
  </si>
  <si>
    <t>GZ1C Расчет устойчиаости GZ1B Материал</t>
  </si>
  <si>
    <t>GZ1C  Расчет устойчивости</t>
  </si>
  <si>
    <t>GZ1B Материал</t>
  </si>
  <si>
    <t>γj величина трения, дренирующие грунты</t>
  </si>
  <si>
    <t>γc,cu сцепление, недренирующие грунты</t>
  </si>
  <si>
    <t>γN,Z Грунтовые нагели, нагели в скале, Сваи на выдерг.</t>
  </si>
  <si>
    <t>γM  Сопр. анкерных тяг</t>
  </si>
  <si>
    <t>γB Геотекстиль</t>
  </si>
  <si>
    <t>γM Стальные профили</t>
  </si>
  <si>
    <t>γS Армир. сталь</t>
  </si>
  <si>
    <t>γC Ж/бетон</t>
  </si>
  <si>
    <t>γC Бетон</t>
  </si>
  <si>
    <t>γM Древесина</t>
  </si>
  <si>
    <t>Корректирующий коэф.</t>
  </si>
  <si>
    <t>Eph увелич. акт. давл. грунта шпунт. / бетонные стенки EB22</t>
  </si>
  <si>
    <t>Eph  увелтч. акт. давл. гр. для стенки из отдельност. свай EB22</t>
  </si>
  <si>
    <t>Eph пассивное давление шпунт. / бетонные стенки EB23</t>
  </si>
  <si>
    <t>уменьшенный вес гр. при поднятии по прич. трения DIN1054</t>
  </si>
  <si>
    <t>уменьшение давления на древесину с реальным распределением давления EB47</t>
  </si>
  <si>
    <t>Пусто</t>
  </si>
  <si>
    <t>Печать</t>
  </si>
  <si>
    <t>Настройки печати</t>
  </si>
  <si>
    <t>Пояс. к разр.</t>
  </si>
  <si>
    <t>Ввод</t>
  </si>
  <si>
    <t>Чертить</t>
  </si>
  <si>
    <t>Результаты</t>
  </si>
  <si>
    <t>Листов</t>
  </si>
  <si>
    <t>Содерж.</t>
  </si>
  <si>
    <t>Do you want to change the position and form of the rectangular scale ?</t>
  </si>
  <si>
    <t>BO-Wall is higher than 32 mNN in the data record!!</t>
  </si>
  <si>
    <t>Reset the existing rectangular scale?</t>
  </si>
  <si>
    <t xml:space="preserve">Do you want to save the composition of the layout plan under the path </t>
  </si>
  <si>
    <t>Office Section is manual changed or amended.</t>
  </si>
  <si>
    <t>Cancel overwriting the WAL-file?</t>
  </si>
  <si>
    <t>Reset existing anchor lengths to 8 m?</t>
  </si>
  <si>
    <t>WalMans work is interrupted    USEROK??</t>
  </si>
  <si>
    <t>с эластичными предварительно напряженными пружинами анкера так же, как реакция грунтового основания с выбранной заделкой</t>
  </si>
  <si>
    <t>анкера, расположенные в шахматном порядке</t>
  </si>
  <si>
    <t>рабочая платформа</t>
  </si>
  <si>
    <t>H-Beam wall, beam wall, inserted steel beam</t>
  </si>
  <si>
    <t>Einbau</t>
  </si>
  <si>
    <t>TW-Einphas = Slurry wall with inserted beams at center</t>
  </si>
  <si>
    <t>TW MOP = MOP wall with inserted beams at center</t>
  </si>
  <si>
    <t xml:space="preserve">SCH =Cast-in-place diaphragm wall </t>
  </si>
  <si>
    <t>SCH&amp;Steck = Cast-in-place diphragm wall with inserted steel beams at top</t>
  </si>
  <si>
    <t>PF1:1 = Pile wall with reinforcement in every alternate pile</t>
  </si>
  <si>
    <t>00404060</t>
  </si>
  <si>
    <t>GZ1B material</t>
  </si>
  <si>
    <t>Einhasensuspension</t>
  </si>
  <si>
    <t>Schlitzbreite</t>
  </si>
  <si>
    <t>obere Ausfachung</t>
  </si>
  <si>
    <t xml:space="preserve">C O N C R E T E  G A P  F I L L I N G  Section </t>
  </si>
  <si>
    <t xml:space="preserve">A R C H  G A P  F I L L I N G  section </t>
  </si>
  <si>
    <t>Import imposed forces and recalculate</t>
  </si>
  <si>
    <t>Reduction of specif. weight under uplift</t>
  </si>
  <si>
    <t>Water press.:</t>
  </si>
  <si>
    <t>PFMIPerdseitig = Pfahlbohlwand mit erdseitig angeordneter MIP-Ausfachung</t>
  </si>
  <si>
    <t>TWMIPmittig = MIP-Wand mit mittig angeordneten Trägern</t>
  </si>
  <si>
    <t>TWMIPerdseitig = MIP-Wand mit luftseitig angeordneten Trägern</t>
  </si>
  <si>
    <t>TW-Einphas = Einphasenwand-Wand mit mittig angeordneten Trägern</t>
  </si>
  <si>
    <t>Correction Factor</t>
  </si>
  <si>
    <t>γM Steel profiles</t>
  </si>
  <si>
    <t>γS Rft. steel</t>
  </si>
  <si>
    <t>γC Rft concrete</t>
  </si>
  <si>
    <t>γC Plain concrete</t>
  </si>
  <si>
    <t>γM Timber</t>
  </si>
  <si>
    <t>Conti Gerber</t>
  </si>
  <si>
    <t>Conti 1Span</t>
  </si>
  <si>
    <t>Conti nSpan</t>
  </si>
  <si>
    <t>Berg 3&amp;2</t>
  </si>
  <si>
    <t>Sand,dense</t>
  </si>
  <si>
    <t>Sand,medium</t>
  </si>
  <si>
    <t>Sand,loose</t>
  </si>
  <si>
    <t>Silt,hard</t>
  </si>
  <si>
    <t>Silt,stiff</t>
  </si>
  <si>
    <t>Silt,firm</t>
  </si>
  <si>
    <t>Silt,soft</t>
  </si>
  <si>
    <t>Silt,very soft</t>
  </si>
  <si>
    <t>b Oben [cm]</t>
  </si>
  <si>
    <t>z Knick</t>
  </si>
  <si>
    <t>b Mitte [cm]</t>
  </si>
  <si>
    <t>b Unten [cm]</t>
  </si>
  <si>
    <t>bSporn [cm]</t>
  </si>
  <si>
    <t>Stahl</t>
  </si>
  <si>
    <t>Text Lastfall/Sicherheit</t>
  </si>
  <si>
    <t>or</t>
  </si>
  <si>
    <t>save without link to the excel file?</t>
  </si>
  <si>
    <t>input of wall data is not complete!</t>
  </si>
  <si>
    <t>Redfaktor ehg Holz</t>
  </si>
  <si>
    <t>Gewölbe Dicke [cm]</t>
  </si>
  <si>
    <t>Anteil Lockerboden/weicher Fels</t>
  </si>
  <si>
    <t>Anteil harter Fels</t>
  </si>
  <si>
    <t>Water levels:</t>
  </si>
  <si>
    <t>Fill Areas</t>
  </si>
  <si>
    <t>Scale</t>
  </si>
  <si>
    <t>Empty pages sections</t>
  </si>
  <si>
    <t>Empty pages calculation</t>
  </si>
  <si>
    <t>Empty pages dimensioning</t>
  </si>
  <si>
    <t>Proj. above TO-Wall m</t>
  </si>
  <si>
    <r>
      <t>zul. Fußaufllagerkraft E</t>
    </r>
    <r>
      <rPr>
        <vertAlign val="subscript"/>
        <sz val="10"/>
        <color indexed="8"/>
        <rFont val="Arial"/>
        <family val="2"/>
      </rPr>
      <t>ph</t>
    </r>
    <r>
      <rPr>
        <sz val="10"/>
        <color indexed="8"/>
        <rFont val="Arial"/>
        <family val="2"/>
      </rPr>
      <t>' =</t>
    </r>
  </si>
  <si>
    <t>Baugrund unter Baugrubensohle</t>
  </si>
  <si>
    <t xml:space="preserve">3. Please enter X and Y of the scale rectangle, out of the orignal plan </t>
  </si>
  <si>
    <t>Die Biegesteifigkeit im gerissenen Zustand ergibt sich aus der Gesamtsteifikeit der Druckzone der MIP-Wand und des Trägers. Das Verhältnis EIII/EIT gibt die Versteifung des Trägers durch die MIP-Wand an.</t>
  </si>
  <si>
    <t>1) min(OKW-z oder z-UKW)</t>
  </si>
  <si>
    <t>Verlassen Bearbeiten Positionsplan ohne Speichern eventueller Aenderungen?</t>
  </si>
  <si>
    <t>Verlassen Aendern Office-Schnitte ohne Speichern eventueller Aenderungen?</t>
  </si>
  <si>
    <t>Speichern von Aenderungen in der aktuellen Liste?</t>
  </si>
  <si>
    <t>1. Oeffnen Hintergrunddatei im TIF/JPG/GIF oder BMP-Format</t>
  </si>
  <si>
    <t xml:space="preserve">Penetration depths for each Layer </t>
  </si>
  <si>
    <t>Variation interval of calculation depth =</t>
  </si>
  <si>
    <t>Variation interval of sliding surface angle =</t>
  </si>
  <si>
    <t>PF1:1&amp;insert = Pile wall with reinforcement in every alternate pile and inserted steel beams at top</t>
  </si>
  <si>
    <t>Borelog</t>
  </si>
  <si>
    <t>Quantities</t>
  </si>
  <si>
    <t>Par seepage</t>
  </si>
  <si>
    <t>Pot seepage</t>
  </si>
  <si>
    <t>BO-Wall</t>
  </si>
  <si>
    <t>Vibrate</t>
  </si>
  <si>
    <t>Tube/Diapraghm</t>
  </si>
  <si>
    <t>Method</t>
  </si>
  <si>
    <t>Base concrete</t>
  </si>
  <si>
    <t>Teilsicherheitsbeiwert Widerstand:</t>
  </si>
  <si>
    <t>Grenzzustandsgleichungen nach dem Verfahren Plastisch-Plastisch DIN18800 T1</t>
  </si>
  <si>
    <t>prot. anticorosiva simpla</t>
  </si>
  <si>
    <t>prot. anticorosiva dubla</t>
  </si>
  <si>
    <t>filata de beton</t>
  </si>
  <si>
    <t>grinda de cap/coronament</t>
  </si>
  <si>
    <t>ancore decalate</t>
  </si>
  <si>
    <t>demontare</t>
  </si>
  <si>
    <t>Platforma de lucru</t>
  </si>
  <si>
    <t>Gel moale silicatic</t>
  </si>
  <si>
    <t>Beton turnat sub apa</t>
  </si>
  <si>
    <t>Preradier/Beton de egalizare turnat pe ploturi</t>
  </si>
  <si>
    <t>Strat etansare beton de greutate</t>
  </si>
  <si>
    <t>Proiect incinta excavatie</t>
  </si>
  <si>
    <t>TMIP-Verbund</t>
  </si>
  <si>
    <t>TMIP-composite</t>
  </si>
  <si>
    <t>Ober. Ausfachung, EI</t>
  </si>
  <si>
    <t>ob. Ausfach.</t>
  </si>
  <si>
    <t>EI [MNm]</t>
  </si>
  <si>
    <t>Schicht 2 Sohle</t>
  </si>
  <si>
    <t xml:space="preserve">Nachweis der Auflagerkraft im Boden  </t>
  </si>
  <si>
    <t>Statisches System</t>
  </si>
  <si>
    <r>
      <t>1)</t>
    </r>
    <r>
      <rPr>
        <sz val="10"/>
        <color indexed="8"/>
        <rFont val="Arial"/>
        <family val="2"/>
      </rPr>
      <t xml:space="preserve"> G is determined at the level of the excavation with consideration of the water pressure on the wall toe.</t>
    </r>
  </si>
  <si>
    <t>nonreinforced piles in</t>
  </si>
  <si>
    <t>type of support</t>
  </si>
  <si>
    <t>temporary grout anchors</t>
  </si>
  <si>
    <t>permanent anchors</t>
  </si>
  <si>
    <t>micropiles without corrosion protection in</t>
  </si>
  <si>
    <t>The calculation consideres the combined effect of the beam and the MIP-wall in vertical direction.</t>
  </si>
  <si>
    <t>Ausserlechner</t>
  </si>
  <si>
    <t>Peter.Ausserlechner@bauer-spezialtiefbau.at</t>
  </si>
  <si>
    <t>Rausch</t>
  </si>
  <si>
    <t>Alexander</t>
  </si>
  <si>
    <t>OK Bovena</t>
  </si>
  <si>
    <t>N Nagellagen</t>
  </si>
  <si>
    <t>max ∆zNagel</t>
  </si>
  <si>
    <t>max ∆z nail</t>
  </si>
  <si>
    <t>3"</t>
  </si>
  <si>
    <t>3 1/4"</t>
  </si>
  <si>
    <t>range of GW-level</t>
  </si>
  <si>
    <t>γQ Unfavourable temporary loading</t>
  </si>
  <si>
    <t>a high level  high-press. Injection with sand</t>
  </si>
  <si>
    <t>Dear Mrs.</t>
  </si>
  <si>
    <t xml:space="preserve">Dear Mr. </t>
  </si>
  <si>
    <t>HPI deep</t>
  </si>
  <si>
    <t>HPI high</t>
  </si>
  <si>
    <t>impermeable layer</t>
  </si>
  <si>
    <t>количество</t>
  </si>
  <si>
    <t>vorh. Dehnungen   εB / εS  =</t>
  </si>
  <si>
    <t>exist. Strain εBC / εS  =</t>
  </si>
  <si>
    <t>schnittig</t>
  </si>
  <si>
    <t>legs</t>
  </si>
  <si>
    <t>Section Nbr</t>
  </si>
  <si>
    <t>Page with section drawing</t>
  </si>
  <si>
    <t>with available office/section</t>
  </si>
  <si>
    <t>office/section not available</t>
  </si>
  <si>
    <t>Input file</t>
  </si>
  <si>
    <t>Plot file</t>
  </si>
  <si>
    <t>Result file</t>
  </si>
  <si>
    <t>Check of</t>
  </si>
  <si>
    <t>Umgebung</t>
  </si>
  <si>
    <t xml:space="preserve">З А П О Л Н Е Н И Е  И З  Д Р Е В Е С И Н Ы    Разрез </t>
  </si>
  <si>
    <t>Расчетная схема и</t>
  </si>
  <si>
    <t>Шаг балок в осях</t>
  </si>
  <si>
    <t>Расст. между парными балками</t>
  </si>
  <si>
    <t>Ширина балок</t>
  </si>
  <si>
    <t>Расчетная длина:</t>
  </si>
  <si>
    <t>Балка:</t>
  </si>
  <si>
    <t xml:space="preserve"> двойная балка</t>
  </si>
  <si>
    <t>одинарная балка</t>
  </si>
  <si>
    <t>H-гор. давл.</t>
  </si>
  <si>
    <t>Транспорт</t>
  </si>
  <si>
    <t>Собст. вес</t>
  </si>
  <si>
    <t>Нагрузка</t>
  </si>
  <si>
    <t>Уменьшение согл.</t>
  </si>
  <si>
    <t>Предл.:</t>
  </si>
  <si>
    <t>хвойн. древ.</t>
  </si>
  <si>
    <t>Адаптир. коэф. для распределения давл. гр. γEa =</t>
  </si>
  <si>
    <r>
      <t>Коэф. запаса на древесину γ</t>
    </r>
    <r>
      <rPr>
        <vertAlign val="subscript"/>
        <sz val="10"/>
        <rFont val="Arial"/>
        <family val="2"/>
      </rPr>
      <t>M</t>
    </r>
    <r>
      <rPr>
        <sz val="10"/>
        <rFont val="Arial"/>
        <family val="2"/>
      </rPr>
      <t xml:space="preserve"> =</t>
    </r>
  </si>
  <si>
    <t xml:space="preserve"> Перераспределение</t>
  </si>
  <si>
    <r>
      <t>Сопротив.  ΣR</t>
    </r>
    <r>
      <rPr>
        <vertAlign val="subscript"/>
        <sz val="10"/>
        <rFont val="Arial"/>
        <family val="2"/>
      </rPr>
      <t>d,i</t>
    </r>
    <r>
      <rPr>
        <sz val="10"/>
        <rFont val="Arial"/>
        <family val="2"/>
      </rPr>
      <t xml:space="preserve"> =</t>
    </r>
  </si>
  <si>
    <t>Сорт древесины</t>
  </si>
  <si>
    <t>Толщ. древесины [см]</t>
  </si>
  <si>
    <t>Значение</t>
  </si>
  <si>
    <t>Один. расчет</t>
  </si>
  <si>
    <t xml:space="preserve">стр. </t>
  </si>
  <si>
    <t>Название разреза</t>
  </si>
  <si>
    <t>Тип забирки</t>
  </si>
  <si>
    <t xml:space="preserve">Распределение давл. грунта на забирку </t>
  </si>
  <si>
    <t>Перераспределение давления грунта на стену</t>
  </si>
  <si>
    <t>Толщ. древесины</t>
  </si>
  <si>
    <t>уровень изменения: забирка из древ.-торкретбетон</t>
  </si>
  <si>
    <t xml:space="preserve"> класс древесины по прочности</t>
  </si>
  <si>
    <t>Коэф. запаса на древесину</t>
  </si>
  <si>
    <t>Данные применены для всех разрезов! Данные будут переписаны при обновлении автоматически!</t>
  </si>
  <si>
    <t>Нет балок с заполнением из торкретбетона!!!</t>
  </si>
  <si>
    <t xml:space="preserve">З А П О Л Н Е Н И Е  И З  Б Е Т О Н А    Разрез </t>
  </si>
  <si>
    <t>Величина усилий:</t>
  </si>
  <si>
    <t>Расчетный момент:</t>
  </si>
  <si>
    <t>Превышено:</t>
  </si>
  <si>
    <t>Провол. сетка</t>
  </si>
  <si>
    <t>Требуется</t>
  </si>
  <si>
    <t>и</t>
  </si>
  <si>
    <t>Получ.</t>
  </si>
  <si>
    <t>Распред. заполнения</t>
  </si>
  <si>
    <t>Толщина торкретбетона</t>
  </si>
  <si>
    <t>эффективная глуб. d</t>
  </si>
  <si>
    <t>Коэф. запаса по стали</t>
  </si>
  <si>
    <t>Коэф. запаса по ж/бетону</t>
  </si>
  <si>
    <t>Bauer The Netherlands</t>
  </si>
  <si>
    <t>BAUER Funderingstechniek B.V.</t>
  </si>
  <si>
    <t xml:space="preserve">BAUER Funderingstechniek B.V.
Rendementsweg 15
NL 3641 SK Mijdrecht
Telefoon (+31) 297 231150
Fax  (+31) 297 231155
</t>
  </si>
  <si>
    <t>Адрес: 1260                      D-86522                          Шробенхаузен              Германия                      тел.: +49-(0)8252-97-1178; факс +49-(0)8252-97-1359</t>
  </si>
  <si>
    <t>геология</t>
  </si>
  <si>
    <t>валуны</t>
  </si>
  <si>
    <t>щеб, пл.</t>
  </si>
  <si>
    <t>щеб, ср. пл</t>
  </si>
  <si>
    <t>щеб, рых.</t>
  </si>
  <si>
    <t>пес. пл.</t>
  </si>
  <si>
    <t>пес. ср. пл.</t>
  </si>
  <si>
    <t>пес. рых.</t>
  </si>
  <si>
    <t xml:space="preserve">Расчет распорки </t>
  </si>
  <si>
    <t>Профиль балки</t>
  </si>
  <si>
    <t>Труба</t>
  </si>
  <si>
    <t>Ширина распорки B</t>
  </si>
  <si>
    <t>Высота распорки H</t>
  </si>
  <si>
    <t xml:space="preserve">Шаг распорок </t>
  </si>
  <si>
    <t xml:space="preserve">Угол накл. расп. º в. </t>
  </si>
  <si>
    <t xml:space="preserve">Угол накл. расп. º г. </t>
  </si>
  <si>
    <t>Врем. нагрузка</t>
  </si>
  <si>
    <t>Расст. балка-балка</t>
  </si>
  <si>
    <t xml:space="preserve">Конструкция стены </t>
  </si>
  <si>
    <t>Оптимиз. арки 0-нет 1-напряжения 2-распор</t>
  </si>
  <si>
    <t xml:space="preserve">Выступ головы анкера </t>
  </si>
  <si>
    <t>d-плиты/Крепящий анкер</t>
  </si>
  <si>
    <t>Нет стены из H-балок с пластическим расчетом!!!</t>
  </si>
  <si>
    <t xml:space="preserve">Р А С Ч Е Т   Б А Л О К   Разрез </t>
  </si>
  <si>
    <t>Text load case/safety</t>
  </si>
  <si>
    <t>Number text</t>
  </si>
  <si>
    <t>Strands</t>
  </si>
  <si>
    <t>Number of strands</t>
  </si>
  <si>
    <t>Group of strands</t>
  </si>
  <si>
    <t>Anchor force</t>
  </si>
  <si>
    <t>Diameter index</t>
  </si>
  <si>
    <t>Diameter</t>
  </si>
  <si>
    <t>Registration of calculation result</t>
  </si>
  <si>
    <t>Anchor index failure of strand</t>
  </si>
  <si>
    <t>Anchor index failure SVP</t>
  </si>
  <si>
    <t>Anchor index</t>
  </si>
  <si>
    <t>Anchor index strand</t>
  </si>
  <si>
    <t>Anchor index if underdesigned</t>
  </si>
  <si>
    <t>Anchor page requirement</t>
  </si>
  <si>
    <t xml:space="preserve">Type of anchor head </t>
  </si>
  <si>
    <t>Type</t>
  </si>
  <si>
    <t>Inclination of arch</t>
  </si>
  <si>
    <t>Slide stability intersection to wall</t>
  </si>
  <si>
    <t>Unreinforced structure is not possible</t>
  </si>
  <si>
    <t>Additional punching reinforcement is not necessary</t>
  </si>
  <si>
    <t>Results of calculation</t>
  </si>
  <si>
    <t>Diameter head</t>
  </si>
  <si>
    <t>Pile force</t>
  </si>
  <si>
    <t>Punching</t>
  </si>
  <si>
    <t>Strength of jet-grouting</t>
  </si>
  <si>
    <t>Strength of u.w. concrete</t>
  </si>
  <si>
    <t>Arch Span</t>
  </si>
  <si>
    <t>Calculated slab thickness</t>
  </si>
  <si>
    <t>Span</t>
  </si>
  <si>
    <t>Differential pressure</t>
  </si>
  <si>
    <t>Analysis of blanket</t>
  </si>
  <si>
    <t>Skin</t>
  </si>
  <si>
    <t>Tension element</t>
  </si>
  <si>
    <t>Limit load tens.</t>
  </si>
  <si>
    <t>Limit load tens. pile</t>
  </si>
  <si>
    <t>Permanent influence</t>
  </si>
  <si>
    <t>Skin frict. possible</t>
  </si>
  <si>
    <t>Tension element possible</t>
  </si>
  <si>
    <t>Tension anchor</t>
  </si>
  <si>
    <t>Pile length below blanket</t>
  </si>
  <si>
    <t>Grid of piles</t>
  </si>
  <si>
    <t>Activation of soilweight with friction =</t>
  </si>
  <si>
    <t>Safety of affixed soilbody:</t>
  </si>
  <si>
    <t>Pile group</t>
  </si>
  <si>
    <t>Pile row</t>
  </si>
  <si>
    <t>Single pile</t>
  </si>
  <si>
    <t>Geometry of affixed soilbody:</t>
  </si>
  <si>
    <t>Pile weight under hydrostatic uplift:</t>
  </si>
  <si>
    <t>BO Cut off Slab:</t>
  </si>
  <si>
    <t>Top of Cut off Slab:</t>
  </si>
  <si>
    <t>Parameters of Cut off Slab:</t>
  </si>
  <si>
    <t>The transverse tension from the compression of the partial surface is compensated by the arch shear and the foundation load.</t>
  </si>
  <si>
    <t>GEWI 28 mm S500/550 einfacher Korrosionschu</t>
  </si>
  <si>
    <t>GEWI 32 mm S500/550 einfacher Korrosionschu</t>
  </si>
  <si>
    <t>GEWI 40 mm S500/550 einfacher Korrosionschu</t>
  </si>
  <si>
    <t>GEWI 50 mm S500/550 einfacher Korrosionsch</t>
  </si>
  <si>
    <t>GEWI 63 mm S550/700 einfacher Korrosionschu</t>
  </si>
  <si>
    <t>HPI-fold</t>
  </si>
  <si>
    <t xml:space="preserve">Plan no.: </t>
  </si>
  <si>
    <t xml:space="preserve">Dibujo N°: </t>
  </si>
  <si>
    <t>P.O. Box 1260
D-86522 Schrobenhausen
Federal Rebublic of Germany
Telefon +49(8252)97-0 Telefax +49(8252)9-1359</t>
  </si>
  <si>
    <t>водопонизительные скважины в уровне дна котлована. Распределение давления воды на стену уменьшено из-за наличия одного слоя дренирующих трубок за стеной.</t>
  </si>
  <si>
    <t>водопонизительные скважины в уровне дна котлована. Распределение давления воды на стену уменьшено из-за наличия двух слоев дренирующих трубок за стеной.</t>
  </si>
  <si>
    <t>Расчет подпорных конструкций</t>
  </si>
  <si>
    <t>N-Bem верт. давл. грунта</t>
  </si>
  <si>
    <t>N-Bem верт. сила анкера</t>
  </si>
  <si>
    <t>Gewicht angehängter Boden:</t>
  </si>
  <si>
    <t>with fixation acc. to Blum and free support at full excavation</t>
  </si>
  <si>
    <t>with subgrade reaction</t>
  </si>
  <si>
    <t xml:space="preserve">with chosen wall embedment and subgrade reaction </t>
  </si>
  <si>
    <t>with anchor springs as well as subgrade reaction with chosen embedment</t>
  </si>
  <si>
    <t>Schweißnahtlänge</t>
  </si>
  <si>
    <t>Anzahl Schweißnähte</t>
  </si>
  <si>
    <t>eksploatacja od pola</t>
  </si>
  <si>
    <t>platforma robocza</t>
  </si>
  <si>
    <t>&gt; 3,5 additional shear crimps required</t>
  </si>
  <si>
    <t>gam (Suspension oben) =</t>
  </si>
  <si>
    <t>gam (Suspension unten) =</t>
  </si>
  <si>
    <t>tauf (Suspension) =</t>
  </si>
  <si>
    <t>Oberkante Suspension =</t>
  </si>
  <si>
    <t>Schlitzlänge =</t>
  </si>
  <si>
    <t>Sicherheit Kohäsion =</t>
  </si>
  <si>
    <t>Seitendruck bilinear (DIN 4126)</t>
  </si>
  <si>
    <t>Ruhedruck vor der Leitwand</t>
  </si>
  <si>
    <t>calculated in depth =</t>
  </si>
  <si>
    <t>gam (Suspension top) =</t>
  </si>
  <si>
    <t>gam (Suspension bot) =</t>
  </si>
  <si>
    <t>Top of suspension =</t>
  </si>
  <si>
    <t>Safety cohesion =</t>
  </si>
  <si>
    <t>gewählt:    Wendelbewehrung</t>
  </si>
  <si>
    <t xml:space="preserve">Bereich    </t>
  </si>
  <si>
    <t>Wendel   Ø</t>
  </si>
  <si>
    <t>Nachweise</t>
  </si>
  <si>
    <t>Schnittkraftverteilung der statischen Berechnung</t>
  </si>
  <si>
    <t xml:space="preserve">Допускаются трещины </t>
  </si>
  <si>
    <t xml:space="preserve">Без трещин </t>
  </si>
  <si>
    <t>Параметры "стены в грунте"</t>
  </si>
  <si>
    <t>Уровень земли =</t>
  </si>
  <si>
    <t xml:space="preserve">Глубина "стены в грунте" = </t>
  </si>
  <si>
    <t xml:space="preserve">Глубина подошвы форшахты = </t>
  </si>
  <si>
    <t xml:space="preserve">Верх поддерживающей суспензии = </t>
  </si>
  <si>
    <t xml:space="preserve">УГВ = </t>
  </si>
  <si>
    <t xml:space="preserve">Толщина "стены в грунте" = </t>
  </si>
  <si>
    <t xml:space="preserve">Длина распространения разреза 1 в плане = </t>
  </si>
  <si>
    <t xml:space="preserve">Длина распространения разреза 2 в плане = </t>
  </si>
  <si>
    <t xml:space="preserve">Угол между разрезами в плане = </t>
  </si>
  <si>
    <t xml:space="preserve">Хар-ки суспензии </t>
  </si>
  <si>
    <t xml:space="preserve">Вес сверху = </t>
  </si>
  <si>
    <t xml:space="preserve">Вес снизу = </t>
  </si>
  <si>
    <t>Skalierrechteck x=</t>
  </si>
  <si>
    <t>rectangle de échelle x=</t>
  </si>
  <si>
    <t>Ortogramo de escala x=</t>
  </si>
  <si>
    <t>Keine Anker vorhanden!</t>
  </si>
  <si>
    <t>Verfasser</t>
  </si>
  <si>
    <t>Programm</t>
  </si>
  <si>
    <t>Bauwerk</t>
  </si>
  <si>
    <t xml:space="preserve">A N K E R B E M E S S U N G  Schnitt </t>
  </si>
  <si>
    <t>Schluff, breiig</t>
  </si>
  <si>
    <t>Ton, fest</t>
  </si>
  <si>
    <t>Ton, halbfest</t>
  </si>
  <si>
    <t>Ton, steif</t>
  </si>
  <si>
    <t>Ton, weich</t>
  </si>
  <si>
    <t>T, breiig</t>
  </si>
  <si>
    <t>Auffüllung aus Fremdstoffen</t>
  </si>
  <si>
    <t>Pfahlkräfte</t>
  </si>
  <si>
    <t>Vertikale Einzellasten</t>
  </si>
  <si>
    <t>Mantelreibung Einbindung</t>
  </si>
  <si>
    <t>Limit skin friction pile</t>
  </si>
  <si>
    <t>Allowable load grout body</t>
  </si>
  <si>
    <t>Limit skin friction soil-nail</t>
  </si>
  <si>
    <t>Modulus of horizontal subgrade reaction ksh / Stiffness Modulus Es</t>
  </si>
  <si>
    <t>Coefficient of permeability</t>
  </si>
  <si>
    <t>Length of grout body anchor</t>
  </si>
  <si>
    <t>Analysis for bond stresses:</t>
  </si>
  <si>
    <t>Additional tie plates are not necessary for the bond safety!</t>
  </si>
  <si>
    <t>Bond length l =min (topW-z,z-BOW)</t>
  </si>
  <si>
    <t>index pelnego wykopu</t>
  </si>
  <si>
    <t>nie</t>
  </si>
  <si>
    <t>nieznaczny</t>
  </si>
  <si>
    <t>mocny</t>
  </si>
  <si>
    <t>bardzo mocny</t>
  </si>
  <si>
    <t>Einstab</t>
  </si>
  <si>
    <t>TE26,5</t>
  </si>
  <si>
    <t>TE32</t>
  </si>
  <si>
    <t>Hierzu wird mit einem Ansatz auf der sicheren Seite eine maximale MIP-Tragfähigkeit entsprechend einer  dreieckförmigen Druckzone mit der neutralen Faser in Wandmitte in Ansatz gebracht.</t>
  </si>
  <si>
    <t>Wall-/Pile-thk.</t>
  </si>
  <si>
    <t>max Spiral cross section</t>
  </si>
  <si>
    <t>$PosPlan</t>
  </si>
  <si>
    <t xml:space="preserve">Teilstueck von Schnitt </t>
  </si>
  <si>
    <t>SumV</t>
  </si>
  <si>
    <t>max |h|</t>
  </si>
  <si>
    <t>Status of dimensioning</t>
  </si>
  <si>
    <t>Sum V</t>
  </si>
  <si>
    <t>η-p,s</t>
  </si>
  <si>
    <t>η-Gleiten</t>
  </si>
  <si>
    <t>HDI-Sigma</t>
  </si>
  <si>
    <t>Opt: l-A übernehmen</t>
  </si>
  <si>
    <t>∆zSteife [m]</t>
  </si>
  <si>
    <t>∆zAnker [m]</t>
  </si>
  <si>
    <t>∆zGW [m]</t>
  </si>
  <si>
    <t>Tender Eng.:</t>
  </si>
  <si>
    <t xml:space="preserve">Proj. Manager: </t>
  </si>
  <si>
    <t xml:space="preserve">Drawing No.: </t>
  </si>
  <si>
    <t>Wittelsbacherstrasse 5, Postfach 1260
86522 Schrobenhausen
Telefon (08252)97-0
Telefax (08252)97-1359</t>
  </si>
  <si>
    <t>No anchors!</t>
  </si>
  <si>
    <t>Grafische Darstellung</t>
  </si>
  <si>
    <t>Ergebnisse und Nachweisführung</t>
  </si>
  <si>
    <t>Berechnungstiefe</t>
  </si>
  <si>
    <t>Gleitflächen-winkel</t>
  </si>
  <si>
    <t>Erddruck</t>
  </si>
  <si>
    <t>Suspensions-druck</t>
  </si>
  <si>
    <t>Sicherheit</t>
  </si>
  <si>
    <t>Eindringtiefen je Schicht</t>
  </si>
  <si>
    <t>Druckgefälle</t>
  </si>
  <si>
    <t>organische Böden steif</t>
  </si>
  <si>
    <t>organische Böden weich</t>
  </si>
  <si>
    <t>Torf</t>
  </si>
  <si>
    <t>Faulschlamm</t>
  </si>
  <si>
    <t>Mudde</t>
  </si>
  <si>
    <t>with elastic prestressed anchor springs as well as subgrade reaction with chosen embedment</t>
  </si>
  <si>
    <t>zadnych</t>
  </si>
  <si>
    <t xml:space="preserve">reduced from excavation level to toe of wall </t>
  </si>
  <si>
    <t>fuste del pilote D=</t>
  </si>
  <si>
    <t>Stirrup:</t>
  </si>
  <si>
    <t>Weight of rft.:</t>
  </si>
  <si>
    <t>max. rft. net</t>
  </si>
  <si>
    <t>Index longi.  Rft.</t>
  </si>
  <si>
    <t>rft. cross section</t>
  </si>
  <si>
    <t>Piece</t>
  </si>
  <si>
    <t>exist. Rft. gross</t>
  </si>
  <si>
    <t>Given rft. automat</t>
  </si>
  <si>
    <t>Layers/Spacing</t>
  </si>
  <si>
    <t>Air Side</t>
  </si>
  <si>
    <t>Spiral</t>
  </si>
  <si>
    <t>Bars/Layers</t>
  </si>
  <si>
    <t>Longi. row of rft.</t>
  </si>
  <si>
    <t>Stirrup row</t>
  </si>
  <si>
    <t>Rft. earth side</t>
  </si>
  <si>
    <t>Rft. air side</t>
  </si>
  <si>
    <t xml:space="preserve">Assoc. Normal force NL = </t>
  </si>
  <si>
    <t>Spacing of the inserted steel beams</t>
  </si>
  <si>
    <t>Concrete gap infill</t>
  </si>
  <si>
    <t xml:space="preserve"> Gap infill</t>
  </si>
  <si>
    <t>MIP-gap infill</t>
  </si>
  <si>
    <t>Loads Nd =</t>
  </si>
  <si>
    <t>Permissible</t>
  </si>
  <si>
    <t>Material for gap infill</t>
  </si>
  <si>
    <t xml:space="preserve">   соотв. момент:</t>
  </si>
  <si>
    <t xml:space="preserve">   соотв. вертик. сила:</t>
  </si>
  <si>
    <t>Raster b &gt; a</t>
  </si>
  <si>
    <t>UK-Anker</t>
  </si>
  <si>
    <t>Opti. Anker</t>
  </si>
  <si>
    <t>D-Ersatz [cm]</t>
  </si>
  <si>
    <t>raster a</t>
  </si>
  <si>
    <t>raster b &gt; a</t>
  </si>
  <si>
    <t>BO pile</t>
  </si>
  <si>
    <t>D-pile equiv [cm]</t>
  </si>
  <si>
    <t>∆γ' Auftrieb</t>
  </si>
  <si>
    <t>EP Schlitz</t>
  </si>
  <si>
    <t>UP trench</t>
  </si>
  <si>
    <t>Spacing beam-anchor</t>
  </si>
  <si>
    <t>Analysis: 0-plast. 1-elast.</t>
  </si>
  <si>
    <t>Analysis of waler layer</t>
  </si>
  <si>
    <t>Waler system</t>
  </si>
  <si>
    <t>Waler profile U&amp;I</t>
  </si>
  <si>
    <t xml:space="preserve">Waler type </t>
  </si>
  <si>
    <t xml:space="preserve"> Weld a = </t>
  </si>
  <si>
    <t>Flange width</t>
  </si>
  <si>
    <t>Joint with cover plate</t>
  </si>
  <si>
    <t>Beam with waler</t>
  </si>
  <si>
    <t>Hill 1 span with cantilever</t>
  </si>
  <si>
    <t>Uniform load 1 span</t>
  </si>
  <si>
    <t>Plan de situatie</t>
  </si>
  <si>
    <t>Parametrii geotehnici</t>
  </si>
  <si>
    <t>Foraje</t>
  </si>
  <si>
    <t>Sectiune</t>
  </si>
  <si>
    <t xml:space="preserve">determined through a potential line analysis </t>
  </si>
  <si>
    <t>Inhaltsverzeichnis</t>
  </si>
  <si>
    <t xml:space="preserve">Durch Aufruf von ''Data/New WAL-file'' wird das Forumlar geleert und kann unter </t>
  </si>
  <si>
    <t>P.O. Box 1260
D-86522 Schrobenhausen
Germania
Telefon (08252)97-0 Telefax (08252)9-1359</t>
  </si>
  <si>
    <t>latura pentru scalare x=</t>
  </si>
  <si>
    <r>
      <t>Marimea planului: 1,0 m</t>
    </r>
    <r>
      <rPr>
        <b/>
        <sz val="10"/>
        <rFont val="Arial"/>
        <family val="2"/>
      </rPr>
      <t>²</t>
    </r>
  </si>
  <si>
    <t>Gewicht der Bewehrung:</t>
  </si>
  <si>
    <t>Pfahlgruppe</t>
  </si>
  <si>
    <t>Sicherheit angehäng. Erdkörper:</t>
  </si>
  <si>
    <t>Aktivierung Bodengewicht über Reibung =</t>
  </si>
  <si>
    <t>Pfahlraster</t>
  </si>
  <si>
    <t>Pfahllänge unter Sohle</t>
  </si>
  <si>
    <t>Zuganker</t>
  </si>
  <si>
    <t>Zugglied mögl</t>
  </si>
  <si>
    <t>Mantel mögl</t>
  </si>
  <si>
    <t>ständige Einwirkungen</t>
  </si>
  <si>
    <t>Pfahlzugwiderstand</t>
  </si>
  <si>
    <t>Zuggliedwiderstand</t>
  </si>
  <si>
    <t>Zugglied</t>
  </si>
  <si>
    <t>GEWI 32 dopp Korrschutz</t>
  </si>
  <si>
    <t>GEWI 40 dopp Korrschutz</t>
  </si>
  <si>
    <t>GEWI 50 dopp Korrschutz</t>
  </si>
  <si>
    <t>GEWI 63 dopp Korrschutz</t>
  </si>
  <si>
    <t>2x0,6" dopp Korrschutz</t>
  </si>
  <si>
    <t>3x0,6" dopp Korrschutz</t>
  </si>
  <si>
    <t>4x0,6" dopp Korrschutz</t>
  </si>
  <si>
    <t>5x0,6" dopp Korrschutz</t>
  </si>
  <si>
    <t>Plannr</t>
  </si>
  <si>
    <t>Masstab</t>
  </si>
  <si>
    <t>Layout Nbr</t>
  </si>
  <si>
    <t>Dimensioning round anchoring:</t>
  </si>
  <si>
    <t>Group</t>
  </si>
  <si>
    <t>Wedge</t>
  </si>
  <si>
    <t>Cuboid</t>
  </si>
  <si>
    <t>Equivalent width</t>
  </si>
  <si>
    <t>Group of rows</t>
  </si>
  <si>
    <t>Pile</t>
  </si>
  <si>
    <t>Cone</t>
  </si>
  <si>
    <t>No. of layer below slab</t>
  </si>
  <si>
    <t>Gleichlast 1Feld</t>
  </si>
  <si>
    <t>Gleichlast nFeld</t>
  </si>
  <si>
    <t>Berg 1Feld mit Kragarm</t>
  </si>
  <si>
    <t>Träger mit Gurt</t>
  </si>
  <si>
    <t>A-Fak</t>
  </si>
  <si>
    <t>A-factor</t>
  </si>
  <si>
    <t>Laschenstoß</t>
  </si>
  <si>
    <t>Given water pressure distribution</t>
  </si>
  <si>
    <t>approx. general load</t>
  </si>
  <si>
    <t>approx. Support forces</t>
  </si>
  <si>
    <t>SPW-valley</t>
  </si>
  <si>
    <t>SPW 2U back</t>
  </si>
  <si>
    <t>PF long. rft eartside</t>
  </si>
  <si>
    <t>PF long. rft airside</t>
  </si>
  <si>
    <t>Cost head</t>
  </si>
  <si>
    <t>Kosten Kopf</t>
  </si>
  <si>
    <t>Kosten je Anker</t>
  </si>
  <si>
    <t>Cost anchor</t>
  </si>
  <si>
    <t>Cost per anchor</t>
  </si>
  <si>
    <t>Anzahl Anker</t>
  </si>
  <si>
    <t>Number anchor</t>
  </si>
  <si>
    <t>Stck</t>
  </si>
  <si>
    <t>E N D print program</t>
  </si>
  <si>
    <t>concrete waler</t>
  </si>
  <si>
    <t>flat strip waler</t>
  </si>
  <si>
    <t>Gleich 1Feld</t>
  </si>
  <si>
    <t>Gleich nFeld</t>
  </si>
  <si>
    <t>Berg 3&amp;3</t>
  </si>
  <si>
    <t>Berg 4&amp;3</t>
  </si>
  <si>
    <t>Front Gerber</t>
  </si>
  <si>
    <t>Back Gerber</t>
  </si>
  <si>
    <t xml:space="preserve">Front 3&amp;2 </t>
  </si>
  <si>
    <t>Front 3&amp;3</t>
  </si>
  <si>
    <t>Front 4&amp;3</t>
  </si>
  <si>
    <t>Waler girder</t>
  </si>
  <si>
    <t>MIPTraeger</t>
  </si>
  <si>
    <t>Runden</t>
  </si>
  <si>
    <t>round</t>
  </si>
  <si>
    <t>SPW 2U-Gurt erdseitig</t>
  </si>
  <si>
    <t>U&amp;I front</t>
  </si>
  <si>
    <t>I inserted</t>
  </si>
  <si>
    <t>SPW back</t>
  </si>
  <si>
    <t>SPW 2U-waler earthide</t>
  </si>
  <si>
    <t>steel strut</t>
  </si>
  <si>
    <t>concr strut</t>
  </si>
  <si>
    <t>HL 1</t>
  </si>
  <si>
    <t>HL 2</t>
  </si>
  <si>
    <t>HL 2/7</t>
  </si>
  <si>
    <t>HL 3</t>
  </si>
  <si>
    <t>KDIIIS</t>
  </si>
  <si>
    <t>KD800</t>
  </si>
  <si>
    <r>
      <t>cm</t>
    </r>
    <r>
      <rPr>
        <vertAlign val="superscript"/>
        <sz val="10"/>
        <rFont val="Arial"/>
        <family val="2"/>
      </rPr>
      <t>4</t>
    </r>
    <r>
      <rPr>
        <sz val="10"/>
        <rFont val="Arial"/>
        <family val="2"/>
      </rPr>
      <t>/m</t>
    </r>
  </si>
  <si>
    <t>D</t>
  </si>
  <si>
    <t>t</t>
  </si>
  <si>
    <t>G</t>
  </si>
  <si>
    <t>I</t>
  </si>
  <si>
    <t>W</t>
  </si>
  <si>
    <t>i</t>
  </si>
  <si>
    <t>Sy</t>
  </si>
  <si>
    <t>Betonstabstahl</t>
  </si>
  <si>
    <t>ds [mm]</t>
  </si>
  <si>
    <t>The associated vertical forces are determined with the follow portions:</t>
  </si>
  <si>
    <t>Anchor layers</t>
  </si>
  <si>
    <t>Total length drilling</t>
  </si>
  <si>
    <t>Spacing</t>
  </si>
  <si>
    <t>Bore length</t>
  </si>
  <si>
    <t>Force</t>
  </si>
  <si>
    <t>Surface</t>
  </si>
  <si>
    <t>Remark</t>
  </si>
  <si>
    <t>Section lengths, areas of slabs</t>
  </si>
  <si>
    <t xml:space="preserve">Quantities </t>
  </si>
  <si>
    <t>Sums</t>
  </si>
  <si>
    <t>Quantities for the retaining works</t>
  </si>
  <si>
    <t>Soil Nailings</t>
  </si>
  <si>
    <t>Beam walls</t>
  </si>
  <si>
    <t>Contiguous pile wals</t>
  </si>
  <si>
    <t>GEWI 50 mm S500/550 doppelter Korrosionsch</t>
  </si>
  <si>
    <t>00202300</t>
  </si>
  <si>
    <t>GEWI 63 mm S550/700 doppelter Korrosionschu</t>
  </si>
  <si>
    <t>00202310</t>
  </si>
  <si>
    <t>00202320</t>
  </si>
  <si>
    <t>Breite Flansch</t>
  </si>
  <si>
    <t>Neigung</t>
  </si>
  <si>
    <t>Höhe</t>
  </si>
  <si>
    <t xml:space="preserve">2 Q-Laschen </t>
  </si>
  <si>
    <t xml:space="preserve"> Naht a=</t>
  </si>
  <si>
    <t>Kennung Gurt</t>
  </si>
  <si>
    <t>Gurtprofil U&amp;I</t>
  </si>
  <si>
    <t>Nachweis Gurtlage</t>
  </si>
  <si>
    <t>vorh horiz Linienlast</t>
  </si>
  <si>
    <t xml:space="preserve">Unterfangung mit Hochdruckinjektion </t>
  </si>
  <si>
    <t>Spritzbetonsicherung mit aufgespritzten Ankerplattenverstärkungen</t>
  </si>
  <si>
    <t>Warzenwand</t>
  </si>
  <si>
    <t>freistehend</t>
  </si>
  <si>
    <t>unverankert</t>
  </si>
  <si>
    <t>lagige Ankerung mit Stabverpreßpfählen</t>
  </si>
  <si>
    <t>lagige Ankerung mit Verpreßankern</t>
  </si>
  <si>
    <t>lagige Stützung mit Stahlsteifen</t>
  </si>
  <si>
    <t>GEWIlage</t>
  </si>
  <si>
    <t>Steifenlage</t>
  </si>
  <si>
    <t>Beam spacing:</t>
  </si>
  <si>
    <t>Max. Moment:</t>
  </si>
  <si>
    <t>Min. Moment:</t>
  </si>
  <si>
    <t>Summary of influences:</t>
  </si>
  <si>
    <t>Reduction over 50% for Fixation acc. to Blum</t>
  </si>
  <si>
    <t>1) Safety Resistance Factor:</t>
  </si>
  <si>
    <t xml:space="preserve">Slenderness2) limit  </t>
  </si>
  <si>
    <t>Web</t>
  </si>
  <si>
    <t>Flange</t>
  </si>
  <si>
    <t xml:space="preserve"> Too slender</t>
  </si>
  <si>
    <t>Limit</t>
  </si>
  <si>
    <t>2) The degree of utilisation is considered for the calculation of slenderness limit for shear and bending</t>
  </si>
  <si>
    <t xml:space="preserve">Structural Steel Safety </t>
  </si>
  <si>
    <t>No inserted steel beams!</t>
  </si>
  <si>
    <t>Max. Normal Force:</t>
  </si>
  <si>
    <t>Section Moment:</t>
  </si>
  <si>
    <t>Section Shear Force:</t>
  </si>
  <si>
    <t>Beam Fixity:</t>
  </si>
  <si>
    <t>Beam Breadth</t>
  </si>
  <si>
    <t>Inserted support</t>
  </si>
  <si>
    <t xml:space="preserve">Stirrup over </t>
  </si>
  <si>
    <t>Bewehrungsquerschnitt</t>
  </si>
  <si>
    <t>Safety against diaphragm wall sliding surface failure</t>
  </si>
  <si>
    <t>Safety</t>
  </si>
  <si>
    <t>Info  L a y o u t p l a n</t>
  </si>
  <si>
    <t xml:space="preserve">Slope at excavation level has a distance of </t>
  </si>
  <si>
    <t>Bottom of wall is placed over top level of borehole log!</t>
  </si>
  <si>
    <t xml:space="preserve">2. Activate rectangular scale </t>
  </si>
  <si>
    <t>contain mueNN in the data record!</t>
  </si>
  <si>
    <t>gHandel</t>
  </si>
  <si>
    <t>HEB100</t>
  </si>
  <si>
    <t>HEB120</t>
  </si>
  <si>
    <t>HEB140</t>
  </si>
  <si>
    <t>HEB160</t>
  </si>
  <si>
    <t>HEB180</t>
  </si>
  <si>
    <t>HEB200</t>
  </si>
  <si>
    <t>HEB220</t>
  </si>
  <si>
    <t>HEB240</t>
  </si>
  <si>
    <t>HEB260</t>
  </si>
  <si>
    <t>HEB280</t>
  </si>
  <si>
    <t>HEB300</t>
  </si>
  <si>
    <t>HEB320</t>
  </si>
  <si>
    <t>HEB340</t>
  </si>
  <si>
    <t>HEB360</t>
  </si>
  <si>
    <t>HEB400</t>
  </si>
  <si>
    <t>HEB450</t>
  </si>
  <si>
    <t>HEB500</t>
  </si>
  <si>
    <t>HEB550</t>
  </si>
  <si>
    <t>HEB600</t>
  </si>
  <si>
    <t>HEB650</t>
  </si>
  <si>
    <t>HEB700</t>
  </si>
  <si>
    <t>HEB800</t>
  </si>
  <si>
    <t>HEB900</t>
  </si>
  <si>
    <t>HEB1000</t>
  </si>
  <si>
    <t>HEA240</t>
  </si>
  <si>
    <t>Вертикальная несущая способность ограждения проверяется в уровне дна котлована макс. давлением и поверхностным трением. Вертикальная составляющая пассивного давления грунта добавляется к вертикальной рекации подошвы стены.</t>
  </si>
  <si>
    <t>Spundwand</t>
  </si>
  <si>
    <t>Pfahlwand</t>
  </si>
  <si>
    <t>without</t>
  </si>
  <si>
    <t>D/a anteilig</t>
  </si>
  <si>
    <t>D/a partial</t>
  </si>
  <si>
    <t>Spritzbeton</t>
  </si>
  <si>
    <t>einer tiefliegenden HDI-Sohle</t>
  </si>
  <si>
    <t xml:space="preserve"> Abminderungsfakor der inneren Reibung für Wandreibung von </t>
  </si>
  <si>
    <t xml:space="preserve"> Die Sicherheit des Fußauflagers beim Nachweis der Wandeinbindung wird mit größer gleich </t>
  </si>
  <si>
    <t>UK-WD</t>
  </si>
  <si>
    <t>ab BGS</t>
  </si>
  <si>
    <t>LX 12d10 BS</t>
  </si>
  <si>
    <t>LX 16 BS</t>
  </si>
  <si>
    <t>LX 20 BS</t>
  </si>
  <si>
    <t>Ankerblatterfordernis</t>
  </si>
  <si>
    <t>Ankerkopftyp</t>
  </si>
  <si>
    <t>Art</t>
  </si>
  <si>
    <t>saved before opening an new file?</t>
  </si>
  <si>
    <r>
      <t>1)</t>
    </r>
    <r>
      <rPr>
        <sz val="10"/>
        <color indexed="8"/>
        <rFont val="Arial"/>
        <family val="2"/>
      </rPr>
      <t xml:space="preserve">  V - excavation stage or E -  permanent supported stage is relevant</t>
    </r>
  </si>
  <si>
    <t>TBMIPearthside</t>
  </si>
  <si>
    <t>SPW</t>
  </si>
  <si>
    <t>SPWeing</t>
  </si>
  <si>
    <t>SPWinsert</t>
  </si>
  <si>
    <t>SPWGurt</t>
  </si>
  <si>
    <t>SPWeingGurt</t>
  </si>
  <si>
    <t>PF1:1</t>
  </si>
  <si>
    <t>∆Länge-Ank [m]</t>
  </si>
  <si>
    <t>EI-Steck [MNm]</t>
  </si>
  <si>
    <t>H-Prof [m]</t>
  </si>
  <si>
    <t>BO insert beam</t>
  </si>
  <si>
    <t>req</t>
  </si>
  <si>
    <t>prop</t>
  </si>
  <si>
    <t>Heiko.Voigt@bauer.de</t>
  </si>
  <si>
    <t>Lorinser</t>
  </si>
  <si>
    <t>Hans</t>
  </si>
  <si>
    <t>NLStuttgart</t>
  </si>
  <si>
    <t>Zeppelinstr. 145</t>
  </si>
  <si>
    <t>73730 Esslingen</t>
  </si>
  <si>
    <t>Hans.Lorinser@bauer.de</t>
  </si>
  <si>
    <t>Stotz</t>
  </si>
  <si>
    <t>auto+addition</t>
  </si>
  <si>
    <t xml:space="preserve">For the project </t>
  </si>
  <si>
    <t>enthaelt Umlaute oder Sonderzeichen. Dies kann in der Pfadbezeichnung oder im Dateinamen sein. Die Eingabe wird wiederholt.</t>
  </si>
  <si>
    <t>PU22+1</t>
  </si>
  <si>
    <t>Korrosionsabschlag [mm]</t>
  </si>
  <si>
    <t>Keine Gewölbeausfachung!</t>
  </si>
  <si>
    <t xml:space="preserve">G E W Ö L B E  A U S F A C H U N G  Schnitt </t>
  </si>
  <si>
    <t>Wandberechnungsart</t>
  </si>
  <si>
    <t>Marco.Hein@bauer.de</t>
  </si>
  <si>
    <t>TE36</t>
  </si>
  <si>
    <t>TE40</t>
  </si>
  <si>
    <t>TSVP20</t>
  </si>
  <si>
    <t>TSVP25</t>
  </si>
  <si>
    <t>TSVP+28</t>
  </si>
  <si>
    <t>TSVP+30</t>
  </si>
  <si>
    <t>TSVP+35</t>
  </si>
  <si>
    <t>TSVP+43</t>
  </si>
  <si>
    <t>TSVP+57,5</t>
  </si>
  <si>
    <t>TSVP+63,5</t>
  </si>
  <si>
    <t>Nbr</t>
  </si>
  <si>
    <t>глыбы</t>
  </si>
  <si>
    <t>суглинок</t>
  </si>
  <si>
    <t>обломки</t>
  </si>
  <si>
    <t>валунная глина</t>
  </si>
  <si>
    <t>лесс</t>
  </si>
  <si>
    <t>мел</t>
  </si>
  <si>
    <t>OK-Wand liegt unter UK-Bohrung!</t>
  </si>
  <si>
    <t>changing level timber lagging-shotcrete</t>
  </si>
  <si>
    <t>with the given water pressure distribution</t>
  </si>
  <si>
    <t xml:space="preserve">Der Wasserdruck wird </t>
  </si>
  <si>
    <t xml:space="preserve">mit </t>
  </si>
  <si>
    <t>with</t>
  </si>
  <si>
    <t>exist. As =</t>
  </si>
  <si>
    <t>Section 1:</t>
  </si>
  <si>
    <t>vorhd</t>
  </si>
  <si>
    <t>Ankerkraft N-ek</t>
  </si>
  <si>
    <t>Gurtzulage erforderlich</t>
  </si>
  <si>
    <t>erf</t>
  </si>
  <si>
    <t>Spacing of beams</t>
  </si>
  <si>
    <t>Load:</t>
  </si>
  <si>
    <t xml:space="preserve">Analysis of the vertical force   section  </t>
  </si>
  <si>
    <t>Type of wall calculation</t>
  </si>
  <si>
    <t>Increase section force</t>
  </si>
  <si>
    <t>Increase supporting force</t>
  </si>
  <si>
    <t>Permissible foot support force</t>
  </si>
  <si>
    <t>Negative bedding forces</t>
  </si>
  <si>
    <t>Horizontal forces</t>
  </si>
  <si>
    <t>Redistributed earth press.</t>
  </si>
  <si>
    <t>Возм. бок. трение</t>
  </si>
  <si>
    <t>Влияние факт. постоянст.</t>
  </si>
  <si>
    <t>Пред. выдерг. нагр. на сваю</t>
  </si>
  <si>
    <t>Пред. выдерг. нагр.</t>
  </si>
  <si>
    <t>Раст. элемент</t>
  </si>
  <si>
    <t>Бок. поверхность</t>
  </si>
  <si>
    <t>Расчет поверх. слоя:</t>
  </si>
  <si>
    <t>Перепад давлений</t>
  </si>
  <si>
    <t xml:space="preserve">Расчетная длина </t>
  </si>
  <si>
    <t>Рассчит. толщина плиты</t>
  </si>
  <si>
    <t>Расч. длина арки</t>
  </si>
  <si>
    <t>Прочн. бетона под водой</t>
  </si>
  <si>
    <t>Прочн. Jet-grouting</t>
  </si>
  <si>
    <t xml:space="preserve">Продавливание </t>
  </si>
  <si>
    <t>Сила в свае</t>
  </si>
  <si>
    <t>Диаметр оголовка</t>
  </si>
  <si>
    <t>Результаты расчета</t>
  </si>
  <si>
    <t>Доп. армирование от продавливания не требуется</t>
  </si>
  <si>
    <t>Неармированная конструкция не возможна</t>
  </si>
  <si>
    <t>Safety section force, foot support</t>
  </si>
  <si>
    <t>Safety loads</t>
  </si>
  <si>
    <t>Embedment</t>
  </si>
  <si>
    <t>Iteration wall embedment</t>
  </si>
  <si>
    <t>underdesigned</t>
  </si>
  <si>
    <t>Ankerkopfausbildung</t>
  </si>
  <si>
    <t>Sicherheit Verpresskörper</t>
  </si>
  <si>
    <t>Fläche</t>
  </si>
  <si>
    <t>Blech</t>
  </si>
  <si>
    <t>Sicherheit Mikropfahl</t>
  </si>
  <si>
    <t>Keine Pfahlwand!</t>
  </si>
  <si>
    <t xml:space="preserve">P F A H L B E M E S S U N G  Schnitt  </t>
  </si>
  <si>
    <t>Pfahlabstand:</t>
  </si>
  <si>
    <t>Moment:</t>
  </si>
  <si>
    <t xml:space="preserve"> Die Baugrubensohle im Bereich des Schnittes wird mit einem Unterbeton ausgesteift. </t>
  </si>
  <si>
    <t>BAUER International       Главный офис</t>
  </si>
  <si>
    <t>Konstruktionsanalyse</t>
  </si>
  <si>
    <t>Данные стены</t>
  </si>
  <si>
    <t xml:space="preserve">Вес стены </t>
  </si>
  <si>
    <t>Вертикал. составляющая давления грунта</t>
  </si>
  <si>
    <t>Площадь поднятия сваи</t>
  </si>
  <si>
    <t>Половина ширины котл.</t>
  </si>
  <si>
    <t xml:space="preserve">Снижение закрепленного тела грунта </t>
  </si>
  <si>
    <t>из-за веса стены</t>
  </si>
  <si>
    <t>из-за вертик. давл. гр.</t>
  </si>
  <si>
    <t>Число анкеров</t>
  </si>
  <si>
    <t xml:space="preserve">Индекс распорки </t>
  </si>
  <si>
    <t xml:space="preserve">Цена </t>
  </si>
  <si>
    <t>Решетчатая балка</t>
  </si>
  <si>
    <t>Водн. пригруз Kelly</t>
  </si>
  <si>
    <t>Цена за ед. траншеи</t>
  </si>
  <si>
    <t xml:space="preserve">Цементно-бентонитовая суспензия </t>
  </si>
  <si>
    <t xml:space="preserve">Ширина траншеи </t>
  </si>
  <si>
    <t>Засыпка сверху</t>
  </si>
  <si>
    <t>Строит. в проект. месте</t>
  </si>
  <si>
    <t>Частично гравий/песок</t>
  </si>
  <si>
    <t>Частично ил</t>
  </si>
  <si>
    <t xml:space="preserve">Частично глина </t>
  </si>
  <si>
    <t>Частично скала/кирпич/бетон</t>
  </si>
  <si>
    <t>Уров. обвяз. балки</t>
  </si>
  <si>
    <t xml:space="preserve">Экскавация </t>
  </si>
  <si>
    <t xml:space="preserve">С Т А Р Т    прогр. печати </t>
  </si>
  <si>
    <t xml:space="preserve">Письмо </t>
  </si>
  <si>
    <t>Пояснения Excel файл</t>
  </si>
  <si>
    <t>Пояснения Word файл</t>
  </si>
  <si>
    <t xml:space="preserve">Концепция </t>
  </si>
  <si>
    <t xml:space="preserve">Разрез № </t>
  </si>
  <si>
    <t xml:space="preserve">Страница с изобр. разр. </t>
  </si>
  <si>
    <t>с доступн. офис/разр.</t>
  </si>
  <si>
    <t>офис/разр. не доступен</t>
  </si>
  <si>
    <t>Файл ввода</t>
  </si>
  <si>
    <t>Плот файл</t>
  </si>
  <si>
    <t>Файл с результатами</t>
  </si>
  <si>
    <t xml:space="preserve">Проверка для </t>
  </si>
  <si>
    <t>Дополн. проверка   Excel файла</t>
  </si>
  <si>
    <t xml:space="preserve">К О Н Е Ц  прогр. печати </t>
  </si>
  <si>
    <t>О Б З О Р    Д О К У М Е Н Т Ы</t>
  </si>
  <si>
    <t xml:space="preserve">расчет статических сил </t>
  </si>
  <si>
    <t>Часть линии с разреза</t>
  </si>
  <si>
    <t>Часть длины</t>
  </si>
  <si>
    <t>Часть площ. с разреза</t>
  </si>
  <si>
    <t xml:space="preserve">Часть площади </t>
  </si>
  <si>
    <t>Russia/Ucraine</t>
  </si>
  <si>
    <t>L-Разрез-7-[м]</t>
  </si>
  <si>
    <t>L-Разрез-8-[м]</t>
  </si>
  <si>
    <t>L-Разрез-9-[м]</t>
  </si>
  <si>
    <t>L-Разрез-10-[м]</t>
  </si>
  <si>
    <t>L-Разрез-11-[м]</t>
  </si>
  <si>
    <t>L-Разрез-12-[м]</t>
  </si>
  <si>
    <t>L-Разрез-13-[м]</t>
  </si>
  <si>
    <t>L-Разрез-14-[м]</t>
  </si>
  <si>
    <t>L-Разрез-15-[м]</t>
  </si>
  <si>
    <t>Длина секций и количество</t>
  </si>
  <si>
    <t>Площадь котл. [м²]</t>
  </si>
  <si>
    <t>Периметр котл. [м]</t>
  </si>
  <si>
    <t>Стандарт разм.</t>
  </si>
  <si>
    <t>уменш. толщ. MIP [м]</t>
  </si>
  <si>
    <t>мин. дл. задел. помещ. балок</t>
  </si>
  <si>
    <t>Пост. конструкция</t>
  </si>
  <si>
    <t>Хим. действие на бетон</t>
  </si>
  <si>
    <t>Хим. действие на сталь</t>
  </si>
  <si>
    <t>Воздух</t>
  </si>
  <si>
    <t>Вода</t>
  </si>
  <si>
    <t>Класс бетона</t>
  </si>
  <si>
    <t>Доп. длина анкера [м]</t>
  </si>
  <si>
    <t>Сочет. нагр. для этапов экскавации</t>
  </si>
  <si>
    <t>U&amp;H впереди</t>
  </si>
  <si>
    <t>U помещена</t>
  </si>
  <si>
    <t>H помещена</t>
  </si>
  <si>
    <t>SPW-углубл.</t>
  </si>
  <si>
    <t>SPW-L-обв.балка</t>
  </si>
  <si>
    <t>SPW-2U-обв.балка</t>
  </si>
  <si>
    <t>Тяжелый</t>
  </si>
  <si>
    <t>GEWI-плита</t>
  </si>
  <si>
    <t>GEWI-сцепление</t>
  </si>
  <si>
    <t>SPW 2U со ст. гр.</t>
  </si>
  <si>
    <t>Прямоугол.</t>
  </si>
  <si>
    <t>Треугол.</t>
  </si>
  <si>
    <t>MIP балоч.</t>
  </si>
  <si>
    <t>MIP1 свод</t>
  </si>
  <si>
    <t>MIP2 свод</t>
  </si>
  <si>
    <t>MIP3 свод</t>
  </si>
  <si>
    <t>MIP4 свод</t>
  </si>
  <si>
    <t>MIP5 свод</t>
  </si>
  <si>
    <t>трапецевид.</t>
  </si>
  <si>
    <t>L-обвяз. балка</t>
  </si>
  <si>
    <t>2L-обвяз. балка</t>
  </si>
  <si>
    <t>U-обвяз. балка</t>
  </si>
  <si>
    <t>2U-обвяз. балка</t>
  </si>
  <si>
    <t>H-обвяз. балка</t>
  </si>
  <si>
    <t>2H-обвяз. балка</t>
  </si>
  <si>
    <t>ж/б обвяз. балка</t>
  </si>
  <si>
    <t>Полосовая сталь</t>
  </si>
  <si>
    <t>Угл. балка с шарнир.</t>
  </si>
  <si>
    <t>По верху балка с шарнир.</t>
  </si>
  <si>
    <t>Соприк. балки с шарн.</t>
  </si>
  <si>
    <t>Однопр. балка</t>
  </si>
  <si>
    <t>n-пролет. балка</t>
  </si>
  <si>
    <t>Вид 3&amp;2</t>
  </si>
  <si>
    <t>Вид 3&amp;3</t>
  </si>
  <si>
    <t>Вид 4&amp;3</t>
  </si>
  <si>
    <t>скругл.</t>
  </si>
  <si>
    <t>SPW-обвяз. L-балка</t>
  </si>
  <si>
    <t>SPW-обвяз. 2U-балка</t>
  </si>
  <si>
    <t>SPW 2U со стор. грунта</t>
  </si>
  <si>
    <t>метал. распорка</t>
  </si>
  <si>
    <t>бет. распорка</t>
  </si>
  <si>
    <t xml:space="preserve">Расчет обвязочной балки: </t>
  </si>
  <si>
    <t>Обозн. обвязочной сист.</t>
  </si>
  <si>
    <t>По верх. балка с шарнир.</t>
  </si>
  <si>
    <t>Верх</t>
  </si>
  <si>
    <t xml:space="preserve">Обвязочная балка </t>
  </si>
  <si>
    <t>Балка с шарнирами с креплением в углублении</t>
  </si>
  <si>
    <t xml:space="preserve">Балка с шарнирами с креплением по верху </t>
  </si>
  <si>
    <t>Балка с шарнирами с распределенной нагр.</t>
  </si>
  <si>
    <t>Пред. нагрузка с консольной длиной половины шага анкеров</t>
  </si>
  <si>
    <t>Распр. нагр. на n-пролетов</t>
  </si>
  <si>
    <r>
      <t>Betonstahlstreckgrenze f</t>
    </r>
    <r>
      <rPr>
        <vertAlign val="subscript"/>
        <sz val="10"/>
        <color indexed="8"/>
        <rFont val="Arial"/>
        <family val="2"/>
      </rPr>
      <t>yK</t>
    </r>
  </si>
  <si>
    <r>
      <t>erf. Tragbewehrung        A</t>
    </r>
    <r>
      <rPr>
        <vertAlign val="subscript"/>
        <sz val="10"/>
        <color indexed="8"/>
        <rFont val="Arial"/>
        <family val="2"/>
      </rPr>
      <t xml:space="preserve">sL </t>
    </r>
    <r>
      <rPr>
        <sz val="10"/>
        <color indexed="8"/>
        <rFont val="Arial"/>
        <family val="2"/>
      </rPr>
      <t xml:space="preserve"> =</t>
    </r>
  </si>
  <si>
    <r>
      <t xml:space="preserve">Sicherheit Erdwiderstand γ </t>
    </r>
    <r>
      <rPr>
        <vertAlign val="subscript"/>
        <sz val="10"/>
        <color indexed="8"/>
        <rFont val="Arial"/>
        <family val="2"/>
      </rPr>
      <t>Ep</t>
    </r>
    <r>
      <rPr>
        <sz val="10"/>
        <color indexed="8"/>
        <rFont val="Arial"/>
        <family val="2"/>
      </rPr>
      <t xml:space="preserve"> =</t>
    </r>
  </si>
  <si>
    <r>
      <t xml:space="preserve">Sicherheit ständige Last γ </t>
    </r>
    <r>
      <rPr>
        <vertAlign val="subscript"/>
        <sz val="10"/>
        <color indexed="8"/>
        <rFont val="Arial"/>
        <family val="2"/>
      </rPr>
      <t>G</t>
    </r>
    <r>
      <rPr>
        <sz val="10"/>
        <color indexed="8"/>
        <rFont val="Arial"/>
        <family val="2"/>
      </rPr>
      <t xml:space="preserve"> =</t>
    </r>
  </si>
  <si>
    <r>
      <t xml:space="preserve">Sicherheit Schnittkraftermittlung Fußauflager γ </t>
    </r>
    <r>
      <rPr>
        <vertAlign val="subscript"/>
        <sz val="10"/>
        <color indexed="8"/>
        <rFont val="Arial"/>
        <family val="2"/>
      </rPr>
      <t>S</t>
    </r>
    <r>
      <rPr>
        <sz val="10"/>
        <color indexed="8"/>
        <rFont val="Arial"/>
        <family val="2"/>
      </rPr>
      <t xml:space="preserve"> =</t>
    </r>
  </si>
  <si>
    <r>
      <t>Erdwiderstand E</t>
    </r>
    <r>
      <rPr>
        <vertAlign val="subscript"/>
        <sz val="10"/>
        <color indexed="8"/>
        <rFont val="Arial"/>
        <family val="2"/>
      </rPr>
      <t>ph</t>
    </r>
    <r>
      <rPr>
        <sz val="10"/>
        <color indexed="8"/>
        <rFont val="Arial"/>
        <family val="2"/>
      </rPr>
      <t xml:space="preserve"> =</t>
    </r>
  </si>
  <si>
    <t>g- продольная</t>
  </si>
  <si>
    <t>g- спиральная</t>
  </si>
  <si>
    <t>Auftragsnummer</t>
  </si>
  <si>
    <t>vorh. Schub-</t>
  </si>
  <si>
    <t xml:space="preserve">Die Speicherung der Daten erfolgte unter </t>
  </si>
  <si>
    <t>Verminderung bezüg Sohlenfläche</t>
  </si>
  <si>
    <t>Verminderung je Pfahl</t>
  </si>
  <si>
    <t>Entlastung je Pfahl innere Tragfähigkeit</t>
  </si>
  <si>
    <t>OK Injektionssohle</t>
  </si>
  <si>
    <t>Ankerart</t>
  </si>
  <si>
    <t>Zugpfahldurchmesser</t>
  </si>
  <si>
    <t>Wichte Pfahl Auftrieb</t>
  </si>
  <si>
    <t>Diaphragm wall section 1 in ground plan =</t>
  </si>
  <si>
    <t>Top edge of supporting fluid =</t>
  </si>
  <si>
    <t>Depth of lower edge of guide wall =</t>
  </si>
  <si>
    <t>Ground Water level =</t>
  </si>
  <si>
    <t>Bearing pressure</t>
  </si>
  <si>
    <t>Foundation width</t>
  </si>
  <si>
    <t>Top of basement slab</t>
  </si>
  <si>
    <t>Slip circle stability on building side</t>
  </si>
  <si>
    <t>Decisive specif. weight of layer</t>
  </si>
  <si>
    <t>Overburden to bottom of foundation</t>
  </si>
  <si>
    <t>Slip circle failure on support side</t>
  </si>
  <si>
    <t>Averaged due to a minor width of trench</t>
  </si>
  <si>
    <t>Organic soil soft</t>
  </si>
  <si>
    <t xml:space="preserve">Organic soil stiff </t>
  </si>
  <si>
    <t>Backfill with admixture</t>
  </si>
  <si>
    <t>Clay, soft</t>
  </si>
  <si>
    <t xml:space="preserve">wells in the excavation pit. The distribution of the waterpressure on the wall considers the reduction of the waterpressure to the bottom of the cut off
</t>
  </si>
  <si>
    <t>$MAS</t>
  </si>
  <si>
    <t>$LAS</t>
  </si>
  <si>
    <t>$ETAT</t>
  </si>
  <si>
    <t>$INH</t>
  </si>
  <si>
    <t>00302010</t>
  </si>
  <si>
    <t>m3</t>
  </si>
  <si>
    <t>00302020</t>
  </si>
  <si>
    <t>00202400</t>
  </si>
  <si>
    <t>Tragbew. Luft:</t>
  </si>
  <si>
    <t>Wendelbewehrung:</t>
  </si>
  <si>
    <t xml:space="preserve">Eigengewicht </t>
  </si>
  <si>
    <t xml:space="preserve"> , vertical earth press.</t>
  </si>
  <si>
    <t xml:space="preserve"> und vertikale Ankerkraft </t>
  </si>
  <si>
    <t xml:space="preserve"> und vertikale Einzellasten </t>
  </si>
  <si>
    <t>Zugehörige Vertikalkraft mit den folgenden Anteilen ermittelt:</t>
  </si>
  <si>
    <t xml:space="preserve">     zugehörig. Moment:</t>
  </si>
  <si>
    <t>6x0,6" dopp Korrschutz</t>
  </si>
  <si>
    <t>7x0,6" dopp Korrschutz</t>
  </si>
  <si>
    <t>8x0,6" dopp Korrschutz</t>
  </si>
  <si>
    <t>9x0,6" dopp Korrschutz</t>
  </si>
  <si>
    <t>10x0,6" dopp Korrschutz</t>
  </si>
  <si>
    <t>11x0,6" dopp Korrschutz</t>
  </si>
  <si>
    <t xml:space="preserve">B O H L T R Ä G E R B E M E S S U N G  Schnitt </t>
  </si>
  <si>
    <t>Eingabewerte laut WALLS-Berechnung sowie Abschätzung der Normalkraft:</t>
  </si>
  <si>
    <t>Trägerabstand:</t>
  </si>
  <si>
    <t>maximales Moment:</t>
  </si>
  <si>
    <t>zug. Normalkraft:</t>
  </si>
  <si>
    <t>minimales Moment:</t>
  </si>
  <si>
    <t>Slide angle</t>
  </si>
  <si>
    <t>Exist. stability against sliding</t>
  </si>
  <si>
    <t>Arch shear force</t>
  </si>
  <si>
    <t>Staffelung Bündel/Lagen 1-U 2-D 3-T 4-Q 5-C 6-S</t>
  </si>
  <si>
    <t>U320</t>
  </si>
  <si>
    <t>U350</t>
  </si>
  <si>
    <t>U380</t>
  </si>
  <si>
    <t>U400</t>
  </si>
  <si>
    <t>UPE270</t>
  </si>
  <si>
    <t>UPE300</t>
  </si>
  <si>
    <t>UPE330</t>
  </si>
  <si>
    <t>UPE360</t>
  </si>
  <si>
    <t>UPE400</t>
  </si>
  <si>
    <t>I240</t>
  </si>
  <si>
    <t>I260</t>
  </si>
  <si>
    <t>I280</t>
  </si>
  <si>
    <t>I300</t>
  </si>
  <si>
    <t>I320</t>
  </si>
  <si>
    <t>I340</t>
  </si>
  <si>
    <t>I360</t>
  </si>
  <si>
    <t>I380</t>
  </si>
  <si>
    <t>I400</t>
  </si>
  <si>
    <t>I425</t>
  </si>
  <si>
    <t>I450</t>
  </si>
  <si>
    <t>I475</t>
  </si>
  <si>
    <t>I500</t>
  </si>
  <si>
    <t>I550</t>
  </si>
  <si>
    <t>I600</t>
  </si>
  <si>
    <t>IPEo240</t>
  </si>
  <si>
    <t>IPEo270</t>
  </si>
  <si>
    <t>IPEo300</t>
  </si>
  <si>
    <t>IPEo330</t>
  </si>
  <si>
    <t>IPEo360</t>
  </si>
  <si>
    <t>IPEo400</t>
  </si>
  <si>
    <t>IPEv400</t>
  </si>
  <si>
    <t>IPEo450</t>
  </si>
  <si>
    <t>IPEv450</t>
  </si>
  <si>
    <t>IPEo500</t>
  </si>
  <si>
    <t>IPEv500</t>
  </si>
  <si>
    <t>IPEo550</t>
  </si>
  <si>
    <t>IPEv550</t>
  </si>
  <si>
    <t>IPEo600</t>
  </si>
  <si>
    <t>IPEv600</t>
  </si>
  <si>
    <t>Channel432x102x65</t>
  </si>
  <si>
    <t>Channel381x102x55</t>
  </si>
  <si>
    <t>Channel305x102x46</t>
  </si>
  <si>
    <t>Channel305x89x42</t>
  </si>
  <si>
    <t>Channel254x89x36</t>
  </si>
  <si>
    <t>Channel254x76x28</t>
  </si>
  <si>
    <t>$SUM V + SUM VR</t>
  </si>
  <si>
    <t>Pfahlbohlwand mit auf Vorderkante auf Pfahlachse erdseitig angeordneter MIP-Ausfachung</t>
  </si>
  <si>
    <t>Pfahlbohlwand mit erdseitig angeordneter MIP-Ausfachung</t>
  </si>
  <si>
    <t>Einstab 20</t>
  </si>
  <si>
    <t>BAUER Canada</t>
  </si>
  <si>
    <t>BAUER Foundations Canada Inc.</t>
  </si>
  <si>
    <t>BAUER Foundations Canada Inc.  • Calgary  • Telefon (+1)403-7230159 • Fax  (+1)403-7230169</t>
  </si>
  <si>
    <t>BAUER Foundations
Canada Inc.
9815, 48 St.  SE
Calgary, Alberta T2C 2R1
Telefon (+1)403-7230159
Fax  (+1)403-7230169</t>
  </si>
  <si>
    <t>There is not a link to following adress!</t>
  </si>
  <si>
    <t>Einlesen abbrechen?</t>
  </si>
  <si>
    <t>Die Generiersperre ist aktiviert. Jedoch fehlt die Eingabedatei.</t>
  </si>
  <si>
    <t>Designschnittgrößen:</t>
  </si>
  <si>
    <t>Vorwerte:</t>
  </si>
  <si>
    <t>wells in the excavation pit. The distribution of the waterpressure on the wall is destressed with wells behind the wall.</t>
  </si>
  <si>
    <t xml:space="preserve">Brunnen in der Baugrube. Der Wasserdruck hinter Wand wird in den wasserundurchlässigen Schichten durch eine Lage Dränagelanzen hinter der Verbauwand entspannt. </t>
  </si>
  <si>
    <t xml:space="preserve">Brunnen in der Baugrube. Der Wasserdruck hinter Wand wird in den wasserundurchlässigen Schichten durch zwei Lagen Dränagelanzen hinter der Verbauwand entspannt. </t>
  </si>
  <si>
    <t>Structural element</t>
  </si>
  <si>
    <t>Default parameters</t>
  </si>
  <si>
    <t>$SCHNITT</t>
  </si>
  <si>
    <t xml:space="preserve">Gitterträgerwand </t>
  </si>
  <si>
    <t>Temporärer Einstabanker</t>
  </si>
  <si>
    <t>Ischebeck Anker</t>
  </si>
  <si>
    <t>Fine cement</t>
  </si>
  <si>
    <t>Under water concrete</t>
  </si>
  <si>
    <t>Sectionally placed lean concrete</t>
  </si>
  <si>
    <t>AZ 34 old</t>
  </si>
  <si>
    <t>AZ 36 old</t>
  </si>
  <si>
    <t>AZ 38 old</t>
  </si>
  <si>
    <t>eta(i)мин  &gt;= 1.0 , треб.</t>
  </si>
  <si>
    <t>Запас на устойч. "ст. в грунте" по поверхн. скольжения</t>
  </si>
  <si>
    <t>RTBWtimber =  Стена из балок и деревянной забирки</t>
  </si>
  <si>
    <t>wartosc oczekiwana</t>
  </si>
  <si>
    <t>Uchybienia</t>
  </si>
  <si>
    <t>czynniki agresywne dla betonu</t>
  </si>
  <si>
    <t>czynniki agresywne dla stali</t>
  </si>
  <si>
    <t>palisada ze zbrojeniam w co drugim palu</t>
  </si>
  <si>
    <t>palisade ze zbrojeniem w co czwartym palu</t>
  </si>
  <si>
    <t>Wandoeffnungen</t>
  </si>
  <si>
    <t>Ueberlaufbrunnen</t>
  </si>
  <si>
    <t>Draenagelanze</t>
  </si>
  <si>
    <t>Eta-T analysis not requested!</t>
  </si>
  <si>
    <t xml:space="preserve">Additional tie plates are necessary for </t>
  </si>
  <si>
    <t>kN for the bond safety!</t>
  </si>
  <si>
    <t>ZIP-Archiv gespeichert unter</t>
  </si>
  <si>
    <t>Grid of anchors</t>
  </si>
  <si>
    <t>Thickness hor. slab</t>
  </si>
  <si>
    <t>Circumference hor. slab</t>
  </si>
  <si>
    <t>Boundary condition equations with the plastic-plastic method DIN 18800 T1</t>
  </si>
  <si>
    <t>Safety coeff. resistance:</t>
  </si>
  <si>
    <t>Determination of stress:</t>
  </si>
  <si>
    <t>Plastic determination of internal design forces:</t>
  </si>
  <si>
    <t>Calculation interval</t>
  </si>
  <si>
    <t>Factor of safety for cohesion</t>
  </si>
  <si>
    <t>Soil-Group</t>
  </si>
  <si>
    <t>Mean grain size d10</t>
  </si>
  <si>
    <t>Specific weight wet soil</t>
  </si>
  <si>
    <t>Height of upper side</t>
  </si>
  <si>
    <t>Number of Soil layer</t>
  </si>
  <si>
    <t>Soil properties</t>
  </si>
  <si>
    <t>Height of upper boundry of topmost soil layer</t>
  </si>
  <si>
    <t>upper boundry of topmost soil layer</t>
  </si>
  <si>
    <t>Liquid Limit of support fluid =</t>
  </si>
  <si>
    <t>Specific weight at bottom =</t>
  </si>
  <si>
    <t>Specific weight at top  =</t>
  </si>
  <si>
    <t>Property of support fluid</t>
  </si>
  <si>
    <t>Diaphragm wall Panel Width =</t>
  </si>
  <si>
    <t>Diaphragm wall width =</t>
  </si>
  <si>
    <t>Groundwaterlevel =</t>
  </si>
  <si>
    <t>Top level of the supporting fluid =</t>
  </si>
  <si>
    <t>Temporärer Stabverpreßpfahl</t>
  </si>
  <si>
    <t>Karl.Aringer@bauer.de</t>
  </si>
  <si>
    <t>ar</t>
  </si>
  <si>
    <t>Haussmann</t>
  </si>
  <si>
    <t>Rainer.Haussmann@bauer.de</t>
  </si>
  <si>
    <t>hsm</t>
  </si>
  <si>
    <t>Erläuterungen</t>
  </si>
  <si>
    <t>Überprüfung Spannung Gebrauchzustand</t>
  </si>
  <si>
    <t>lln Vitkovice</t>
  </si>
  <si>
    <t>IIIn Vitkovice</t>
  </si>
  <si>
    <t>VL503</t>
  </si>
  <si>
    <t>VL 503K</t>
  </si>
  <si>
    <t>VL503Z</t>
  </si>
  <si>
    <t>VL602L</t>
  </si>
  <si>
    <t>VL602</t>
  </si>
  <si>
    <t>VL603</t>
  </si>
  <si>
    <t>VL 603K</t>
  </si>
  <si>
    <t>VL 603Z</t>
  </si>
  <si>
    <t>VL604</t>
  </si>
  <si>
    <t>VL 604D</t>
  </si>
  <si>
    <t>VL605</t>
  </si>
  <si>
    <t>LX 8 BS</t>
  </si>
  <si>
    <t>LX 12 BS</t>
  </si>
  <si>
    <t>LX 12d BS</t>
  </si>
  <si>
    <t>Sohle oder Sohlverankerung überbeansprucht!</t>
  </si>
  <si>
    <t>Datei kann nicht mit miniKEDIT geoeffnet werden</t>
  </si>
  <si>
    <t xml:space="preserve"> vorhanden. Einlesen HDIdaten nicht moeglich</t>
  </si>
  <si>
    <t>Datei noch nicht vorhanden oder geloescht!</t>
  </si>
  <si>
    <t xml:space="preserve"> mNN. Sinnvolle Hoehenkoten eingeben!</t>
  </si>
  <si>
    <t>Schnittdaten komplett loeschen?</t>
  </si>
  <si>
    <t>UK-Wand ist jedoch hoeher mit</t>
  </si>
  <si>
    <t>Die Wal-datei ist eventuell kaputt oder es wurden viele Schnitte geloescht. Bitte die Wal-Datei prfuefen, evtl. loeschen und durch die Waldatei ersetzen.</t>
  </si>
  <si>
    <t>Zusammenstellung der Einwirkungen:</t>
  </si>
  <si>
    <t>Reduktion Q bei Blumscher Einspannung 50%</t>
  </si>
  <si>
    <t>1) Teilsicherheitsbeiwert Widerstand:</t>
  </si>
  <si>
    <t>Grenzschlankheit2)</t>
  </si>
  <si>
    <t>Steg</t>
  </si>
  <si>
    <t>γPc Pfahldruckwiderstand</t>
  </si>
  <si>
    <t>γPt Pfahlzugwiderstand</t>
  </si>
  <si>
    <t xml:space="preserve"> contains a drive unequal C:\ or D:\</t>
  </si>
  <si>
    <t xml:space="preserve">T I M B E R  L A G G I N G   Section </t>
  </si>
  <si>
    <t>Es ist keine Netzverbindung zu der folgenden Adresse vorhanden!</t>
  </si>
  <si>
    <t>Yes    - Continue import and overwrite BO-wall</t>
  </si>
  <si>
    <t>Input data is missing. The input for the support type of the wall doesn't exist!</t>
  </si>
  <si>
    <t>Support width</t>
  </si>
  <si>
    <t>Strut length quantities</t>
  </si>
  <si>
    <t>Strut profile</t>
  </si>
  <si>
    <t>SCH Lateral rft</t>
  </si>
  <si>
    <t>Anchor</t>
  </si>
  <si>
    <t>zbrojenie etapami</t>
  </si>
  <si>
    <t>klasa</t>
  </si>
  <si>
    <t>tymczasowa</t>
  </si>
  <si>
    <t>zadna</t>
  </si>
  <si>
    <t>przecietnie</t>
  </si>
  <si>
    <t>nadzwyczajnie</t>
  </si>
  <si>
    <t>Temporärer Litzenanker</t>
  </si>
  <si>
    <t>Dauerlitzen Anker</t>
  </si>
  <si>
    <t>U,steif</t>
  </si>
  <si>
    <t>U,weich</t>
  </si>
  <si>
    <r>
      <t>Beanspruchungen ΣE</t>
    </r>
    <r>
      <rPr>
        <vertAlign val="subscript"/>
        <sz val="10"/>
        <rFont val="Arial"/>
        <family val="2"/>
      </rPr>
      <t>d,i</t>
    </r>
    <r>
      <rPr>
        <sz val="10"/>
        <rFont val="Arial"/>
        <family val="2"/>
      </rPr>
      <t xml:space="preserve"> =</t>
    </r>
  </si>
  <si>
    <t>00501041</t>
  </si>
  <si>
    <t>00501042</t>
  </si>
  <si>
    <t>006</t>
  </si>
  <si>
    <t>Schicht 3 Sohle</t>
  </si>
  <si>
    <t>Schicht 4 Sohle</t>
  </si>
  <si>
    <t>Schicht 5 Sohle</t>
  </si>
  <si>
    <t xml:space="preserve">ZIP-folder saved as </t>
  </si>
  <si>
    <t>to the top of the wall</t>
  </si>
  <si>
    <t>Anpassungsfaktor Erddruckverteilung γEa =</t>
  </si>
  <si>
    <t>Area uplift pile</t>
  </si>
  <si>
    <t>due to weight of the wall</t>
  </si>
  <si>
    <t>vertical earth pressure</t>
  </si>
  <si>
    <t>special page settings</t>
  </si>
  <si>
    <t>sub/branch</t>
  </si>
  <si>
    <t>none</t>
  </si>
  <si>
    <t>Point 0-Pressure</t>
  </si>
  <si>
    <t>Fine cement deep</t>
  </si>
  <si>
    <t>CFA</t>
  </si>
  <si>
    <t>GW-pressure</t>
  </si>
  <si>
    <t>free support</t>
  </si>
  <si>
    <t>fixed support</t>
  </si>
  <si>
    <t>fixed+free support</t>
  </si>
  <si>
    <t>E+soil</t>
  </si>
  <si>
    <t>red. MIP-thickness</t>
  </si>
  <si>
    <t>nbr. weldings</t>
  </si>
  <si>
    <t>PF Reinf: 0-sym 1-asym</t>
  </si>
  <si>
    <t>PF lateral rft</t>
  </si>
  <si>
    <t>Bildbegrenzung</t>
  </si>
  <si>
    <t>ergibt sich evtl zu klein</t>
  </si>
  <si>
    <t xml:space="preserve">input for clipping of picture </t>
  </si>
  <si>
    <t>migth be to small</t>
  </si>
  <si>
    <t>migth be to big</t>
  </si>
  <si>
    <t>File is not yet available.</t>
  </si>
  <si>
    <t>Input data is missing. The input for the bottom of excavation doesn't exist!</t>
  </si>
  <si>
    <t>The bak-file with</t>
  </si>
  <si>
    <t>Trägerbezeichnung</t>
  </si>
  <si>
    <t>Wandkonstruktion</t>
  </si>
  <si>
    <t>Schnittkraftermittlung</t>
  </si>
  <si>
    <t>calculation of statical forces</t>
  </si>
  <si>
    <t>Weinhold</t>
  </si>
  <si>
    <t>Tino</t>
  </si>
  <si>
    <t>Explanation and remarks can be entered in the sheet MATR for the single section. If the cells are blank in the sheet MATR, the default text will appear at the sheet SCHNITT.</t>
  </si>
  <si>
    <t>Nail</t>
  </si>
  <si>
    <t>Load case</t>
  </si>
  <si>
    <t xml:space="preserve">Page </t>
  </si>
  <si>
    <t>Reducing coefficient</t>
  </si>
  <si>
    <r>
      <t>Skin friction surface A</t>
    </r>
    <r>
      <rPr>
        <vertAlign val="subscript"/>
        <sz val="10"/>
        <color indexed="8"/>
        <rFont val="Arial"/>
        <family val="2"/>
      </rPr>
      <t>m</t>
    </r>
    <r>
      <rPr>
        <sz val="10"/>
        <color indexed="8"/>
        <rFont val="Arial"/>
        <family val="2"/>
      </rPr>
      <t xml:space="preserve"> =</t>
    </r>
  </si>
  <si>
    <t>Pile base area</t>
  </si>
  <si>
    <t>Fixation depth t  =</t>
  </si>
  <si>
    <t>Base bearing capacity</t>
  </si>
  <si>
    <t>Average:</t>
  </si>
  <si>
    <t>Type of profile:</t>
  </si>
  <si>
    <t>Anchor diameter</t>
  </si>
  <si>
    <t>Distribution</t>
  </si>
  <si>
    <t>Permanent multi strand anchor</t>
  </si>
  <si>
    <t>Temporary multi strand anchor</t>
  </si>
  <si>
    <t>Soldier pile wall</t>
  </si>
  <si>
    <t>Contiguous pile wall</t>
  </si>
  <si>
    <t>Diaphragm wall</t>
  </si>
  <si>
    <t>Pile wall</t>
  </si>
  <si>
    <t>Slab</t>
  </si>
  <si>
    <t>Width of supports:</t>
  </si>
  <si>
    <t>Δγ' Uplift</t>
  </si>
  <si>
    <t>Grid</t>
  </si>
  <si>
    <t>Top level of Cut off slab</t>
  </si>
  <si>
    <t>Bottom of Cut off slab</t>
  </si>
  <si>
    <t>Type of cut off slab</t>
  </si>
  <si>
    <t>Excavation level</t>
  </si>
  <si>
    <t>Support of permanent stages</t>
  </si>
  <si>
    <t>Slab support</t>
  </si>
  <si>
    <t>Support position</t>
  </si>
  <si>
    <t>Support of the the retaining wall</t>
  </si>
  <si>
    <t>Nail rows</t>
  </si>
  <si>
    <t>Schichtdicke ab BGS</t>
  </si>
  <si>
    <t>Kohäsion c'</t>
  </si>
  <si>
    <t>Wichte γ '</t>
  </si>
  <si>
    <t>Wichte γ</t>
  </si>
  <si>
    <t>Gewichtskräfte:</t>
  </si>
  <si>
    <t>Überdeckung Sohle</t>
  </si>
  <si>
    <t>Schichtdicke</t>
  </si>
  <si>
    <t>Auftrieb</t>
  </si>
  <si>
    <t>ohne Auftrieb</t>
  </si>
  <si>
    <t>Rundstahlanker</t>
  </si>
  <si>
    <t>Ischebeck anchor</t>
  </si>
  <si>
    <t>00203180</t>
  </si>
  <si>
    <t>003</t>
  </si>
  <si>
    <t>00301</t>
  </si>
  <si>
    <t>00301010</t>
  </si>
  <si>
    <t>00301020</t>
  </si>
  <si>
    <t>00301030</t>
  </si>
  <si>
    <t>00301040</t>
  </si>
  <si>
    <t>00301050</t>
  </si>
  <si>
    <t>00301060</t>
  </si>
  <si>
    <t>Einphasenwand-Wand mit mittig angeordneten Trägern</t>
  </si>
  <si>
    <t>MOP-Wand mit mittig angeordneten Trägern</t>
  </si>
  <si>
    <t>$TRENC</t>
  </si>
  <si>
    <t>Eingangsparameter für die Berechnung</t>
  </si>
  <si>
    <t>margiel, polzwarty</t>
  </si>
  <si>
    <t>margiel, twardoplastyczny</t>
  </si>
  <si>
    <t>Соотв. верт. сила:</t>
  </si>
  <si>
    <t>Мин. поперечная сила:</t>
  </si>
  <si>
    <t>eta(a)мин &gt;= 1.1, треб.</t>
  </si>
  <si>
    <t xml:space="preserve">Расч. глубина = </t>
  </si>
  <si>
    <t>обикновена противокорозионна защита</t>
  </si>
  <si>
    <t>двойна антикорозионна защита</t>
  </si>
  <si>
    <t>обикновена антикорозионна защита</t>
  </si>
  <si>
    <t>I №10</t>
  </si>
  <si>
    <t>I №12</t>
  </si>
  <si>
    <t>I №14</t>
  </si>
  <si>
    <t>I №16</t>
  </si>
  <si>
    <t>I №18</t>
  </si>
  <si>
    <t>I №20</t>
  </si>
  <si>
    <t>I №24М</t>
  </si>
  <si>
    <t>I №27са</t>
  </si>
  <si>
    <t>I №30</t>
  </si>
  <si>
    <t>I №36</t>
  </si>
  <si>
    <t>I №36М</t>
  </si>
  <si>
    <t>I №45</t>
  </si>
  <si>
    <t>I №45М</t>
  </si>
  <si>
    <t>U №8У</t>
  </si>
  <si>
    <t>U №10У</t>
  </si>
  <si>
    <t>U №12П</t>
  </si>
  <si>
    <t>U №14П</t>
  </si>
  <si>
    <t>5x0,62"</t>
  </si>
  <si>
    <t>6x0,62"</t>
  </si>
  <si>
    <t>7x0,62"</t>
  </si>
  <si>
    <t>8x0,62"</t>
  </si>
  <si>
    <t>9x0,62"</t>
  </si>
  <si>
    <t>WallMann hat ein Problem</t>
  </si>
  <si>
    <t>WallMann hat eine Frage</t>
  </si>
  <si>
    <t>Input data is missing. The input for the top of the wall doesn't exist!</t>
  </si>
  <si>
    <t>Gleich Gerber</t>
  </si>
  <si>
    <t>Gleich 1-Feld</t>
  </si>
  <si>
    <t>Gleich n-Feld</t>
  </si>
  <si>
    <t>Berg</t>
  </si>
  <si>
    <t>Gurtträger</t>
  </si>
  <si>
    <t>Gerberträger mit Stützung im Tal</t>
  </si>
  <si>
    <t>Gerberträger mit Stützung auf dem Berg</t>
  </si>
  <si>
    <t>Nachweis:</t>
  </si>
  <si>
    <t>Biegeknicken</t>
  </si>
  <si>
    <t xml:space="preserve">     B E R E C H N U N G    D E R   k m - W E R T E</t>
  </si>
  <si>
    <t>Заглубл. головы анк. [см]</t>
  </si>
  <si>
    <t>Давл. грунта древ./MIP</t>
  </si>
  <si>
    <t>Сниж. коэф. ehg для древ.</t>
  </si>
  <si>
    <t>Толщ. свода [см]</t>
  </si>
  <si>
    <t>C Decke [kN/m]</t>
  </si>
  <si>
    <t>C Sohle [kN/m]</t>
  </si>
  <si>
    <t>φ'min Mindesterddruck</t>
  </si>
  <si>
    <t>Opt. Anker, ∆z, b, C, φmin</t>
  </si>
  <si>
    <t>Opt. anchor, ∆z, b, C, φmin</t>
  </si>
  <si>
    <t>This drawing is under copyright and is not to be copied or presented to unauthorized parties without special permission, unless:   1) contract is awarded to Bauer Spezialtiefbau GmbH or one of its affiliate companies</t>
  </si>
  <si>
    <t>3 1/2"</t>
  </si>
  <si>
    <t>3 3/4"</t>
  </si>
  <si>
    <t>4"</t>
  </si>
  <si>
    <t>4 1/4"</t>
  </si>
  <si>
    <t>5 1/2"</t>
  </si>
  <si>
    <t>4 1/2"</t>
  </si>
  <si>
    <t>4 3/4"</t>
  </si>
  <si>
    <t>5"</t>
  </si>
  <si>
    <t>5 1/4"</t>
  </si>
  <si>
    <t>5 3/4"</t>
  </si>
  <si>
    <t>6"</t>
  </si>
  <si>
    <t>6 1/4"</t>
  </si>
  <si>
    <t>6 1/2"</t>
  </si>
  <si>
    <t xml:space="preserve"> The safety of the foot support is verified for the proof of wall embedment with a value equal to or greater than</t>
  </si>
  <si>
    <t>Dauerstabverpreßpfahl, doppelter Korrosionschutz</t>
  </si>
  <si>
    <t>Underpinning</t>
  </si>
  <si>
    <t>Round bar anchor</t>
  </si>
  <si>
    <t>Girder</t>
  </si>
  <si>
    <t>Prestressed</t>
  </si>
  <si>
    <t>Rundstahl</t>
  </si>
  <si>
    <t>Round bar</t>
  </si>
  <si>
    <t/>
  </si>
  <si>
    <t>8x0,6"</t>
  </si>
  <si>
    <t>9x0,6"</t>
  </si>
  <si>
    <t>10x0,6"</t>
  </si>
  <si>
    <t>11x0,6"</t>
  </si>
  <si>
    <t>2x0,6"</t>
  </si>
  <si>
    <t>3x0,6"</t>
  </si>
  <si>
    <t>4x0,6"</t>
  </si>
  <si>
    <t>5x0,6"</t>
  </si>
  <si>
    <t>6x0,6"</t>
  </si>
  <si>
    <t>7x0,6"</t>
  </si>
  <si>
    <t>GEWI 28</t>
  </si>
  <si>
    <t>GEWI 32</t>
  </si>
  <si>
    <t>GEWI 40</t>
  </si>
  <si>
    <t>GEWI 50</t>
  </si>
  <si>
    <t>GEWI 63</t>
  </si>
  <si>
    <t>GEWI 20</t>
  </si>
  <si>
    <t>GEWI 25</t>
  </si>
  <si>
    <t>gewählt:     Längsbewehrung:</t>
  </si>
  <si>
    <t>Diese Tragwerksplanung ist urheberrechtlich geschützt. Sie darf nur unter einer der folgenden Voraussetzungen verwendet, kopiert oder Befugten zugänglich gemacht werden:
1. Auftragserteilung an BAUERSPEZIALTIEFBAU GmbH oder Schwester- bzw. Tochterunterneh</t>
  </si>
  <si>
    <t>pile wall with filling</t>
  </si>
  <si>
    <t>Lastfall</t>
  </si>
  <si>
    <t>Nagel</t>
  </si>
  <si>
    <t>Anker</t>
  </si>
  <si>
    <t>$Schnitt</t>
  </si>
  <si>
    <t xml:space="preserve">D A R S T E L L U N G  Schnitt </t>
  </si>
  <si>
    <t>D E S I G N   Section</t>
  </si>
  <si>
    <t xml:space="preserve">Die Baugrubenwand des Schnittes </t>
  </si>
  <si>
    <t xml:space="preserve"> wird durch eine </t>
  </si>
  <si>
    <t xml:space="preserve"> gesichert. </t>
  </si>
  <si>
    <t>.</t>
  </si>
  <si>
    <t xml:space="preserve"> Die Ausfachung der Wand erfolgt mit </t>
  </si>
  <si>
    <t>ist nicht vorhanden.</t>
  </si>
  <si>
    <t>1) inf: weight with reduced specif. soilweight sup: weight with full specif. soilweight</t>
  </si>
  <si>
    <t>Force index</t>
  </si>
  <si>
    <t>Index Zugglied</t>
  </si>
  <si>
    <t>Länge Bohrung</t>
  </si>
  <si>
    <t>Länge Bohrung Index</t>
  </si>
  <si>
    <t>Länge Zugglied</t>
  </si>
  <si>
    <t>Bohren gegen Wasserdruck &gt; 1</t>
  </si>
  <si>
    <t xml:space="preserve">Die Schnittkräfte M und N werden unter Berücksichtigung des Gleich-gewichtes auf den Träger und die MIP-Wand aufgeteilt. Dabei wird die Randspannung der MIP-Wand so gewählt, daß die Randspannung des Trägers minimal wird. </t>
  </si>
  <si>
    <t>Assoc. Normal Force:</t>
  </si>
  <si>
    <t>Assoc. Md =</t>
  </si>
  <si>
    <t>Assoc. shear force:</t>
  </si>
  <si>
    <t>but hidden. WallMan macros are not executable.</t>
  </si>
  <si>
    <t>In accordance with DIN1054 4.3.2 (2) 7. the reaction force in the soil is determined from the difference of earth- and waterpressure, external load, eventual earth resistance forces at the back of the wall and the supporting forces</t>
  </si>
  <si>
    <t>contiguos</t>
  </si>
  <si>
    <t>ueberschnitten</t>
  </si>
  <si>
    <t>secant</t>
  </si>
  <si>
    <t xml:space="preserve">B E G I N N   Druckanforderung </t>
  </si>
  <si>
    <t xml:space="preserve">Anschreiben  </t>
  </si>
  <si>
    <t>Erlaeuterungen Exceltext</t>
  </si>
  <si>
    <t xml:space="preserve">Erlaeuterungen Worddatei </t>
  </si>
  <si>
    <t xml:space="preserve">Ansaetze </t>
  </si>
  <si>
    <t>Schnitt Nr</t>
  </si>
  <si>
    <t>Schnittblatt</t>
  </si>
  <si>
    <t>mit vorhandenenem Office-Schnitt</t>
  </si>
  <si>
    <t>Office-Schnitt nicht vorhanden</t>
  </si>
  <si>
    <t>Eingabedatei</t>
  </si>
  <si>
    <t xml:space="preserve">Nachweise fuer </t>
  </si>
  <si>
    <t xml:space="preserve">Ergaenzende Nachweise Exceldatei </t>
  </si>
  <si>
    <t>Nachweise fuer</t>
  </si>
  <si>
    <t>E N D E    Druckanforderung</t>
  </si>
  <si>
    <t>S T A R T  print program</t>
  </si>
  <si>
    <t>Letter</t>
  </si>
  <si>
    <t>Explanations Excel file</t>
  </si>
  <si>
    <t>Explanations Word file</t>
  </si>
  <si>
    <t>Wallmann infomiert</t>
  </si>
  <si>
    <t>двойна антикорози-онна защита</t>
  </si>
  <si>
    <t>бетонов пояс</t>
  </si>
  <si>
    <t>01102</t>
  </si>
  <si>
    <t>HDI-Sohle</t>
  </si>
  <si>
    <t>01102010</t>
  </si>
  <si>
    <t>UBP305x305x88</t>
  </si>
  <si>
    <t>UBP305x305x79</t>
  </si>
  <si>
    <t>UBP254x254x85</t>
  </si>
  <si>
    <t>UBP254x254x71</t>
  </si>
  <si>
    <t>UBP254x254x63</t>
  </si>
  <si>
    <t>UBP203x203x54</t>
  </si>
  <si>
    <t>UBP203x203x45</t>
  </si>
  <si>
    <t>UB457x152x82</t>
  </si>
  <si>
    <t>UB457x152x74</t>
  </si>
  <si>
    <t>UB457x152x67</t>
  </si>
  <si>
    <t>UB457x152x60</t>
  </si>
  <si>
    <t>UB457x152x52</t>
  </si>
  <si>
    <t xml:space="preserve">Normen erfolgt mit einer noch nicht angepaßten Version von WALLS. Hierzu wird die Sicherheit der Einbindung mit dem globalen Sicherheitsbeiwert als Produkt der Teilsicherheiten Einwirkung und Erdwiderstand ermittelt. </t>
  </si>
  <si>
    <t>2.2. Erdstatische Ansätze</t>
  </si>
  <si>
    <t>1. Grundlagen</t>
  </si>
  <si>
    <t>Harald</t>
  </si>
  <si>
    <t>quh</t>
  </si>
  <si>
    <t>TITAN 52/26</t>
  </si>
  <si>
    <t>TITAN 73/53</t>
  </si>
  <si>
    <t>TITAN 103/78</t>
  </si>
  <si>
    <t>TITAN 105/53</t>
  </si>
  <si>
    <t>mono bar 18</t>
  </si>
  <si>
    <t>mono bar 26,5</t>
  </si>
  <si>
    <t>mono bar 32</t>
  </si>
  <si>
    <t>mono bar 36</t>
  </si>
  <si>
    <t>mono bar 40</t>
  </si>
  <si>
    <t>mono bar 26,5 doub corr</t>
  </si>
  <si>
    <t>mono bar 18 doub corr</t>
  </si>
  <si>
    <t>mono bar 32 doub corr</t>
  </si>
  <si>
    <t>mono bar 36 doub corr</t>
  </si>
  <si>
    <t>mono bar 40 doub corr</t>
  </si>
  <si>
    <t>2x0,6" doub corr</t>
  </si>
  <si>
    <t>3x0,6" doub corr</t>
  </si>
  <si>
    <t>4x0,6" doub corr</t>
  </si>
  <si>
    <t>5x0,6" doub corr</t>
  </si>
  <si>
    <t>6x0,6" doub corr</t>
  </si>
  <si>
    <t>7x0,6" doub corr</t>
  </si>
  <si>
    <t>8x0,6" doub corr</t>
  </si>
  <si>
    <t>9x0,6" doub corr</t>
  </si>
  <si>
    <t>10x0,6" doub corr</t>
  </si>
  <si>
    <t>11x0,6" doub corr</t>
  </si>
  <si>
    <t>max. Bewehrung</t>
  </si>
  <si>
    <t>Dim. Sheets</t>
  </si>
  <si>
    <t>Section,Edited</t>
  </si>
  <si>
    <t xml:space="preserve">Напряжения в бетоне </t>
  </si>
  <si>
    <t>Касат. напряж. защемл. балки &lt; допуст.</t>
  </si>
  <si>
    <t xml:space="preserve">Низ помещ. крепления </t>
  </si>
  <si>
    <t>Спираль/хомут</t>
  </si>
  <si>
    <t xml:space="preserve">Р А С Ч Е Т   Ш П У Н Т О В Ы Х   С Т Е Н     Разрез </t>
  </si>
  <si>
    <t xml:space="preserve">Суммарные усилия сечения: </t>
  </si>
  <si>
    <t xml:space="preserve">1) Коэф. запаса: </t>
  </si>
  <si>
    <t xml:space="preserve">усл. пред. состояния в упр.-пласт. постановке приняты согл. DIN 18800 T1 для сочет. нагр. </t>
  </si>
  <si>
    <t xml:space="preserve">Профиль шпунта </t>
  </si>
  <si>
    <t xml:space="preserve">Пластич. расчет </t>
  </si>
  <si>
    <t>2) Оборач. балок учтена в расч. пред. гибк. на величины поп. и изг. усилий. b/t-факторы согл. DIN18800/1 и ENV 1993-5: 1998.</t>
  </si>
  <si>
    <t xml:space="preserve">Проверка точек среза </t>
  </si>
  <si>
    <t xml:space="preserve">Треб. число точек = </t>
  </si>
  <si>
    <t>шт./м</t>
  </si>
  <si>
    <t xml:space="preserve">станд. число точек/m </t>
  </si>
  <si>
    <t>&gt; 3,5 доп. срез. точек требуется</t>
  </si>
  <si>
    <t>Нет стены с MIP-балками!!!</t>
  </si>
  <si>
    <t xml:space="preserve">Р А С Ч Е Т  M I P - Б А Л О К     Разрез </t>
  </si>
  <si>
    <t xml:space="preserve">Соотв. поперечн. сила: </t>
  </si>
  <si>
    <t>Расчет учитывает совместную работу балок и MIP-стены в вертикальном направлении.</t>
  </si>
  <si>
    <t>Для учета безопасности максимальная несущая способность MIP принимается с треугольной зоной сжатия с нейтральной осью в центре стены.</t>
  </si>
  <si>
    <t>Andreas</t>
  </si>
  <si>
    <t>Р А С Ч Е Т   П О М Е Щ Е Н Н Ы Х   С Т А Л Ь Н Ы Х   Б А Л О К   Разрез</t>
  </si>
  <si>
    <t xml:space="preserve">Макс. норм.сила: </t>
  </si>
  <si>
    <t xml:space="preserve">Момент в сечении: </t>
  </si>
  <si>
    <t xml:space="preserve">Попер. сила в сечении: </t>
  </si>
  <si>
    <t xml:space="preserve">Крепл. балки: </t>
  </si>
  <si>
    <t xml:space="preserve">Ширина балки: </t>
  </si>
  <si>
    <t xml:space="preserve">Помещ. крепление </t>
  </si>
  <si>
    <t xml:space="preserve">Хомуты над </t>
  </si>
  <si>
    <t>Спираль в поперечнике над</t>
  </si>
  <si>
    <t>wzajemne przestawienie</t>
  </si>
  <si>
    <t>uwagi do przekrojow</t>
  </si>
  <si>
    <t>kontrola obliczen</t>
  </si>
  <si>
    <t>sciana otwarta</t>
  </si>
  <si>
    <t>zul. Fußaufl.kraft Schnittkraft</t>
  </si>
  <si>
    <t>Stützkrafterhöhung</t>
  </si>
  <si>
    <t>Schnittkrafterhöhung</t>
  </si>
  <si>
    <t>Gurtsystem</t>
  </si>
  <si>
    <t>Gleichlast Gerber</t>
  </si>
  <si>
    <t>Associated vertical force is determined with following shares:</t>
  </si>
  <si>
    <t>max. Rft.:</t>
  </si>
  <si>
    <t>Basic Rft.</t>
  </si>
  <si>
    <t>Theoretical effective angle</t>
  </si>
  <si>
    <t>Angle installation deviation</t>
  </si>
  <si>
    <t>Effective angle earth&amp;air-side ß</t>
  </si>
  <si>
    <t>Length of the arch for  Rft.</t>
  </si>
  <si>
    <t>Required Rft.</t>
  </si>
  <si>
    <t>1. Rft. air</t>
  </si>
  <si>
    <t>2. Rft. earth</t>
  </si>
  <si>
    <t>3. Base Rft.</t>
  </si>
  <si>
    <t>Single bars</t>
  </si>
  <si>
    <t xml:space="preserve">Bars/Layer </t>
  </si>
  <si>
    <t xml:space="preserve">Layers </t>
  </si>
  <si>
    <t>More shear reinforcement required</t>
  </si>
  <si>
    <t>Pile length</t>
  </si>
  <si>
    <t>Spiral row</t>
  </si>
  <si>
    <t>g-Longi.</t>
  </si>
  <si>
    <t>g-Spiral</t>
  </si>
  <si>
    <t>g-Constructive</t>
  </si>
  <si>
    <t>Max. Rft./Arch</t>
  </si>
  <si>
    <t>Deactivated</t>
  </si>
  <si>
    <t>Calculation length earth side:</t>
  </si>
  <si>
    <t>Calculation length air side:</t>
  </si>
  <si>
    <t>Length Rft. Cage b =</t>
  </si>
  <si>
    <t>Concrete cover c =</t>
  </si>
  <si>
    <t>Static height h =</t>
  </si>
  <si>
    <t>(N negative for comp. force)</t>
  </si>
  <si>
    <r>
      <t>Moment on earth side M</t>
    </r>
    <r>
      <rPr>
        <vertAlign val="subscript"/>
        <sz val="10"/>
        <color indexed="8"/>
        <rFont val="Arial"/>
        <family val="2"/>
      </rPr>
      <t>E</t>
    </r>
    <r>
      <rPr>
        <sz val="10"/>
        <color indexed="8"/>
        <rFont val="Arial"/>
        <family val="2"/>
      </rPr>
      <t xml:space="preserve"> =</t>
    </r>
  </si>
  <si>
    <r>
      <t>Moment on air side M</t>
    </r>
    <r>
      <rPr>
        <vertAlign val="subscript"/>
        <sz val="10"/>
        <color indexed="8"/>
        <rFont val="Arial"/>
        <family val="2"/>
      </rPr>
      <t>L</t>
    </r>
    <r>
      <rPr>
        <sz val="10"/>
        <color indexed="8"/>
        <rFont val="Arial"/>
        <family val="2"/>
      </rPr>
      <t xml:space="preserve"> =</t>
    </r>
  </si>
  <si>
    <t>Assoc. Normal force NE =</t>
  </si>
  <si>
    <r>
      <t>Moment on earth side M</t>
    </r>
    <r>
      <rPr>
        <vertAlign val="subscript"/>
        <sz val="10"/>
        <color indexed="8"/>
        <rFont val="Arial"/>
        <family val="2"/>
      </rPr>
      <t>ED</t>
    </r>
    <r>
      <rPr>
        <sz val="10"/>
        <color indexed="8"/>
        <rFont val="Arial"/>
        <family val="2"/>
      </rPr>
      <t xml:space="preserve"> =</t>
    </r>
  </si>
  <si>
    <r>
      <t>Moment on air side M</t>
    </r>
    <r>
      <rPr>
        <vertAlign val="subscript"/>
        <sz val="10"/>
        <color indexed="8"/>
        <rFont val="Arial"/>
        <family val="2"/>
      </rPr>
      <t>LD</t>
    </r>
    <r>
      <rPr>
        <sz val="10"/>
        <color indexed="8"/>
        <rFont val="Arial"/>
        <family val="2"/>
      </rPr>
      <t xml:space="preserve"> =</t>
    </r>
  </si>
  <si>
    <t>Assoc. Normal force NED =</t>
  </si>
  <si>
    <t>Assoc. Normal force NLD =</t>
  </si>
  <si>
    <t>Bending Rft.</t>
  </si>
  <si>
    <t>Earth side:</t>
  </si>
  <si>
    <t>Bar spacing: air side:</t>
  </si>
  <si>
    <t>Shear force</t>
  </si>
  <si>
    <t>Assoc. Moment</t>
  </si>
  <si>
    <t>Assoc. Normal force</t>
  </si>
  <si>
    <t>Shear rft. for</t>
  </si>
  <si>
    <t>selected rft. is not sufficient!!</t>
  </si>
  <si>
    <t>Stirrup</t>
  </si>
  <si>
    <t>B-Shear</t>
  </si>
  <si>
    <t>Longi.  rft earth side:</t>
  </si>
  <si>
    <t>Longi. Rft. air side:</t>
  </si>
  <si>
    <t>Крепление постоянных этапов</t>
  </si>
  <si>
    <t>Дно котлована</t>
  </si>
  <si>
    <t>Тип ПФЗ</t>
  </si>
  <si>
    <t>Сетка</t>
  </si>
  <si>
    <t>Δγ' подъема</t>
  </si>
  <si>
    <t>Ширина крепления:</t>
  </si>
  <si>
    <t>Плита</t>
  </si>
  <si>
    <t>H-балки стена</t>
  </si>
  <si>
    <t>Шпунтовая стена</t>
  </si>
  <si>
    <t>Стена из свай</t>
  </si>
  <si>
    <t>Стена из касательных свай</t>
  </si>
  <si>
    <t>Стена из отдельностоящих свай</t>
  </si>
  <si>
    <t xml:space="preserve">Свая GEWI </t>
  </si>
  <si>
    <t>Свая GEWI с простой защитой от коррозии</t>
  </si>
  <si>
    <t>Свая GEWI с двойной защитой от коррозии</t>
  </si>
  <si>
    <t xml:space="preserve">Низ </t>
  </si>
  <si>
    <t>Распределение</t>
  </si>
  <si>
    <t>Диаметр анкера</t>
  </si>
  <si>
    <t xml:space="preserve">Тип профиля: </t>
  </si>
  <si>
    <t xml:space="preserve">Среднее: </t>
  </si>
  <si>
    <t>Нес. спос. по подошве</t>
  </si>
  <si>
    <t xml:space="preserve">для забивных/вибро балок согласно Роснер, Винтер: стандарт. поддержив.  </t>
  </si>
  <si>
    <t xml:space="preserve">конструкции и поверхн. констр, Вильгельм-Эрнст &amp; Зон, Берлин </t>
  </si>
  <si>
    <t xml:space="preserve"> - Мюнхен, 1981 - </t>
  </si>
  <si>
    <t xml:space="preserve">Глубина крепления t = </t>
  </si>
  <si>
    <t>Площадь основан.сваи</t>
  </si>
  <si>
    <r>
      <t>Поверх. для трения A</t>
    </r>
    <r>
      <rPr>
        <vertAlign val="subscript"/>
        <sz val="10"/>
        <rFont val="Arial"/>
        <family val="2"/>
      </rPr>
      <t>m</t>
    </r>
    <r>
      <rPr>
        <sz val="10"/>
        <rFont val="Arial"/>
        <family val="2"/>
      </rPr>
      <t xml:space="preserve"> = </t>
    </r>
  </si>
  <si>
    <t xml:space="preserve">Уменьш. коэф. </t>
  </si>
  <si>
    <t xml:space="preserve">Стр. </t>
  </si>
  <si>
    <t>Сочет. нагрузок</t>
  </si>
  <si>
    <t>Нагель</t>
  </si>
  <si>
    <t>2. Пояснения</t>
  </si>
  <si>
    <t>Faktor Bettung fad</t>
  </si>
  <si>
    <t>kah,Mindesterddruck</t>
  </si>
  <si>
    <t>Anker über Steife = 90º</t>
  </si>
  <si>
    <t>Dimensioning of shotcrete nailing</t>
  </si>
  <si>
    <t>Dimensioning beam elastic-plastic</t>
  </si>
  <si>
    <t>Dimensioning inserted beam</t>
  </si>
  <si>
    <t>Dimensioning sheet pile wall elastic-plastic</t>
  </si>
  <si>
    <t>Dimensioning D-wall</t>
  </si>
  <si>
    <t>Dimensioning pile wall</t>
  </si>
  <si>
    <t>Dimensioning MIP composite beam</t>
  </si>
  <si>
    <t>Dimensioning anchors</t>
  </si>
  <si>
    <t>Check vertical balance</t>
  </si>
  <si>
    <t>Check vertical balance vibrated wall</t>
  </si>
  <si>
    <t>Check balance deep cut off</t>
  </si>
  <si>
    <t>Check balance high cut off</t>
  </si>
  <si>
    <t>Dimensioning waler L, 2L, U, 2U, I, 2I</t>
  </si>
  <si>
    <t xml:space="preserve">Dimensioning concrete waler </t>
  </si>
  <si>
    <t>Dimensioning strut H &amp; tube</t>
  </si>
  <si>
    <t xml:space="preserve">Dimensioning concrtete strut </t>
  </si>
  <si>
    <t>Check horizontal balance</t>
  </si>
  <si>
    <t>Check ground failure neighboring fondation</t>
  </si>
  <si>
    <t>Dimensioning MIP truss beam</t>
  </si>
  <si>
    <t>Anchor spacing [m]</t>
  </si>
  <si>
    <t>Wall length [m]</t>
  </si>
  <si>
    <t>Beam spacing [m]</t>
  </si>
  <si>
    <t>Toe width [m]</t>
  </si>
  <si>
    <t>Enlargement support force</t>
  </si>
  <si>
    <t>Enlargement statical force</t>
  </si>
  <si>
    <t>Phase final excavation</t>
  </si>
  <si>
    <t>Print input</t>
  </si>
  <si>
    <t>Print graphics</t>
  </si>
  <si>
    <t>Print resuts</t>
  </si>
  <si>
    <t>Print dimensionings</t>
  </si>
  <si>
    <t>Number first page</t>
  </si>
  <si>
    <t>Wall rubber, page break</t>
  </si>
  <si>
    <t>Empty page</t>
  </si>
  <si>
    <t>Empty rows TXT</t>
  </si>
  <si>
    <t>Normal force</t>
  </si>
  <si>
    <t>Text N-percantage</t>
  </si>
  <si>
    <t xml:space="preserve">Давл. воды </t>
  </si>
  <si>
    <t xml:space="preserve">Внешние горизонт. силы F= </t>
  </si>
  <si>
    <t xml:space="preserve">Вертик. сила в опоре подошвы Ch = </t>
  </si>
  <si>
    <t xml:space="preserve">Негатив. силы основ. Ch = </t>
  </si>
  <si>
    <t xml:space="preserve">Этапы разр. котлована важны </t>
  </si>
  <si>
    <t xml:space="preserve">Финальный этап важен </t>
  </si>
  <si>
    <t xml:space="preserve">Сила в креплении </t>
  </si>
  <si>
    <t>Граничное условие соблюдается</t>
  </si>
  <si>
    <t>Граничное условие не соблюдается</t>
  </si>
  <si>
    <t>Итерации для опред. заглубл. стены</t>
  </si>
  <si>
    <t>Gurtnachweis Beton</t>
  </si>
  <si>
    <t>Steifennachweis I, 2I, Ro</t>
  </si>
  <si>
    <t>Steifennachweis Beton</t>
  </si>
  <si>
    <t>Nachweis Sicherheit Auflagerkraft im Boden</t>
  </si>
  <si>
    <t>Grundbruchsicherheit Gebäudefundament</t>
  </si>
  <si>
    <t>Nachweis MIP-Gitterträger</t>
  </si>
  <si>
    <t>Ankerabstand [m]</t>
  </si>
  <si>
    <t>Wandlänge [m]</t>
  </si>
  <si>
    <t>Trägerabstand [m]</t>
  </si>
  <si>
    <t>Fußbreite [m]</t>
  </si>
  <si>
    <t>Phase Vollaushub</t>
  </si>
  <si>
    <t>Drucken Eingabe</t>
  </si>
  <si>
    <t>Drucken Grafik</t>
  </si>
  <si>
    <t>Drucken Ergebnis</t>
  </si>
  <si>
    <t>Drucken Nachweise</t>
  </si>
  <si>
    <t>Nummer erste Seite</t>
  </si>
  <si>
    <t>WallRadierer, -umbrecher</t>
  </si>
  <si>
    <t>Leerseiten</t>
  </si>
  <si>
    <t>Normalkraft</t>
  </si>
  <si>
    <t>Text N-Anteil</t>
  </si>
  <si>
    <t>Timber filling beams inc. MIP &amp;beam</t>
  </si>
  <si>
    <t>1-3/5-1-5 Pile arch /MIP arch centric in P-wall</t>
  </si>
  <si>
    <t>Shotcrete filling beams</t>
  </si>
  <si>
    <t>Shotcrete filling P-wall</t>
  </si>
  <si>
    <t>Shotcrete arch filling beam/P-wall</t>
  </si>
  <si>
    <t>MIP arch</t>
  </si>
  <si>
    <t>Trägernachweis elastisch-plastisch</t>
  </si>
  <si>
    <t>Spundwandnachweis elastisch-plastisch</t>
  </si>
  <si>
    <t>ommitted for new standards!</t>
  </si>
  <si>
    <t>steinig</t>
  </si>
  <si>
    <t>kiesig</t>
  </si>
  <si>
    <t>sandig</t>
  </si>
  <si>
    <t>tonig</t>
  </si>
  <si>
    <t>schluffig</t>
  </si>
  <si>
    <t>Underpinning = Underpinning with jet grouting (HPI)</t>
  </si>
  <si>
    <t>Soil nailing = Soil nailing</t>
  </si>
  <si>
    <t>Perman. struct.</t>
  </si>
  <si>
    <t>GW-Dewatering</t>
  </si>
  <si>
    <t>N Deadload</t>
  </si>
  <si>
    <t>N Earthpressure</t>
  </si>
  <si>
    <t>N Anchor</t>
  </si>
  <si>
    <t>4. Getting a new position line</t>
  </si>
  <si>
    <t>5. Placing a position line in the right place and make it fit</t>
  </si>
  <si>
    <t>8. Cut, copy, paste lines</t>
  </si>
  <si>
    <t>Slovensky / Cesky</t>
  </si>
  <si>
    <t xml:space="preserve">Vrt </t>
  </si>
  <si>
    <t>Spodna hrana tesniacej steny</t>
  </si>
  <si>
    <t xml:space="preserve"> Spreizung </t>
  </si>
  <si>
    <t>Einbringverfahren</t>
  </si>
  <si>
    <t>Träger-/Pfahlabstand</t>
  </si>
  <si>
    <t>Einspanntiefe</t>
  </si>
  <si>
    <t>Bohrdurchmesser/Wanddicke</t>
  </si>
  <si>
    <t>Sicherheit Grundbruch</t>
  </si>
  <si>
    <t>Sicherheit Pfahldruck</t>
  </si>
  <si>
    <t>Warzenwand = Spritzbetonsicherung mit aufgespritzten Ankerplattenverstärkungen</t>
  </si>
  <si>
    <t>RTBW Holz</t>
  </si>
  <si>
    <t xml:space="preserve"> was saved with values and formulas of an actual project, </t>
  </si>
  <si>
    <t>Erzeugen neue WallManndatei dauert lange. Soll eine neue WallManndatei angelegt werden?</t>
  </si>
  <si>
    <t>no footline</t>
  </si>
  <si>
    <t>HEA260</t>
  </si>
  <si>
    <t>HEA280</t>
  </si>
  <si>
    <t>HEA300</t>
  </si>
  <si>
    <t>HEA320</t>
  </si>
  <si>
    <t>HEA340</t>
  </si>
  <si>
    <t>HEA360</t>
  </si>
  <si>
    <t>HEA400</t>
  </si>
  <si>
    <t>HEA450</t>
  </si>
  <si>
    <t>HEA500</t>
  </si>
  <si>
    <t>HEA550</t>
  </si>
  <si>
    <t>HEA600</t>
  </si>
  <si>
    <t>HEA650</t>
  </si>
  <si>
    <t>HEA700</t>
  </si>
  <si>
    <t>HEA800</t>
  </si>
  <si>
    <t>HEA900</t>
  </si>
  <si>
    <t>HEA1000</t>
  </si>
  <si>
    <t>HEM240</t>
  </si>
  <si>
    <t>HEM260</t>
  </si>
  <si>
    <t>HEM280</t>
  </si>
  <si>
    <t>HEM300</t>
  </si>
  <si>
    <t>HEM320</t>
  </si>
  <si>
    <t>HEM340</t>
  </si>
  <si>
    <t>HEM360</t>
  </si>
  <si>
    <t>HEM400</t>
  </si>
  <si>
    <t>HEM450</t>
  </si>
  <si>
    <t>HEM500</t>
  </si>
  <si>
    <t>HEM550</t>
  </si>
  <si>
    <t>HEM600</t>
  </si>
  <si>
    <t>HEM650</t>
  </si>
  <si>
    <t>HEM700</t>
  </si>
  <si>
    <t>HEM800</t>
  </si>
  <si>
    <t>HEM900</t>
  </si>
  <si>
    <t>HEM1000</t>
  </si>
  <si>
    <t>IPE240</t>
  </si>
  <si>
    <t>IPE270</t>
  </si>
  <si>
    <t>IPE300</t>
  </si>
  <si>
    <t>IPE330</t>
  </si>
  <si>
    <t>IPE360</t>
  </si>
  <si>
    <t>IPE400</t>
  </si>
  <si>
    <t>IPE450</t>
  </si>
  <si>
    <t>IPE500</t>
  </si>
  <si>
    <t>IPE550</t>
  </si>
  <si>
    <t>IPE600</t>
  </si>
  <si>
    <t>U240</t>
  </si>
  <si>
    <t>U260</t>
  </si>
  <si>
    <t>U280</t>
  </si>
  <si>
    <t>U300</t>
  </si>
  <si>
    <t>1N BS</t>
  </si>
  <si>
    <t>2N BS</t>
  </si>
  <si>
    <t>3NA BS</t>
  </si>
  <si>
    <t>4N BS</t>
  </si>
  <si>
    <t>5  BS</t>
  </si>
  <si>
    <t>00203040</t>
  </si>
  <si>
    <t>00203050</t>
  </si>
  <si>
    <t>00203060</t>
  </si>
  <si>
    <t>00203070</t>
  </si>
  <si>
    <t>00203080</t>
  </si>
  <si>
    <t>00203090</t>
  </si>
  <si>
    <t>00203100</t>
  </si>
  <si>
    <t>00203110</t>
  </si>
  <si>
    <t xml:space="preserve">2) The degree of utilisation is considered for the calculation of slenderness limit for shear and bending.  b/t-factors according to DIN18800 /1 and ENV 1993-5: 1998. </t>
  </si>
  <si>
    <t>Req. shear crimps =</t>
  </si>
  <si>
    <t>Standard shear crimps</t>
  </si>
  <si>
    <t>Check shear points</t>
  </si>
  <si>
    <t>No MIP-beam wall!</t>
  </si>
  <si>
    <t>Bauer Schweiz</t>
  </si>
  <si>
    <t>BAUER Spezialtiefbau Schweiz AG
Im Langacker 20a
CH   5405 Baden Dättwil
Telefon +41 56 203 90 50 • Fax +41 56 203 90 59</t>
  </si>
  <si>
    <t xml:space="preserve"> The soil stratification is in accordance with borehole </t>
  </si>
  <si>
    <t xml:space="preserve">The analysis of the boundary condition equations is carried out for load case </t>
  </si>
  <si>
    <t>Perete din piloti D=</t>
  </si>
  <si>
    <t>Perete mulat D=</t>
  </si>
  <si>
    <t>Torcret D=</t>
  </si>
  <si>
    <t>cota inf. Armatura</t>
  </si>
  <si>
    <t>Dulapi lemn s=</t>
  </si>
  <si>
    <t>Bolta din torcret</t>
  </si>
  <si>
    <t>11. Speichern: Speichern, Speichern mit Verlassen Positionplan, Verlassen Positionplan ohne speichern</t>
  </si>
  <si>
    <t xml:space="preserve">2. Skalierrechteck aktivieren </t>
  </si>
  <si>
    <t>Abmessungen des Skalierrecheckes sind 0!</t>
  </si>
  <si>
    <t>ADOBE PDF-Writer hat Probleme beim drucken! Zumindest eine Seite fehlt.</t>
  </si>
  <si>
    <t>Bitte erst mit WallManndrucker erstellen!</t>
  </si>
  <si>
    <t>mit Fenster/Einblenden sichtbar machen!</t>
  </si>
  <si>
    <t>BAUER Spezialtiefbau Schweiz AG</t>
  </si>
  <si>
    <t>zu schlank</t>
  </si>
  <si>
    <t>Profil:</t>
  </si>
  <si>
    <t>Steifenart</t>
  </si>
  <si>
    <t>Nachweis Steifenlage</t>
  </si>
  <si>
    <t>Trägerprofil</t>
  </si>
  <si>
    <t>Rohr</t>
  </si>
  <si>
    <t>Steifenabstand</t>
  </si>
  <si>
    <t>Steifenneigung º vertikal</t>
  </si>
  <si>
    <t>Steifenneigung º horizontal</t>
  </si>
  <si>
    <t>Verkehrslast</t>
  </si>
  <si>
    <t>Lichtmaß Träger-Träger</t>
  </si>
  <si>
    <t>Bindeblech</t>
  </si>
  <si>
    <t>a-Maß</t>
  </si>
  <si>
    <t>$ERL</t>
  </si>
  <si>
    <t>Pot Ström</t>
  </si>
  <si>
    <t>Par Ström</t>
  </si>
  <si>
    <t>frei classic</t>
  </si>
  <si>
    <t>fest classic</t>
  </si>
  <si>
    <t>fest+frei classic</t>
  </si>
  <si>
    <t>Kopieren</t>
  </si>
  <si>
    <t>Löschen</t>
  </si>
  <si>
    <t>kein Plot</t>
  </si>
  <si>
    <t>E+Erde</t>
  </si>
  <si>
    <t>Plot Werte</t>
  </si>
  <si>
    <t>alle</t>
  </si>
  <si>
    <t>letzte Phase</t>
  </si>
  <si>
    <t>bWspornik rozpory [m]</t>
  </si>
  <si>
    <t>bWspornik kotwy [m]</t>
  </si>
  <si>
    <t>bWspornik plyty [m]</t>
  </si>
  <si>
    <t>C plyty [kN/m]</t>
  </si>
  <si>
    <t>Faza 1</t>
  </si>
  <si>
    <t>Faza 2</t>
  </si>
  <si>
    <t>Faza 3</t>
  </si>
  <si>
    <t>Faza 4</t>
  </si>
  <si>
    <t>Faza 5</t>
  </si>
  <si>
    <t>Faza 6</t>
  </si>
  <si>
    <t>N ciezar wlasny</t>
  </si>
  <si>
    <t>N  parcie gruntu</t>
  </si>
  <si>
    <t>N kotwy</t>
  </si>
  <si>
    <t>Bauer Austria</t>
  </si>
  <si>
    <t>BAUER Spezialtiefbau Ges.m.b.H.
Warneckestr. 1-3
A 1110 Wien
Telefon (+43) 1-760220
Telefon (+42) 1-7602222</t>
  </si>
  <si>
    <t>Acest proiect este protejat de drepturile de autor. Acesta poate fi folosit, copiat sau prezentat catre terti numai in urmatoarele situatii:
1. Contractarea lucrarii catre BAUERSPEZIALTIEFBAU GmbH sau Filialele acesteia</t>
  </si>
  <si>
    <t>*** input error</t>
  </si>
  <si>
    <t xml:space="preserve">1. Open background file in TIF/JPG/GIF or BMP-format </t>
  </si>
  <si>
    <t>Form</t>
  </si>
  <si>
    <t>L-przekroj-9-[m]</t>
  </si>
  <si>
    <t>L-przekroj-10-[m]</t>
  </si>
  <si>
    <t>L-przekroj-11-[m]</t>
  </si>
  <si>
    <t>L-przekroj-12-[m]</t>
  </si>
  <si>
    <t>L-przekroj-13-[m]</t>
  </si>
  <si>
    <t>L-przekroj-14-[m]</t>
  </si>
  <si>
    <t>00404050</t>
  </si>
  <si>
    <t xml:space="preserve"> Abminderungsfakoren der inneren Reibung für Wandreibung von </t>
  </si>
  <si>
    <t>L-Section-4-[m]</t>
  </si>
  <si>
    <t>00901100</t>
  </si>
  <si>
    <t>00901110</t>
  </si>
  <si>
    <t>00901120</t>
  </si>
  <si>
    <t>00901130</t>
  </si>
  <si>
    <t>00901140</t>
  </si>
  <si>
    <t>00901150</t>
  </si>
  <si>
    <t>00902</t>
  </si>
  <si>
    <t>00902010</t>
  </si>
  <si>
    <t>00903</t>
  </si>
  <si>
    <t>00903010</t>
  </si>
  <si>
    <t>010</t>
  </si>
  <si>
    <t>01001</t>
  </si>
  <si>
    <t>01001010</t>
  </si>
  <si>
    <t>Коэф. надежности:</t>
  </si>
  <si>
    <t>BTBWtimber = Стена из балки, помещенной в бетон, и деревянной забирки</t>
  </si>
  <si>
    <t>BTBW MIPT = Стена из балки, помещенной в MIP, и деревянной забирки</t>
  </si>
  <si>
    <t>BTBWShotcrete = Стена из балки, помещенной в бетон, и заполнения из торкретбетона</t>
  </si>
  <si>
    <t>TBMIPmiddle = Стена из балки, помещенной в бетон, и заполнения MIP по центру</t>
  </si>
  <si>
    <t xml:space="preserve">Analysis of the support force in the soil  </t>
  </si>
  <si>
    <t>Structural system</t>
  </si>
  <si>
    <t>Berme BGS hat einen Abstand von</t>
  </si>
  <si>
    <t>Jäger</t>
  </si>
  <si>
    <t>Thomas.Jäger@bauer.de</t>
  </si>
  <si>
    <t>Dolp</t>
  </si>
  <si>
    <t>Markus</t>
  </si>
  <si>
    <t>Bauer Spezialtiefbau GmbH</t>
  </si>
  <si>
    <t>Warneckestraße 1-3</t>
  </si>
  <si>
    <t>A-1110 Wien</t>
  </si>
  <si>
    <t>Markus.Dolp@bauer-spezialtiefbau.at</t>
  </si>
  <si>
    <t>Steuerung Anhängen Zusatztext an  Automatentext für Blatt ERLund SCHNITT!</t>
  </si>
  <si>
    <t>Platzhalter 1</t>
  </si>
  <si>
    <t>wild card 1</t>
  </si>
  <si>
    <t>Platzhalter 2</t>
  </si>
  <si>
    <t>wild card 2</t>
  </si>
  <si>
    <t>Platzhalter 3</t>
  </si>
  <si>
    <t>wild card 3</t>
  </si>
  <si>
    <t>Aut+Zusa</t>
  </si>
  <si>
    <t>Automat</t>
  </si>
  <si>
    <t>automat</t>
  </si>
  <si>
    <t>Zusatz</t>
  </si>
  <si>
    <t xml:space="preserve">Für das Bauvorhaben </t>
  </si>
  <si>
    <t>Erläuterungen bzw. Bemerkungen zu den Einzelschnitte können über das BlatMATR eingegeben werden. Wenn diese leer sind, erscheint auf dem Blatt SCHNITT der Automatentext, ansonsten der aus MATR!</t>
  </si>
  <si>
    <t>Pfahlwände</t>
  </si>
  <si>
    <t>aufgelöste Pfahlwände</t>
  </si>
  <si>
    <t>Trägerwände</t>
  </si>
  <si>
    <t>2. Erläuterungen</t>
  </si>
  <si>
    <t>00404070</t>
  </si>
  <si>
    <t>00404080</t>
  </si>
  <si>
    <t>00404090</t>
  </si>
  <si>
    <t>00404100</t>
  </si>
  <si>
    <t>005</t>
  </si>
  <si>
    <t>00501</t>
  </si>
  <si>
    <t>00501010</t>
  </si>
  <si>
    <t>Paramètres de sols</t>
  </si>
  <si>
    <t>parámetros del suelo</t>
  </si>
  <si>
    <t>Bohrungen</t>
  </si>
  <si>
    <t>Sondages</t>
  </si>
  <si>
    <t>perforaciones</t>
  </si>
  <si>
    <t>Schnitt</t>
  </si>
  <si>
    <t>Coupe</t>
  </si>
  <si>
    <t>sección</t>
  </si>
  <si>
    <t xml:space="preserve">Tous droits réservés. Ce plan ne peut être utilisé, ou reproduit que dans les conditions suivantes:
1) En cas d'attribution du contrat d'exécution à Bauer Spezialtiefbau GmbH, ou à une de </t>
  </si>
  <si>
    <t>For sheet pile walls and concrete walls, the loads are redistributed to the depth below excavation level.</t>
  </si>
  <si>
    <t>is applied.</t>
  </si>
  <si>
    <t>The water pressure is applied</t>
  </si>
  <si>
    <t>fully</t>
  </si>
  <si>
    <t xml:space="preserve"> reduction factor for the internal friction of the wall friction of</t>
  </si>
  <si>
    <t>долен ръб армировка</t>
  </si>
  <si>
    <t>дървена обшивка s=</t>
  </si>
  <si>
    <t>Дъга от торкрет</t>
  </si>
  <si>
    <t>1:1 система</t>
  </si>
  <si>
    <t>1:3 система</t>
  </si>
  <si>
    <t>1:5 система</t>
  </si>
  <si>
    <t>MIP(циментопочва)</t>
  </si>
  <si>
    <t>цименто-бентонитова суспензия</t>
  </si>
  <si>
    <t>Folgende Fehler im WALLS-Ergebnis von</t>
  </si>
  <si>
    <t>gefunden:</t>
  </si>
  <si>
    <t>VL605A</t>
  </si>
  <si>
    <t>VL605K</t>
  </si>
  <si>
    <t>VL606A</t>
  </si>
  <si>
    <t>VL606</t>
  </si>
  <si>
    <t>a natural impermeable layer</t>
  </si>
  <si>
    <t>a gravity concrete slab</t>
  </si>
  <si>
    <t xml:space="preserve"> reduction factor of internal friction for the wall friction of</t>
  </si>
  <si>
    <t>Axis spacing pile/beam</t>
  </si>
  <si>
    <t>Index actual section</t>
  </si>
  <si>
    <t>Index actual section VBA</t>
  </si>
  <si>
    <t>Index actual section sheet</t>
  </si>
  <si>
    <t>First active</t>
  </si>
  <si>
    <t>Activated</t>
  </si>
  <si>
    <t>Control actual section</t>
  </si>
  <si>
    <t>Strutting with blinding concrete in strips</t>
  </si>
  <si>
    <t>Borehole  D=</t>
  </si>
  <si>
    <t xml:space="preserve">single corr. </t>
  </si>
  <si>
    <t xml:space="preserve">double corr. </t>
  </si>
  <si>
    <t>Verankerungsbleche erforderlich!</t>
  </si>
  <si>
    <t>$GMIP2</t>
  </si>
  <si>
    <t>Verankerungslänge</t>
  </si>
  <si>
    <t>Anchorage length</t>
  </si>
  <si>
    <t>Anchor plates required!</t>
  </si>
  <si>
    <t>Wall openings</t>
  </si>
  <si>
    <t>Open dewatering</t>
  </si>
  <si>
    <t>Double corr. protect.</t>
  </si>
  <si>
    <t>Single corr. protect.</t>
  </si>
  <si>
    <t>Concrete waler</t>
  </si>
  <si>
    <t xml:space="preserve">Top waler </t>
  </si>
  <si>
    <t>Staggered anchor</t>
  </si>
  <si>
    <t xml:space="preserve">Concrete support </t>
  </si>
  <si>
    <t>Permanent supporting stages</t>
  </si>
  <si>
    <t>Working platform</t>
  </si>
  <si>
    <t>Soft gel</t>
  </si>
  <si>
    <t>BAUER Lebanon Foundation Specialists S.A.R.L.  • Jdeidet El Metn  • Telefon (+961)1-875-707 • Fax  (+961)1-875-707</t>
  </si>
  <si>
    <t>BAUER Lebanon Foundation Specialists S.A.R.L.
Jdeidet El Metn
P.O. Box 90 467
Telefon (+961)1-875-707
Fax (+961)1-875-727</t>
  </si>
  <si>
    <t>Permanent construction</t>
  </si>
  <si>
    <t>Dummy StSteife</t>
  </si>
  <si>
    <t>Dummy BetSteife</t>
  </si>
  <si>
    <t>подводн. бетон. плита со сваями на растяж.</t>
  </si>
  <si>
    <t>слой водоупора</t>
  </si>
  <si>
    <t>крепление плитой из тощего бетона с разработкой котлована участками</t>
  </si>
  <si>
    <t>Управление текущим разрезом</t>
  </si>
  <si>
    <t>Актив.</t>
  </si>
  <si>
    <t>Первая активация</t>
  </si>
  <si>
    <t>Номер тек. листа разреза</t>
  </si>
  <si>
    <t>Номар VBA тек. разреза</t>
  </si>
  <si>
    <t>Номер тек. разреза</t>
  </si>
  <si>
    <t>MIP-Wand mit mittig angeordneten Trägern</t>
  </si>
  <si>
    <t>MIP-Wand mit luftseitig angeordneten Trägern</t>
  </si>
  <si>
    <t>TITAN30/16</t>
  </si>
  <si>
    <t>TITAN30/11</t>
  </si>
  <si>
    <t>TITAN40/20</t>
  </si>
  <si>
    <t>ADOBE PDF-Writer has probleme with printing! one or more pages might be missing.</t>
  </si>
  <si>
    <t>a deep level  high-press. Injection</t>
  </si>
  <si>
    <t xml:space="preserve">Mr. </t>
  </si>
  <si>
    <t>Bettungsmodul ksh / Steifemodul Es</t>
  </si>
  <si>
    <t>L 606</t>
  </si>
  <si>
    <t>L 606K</t>
  </si>
  <si>
    <t>L 607 n</t>
  </si>
  <si>
    <t>L600</t>
  </si>
  <si>
    <t>L600 K</t>
  </si>
  <si>
    <t>L 703</t>
  </si>
  <si>
    <t>L 703K</t>
  </si>
  <si>
    <t>L 703 10/10</t>
  </si>
  <si>
    <t>L 704</t>
  </si>
  <si>
    <t>L 755</t>
  </si>
  <si>
    <t>The input for selection of soil for layer 1 and/or 2 is missing on sheet MAS in line</t>
  </si>
  <si>
    <t>Gen+Calc+Read</t>
  </si>
  <si>
    <t>BO cut off slab</t>
  </si>
  <si>
    <t xml:space="preserve">Уважаемый г-н, </t>
  </si>
  <si>
    <t>Г-жа</t>
  </si>
  <si>
    <t>Г-н</t>
  </si>
  <si>
    <t>Имя файла</t>
  </si>
  <si>
    <t>изменение</t>
  </si>
  <si>
    <t>Торкретбетон</t>
  </si>
  <si>
    <t>Торкретбетон по арке</t>
  </si>
  <si>
    <t>Материал заполнителя</t>
  </si>
  <si>
    <t>Точка 0-давления</t>
  </si>
  <si>
    <t>HPI глубоко</t>
  </si>
  <si>
    <t>HPI высоко</t>
  </si>
  <si>
    <t>Мелк. цем. глубоко</t>
  </si>
  <si>
    <t>Подводн. бет. плита</t>
  </si>
  <si>
    <t>Сл. водоупора</t>
  </si>
  <si>
    <t>Бет. основание</t>
  </si>
  <si>
    <t>Труба/Траншея</t>
  </si>
  <si>
    <t>CFA (НПШ)</t>
  </si>
  <si>
    <t>Вибрирование</t>
  </si>
  <si>
    <t>Давление ГВ</t>
  </si>
  <si>
    <t>Отм. дна котлована</t>
  </si>
  <si>
    <t>Потенц. фильтрация</t>
  </si>
  <si>
    <t>Парал. фильтрация</t>
  </si>
  <si>
    <t>своб. закрепление</t>
  </si>
  <si>
    <t>жестк. закрепление</t>
  </si>
  <si>
    <t>своб.+жестк. закреп.</t>
  </si>
  <si>
    <t>Копировать</t>
  </si>
  <si>
    <t>Стиреть</t>
  </si>
  <si>
    <t>не печатать</t>
  </si>
  <si>
    <t>E+грунт</t>
  </si>
  <si>
    <t>Данные печати</t>
  </si>
  <si>
    <t>Название письма</t>
  </si>
  <si>
    <t xml:space="preserve">Уважаемая г-жа, </t>
  </si>
  <si>
    <t>Тоже самое применено для расчета по Кранцу. Коэф. запаса для определения усилий в сечении согласно DIN1054, как коэф. запаса для горизонтально нагруженных свай 1,0.</t>
  </si>
  <si>
    <t>Для шпунтовых и гравитационных стен нагрузки перераспределены на глубине нижу дна котлована.</t>
  </si>
  <si>
    <t xml:space="preserve">Для расчета пассивного давления грунта поверхностное трение </t>
  </si>
  <si>
    <t>применено.</t>
  </si>
  <si>
    <t xml:space="preserve">Коэффициент запаса по креплению подошвы для расчета усилий в сечении и в анкерах  </t>
  </si>
  <si>
    <t xml:space="preserve">Система </t>
  </si>
  <si>
    <t>Свод давления</t>
  </si>
  <si>
    <t>Слой из мягих гелей</t>
  </si>
  <si>
    <t xml:space="preserve">глубокорасположенная ПФЗ (Jet grouting) </t>
  </si>
  <si>
    <t>глубокорасположенная плита из мелкого цемента</t>
  </si>
  <si>
    <t xml:space="preserve">связь </t>
  </si>
  <si>
    <t>с заданным распределением давления воды</t>
  </si>
  <si>
    <t xml:space="preserve">Давление воды учтено </t>
  </si>
  <si>
    <t xml:space="preserve">в начале </t>
  </si>
  <si>
    <t xml:space="preserve">с </t>
  </si>
  <si>
    <t xml:space="preserve">полностью </t>
  </si>
  <si>
    <t xml:space="preserve"> снижающий фактор для внутреннего трения на контакте "стена-грунт" </t>
  </si>
  <si>
    <t xml:space="preserve"> учтено.</t>
  </si>
  <si>
    <t xml:space="preserve"> и </t>
  </si>
  <si>
    <t xml:space="preserve">Часть давления грунта в покое от </t>
  </si>
  <si>
    <t xml:space="preserve"> до </t>
  </si>
  <si>
    <t xml:space="preserve">Часть давления грунта в покое до </t>
  </si>
  <si>
    <t xml:space="preserve">Из-за констр. компонентов </t>
  </si>
  <si>
    <t xml:space="preserve"> использовано.</t>
  </si>
  <si>
    <t xml:space="preserve">В расчете используется активное давление грунта. </t>
  </si>
  <si>
    <t>1. Основы</t>
  </si>
  <si>
    <t>2. Разъяснение</t>
  </si>
  <si>
    <t>2.1. Общее</t>
  </si>
  <si>
    <t>H-балка стены</t>
  </si>
  <si>
    <t>Шпунтовые стены</t>
  </si>
  <si>
    <t>Стены из секущ. свай</t>
  </si>
  <si>
    <t>"Стены в грунте"</t>
  </si>
  <si>
    <t>Стены из касат. свай</t>
  </si>
  <si>
    <t>Стены из балок</t>
  </si>
  <si>
    <t>Подведение (крепл.)</t>
  </si>
  <si>
    <t>Грунтовые нагели</t>
  </si>
  <si>
    <t xml:space="preserve">2.2. Геотехнический подход </t>
  </si>
  <si>
    <t xml:space="preserve">Кол-во для поддерживающих работ </t>
  </si>
  <si>
    <t>Суммы</t>
  </si>
  <si>
    <t xml:space="preserve">Количество </t>
  </si>
  <si>
    <t>Длина разрезов, площадь плит</t>
  </si>
  <si>
    <t xml:space="preserve">Частичная длина </t>
  </si>
  <si>
    <t xml:space="preserve">Общая длина </t>
  </si>
  <si>
    <t xml:space="preserve">Заметка </t>
  </si>
  <si>
    <t>TSVP-GEWI PESVP-GEWI прост. защита от коррозии; PDSVP-GEWI двойн. защита от коррозии</t>
  </si>
  <si>
    <t xml:space="preserve">1) Число предм. для частичных длин от 1 до 15 округлено в большую сторону. Дополн. распредел. не требуется </t>
  </si>
  <si>
    <t>Сила</t>
  </si>
  <si>
    <t xml:space="preserve">Длина бурения </t>
  </si>
  <si>
    <t>Число (нагел. все слои)</t>
  </si>
  <si>
    <t xml:space="preserve">Шаг </t>
  </si>
  <si>
    <t xml:space="preserve">Общ. длина бурения </t>
  </si>
  <si>
    <t>Ряды анкеров</t>
  </si>
  <si>
    <t xml:space="preserve">Кол-ва слоев распорок </t>
  </si>
  <si>
    <t>Кол-во распорок (все)</t>
  </si>
  <si>
    <t>Длина распорок (масса)</t>
  </si>
  <si>
    <t>Вес пог./м</t>
  </si>
  <si>
    <t xml:space="preserve">Расчетный вес </t>
  </si>
  <si>
    <t>Обвязочн. пояс</t>
  </si>
  <si>
    <t>Кол-во слоев обв. пояса</t>
  </si>
  <si>
    <t>Проф. распорки</t>
  </si>
  <si>
    <t>H-балка стена, стена из балок, помещ. метал. балки</t>
  </si>
  <si>
    <t>Число балок</t>
  </si>
  <si>
    <t>Проф. балки</t>
  </si>
  <si>
    <t>Тип профиля</t>
  </si>
  <si>
    <t>Длина</t>
  </si>
  <si>
    <t>Осн. заполнение</t>
  </si>
  <si>
    <t>Помещ. заполнение</t>
  </si>
  <si>
    <t>Помещен.</t>
  </si>
  <si>
    <t>Высота отсекающ. стены</t>
  </si>
  <si>
    <t>Площадь отсекающ. стены</t>
  </si>
  <si>
    <t>Армиров. свая</t>
  </si>
  <si>
    <t>Неармиров. свая</t>
  </si>
  <si>
    <t xml:space="preserve">Холостое бурение </t>
  </si>
  <si>
    <t>Длина бетона</t>
  </si>
  <si>
    <t>Общ. длина, холост. бурение</t>
  </si>
  <si>
    <t>Арматурные стержни</t>
  </si>
  <si>
    <t>Высота траншеи</t>
  </si>
  <si>
    <t>Площ. траншеи</t>
  </si>
  <si>
    <t>Высота бетонирования</t>
  </si>
  <si>
    <t>Concrete strut</t>
  </si>
  <si>
    <r>
      <t>Nennfestigkeit f</t>
    </r>
    <r>
      <rPr>
        <vertAlign val="subscript"/>
        <sz val="10"/>
        <rFont val="Arial"/>
        <family val="2"/>
      </rPr>
      <t>ck</t>
    </r>
  </si>
  <si>
    <t>not supported</t>
  </si>
  <si>
    <t>without anchors</t>
  </si>
  <si>
    <t>layer anchoring with micropiles</t>
  </si>
  <si>
    <t>layer anchoring with grout anchors</t>
  </si>
  <si>
    <t>(nach Weißenbach 'Baugruben Teil III', Abschnitt 7.6 sowie DIN18800 T2 11/90)</t>
  </si>
  <si>
    <t>Ansatzpunkt  =</t>
  </si>
  <si>
    <t>vorh. Stützkraft  =</t>
  </si>
  <si>
    <t>Steifenneigung  α =</t>
  </si>
  <si>
    <t>il, miekkoplastyczny</t>
  </si>
  <si>
    <t>margiel,zwarty</t>
  </si>
  <si>
    <t>обединяваща греда</t>
  </si>
  <si>
    <t>шахматно разположени анкери</t>
  </si>
  <si>
    <t>демонтаж</t>
  </si>
  <si>
    <t>работна платформа</t>
  </si>
  <si>
    <t>силикатен гел</t>
  </si>
  <si>
    <t>фин цимент</t>
  </si>
  <si>
    <t>бетон изпълнен под вода</t>
  </si>
  <si>
    <t>частично изпълнен подложен бетон</t>
  </si>
  <si>
    <t>More then 5 soil layers are existing under the excavation layer.</t>
  </si>
  <si>
    <t>Plotdatei</t>
  </si>
  <si>
    <t xml:space="preserve">Plotfile </t>
  </si>
  <si>
    <t>b Bot [cm]</t>
  </si>
  <si>
    <t>b Front [cm]</t>
  </si>
  <si>
    <t>Wart</t>
  </si>
  <si>
    <t>Top soil nailing</t>
  </si>
  <si>
    <t>z-GW cut off slab</t>
  </si>
  <si>
    <t>TO cut off slab</t>
  </si>
  <si>
    <t>Aditive check  Excel file</t>
  </si>
  <si>
    <t xml:space="preserve">Check of </t>
  </si>
  <si>
    <t>aufgeloeste Pfahlwand</t>
  </si>
  <si>
    <t xml:space="preserve">muss als erstes mit ''WallManndatei speichern unter'' in eine WAL-Datei gespeichert werden. </t>
  </si>
  <si>
    <t>3. Masse X und Y des Skalierrechteckes aus dem Original als Scale X und Scale Y eingeben</t>
  </si>
  <si>
    <t>max. Verminderung Gewölbewirkung Sohle</t>
  </si>
  <si>
    <t>Entlastung je Pfahl angehängter Erdkörper</t>
  </si>
  <si>
    <t>maßgebliche Verminderung</t>
  </si>
  <si>
    <t>Unter Wandfuß</t>
  </si>
  <si>
    <t>Unter Baugrubensohle</t>
  </si>
  <si>
    <t>Schicht</t>
  </si>
  <si>
    <t>Dicke  [m]</t>
  </si>
  <si>
    <t>Schichtbezeichnung</t>
  </si>
  <si>
    <t>L 603+0,5</t>
  </si>
  <si>
    <t>L 603K-0,5</t>
  </si>
  <si>
    <t>L 603K+0,5</t>
  </si>
  <si>
    <t>L 604-0,5</t>
  </si>
  <si>
    <t>L 604+0,5</t>
  </si>
  <si>
    <t>Bemerkungen zum Schnitt</t>
  </si>
  <si>
    <t>Berechnungssteuerung</t>
  </si>
  <si>
    <t>Gen+Calc+Les</t>
  </si>
  <si>
    <t>Gen Sperre</t>
  </si>
  <si>
    <t>Les Sperre</t>
  </si>
  <si>
    <r>
      <t>vorh.horiz. Stützkraft</t>
    </r>
    <r>
      <rPr>
        <vertAlign val="superscript"/>
        <sz val="10"/>
        <rFont val="Arial"/>
        <family val="2"/>
      </rPr>
      <t xml:space="preserve"> 1)</t>
    </r>
  </si>
  <si>
    <t>макс. количество арматуры:</t>
  </si>
  <si>
    <t>GZ1C StaSi GZ1B Material</t>
  </si>
  <si>
    <t>GZ1C Standsicherheit</t>
  </si>
  <si>
    <t>GZ1B Material</t>
  </si>
  <si>
    <t>γj Reibbeiwert dränierten Bodens</t>
  </si>
  <si>
    <t>GSP4 BS</t>
  </si>
  <si>
    <t xml:space="preserve"> 6-42 BS</t>
  </si>
  <si>
    <t>6(122) BS</t>
  </si>
  <si>
    <t>6(131) BS</t>
  </si>
  <si>
    <t>6(138) BS</t>
  </si>
  <si>
    <t>DWZ 335/500</t>
  </si>
  <si>
    <t>Z</t>
  </si>
  <si>
    <t>DWZ 335/600</t>
  </si>
  <si>
    <t>DWZ 335/700</t>
  </si>
  <si>
    <t>DWZ 225/500</t>
  </si>
  <si>
    <t>DWZ 225/600</t>
  </si>
  <si>
    <t>DWZ 225/700</t>
  </si>
  <si>
    <t>DWU 4 500</t>
  </si>
  <si>
    <t>DWU 3 500</t>
  </si>
  <si>
    <t>PAU 22 60</t>
  </si>
  <si>
    <t>PAU 24 60</t>
  </si>
  <si>
    <t>PAU 27 80</t>
  </si>
  <si>
    <t>HZ 575 A K12/18</t>
  </si>
  <si>
    <t>HZ 575 B K12/18</t>
  </si>
  <si>
    <t>HZ 575 C K12/18</t>
  </si>
  <si>
    <t>HZ 575 D K12/18</t>
  </si>
  <si>
    <t>HZ 775 A K12/18</t>
  </si>
  <si>
    <t>HZ 775 B K12/18</t>
  </si>
  <si>
    <t>HZ 775 C K12/18</t>
  </si>
  <si>
    <t>HZ 775 D K12/18</t>
  </si>
  <si>
    <t>GSP2 BS</t>
  </si>
  <si>
    <t>GSP3 BS</t>
  </si>
  <si>
    <t>Grenzmantelreibung Zugpfahl Sohle</t>
  </si>
  <si>
    <t>Grenzreibung Nagel</t>
  </si>
  <si>
    <t>Durchlässig keitsbeiwert  k</t>
  </si>
  <si>
    <t>Verpreßkörper-länge Anker</t>
  </si>
  <si>
    <t>Beton-aggressivität</t>
  </si>
  <si>
    <t>Stahl-aggressivität</t>
  </si>
  <si>
    <t>Aushub</t>
  </si>
  <si>
    <t>z-a</t>
  </si>
  <si>
    <t>z-GW</t>
  </si>
  <si>
    <t>Stützart</t>
  </si>
  <si>
    <t>The windows default printer is not available!</t>
  </si>
  <si>
    <t>Design excavation pit</t>
  </si>
  <si>
    <t>will be placed with consideration of the existing plates for the bond safety.</t>
  </si>
  <si>
    <t xml:space="preserve">For the calculation of the passive earth pressure the skin friction </t>
  </si>
  <si>
    <t xml:space="preserve">Umlagerung </t>
  </si>
  <si>
    <t>Korrfaktor Betonstahl</t>
  </si>
  <si>
    <t>2"</t>
  </si>
  <si>
    <t>2 1/4"</t>
  </si>
  <si>
    <t>00501012</t>
  </si>
  <si>
    <t>00501013</t>
  </si>
  <si>
    <t>00501020</t>
  </si>
  <si>
    <t>00501021</t>
  </si>
  <si>
    <t>00501022</t>
  </si>
  <si>
    <t>00501023</t>
  </si>
  <si>
    <t>00501030</t>
  </si>
  <si>
    <t>00501031</t>
  </si>
  <si>
    <t>00501032</t>
  </si>
  <si>
    <t>00501040</t>
  </si>
  <si>
    <t>Baugrund unter Wandfuss</t>
  </si>
  <si>
    <t>Soil below wall toe</t>
  </si>
  <si>
    <t>Plot Konstruktion</t>
  </si>
  <si>
    <t>Voll+Gleitkreis</t>
  </si>
  <si>
    <t>GW-Phase</t>
  </si>
  <si>
    <t>Trapez</t>
  </si>
  <si>
    <t>Ruhe1</t>
  </si>
  <si>
    <t>mod Trapez</t>
  </si>
  <si>
    <t>Trap/Recht</t>
  </si>
  <si>
    <t>Optimierung</t>
  </si>
  <si>
    <t>ca Schnittgröße</t>
  </si>
  <si>
    <t>ca Ankerkraft</t>
  </si>
  <si>
    <t>Trägernachweis MIP</t>
  </si>
  <si>
    <t>Elastisch</t>
  </si>
  <si>
    <t>Plastisch</t>
  </si>
  <si>
    <t>L-Schnitt-1 [m]</t>
  </si>
  <si>
    <t>L-Schnitt-2 [m]</t>
  </si>
  <si>
    <t>L-Schnitt-3 [m]</t>
  </si>
  <si>
    <t>L-Schnitt-4 [m]</t>
  </si>
  <si>
    <t>L-Schnitt-5 [m]</t>
  </si>
  <si>
    <t>L-Schnitt-6 [m]</t>
  </si>
  <si>
    <t>L-Schnitt-7 [m]</t>
  </si>
  <si>
    <t>L-Schnitt-8 [m]</t>
  </si>
  <si>
    <t>L-Schnitt-9 [m]</t>
  </si>
  <si>
    <t>L-Schnitt-10 [m]</t>
  </si>
  <si>
    <t>L-Schnitt-11 [m]</t>
  </si>
  <si>
    <t>L-Schnitt-12 [m]</t>
  </si>
  <si>
    <t>L-Schnitt-13 [m]</t>
  </si>
  <si>
    <t>L-Schnitt-14 [m]</t>
  </si>
  <si>
    <t>L-Schnitt-15 [m]</t>
  </si>
  <si>
    <t>Schnittlänge, Wandmassen</t>
  </si>
  <si>
    <t>Sohlfläche [m²]</t>
  </si>
  <si>
    <t>Sohlumfang [m]</t>
  </si>
  <si>
    <t>Bemessungsnorm</t>
  </si>
  <si>
    <t>Minderstärke MIP m</t>
  </si>
  <si>
    <t>contains a name of harddisk not equal to C:\ or D:\.</t>
  </si>
  <si>
    <t>contains names for sections.</t>
  </si>
  <si>
    <t>Widerstände1) ΣRd,i ³</t>
  </si>
  <si>
    <t>resistance1) ΣRd,i ³</t>
  </si>
  <si>
    <t>2 cross plates</t>
  </si>
  <si>
    <t>Grenzzustandsbedingung:</t>
  </si>
  <si>
    <t>styczna palisada ze zbrojeniem w kazdym palu</t>
  </si>
  <si>
    <t>sciana szczelinowa betonowana na miejscu</t>
  </si>
  <si>
    <t xml:space="preserve">sciana szczelinowa betonowana na miejscu z </t>
  </si>
  <si>
    <t>palisada z betonem natryskowym w ksztalcie luku</t>
  </si>
  <si>
    <t>bez kotwy</t>
  </si>
  <si>
    <t>GEWI  warstwa</t>
  </si>
  <si>
    <t>poziom rozpor</t>
  </si>
  <si>
    <t>b przod [cm]</t>
  </si>
  <si>
    <t>in Modul Fehler in der Eingabefolge :</t>
  </si>
  <si>
    <t>m zu Oberkante Wand</t>
  </si>
  <si>
    <t>Ergebnisdatei</t>
  </si>
  <si>
    <t>in  Zeile</t>
  </si>
  <si>
    <t>For the user Nominem Nominadum WalMan does not work!</t>
  </si>
  <si>
    <t xml:space="preserve"> Der Ansatz der Wasserdruck-verteilung auf die Wand berücksichtigt den Abbau des Wasserüberdruckes auf einen Restdruck. </t>
  </si>
  <si>
    <t>Durch Berücksichtigung der Bodenwichte in den stauenden Schichten mit der Wichte des wassergesättigten Bodens, wird der Gesamtdruck auf die Wand auf der sicheren Seite ermittelt.</t>
  </si>
  <si>
    <t xml:space="preserve">The assumption of the waterpressure considers the destressing of the waterpressure to a reduced value. </t>
  </si>
  <si>
    <t xml:space="preserve">The weight of the soil in these  layers is calculated with the total weight of soil and water. </t>
  </si>
  <si>
    <t>Permanenter Einstabanker</t>
  </si>
  <si>
    <t>Kraft Eignungsprüfung Ra,k [kN]/Ausnutzung [%]</t>
  </si>
  <si>
    <t>Kraft Abnahmeprüfung Pp [kN]/Ausnutzung [%]</t>
  </si>
  <si>
    <t>usuwac</t>
  </si>
  <si>
    <t>bez plotu</t>
  </si>
  <si>
    <t>E+grunt</t>
  </si>
  <si>
    <t>wielkosc plotu</t>
  </si>
  <si>
    <t xml:space="preserve">S T E C K T R Ä G E R B E M E S S U N G  Schnitt </t>
  </si>
  <si>
    <t>maximale Normalkraft:</t>
  </si>
  <si>
    <t>Anschnittmoment:</t>
  </si>
  <si>
    <t>Anschnittquerkraft:</t>
  </si>
  <si>
    <t>not BAUER</t>
  </si>
  <si>
    <t xml:space="preserve">C:\Statik\Stamak\LEER_EN_.xls is saved with actual values and formulas of an current project, to avoid problems, please save with ''Save WAL-File as'' at desired location . </t>
  </si>
  <si>
    <t xml:space="preserve"> enthaelt den alten Dateinamen </t>
  </si>
  <si>
    <t>Bitte den Dateinamen abändern.</t>
  </si>
  <si>
    <t xml:space="preserve"> is part of the filename </t>
  </si>
  <si>
    <t>ses sociétés filiales; 
2) Par autorisation spéciale écrite de l'auteur de ce projet; 
3) Au cas où un accord spécifique d'étude a été conclu.</t>
  </si>
  <si>
    <t>BAUER Spezialtiefbau GmbH     
Hauptverwaltung</t>
  </si>
  <si>
    <t>BAUER International    
Head office</t>
  </si>
  <si>
    <t>BAUER International    
Siège social</t>
  </si>
  <si>
    <t>Meerluft</t>
  </si>
  <si>
    <t>ungeschützt neben Straßen</t>
  </si>
  <si>
    <t>im GW</t>
  </si>
  <si>
    <t>Wechsel Binnenwasser</t>
  </si>
  <si>
    <t>im Meer</t>
  </si>
  <si>
    <t>Wechsel Meerwasser</t>
  </si>
  <si>
    <t>Bewehrung</t>
  </si>
  <si>
    <t>Chemie</t>
  </si>
  <si>
    <t>Expositionsklasse</t>
  </si>
  <si>
    <t>Einwirkung&amp;Beanspruchung</t>
  </si>
  <si>
    <t>LF</t>
  </si>
  <si>
    <t>γG,dst ungünstige ständige Einwirkungen</t>
  </si>
  <si>
    <t>γF Strömungskraft bei ungünstigem Untergrund</t>
  </si>
  <si>
    <t>γQ,dst ungünstige veränderliche Einwirkungen</t>
  </si>
  <si>
    <t>γG Ständige Einwirkungen allgemein</t>
  </si>
  <si>
    <t>γEog Ständige Einwirkungen aus Erdruhedruck</t>
  </si>
  <si>
    <t>γQ Ungünstige veränderliche Einwirkungen</t>
  </si>
  <si>
    <t>γG Ständige Einwirkungen</t>
  </si>
  <si>
    <t>GZ1B Widerstände</t>
  </si>
  <si>
    <t>γEp, Gr Erdwiderstand, Grundbruchwiderstand</t>
  </si>
  <si>
    <t>γGl Gleitwiderstand</t>
  </si>
  <si>
    <t>Empty borhole log selected!</t>
  </si>
  <si>
    <t>File</t>
  </si>
  <si>
    <t>TSVP28</t>
  </si>
  <si>
    <t>TSVP32</t>
  </si>
  <si>
    <t>TSVP40</t>
  </si>
  <si>
    <t>TSVP50</t>
  </si>
  <si>
    <t>TSVP63</t>
  </si>
  <si>
    <t>PESVP28</t>
  </si>
  <si>
    <t>PESVP32</t>
  </si>
  <si>
    <t>PESVP40</t>
  </si>
  <si>
    <t>PESVP50</t>
  </si>
  <si>
    <t>PESVP63</t>
  </si>
  <si>
    <t>PDSVP28</t>
  </si>
  <si>
    <t>PDSVP32</t>
  </si>
  <si>
    <t>PDSVP40</t>
  </si>
  <si>
    <t>PDSVP50</t>
  </si>
  <si>
    <t>PDSVP63</t>
  </si>
  <si>
    <t>StSteife</t>
  </si>
  <si>
    <t>BetSteife</t>
  </si>
  <si>
    <t>Strand</t>
  </si>
  <si>
    <t>Permanent</t>
  </si>
  <si>
    <t xml:space="preserve">0/1 </t>
  </si>
  <si>
    <t>Unit</t>
  </si>
  <si>
    <t>Corr Protect</t>
  </si>
  <si>
    <t>0/1/2</t>
  </si>
  <si>
    <t>f-yt</t>
  </si>
  <si>
    <t>f-sls</t>
  </si>
  <si>
    <t>N/mm²</t>
  </si>
  <si>
    <t>f-yk,02</t>
  </si>
  <si>
    <t>f-yk,01</t>
  </si>
  <si>
    <t>Full text german</t>
  </si>
  <si>
    <t>Full text english</t>
  </si>
  <si>
    <t>"</t>
  </si>
  <si>
    <t>Typ de</t>
  </si>
  <si>
    <t>Typ en</t>
  </si>
  <si>
    <t>multiple strand</t>
  </si>
  <si>
    <t>grubosc sklepienia</t>
  </si>
  <si>
    <t>L-przekroj-5-[m]</t>
  </si>
  <si>
    <t>L-przekroj-6-[m]</t>
  </si>
  <si>
    <t>L-przekroj-7-[m]</t>
  </si>
  <si>
    <t>L-przekroj-8-[m]</t>
  </si>
  <si>
    <t>spannung=</t>
  </si>
  <si>
    <t>Sicherheit gegen den Zutritt von Grundwasser in den Schlitz</t>
  </si>
  <si>
    <t>Steifenbreite B</t>
  </si>
  <si>
    <t>Steifenhöhe H</t>
  </si>
  <si>
    <t>$STEIC</t>
  </si>
  <si>
    <t>Imperfektion:</t>
  </si>
  <si>
    <t>Ausmitte Theorie II. Ordnung:</t>
  </si>
  <si>
    <t>Schnittkräfte Theorie II. Ordnung:</t>
  </si>
  <si>
    <t xml:space="preserve"> The wall is supported by </t>
  </si>
  <si>
    <t>switch to section only functional for opened WAL-file.</t>
  </si>
  <si>
    <t xml:space="preserve">Please cahnge the filename </t>
  </si>
  <si>
    <t>Sectional Imposed forces Theorie II.effect:</t>
  </si>
  <si>
    <t>Eccentric Theorie II. effect:</t>
  </si>
  <si>
    <t>Imperfection:</t>
  </si>
  <si>
    <t>Web b/t</t>
  </si>
  <si>
    <t>Welding thk.</t>
  </si>
  <si>
    <t>Tie plate</t>
  </si>
  <si>
    <t>Beam to Beam distance</t>
  </si>
  <si>
    <t>Live Load</t>
  </si>
  <si>
    <t>Strut slope º h</t>
  </si>
  <si>
    <t>Strut slope º v</t>
  </si>
  <si>
    <t>Strut spacing</t>
  </si>
  <si>
    <t>Strut height H</t>
  </si>
  <si>
    <t>Strut width B</t>
  </si>
  <si>
    <t>Tube</t>
  </si>
  <si>
    <t>Waler profile</t>
  </si>
  <si>
    <t xml:space="preserve">Analysis of strut </t>
  </si>
  <si>
    <t>Profile:</t>
  </si>
  <si>
    <t>slenderness of the bar</t>
  </si>
  <si>
    <t>Analysis of tie plates, waler:</t>
  </si>
  <si>
    <t>Lateral torsional buckling</t>
  </si>
  <si>
    <t>Flexural buckling</t>
  </si>
  <si>
    <t>Analysis:</t>
  </si>
  <si>
    <t>Boundary Conditions:</t>
  </si>
  <si>
    <t>Interim values:</t>
  </si>
  <si>
    <t>Axis</t>
  </si>
  <si>
    <t>Buckling curve y/z-axis:</t>
  </si>
  <si>
    <t>System value:</t>
  </si>
  <si>
    <t>Buckling length</t>
  </si>
  <si>
    <t>Eccentricity</t>
  </si>
  <si>
    <t>Strut spacing a =</t>
  </si>
  <si>
    <t>Stück,     Ø</t>
  </si>
  <si>
    <t>vorh. As =</t>
  </si>
  <si>
    <t>PFarch = Pile wall with shotcrete arch infill</t>
  </si>
  <si>
    <t>PFmiddle = Pile Wall with MIP infill at center</t>
  </si>
  <si>
    <t>PFMIPearthside = Pile Wall with MIP infill earth side</t>
  </si>
  <si>
    <t>TWMIPmiddle = MIP walls with inserted beams at center</t>
  </si>
  <si>
    <t>TWMIPearthside = Wall with beam &amp; MIP infill on earthside</t>
  </si>
  <si>
    <t>HZ 975 D K12/18</t>
  </si>
  <si>
    <t>HZ 575 A K24/18</t>
  </si>
  <si>
    <t>HZ 575 B K24/18</t>
  </si>
  <si>
    <t>HZ 575 C K24/18</t>
  </si>
  <si>
    <t>HZ 575 D K24/18</t>
  </si>
  <si>
    <t>HZ 775 A K24/18</t>
  </si>
  <si>
    <t>HZ 775 B K24/18</t>
  </si>
  <si>
    <t>HZ 775 C K24/18</t>
  </si>
  <si>
    <t>prostokat do skalowania x=</t>
  </si>
  <si>
    <t>Data applies to all sections! Data will be overwritten by the update! Will overwrite the automat!</t>
  </si>
  <si>
    <t>No beam with shotcrete gap filling!</t>
  </si>
  <si>
    <t>tiefliegende Feinstzementsohle</t>
  </si>
  <si>
    <t>Unterwasserbetonsohle mit Zugpfählen</t>
  </si>
  <si>
    <t>Andichtung an natürlichen Stauer</t>
  </si>
  <si>
    <t>Water press. BO excavation</t>
  </si>
  <si>
    <t>1) inf.: Weight with reduced specif. weight of soil</t>
  </si>
  <si>
    <t>Cover</t>
  </si>
  <si>
    <t>Hydrostatic uplift</t>
  </si>
  <si>
    <t>Layer thickn.</t>
  </si>
  <si>
    <t>Cover over cut off slab</t>
  </si>
  <si>
    <t>Weight forces:</t>
  </si>
  <si>
    <t>Specif. weight of soil</t>
  </si>
  <si>
    <t>Specific weight of submerged soil</t>
  </si>
  <si>
    <t>Cohesion c'</t>
  </si>
  <si>
    <t>Angle of shear friction</t>
  </si>
  <si>
    <t>Layer thickn. at BO excavation</t>
  </si>
  <si>
    <t>BO grout cut off slab</t>
  </si>
  <si>
    <t>Please save the project data with "Save WAL-file as"  in a WAL-file.</t>
  </si>
  <si>
    <t>No input data missing for the wall ,in comparison with the default .</t>
  </si>
  <si>
    <t xml:space="preserve">Entsprechend DIN1054 4.3.2 (2) 7. wird die Auflagerkraft im Boden aus der Differenz von Erd-, Wasserdruck, äusseren Lasten und evtl. Erdwiderstandskräfte auf der Wandrückseite mit den Stützkräften ermittelt. </t>
  </si>
  <si>
    <t>M I P - T R U S S B E A M</t>
  </si>
  <si>
    <t>No MIP-trussbeam!</t>
  </si>
  <si>
    <t>Dimensioning trussbeam</t>
  </si>
  <si>
    <t>Faktor Kohäsion</t>
  </si>
  <si>
    <t>$TRENP</t>
  </si>
  <si>
    <t>Controlling for the text addition to the automatic default text for the sheet ERL and SCHNITT!</t>
  </si>
  <si>
    <t>layers</t>
  </si>
  <si>
    <t>2 1/2"</t>
  </si>
  <si>
    <t>2 3/4"</t>
  </si>
  <si>
    <t>Profile Larssen</t>
  </si>
  <si>
    <t>Steel grade</t>
  </si>
  <si>
    <t>b Top [cm]</t>
  </si>
  <si>
    <t>b Middle [cm]</t>
  </si>
  <si>
    <t>Soil Nailing</t>
  </si>
  <si>
    <t>Inclination</t>
  </si>
  <si>
    <t>Witdth of influence =</t>
  </si>
  <si>
    <t>Materialsicherheit Stahl</t>
  </si>
  <si>
    <t>Anzahl Text</t>
  </si>
  <si>
    <t>Litze</t>
  </si>
  <si>
    <t>Litzen</t>
  </si>
  <si>
    <t>Anzahl Litzen</t>
  </si>
  <si>
    <t>Litzengruppe</t>
  </si>
  <si>
    <t>Ankerkraft</t>
  </si>
  <si>
    <t>Durchmesserindex</t>
  </si>
  <si>
    <t>Durchmesser</t>
  </si>
  <si>
    <t>SCH Long. rft. eartside</t>
  </si>
  <si>
    <t>SCH Long. rft airside</t>
  </si>
  <si>
    <t>in GW</t>
  </si>
  <si>
    <t>γGl Sliding resistance</t>
  </si>
  <si>
    <t xml:space="preserve">γM  Anchor strand resistance, </t>
  </si>
  <si>
    <t xml:space="preserve">γA Anchor groutbody resistance, </t>
  </si>
  <si>
    <t>γj Friction value, drained soil</t>
  </si>
  <si>
    <t>γc,cu Cohesion, undrained soil</t>
  </si>
  <si>
    <t xml:space="preserve">γM Anchor strand resistance </t>
  </si>
  <si>
    <t>Layer 1 Toe</t>
  </si>
  <si>
    <t>Layer 2 Toe</t>
  </si>
  <si>
    <t>Layer 3 Toe</t>
  </si>
  <si>
    <t xml:space="preserve">ANK Welding width </t>
  </si>
  <si>
    <t>ANK Plate layer</t>
  </si>
  <si>
    <t>ULS conditions with the elastic-plastic method DIN 18800 T1 for LF</t>
  </si>
  <si>
    <t>Excavation</t>
  </si>
  <si>
    <t>Waler layer</t>
  </si>
  <si>
    <t>Part rock/brick/concrete</t>
  </si>
  <si>
    <t>Placing</t>
  </si>
  <si>
    <t>Filling on top</t>
  </si>
  <si>
    <t>Trench width</t>
  </si>
  <si>
    <t>Cement-bentonit-supension</t>
  </si>
  <si>
    <t xml:space="preserve">Lattice girder </t>
  </si>
  <si>
    <t>EP material</t>
  </si>
  <si>
    <t>EP boring</t>
  </si>
  <si>
    <t xml:space="preserve">Very hard rock </t>
  </si>
  <si>
    <t>Partly silt</t>
  </si>
  <si>
    <t>Partly clay</t>
  </si>
  <si>
    <t>Partly gravel/sand</t>
  </si>
  <si>
    <t xml:space="preserve"> Calculation section forces, anchor length</t>
  </si>
  <si>
    <t>Calculation section forces</t>
  </si>
  <si>
    <t xml:space="preserve"> Calculation anchor length staggered support</t>
  </si>
  <si>
    <t xml:space="preserve">     C A L C U L A T I O N   I M P O S E D  F O R C E S </t>
  </si>
  <si>
    <t>Calculation anchor length</t>
  </si>
  <si>
    <t>Calculation underpinning</t>
  </si>
  <si>
    <t xml:space="preserve"> Calculation</t>
  </si>
  <si>
    <t>Anteil Sand/Kies</t>
  </si>
  <si>
    <t>Anteil Schluff</t>
  </si>
  <si>
    <t>Anteil Ton</t>
  </si>
  <si>
    <t>Anteil Fels/Mauerwerk/Beton</t>
  </si>
  <si>
    <t>Gurt Lage</t>
  </si>
  <si>
    <t>TITAN40/16</t>
  </si>
  <si>
    <t>TITAN52/26</t>
  </si>
  <si>
    <t>TITAN73/53</t>
  </si>
  <si>
    <t>TITAN103/78</t>
  </si>
  <si>
    <t>TITAN105/53</t>
  </si>
  <si>
    <t>GEWI 20 mm S500/550</t>
  </si>
  <si>
    <t>GEWI 20 mm S500/552</t>
  </si>
  <si>
    <t>GEWI+28 mm S670/800</t>
  </si>
  <si>
    <t>GEWI+30 mm S670/800</t>
  </si>
  <si>
    <t>GEWI+35 mm S670/800</t>
  </si>
  <si>
    <t>GEWI+43 mm S670/800</t>
  </si>
  <si>
    <t>GEWI+57,5 mm S670/800</t>
  </si>
  <si>
    <t>GEWI+63,5 mm S670/800</t>
  </si>
  <si>
    <t>00202420</t>
  </si>
  <si>
    <t>00202430</t>
  </si>
  <si>
    <t>Position Plan</t>
  </si>
  <si>
    <r>
      <t>Remark Sect</t>
    </r>
    <r>
      <rPr>
        <sz val="10"/>
        <color indexed="8"/>
        <rFont val="Arial"/>
        <family val="2"/>
      </rPr>
      <t>ion</t>
    </r>
  </si>
  <si>
    <t>Section</t>
  </si>
  <si>
    <t>1. Tragbew. Luft</t>
  </si>
  <si>
    <t>3. Grundbewehrung</t>
  </si>
  <si>
    <t xml:space="preserve">Lagen </t>
  </si>
  <si>
    <t>мусор</t>
  </si>
  <si>
    <t>каменная кладка</t>
  </si>
  <si>
    <t>сталь</t>
  </si>
  <si>
    <t>грунтовая вода</t>
  </si>
  <si>
    <t>каменистый</t>
  </si>
  <si>
    <t>гравелистый</t>
  </si>
  <si>
    <t xml:space="preserve">Es wird der aktive Erddruck in Ansatz gebracht. </t>
  </si>
  <si>
    <t xml:space="preserve">The active earth pressure is applied in the calculation. </t>
  </si>
  <si>
    <t>1. Basis</t>
  </si>
  <si>
    <t>2.1. General</t>
  </si>
  <si>
    <t>H-Beam walls</t>
  </si>
  <si>
    <t>00701042</t>
  </si>
  <si>
    <t>00702</t>
  </si>
  <si>
    <t>00702010</t>
  </si>
  <si>
    <t>00702020</t>
  </si>
  <si>
    <t>00702030</t>
  </si>
  <si>
    <t>00702040</t>
  </si>
  <si>
    <t>008</t>
  </si>
  <si>
    <r>
      <t>zug. Normalkraft N</t>
    </r>
    <r>
      <rPr>
        <vertAlign val="subscript"/>
        <sz val="10"/>
        <rFont val="Arial"/>
        <family val="2"/>
      </rPr>
      <t>LD</t>
    </r>
    <r>
      <rPr>
        <sz val="10"/>
        <rFont val="Arial"/>
        <family val="2"/>
      </rPr>
      <t xml:space="preserve"> =</t>
    </r>
  </si>
  <si>
    <r>
      <t>in der Tiefe z</t>
    </r>
    <r>
      <rPr>
        <vertAlign val="subscript"/>
        <sz val="10"/>
        <rFont val="Arial"/>
        <family val="2"/>
      </rPr>
      <t>L</t>
    </r>
    <r>
      <rPr>
        <sz val="10"/>
        <rFont val="Arial"/>
        <family val="2"/>
      </rPr>
      <t xml:space="preserve"> =</t>
    </r>
  </si>
  <si>
    <r>
      <t>zug. Normalkraft N</t>
    </r>
    <r>
      <rPr>
        <vertAlign val="subscript"/>
        <sz val="10"/>
        <rFont val="Arial"/>
        <family val="2"/>
      </rPr>
      <t>L</t>
    </r>
    <r>
      <rPr>
        <sz val="10"/>
        <rFont val="Arial"/>
        <family val="2"/>
      </rPr>
      <t xml:space="preserve"> =</t>
    </r>
  </si>
  <si>
    <t>$131</t>
  </si>
  <si>
    <t>Коэф. запаса по бетону</t>
  </si>
  <si>
    <t>помещ. стал. балки</t>
  </si>
  <si>
    <t xml:space="preserve">З А П О Л Н Е Н И Е   П О   А Р К Е    Разрез </t>
  </si>
  <si>
    <t>Шаг армированных свай</t>
  </si>
  <si>
    <t>Шаг свай</t>
  </si>
  <si>
    <t>Диаметр свай</t>
  </si>
  <si>
    <t>Секущиеся сваи</t>
  </si>
  <si>
    <t>MIP-толщина</t>
  </si>
  <si>
    <r>
      <t>Расстояние d</t>
    </r>
    <r>
      <rPr>
        <vertAlign val="subscript"/>
        <sz val="10"/>
        <color indexed="8"/>
        <rFont val="Arial"/>
        <family val="2"/>
      </rPr>
      <t>1</t>
    </r>
    <r>
      <rPr>
        <sz val="10"/>
        <color indexed="8"/>
        <rFont val="Arial"/>
        <family val="2"/>
      </rPr>
      <t xml:space="preserve"> до оси мет. элем.</t>
    </r>
  </si>
  <si>
    <t>Ошибка в геометрии арки: пролет очень маленький или большой!!!</t>
  </si>
  <si>
    <t>Высота арки:</t>
  </si>
  <si>
    <t xml:space="preserve">Толщ. арки </t>
  </si>
  <si>
    <t xml:space="preserve">Расст. от цент.стены до цент.арки = </t>
  </si>
  <si>
    <t>Радиус арки=</t>
  </si>
  <si>
    <t>Угол скольжения</t>
  </si>
  <si>
    <t xml:space="preserve">Сущ. устойчивость против скольжения </t>
  </si>
  <si>
    <t>Усилия в сечении:</t>
  </si>
  <si>
    <t>Попереч. сила в арке</t>
  </si>
  <si>
    <t>Анализ сжимающих усилий в бетоне:</t>
  </si>
  <si>
    <t>Прочность fck=</t>
  </si>
  <si>
    <t xml:space="preserve">Бетонное заполнение </t>
  </si>
  <si>
    <t xml:space="preserve"> заполнение </t>
  </si>
  <si>
    <t xml:space="preserve">Заполнение MIP </t>
  </si>
  <si>
    <t>Армир. свая</t>
  </si>
  <si>
    <t xml:space="preserve"> Сочет. нагр.</t>
  </si>
  <si>
    <t>Нагрузки Nd=</t>
  </si>
  <si>
    <t xml:space="preserve">Допустимое </t>
  </si>
  <si>
    <t xml:space="preserve">Данные справедливы для всех разрезов! </t>
  </si>
  <si>
    <t>B Материал заполнит. m</t>
  </si>
  <si>
    <t>Распределение давл. гр.</t>
  </si>
  <si>
    <t>эффект. глубина d</t>
  </si>
  <si>
    <t>Запас на заполнитель</t>
  </si>
  <si>
    <t>Мин. прочность</t>
  </si>
  <si>
    <t>Перемещение центра арки</t>
  </si>
  <si>
    <t xml:space="preserve">Die erdstatischen Nachweise der Baugrubenwände erfolgen mit den im weiteren aufgeführten Ansätzen. </t>
  </si>
  <si>
    <t>Kreis</t>
  </si>
  <si>
    <t>Eiprofil</t>
  </si>
  <si>
    <t>Maulprofil</t>
  </si>
  <si>
    <t>tan-Ausbreitung</t>
  </si>
  <si>
    <t xml:space="preserve">M I P -   G I T T E R T R Ä G E R B E M E S S U N G  Schnitt </t>
  </si>
  <si>
    <t>EA</t>
  </si>
  <si>
    <t>kN/m</t>
  </si>
  <si>
    <t>E</t>
  </si>
  <si>
    <t>fuer die globale Variable</t>
  </si>
  <si>
    <t xml:space="preserve"> ueber OK-Wand angegeben!</t>
  </si>
  <si>
    <t>ueber OK-Wand angegeben!</t>
  </si>
  <si>
    <t>Teilstueck von Schnitt</t>
  </si>
  <si>
    <t xml:space="preserve"> mueNN.</t>
  </si>
  <si>
    <t xml:space="preserve">For the determination of the active earth pressure, </t>
  </si>
  <si>
    <t xml:space="preserve"> are considered.</t>
  </si>
  <si>
    <t xml:space="preserve">earth press. at rest portion from </t>
  </si>
  <si>
    <t xml:space="preserve">earth press. at rest portions up to </t>
  </si>
  <si>
    <t xml:space="preserve"> is appied.</t>
  </si>
  <si>
    <t>Creation of an new WalManfile needs some time. Continue to create new WalManfile?</t>
  </si>
  <si>
    <t>For the top and bottom wall the selected borhole log is different.</t>
  </si>
  <si>
    <t xml:space="preserve">The follwing conspicuity of the input for picture clipping was recognized: </t>
  </si>
  <si>
    <t>Placing of default values is only possible after creating a project name with "Save WAL-file as".</t>
  </si>
  <si>
    <t>Schlitzwandlamellenbreite ls =</t>
  </si>
  <si>
    <t>Fließgrenze Tf =</t>
  </si>
  <si>
    <t>Oberkante der obersten Schicht</t>
  </si>
  <si>
    <t>Höhe der OK der obersten Schicht =</t>
  </si>
  <si>
    <t>Geländegeometrie</t>
  </si>
  <si>
    <t xml:space="preserve">Berme 1 </t>
  </si>
  <si>
    <t>Berme 2</t>
  </si>
  <si>
    <t>Berme 3</t>
  </si>
  <si>
    <t>Bauer SOB</t>
  </si>
  <si>
    <t xml:space="preserve">Сочет. нагр. по </t>
  </si>
  <si>
    <t>Шаг свай/балок в осях</t>
  </si>
  <si>
    <t xml:space="preserve">З А П О Л Н Е Н И Е   И З   Б Е Т О Н А      Разрез </t>
  </si>
  <si>
    <t xml:space="preserve">Шаг свай </t>
  </si>
  <si>
    <t xml:space="preserve">Величина удлинения = </t>
  </si>
  <si>
    <t>Нет заполнения по арке!!!</t>
  </si>
  <si>
    <t>З А П О Л Н Е Н И Е   П О   А Р К Е       Разрез</t>
  </si>
  <si>
    <t xml:space="preserve">Шаг парных балок </t>
  </si>
  <si>
    <t>Радиус арки:</t>
  </si>
  <si>
    <t xml:space="preserve">Нагрузка </t>
  </si>
  <si>
    <t>Сопротив.</t>
  </si>
  <si>
    <t xml:space="preserve">Допуст. напряжения </t>
  </si>
  <si>
    <t xml:space="preserve">Сущ. напряжения </t>
  </si>
  <si>
    <t>Стенка из отдельност. свай</t>
  </si>
  <si>
    <t>Стенка из отдельност. балок</t>
  </si>
  <si>
    <t>Нет MIP заполнения !!!</t>
  </si>
  <si>
    <t>H P I   -   А Р К А</t>
  </si>
  <si>
    <t xml:space="preserve">M I P   -   З А П О Л Н Е Н И Е  </t>
  </si>
  <si>
    <t xml:space="preserve">Расстояние в осях </t>
  </si>
  <si>
    <t>Ширина горизонтальной балки</t>
  </si>
  <si>
    <t xml:space="preserve">Ширина </t>
  </si>
  <si>
    <t>Толщина стены:</t>
  </si>
  <si>
    <t>1) min(topWall-z or z-BO Wall)</t>
  </si>
  <si>
    <r>
      <t>I</t>
    </r>
    <r>
      <rPr>
        <vertAlign val="subscript"/>
        <sz val="10"/>
        <rFont val="Arial"/>
        <family val="2"/>
      </rPr>
      <t>tor</t>
    </r>
  </si>
  <si>
    <r>
      <t>I</t>
    </r>
    <r>
      <rPr>
        <vertAlign val="subscript"/>
        <sz val="10"/>
        <rFont val="Arial"/>
        <family val="2"/>
      </rPr>
      <t>w</t>
    </r>
    <r>
      <rPr>
        <sz val="10"/>
        <rFont val="Arial"/>
        <family val="2"/>
      </rPr>
      <t>/1000</t>
    </r>
  </si>
  <si>
    <r>
      <t>cm</t>
    </r>
    <r>
      <rPr>
        <vertAlign val="superscript"/>
        <sz val="10"/>
        <rFont val="Arial"/>
        <family val="2"/>
      </rPr>
      <t>4</t>
    </r>
  </si>
  <si>
    <r>
      <t>cm</t>
    </r>
    <r>
      <rPr>
        <vertAlign val="superscript"/>
        <sz val="10"/>
        <rFont val="Arial"/>
        <family val="2"/>
      </rPr>
      <t>6</t>
    </r>
  </si>
  <si>
    <t xml:space="preserve">ProfiL </t>
  </si>
  <si>
    <t>Wy m</t>
  </si>
  <si>
    <t>Wy E</t>
  </si>
  <si>
    <t xml:space="preserve">g </t>
  </si>
  <si>
    <t>Iy m</t>
  </si>
  <si>
    <t>B</t>
  </si>
  <si>
    <t>B-Fl</t>
  </si>
  <si>
    <t>d-Fl</t>
  </si>
  <si>
    <t>d-St</t>
  </si>
  <si>
    <t>S-yfl</t>
  </si>
  <si>
    <t>I-HZ</t>
  </si>
  <si>
    <t>Typ</t>
  </si>
  <si>
    <t>Winkel</t>
  </si>
  <si>
    <t>cm³/m</t>
  </si>
  <si>
    <t>Defaults depends on the wall type: Do you want to overwrite the existing inputs and wall characteristic with the standart values for the "Control of Calculation" ?</t>
  </si>
  <si>
    <t>dirve consists of C:\ and D:\ drive. 
WallMann is executable only on drive C:\  or D:\ .Please Save there.</t>
  </si>
  <si>
    <t>existing. This is an error on excel sheet. The cell is empty. The macro tries to run with the default value.</t>
  </si>
  <si>
    <t>The calculation takes place with the profile of the bottom wall, for the section with upper profile!</t>
  </si>
  <si>
    <t>7. View actions: Bigger/smaller Text ,  Thicker/thinner Lines,Dark/light Background , Actual line info.</t>
  </si>
  <si>
    <t>6. Edit Section: Activating points, add points, delete points, change line to surface area.</t>
  </si>
  <si>
    <t>Program Error. Please contact the adminstrator.</t>
  </si>
  <si>
    <t>With the selected type of wall "Cut-off slab" is not meaningful. Please choose suitable type of wall.</t>
  </si>
  <si>
    <t xml:space="preserve">Datei mit WALLS-Schnittkraeften </t>
  </si>
  <si>
    <t xml:space="preserve"> enthaelt Schnittbezeichnungen.</t>
  </si>
  <si>
    <t>enthaelt Schnittbezeichnungen.</t>
  </si>
  <si>
    <t>enthaelt den String -&gt;Leer&lt;-!</t>
  </si>
  <si>
    <t>Leere Bohrung ausgewaehlt!</t>
  </si>
  <si>
    <t>Wanddaten unvollstaendig!</t>
  </si>
  <si>
    <t>Gesamtlaenge</t>
  </si>
  <si>
    <t>Teillaengen</t>
  </si>
  <si>
    <t>00401070</t>
  </si>
  <si>
    <t>00401080</t>
  </si>
  <si>
    <t>00401090</t>
  </si>
  <si>
    <t>00402</t>
  </si>
  <si>
    <t>00402010</t>
  </si>
  <si>
    <t>00402020</t>
  </si>
  <si>
    <t>00402030</t>
  </si>
  <si>
    <t>00402040</t>
  </si>
  <si>
    <t>00402050</t>
  </si>
  <si>
    <t xml:space="preserve">BAUER Spezialtiefbau Schweiz AG • CH   5405 Baden Dättwil  • Telefon +41 56 203 90 50 • Fax +41 56 203 90 59
</t>
  </si>
  <si>
    <t xml:space="preserve">BAUER Vietnam Ltd. • 124 Dien Bien Phu  • Tel 08 820 61 37 • Fax 08 820 61 38
</t>
  </si>
  <si>
    <t>Расчетная высота:</t>
  </si>
  <si>
    <t>Высота балки:</t>
  </si>
  <si>
    <t xml:space="preserve"> Арка</t>
  </si>
  <si>
    <t xml:space="preserve">Заполнение </t>
  </si>
  <si>
    <t xml:space="preserve">Опред. прочность σd </t>
  </si>
  <si>
    <r>
      <t>Номинал. прочность f</t>
    </r>
    <r>
      <rPr>
        <vertAlign val="subscript"/>
        <sz val="10"/>
        <rFont val="Arial"/>
        <family val="2"/>
      </rPr>
      <t xml:space="preserve">ck </t>
    </r>
  </si>
  <si>
    <t xml:space="preserve">Коэф. запаса по материалу </t>
  </si>
  <si>
    <t xml:space="preserve">согл. разрешению </t>
  </si>
  <si>
    <t xml:space="preserve">согл. DIN1045 </t>
  </si>
  <si>
    <t xml:space="preserve">Сжатие анкерн. плиты: </t>
  </si>
  <si>
    <t>Диаметр плиты:</t>
  </si>
  <si>
    <t xml:space="preserve">Усилие в креплении: </t>
  </si>
  <si>
    <t xml:space="preserve">Допуст. местн. сжимающая нагр.: </t>
  </si>
  <si>
    <t>Поперечные напряжения от местного сжатия поверхности воспринимаются арочным распором и нагрузками от фундамента.</t>
  </si>
  <si>
    <t xml:space="preserve">Расчет сжатия анкерной плиты: </t>
  </si>
  <si>
    <t>Перегружена!!!</t>
  </si>
  <si>
    <t xml:space="preserve">Прямоугольный </t>
  </si>
  <si>
    <t xml:space="preserve">Треугольный </t>
  </si>
  <si>
    <t xml:space="preserve">Сваи </t>
  </si>
  <si>
    <t xml:space="preserve">Обозначение балки </t>
  </si>
  <si>
    <t>Wahrscheinlich keine sinnvolle WALLS-Berechnung moeglich. WALLS-Eingabedatensatz manuell modifizieren!</t>
  </si>
  <si>
    <t>Die Skalierlaenge X oder Y ist kleiner gleich 0. Laengenangabe nicht moeglich!</t>
  </si>
  <si>
    <t>werden im weiteren unwiederbringlich die aktuellen Formeln geloescht!</t>
  </si>
  <si>
    <t>Sollen auch alle *X.xls und alle Eingabedateien geloescht werden?</t>
  </si>
  <si>
    <t>ist geoeffnet aber versteckt.WallMann Makros nicht lauffaehig.</t>
  </si>
  <si>
    <t>Ausfachungart</t>
  </si>
  <si>
    <t>unbewehrten Pfählen im</t>
  </si>
  <si>
    <t>Hochdruckinjektion</t>
  </si>
  <si>
    <t>high-press. injection</t>
  </si>
  <si>
    <t>Stützungsart</t>
  </si>
  <si>
    <t>Safety reinforced concrete</t>
  </si>
  <si>
    <t>Safety plain concrete</t>
  </si>
  <si>
    <t>Inserted steel beam</t>
  </si>
  <si>
    <t>Spacing of reinforced piles</t>
  </si>
  <si>
    <t>Spacing of piles</t>
  </si>
  <si>
    <t>Pile diameter</t>
  </si>
  <si>
    <t>Secant Pile</t>
  </si>
  <si>
    <t xml:space="preserve">MIP-Thickness </t>
  </si>
  <si>
    <r>
      <t>Distance d</t>
    </r>
    <r>
      <rPr>
        <vertAlign val="subscript"/>
        <sz val="10"/>
        <color indexed="8"/>
        <rFont val="Arial"/>
        <family val="2"/>
      </rPr>
      <t>1</t>
    </r>
    <r>
      <rPr>
        <sz val="10"/>
        <color indexed="8"/>
        <rFont val="Arial"/>
        <family val="2"/>
      </rPr>
      <t xml:space="preserve"> to the steel axis</t>
    </r>
  </si>
  <si>
    <t>Error in arch geometry: the arch span is too small or too large!!!</t>
  </si>
  <si>
    <t>Height of arch:</t>
  </si>
  <si>
    <t>Arch-Thickness</t>
  </si>
  <si>
    <t>Draftsman</t>
  </si>
  <si>
    <t>Uppr. Infill, EI</t>
  </si>
  <si>
    <t>Uppr.Infill</t>
  </si>
  <si>
    <t>BO uppr. infill.</t>
  </si>
  <si>
    <t>Excav. Phase 1</t>
  </si>
  <si>
    <t xml:space="preserve">Safety against hydrostatic uplift for high level Cut off  Section </t>
  </si>
  <si>
    <t>Ground or ground anchor overstressed!</t>
  </si>
  <si>
    <t>No high level cut off slab!</t>
  </si>
  <si>
    <t>Layer thickn. from BO excavation</t>
  </si>
  <si>
    <t>Thickness soil above cut off slab</t>
  </si>
  <si>
    <t>Thickness above water level</t>
  </si>
  <si>
    <t>Installation method</t>
  </si>
  <si>
    <t>1) Stückpositionsanzahl ist für die Teillängen 1 bis 15 aufgerundet ermittelt. Teilungsaufschlag nicht erforderlich</t>
  </si>
  <si>
    <t>Sichtfläche</t>
  </si>
  <si>
    <t>Kraft</t>
  </si>
  <si>
    <t>Länge Bohren</t>
  </si>
  <si>
    <t>Anzahl (BOV alle Lagen)</t>
  </si>
  <si>
    <t>Numbers (Nailing all layers)</t>
  </si>
  <si>
    <t>Abstand</t>
  </si>
  <si>
    <t>Gesamtlänge Bohren</t>
  </si>
  <si>
    <t>Ankerlagen</t>
  </si>
  <si>
    <t>Anzahl Steifenlagen</t>
  </si>
  <si>
    <t>Anzahl Steifen (alle)</t>
  </si>
  <si>
    <t xml:space="preserve">Betonstuetzung </t>
  </si>
  <si>
    <t>Rueckbau</t>
  </si>
  <si>
    <t>00901070</t>
  </si>
  <si>
    <t>00901080</t>
  </si>
  <si>
    <t>00901090</t>
  </si>
  <si>
    <t xml:space="preserve">Момент: </t>
  </si>
  <si>
    <t>Соотв. вертик. сила:</t>
  </si>
  <si>
    <t xml:space="preserve">Объедин. усилий в сечении: </t>
  </si>
  <si>
    <r>
      <t>Коэф. надежн. γ</t>
    </r>
    <r>
      <rPr>
        <vertAlign val="subscript"/>
        <sz val="10"/>
        <rFont val="Arial"/>
        <family val="2"/>
      </rPr>
      <t>G</t>
    </r>
    <r>
      <rPr>
        <sz val="10"/>
        <rFont val="Arial"/>
        <family val="2"/>
      </rPr>
      <t xml:space="preserve"> =</t>
    </r>
  </si>
  <si>
    <r>
      <t>Соотв. нормальная сила N</t>
    </r>
    <r>
      <rPr>
        <vertAlign val="subscript"/>
        <sz val="10"/>
        <rFont val="Arial"/>
        <family val="2"/>
      </rPr>
      <t>D</t>
    </r>
    <r>
      <rPr>
        <sz val="10"/>
        <rFont val="Arial"/>
        <family val="2"/>
      </rPr>
      <t xml:space="preserve"> =</t>
    </r>
  </si>
  <si>
    <t>Характеристики:</t>
  </si>
  <si>
    <t>Прочность бетона</t>
  </si>
  <si>
    <r>
      <t>Предел текучести стали f</t>
    </r>
    <r>
      <rPr>
        <vertAlign val="subscript"/>
        <sz val="10"/>
        <rFont val="Arial"/>
        <family val="2"/>
      </rPr>
      <t>yK</t>
    </r>
  </si>
  <si>
    <t>Диаметр сваи D</t>
  </si>
  <si>
    <t>Шаг арматурных стержней d1</t>
  </si>
  <si>
    <t>Длина дуги арматурн. каркаса</t>
  </si>
  <si>
    <t>Коэф. надеж. материалов</t>
  </si>
  <si>
    <t>Сущ. растяж. εB / εS  =</t>
  </si>
  <si>
    <r>
      <t>Треб. количество арматуры A</t>
    </r>
    <r>
      <rPr>
        <vertAlign val="subscript"/>
        <sz val="10"/>
        <rFont val="Arial"/>
        <family val="2"/>
      </rPr>
      <t>sL</t>
    </r>
    <r>
      <rPr>
        <sz val="10"/>
        <rFont val="Arial"/>
        <family val="2"/>
      </rPr>
      <t xml:space="preserve">  =</t>
    </r>
  </si>
  <si>
    <t>см. ссылку</t>
  </si>
  <si>
    <t>Принятая: продольная арматура</t>
  </si>
  <si>
    <t>Макс. армиров.</t>
  </si>
  <si>
    <t>Шт.,     Ø</t>
  </si>
  <si>
    <t>существ. As =</t>
  </si>
  <si>
    <t>Исходные данные согласно расчету WALLS</t>
  </si>
  <si>
    <t xml:space="preserve">Шаг свай: </t>
  </si>
  <si>
    <t>Соотв. момент:</t>
  </si>
  <si>
    <t>BMA</t>
  </si>
  <si>
    <t>BAUER Maschinen GmbH     
Hauptverwaltung</t>
  </si>
  <si>
    <t>Bauer Maschinen GmbH • D-86522 Schrobenhausen • Tel 08252/97-0 • Fax 08252/97-1516</t>
  </si>
  <si>
    <t>an under-water-concrete-slab</t>
  </si>
  <si>
    <t>Предельная текучесть поддерживающей суспензии =</t>
  </si>
  <si>
    <t>Хар-ки грунта</t>
  </si>
  <si>
    <t xml:space="preserve">№ слоя грунта </t>
  </si>
  <si>
    <t>Глубина верхней границы</t>
  </si>
  <si>
    <t>Вес грунта в ест. сост.</t>
  </si>
  <si>
    <t xml:space="preserve">Вес грунта под водой </t>
  </si>
  <si>
    <t xml:space="preserve">Угол вн. трения </t>
  </si>
  <si>
    <t>Просев грунта d10</t>
  </si>
  <si>
    <t xml:space="preserve">Группа грунтов </t>
  </si>
  <si>
    <t xml:space="preserve">Шаг расчета </t>
  </si>
  <si>
    <t>Мин. угол поверхн. скольжения =</t>
  </si>
  <si>
    <t>Макс. угол поверхн. скольжения =</t>
  </si>
  <si>
    <t>Измен. интервала угла поверхн. скольжения =</t>
  </si>
  <si>
    <t>Измен. интервала глубины расчета =</t>
  </si>
  <si>
    <t>Нагружение</t>
  </si>
  <si>
    <t>Поверх. нагр.=</t>
  </si>
  <si>
    <t>Лент. нагр. =</t>
  </si>
  <si>
    <t>Начало [x]</t>
  </si>
  <si>
    <t>Конец [x]</t>
  </si>
  <si>
    <t>Высота y</t>
  </si>
  <si>
    <t>Влияние</t>
  </si>
  <si>
    <t>Наложение нагрузок</t>
  </si>
  <si>
    <t>Диаграмма</t>
  </si>
  <si>
    <t xml:space="preserve">Расчетная глубина </t>
  </si>
  <si>
    <t xml:space="preserve">Угол поверхности скольжения </t>
  </si>
  <si>
    <t xml:space="preserve">Давление грунта </t>
  </si>
  <si>
    <t xml:space="preserve">Давление суспензии </t>
  </si>
  <si>
    <t xml:space="preserve">Запас </t>
  </si>
  <si>
    <t xml:space="preserve">Глубины фильтрации для каждого слоя </t>
  </si>
  <si>
    <t>Низ</t>
  </si>
  <si>
    <t>Градиент давл.</t>
  </si>
  <si>
    <t>Запас на доступ грунтовых вод в траншею</t>
  </si>
  <si>
    <t>eta(gw) &gt;= 1,05 , треб.</t>
  </si>
  <si>
    <t>Запас на скольжение отдельных частиц грунта или групп частиц</t>
  </si>
  <si>
    <t>Gravity base slab</t>
  </si>
  <si>
    <t xml:space="preserve">Teillaenge </t>
  </si>
  <si>
    <t xml:space="preserve">Teilflaeche von Schnitt </t>
  </si>
  <si>
    <t xml:space="preserve">Teilflache </t>
  </si>
  <si>
    <t>Part of length</t>
  </si>
  <si>
    <t>Part line from section</t>
  </si>
  <si>
    <t>Part aerea from section</t>
  </si>
  <si>
    <t>Part of aerea</t>
  </si>
  <si>
    <t>Eph increased active earthpressure sheet / concrete walls EB22</t>
  </si>
  <si>
    <t>Eph  increased active earthpressure soldier pile wall EB22</t>
  </si>
  <si>
    <t>B Gap infill material m</t>
  </si>
  <si>
    <t>Earth press. distribution</t>
  </si>
  <si>
    <t>Safety gap infill</t>
  </si>
  <si>
    <t>Minimum strength</t>
  </si>
  <si>
    <t>Relocation of centre of arch</t>
  </si>
  <si>
    <t>Load case after</t>
  </si>
  <si>
    <t>Lagen</t>
  </si>
  <si>
    <t>Längsbewehrungsreihe</t>
  </si>
  <si>
    <t>Bügelreihe</t>
  </si>
  <si>
    <t>Bewehrung erdseitig</t>
  </si>
  <si>
    <t>Bewehrung luftseitig</t>
  </si>
  <si>
    <t>Steckträgerabstand</t>
  </si>
  <si>
    <t>Wand-/Pfahldicke</t>
  </si>
  <si>
    <t>Analysis of concrete Compression stress:</t>
  </si>
  <si>
    <t>Strength fck =</t>
  </si>
  <si>
    <t>klasa betonu</t>
  </si>
  <si>
    <t>PF Zbroj.: 0-sym 1-asym</t>
  </si>
  <si>
    <t>warstwa gruntu</t>
  </si>
  <si>
    <t>srodowisko</t>
  </si>
  <si>
    <t>sciana metalowa</t>
  </si>
  <si>
    <t>sciana betonowa</t>
  </si>
  <si>
    <t>Spritzbetongewölbe</t>
  </si>
  <si>
    <t>Voûte en béton projeté</t>
  </si>
  <si>
    <t>Reiter</t>
  </si>
  <si>
    <t>rtm</t>
  </si>
  <si>
    <t>арочное заполнение из торкретбетона</t>
  </si>
  <si>
    <t xml:space="preserve"> enthaelt eine Laufwerksbezeichnung ungleich C:\ oder D:\. WallMann ist nur auf Laufwerk C:\ oder D:\ lauffaehig. Bitte dort abspeichern.</t>
  </si>
  <si>
    <t>01001011</t>
  </si>
  <si>
    <t>01001012</t>
  </si>
  <si>
    <t>01001013</t>
  </si>
  <si>
    <t>01001020</t>
  </si>
  <si>
    <t>01001021</t>
  </si>
  <si>
    <t>01001022</t>
  </si>
  <si>
    <t>01001023</t>
  </si>
  <si>
    <t>01001030</t>
  </si>
  <si>
    <t>01001031</t>
  </si>
  <si>
    <t>01001032</t>
  </si>
  <si>
    <t>01001033</t>
  </si>
  <si>
    <t>011</t>
  </si>
  <si>
    <t>01101</t>
  </si>
  <si>
    <t>01101010</t>
  </si>
  <si>
    <t>2.1. Allgemeines</t>
  </si>
  <si>
    <t xml:space="preserve"> with inserted steel beams</t>
  </si>
  <si>
    <t>TO ground</t>
  </si>
  <si>
    <t>z-GW Sohle</t>
  </si>
  <si>
    <t>Raster a</t>
  </si>
  <si>
    <t>UK unbewehrte Pfaehle</t>
  </si>
  <si>
    <t>einem natürlichen Stauer</t>
  </si>
  <si>
    <t>einem Unterbeton</t>
  </si>
  <si>
    <t>a base concrete</t>
  </si>
  <si>
    <t>einer Schwergewichtssohle</t>
  </si>
  <si>
    <t>Holz</t>
  </si>
  <si>
    <t>cisnienie graniczne</t>
  </si>
  <si>
    <t>bez</t>
  </si>
  <si>
    <t>1 lanca</t>
  </si>
  <si>
    <t>2 lanca</t>
  </si>
  <si>
    <t>D/a czesciowy</t>
  </si>
  <si>
    <t>scianka szczelna</t>
  </si>
  <si>
    <t>Horizontal</t>
  </si>
  <si>
    <t>Vertical</t>
  </si>
  <si>
    <t>Strut slope  ß =</t>
  </si>
  <si>
    <t>Strut slope α =</t>
  </si>
  <si>
    <t xml:space="preserve">Exist. bearing force = </t>
  </si>
  <si>
    <t>Position =</t>
  </si>
  <si>
    <t xml:space="preserve">S T R U T  CALCULATION  Section </t>
  </si>
  <si>
    <t>No strut!</t>
  </si>
  <si>
    <t>Height waler h</t>
  </si>
  <si>
    <t>Width waler b</t>
  </si>
  <si>
    <t xml:space="preserve">γQ,dst unfavorable temprory effects </t>
  </si>
  <si>
    <t>Eph at rest pressure sheet / concrete walls EB23</t>
  </si>
  <si>
    <t>reduced soilweight for uplift due to friction DIN1054</t>
  </si>
  <si>
    <t>Input</t>
  </si>
  <si>
    <t>Result</t>
  </si>
  <si>
    <t>Assumption</t>
  </si>
  <si>
    <t>Discription</t>
  </si>
  <si>
    <t>Page number</t>
  </si>
  <si>
    <t>Print Options</t>
  </si>
  <si>
    <t>Deep seated failure plane</t>
  </si>
  <si>
    <t>Slip circle</t>
  </si>
  <si>
    <t>Print bearing safety GEB</t>
  </si>
  <si>
    <t>Length of grout body</t>
  </si>
  <si>
    <t>n-Toe</t>
  </si>
  <si>
    <t>Tension pile</t>
  </si>
  <si>
    <t>Soil below excavation level</t>
  </si>
  <si>
    <t>Detailed dimensioning results --&gt; CAD-interface</t>
  </si>
  <si>
    <t>Boring length</t>
  </si>
  <si>
    <t>Strand length</t>
  </si>
  <si>
    <t>Shotcrete mesh rft</t>
  </si>
  <si>
    <t>Profile tension pile</t>
  </si>
  <si>
    <t>Profile strut</t>
  </si>
  <si>
    <t>Steel content</t>
  </si>
  <si>
    <t>Strut type</t>
  </si>
  <si>
    <t>Tube strut</t>
  </si>
  <si>
    <t xml:space="preserve">Pruefung der Dateneingaben Wandeigenschaften fuer </t>
  </si>
  <si>
    <t>8. Ausschneiden, Kopieren, Einfuegen von Linien</t>
  </si>
  <si>
    <t>Der Standartdrucker ist nicht verfuegbar!</t>
  </si>
  <si>
    <t>UK-Wand liegt ueber OK-Bohrung!</t>
  </si>
  <si>
    <t xml:space="preserve"> fuer WINWALLS nicht vorhanden!</t>
  </si>
  <si>
    <t>mueNN im Datensatz enthalten!</t>
  </si>
  <si>
    <t xml:space="preserve">D I M E N S I O N I N G  o f  A N C H O R S  Section  </t>
  </si>
  <si>
    <t>Sohlaussteifung mit abschnittsweise eingebautem und tragenden Unterbeton mit hoher Frühfestigkeit</t>
  </si>
  <si>
    <t>Steuerung akt. Schnitt</t>
  </si>
  <si>
    <t>7. Ansichtaktionen: Groesser, Kleiner, dicke/duenne Linien, Hintergrund dunkler/heller, Info ueber aktuelle Linie</t>
  </si>
  <si>
    <t>Vorhandene Eingaben Ankerlaengen auf 8 m zuruecksetzen?</t>
  </si>
  <si>
    <t>Ja    - Einlesen fortsetzen und UK-Wand ueberschreiben</t>
  </si>
  <si>
    <t>Sollen die Standartvorbelegungen uebernommen werden?</t>
  </si>
  <si>
    <t>eta(i)min  &gt;= 1,0 demand</t>
  </si>
  <si>
    <t>eta(a)min &gt;= 1,1 demand</t>
  </si>
  <si>
    <t>enthalten.  Dies ist ein Fehler auf Blattebene. Zelle wird als leer eingelesen. Das Makro versucht mit dem zurueckgesetztem Datenwert</t>
  </si>
  <si>
    <t>10. Nach Aufhebem Blattschutz koennen mit Zeichenleiste beliebige grafische Objekte in den Plan uebernommen werden</t>
  </si>
  <si>
    <t>6. Schnittaktionen: Einzelpunkte aktivieren, Punkt anfuegen, Punkt loeschen, Schnittlinie in Flaeche umwandeln</t>
  </si>
  <si>
    <t>enthaelt keine gueltige PROG-Steuereintrag oder ist nicht vom Typ WLS, DBU oder DAT!</t>
  </si>
  <si>
    <t>Daten fuer die Vorbelegung fehlen. Es ist keine Kote der Baugrubensohle vorhanden!</t>
  </si>
  <si>
    <t>Daten fuer die Vorbelegung fehlen. Es ist keine Kote der Wandoberkante vorhanden!</t>
  </si>
  <si>
    <t>Daten fuer die Vorbelegung fehlen. Es ist keine Stuetzungstypeingabe vorhanden!</t>
  </si>
  <si>
    <t>Phase Schnitt/Gleitkreis</t>
  </si>
  <si>
    <t>Verminderung angehängter Erdkörper</t>
  </si>
  <si>
    <t>infolge Wandgewicht</t>
  </si>
  <si>
    <t>vertikaler Erddruck</t>
  </si>
  <si>
    <t>a high level HPI cut off slab</t>
  </si>
  <si>
    <t>a deep level fine cement cut off slab</t>
  </si>
  <si>
    <t>Compression arch</t>
  </si>
  <si>
    <t>Permissible comp.of partial area:</t>
  </si>
  <si>
    <t>Analysis of the comp. of the anchor plate</t>
  </si>
  <si>
    <t>Overstressed!!!!</t>
  </si>
  <si>
    <t>Rectangle</t>
  </si>
  <si>
    <t>Triangle</t>
  </si>
  <si>
    <t>Piles</t>
  </si>
  <si>
    <t>Beam designation</t>
  </si>
  <si>
    <t>Wall construction</t>
  </si>
  <si>
    <t xml:space="preserve">Anchor Head Recess </t>
  </si>
  <si>
    <t>d-Plate/Support anchor</t>
  </si>
  <si>
    <t>Input values according to the WALLS-calculation and estimated normal force:</t>
  </si>
  <si>
    <t>WallMann ist nur auf Laufwerk C:\ oder D:\ lauffaehig. Bitte nach dort umspeichern vor Start der Berechnung.</t>
  </si>
  <si>
    <t>Bei dem ausgewaehlten Wandtyp ist eine dichte Sohle nicht sinnvoll. Zuerst geeignete Wandart vorbelegen.</t>
  </si>
  <si>
    <t xml:space="preserve">Folgende Auffaelligkeiten durch vorgegebene Schnittbegrenzunngen sind erkannt worden: </t>
  </si>
  <si>
    <t>Entreprise principale</t>
  </si>
  <si>
    <t>Sicherheiten:</t>
  </si>
  <si>
    <t>Einbindung T =</t>
  </si>
  <si>
    <t>L 605-0,5</t>
  </si>
  <si>
    <t>L 605+0,5</t>
  </si>
  <si>
    <t>L 606-0,5</t>
  </si>
  <si>
    <t>L 606+0,5</t>
  </si>
  <si>
    <t>L 607 n-0,5</t>
  </si>
  <si>
    <t>L 607 n+0,5</t>
  </si>
  <si>
    <t>00901050</t>
  </si>
  <si>
    <t>00901060</t>
  </si>
  <si>
    <t>g-Wendel</t>
  </si>
  <si>
    <t>g-Konstruktiv</t>
  </si>
  <si>
    <t>Bogen</t>
  </si>
  <si>
    <t>max Bewehrung/Bogen</t>
  </si>
  <si>
    <t>sciana &amp; wypelnienie</t>
  </si>
  <si>
    <t>PZC 13</t>
  </si>
  <si>
    <t>PZC 18</t>
  </si>
  <si>
    <t>Anchor spacing</t>
  </si>
  <si>
    <t>Anchor section area</t>
  </si>
  <si>
    <t>Exist. Hori. supporting force 1)</t>
  </si>
  <si>
    <t>Exist. Anchor force Ek</t>
  </si>
  <si>
    <t>Interpretation acc. to</t>
  </si>
  <si>
    <t>Nietfeld</t>
  </si>
  <si>
    <t>Dajana</t>
  </si>
  <si>
    <t>Dajana.Nietfeld@bauer.de</t>
  </si>
  <si>
    <t>Ръководител проект:</t>
  </si>
  <si>
    <t>Дата:</t>
  </si>
  <si>
    <t>чертеж No:</t>
  </si>
  <si>
    <t xml:space="preserve"> The infill walling takes place with </t>
  </si>
  <si>
    <t xml:space="preserve"> Die Wände werden gestützt durch </t>
  </si>
  <si>
    <t xml:space="preserve"> The walls are supported with </t>
  </si>
  <si>
    <t xml:space="preserve"> Die Baugrubensohle muß gegen das Grundwasser abgedichtet werden. Die Abdichtung der Sohle erfolgt mittels </t>
  </si>
  <si>
    <t>Einflußbreite</t>
  </si>
  <si>
    <t xml:space="preserve">Safety against hydrostatic uplift deep level cut off slab  Section </t>
  </si>
  <si>
    <t xml:space="preserve">safety against hydrostatic uplift of gravity base slab  Section </t>
  </si>
  <si>
    <t>No deep level cut off slab!</t>
  </si>
  <si>
    <t>Ultimate end bearing</t>
  </si>
  <si>
    <t>Ultimate skin friction</t>
  </si>
  <si>
    <t>Supported=1 freestanding =0</t>
  </si>
  <si>
    <t>Safety pile compression</t>
  </si>
  <si>
    <t>Safety ground failure</t>
  </si>
  <si>
    <t>Bore diameter/wall thick.</t>
  </si>
  <si>
    <t>Fixity depth</t>
  </si>
  <si>
    <t>Beam-/Pile-spacing</t>
  </si>
  <si>
    <t xml:space="preserve">Spread </t>
  </si>
  <si>
    <r>
      <t>Skin friction surface A</t>
    </r>
    <r>
      <rPr>
        <vertAlign val="subscript"/>
        <sz val="10"/>
        <color indexed="8"/>
        <rFont val="Arial"/>
        <family val="2"/>
      </rPr>
      <t>s</t>
    </r>
    <r>
      <rPr>
        <sz val="10"/>
        <color indexed="8"/>
        <rFont val="Arial"/>
        <family val="2"/>
      </rPr>
      <t>=</t>
    </r>
  </si>
  <si>
    <t xml:space="preserve">Reduce angle of passive wall friction! </t>
  </si>
  <si>
    <t>Width</t>
  </si>
  <si>
    <t>Depth</t>
  </si>
  <si>
    <t>Vertical force</t>
  </si>
  <si>
    <r>
      <t>Failure load   R</t>
    </r>
    <r>
      <rPr>
        <vertAlign val="subscript"/>
        <sz val="10"/>
        <color indexed="8"/>
        <rFont val="Arial"/>
        <family val="2"/>
      </rPr>
      <t>n,k</t>
    </r>
    <r>
      <rPr>
        <sz val="10"/>
        <color indexed="8"/>
        <rFont val="Arial"/>
        <family val="2"/>
      </rPr>
      <t xml:space="preserve"> =</t>
    </r>
  </si>
  <si>
    <t>Shape factor for circle</t>
  </si>
  <si>
    <t>Bearing Capacity factor</t>
  </si>
  <si>
    <t>Slab area</t>
  </si>
  <si>
    <t>Fixity depth =</t>
  </si>
  <si>
    <t>Type of wall foot:</t>
  </si>
  <si>
    <t>Sum</t>
  </si>
  <si>
    <t>Wet specif. weight γ' [KN/m³]</t>
  </si>
  <si>
    <t>Pile wall with reinforced shotcrete infill</t>
  </si>
  <si>
    <t>Underpinning with jet grouting (HPI)</t>
  </si>
  <si>
    <t>Shotcrete wall supported with the anchor plates</t>
  </si>
  <si>
    <t>Anchor layer</t>
  </si>
  <si>
    <t>too slender</t>
  </si>
  <si>
    <t>Explanations</t>
  </si>
  <si>
    <t>Do you want to delete all *X.xls and input files?</t>
  </si>
  <si>
    <t>contains umlauts or other special characters!</t>
  </si>
  <si>
    <t>Puits de décompression</t>
  </si>
  <si>
    <t>pozo de derramamiento</t>
  </si>
  <si>
    <t>Lance de drainage</t>
  </si>
  <si>
    <t>lanza de drenaje</t>
  </si>
  <si>
    <t xml:space="preserve">
2. Gesonderte Auftragserteilung mit schriftlicher Bestätigung durch den Verfasser.
3. Sofern der Auftrag zur Tragwerksplanung unabhängig von der Auftragserteilung der durchzufuhren-
den Bauleistung erteilt worden  ist.</t>
  </si>
  <si>
    <t>Ungarisch/Magyar</t>
  </si>
  <si>
    <t>construction analysis</t>
  </si>
  <si>
    <t>Anzahl</t>
  </si>
  <si>
    <t>$H</t>
  </si>
  <si>
    <t>Wandart</t>
  </si>
  <si>
    <t>Axel</t>
  </si>
  <si>
    <t>Axel.Friedrich@bauer.de</t>
  </si>
  <si>
    <t>Wolfgang</t>
  </si>
  <si>
    <t>Снижение внутренней несущей способности сваи</t>
  </si>
  <si>
    <t xml:space="preserve">Макс. снижение арочн. эффекта плиты </t>
  </si>
  <si>
    <t>Снижение на кажд. сваю закрепленного тела грунта</t>
  </si>
  <si>
    <t>Определ. снижение</t>
  </si>
  <si>
    <t xml:space="preserve">Снижение благодаря площ. плиты </t>
  </si>
  <si>
    <t>Снижение на кажд. сваю</t>
  </si>
  <si>
    <t>Разгрузка внутренней несущей способности каждой сваи</t>
  </si>
  <si>
    <t>Верх инъецированный ПФЗ</t>
  </si>
  <si>
    <t xml:space="preserve">Тип анкера </t>
  </si>
  <si>
    <t>Диаметр сваи на выдерг.</t>
  </si>
  <si>
    <t>Вес сваи при поднятии</t>
  </si>
  <si>
    <t>Гор. поддерж. усилие в плите</t>
  </si>
  <si>
    <t>Прочность ПФЗ</t>
  </si>
  <si>
    <t>Плита оголовка</t>
  </si>
  <si>
    <t>Суммар. допуски</t>
  </si>
  <si>
    <t>Сниж. стена/ПФЗ</t>
  </si>
  <si>
    <t>Снижение относ. тела грунта</t>
  </si>
  <si>
    <t>Коэф. зап. сваи на выдерг.</t>
  </si>
  <si>
    <t>Запас против скольжения</t>
  </si>
  <si>
    <t>Боковое трение</t>
  </si>
  <si>
    <t>сущ. σ ПФЗ</t>
  </si>
  <si>
    <t>допуст. σ ПФЗ</t>
  </si>
  <si>
    <t>сущ. τ ПФЗ</t>
  </si>
  <si>
    <t>допуст. τ ПФЗ</t>
  </si>
  <si>
    <t>Осредн. расчет грунта</t>
  </si>
  <si>
    <t>Треб. длина один. сваи</t>
  </si>
  <si>
    <t>Треб. длина ряда свай</t>
  </si>
  <si>
    <t>Треб. длина группы свай</t>
  </si>
  <si>
    <t>Треб. длина боков. трения</t>
  </si>
  <si>
    <t>Индекс типа сваи на выдерг.</t>
  </si>
  <si>
    <t>Индекс балки</t>
  </si>
  <si>
    <t xml:space="preserve">Сечение </t>
  </si>
  <si>
    <t xml:space="preserve">Индекс </t>
  </si>
  <si>
    <t>Пост. микросваи, прост. защ. от коррозии</t>
  </si>
  <si>
    <t>Пост. микросваи, двойн. защ. от коррозии</t>
  </si>
  <si>
    <t xml:space="preserve">Лицензия </t>
  </si>
  <si>
    <t xml:space="preserve">Диаметр стержня </t>
  </si>
  <si>
    <t xml:space="preserve">Сред. вес грунта </t>
  </si>
  <si>
    <t>№ слоя ниже плиты</t>
  </si>
  <si>
    <t>Радиус</t>
  </si>
  <si>
    <t>Конус</t>
  </si>
  <si>
    <t>Свая</t>
  </si>
  <si>
    <t>Группа рядов</t>
  </si>
  <si>
    <t xml:space="preserve">Эквивалент. ширина </t>
  </si>
  <si>
    <t>Прямоугол. параллелеп.</t>
  </si>
  <si>
    <t xml:space="preserve">Клин </t>
  </si>
  <si>
    <t>Группа</t>
  </si>
  <si>
    <t>Силы в сваях</t>
  </si>
  <si>
    <t>Вертикальные точки нагрузки</t>
  </si>
  <si>
    <t>Боков. трение по заглубл.</t>
  </si>
  <si>
    <t>Граничные условия    Запас против поднятия:</t>
  </si>
  <si>
    <t xml:space="preserve">Расчет крепл. ПФЗ анкерами: </t>
  </si>
  <si>
    <t>Вес закрепленного грунта</t>
  </si>
  <si>
    <t>Граничные условия   Запас по выдергиванию:</t>
  </si>
  <si>
    <t>Граничные условия Разрушение свай на выдергив. по материалу:</t>
  </si>
  <si>
    <t>Определяющее для длины свай</t>
  </si>
  <si>
    <t xml:space="preserve">  Слой от 1 до </t>
  </si>
  <si>
    <t xml:space="preserve">Ширина влияния = </t>
  </si>
  <si>
    <t>Нет обвязочного пояса !!!</t>
  </si>
  <si>
    <t>Р А С Ч Е Т   О Б В Я З О Ч Н О Г О   П О Я С А    Разрез</t>
  </si>
  <si>
    <t xml:space="preserve">Наклон обвяз. балки </t>
  </si>
  <si>
    <t>Сущ. гор. линейная нагр.</t>
  </si>
  <si>
    <t>Сущ. несущая сила A</t>
  </si>
  <si>
    <t>Расстояние  e</t>
  </si>
  <si>
    <t>Упруг. решение для внутренних усилий</t>
  </si>
  <si>
    <t>Пластич. решение для внутренних усилий</t>
  </si>
  <si>
    <t xml:space="preserve">Опред. напряжений: </t>
  </si>
  <si>
    <t>Коэф. запаса на сопротивление:</t>
  </si>
  <si>
    <t>Уравнения граничных условий составлены с помощью пласт.-пласт. метода, согл. DIN 18800 T1</t>
  </si>
  <si>
    <t>Расчет с помощью упруг.-упруг. метода, согл. DIN 18800 T1</t>
  </si>
  <si>
    <t xml:space="preserve">contains names of sections </t>
  </si>
  <si>
    <t xml:space="preserve">Soldier beams wall </t>
  </si>
  <si>
    <t>Layout Plan</t>
  </si>
  <si>
    <t>Drawn: Wallmann</t>
  </si>
  <si>
    <t>Limit skin friction tension  pile - cut off slab</t>
  </si>
  <si>
    <t>Pile wall with shotcrete arch infill</t>
  </si>
  <si>
    <t xml:space="preserve">Sheet pile with waler inserted in a trench </t>
  </si>
  <si>
    <t>Pile Wall with MIP infill behind axis on earth side</t>
  </si>
  <si>
    <r>
      <t xml:space="preserve">shotcrete wall with </t>
    </r>
    <r>
      <rPr>
        <sz val="10"/>
        <color indexed="10"/>
        <rFont val="Arial"/>
        <family val="2"/>
      </rPr>
      <t>facing panel</t>
    </r>
  </si>
  <si>
    <t>SPW = Sheet pile wall</t>
  </si>
  <si>
    <t>SPWwaler = Sheet pile wall with waler</t>
  </si>
  <si>
    <t>PFMIPhalf on earthside = Pile Wall with MIP infill behind axis on earth side</t>
  </si>
  <si>
    <t>RTBW Timber</t>
  </si>
  <si>
    <t>BTBW Timber</t>
  </si>
  <si>
    <t>BTBW Shotcrete</t>
  </si>
  <si>
    <t>PFShotcrete</t>
  </si>
  <si>
    <t>PFarch</t>
  </si>
  <si>
    <t>N Point Load</t>
  </si>
  <si>
    <t>C Cut off slab [kN/m]</t>
  </si>
  <si>
    <t>BO-Guide wall</t>
  </si>
  <si>
    <t xml:space="preserve">Auftriebssicherheit hochliegende Sohle  Schnitt </t>
  </si>
  <si>
    <t>Sohldaten:</t>
  </si>
  <si>
    <t>OK Sohle:</t>
  </si>
  <si>
    <t>UK Sohle:</t>
  </si>
  <si>
    <t>Pfahlwichte unter Auftrieb:</t>
  </si>
  <si>
    <t>1) inf: Gewicht mit abgeminderter Bodenwichte sup: Gewicht mit nicht abgeminderter Bodenwichte</t>
  </si>
  <si>
    <t>Geometrie angehängter Erdkörper:</t>
  </si>
  <si>
    <t>Projektant :</t>
  </si>
  <si>
    <t>Kierownik budowy</t>
  </si>
  <si>
    <t>Data :</t>
  </si>
  <si>
    <t>Rys. Nr</t>
  </si>
  <si>
    <t>Es sind Zusatzbindebleche für</t>
  </si>
  <si>
    <t>kN zur Verbundsicherung erforderlich!</t>
  </si>
  <si>
    <r>
      <t>Moment erdseitig M</t>
    </r>
    <r>
      <rPr>
        <vertAlign val="subscript"/>
        <sz val="10"/>
        <rFont val="Arial"/>
        <family val="2"/>
      </rPr>
      <t>ED</t>
    </r>
    <r>
      <rPr>
        <sz val="10"/>
        <rFont val="Arial"/>
        <family val="2"/>
      </rPr>
      <t xml:space="preserve"> =</t>
    </r>
  </si>
  <si>
    <r>
      <t>Moment luftseitig M</t>
    </r>
    <r>
      <rPr>
        <vertAlign val="subscript"/>
        <sz val="10"/>
        <rFont val="Arial"/>
        <family val="2"/>
      </rPr>
      <t xml:space="preserve">LD </t>
    </r>
    <r>
      <rPr>
        <sz val="10"/>
        <rFont val="Arial"/>
        <family val="2"/>
      </rPr>
      <t>=</t>
    </r>
  </si>
  <si>
    <r>
      <t>zug. Normalkraft N</t>
    </r>
    <r>
      <rPr>
        <vertAlign val="subscript"/>
        <sz val="10"/>
        <rFont val="Arial"/>
        <family val="2"/>
      </rPr>
      <t>ED</t>
    </r>
    <r>
      <rPr>
        <sz val="10"/>
        <rFont val="Arial"/>
        <family val="2"/>
      </rPr>
      <t xml:space="preserve"> =</t>
    </r>
  </si>
  <si>
    <t>Chemical</t>
  </si>
  <si>
    <t>Resistance</t>
  </si>
  <si>
    <t>Exposure Class</t>
  </si>
  <si>
    <t>Longitudinal rft.</t>
  </si>
  <si>
    <t xml:space="preserve">Stirrup </t>
  </si>
  <si>
    <t>Soil layer</t>
  </si>
  <si>
    <t>Shotcrete support</t>
  </si>
  <si>
    <t>Total HPI-volume</t>
  </si>
  <si>
    <t xml:space="preserve">     B E R E C H N U N G    D E R   S C H N I T T G R O E S S E N</t>
  </si>
  <si>
    <t>Schnitt auf Höhe Baugrubensohle:</t>
  </si>
  <si>
    <t>Bodenkennwerte:</t>
  </si>
  <si>
    <t>AZ 46</t>
  </si>
  <si>
    <t>AZ 48</t>
  </si>
  <si>
    <t>AZ 50</t>
  </si>
  <si>
    <t>1BXN BS</t>
  </si>
  <si>
    <t>Einstab 18</t>
  </si>
  <si>
    <t>HEA200</t>
  </si>
  <si>
    <t>HEA220</t>
  </si>
  <si>
    <t>00403</t>
  </si>
  <si>
    <t>00403010</t>
  </si>
  <si>
    <t>00403020</t>
  </si>
  <si>
    <t>00404</t>
  </si>
  <si>
    <t>00404010</t>
  </si>
  <si>
    <t>m2</t>
  </si>
  <si>
    <t>00404020</t>
  </si>
  <si>
    <t>00404030</t>
  </si>
  <si>
    <t>00404040</t>
  </si>
  <si>
    <t>Max. thickn.</t>
  </si>
  <si>
    <t>Concrete height</t>
  </si>
  <si>
    <t>Trench area</t>
  </si>
  <si>
    <t>Trench height</t>
  </si>
  <si>
    <t>Reinforcing bar</t>
  </si>
  <si>
    <t>Nbr nail layers</t>
  </si>
  <si>
    <t>Anchor type</t>
  </si>
  <si>
    <t>Grid a</t>
  </si>
  <si>
    <t>Grid b &gt; a</t>
  </si>
  <si>
    <t>Opti. Anchor</t>
  </si>
  <si>
    <t>∆γ' Uplift</t>
  </si>
  <si>
    <t>Redistribution Eah</t>
  </si>
  <si>
    <t>Soilstrut [cm]</t>
  </si>
  <si>
    <t>Anchor ditch</t>
  </si>
  <si>
    <t>Support type</t>
  </si>
  <si>
    <t>l Anchor</t>
  </si>
  <si>
    <t>Arrang anchor</t>
  </si>
  <si>
    <t>Level of zero</t>
  </si>
  <si>
    <t>x2s-Slope</t>
  </si>
  <si>
    <t>x1s-Slope</t>
  </si>
  <si>
    <t>zs-Slope</t>
  </si>
  <si>
    <t>Support</t>
  </si>
  <si>
    <t>z-Slab1</t>
  </si>
  <si>
    <t>z-Slab2</t>
  </si>
  <si>
    <t>Dim. standard</t>
  </si>
  <si>
    <t>MIP-Arch.optimiz.</t>
  </si>
  <si>
    <t>Slight</t>
  </si>
  <si>
    <t>Emty</t>
  </si>
  <si>
    <t>Print control</t>
  </si>
  <si>
    <t>1. Page</t>
  </si>
  <si>
    <t>Nr.1.Chapter</t>
  </si>
  <si>
    <t>Empty lines TXT</t>
  </si>
  <si>
    <t>White Percentage</t>
  </si>
  <si>
    <t>Water Pressure</t>
  </si>
  <si>
    <t>currency</t>
  </si>
  <si>
    <t>€</t>
  </si>
  <si>
    <t>$</t>
  </si>
  <si>
    <t>Dhs</t>
  </si>
  <si>
    <t>Sfr</t>
  </si>
  <si>
    <t>Griwna</t>
  </si>
  <si>
    <t>Sloty</t>
  </si>
  <si>
    <t>C$</t>
  </si>
  <si>
    <t>anchor</t>
  </si>
  <si>
    <t>temp.TITAN-anchor 30/16 mm S460/470</t>
  </si>
  <si>
    <t>temp.TITAN-anchor 30/11 mm S460/580</t>
  </si>
  <si>
    <t>temp.TITAN-anchor 40/20 mm S460/590</t>
  </si>
  <si>
    <t>temp.TITAN-anchor 40/16 mm S460/590</t>
  </si>
  <si>
    <t>temp.TITAN-anchor 52/26 mm S460/550</t>
  </si>
  <si>
    <t>temp.TITAN-anchor 73/53 mm S460/590</t>
  </si>
  <si>
    <t>temp.TITAN-anchor 103/78 mm S460/500</t>
  </si>
  <si>
    <t>temp.TITAN-anchor 103/53 mm S460/500</t>
  </si>
  <si>
    <t>heads</t>
  </si>
  <si>
    <t>anchorhead to 600 kN</t>
  </si>
  <si>
    <t>anchorhead to 1000 kN</t>
  </si>
  <si>
    <t>anchorhead to 1400 kN</t>
  </si>
  <si>
    <t>Es wird bei Spund- und massiven Wänden eine Umlagerung der Lasten bis unter die Baugrubensohle vorgenommen.</t>
  </si>
  <si>
    <t xml:space="preserve">Bei der Berechnung des Erwiderstandes wird die Wandreibung </t>
  </si>
  <si>
    <t>wynik</t>
  </si>
  <si>
    <t>poziom zera</t>
  </si>
  <si>
    <t xml:space="preserve">x1s - lawa </t>
  </si>
  <si>
    <t>x2s - lawa</t>
  </si>
  <si>
    <t>zs - lawa</t>
  </si>
  <si>
    <t>podparcie</t>
  </si>
  <si>
    <t>typ podparcia</t>
  </si>
  <si>
    <t>TM2x0,6"</t>
  </si>
  <si>
    <t>Statische Berechnung Verbauarbeiten</t>
  </si>
  <si>
    <t>Kap.</t>
  </si>
  <si>
    <t>Inhalt</t>
  </si>
  <si>
    <t>Seiten</t>
  </si>
  <si>
    <t>Grundlagen</t>
  </si>
  <si>
    <t xml:space="preserve">The top of the wall with </t>
  </si>
  <si>
    <t xml:space="preserve"> mNN liegt unter dem Grundwasserspiegel der Bohrung </t>
  </si>
  <si>
    <t xml:space="preserve"> mit einem GW-Stand  von </t>
  </si>
  <si>
    <t>BAUER Internacional    
Oficina principal</t>
  </si>
  <si>
    <t>Bauherr</t>
  </si>
  <si>
    <t>Maître de l'ouvrage</t>
  </si>
  <si>
    <t>Mandante</t>
  </si>
  <si>
    <t>Auftraggeber</t>
  </si>
  <si>
    <t>Anteil sehr harter Fels</t>
  </si>
  <si>
    <t>Soft/hard rock part</t>
  </si>
  <si>
    <t>Index Steife</t>
  </si>
  <si>
    <t>Strut index</t>
  </si>
  <si>
    <t>Quantity</t>
  </si>
  <si>
    <t>00403030</t>
  </si>
  <si>
    <t>00403040</t>
  </si>
  <si>
    <t>Length of the reinforcement cage</t>
  </si>
  <si>
    <t>Total length, empty boring</t>
  </si>
  <si>
    <t>Length concrete</t>
  </si>
  <si>
    <t>Empty boring</t>
  </si>
  <si>
    <t>Plain pile</t>
  </si>
  <si>
    <t>Reinforced pile</t>
  </si>
  <si>
    <t>Area Cut-off Wall</t>
  </si>
  <si>
    <t>Height Cut-off Wall</t>
  </si>
  <si>
    <t>|nserted</t>
  </si>
  <si>
    <t xml:space="preserve">Main infill </t>
  </si>
  <si>
    <t xml:space="preserve">Insert infill </t>
  </si>
  <si>
    <t>Length</t>
  </si>
  <si>
    <t>Type of profile</t>
  </si>
  <si>
    <t>Profile/beam</t>
  </si>
  <si>
    <t>Number/beam</t>
  </si>
  <si>
    <t>Weight per lin.m.</t>
  </si>
  <si>
    <t>Length struts (mass)</t>
  </si>
  <si>
    <t>No. of struts (all)</t>
  </si>
  <si>
    <t>сондаж MIP D=</t>
  </si>
  <si>
    <t>пясъкобето D=</t>
  </si>
  <si>
    <t>стена от секантни пилоти</t>
  </si>
  <si>
    <t>шлицова стена</t>
  </si>
  <si>
    <t>торкрет</t>
  </si>
  <si>
    <t>Aenderungen des Officeschnittschnitt trotzdem durch neues Generieren ueberschreiben?</t>
  </si>
  <si>
    <t>PU12 10/10</t>
  </si>
  <si>
    <t>PU28</t>
  </si>
  <si>
    <t>PU28+1</t>
  </si>
  <si>
    <t>Auslegung nach</t>
  </si>
  <si>
    <t>Bemessung Zugglied</t>
  </si>
  <si>
    <t>Gesamtzuggliedlänge</t>
  </si>
  <si>
    <t>incl. Überstand</t>
  </si>
  <si>
    <t>Vertikale Ankerkraft</t>
  </si>
  <si>
    <t>Sicherheit Einwirkung</t>
  </si>
  <si>
    <t>bruk</t>
  </si>
  <si>
    <t>zwir,zageszczony</t>
  </si>
  <si>
    <t>zwir,luzny</t>
  </si>
  <si>
    <t>piasek,zageszczony</t>
  </si>
  <si>
    <t>piasek, sredniozageszczony</t>
  </si>
  <si>
    <t>piasek,luzny</t>
  </si>
  <si>
    <t>zwir,sredniozageszczony</t>
  </si>
  <si>
    <t>pyl, zwarty</t>
  </si>
  <si>
    <t>pyl polzwarty</t>
  </si>
  <si>
    <t>Rk</t>
  </si>
  <si>
    <t>kN</t>
  </si>
  <si>
    <t>m</t>
  </si>
  <si>
    <t>Extension</t>
  </si>
  <si>
    <t>Skala 1 :</t>
  </si>
  <si>
    <t>poglebienie</t>
  </si>
  <si>
    <t>a - kotwy [m]</t>
  </si>
  <si>
    <t>poziom zero</t>
  </si>
  <si>
    <t>wynik fazy</t>
  </si>
  <si>
    <t>przekroj fazy</t>
  </si>
  <si>
    <t>Definicje do obliczen</t>
  </si>
  <si>
    <t>wspolczynnik podloza fad</t>
  </si>
  <si>
    <t>parcie gruntu</t>
  </si>
  <si>
    <t>kotwa nad rozpora =90º</t>
  </si>
  <si>
    <t>∆L kotwy gdy a &gt;2,5m</t>
  </si>
  <si>
    <t>TG - oznaczanie dla  UKW</t>
  </si>
  <si>
    <t>wypelnienie</t>
  </si>
  <si>
    <t>zawiesina</t>
  </si>
  <si>
    <t>zawiesina cementowo - bentonitowa</t>
  </si>
  <si>
    <t>D- wiertla [cm]</t>
  </si>
  <si>
    <t>metoda</t>
  </si>
  <si>
    <t xml:space="preserve">D - </t>
  </si>
  <si>
    <t>∆Dlugosc-kotwy[m]</t>
  </si>
  <si>
    <t>b gorne  [cm]</t>
  </si>
  <si>
    <t>z zagiecia</t>
  </si>
  <si>
    <t>b srodkowe [cm]</t>
  </si>
  <si>
    <t>nachylenie</t>
  </si>
  <si>
    <t>Reduction of inner bearing capacity of the pile</t>
  </si>
  <si>
    <t>PU32</t>
  </si>
  <si>
    <t>γB Geotextile</t>
  </si>
  <si>
    <t>γN,Z Soilnails, Rockbolts, Tens. Piles</t>
  </si>
  <si>
    <t>GZ1C  Check stability</t>
  </si>
  <si>
    <t>γB Resistance geotextile</t>
  </si>
  <si>
    <t>γEog Permanent loading, at rest pressure</t>
  </si>
  <si>
    <t>γPt Pile tens. resistance</t>
  </si>
  <si>
    <t>γPc Pile comp. resistance</t>
  </si>
  <si>
    <t>γEp, Gr Passive / Bearing resistance</t>
  </si>
  <si>
    <t>γG Permanent loading</t>
  </si>
  <si>
    <t>Loads &amp; Actions</t>
  </si>
  <si>
    <t>Range of sea-level</t>
  </si>
  <si>
    <t>Angle bearing reinforcement</t>
  </si>
  <si>
    <t>Angle mistake</t>
  </si>
  <si>
    <t>Panel length</t>
  </si>
  <si>
    <t>Length cage</t>
  </si>
  <si>
    <t>Corrosion reduction [mm]</t>
  </si>
  <si>
    <t xml:space="preserve">Corrosion reduction </t>
  </si>
  <si>
    <t>Spacing beams m</t>
  </si>
  <si>
    <t>Welding length [mm]</t>
  </si>
  <si>
    <t>Nominal strength fck [MN/m²]</t>
  </si>
  <si>
    <t>Recess anchorhead cm</t>
  </si>
  <si>
    <t>L 604 n</t>
  </si>
  <si>
    <t>L 606 n</t>
  </si>
  <si>
    <t>L 22 10/10</t>
  </si>
  <si>
    <t>L 43</t>
  </si>
  <si>
    <t>PU12</t>
  </si>
  <si>
    <t>PU18-1</t>
  </si>
  <si>
    <t>PU22-1</t>
  </si>
  <si>
    <t>PU28-1</t>
  </si>
  <si>
    <t>effective depth d1</t>
  </si>
  <si>
    <t>REBAR28</t>
  </si>
  <si>
    <t>REBAR20</t>
  </si>
  <si>
    <t>Rebar</t>
  </si>
  <si>
    <t>REBAR25</t>
  </si>
  <si>
    <t>REBAR32</t>
  </si>
  <si>
    <t>REBAR40</t>
  </si>
  <si>
    <t xml:space="preserve">Biegebemessung  S c h l i t z w a n d   Schnitt </t>
  </si>
  <si>
    <t>System:</t>
  </si>
  <si>
    <t>Bemessungslänge Erde:</t>
  </si>
  <si>
    <t>Bemessungslänge Luft:</t>
  </si>
  <si>
    <t>Länge Bew.-Korb b =</t>
  </si>
  <si>
    <t>Betondeckung c =</t>
  </si>
  <si>
    <t>statische Höhe h =</t>
  </si>
  <si>
    <t>Betonfertigteil</t>
  </si>
  <si>
    <t>Planks precast</t>
  </si>
  <si>
    <t>Exceeded by:</t>
  </si>
  <si>
    <t>Wire mesh</t>
  </si>
  <si>
    <t>Required</t>
  </si>
  <si>
    <t>Redistribution gap filling</t>
  </si>
  <si>
    <t>Shotcrete thk.</t>
  </si>
  <si>
    <t>Distance from centerline of retaining wall to center of arch</t>
  </si>
  <si>
    <t>Arch radius =</t>
  </si>
  <si>
    <t>Excav.Phase 2</t>
  </si>
  <si>
    <t>Excav. Phase 3</t>
  </si>
  <si>
    <t>Excav. Phase 4</t>
  </si>
  <si>
    <t>Excav. Phase 5</t>
  </si>
  <si>
    <t>Excav.Phase 6</t>
  </si>
  <si>
    <t>Lr. 1 Cut off</t>
  </si>
  <si>
    <t>Lr. 2 Cut off</t>
  </si>
  <si>
    <t>Lr. 3 Cut off</t>
  </si>
  <si>
    <t>Lr. 4  Cut off</t>
  </si>
  <si>
    <t>Infill Material</t>
  </si>
  <si>
    <t>Analysis of MIP beams</t>
  </si>
  <si>
    <t>L-Section-1-[m]</t>
  </si>
  <si>
    <t>L-Section-2-[m]</t>
  </si>
  <si>
    <t>L-Section-3-[m]</t>
  </si>
  <si>
    <t>Coniferous wood</t>
  </si>
  <si>
    <r>
      <t>Safety resistance timber γ</t>
    </r>
    <r>
      <rPr>
        <vertAlign val="subscript"/>
        <sz val="10"/>
        <color indexed="8"/>
        <rFont val="Arial"/>
        <family val="2"/>
      </rPr>
      <t>M</t>
    </r>
    <r>
      <rPr>
        <sz val="10"/>
        <color indexed="8"/>
        <rFont val="Arial"/>
        <family val="2"/>
      </rPr>
      <t xml:space="preserve"> =</t>
    </r>
  </si>
  <si>
    <t>Strength</t>
  </si>
  <si>
    <t>Quality class</t>
  </si>
  <si>
    <t>Value</t>
  </si>
  <si>
    <t>Single calculation</t>
  </si>
  <si>
    <t>Page</t>
  </si>
  <si>
    <t>Section designation</t>
  </si>
  <si>
    <t>Earth press. distribution for lagging</t>
  </si>
  <si>
    <t>Redistribution earth press. wall</t>
  </si>
  <si>
    <t>Safety timber</t>
  </si>
  <si>
    <t>Adaption factor for the earth press. distribution γEa =</t>
  </si>
  <si>
    <t xml:space="preserve"> Redistribution </t>
  </si>
  <si>
    <t>Timber thk. cm</t>
  </si>
  <si>
    <t>Type of lagging</t>
  </si>
  <si>
    <t>Timber thk.</t>
  </si>
  <si>
    <t xml:space="preserve"> Timber strength class</t>
  </si>
  <si>
    <t>Section forces:</t>
  </si>
  <si>
    <t>Relevant moment</t>
  </si>
  <si>
    <t>Изгибная жесткость при образовании трещин получена из общей жесткости сжатой зоны MIP-стены и балок. Отношение EIII/EIT дает повышение жесткости балок через  MIP-стенку.</t>
  </si>
  <si>
    <t>1) мин(верх.ст.-z или z-низ ст.)</t>
  </si>
  <si>
    <t xml:space="preserve">Соответствующие вертикальные силы определены с </t>
  </si>
  <si>
    <t>Эмпирич. величина (BAUER) для грунтобетона с выс. содержанием песка и цемента</t>
  </si>
  <si>
    <t>4) Снижение ок. 50% для закрепления по Блюму</t>
  </si>
  <si>
    <t>Lмакс соотв. наиб. длина пролет</t>
  </si>
  <si>
    <t>Длина пролета</t>
  </si>
  <si>
    <t>z-нижний анкер</t>
  </si>
  <si>
    <t>z Подошва</t>
  </si>
  <si>
    <t>Отм. дна котл.</t>
  </si>
  <si>
    <t xml:space="preserve">Низ стены </t>
  </si>
  <si>
    <t>Оборачиваемость</t>
  </si>
  <si>
    <t>TMIP расчет</t>
  </si>
  <si>
    <t>Наиб. длина пролета</t>
  </si>
  <si>
    <t>Р А С Ч Е Т   M I P - Р Е Ш Е Т Ч А Т Ы Х   Б А Л О К    Разрез</t>
  </si>
  <si>
    <t>Нет MIP-решетчатых балок!!!</t>
  </si>
  <si>
    <t>макс. H-давление</t>
  </si>
  <si>
    <t xml:space="preserve">Опред. решетчатых балок </t>
  </si>
  <si>
    <t>Опред. сварных швов</t>
  </si>
  <si>
    <t>Нет стены из свай!!!</t>
  </si>
  <si>
    <t>Р А С Ч Е Т   С В А И      Разрез</t>
  </si>
  <si>
    <t>Шаг свай:</t>
  </si>
  <si>
    <t>mono bar 20</t>
  </si>
  <si>
    <t>temp SN 20</t>
  </si>
  <si>
    <t>temp SN 25</t>
  </si>
  <si>
    <t>temp SN 28</t>
  </si>
  <si>
    <t>temp SN 32</t>
  </si>
  <si>
    <t>Einstab 25</t>
  </si>
  <si>
    <t>Einstab 28</t>
  </si>
  <si>
    <t>mono bar 25</t>
  </si>
  <si>
    <t>mono bar 28</t>
  </si>
  <si>
    <t>temporärer Einstab-Anker 20 mm S425/500</t>
  </si>
  <si>
    <t>temporary mono bar-Anchor 20 mm S425/500</t>
  </si>
  <si>
    <t>fy 425</t>
  </si>
  <si>
    <t>temporärer Einstab-Anker 25 mm S425/500</t>
  </si>
  <si>
    <t>temporary mono bar-Anchor 25 mm S425/500</t>
  </si>
  <si>
    <t>temporärer Einstab-Anker 28 mm S425/500</t>
  </si>
  <si>
    <t>temporary mono bar-Anchor 28 mm S425/500</t>
  </si>
  <si>
    <t>temporärer Einstab-Anker 32 mm S425/500</t>
  </si>
  <si>
    <t>temporary mono bar-Anchor 32 mm S425/500</t>
  </si>
  <si>
    <t>Cut off slab</t>
  </si>
  <si>
    <t>Strut</t>
  </si>
  <si>
    <t>Average specif. weight of soil</t>
  </si>
  <si>
    <t>Bar diameter</t>
  </si>
  <si>
    <t>License</t>
  </si>
  <si>
    <t>Permanent micropile, double corrosion protected</t>
  </si>
  <si>
    <t>Permanent micropile, single corrosion protected</t>
  </si>
  <si>
    <t>Cross section</t>
  </si>
  <si>
    <t>Index beam</t>
  </si>
  <si>
    <t>Safety factor steel</t>
  </si>
  <si>
    <t>Index Type of tension pile</t>
  </si>
  <si>
    <t>Necess. length skin friction</t>
  </si>
  <si>
    <t>Necess. length group of piles</t>
  </si>
  <si>
    <t>Necess. length row of piles</t>
  </si>
  <si>
    <t>Distance e</t>
  </si>
  <si>
    <t>exist. Bearing force A</t>
  </si>
  <si>
    <t>exist. Horiz. linear load</t>
  </si>
  <si>
    <t>Waler slope</t>
  </si>
  <si>
    <t xml:space="preserve">W A L E R   D I M E N S I O N I N G  Section </t>
  </si>
  <si>
    <t>No waler!</t>
  </si>
  <si>
    <t xml:space="preserve">  Layer 1 to </t>
  </si>
  <si>
    <t>Decisive for pile length</t>
  </si>
  <si>
    <t>Boundary conditions Material failure tension pile:</t>
  </si>
  <si>
    <t>00601010</t>
  </si>
  <si>
    <t>00601020</t>
  </si>
  <si>
    <t>Die sich aus den Gleichgewichtsbedingungen in der Regel aufbauenden Zugkräfte des Trägers werden über Verbundspannun-gen in die MIP-Wand abgeleitet. Diese werden folgend nachgewiesen.</t>
  </si>
  <si>
    <t>1-Fr 0-Hr</t>
  </si>
  <si>
    <t>The vertical capacity is verified at the level of the wall toe / or concrete plug by checking the safety against ground failure</t>
  </si>
  <si>
    <t>Sachverständigengutachten zu Betonkorrosion erforderlich</t>
  </si>
  <si>
    <t xml:space="preserve">Mit diesem Ansatz wird der Nachweis der Gebrauchstauglichkeit näherungsweise geführt. </t>
  </si>
  <si>
    <t>With this approach the deformations of the wall are estimated.</t>
  </si>
  <si>
    <t>Auflagerbreite</t>
  </si>
  <si>
    <t>Kein Sum-V Nachweis angefordert!</t>
  </si>
  <si>
    <t>Tiefe</t>
  </si>
  <si>
    <t>Breite</t>
  </si>
  <si>
    <t>Wandreibungswinkel passiv reduzieren!</t>
  </si>
  <si>
    <t>Schlitzfläche</t>
  </si>
  <si>
    <t>Betonierhöhe</t>
  </si>
  <si>
    <t>Maximale Dicke</t>
  </si>
  <si>
    <t>HDI-Volumen</t>
  </si>
  <si>
    <t>Gesamt HDI-Volumen</t>
  </si>
  <si>
    <t>Spritzbetonsicherung</t>
  </si>
  <si>
    <t>Umfang Sohle</t>
  </si>
  <si>
    <t>Sohldicke</t>
  </si>
  <si>
    <t>Ankerraster</t>
  </si>
  <si>
    <t>Steifen</t>
  </si>
  <si>
    <t>struts</t>
  </si>
  <si>
    <t>einer tiefliegenden Weichgelsohle</t>
  </si>
  <si>
    <t>einer hochliegenden HDI-Sohle</t>
  </si>
  <si>
    <t>einer tiefliegenden Feinstzementsohle</t>
  </si>
  <si>
    <t>Stück Anker</t>
  </si>
  <si>
    <t>Länge OKSohl-UKAnk</t>
  </si>
  <si>
    <t>Zusammenfassung Stützung</t>
  </si>
  <si>
    <t>Leerschlitz</t>
  </si>
  <si>
    <t>$TXT</t>
  </si>
  <si>
    <t xml:space="preserve"> Berechnung Unterfangung</t>
  </si>
  <si>
    <t xml:space="preserve">Для определения активного давления грунта </t>
  </si>
  <si>
    <t>Seitennummern</t>
  </si>
  <si>
    <t>Weißanteil</t>
  </si>
  <si>
    <t>H Tx-Schnitt</t>
  </si>
  <si>
    <t>Lasten</t>
  </si>
  <si>
    <t>Höhen</t>
  </si>
  <si>
    <t>Texte</t>
  </si>
  <si>
    <t>Druckoptionen</t>
  </si>
  <si>
    <t>Leerseiten Skizzen</t>
  </si>
  <si>
    <t>Leerseiten Berechnung</t>
  </si>
  <si>
    <t>Leerseiten Nachweise</t>
  </si>
  <si>
    <t>Tiefe Gleitfuge</t>
  </si>
  <si>
    <t>все</t>
  </si>
  <si>
    <t>посл. этап</t>
  </si>
  <si>
    <t>Структура печати</t>
  </si>
  <si>
    <t>посл.+поверх. скольж.</t>
  </si>
  <si>
    <t>ГВ-фаза</t>
  </si>
  <si>
    <t>Трапец.</t>
  </si>
  <si>
    <t>В покое1</t>
  </si>
  <si>
    <t>Мод. трапец.</t>
  </si>
  <si>
    <t>Трап./Прямоуг.</t>
  </si>
  <si>
    <t>Оптимизация</t>
  </si>
  <si>
    <t>ср. размер разреза</t>
  </si>
  <si>
    <t>ср. усилие в крепл.</t>
  </si>
  <si>
    <t>Анализ MIP балок</t>
  </si>
  <si>
    <t>Упругий</t>
  </si>
  <si>
    <t>Пластичный</t>
  </si>
  <si>
    <t>перемещение</t>
  </si>
  <si>
    <t>L-Разрез-1-[м]</t>
  </si>
  <si>
    <t>L-Разрез-2-[м]</t>
  </si>
  <si>
    <t>L-Разрез-3-[м]</t>
  </si>
  <si>
    <t>L-Разрез-4-[м]</t>
  </si>
  <si>
    <t>L-Разрез-5-[м]</t>
  </si>
  <si>
    <t>L-Разрез-6-[м]</t>
  </si>
  <si>
    <t xml:space="preserve">The geotechnical calculations are carried out according to the new set of standards. Live loads &gt; 10 kN/m² are enlarged with the relation of the safety factor or the live load to permanent load. This calculation according to the new </t>
  </si>
  <si>
    <r>
      <t>Festlegekraft P</t>
    </r>
    <r>
      <rPr>
        <vertAlign val="subscript"/>
        <sz val="10"/>
        <rFont val="Arial"/>
        <family val="2"/>
      </rPr>
      <t>0</t>
    </r>
  </si>
  <si>
    <t>сопротивление 1) ΣRd,i ³</t>
  </si>
  <si>
    <t>нагрузки ΣEd,i =</t>
  </si>
  <si>
    <t>kotwa</t>
  </si>
  <si>
    <t>Suma V</t>
  </si>
  <si>
    <t>opaska</t>
  </si>
  <si>
    <t>rozpora</t>
  </si>
  <si>
    <t>przemieszczenia</t>
  </si>
  <si>
    <t>liczba U&amp;H</t>
  </si>
  <si>
    <t>profile Larssena</t>
  </si>
  <si>
    <t>klasa stali</t>
  </si>
  <si>
    <t xml:space="preserve">TMIP - </t>
  </si>
  <si>
    <t>H - profile  [m]</t>
  </si>
  <si>
    <t xml:space="preserve">γG,dst unfavorable permanent effects </t>
  </si>
  <si>
    <t xml:space="preserve">Die Berechnung erfolgt mit gemittelten k-Werten aus Ruhedruck und aktivem Erddruck für Bodengewicht und Stapellasten sowie nur mit aktivem Erddruck für Blocklasten. </t>
  </si>
  <si>
    <t xml:space="preserve">Der Wandfuß wird in der Berechnung </t>
  </si>
  <si>
    <t>mit freier Auflagerung</t>
  </si>
  <si>
    <t>mit Blumscher Einspannung</t>
  </si>
  <si>
    <t xml:space="preserve">G E W Ö L B E  A U S F A C H U N G   Schnitt </t>
  </si>
  <si>
    <t>Achsabstand der bew. Pfähle</t>
  </si>
  <si>
    <t>Achsabstand Pfähle</t>
  </si>
  <si>
    <t>Pfahldurchmesser</t>
  </si>
  <si>
    <t>Pfahlsehne</t>
  </si>
  <si>
    <t>MIP-Ausfachungsstärke</t>
  </si>
  <si>
    <t xml:space="preserve">über die Höhe der Dichtsohle abgebaut </t>
  </si>
  <si>
    <t>Anpassungsfaktoren</t>
  </si>
  <si>
    <t>Eph Erhöhter aktiver Erddruck Spund-, Ortbetonwand EB22</t>
  </si>
  <si>
    <t>Eph Erhöhter aktiver Erddruck Trägerbohlwand EB22</t>
  </si>
  <si>
    <t>Eph Ruhedruck Spund-, Ortbetonwand EB23</t>
  </si>
  <si>
    <t>Abmind Reibung aktiviertes Bodengewicht bei Auftrieb DIN1054</t>
  </si>
  <si>
    <t>Anzahl Gurtlagen</t>
  </si>
  <si>
    <t>Gurtprofil</t>
  </si>
  <si>
    <t>is saved with values and formulas of an actual project, to avoid problems, please save with menu "Save WAL-File as" at desired location.</t>
  </si>
  <si>
    <t>The WAL-file is destroyed or the sections has been deleted before saving. Please check the WAL-file, delete it and replace it with the Filename_bak.wal file(Back-up File).</t>
  </si>
  <si>
    <t>Do you want a "general assembly drawing"
 for Sections, Layout Plan, Characteristic values and Borehole profiles on a A0-Drawing Sheet, although it takes a short time?</t>
  </si>
  <si>
    <t xml:space="preserve"> m over sea level is under the groundwater level from the boehole </t>
  </si>
  <si>
    <t>Errors in dimensioning of the cut off slab can occur!</t>
  </si>
  <si>
    <t>Save changes in the actual listing?</t>
  </si>
  <si>
    <t>The scale relation x to y is</t>
  </si>
  <si>
    <t>Determination of the reinforcement curtailment not possible.</t>
  </si>
  <si>
    <t>The following WALLS-errors on section</t>
  </si>
  <si>
    <t>No section activated for handling!</t>
  </si>
  <si>
    <t>Please produce with the WalMan printer</t>
  </si>
  <si>
    <t>dimensions of the rectangular scale is 0!</t>
  </si>
  <si>
    <t>Save project data befor exit?</t>
  </si>
  <si>
    <t xml:space="preserve">Rear edge of the wall has a distance of </t>
  </si>
  <si>
    <t>in module error in the sequence of input:</t>
  </si>
  <si>
    <t xml:space="preserve"> mNN. Put in a reasonable value!</t>
  </si>
  <si>
    <t>refresh text of lines/positions and designations</t>
  </si>
  <si>
    <t>File with WALLS-Sectional Forces</t>
  </si>
  <si>
    <t>Soil Property</t>
  </si>
  <si>
    <t>Liquid Limit of supporting fluid =</t>
  </si>
  <si>
    <t>specific weight at bottom =</t>
  </si>
  <si>
    <t>Haugwitz</t>
  </si>
  <si>
    <t>HansGerd</t>
  </si>
  <si>
    <t>HansGerd.Haugwitz@bauer.de</t>
  </si>
  <si>
    <t>TSVP-GEWI PESVP-GEWI einfach Korr.schutz PDSVP-GEWI dopp. Korr.schutz</t>
  </si>
  <si>
    <t>01103010</t>
  </si>
  <si>
    <t>012</t>
  </si>
  <si>
    <t>Auftriebssicherung GEWI</t>
  </si>
  <si>
    <t>01201</t>
  </si>
  <si>
    <t>Auftriebssicherung GEWI von Land</t>
  </si>
  <si>
    <t>01201010</t>
  </si>
  <si>
    <t>GEWI &lt;15 m</t>
  </si>
  <si>
    <t>01201020</t>
  </si>
  <si>
    <t>GEWI &lt;20 m</t>
  </si>
  <si>
    <t>01201030</t>
  </si>
  <si>
    <t>GEWI &lt;25 m</t>
  </si>
  <si>
    <t>01201040</t>
  </si>
  <si>
    <t>Es koennen beim Nachweis der Sohle Fehler auftreten!</t>
  </si>
  <si>
    <t xml:space="preserve"> nicht vorhanden. Einlesen Wallsdaten nicht moeglich</t>
  </si>
  <si>
    <t>nicht vorhanden. Einlesen Wallsdaten nicht moeglich</t>
  </si>
  <si>
    <t>nicht vorhanden. Einlesen HDIdaten nicht moeglich</t>
  </si>
  <si>
    <t>Ermittlung Bewehrungsstaffelung nicht moeglich.</t>
  </si>
  <si>
    <t>U recessed</t>
  </si>
  <si>
    <t>I recessed</t>
  </si>
  <si>
    <t>SPW L-waler</t>
  </si>
  <si>
    <t>SPW 2U-waler</t>
  </si>
  <si>
    <t>Kugelplatte geneigt</t>
  </si>
  <si>
    <t>No pile wall!</t>
  </si>
  <si>
    <t xml:space="preserve">P I L E  D I M E N S I O N I N G   Section  </t>
  </si>
  <si>
    <t>x1s-Berme</t>
  </si>
  <si>
    <t>x2s-Berme</t>
  </si>
  <si>
    <t>zs-Berme</t>
  </si>
  <si>
    <t>Stützung</t>
  </si>
  <si>
    <t>z-Decke1</t>
  </si>
  <si>
    <t>z-Decke2</t>
  </si>
  <si>
    <t>Vorgegebene Wasserdruckverteilungen</t>
  </si>
  <si>
    <t>tiefliegende Weichgelsohle</t>
  </si>
  <si>
    <t>tiefliegende Hochdruckinjektionssohle</t>
  </si>
  <si>
    <t>hochliegende Hochdruckinjektionssohle mit Sandauflage</t>
  </si>
  <si>
    <t xml:space="preserve">Заглубление </t>
  </si>
  <si>
    <t xml:space="preserve">Коэф. зап. по нагрузке </t>
  </si>
  <si>
    <t>Коэф. зап. по усилиям в сечении, реакции в подошве</t>
  </si>
  <si>
    <t>Перераспр. давл. гр.</t>
  </si>
  <si>
    <t>Горизонт. силы</t>
  </si>
  <si>
    <t>Негатив. силы основ.</t>
  </si>
  <si>
    <t>Infill</t>
  </si>
  <si>
    <t>Wall</t>
  </si>
  <si>
    <t>η-Sliding</t>
  </si>
  <si>
    <t>bSupport Slab [m]</t>
  </si>
  <si>
    <t>C Slab [kN/m]</t>
  </si>
  <si>
    <t>Plot definition</t>
  </si>
  <si>
    <t>Phase results</t>
  </si>
  <si>
    <t>Phase sect/circle</t>
  </si>
  <si>
    <t>Scale    1   :</t>
  </si>
  <si>
    <t>Calculation definition</t>
  </si>
  <si>
    <t>Gurtzulage horizontal oder vertikal oder aufgeteilt in beide Richtungen anordnen</t>
  </si>
  <si>
    <t>Erd- + Wasserduck σ-ek</t>
  </si>
  <si>
    <t>TG-Nachweis für UKW</t>
  </si>
  <si>
    <t>Index Vollaushub</t>
  </si>
  <si>
    <t>contains umlauts or  special characters. This might be in the path- or filename. The input of filename will be repeated.</t>
  </si>
  <si>
    <t xml:space="preserve">Following errors found in the WALLS-result of </t>
  </si>
  <si>
    <t>nicht gefunden!</t>
  </si>
  <si>
    <t>is opened but hidden. WallMan-macros can not be executed.</t>
  </si>
  <si>
    <t>is not available.</t>
  </si>
  <si>
    <t>is much bigger then the WAL-file with</t>
  </si>
  <si>
    <t>make visible with Fenster/Einblenden window/show!</t>
  </si>
  <si>
    <t xml:space="preserve">Brunnen in der Baugrube. Der Ansatz der Wasserdruckverteilung auf die Wand berücksichtigt den Abbau des Wasserüberdruckes bis zur Unterkante der Dichtwand.
</t>
  </si>
  <si>
    <t>zadne</t>
  </si>
  <si>
    <t>material wypelniajacy</t>
  </si>
  <si>
    <t>HPI glebokosc</t>
  </si>
  <si>
    <t>HPI wysokosc</t>
  </si>
  <si>
    <t>poziom wykopu</t>
  </si>
  <si>
    <t>wibrowany</t>
  </si>
  <si>
    <t>kopiowac</t>
  </si>
  <si>
    <t>Trägerbohlwände</t>
  </si>
  <si>
    <t xml:space="preserve">2. Допълнителна договорка и със съгласието на автора.                    3. Договор за проектиране, възложен независимо от  възлагането на изпълнението. </t>
  </si>
  <si>
    <t>BAUER International    
Главен офис</t>
  </si>
  <si>
    <t>Клиент/Инвеститор</t>
  </si>
  <si>
    <t>Клиент/Възложител</t>
  </si>
  <si>
    <t xml:space="preserve">Проект </t>
  </si>
  <si>
    <t>GEWI+ 75</t>
  </si>
  <si>
    <t>Trägerindex</t>
  </si>
  <si>
    <t>Querschnitt</t>
  </si>
  <si>
    <t>Index</t>
  </si>
  <si>
    <t>Dauerstabverpreßpfahl, einfacher Korrosionschutz</t>
  </si>
  <si>
    <t>Чертежи</t>
  </si>
  <si>
    <t>Проект No</t>
  </si>
  <si>
    <t>Ситуация</t>
  </si>
  <si>
    <t>М ---</t>
  </si>
  <si>
    <t>размер на чертежа: 1.0 m²</t>
  </si>
  <si>
    <t>Изчертал: Wallmann</t>
  </si>
  <si>
    <t>Проектант:</t>
  </si>
  <si>
    <t>Инж. по съставяна не оферта:</t>
  </si>
  <si>
    <t>Dicke der Schlitzwand =</t>
  </si>
  <si>
    <t>Länge Teilschlitz 1 =</t>
  </si>
  <si>
    <t>HPI, exist. Sig=</t>
  </si>
  <si>
    <t>Zugpfahl</t>
  </si>
  <si>
    <t>$Calc</t>
  </si>
  <si>
    <t>Index strand</t>
  </si>
  <si>
    <t>Length boring</t>
  </si>
  <si>
    <t>Length boring index</t>
  </si>
  <si>
    <t>Length strand</t>
  </si>
  <si>
    <t>Soil part</t>
  </si>
  <si>
    <t xml:space="preserve">Force </t>
  </si>
  <si>
    <t>UBP356x368x109</t>
  </si>
  <si>
    <t>UBP305x305x223</t>
  </si>
  <si>
    <t>UBP305x305x186</t>
  </si>
  <si>
    <t>UBP305x305x149</t>
  </si>
  <si>
    <t>UBP305x305x126</t>
  </si>
  <si>
    <t>UBP305x305x110</t>
  </si>
  <si>
    <t>UBP305x305x95</t>
  </si>
  <si>
    <t>γM Ankerwiderstand Zugglied</t>
  </si>
  <si>
    <t>γA Ankerwiderstand Verpresskörper</t>
  </si>
  <si>
    <t>D O K U M E N T E N U E B E R S I C H T</t>
  </si>
  <si>
    <t>O V E R V I E W    D O C U M E N T S</t>
  </si>
  <si>
    <t>Bohrung D=</t>
  </si>
  <si>
    <t>Forage D=</t>
  </si>
  <si>
    <t>perforación D=</t>
  </si>
  <si>
    <t>Verminderung Pfahlkraft innere Tragfähigkeit</t>
  </si>
  <si>
    <t>Grenzzustandsbedingungen:</t>
  </si>
  <si>
    <t>∆zVerpreßkörper [m]</t>
  </si>
  <si>
    <t>bStütz Steife [m]</t>
  </si>
  <si>
    <t>bStütz Anker [m]</t>
  </si>
  <si>
    <t>bStütz Decke [m]</t>
  </si>
  <si>
    <t>Spannweite [m]</t>
  </si>
  <si>
    <t>span width [m]</t>
  </si>
  <si>
    <t xml:space="preserve"> ergibt sich bei der Schnittgroessenermittlung in der Phase </t>
  </si>
  <si>
    <t>Byte ist sehr viel groesser als die Wal-Datei mit</t>
  </si>
  <si>
    <t xml:space="preserve">ist sehr viel groesser als die Wal-Datei mit </t>
  </si>
  <si>
    <t>evtl zu gross vorgegeben</t>
  </si>
  <si>
    <t>EP</t>
  </si>
  <si>
    <t>PFBW 1:3 = Pfahlbohlwand mit Ausfachung durch 3 unbewehrte Pfähle</t>
  </si>
  <si>
    <t>Berme, Belastung</t>
  </si>
  <si>
    <t>Tangens für die Lastausbreitung von Blocklasten</t>
  </si>
  <si>
    <t>Verbauwand</t>
  </si>
  <si>
    <t>Schnittbereich</t>
  </si>
  <si>
    <t>HZ 975 A K12/18</t>
  </si>
  <si>
    <t>HZ 975 B K12/18</t>
  </si>
  <si>
    <t>γS Betonstahl</t>
  </si>
  <si>
    <t>γC bewehrter Beton</t>
  </si>
  <si>
    <t>γC unbewehrter Beton</t>
  </si>
  <si>
    <t>γM Bauholz</t>
  </si>
  <si>
    <t>WallMann informiert</t>
  </si>
  <si>
    <t>Sec-Typ</t>
  </si>
  <si>
    <t xml:space="preserve">Grundruchsicherheit Fundament  Schnitt </t>
  </si>
  <si>
    <t xml:space="preserve">Die Eingabe der Bodenauswahl für Schicht 1 und/oder 2 fehlt auf Blatt MAS Zeile </t>
  </si>
  <si>
    <t>Fundamentlast</t>
  </si>
  <si>
    <t>Horizontalkräfte</t>
  </si>
  <si>
    <t>neg. Bettungskräfte</t>
  </si>
  <si>
    <t>Phase</t>
  </si>
  <si>
    <t>Dauerstab verpreßpfahl, doppelter Korrosion schutz</t>
  </si>
  <si>
    <t>Kaputt</t>
  </si>
  <si>
    <t>Länge Mitte-Wand-Verpreßkörper</t>
  </si>
  <si>
    <t>erf. Fläche</t>
  </si>
  <si>
    <t>Zuschlag Gesamtzuggliedlänge</t>
  </si>
  <si>
    <t>Boundary condition is not fulfilled!</t>
  </si>
  <si>
    <t>Boundary condition is fulfilled</t>
  </si>
  <si>
    <t>Support force</t>
  </si>
  <si>
    <t>Final stage is relevant</t>
  </si>
  <si>
    <t>Excavation stages are relevant</t>
  </si>
  <si>
    <t>Negative bedding forces Ch =</t>
  </si>
  <si>
    <t>Vertical foot force Ch =</t>
  </si>
  <si>
    <t>External horizontal forces F=</t>
  </si>
  <si>
    <t>Water press.</t>
  </si>
  <si>
    <t>(N ist als Druckkraft negativ)</t>
  </si>
  <si>
    <t>Biegebewehrung</t>
  </si>
  <si>
    <t>erdseitig:</t>
  </si>
  <si>
    <t>Elastic determination of internal design forces:</t>
  </si>
  <si>
    <t>Newtonstr. 5</t>
  </si>
  <si>
    <t>P Projekte</t>
  </si>
  <si>
    <t xml:space="preserve">S T E I F E N B E M E S S U N G  Schnitt </t>
  </si>
  <si>
    <t>pyl, twardoplastyczny</t>
  </si>
  <si>
    <t>pyl, plastyczny</t>
  </si>
  <si>
    <t>00701040</t>
  </si>
  <si>
    <t>00701041</t>
  </si>
  <si>
    <t>aber versteckt.WallMann Makros nicht lauffaehig.</t>
  </si>
  <si>
    <t xml:space="preserve">Das Skalierverhaeltnis x bezogen auf y betraegt </t>
  </si>
  <si>
    <t>5. Schnittteillaenge an Schnittbeginn schieben</t>
  </si>
  <si>
    <t>odwodnienie</t>
  </si>
  <si>
    <t>deskowanie gorne wykopu</t>
  </si>
  <si>
    <t>MIP-Bohrung D=</t>
  </si>
  <si>
    <t>MIP-boring  D=</t>
  </si>
  <si>
    <t>MIP (or béton de sol) D=</t>
  </si>
  <si>
    <t>perforación MIP D=</t>
  </si>
  <si>
    <t>Sandbeton D=</t>
  </si>
  <si>
    <t>Mortier D=</t>
  </si>
  <si>
    <t>hormigón arenoso D=</t>
  </si>
  <si>
    <t>Pfahlwand D=</t>
  </si>
  <si>
    <t>Mur en pieux D=</t>
  </si>
  <si>
    <t>muro de pilotes D=</t>
  </si>
  <si>
    <t>Schlitzwand d=</t>
  </si>
  <si>
    <t>Teillänge</t>
  </si>
  <si>
    <t>Gesamtlänge</t>
  </si>
  <si>
    <t>Bemerkung</t>
  </si>
  <si>
    <t>przemieszczenie</t>
  </si>
  <si>
    <t>z - plyta2</t>
  </si>
  <si>
    <t>z - plyta1</t>
  </si>
  <si>
    <t>kontrola aktualnego przekroju</t>
  </si>
  <si>
    <t>aktywowana</t>
  </si>
  <si>
    <t>pierwsza aktywacja</t>
  </si>
  <si>
    <t>wydzial projektowania</t>
  </si>
  <si>
    <t>nazwisko</t>
  </si>
  <si>
    <t>ulica</t>
  </si>
  <si>
    <t>miejscowosc</t>
  </si>
  <si>
    <t>tytul listu</t>
  </si>
  <si>
    <t>Szanowna Pani</t>
  </si>
  <si>
    <t>Szanowny Panie</t>
  </si>
  <si>
    <t>Pani</t>
  </si>
  <si>
    <t>Pan</t>
  </si>
  <si>
    <t>nazwa danych</t>
  </si>
  <si>
    <t>zmiany</t>
  </si>
  <si>
    <t>Hinterkante Wand hat einen Abstand von</t>
  </si>
  <si>
    <t>The follwing conspicuities of dimensions were recognized:</t>
  </si>
  <si>
    <t>nicht vorhanden. Einlesen</t>
  </si>
  <si>
    <t>not found. Reading of</t>
  </si>
  <si>
    <t>data is not possible.</t>
  </si>
  <si>
    <t xml:space="preserve">Brunnen in der Baugrube. Der Wasserdruck hinter Wand wird in den wasserundurchlässigen Schichten durch bepumpte Brunnen hinter der Verbauwand entspannt. </t>
  </si>
  <si>
    <t>underwaterconcrete slab with tension piles</t>
  </si>
  <si>
    <t>Redfactor ehg timber</t>
  </si>
  <si>
    <t>LF Bem Vorbauzstd</t>
  </si>
  <si>
    <t>SPW erds 2U</t>
  </si>
  <si>
    <t>U&amp;H in front</t>
  </si>
  <si>
    <t>U inserted</t>
  </si>
  <si>
    <t>H inserted</t>
  </si>
  <si>
    <t>Gewi friction</t>
  </si>
  <si>
    <t>Berme 5</t>
  </si>
  <si>
    <t>Berme 6</t>
  </si>
  <si>
    <t>Belastungen</t>
  </si>
  <si>
    <t>Auflast 1</t>
  </si>
  <si>
    <t>Auflast 2</t>
  </si>
  <si>
    <t>Auflast 3</t>
  </si>
  <si>
    <t>Auflast 4</t>
  </si>
  <si>
    <t>Auflast 5</t>
  </si>
  <si>
    <t>Auflast 6</t>
  </si>
  <si>
    <t>1) inf: Gewicht mit abgeminderter Bodenwichte</t>
  </si>
  <si>
    <t>Druckhöhe UK-Sohle:</t>
  </si>
  <si>
    <t>Wasserdruck:</t>
  </si>
  <si>
    <t>Dicke Bodenstock über Sohle</t>
  </si>
  <si>
    <t>Dicke Erdfeucht</t>
  </si>
  <si>
    <t>Uk Schicht</t>
  </si>
  <si>
    <t>BO layer</t>
  </si>
  <si>
    <t>Abschlag Wichte unter Auftrieb</t>
  </si>
  <si>
    <t>$SH</t>
  </si>
  <si>
    <t>Length of rft. cage b m</t>
  </si>
  <si>
    <t>Portion Q1 for estimation of steel</t>
  </si>
  <si>
    <t>Punching analysis</t>
  </si>
  <si>
    <t>Horizontal anchor force</t>
  </si>
  <si>
    <t>Anchor head recess</t>
  </si>
  <si>
    <t>Fac.B,air</t>
  </si>
  <si>
    <t>Fac.B,earth</t>
  </si>
  <si>
    <t>Anchorforce N-ek</t>
  </si>
  <si>
    <t>Earth-+Waterpressure σ-ek</t>
  </si>
  <si>
    <t>Add. Punch rft. necassary</t>
  </si>
  <si>
    <t>Maßstab        1  :</t>
  </si>
  <si>
    <t>Reduction Factor, fad</t>
  </si>
  <si>
    <t>kah, min earthpressure</t>
  </si>
  <si>
    <t>Anchor over strut = 90º</t>
  </si>
  <si>
    <t>∆L Anchor if a &gt;2,5m</t>
  </si>
  <si>
    <t>TG-Dimensioning for UKW</t>
  </si>
  <si>
    <t>Wall calculation</t>
  </si>
  <si>
    <t>Profile U&amp;H</t>
  </si>
  <si>
    <t>Number U&amp;H</t>
  </si>
  <si>
    <t>00501011</t>
  </si>
  <si>
    <t>Blindage bois s=</t>
  </si>
  <si>
    <t>madera s=</t>
  </si>
  <si>
    <t xml:space="preserve"> mit Steckträgern</t>
  </si>
  <si>
    <t>min. Einspanntiefe Steckträger</t>
  </si>
  <si>
    <t>Chem Angriff Stahl</t>
  </si>
  <si>
    <t xml:space="preserve"> 1000 m zu Oberkante Wand</t>
  </si>
  <si>
    <t>Mehr als 5 Schichten unter der Baugrubensohle vorhanden.</t>
  </si>
  <si>
    <t>to  top of wall</t>
  </si>
  <si>
    <t>Nr. 1. Kapitel</t>
  </si>
  <si>
    <t>Leerzeilen TXT</t>
  </si>
  <si>
    <t>Bauer Vietnam</t>
  </si>
  <si>
    <t>BAUER Vietnam Ltd.</t>
  </si>
  <si>
    <t>124 Dien Bien Phu
Office 1E
 Valentina-Court
Da Kao Ward, District 1 
Telefon 08 820 61 37 
Fax 08 820 61 38</t>
  </si>
  <si>
    <t>Einwirkungen:</t>
  </si>
  <si>
    <t>Widerstände:</t>
  </si>
  <si>
    <t>Bet, unbew</t>
  </si>
  <si>
    <t>MW</t>
  </si>
  <si>
    <t>Be</t>
  </si>
  <si>
    <t>Zi</t>
  </si>
  <si>
    <t>Baunull</t>
  </si>
  <si>
    <t>Index final excavation</t>
  </si>
  <si>
    <t>Nbr results/page</t>
  </si>
  <si>
    <t>∆LAnker bei a &gt;2,5m</t>
  </si>
  <si>
    <t>Grob</t>
  </si>
  <si>
    <t>Mittel</t>
  </si>
  <si>
    <t>Fein</t>
  </si>
  <si>
    <t>Bauteil</t>
  </si>
  <si>
    <t>Zeichner</t>
  </si>
  <si>
    <t>Vertreiber</t>
  </si>
  <si>
    <t>Datum</t>
  </si>
  <si>
    <t>Date</t>
  </si>
  <si>
    <t>Sprache Eingabe</t>
  </si>
  <si>
    <t>Bulgarisch</t>
  </si>
  <si>
    <t>проучвателен сондаж</t>
  </si>
  <si>
    <t>пета на водоплътна стена</t>
  </si>
  <si>
    <t>пета на неармирани пилоти</t>
  </si>
  <si>
    <t>бетонова тапа D=</t>
  </si>
  <si>
    <t>сондаж D=</t>
  </si>
  <si>
    <r>
      <t xml:space="preserve">Passive earth press. safety γ </t>
    </r>
    <r>
      <rPr>
        <vertAlign val="subscript"/>
        <sz val="10"/>
        <color indexed="8"/>
        <rFont val="Arial"/>
        <family val="2"/>
      </rPr>
      <t>Ep</t>
    </r>
    <r>
      <rPr>
        <sz val="10"/>
        <color indexed="8"/>
        <rFont val="Arial"/>
        <family val="2"/>
      </rPr>
      <t xml:space="preserve"> =</t>
    </r>
  </si>
  <si>
    <t>Embedment T=</t>
  </si>
  <si>
    <t>Safety:</t>
  </si>
  <si>
    <t>type of wall infill</t>
  </si>
  <si>
    <t>a deep level soft-gel-cut-off-slab</t>
  </si>
  <si>
    <t>a high level HPI Cut off Slab</t>
  </si>
  <si>
    <t xml:space="preserve"> Reduction factors of internal friction for the wall friction of</t>
  </si>
  <si>
    <t>a deep level HPI-cut off slab</t>
  </si>
  <si>
    <t>reduced over the height of the cut off slab</t>
  </si>
  <si>
    <t>determined with underseepage parallel to the wall</t>
  </si>
  <si>
    <t xml:space="preserve">Die erdstatischen Nachweise erfolgen nach der neuen Normengeneration. Verkehrslasten &gt; 10 kN/m² werden mit dem Verhältnis Sicherheit Einwirkung nicht ständiger zu ständiger Last überhöht in der Berechung berücksichtigt. Die Berechnung nach den neuen </t>
  </si>
  <si>
    <t xml:space="preserve">  Lage 1 bis </t>
  </si>
  <si>
    <t>Dimensioning weld</t>
  </si>
  <si>
    <t>exist.</t>
  </si>
  <si>
    <t>Einphasensuspension</t>
  </si>
  <si>
    <t>Suspension de bentonirte-ciment</t>
  </si>
  <si>
    <t>suspensión cemento-bentonita</t>
  </si>
  <si>
    <t>HDI</t>
  </si>
  <si>
    <t>Jet grouting</t>
  </si>
  <si>
    <t>IAP (inyección de alta presión)</t>
  </si>
  <si>
    <t>HDI, vorhd-Sig=</t>
  </si>
  <si>
    <t>HDI, Sig=</t>
  </si>
  <si>
    <t>Jet grouting, Sig=</t>
  </si>
  <si>
    <t>IAP Sig=</t>
  </si>
  <si>
    <t>MOP</t>
  </si>
  <si>
    <t>00301070</t>
  </si>
  <si>
    <t>00301080</t>
  </si>
  <si>
    <t>00301090</t>
  </si>
  <si>
    <t>00302</t>
  </si>
  <si>
    <t>The total earth pressure is determined from the wall analysis with redistributed earth pressure, the earth resistance and the permissible foot support force</t>
  </si>
  <si>
    <t>Resistance:</t>
  </si>
  <si>
    <t>Sicherheit gegen den Schlitz gefährdende Gleitflächen im Boden</t>
  </si>
  <si>
    <t>Sicherheit Spannstahl</t>
  </si>
  <si>
    <t>Lage</t>
  </si>
  <si>
    <t>Ankertypindex</t>
  </si>
  <si>
    <t>Ankerbezeichung</t>
  </si>
  <si>
    <t>Dauertyp</t>
  </si>
  <si>
    <t>Text Ankertyp</t>
  </si>
  <si>
    <t>$GURC</t>
  </si>
  <si>
    <t>Gurtbreite b</t>
  </si>
  <si>
    <t>Gurthöhe h</t>
  </si>
  <si>
    <t>Verbundlänge l =min(OKW-z,z-UKW)</t>
  </si>
  <si>
    <t>Alexander.Rausch@bauer-spezialtiefbau.at</t>
  </si>
  <si>
    <t>Hein</t>
  </si>
  <si>
    <t>Marco</t>
  </si>
  <si>
    <t>SCHL Längsbew Luft</t>
  </si>
  <si>
    <t>SCHL Bügelbewehrung</t>
  </si>
  <si>
    <t>Steifenprofil I</t>
  </si>
  <si>
    <t>Steifenlänge für Massen</t>
  </si>
  <si>
    <t>0-plast</t>
  </si>
  <si>
    <t>Boden Schicht</t>
  </si>
  <si>
    <t>Umwelt</t>
  </si>
  <si>
    <t>no. of waler layers</t>
  </si>
  <si>
    <t>HPI-volume</t>
  </si>
  <si>
    <t>Summary support</t>
  </si>
  <si>
    <t>Füllung Flächen</t>
  </si>
  <si>
    <t>00201050</t>
  </si>
  <si>
    <t>00201060</t>
  </si>
  <si>
    <t>00201070</t>
  </si>
  <si>
    <t>Min. longi. reinforcement</t>
  </si>
  <si>
    <t>Fixation depth t m</t>
  </si>
  <si>
    <t>Spiral cross section</t>
  </si>
  <si>
    <t>Stress analysis, Reinforcement calculation:</t>
  </si>
  <si>
    <t>Criterion for embedment:</t>
  </si>
  <si>
    <t>Concrete stress</t>
  </si>
  <si>
    <t>Shear stress beam fixation &lt; permissible</t>
  </si>
  <si>
    <t>Spiral/Stirrup</t>
  </si>
  <si>
    <t>Sheetpile profile</t>
  </si>
  <si>
    <t>Plastic calculation</t>
  </si>
  <si>
    <t>Trägereinspannung:</t>
  </si>
  <si>
    <t>Trägerbreite</t>
  </si>
  <si>
    <t>Steckverbau</t>
  </si>
  <si>
    <t>Mindestlängsbewehrung</t>
  </si>
  <si>
    <t>Einspanntiefe t m</t>
  </si>
  <si>
    <t>Wendelquerschnitt</t>
  </si>
  <si>
    <t xml:space="preserve">drainagesystem in the level of the excavation. The distribution of the waterpressure on the wall is calculated considering the seepage.
</t>
  </si>
  <si>
    <t xml:space="preserve">Brunnen in der Baugrube. Der Wasserdruck hinter Wand wird in den wasserundurchlässigen Schichten durch Öffnungen in der Verbauwand entspannt. </t>
  </si>
  <si>
    <t>BRK-Spéciális</t>
  </si>
  <si>
    <t>BRK-Spéciális Mélyépitö KFT</t>
  </si>
  <si>
    <t xml:space="preserve">BRK-Spéciális Mélyépitö KFT • 
H-1097 Budapest • Telefon (+36) 1-216-30536 • Fax  (+36) 1-216-3049
</t>
  </si>
  <si>
    <t xml:space="preserve">BRK-Spéciális Mélyépitö KFT 
Koppány u. 5-11
H-1097 Budapest
Telefon (+36) 1-216-30536
Fax  (+36) 1-216-3049
</t>
  </si>
  <si>
    <t>BAUER Bulgaria Eood</t>
  </si>
  <si>
    <t>BAUER Bulgaria</t>
  </si>
  <si>
    <t>BAUER Bulgaria Eood
Europart Business Center
Samokovsko Shousse 2
1138 Sofia
Telefon (+359)-2-9746169
Fax (+359)-2-9744426</t>
  </si>
  <si>
    <t>BAUER Bulgaria Eood  • 1138 Sofia  • Telefon (+359)-2-9746169 • Fax +(359)-2-9744426</t>
  </si>
  <si>
    <t>песчаный</t>
  </si>
  <si>
    <t>глиняный</t>
  </si>
  <si>
    <t>заиленный</t>
  </si>
  <si>
    <t xml:space="preserve">крупный </t>
  </si>
  <si>
    <t>средний</t>
  </si>
  <si>
    <t>мелкий</t>
  </si>
  <si>
    <t>Schlitzwand</t>
  </si>
  <si>
    <t>The calculation is carried out with averaged k-values for at-rest pressure, active pressure uniform surface loads and weight of soil, and active pressure for block loads.</t>
  </si>
  <si>
    <t xml:space="preserve">In the calculation, the wall foot is considered </t>
  </si>
  <si>
    <t>without support</t>
  </si>
  <si>
    <t>with fixation acc. to Blum</t>
  </si>
  <si>
    <t>vorh σ Sohle</t>
  </si>
  <si>
    <t>zul σ Sohle</t>
  </si>
  <si>
    <t>vorh τ Sohle</t>
  </si>
  <si>
    <t>zul τ Sohle</t>
  </si>
  <si>
    <t>Zwischenrechnung Baugrund</t>
  </si>
  <si>
    <t>Total length of the tension element</t>
  </si>
  <si>
    <t xml:space="preserve">incl. extra projecting length </t>
  </si>
  <si>
    <t>Vertical anchor force</t>
  </si>
  <si>
    <t>Force welding</t>
  </si>
  <si>
    <t>Safety prestressed steel</t>
  </si>
  <si>
    <t>Anchor type index</t>
  </si>
  <si>
    <t>Anchor name</t>
  </si>
  <si>
    <t>Permanent type</t>
  </si>
  <si>
    <t>Text anchor type</t>
  </si>
  <si>
    <t>max. Bewehrung:</t>
  </si>
  <si>
    <t xml:space="preserve">     zug. Vertikalkraft:</t>
  </si>
  <si>
    <t>Grundbewehrung</t>
  </si>
  <si>
    <t>затежняваща плоча</t>
  </si>
  <si>
    <t>проектен изкоп</t>
  </si>
  <si>
    <t>ситуация</t>
  </si>
  <si>
    <t>параметри на почвата</t>
  </si>
  <si>
    <t>сондаж</t>
  </si>
  <si>
    <t>сечение</t>
  </si>
  <si>
    <t>Chem Angriff Beton</t>
  </si>
  <si>
    <t>Luft</t>
  </si>
  <si>
    <t>Wasser</t>
  </si>
  <si>
    <t>Betonklasse</t>
  </si>
  <si>
    <t>Litzenüberstand [m]</t>
  </si>
  <si>
    <t>Versenkmaß Kopf [cm]</t>
  </si>
  <si>
    <t>Erddruck Holz/MIP-Lage</t>
  </si>
  <si>
    <t>Load case contol</t>
  </si>
  <si>
    <t>Utilities</t>
  </si>
  <si>
    <t>Backfill Phase R</t>
  </si>
  <si>
    <t>Backfill Phase S</t>
  </si>
  <si>
    <t>Foundation</t>
  </si>
  <si>
    <t>Circle</t>
  </si>
  <si>
    <t>Vert. ellipse, duct</t>
  </si>
  <si>
    <t>Hori. ellipse, duct</t>
  </si>
  <si>
    <t>Tangent-load distribution</t>
  </si>
  <si>
    <t>Slopes</t>
  </si>
  <si>
    <t>Height</t>
  </si>
  <si>
    <t>Slope</t>
  </si>
  <si>
    <t>Slope 1</t>
  </si>
  <si>
    <t>Slope 2</t>
  </si>
  <si>
    <t>Slope 3</t>
  </si>
  <si>
    <t>Slope 4</t>
  </si>
  <si>
    <t>Slope 5</t>
  </si>
  <si>
    <t>Slope 6</t>
  </si>
  <si>
    <t>Loading</t>
  </si>
  <si>
    <t>Load</t>
  </si>
  <si>
    <t>Beginning [x]</t>
  </si>
  <si>
    <t>End [x]</t>
  </si>
  <si>
    <t>Height y</t>
  </si>
  <si>
    <t>Influence</t>
  </si>
  <si>
    <t>Superimposed Load</t>
  </si>
  <si>
    <t>Graphical representation</t>
  </si>
  <si>
    <t xml:space="preserve">Results and verification </t>
  </si>
  <si>
    <t>Calculation depth</t>
  </si>
  <si>
    <t>Sliding surface angel</t>
  </si>
  <si>
    <t>Earth pressure</t>
  </si>
  <si>
    <t xml:space="preserve">Suspension pressure </t>
  </si>
  <si>
    <t xml:space="preserve">Penetration depths for each layer </t>
  </si>
  <si>
    <t>Layer</t>
  </si>
  <si>
    <t>Top</t>
  </si>
  <si>
    <t>Bottom</t>
  </si>
  <si>
    <t>Pressure gradient</t>
  </si>
  <si>
    <t>Surcharge 1</t>
  </si>
  <si>
    <t>Surcharge 2</t>
  </si>
  <si>
    <t>Surcharge 3</t>
  </si>
  <si>
    <t>Surcharge  4</t>
  </si>
  <si>
    <t>Surcharge  5</t>
  </si>
  <si>
    <t>Surcharge  6</t>
  </si>
  <si>
    <t>Surcharge  7</t>
  </si>
  <si>
    <t>Surcharge  8</t>
  </si>
  <si>
    <t>Surcharge 9</t>
  </si>
  <si>
    <t>Surcharge  10</t>
  </si>
  <si>
    <t>Wall Load</t>
  </si>
  <si>
    <t>Gewölbeoptimierung                  0-Keine 1-Sigma 2-Schub</t>
  </si>
  <si>
    <t>Versenkmaß Anker</t>
  </si>
  <si>
    <t>d-Platte/Stütz Anker</t>
  </si>
  <si>
    <t>$TPL</t>
  </si>
  <si>
    <t xml:space="preserve"> there is a problem on the sheet </t>
  </si>
  <si>
    <t xml:space="preserve"> Problem auf Blatt </t>
  </si>
  <si>
    <t xml:space="preserve"> in Zeile </t>
  </si>
  <si>
    <t xml:space="preserve"> in row </t>
  </si>
  <si>
    <t xml:space="preserve">: Input &gt; </t>
  </si>
  <si>
    <t xml:space="preserve">: Eingabe zu &gt; </t>
  </si>
  <si>
    <t xml:space="preserve"> &lt; fehlt!</t>
  </si>
  <si>
    <t xml:space="preserve"> &lt; is missing!</t>
  </si>
  <si>
    <t xml:space="preserve"> Datei </t>
  </si>
  <si>
    <t xml:space="preserve">File </t>
  </si>
  <si>
    <t xml:space="preserve"> not found. Import of the Walls files not possible!</t>
  </si>
  <si>
    <t xml:space="preserve">über eine Wasserdruckverteilung </t>
  </si>
  <si>
    <t xml:space="preserve">over a water-press.-distribution </t>
  </si>
  <si>
    <t>Plastische Ermittlung der  Nachweisschnittkräfte:</t>
  </si>
  <si>
    <t>Kennwertvorbelegung</t>
  </si>
  <si>
    <t>Wandberechnung</t>
  </si>
  <si>
    <t>Suspension</t>
  </si>
  <si>
    <t>D-Bohr [cm]</t>
  </si>
  <si>
    <t>D-SCH/HDI [cm]</t>
  </si>
  <si>
    <t>a-I/U/D [m]</t>
  </si>
  <si>
    <t>in Berechnungstiefe =</t>
  </si>
  <si>
    <t>eta(gw) &gt;= 1,05 demand</t>
  </si>
  <si>
    <t>00302030</t>
  </si>
  <si>
    <t>004</t>
  </si>
  <si>
    <t>00401</t>
  </si>
  <si>
    <t>00401010</t>
  </si>
  <si>
    <t>00401020</t>
  </si>
  <si>
    <t>00401030</t>
  </si>
  <si>
    <t>00401040</t>
  </si>
  <si>
    <t>00401050</t>
  </si>
  <si>
    <t>Gitterträger</t>
  </si>
  <si>
    <t>00401060</t>
  </si>
  <si>
    <t>Formbeiwerte f. Streifen</t>
  </si>
  <si>
    <t>Shape factor for strip</t>
  </si>
  <si>
    <t>Bottom level of Guid wall =</t>
  </si>
  <si>
    <t>Diaphragm wall depth =</t>
  </si>
  <si>
    <t>Ground water level =</t>
  </si>
  <si>
    <t>Diaphragm wall parameter</t>
  </si>
  <si>
    <t>Application parameter for calculation</t>
  </si>
  <si>
    <t>Length of panel =</t>
  </si>
  <si>
    <t>Side pressure bilinear (DIN 4126)</t>
  </si>
  <si>
    <t>At rest pressure on guide wall</t>
  </si>
  <si>
    <t>Groundwater</t>
  </si>
  <si>
    <t>Wood</t>
  </si>
  <si>
    <t>Concrete, without reinforcement</t>
  </si>
  <si>
    <t>Concrete, with reinforcment</t>
  </si>
  <si>
    <t>Garbage</t>
  </si>
  <si>
    <t>Rottenmud</t>
  </si>
  <si>
    <t>Армир. со стор. котл.</t>
  </si>
  <si>
    <t>Спираль:</t>
  </si>
  <si>
    <t xml:space="preserve">Собственный вес </t>
  </si>
  <si>
    <t xml:space="preserve"> , вертик. давл. грунта </t>
  </si>
  <si>
    <t xml:space="preserve"> и вертик. анкерная сила </t>
  </si>
  <si>
    <t xml:space="preserve"> и одиночн. верт. нагрузки </t>
  </si>
  <si>
    <t>соотв. вертик. сила определяется следующими элементами:</t>
  </si>
  <si>
    <t>$WARZ</t>
  </si>
  <si>
    <t>Belastung, Erddruckverteilung:</t>
  </si>
  <si>
    <t>Loading, earth pressure distribution</t>
  </si>
  <si>
    <t>Sicherheitsbeiwerte</t>
  </si>
  <si>
    <t>Saftey factors</t>
  </si>
  <si>
    <t>Nachweis Aussenmembran:</t>
  </si>
  <si>
    <r>
      <t>Safety loads γ</t>
    </r>
    <r>
      <rPr>
        <vertAlign val="subscript"/>
        <sz val="10"/>
        <color indexed="8"/>
        <rFont val="Arial"/>
        <family val="2"/>
      </rPr>
      <t xml:space="preserve">G </t>
    </r>
    <r>
      <rPr>
        <sz val="10"/>
        <color indexed="8"/>
        <rFont val="Arial"/>
        <family val="2"/>
      </rPr>
      <t>=</t>
    </r>
  </si>
  <si>
    <t>Partial saftey factors resistance</t>
  </si>
  <si>
    <t>1) Partial safety factors:</t>
  </si>
  <si>
    <t>Partial safety factors resistance</t>
  </si>
  <si>
    <t>Nachweis Innenplatte:</t>
  </si>
  <si>
    <t>Dimensioning outer membrane:</t>
  </si>
  <si>
    <t>Dimensioning center plate:</t>
  </si>
  <si>
    <t>Durchstanzen:</t>
  </si>
  <si>
    <t>Punching:</t>
  </si>
  <si>
    <t>Lc Ankerplatte =</t>
  </si>
  <si>
    <t>Lc anchor plate =</t>
  </si>
  <si>
    <t>Maßgeblich:</t>
  </si>
  <si>
    <t>Decisive:</t>
  </si>
  <si>
    <t>Zulage zu Grundbew.</t>
  </si>
  <si>
    <t>Add to base rft.:</t>
  </si>
  <si>
    <t>cm²/m im Innenbereich #</t>
  </si>
  <si>
    <t>cm²/m center area #</t>
  </si>
  <si>
    <t>Input check: wall characteristic for</t>
  </si>
  <si>
    <t xml:space="preserve"> nicht gefunden!</t>
  </si>
  <si>
    <t xml:space="preserve"> not found!</t>
  </si>
  <si>
    <t>over TO-wall!</t>
  </si>
  <si>
    <t>Wegen Probleme mit Schnittespooler bedingt durch Hijack-Konverter bitte Datei/Pfad umbenennen</t>
  </si>
  <si>
    <t xml:space="preserve">bottom of the wall is higher placed with </t>
  </si>
  <si>
    <t xml:space="preserve">For the determination of active earth pressure a </t>
  </si>
  <si>
    <t>zugeh Nd =</t>
  </si>
  <si>
    <t>Schnitt 12:</t>
  </si>
  <si>
    <t>Section 2:</t>
  </si>
  <si>
    <t>Разрез 2:</t>
  </si>
  <si>
    <t>Ultimate limit state condition:</t>
  </si>
  <si>
    <t>Beiwerte n. DIN 4017:</t>
  </si>
  <si>
    <t>Grundbruchsicherheit verbauseitig:</t>
  </si>
  <si>
    <t>Überlagerung bis UK-Fundament</t>
  </si>
  <si>
    <t>maßgebliche Wichte Schicht</t>
  </si>
  <si>
    <t>Grundbruchsicherheit gebäudeseitig:</t>
  </si>
  <si>
    <t>Planum</t>
  </si>
  <si>
    <t>enthalten.  Dies ist ein Fehler auf Blattebene. Zelle wird als leer eingelesen. Das Makro versucht mit dem zurueckgesetztem Datenwert weiterzulaufen.</t>
  </si>
  <si>
    <t>Vorbelegung in Abhaengigkeit der Wandart:  Vorhandene Eingaben fuer Berechnungssteuerung und Wandeigenschaften mit Standartwerten ueberschreiben?</t>
  </si>
  <si>
    <t>Adap. of hori. subgrade reaction</t>
  </si>
  <si>
    <t>Desig.</t>
  </si>
  <si>
    <t>Rft. concrete</t>
  </si>
  <si>
    <t>Design Er.</t>
  </si>
  <si>
    <t>Tender Er.</t>
  </si>
  <si>
    <t>Impermeable layer</t>
  </si>
  <si>
    <t>Shotcrete</t>
  </si>
  <si>
    <t>File name</t>
  </si>
  <si>
    <t>Title of letter</t>
  </si>
  <si>
    <t>Village</t>
  </si>
  <si>
    <t>Street</t>
  </si>
  <si>
    <t>Family name</t>
  </si>
  <si>
    <t>Design Department</t>
  </si>
  <si>
    <t>Assoc. normal force ND =</t>
  </si>
  <si>
    <t>Assoc. Nd =</t>
  </si>
  <si>
    <t>Assoc. vertical force:</t>
  </si>
  <si>
    <t xml:space="preserve">     Assoc. moment:</t>
  </si>
  <si>
    <t xml:space="preserve">     Assoc. vertical force:</t>
  </si>
  <si>
    <t>Analysis of the beam with the elastic-plastic method for LF</t>
  </si>
  <si>
    <t>Permissible utilization</t>
  </si>
  <si>
    <t>Analysis MIP for LF</t>
  </si>
  <si>
    <t>Excavation Phase</t>
  </si>
  <si>
    <t>Vorname</t>
  </si>
  <si>
    <t>Abteilung</t>
  </si>
  <si>
    <t>Straße</t>
  </si>
  <si>
    <t>Ort</t>
  </si>
  <si>
    <t>Email</t>
  </si>
  <si>
    <t>Diktatzeichen</t>
  </si>
  <si>
    <t>Nominem, Nominandum</t>
  </si>
  <si>
    <t>Nominem</t>
  </si>
  <si>
    <t>Nominadum</t>
  </si>
  <si>
    <t>xyz-Projekte</t>
  </si>
  <si>
    <t>In der Scherau 1</t>
  </si>
  <si>
    <t>86529 Schrobenhausen</t>
  </si>
  <si>
    <t>Trägernachweis Verfahren elastisch-plastisch für LF</t>
  </si>
  <si>
    <t>zul. Ausnutzung</t>
  </si>
  <si>
    <t>Leitwandunterkante LUK =</t>
  </si>
  <si>
    <t>Oberkante der Suspension OKS =</t>
  </si>
  <si>
    <t>Oberkante des Grundwassers OKGW =</t>
  </si>
  <si>
    <t>mit Blumscher Einspannung sowie freier Auflagerung bei Vollaushub</t>
  </si>
  <si>
    <t>mit Bettung</t>
  </si>
  <si>
    <t xml:space="preserve">mit  vorgegebener Wandeinbindung und Bettung </t>
  </si>
  <si>
    <t>mit Ankerfedern sowie Bettung mit vorgegebener Einbindung</t>
  </si>
  <si>
    <t>mit elastisch vorgespannten Ankerfedern sowie Bettung mit vorgegebener Einbindung</t>
  </si>
  <si>
    <t>ohne Wandfuß</t>
  </si>
  <si>
    <t>without wall foot</t>
  </si>
  <si>
    <t xml:space="preserve">auf Unterkante Wand abgebaut </t>
  </si>
  <si>
    <t xml:space="preserve">ab Baugrubensohle bis zum Wandfuß abgebaut </t>
  </si>
  <si>
    <t>Index of section</t>
  </si>
  <si>
    <t>Dewatering</t>
  </si>
  <si>
    <t>Top wall</t>
  </si>
  <si>
    <t>GEWI 63 sing corr protect</t>
  </si>
  <si>
    <t>GEWI 28 doub corr protect</t>
  </si>
  <si>
    <t>GEWI 32 doub corr protect</t>
  </si>
  <si>
    <t>GEWI 40 doub corr protect</t>
  </si>
  <si>
    <t>GEWI 50 doub corr protect</t>
  </si>
  <si>
    <t>GEWI 63 doub corr protect</t>
  </si>
  <si>
    <t>Steifenneigung  ß =</t>
  </si>
  <si>
    <t>vertikal</t>
  </si>
  <si>
    <t>horizontal</t>
  </si>
  <si>
    <t>Steifenabstand a =</t>
  </si>
  <si>
    <t>$PF</t>
  </si>
  <si>
    <t>$ANK</t>
  </si>
  <si>
    <t>3-fach Anker</t>
  </si>
  <si>
    <t>4-fach Anker</t>
  </si>
  <si>
    <t>Doppelanker</t>
  </si>
  <si>
    <t xml:space="preserve">über vorgegebene Wasserdruckverteilung </t>
  </si>
  <si>
    <t>Berthold.Klobe@bauer.de</t>
  </si>
  <si>
    <t>klb</t>
  </si>
  <si>
    <t>Este diseño propiedad de BAUER y no se permite ser presentado ni copiado sin autorización por parte de BAUER.</t>
  </si>
  <si>
    <t xml:space="preserve">considered. </t>
  </si>
  <si>
    <t>Wall slope</t>
  </si>
  <si>
    <t>Top-Bovena</t>
  </si>
  <si>
    <t>b HPI-spur</t>
  </si>
  <si>
    <t>b HPI-floor</t>
  </si>
  <si>
    <t>b HPI-fold</t>
  </si>
  <si>
    <t>Foot height</t>
  </si>
  <si>
    <t>Beam-/drilling spacing</t>
  </si>
  <si>
    <t>Wall thickn. =</t>
  </si>
  <si>
    <t>Bore diameter</t>
  </si>
  <si>
    <t>Number U&amp;I</t>
  </si>
  <si>
    <t>Profile U&amp;I</t>
  </si>
  <si>
    <t xml:space="preserve">Infill </t>
  </si>
  <si>
    <t>Type of calculation</t>
  </si>
  <si>
    <t>Toe of cut-off wall</t>
  </si>
  <si>
    <t>Toe of wall</t>
  </si>
  <si>
    <t>Top of wall/ ground level</t>
  </si>
  <si>
    <t xml:space="preserve">Area of section </t>
  </si>
  <si>
    <t>Retaining wall</t>
  </si>
  <si>
    <t>Slope, load</t>
  </si>
  <si>
    <t>Wall type</t>
  </si>
  <si>
    <t>Factor EI</t>
  </si>
  <si>
    <t>General assumptions for calculation</t>
  </si>
  <si>
    <t xml:space="preserve">Given water pressure distribution </t>
  </si>
  <si>
    <t>subgrade reaction distribution below excavation level</t>
  </si>
  <si>
    <t>Soil profiles for calculation</t>
  </si>
  <si>
    <t>Soil</t>
  </si>
  <si>
    <t>Print time:</t>
  </si>
  <si>
    <t xml:space="preserve"> Quantities</t>
  </si>
  <si>
    <t>Not applicable</t>
  </si>
  <si>
    <t>File:</t>
  </si>
  <si>
    <t>Phone number:</t>
  </si>
  <si>
    <t>Calculationdepth =</t>
  </si>
  <si>
    <t>Surcharge 4</t>
  </si>
  <si>
    <t>Surcharge 5</t>
  </si>
  <si>
    <t>Surcharge 6</t>
  </si>
  <si>
    <t>Surcharge 7</t>
  </si>
  <si>
    <t>Surcharge 8</t>
  </si>
  <si>
    <t>Surcharge 10</t>
  </si>
  <si>
    <t>Safety against admittance of groundwater into diaphragm wall</t>
  </si>
  <si>
    <t>Safety against sliding of separate grain or group of grain</t>
  </si>
  <si>
    <t xml:space="preserve">reduced to toe of wall </t>
  </si>
  <si>
    <t xml:space="preserve">Nachweis der Vertikalkräfte  Schnitt  </t>
  </si>
  <si>
    <t>a-Stuetz [m]</t>
  </si>
  <si>
    <t>a-support [m]</t>
  </si>
  <si>
    <t>Auflagerabstand</t>
  </si>
  <si>
    <t>CTC support</t>
  </si>
  <si>
    <t>Safety steel</t>
  </si>
  <si>
    <t>Klobe</t>
  </si>
  <si>
    <t>zu Oberkante Wand</t>
  </si>
  <si>
    <t>Info  P o s i t i o n s p l a n</t>
  </si>
  <si>
    <t>00601030</t>
  </si>
  <si>
    <t>00601040</t>
  </si>
  <si>
    <t>00601050</t>
  </si>
  <si>
    <t>00601060</t>
  </si>
  <si>
    <t>00601070</t>
  </si>
  <si>
    <t>00601080</t>
  </si>
  <si>
    <t>00601090</t>
  </si>
  <si>
    <t>00601100</t>
  </si>
  <si>
    <t>00601110</t>
  </si>
  <si>
    <t>00601120</t>
  </si>
  <si>
    <t>007</t>
  </si>
  <si>
    <t>00701</t>
  </si>
  <si>
    <t>00701010</t>
  </si>
  <si>
    <t>00701011</t>
  </si>
  <si>
    <t>00701012</t>
  </si>
  <si>
    <t>00701020</t>
  </si>
  <si>
    <t>00701021</t>
  </si>
  <si>
    <t>00701022</t>
  </si>
  <si>
    <t>00701030</t>
  </si>
  <si>
    <t>00701031</t>
  </si>
  <si>
    <t>00701032</t>
  </si>
  <si>
    <t>TBMIPmiddle = Wall with beam set in concrete &amp; MIP Infill at center</t>
  </si>
  <si>
    <t>TBMIPearthside = Wall with beam set in concrete &amp; MIP infill on earthside</t>
  </si>
  <si>
    <t>SPWinsert = Sheet pile wall inserted in trench</t>
  </si>
  <si>
    <t>SPWinsert,waler = Sheet pile wall with waler inserted in trench</t>
  </si>
  <si>
    <t>PF1:3 = Pile wall with reinforcement in every fourth pile</t>
  </si>
  <si>
    <t>PFBW 1:3 = Pile wall with three plain piles as infill</t>
  </si>
  <si>
    <t>PFshotcrete = Pile wall with reinforced shotcrete infill</t>
  </si>
  <si>
    <t>Nicht erforderlich</t>
  </si>
  <si>
    <t>Not required</t>
  </si>
  <si>
    <t>temporäre Verpressanker</t>
  </si>
  <si>
    <t>Daueranker</t>
  </si>
  <si>
    <t>Stabverpreßpfähle ohne Korrosionsschutz im</t>
  </si>
  <si>
    <t xml:space="preserve">The file </t>
  </si>
  <si>
    <t>max ∆z gwozdzia</t>
  </si>
  <si>
    <t>nadlewka</t>
  </si>
  <si>
    <t>wykop</t>
  </si>
  <si>
    <t>perm mono bar</t>
  </si>
  <si>
    <t>temp TITAN</t>
  </si>
  <si>
    <t>Dimensioning of tension element</t>
  </si>
  <si>
    <r>
      <t>Load E</t>
    </r>
    <r>
      <rPr>
        <vertAlign val="subscript"/>
        <sz val="10"/>
        <color indexed="8"/>
        <rFont val="Arial"/>
        <family val="2"/>
      </rPr>
      <t>d</t>
    </r>
  </si>
  <si>
    <r>
      <t>Resistance R</t>
    </r>
    <r>
      <rPr>
        <vertAlign val="subscript"/>
        <sz val="10"/>
        <color indexed="8"/>
        <rFont val="Arial"/>
        <family val="2"/>
      </rPr>
      <t>i,d</t>
    </r>
  </si>
  <si>
    <r>
      <t>Boundary condition equation Ed&lt;R</t>
    </r>
    <r>
      <rPr>
        <vertAlign val="subscript"/>
        <sz val="10"/>
        <color indexed="8"/>
        <rFont val="Arial"/>
        <family val="2"/>
      </rPr>
      <t>i,d</t>
    </r>
  </si>
  <si>
    <t>Top of wall is placed under bottom of borhole log!</t>
  </si>
  <si>
    <t xml:space="preserve">Этап </t>
  </si>
  <si>
    <t xml:space="preserve">Допуст. реакция в подошве  </t>
  </si>
  <si>
    <t xml:space="preserve">Увелич. реакции </t>
  </si>
  <si>
    <t xml:space="preserve">Увелич. усилий в сеч. </t>
  </si>
  <si>
    <t xml:space="preserve">Тип расчета стены </t>
  </si>
  <si>
    <t>Sum-V расчет не требуется !!!</t>
  </si>
  <si>
    <t xml:space="preserve">Анализ вертикальной силы      Разрез </t>
  </si>
  <si>
    <t>reduction pressure for timber with realistic pressure distribution EB47</t>
  </si>
  <si>
    <t>Auflagerbreiten der Stützungen:</t>
  </si>
  <si>
    <t>H-Beam wall</t>
  </si>
  <si>
    <t>Ruscha</t>
  </si>
  <si>
    <t>rus</t>
  </si>
  <si>
    <t>Default files are missing. The input for the section name doesn't exist!</t>
  </si>
  <si>
    <t>Do you want quit the edit of the layout plan without saving?</t>
  </si>
  <si>
    <t>with input the formulas deleted and the formulas replaced by input values!</t>
  </si>
  <si>
    <t xml:space="preserve">The generation switch is activated. However the input file is missing. </t>
  </si>
  <si>
    <t>Steife</t>
  </si>
  <si>
    <t>strut</t>
  </si>
  <si>
    <t>Decke</t>
  </si>
  <si>
    <t>Trägerbohlwand</t>
  </si>
  <si>
    <t>Gemitteltes Planum</t>
  </si>
  <si>
    <t>Mittelung wegen geringer Grabenbreite</t>
  </si>
  <si>
    <t>eta(gw) &gt;= 1,05 gefordert</t>
  </si>
  <si>
    <t>Sicherheit gegen Abgleiten von Einzelkörnern oder Korngruppen</t>
  </si>
  <si>
    <t xml:space="preserve">eta(i)min  &gt;= 1,0 gefordert </t>
  </si>
  <si>
    <t>00202130</t>
  </si>
  <si>
    <t>00202140</t>
  </si>
  <si>
    <t>00202150</t>
  </si>
  <si>
    <t>00202160</t>
  </si>
  <si>
    <t>00202170</t>
  </si>
  <si>
    <t>00202180</t>
  </si>
  <si>
    <t>00202190</t>
  </si>
  <si>
    <t>L-Section-5-[m]</t>
  </si>
  <si>
    <t>L-Section-6-[m]</t>
  </si>
  <si>
    <t>L-Section-7-[m]</t>
  </si>
  <si>
    <t>L-Section-8-[m]</t>
  </si>
  <si>
    <t>L-Section-9-[m]</t>
  </si>
  <si>
    <t>L-Section-10-[m]</t>
  </si>
  <si>
    <t>L-Section-11-[m]</t>
  </si>
  <si>
    <t>L-Section-12-[m]</t>
  </si>
  <si>
    <t>L-Section-13-[m]</t>
  </si>
  <si>
    <t>L-Section-14-[m]</t>
  </si>
  <si>
    <t>L-Section-15-[m]</t>
  </si>
  <si>
    <t>Perm. construction</t>
  </si>
  <si>
    <t>Conc. Grade</t>
  </si>
  <si>
    <t>LC Dim excav. phase</t>
  </si>
  <si>
    <t>Earthpressure Timb/MIP</t>
  </si>
  <si>
    <t>Arch thk [cm]</t>
  </si>
  <si>
    <t>Final Excav.</t>
  </si>
  <si>
    <t>Surcharge</t>
  </si>
  <si>
    <t>Dewatering System</t>
  </si>
  <si>
    <t>GWL</t>
  </si>
  <si>
    <t>Sectional length and Quantities</t>
  </si>
  <si>
    <t>Rft. Curtailment</t>
  </si>
  <si>
    <t>GZ1B Resistance</t>
  </si>
  <si>
    <t>GZ1C Stability Check GZ1B Material</t>
  </si>
  <si>
    <t>Soil parameters</t>
  </si>
  <si>
    <t>Boreholes</t>
  </si>
  <si>
    <t>Rectangle for scaling x=</t>
  </si>
  <si>
    <t>Cobbles</t>
  </si>
  <si>
    <t>Gravel,dense</t>
  </si>
  <si>
    <t>Gravel,medium</t>
  </si>
  <si>
    <t>Gravel,loose</t>
  </si>
  <si>
    <t>00801</t>
  </si>
  <si>
    <t>00801010</t>
  </si>
  <si>
    <t>00802</t>
  </si>
  <si>
    <t>00802010</t>
  </si>
  <si>
    <t>009</t>
  </si>
  <si>
    <t>00901</t>
  </si>
  <si>
    <t>00901010</t>
  </si>
  <si>
    <t>00901020</t>
  </si>
  <si>
    <t>00901030</t>
  </si>
  <si>
    <t>00901040</t>
  </si>
  <si>
    <t>horizontale Ankerkraft</t>
  </si>
  <si>
    <t>Versenkmaß Kopf</t>
  </si>
  <si>
    <t>max H-Druck</t>
  </si>
  <si>
    <t>max H-press.</t>
  </si>
  <si>
    <t>Row</t>
  </si>
  <si>
    <t>Column</t>
  </si>
  <si>
    <t xml:space="preserve"> m above sea level.</t>
  </si>
  <si>
    <t>Partial length</t>
  </si>
  <si>
    <t>Total length</t>
  </si>
  <si>
    <t>The PDF-analysis</t>
  </si>
  <si>
    <t xml:space="preserve">Ground water level </t>
  </si>
  <si>
    <t>Ground water level of section</t>
  </si>
  <si>
    <t xml:space="preserve">the BO-wall is </t>
  </si>
  <si>
    <t xml:space="preserve">with the groundwater level </t>
  </si>
  <si>
    <t>Rysunek : Wallman</t>
  </si>
  <si>
    <t>Rozmiar rysunku : 1,0 m2</t>
  </si>
  <si>
    <t>Mehr Schubbewehrung erforderlich</t>
  </si>
  <si>
    <t>Betonstahlgüte</t>
  </si>
  <si>
    <t>Pfahllänge</t>
  </si>
  <si>
    <t>Wendelreihe</t>
  </si>
  <si>
    <t>g-Längs</t>
  </si>
  <si>
    <t>masoneria (mur)</t>
  </si>
  <si>
    <t>gerüttelte Trägerbohlwand mit Holzausfachung</t>
  </si>
  <si>
    <t>HZ 975 C K12/18</t>
  </si>
  <si>
    <t>Factor rft overconsumption</t>
  </si>
  <si>
    <t>fmk</t>
  </si>
  <si>
    <t>req. fmk</t>
  </si>
  <si>
    <t>W530*196</t>
  </si>
  <si>
    <t>W410*149</t>
  </si>
  <si>
    <t>W360*134</t>
  </si>
  <si>
    <t>W530*182</t>
  </si>
  <si>
    <t>W460*177</t>
  </si>
  <si>
    <t>W460*158</t>
  </si>
  <si>
    <t>W360*147</t>
  </si>
  <si>
    <t>W360*122</t>
  </si>
  <si>
    <t>W360*101</t>
  </si>
  <si>
    <t>W310*86</t>
  </si>
  <si>
    <t>W250*80</t>
  </si>
  <si>
    <t>W250*73</t>
  </si>
  <si>
    <t>W250*58</t>
  </si>
  <si>
    <t>W200*52</t>
  </si>
  <si>
    <t>W530*219</t>
  </si>
  <si>
    <t>W530*248</t>
  </si>
  <si>
    <t>W530*272</t>
  </si>
  <si>
    <t>U220</t>
  </si>
  <si>
    <t>W360*79</t>
  </si>
  <si>
    <t>W410*100</t>
  </si>
  <si>
    <t>W410*114</t>
  </si>
  <si>
    <t>W610*551</t>
  </si>
  <si>
    <t>W610*372</t>
  </si>
  <si>
    <t>W610*455</t>
  </si>
  <si>
    <t>W610*101</t>
  </si>
  <si>
    <t>Anpassungsfaktor Aktiver Erddruck aufgelöste Wände nach EAB (TBW/PFBW)</t>
  </si>
  <si>
    <t>Anpassungsfaktor Aktiver Erddruck durchgehende Wände nach EAB (SPW/SCHW)</t>
  </si>
  <si>
    <t>TestZW1</t>
  </si>
  <si>
    <t>TestZW2</t>
  </si>
  <si>
    <t>TestZW3</t>
  </si>
  <si>
    <t>Sicherheit Schnittgrößen</t>
  </si>
  <si>
    <t>Validation of EB9/EB84</t>
  </si>
  <si>
    <t xml:space="preserve">Die erdstatischen Nachweise erfolgen nach der neuen Normengeneration und EAB 4./5.Auflage. Verkehrslasten &gt; 10 kN/m² werden mit dem Verhältnis Sicherheit Einwirkung nicht ständiger zu ständiger Last überhöht in der Berechung berücksichtigt. </t>
  </si>
  <si>
    <t xml:space="preserve">The geotechnical calculations are carried out according to the new set of standards and EAB 4./5. Edition. Live loads &gt; 10 kN/m² are enlarged with the relation of the safety factor or the live load to permanent load. This calculation according to the new </t>
  </si>
  <si>
    <t>Calculation slip circle</t>
  </si>
  <si>
    <t xml:space="preserve"> Berechnung Gleitkreis</t>
  </si>
  <si>
    <t xml:space="preserve">     C A L C U L A T I O N   S L I P   C I R C L E</t>
  </si>
  <si>
    <t xml:space="preserve">     B E R E C H N U N G    D E S   G L E I T K R E I S</t>
  </si>
  <si>
    <t>Prüfkraft Pp [kN]</t>
  </si>
  <si>
    <t>Widerstand Rt,k [kN]</t>
  </si>
  <si>
    <t>umgelagerter, abgeschnittener Erddruck Ek =</t>
  </si>
  <si>
    <t>redistributed, earth press. Ek=</t>
  </si>
  <si>
    <t xml:space="preserve">Перераспределенное давл. гр.  Ek = </t>
  </si>
  <si>
    <t>Summe Stützkräfte ΣAih,k =</t>
  </si>
  <si>
    <t>Auflagerkraft Boden Bk = H - ΣAih,k =</t>
  </si>
  <si>
    <r>
      <t>Sum of the supporting forces ΣAih,k</t>
    </r>
    <r>
      <rPr>
        <sz val="10"/>
        <color indexed="8"/>
        <rFont val="Arial"/>
        <family val="2"/>
      </rPr>
      <t xml:space="preserve"> =</t>
    </r>
  </si>
  <si>
    <t>Reaction force of soil Bk = H - ΣAih,k =</t>
  </si>
  <si>
    <t>Суммарная сила в креплении ΣAih,k =</t>
  </si>
  <si>
    <t>Реакция грунта Bk = H - ΣAih,k =</t>
  </si>
  <si>
    <r>
      <t>Widerstände 1) ΣR</t>
    </r>
    <r>
      <rPr>
        <vertAlign val="subscript"/>
        <sz val="10"/>
        <rFont val="Arial"/>
        <family val="2"/>
      </rPr>
      <t>d,i</t>
    </r>
  </si>
  <si>
    <r>
      <t>resistance 1) ΣR</t>
    </r>
    <r>
      <rPr>
        <vertAlign val="subscript"/>
        <sz val="10"/>
        <color indexed="8"/>
        <rFont val="Arial"/>
        <family val="2"/>
      </rPr>
      <t>d,i</t>
    </r>
  </si>
  <si>
    <t>Сопротивление 1) ΣRd,i</t>
  </si>
  <si>
    <t>Es erfolgte keine Erhöhung der Ankerkräfte</t>
  </si>
  <si>
    <t xml:space="preserve">Es erfolgte eine Erhöhung der Ankerkräfte um </t>
  </si>
  <si>
    <t xml:space="preserve">Es erfolgte eine Erhöhung der Ankerkräfte und der Schnittkräfte um </t>
  </si>
  <si>
    <t>Anchor forces were not increased</t>
  </si>
  <si>
    <t>Anchor forces were increased</t>
  </si>
  <si>
    <t>Anchor forces and section forces were increased by</t>
  </si>
  <si>
    <t>Усилия в анкерах не были увеличены в</t>
  </si>
  <si>
    <t>Усилия в анкерах были увеличены в</t>
  </si>
  <si>
    <t xml:space="preserve">Усилия в анкерах и сечениях были увеличены в на </t>
  </si>
  <si>
    <t>Proof load Pp [kN]</t>
  </si>
  <si>
    <t>Resistance Rt,k [kN]</t>
  </si>
  <si>
    <t>Uplift</t>
  </si>
  <si>
    <r>
      <t>Widerstände ΣR</t>
    </r>
    <r>
      <rPr>
        <vertAlign val="subscript"/>
        <sz val="10"/>
        <rFont val="Arial"/>
        <family val="2"/>
      </rPr>
      <t>d,i</t>
    </r>
  </si>
  <si>
    <r>
      <t>Resistances  ΣR</t>
    </r>
    <r>
      <rPr>
        <vertAlign val="subscript"/>
        <sz val="10"/>
        <color indexed="8"/>
        <rFont val="Arial"/>
        <family val="2"/>
      </rPr>
      <t>d,i</t>
    </r>
  </si>
  <si>
    <t>Auftrieb vorgeben:</t>
  </si>
  <si>
    <t>Define Uplift:</t>
  </si>
  <si>
    <t>Gesetzt</t>
  </si>
  <si>
    <t>Set</t>
  </si>
  <si>
    <t>all+Gleitkreis</t>
  </si>
  <si>
    <t>all+Slipcircle</t>
  </si>
  <si>
    <t>все+поверх. скольж.</t>
  </si>
  <si>
    <t>Leerz. Umbr.</t>
  </si>
  <si>
    <t>Empty rows Pagebreak</t>
  </si>
  <si>
    <t>Validation of EB102</t>
  </si>
  <si>
    <t>Interpolation of adaption factors</t>
  </si>
  <si>
    <t>Nachw.EB9/EB84</t>
  </si>
  <si>
    <t>Nachw.EB102</t>
  </si>
  <si>
    <t>Interp.Anpass.werte</t>
  </si>
  <si>
    <t xml:space="preserve">Vollholz </t>
  </si>
  <si>
    <r>
      <t>Beanspruchungen E</t>
    </r>
    <r>
      <rPr>
        <vertAlign val="subscript"/>
        <sz val="10"/>
        <rFont val="Arial"/>
        <family val="2"/>
      </rPr>
      <t>d</t>
    </r>
  </si>
  <si>
    <r>
      <t>loads E</t>
    </r>
    <r>
      <rPr>
        <vertAlign val="subscript"/>
        <sz val="10"/>
        <color indexed="8"/>
        <rFont val="Arial"/>
        <family val="2"/>
      </rPr>
      <t>d</t>
    </r>
  </si>
  <si>
    <t>нагрузки Ed</t>
  </si>
  <si>
    <t>Widerstände1) fm,d</t>
  </si>
  <si>
    <t>resistance1) fm,d</t>
  </si>
  <si>
    <t>сопротивление 1) fm,d</t>
  </si>
  <si>
    <t>Abminderung Rand f</t>
  </si>
  <si>
    <t>Boundary reduction f</t>
  </si>
  <si>
    <t>Wasserdruck us,k</t>
  </si>
  <si>
    <t>Water press. us,k</t>
  </si>
  <si>
    <t>Давл. воды  us,k</t>
  </si>
  <si>
    <t>Beanspruchungen Ed =</t>
  </si>
  <si>
    <t>Loads Ed =</t>
  </si>
  <si>
    <t>Нагрузки Ed=</t>
  </si>
  <si>
    <t>GU 13N</t>
  </si>
  <si>
    <t>GU 21N</t>
  </si>
  <si>
    <t>U200</t>
  </si>
  <si>
    <t>PAZ 5560</t>
  </si>
  <si>
    <t xml:space="preserve">Aidelsburger,Jürgen </t>
  </si>
  <si>
    <t xml:space="preserve">Aringer,Karl </t>
  </si>
  <si>
    <t xml:space="preserve">Haussmann,Rainer </t>
  </si>
  <si>
    <t xml:space="preserve">Idda,Klaus </t>
  </si>
  <si>
    <t xml:space="preserve">Klobe,Berthold </t>
  </si>
  <si>
    <t xml:space="preserve">Glock,Andreas </t>
  </si>
  <si>
    <t xml:space="preserve">Siebert,Markus </t>
  </si>
  <si>
    <t xml:space="preserve">Just,Uta </t>
  </si>
  <si>
    <t xml:space="preserve">Chi Duong,Nguyen </t>
  </si>
  <si>
    <t xml:space="preserve">Johannes,Bauer </t>
  </si>
  <si>
    <t xml:space="preserve">Harald,Quitz </t>
  </si>
  <si>
    <t xml:space="preserve">Roland,Kleina </t>
  </si>
  <si>
    <t xml:space="preserve">Alesch,Woyrsch, </t>
  </si>
  <si>
    <t xml:space="preserve">Juraj,Chropen </t>
  </si>
  <si>
    <t xml:space="preserve">Wahby,Ashraf </t>
  </si>
  <si>
    <t xml:space="preserve">Stoyana ,Mincheva </t>
  </si>
  <si>
    <t xml:space="preserve">Arno,Gierschner </t>
  </si>
  <si>
    <t xml:space="preserve">a Shibeb,Saif </t>
  </si>
  <si>
    <t xml:space="preserve">Haddad,Fadi </t>
  </si>
  <si>
    <t xml:space="preserve">Balazs,Bognar </t>
  </si>
  <si>
    <t xml:space="preserve">Muschett H.,Daniel </t>
  </si>
  <si>
    <t xml:space="preserve">Abdallah,Oussama </t>
  </si>
  <si>
    <t xml:space="preserve">Forgoso,Pablo </t>
  </si>
  <si>
    <t xml:space="preserve">Abdel-Hamid,Mostafa </t>
  </si>
  <si>
    <t xml:space="preserve">Schwarzkopf,Marco </t>
  </si>
  <si>
    <t xml:space="preserve">Jürgen </t>
  </si>
  <si>
    <t xml:space="preserve">Karl </t>
  </si>
  <si>
    <t xml:space="preserve">Rainer </t>
  </si>
  <si>
    <t>Idda</t>
  </si>
  <si>
    <t xml:space="preserve">Klaus </t>
  </si>
  <si>
    <t xml:space="preserve">Berthold </t>
  </si>
  <si>
    <t>Glock</t>
  </si>
  <si>
    <t xml:space="preserve">Andreas </t>
  </si>
  <si>
    <t>Siebert</t>
  </si>
  <si>
    <t xml:space="preserve">Markus </t>
  </si>
  <si>
    <t>Just</t>
  </si>
  <si>
    <t xml:space="preserve">Uta </t>
  </si>
  <si>
    <t>Chi Duong</t>
  </si>
  <si>
    <t xml:space="preserve">Nguyen </t>
  </si>
  <si>
    <t>Johannes</t>
  </si>
  <si>
    <t>Alesch</t>
  </si>
  <si>
    <t>Juraj</t>
  </si>
  <si>
    <t>Wahby</t>
  </si>
  <si>
    <t xml:space="preserve">Ashraf </t>
  </si>
  <si>
    <t>Arno</t>
  </si>
  <si>
    <t xml:space="preserve">Gierschner </t>
  </si>
  <si>
    <t>a Shibeb</t>
  </si>
  <si>
    <t xml:space="preserve">Saif </t>
  </si>
  <si>
    <t>Haddad</t>
  </si>
  <si>
    <t xml:space="preserve">Fadi </t>
  </si>
  <si>
    <t>Balazs</t>
  </si>
  <si>
    <t xml:space="preserve">Bognar </t>
  </si>
  <si>
    <t>Muschett H.</t>
  </si>
  <si>
    <t xml:space="preserve">Daniel </t>
  </si>
  <si>
    <t>Abdallah</t>
  </si>
  <si>
    <t xml:space="preserve">Oussama </t>
  </si>
  <si>
    <t>Forgoso</t>
  </si>
  <si>
    <t xml:space="preserve">Pablo </t>
  </si>
  <si>
    <t>Abdel-Hamid</t>
  </si>
  <si>
    <t xml:space="preserve">Mostafa </t>
  </si>
  <si>
    <t>Schwarzkopf</t>
  </si>
  <si>
    <t xml:space="preserve">Marco </t>
  </si>
  <si>
    <t>Juergen.Aidelsburger@bauer.de</t>
  </si>
  <si>
    <t>Klaus.Idda@bauer.de</t>
  </si>
  <si>
    <t>Andreas.Glock@bauer.de</t>
  </si>
  <si>
    <t>Markus.Siebert@bauer.de</t>
  </si>
  <si>
    <t>Uta.Just@bauer.de</t>
  </si>
  <si>
    <t>Duong.Nguyen@bauervietnam.com</t>
  </si>
  <si>
    <t>Johannes.Bauer@bauer.de</t>
  </si>
  <si>
    <t>Harald.Quitz@bauer.de</t>
  </si>
  <si>
    <t>Roland.Keina@bauer.de</t>
  </si>
  <si>
    <t>Alesch.Woyrsch@bauer.de</t>
  </si>
  <si>
    <t>Juraj.Chropen@bauer.de</t>
  </si>
  <si>
    <t>Ashraf.Wahby@bauer.de</t>
  </si>
  <si>
    <t>Stoyana.Mincheva@bauer.bg</t>
  </si>
  <si>
    <t>Arno.Gierschner@bauer.de</t>
  </si>
  <si>
    <t>Fadi.Haddad@bauer.de</t>
  </si>
  <si>
    <t>bognar.balazs@brkspecial.hu</t>
  </si>
  <si>
    <t>dmuschett@bauerpanama.com.pa</t>
  </si>
  <si>
    <t>bauer.design@dm.net.lb</t>
  </si>
  <si>
    <t>Pablo.Forgoso@bauer.de</t>
  </si>
  <si>
    <t>Mostafa.Abdel-Hamid@bauer.de</t>
  </si>
  <si>
    <t>Marco.Schwarzkopf@bauer.de</t>
  </si>
  <si>
    <t>Dachau</t>
  </si>
  <si>
    <t>Schrobenhausen</t>
  </si>
  <si>
    <t>Nordhausen</t>
  </si>
  <si>
    <t>Essen</t>
  </si>
  <si>
    <t>Ho Chi Minh City</t>
  </si>
  <si>
    <t>Berlin</t>
  </si>
  <si>
    <t>Wien</t>
  </si>
  <si>
    <t xml:space="preserve"> El Mohandseen Cairo / Egypt</t>
  </si>
  <si>
    <t>Sofia / Bulgaria</t>
  </si>
  <si>
    <t>BAUER Kanada</t>
  </si>
  <si>
    <t>Budapest</t>
  </si>
  <si>
    <t>Panama</t>
  </si>
  <si>
    <t>Beirut</t>
  </si>
  <si>
    <t>08252/97-1366</t>
  </si>
  <si>
    <t>08252/97-1382</t>
  </si>
  <si>
    <t>(0049)8252/97-1361</t>
  </si>
  <si>
    <t>(0049)8252/97-1124</t>
  </si>
  <si>
    <t>08252/97-1304</t>
  </si>
  <si>
    <t>(0049)3631/431-30</t>
  </si>
  <si>
    <t>0201/89401-27</t>
  </si>
  <si>
    <t>(0049)151/17110499</t>
  </si>
  <si>
    <t>(0084) 8 820 61 - 37</t>
  </si>
  <si>
    <t>08252/97-1301</t>
  </si>
  <si>
    <t>(0049)30/4377781-40</t>
  </si>
  <si>
    <t>(0049)8252/97-1372</t>
  </si>
  <si>
    <t>08252/97-1874</t>
  </si>
  <si>
    <t>+43(0)1/76022-0</t>
  </si>
  <si>
    <t xml:space="preserve"> (0020)-2-302-6083</t>
  </si>
  <si>
    <t xml:space="preserve"> (00359)-2974/3537</t>
  </si>
  <si>
    <t>08252/97-1487</t>
  </si>
  <si>
    <r>
      <t>08252/97-</t>
    </r>
    <r>
      <rPr>
        <sz val="11"/>
        <color rgb="FFFF0000"/>
        <rFont val="Arial"/>
        <family val="2"/>
      </rPr>
      <t>1297</t>
    </r>
  </si>
  <si>
    <t>(0036)-1-216-3053</t>
  </si>
  <si>
    <t xml:space="preserve">(00507)317-6078 </t>
  </si>
  <si>
    <t>(00961)-1-875-707</t>
  </si>
  <si>
    <r>
      <t>08252/97-</t>
    </r>
    <r>
      <rPr>
        <sz val="11"/>
        <color rgb="FFFF0000"/>
        <rFont val="Arial"/>
        <family val="2"/>
      </rPr>
      <t>1321</t>
    </r>
  </si>
  <si>
    <t>idk</t>
  </si>
  <si>
    <t>gla</t>
  </si>
  <si>
    <t>sima</t>
  </si>
  <si>
    <t>juu</t>
  </si>
  <si>
    <t>duo</t>
  </si>
  <si>
    <t>bjh</t>
  </si>
  <si>
    <t>kla</t>
  </si>
  <si>
    <t>wya</t>
  </si>
  <si>
    <t>NN</t>
  </si>
  <si>
    <t>chj</t>
  </si>
  <si>
    <t>asw</t>
  </si>
  <si>
    <t>min</t>
  </si>
  <si>
    <t>gia</t>
  </si>
  <si>
    <t>saf</t>
  </si>
  <si>
    <t>hdf</t>
  </si>
  <si>
    <t>bbu</t>
  </si>
  <si>
    <t>dmh</t>
  </si>
  <si>
    <t>abo</t>
  </si>
  <si>
    <t>foa</t>
  </si>
  <si>
    <t>ado</t>
  </si>
  <si>
    <t>sfc</t>
  </si>
  <si>
    <t>(0049)160/7117681</t>
  </si>
  <si>
    <t>(0049)170/4518026</t>
  </si>
  <si>
    <t>(0049)151/54441715</t>
  </si>
  <si>
    <t>(0049)151/57114179</t>
  </si>
  <si>
    <t>(0049)151/15124350</t>
  </si>
  <si>
    <t>(0049)151/57114196</t>
  </si>
  <si>
    <t xml:space="preserve">(0084)945469215 </t>
  </si>
  <si>
    <t>(0049)171/6544376</t>
  </si>
  <si>
    <t>(0049)171/6234597</t>
  </si>
  <si>
    <t>(0036)-30597-4814</t>
  </si>
  <si>
    <t>(00961)3-356-261</t>
  </si>
  <si>
    <t>Telefon</t>
  </si>
  <si>
    <t>Mobil</t>
  </si>
  <si>
    <t>Neu</t>
  </si>
  <si>
    <t>PSA</t>
  </si>
  <si>
    <t>Martin.Heinrich@bauer.de</t>
  </si>
  <si>
    <t>Michael.Reiter@bauer.de</t>
  </si>
  <si>
    <t>markus.neu@bauer.de</t>
  </si>
  <si>
    <t>Wolfgang.Ruscha@bauer.de</t>
  </si>
  <si>
    <t>ey</t>
  </si>
  <si>
    <t>CHANNELS305x102</t>
  </si>
  <si>
    <t>CHANNELS254x89</t>
  </si>
  <si>
    <t>CHANNELS254x76</t>
  </si>
  <si>
    <t>CHANNELS229x89</t>
  </si>
  <si>
    <t>CHANNELS229x76</t>
  </si>
  <si>
    <t>CHANNELS203x89</t>
  </si>
  <si>
    <t>CHANNELS203x76</t>
  </si>
  <si>
    <t>CHANNELS305x89</t>
  </si>
  <si>
    <t>U №20У</t>
  </si>
  <si>
    <t>U №30У</t>
  </si>
  <si>
    <t>S 460 Knick</t>
  </si>
  <si>
    <t>a</t>
  </si>
  <si>
    <t>a0</t>
  </si>
  <si>
    <t>GU 23N</t>
  </si>
  <si>
    <t>HEA140</t>
  </si>
  <si>
    <t>Chien-Hsun</t>
  </si>
  <si>
    <t>Chen</t>
  </si>
  <si>
    <t>ceh</t>
  </si>
  <si>
    <t>08252/97-3712</t>
  </si>
  <si>
    <t>Chien-Hsun,Chen</t>
  </si>
  <si>
    <t>chien-hsun.chen@bauer.de</t>
  </si>
  <si>
    <t>Iy EB</t>
  </si>
  <si>
    <t>e1</t>
  </si>
  <si>
    <t>e2</t>
  </si>
  <si>
    <t>KDVI/8</t>
  </si>
  <si>
    <t>kA</t>
  </si>
  <si>
    <t>GU 14N</t>
  </si>
  <si>
    <t>GU 15N</t>
  </si>
  <si>
    <t>GU 6N</t>
  </si>
  <si>
    <t>GU 7N</t>
  </si>
  <si>
    <t>GU 7S</t>
  </si>
  <si>
    <t>GU 8N</t>
  </si>
  <si>
    <t>GU 8S</t>
  </si>
  <si>
    <t>GU 16N</t>
  </si>
  <si>
    <t>GU 18N</t>
  </si>
  <si>
    <t>GU 20N</t>
  </si>
  <si>
    <t>GU 22N</t>
  </si>
  <si>
    <t>GU 16-400</t>
  </si>
  <si>
    <t>GU 18-400</t>
  </si>
  <si>
    <t>n. zul.</t>
  </si>
  <si>
    <t>Sohlflä[m²]</t>
  </si>
  <si>
    <t>Sohlumf[m]</t>
  </si>
  <si>
    <t>Minderstäm</t>
  </si>
  <si>
    <t>mEinspanntiSteckträger</t>
  </si>
  <si>
    <t>CAngrStahl</t>
  </si>
  <si>
    <t>CAngrBeton</t>
  </si>
  <si>
    <t>Rißbreitenbeschränkung</t>
  </si>
  <si>
    <t>γM1 Baustahl</t>
  </si>
  <si>
    <t>γM0 Baustahl</t>
  </si>
  <si>
    <t>γM2 Baustahl</t>
  </si>
  <si>
    <t>Anpassungsfaktor Passiver Erddruck aufgelöste Wände nach EAB (TBW)</t>
  </si>
  <si>
    <t>Schicht 6 Sohle</t>
  </si>
  <si>
    <t>a-Stütz</t>
  </si>
  <si>
    <t>Widerstände ΣRd,i =</t>
  </si>
  <si>
    <t>Sicherheit Beanspruchung</t>
  </si>
  <si>
    <t>Schubnachweis</t>
  </si>
  <si>
    <t>vorh. Dehnungen   eB / eS  =</t>
  </si>
  <si>
    <t>Ausnutzung Gleitsicherheit µ</t>
  </si>
  <si>
    <t>1) Es werden die Interaktionen M,V,N berücksichtigt.</t>
  </si>
  <si>
    <t>Char. Eingabewerte laut Verbau-Berechnung sowie Abschätzung der Normalkraft:</t>
  </si>
  <si>
    <t>Eingabewerte laut Berechnung sowie Abschätzung der Normalkraft:</t>
  </si>
  <si>
    <t>Reduktion V bei Blumscher Einspannung 50%</t>
  </si>
  <si>
    <t>Abminderungen</t>
  </si>
  <si>
    <t>&lt; 3,5 Standardpresspunkte/m</t>
  </si>
  <si>
    <t>Zusammenstellung der charakteristischen Schnittkräfte:</t>
  </si>
  <si>
    <t>Fußtragfähigkeit</t>
  </si>
  <si>
    <t>für gerammte/gerüttelte Träger nach Rossner, Winter: Normierte Verbau-</t>
  </si>
  <si>
    <t>Querschnittsklasse</t>
  </si>
  <si>
    <t>Eingabewerte laut Berechnung:</t>
  </si>
  <si>
    <t>Bem.Situation</t>
  </si>
  <si>
    <t>Design situation</t>
  </si>
  <si>
    <t>input acc.</t>
  </si>
  <si>
    <t>for driven/vibrated soldier piles accr. to Rossner, Winter: Normierte Verbau-</t>
  </si>
  <si>
    <t>end bearing capacity</t>
  </si>
  <si>
    <t>summary of actions:</t>
  </si>
  <si>
    <t>&gt; 3,5 additional crimps requiered</t>
  </si>
  <si>
    <t>&lt; 3,5 crimps/m</t>
  </si>
  <si>
    <t>Grenzzustandsbedingungen nach dem Verfahren Elastisch-Plastisch DIN EN 1993-1/-5 für</t>
  </si>
  <si>
    <t xml:space="preserve">dimensioning elastic-plastic accr. to DIN EN 1993-1/-6 </t>
  </si>
  <si>
    <t>reduction</t>
  </si>
  <si>
    <t>reduction of equivalent force 50%</t>
  </si>
  <si>
    <t>results of calculation and estimation of vertical forces:</t>
  </si>
  <si>
    <t>Characteristic results of calculation and estimation of vertical forces:</t>
  </si>
  <si>
    <t>1) interaction of M,V,N is taken into account</t>
  </si>
  <si>
    <t>utilisation factor of sliding µ</t>
  </si>
  <si>
    <t>actual strain eB / eS =</t>
  </si>
  <si>
    <t>shearing check</t>
  </si>
  <si>
    <t>bearing capacity ΣRd,i =</t>
  </si>
  <si>
    <t>safety factor for effects</t>
  </si>
  <si>
    <t>a-support</t>
  </si>
  <si>
    <t>sealing layer</t>
  </si>
  <si>
    <t>calibration factor for soldier pile walls accr. to EAB</t>
  </si>
  <si>
    <t>γM1 structural steel</t>
  </si>
  <si>
    <t>γM0 structural steel</t>
  </si>
  <si>
    <t>γM2 structural steel</t>
  </si>
  <si>
    <t>crack width limit</t>
  </si>
  <si>
    <t>length of fixed end</t>
  </si>
  <si>
    <t>L-section[m]</t>
  </si>
  <si>
    <t>area [m²]</t>
  </si>
  <si>
    <t>perimeter[m]</t>
  </si>
  <si>
    <t>Rinderer,Christian</t>
  </si>
  <si>
    <t>Rinderer</t>
  </si>
  <si>
    <t>Christian</t>
  </si>
  <si>
    <t>christian.rinderer@bauer-spezialtiefbau.at</t>
  </si>
  <si>
    <t>rds</t>
  </si>
  <si>
    <t>+43176022-107</t>
  </si>
  <si>
    <t>+436642438685</t>
  </si>
  <si>
    <t>Beanspruchung</t>
  </si>
  <si>
    <t>Loads</t>
  </si>
  <si>
    <t>L-Schnitt[m]</t>
  </si>
  <si>
    <t>Lasterhoehung beta</t>
  </si>
  <si>
    <t>Load increase beta</t>
  </si>
  <si>
    <t>Sicherheit Einwirkung Verk.</t>
  </si>
  <si>
    <t>Safety loads traffic</t>
  </si>
  <si>
    <t>Sicherheit Einwirkung Ständ.</t>
  </si>
  <si>
    <t>Safety loads permanent</t>
  </si>
  <si>
    <t>CodePage</t>
  </si>
  <si>
    <t>günstige ständige Einwirkungen</t>
  </si>
  <si>
    <t>favourable permanent loads</t>
  </si>
  <si>
    <t>ungünstige ständige Einwirkungen</t>
  </si>
  <si>
    <t>unfavourable permanent loads</t>
  </si>
  <si>
    <t>Bemessungswasserstand</t>
  </si>
  <si>
    <t>Water level for calculation</t>
  </si>
  <si>
    <t>Trogwasserstand</t>
  </si>
  <si>
    <t>Water level in excavation</t>
  </si>
  <si>
    <t>Bemessungswasserstand Sohle</t>
  </si>
  <si>
    <t>Water level for calculation,Cut off Slab</t>
  </si>
  <si>
    <t>Flächenlasten</t>
  </si>
  <si>
    <t>Surfaceload</t>
  </si>
  <si>
    <t>Gelände</t>
  </si>
  <si>
    <t>terrain</t>
  </si>
  <si>
    <t>in der Tiefe:</t>
  </si>
  <si>
    <t>in the depth:</t>
  </si>
  <si>
    <t>Schnittkräfte</t>
  </si>
  <si>
    <t>Section forces</t>
  </si>
  <si>
    <t>zug.</t>
  </si>
  <si>
    <t>belonging</t>
  </si>
  <si>
    <t>Nachweis Gurt</t>
  </si>
  <si>
    <t>Statiker</t>
  </si>
  <si>
    <t>Rückbau</t>
  </si>
  <si>
    <t>Backfill Phase</t>
  </si>
  <si>
    <t>Этап обр. Засыпки</t>
  </si>
  <si>
    <t>glob. Sicherheit Erdwiderstand</t>
  </si>
  <si>
    <t>Global passive earth press. safety</t>
  </si>
  <si>
    <t>Hr.</t>
  </si>
  <si>
    <t>Fr.</t>
  </si>
  <si>
    <t>Betonfestigkeit</t>
  </si>
  <si>
    <t>Bodentyp</t>
  </si>
  <si>
    <t>Erdwiderstand</t>
  </si>
  <si>
    <t>Passive earth press.</t>
  </si>
  <si>
    <t>Пассивное давл. гр.</t>
  </si>
  <si>
    <t>Wanddicke</t>
  </si>
  <si>
    <t>Wall thickn.</t>
  </si>
  <si>
    <t>Толщина стены</t>
  </si>
  <si>
    <t>Zusammenfassung</t>
  </si>
  <si>
    <t>Summary</t>
  </si>
  <si>
    <t>GW-Stand unter BGS</t>
  </si>
  <si>
    <t>Level of ground water below excavation level</t>
  </si>
  <si>
    <t>уровень ГВ ниже дна котл.</t>
  </si>
  <si>
    <t>minimale Querkraft</t>
  </si>
  <si>
    <t>Min. Shear force</t>
  </si>
  <si>
    <t>Мин. поперечная сила</t>
  </si>
  <si>
    <t>Block</t>
  </si>
  <si>
    <t>Блок</t>
  </si>
  <si>
    <t>Bodenkennwerte</t>
  </si>
  <si>
    <t>maximale Querkraft</t>
  </si>
  <si>
    <t>max. Shear Force</t>
  </si>
  <si>
    <t>Макс.поперечн. Сила</t>
  </si>
  <si>
    <t>Bearbeiter</t>
  </si>
  <si>
    <t>Design Eng.</t>
  </si>
  <si>
    <t>Инженер проекта</t>
  </si>
  <si>
    <t>Kosten Anker</t>
  </si>
  <si>
    <t>vorh. Ankerkraft</t>
  </si>
  <si>
    <t>существ.</t>
  </si>
  <si>
    <t>Schlitzdicke</t>
  </si>
  <si>
    <t>Panel width.</t>
  </si>
  <si>
    <t>Ширина панелей</t>
  </si>
  <si>
    <t>Widerstände</t>
  </si>
  <si>
    <t>Сопротивление</t>
  </si>
  <si>
    <r>
      <t>Nennfestigkeit f</t>
    </r>
    <r>
      <rPr>
        <vertAlign val="subscript"/>
        <sz val="10"/>
        <rFont val="Arial"/>
        <family val="2"/>
      </rPr>
      <t>yk</t>
    </r>
  </si>
  <si>
    <r>
      <t>Nominal strength f</t>
    </r>
    <r>
      <rPr>
        <vertAlign val="subscript"/>
        <sz val="10"/>
        <color indexed="8"/>
        <rFont val="Arial"/>
        <family val="2"/>
      </rPr>
      <t>yk</t>
    </r>
  </si>
  <si>
    <r>
      <t>Номинал. прочность f</t>
    </r>
    <r>
      <rPr>
        <vertAlign val="subscript"/>
        <sz val="10"/>
        <rFont val="Arial"/>
        <family val="2"/>
      </rPr>
      <t xml:space="preserve">yk </t>
    </r>
  </si>
  <si>
    <t>UK Injektionssohle</t>
  </si>
  <si>
    <t>Schnittgrößen</t>
  </si>
  <si>
    <t>Schlitzdicke d</t>
  </si>
  <si>
    <t>Schlitzlänge L</t>
  </si>
  <si>
    <t>Panel length, L</t>
  </si>
  <si>
    <t>Panel width. D</t>
  </si>
  <si>
    <t xml:space="preserve">Длина панелей, L </t>
  </si>
  <si>
    <t>Ширина панелей, d</t>
  </si>
  <si>
    <t>Unterkante Wand</t>
  </si>
  <si>
    <t xml:space="preserve">toe of wall </t>
  </si>
  <si>
    <t>Aufstandsfläche Wand</t>
  </si>
  <si>
    <t>supporting area wall</t>
  </si>
  <si>
    <t>Einzelträger</t>
  </si>
  <si>
    <t>Doppelträger</t>
  </si>
  <si>
    <t>Параметры грунта:</t>
  </si>
  <si>
    <t>Steifenneigung</t>
  </si>
  <si>
    <t>Strut slope</t>
  </si>
  <si>
    <t>Угол накл. расп.</t>
  </si>
  <si>
    <t xml:space="preserve">vertikaler Erddruck </t>
  </si>
  <si>
    <t>vertical earth press.</t>
  </si>
  <si>
    <t xml:space="preserve">вертик. давл. грунта </t>
  </si>
  <si>
    <t>Profil</t>
  </si>
  <si>
    <t>Profile</t>
  </si>
  <si>
    <t>Проф.</t>
  </si>
  <si>
    <t>profile</t>
  </si>
  <si>
    <t>Grundlage</t>
  </si>
  <si>
    <t>Bemessungsschnittgrößen:</t>
  </si>
  <si>
    <t>Величина усилий</t>
  </si>
  <si>
    <t>in der Tiefe</t>
  </si>
  <si>
    <t>in the depth</t>
  </si>
  <si>
    <t>на глубине</t>
  </si>
  <si>
    <t>на глубине:</t>
  </si>
  <si>
    <t xml:space="preserve">     in der Tiefe</t>
  </si>
  <si>
    <t xml:space="preserve">     in the depth</t>
  </si>
  <si>
    <t xml:space="preserve">     на глубине</t>
  </si>
  <si>
    <t>Moment luftseitig</t>
  </si>
  <si>
    <t>Moment on air side</t>
  </si>
  <si>
    <t>Момент со ст. котл.</t>
  </si>
  <si>
    <t>Moment erdseitig</t>
  </si>
  <si>
    <t>Moment on earth side</t>
  </si>
  <si>
    <t>Момент со ст. гр.</t>
  </si>
  <si>
    <t>GW-Stand</t>
  </si>
  <si>
    <t>Level of ground water</t>
  </si>
  <si>
    <t>Achsabstand</t>
  </si>
  <si>
    <t>C/c Spacing</t>
  </si>
  <si>
    <t>Fußkraft Ch</t>
  </si>
  <si>
    <t>Vertical foot force Ch</t>
  </si>
  <si>
    <t>Вертик. сила в опоре подошвы Ch</t>
  </si>
  <si>
    <t>Sicherheit bew. Beton</t>
  </si>
  <si>
    <t>Trägerhöhe</t>
  </si>
  <si>
    <t>Beam height</t>
  </si>
  <si>
    <t>Высота балки</t>
  </si>
  <si>
    <t>Schweißnähte</t>
  </si>
  <si>
    <t>weldings</t>
  </si>
  <si>
    <t>gewählt:</t>
  </si>
  <si>
    <t>Die Wände sind freistehend.</t>
  </si>
  <si>
    <t>Ruhedruck</t>
  </si>
  <si>
    <t>At rest press</t>
  </si>
  <si>
    <t>Давл. Покоя</t>
  </si>
  <si>
    <t>cisnienie</t>
  </si>
  <si>
    <t>Макс.поперечн. Сила:</t>
  </si>
  <si>
    <t>Grundbruch</t>
  </si>
  <si>
    <t>ground failure</t>
  </si>
  <si>
    <t xml:space="preserve">Die Baugrundschichtung wird entsprechend der Bohrung </t>
  </si>
  <si>
    <t xml:space="preserve">, vertikaler Erddruck </t>
  </si>
  <si>
    <t>Dicke</t>
  </si>
  <si>
    <t>Thickness</t>
  </si>
  <si>
    <t>Толщина</t>
  </si>
  <si>
    <t>Bereich</t>
  </si>
  <si>
    <t>area</t>
  </si>
  <si>
    <t>Stabverpreßpfähle mit Korrosionsschutz</t>
  </si>
  <si>
    <t>GEWI dopp. Korr.schutz</t>
  </si>
  <si>
    <t>selected:</t>
  </si>
  <si>
    <t>Bauleiter:</t>
  </si>
  <si>
    <t xml:space="preserve">2) special </t>
  </si>
  <si>
    <t xml:space="preserve">2. Gesonderte </t>
  </si>
  <si>
    <t>erf. Fmk</t>
  </si>
  <si>
    <t>Quezon City</t>
  </si>
  <si>
    <t xml:space="preserve"> +63 2 638 8687</t>
  </si>
  <si>
    <t>Cavizo,Edward</t>
  </si>
  <si>
    <t>Cavizo</t>
  </si>
  <si>
    <t>Edward</t>
  </si>
  <si>
    <t>e.cavizo@bauer.net.ph</t>
  </si>
  <si>
    <t>czo</t>
  </si>
  <si>
    <t>Lentge, Robert</t>
  </si>
  <si>
    <t>Lentge</t>
  </si>
  <si>
    <t>Robert</t>
  </si>
  <si>
    <t>Kelsterbach</t>
  </si>
  <si>
    <t>robert.lentge@bauer.de</t>
  </si>
  <si>
    <t>lgr</t>
  </si>
  <si>
    <t xml:space="preserve"> +491754829754</t>
  </si>
  <si>
    <t>Fyk</t>
  </si>
  <si>
    <t>Sigma-w,Rd</t>
  </si>
  <si>
    <t>[N/mm²]</t>
  </si>
  <si>
    <t>2x0,6''</t>
  </si>
  <si>
    <t>3x0,6''</t>
  </si>
  <si>
    <t>4x0,6''</t>
  </si>
  <si>
    <t>12x0,6"</t>
  </si>
  <si>
    <t>12x0,6" dopp Korrschutz</t>
  </si>
  <si>
    <t>12x0,6" doub corr</t>
  </si>
  <si>
    <t>2x0,62" dopp Korrschutz</t>
  </si>
  <si>
    <t>3x0,62" dopp Korrschutz</t>
  </si>
  <si>
    <t>2x0,62''</t>
  </si>
  <si>
    <t>3x0,62''</t>
  </si>
  <si>
    <t>4x0,62''</t>
  </si>
  <si>
    <t>12x0,62"</t>
  </si>
  <si>
    <t>4x0,62" dopp Korrschutz</t>
  </si>
  <si>
    <t>5x0,62" dopp Korrschutz</t>
  </si>
  <si>
    <t>6x0,62" dopp Korrschutz</t>
  </si>
  <si>
    <t>7x0,62" dopp Korrschutz</t>
  </si>
  <si>
    <t>8x0,62" dopp Korrschutz</t>
  </si>
  <si>
    <t>9x0,62" dopp Korrschutz</t>
  </si>
  <si>
    <t>10x0,62" dopp Korrschutz</t>
  </si>
  <si>
    <t>11x0,62" dopp Korrschutz</t>
  </si>
  <si>
    <t>12x0,62" dopp Korrschutz</t>
  </si>
  <si>
    <t>2x0,62" doub corr</t>
  </si>
  <si>
    <t>3x0,62" doub corr</t>
  </si>
  <si>
    <t>4x0,62" doub corr</t>
  </si>
  <si>
    <t>5x0,62" doub corr</t>
  </si>
  <si>
    <t>6x0,62" doub corr</t>
  </si>
  <si>
    <t>7x0,62" doub corr</t>
  </si>
  <si>
    <t>8x0,62'' doub corr</t>
  </si>
  <si>
    <t>9x0,62" doub corr</t>
  </si>
  <si>
    <t>10x0,62" doub corr</t>
  </si>
  <si>
    <t>11x0,62" doub corr</t>
  </si>
  <si>
    <t>12x0,62" doub corr</t>
  </si>
  <si>
    <t>TS2x0,6''</t>
  </si>
  <si>
    <t>TS2x0,62''</t>
  </si>
  <si>
    <t>TS3x0,62''</t>
  </si>
  <si>
    <t>TS4x0,62''</t>
  </si>
  <si>
    <t>TS5x0,62"</t>
  </si>
  <si>
    <t>TS6x0,62"</t>
  </si>
  <si>
    <t>TS7x0,62"</t>
  </si>
  <si>
    <t>TS8x0,62"</t>
  </si>
  <si>
    <t>TS9x0,62"</t>
  </si>
  <si>
    <t>TS10x0,62"</t>
  </si>
  <si>
    <t>TS11x0,62"</t>
  </si>
  <si>
    <t>TS12x0,62"</t>
  </si>
  <si>
    <t>PS2x0,62"</t>
  </si>
  <si>
    <t>PS3x0,62"</t>
  </si>
  <si>
    <t>PS4x0,62"</t>
  </si>
  <si>
    <t>PS5x0,62"</t>
  </si>
  <si>
    <t>PS6x0,62"</t>
  </si>
  <si>
    <t>PS7x0,62"</t>
  </si>
  <si>
    <t>PS8x0,62"</t>
  </si>
  <si>
    <t>PS9x0,62"</t>
  </si>
  <si>
    <t>PS10x0,62"</t>
  </si>
  <si>
    <t>PS11x0,62"</t>
  </si>
  <si>
    <t>PS12x0,62"</t>
  </si>
  <si>
    <t>TS3x0,6''</t>
  </si>
  <si>
    <t>TS4x0,6''</t>
  </si>
  <si>
    <t>TS5x0,6"</t>
  </si>
  <si>
    <t>TS6x0,6"</t>
  </si>
  <si>
    <t>TS7x0,6"</t>
  </si>
  <si>
    <t>TS8x0,6"</t>
  </si>
  <si>
    <t>TS9x0,6"</t>
  </si>
  <si>
    <t>TS10x0,6"</t>
  </si>
  <si>
    <t>TS11x0,6"</t>
  </si>
  <si>
    <t>TS12x0,6"</t>
  </si>
  <si>
    <t>PS2x0,6"</t>
  </si>
  <si>
    <t>PS3x0,6"</t>
  </si>
  <si>
    <t>PS4x0,6"</t>
  </si>
  <si>
    <t>PS5x0,6"</t>
  </si>
  <si>
    <t>PS6x0,6"</t>
  </si>
  <si>
    <t>PS7x0,6"</t>
  </si>
  <si>
    <t>PS8x0,6"</t>
  </si>
  <si>
    <t>PS9x0,6"</t>
  </si>
  <si>
    <t>PS10x0,6"</t>
  </si>
  <si>
    <t>PS11x0,6"</t>
  </si>
  <si>
    <t>PS12x0,6"</t>
  </si>
  <si>
    <t>Bauer</t>
  </si>
  <si>
    <t>Quitz</t>
  </si>
  <si>
    <t>Kleina</t>
  </si>
  <si>
    <t>Woyrsch</t>
  </si>
  <si>
    <t>Chropen</t>
  </si>
  <si>
    <t>Mincheva</t>
  </si>
  <si>
    <t>Stoyana</t>
  </si>
  <si>
    <t>U180</t>
  </si>
  <si>
    <t>Zul. Pp [kN] / Ausnutzung</t>
  </si>
  <si>
    <t>Permissible Pp [kN] / Utilization</t>
  </si>
  <si>
    <t>Grenzzustandsgleichung Pd &lt; Rt,d</t>
  </si>
  <si>
    <t>Boundary condition equation Ed&lt;Rt,d</t>
  </si>
  <si>
    <t>Der gesamte Erddruck wird aus der Wandberechnung für die Schnittkraftermittlung aus dem umgelagerten Erddruck sowie dem Erdwiderstand und der zulässigen Fußauflagerkraft der Schnittkraftermittlung berechnet.</t>
  </si>
  <si>
    <t xml:space="preserve">Der separate Nachweis der Gebrauchstauglichkeit kann erfahrungsgemäß entfallen. </t>
  </si>
  <si>
    <t xml:space="preserve">According to experience an additional analysis of the deformations of the wall is not obligatory necessary. </t>
  </si>
  <si>
    <t>08252/97-1831</t>
  </si>
  <si>
    <t>08252/97-1936</t>
  </si>
  <si>
    <t>meto</t>
  </si>
  <si>
    <t>Armel.Meda@bauer.de</t>
  </si>
  <si>
    <t>Jessica</t>
  </si>
  <si>
    <t>Meda</t>
  </si>
  <si>
    <t>Armel</t>
  </si>
  <si>
    <t>Meda,Armel</t>
  </si>
  <si>
    <t>Fax</t>
  </si>
  <si>
    <t>Reiner</t>
  </si>
  <si>
    <t>Reiner.Schedlbauer@bauer.de</t>
  </si>
  <si>
    <t>BGV NDH</t>
  </si>
  <si>
    <t>NL NDH</t>
  </si>
  <si>
    <t>Schmid</t>
  </si>
  <si>
    <t>Josef.Schmid@bauer.de</t>
  </si>
  <si>
    <t>NL Stuttgart</t>
  </si>
  <si>
    <t>NL RM</t>
  </si>
  <si>
    <t>Rüsseesheimer Str.100</t>
  </si>
  <si>
    <t>65451 Kelsterbach</t>
  </si>
  <si>
    <t>BAUER-Str. 1</t>
  </si>
  <si>
    <t>13507 Berlin</t>
  </si>
  <si>
    <t>Am Borsigturm 66</t>
  </si>
  <si>
    <t>NL NO</t>
  </si>
  <si>
    <t>139507 Berlin</t>
  </si>
  <si>
    <t>FT Traeger</t>
  </si>
  <si>
    <t>Pferner, David</t>
  </si>
  <si>
    <t>Pferner</t>
  </si>
  <si>
    <t>David</t>
  </si>
  <si>
    <t>David.Pferner@bauer.de</t>
  </si>
  <si>
    <t>pdf</t>
  </si>
  <si>
    <t>08252/97-3731</t>
  </si>
  <si>
    <t>Semeone.Mesfin@bauer.de</t>
  </si>
  <si>
    <t>Luan.Nguyen@bauer.de</t>
  </si>
  <si>
    <t>Onur.Baseski@bauer.de</t>
  </si>
  <si>
    <t>nya</t>
  </si>
  <si>
    <t>baon</t>
  </si>
  <si>
    <t>08252/97-2370</t>
  </si>
  <si>
    <t>08252/97-2416</t>
  </si>
  <si>
    <t>mfs</t>
  </si>
  <si>
    <t>08252/97-3939</t>
  </si>
  <si>
    <t>Mesfin, Semeone</t>
  </si>
  <si>
    <t>Mesfin</t>
  </si>
  <si>
    <t>Semeone</t>
  </si>
  <si>
    <t>Nguyen, Luan</t>
  </si>
  <si>
    <t>Nguyen</t>
  </si>
  <si>
    <t>Luan</t>
  </si>
  <si>
    <t>Baseski, Onur</t>
  </si>
  <si>
    <t>Baseski</t>
  </si>
  <si>
    <t>Onur</t>
  </si>
  <si>
    <t>Mesh reinf. is not sufficient.</t>
  </si>
  <si>
    <t>Mattenbewehrung nicht ausreichend</t>
  </si>
  <si>
    <t>Nagel,Jessica</t>
  </si>
  <si>
    <t>Jessica.Nagel@bauer.de</t>
  </si>
  <si>
    <t>ngj</t>
  </si>
  <si>
    <t>Bojja, Ragadeep</t>
  </si>
  <si>
    <t>Bojja</t>
  </si>
  <si>
    <t>Ragadeep</t>
  </si>
  <si>
    <t>Ragadeep.Bojja@bauer.de</t>
  </si>
  <si>
    <t>08252/97-3817</t>
  </si>
  <si>
    <t>bjg</t>
  </si>
  <si>
    <t>Hoffmann</t>
  </si>
  <si>
    <t>Lutz</t>
  </si>
  <si>
    <t>Rüsselsheimer Str. 100</t>
  </si>
  <si>
    <t>Lutz.Hoffmann@bauer.de</t>
  </si>
  <si>
    <t>hoz</t>
  </si>
  <si>
    <t>Walter</t>
  </si>
  <si>
    <t>Markus.Walter@bauer.de</t>
  </si>
  <si>
    <t>wms</t>
  </si>
  <si>
    <t>Kallmünzer</t>
  </si>
  <si>
    <t>Rudolf</t>
  </si>
  <si>
    <t>Rudolf.Kallmuenzer@bauer.de</t>
  </si>
  <si>
    <t>kard</t>
  </si>
  <si>
    <t>W530*66</t>
  </si>
  <si>
    <t>W610x195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</si>
</sst>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E+00"/>
  </numFmts>
  <fonts count="28" x14ac:knownFonts="1">
    <font>
      <sz val="10"/>
      <name val="Arial"/>
    </font>
    <font>
      <sz val="10"/>
      <name val="Arial"/>
      <family val="2"/>
    </font>
    <font>
      <u/>
      <sz val="8"/>
      <color indexed="12"/>
      <name val="Arial"/>
      <family val="2"/>
    </font>
    <font>
      <sz val="11"/>
      <name val="Arial"/>
      <family val="2"/>
    </font>
    <font>
      <sz val="8"/>
      <name val="Arial"/>
      <family val="2"/>
    </font>
    <font>
      <b/>
      <sz val="10"/>
      <name val="Arial"/>
      <family val="2"/>
    </font>
    <font>
      <sz val="10"/>
      <name val="Arial"/>
      <family val="2"/>
    </font>
    <font>
      <vertAlign val="superscript"/>
      <sz val="10"/>
      <name val="Arial"/>
      <family val="2"/>
    </font>
    <font>
      <vertAlign val="subscript"/>
      <sz val="10"/>
      <name val="Arial"/>
      <family val="2"/>
    </font>
    <font>
      <sz val="10"/>
      <color indexed="8"/>
      <name val="Arial"/>
      <family val="2"/>
    </font>
    <font>
      <sz val="10"/>
      <color indexed="10"/>
      <name val="Arial"/>
      <family val="2"/>
    </font>
    <font>
      <b/>
      <sz val="10"/>
      <color indexed="8"/>
      <name val="Arial"/>
      <family val="2"/>
    </font>
    <font>
      <vertAlign val="subscript"/>
      <sz val="10"/>
      <color indexed="8"/>
      <name val="Arial"/>
      <family val="2"/>
    </font>
    <font>
      <u/>
      <sz val="10"/>
      <name val="Arial"/>
      <family val="2"/>
    </font>
    <font>
      <vertAlign val="superscript"/>
      <sz val="10"/>
      <color indexed="8"/>
      <name val="Arial"/>
      <family val="2"/>
    </font>
    <font>
      <vertAlign val="subscript"/>
      <sz val="11"/>
      <name val="Arial"/>
      <family val="2"/>
    </font>
    <font>
      <b/>
      <sz val="14"/>
      <name val="Arial"/>
      <family val="2"/>
    </font>
    <font>
      <sz val="10"/>
      <color indexed="8"/>
      <name val="Arial"/>
      <family val="2"/>
    </font>
    <font>
      <sz val="8"/>
      <name val="Arial Narrow"/>
      <family val="2"/>
    </font>
    <font>
      <vertAlign val="superscript"/>
      <sz val="10"/>
      <color indexed="8"/>
      <name val="Arial"/>
      <family val="2"/>
    </font>
    <font>
      <u/>
      <sz val="10"/>
      <color indexed="8"/>
      <name val="Arial"/>
      <family val="2"/>
    </font>
    <font>
      <b/>
      <sz val="10"/>
      <color indexed="8"/>
      <name val="Arial"/>
      <family val="2"/>
    </font>
    <font>
      <b/>
      <sz val="8"/>
      <color indexed="8"/>
      <name val="MS Sans Serif"/>
      <family val="2"/>
    </font>
    <font>
      <sz val="8"/>
      <color indexed="8"/>
      <name val="MS Sans Serif"/>
      <family val="2"/>
    </font>
    <font>
      <sz val="10"/>
      <color rgb="FFFF0000"/>
      <name val="Arial"/>
      <family val="2"/>
    </font>
    <font>
      <b/>
      <sz val="12"/>
      <color rgb="FF000000"/>
      <name val="Arial"/>
      <family val="2"/>
    </font>
    <font>
      <b/>
      <sz val="11"/>
      <color rgb="FF000000"/>
      <name val="Arial"/>
      <family val="2"/>
    </font>
    <font>
      <sz val="11"/>
      <color rgb="FFFF0000"/>
      <name val="Arial"/>
      <family val="2"/>
    </font>
  </fonts>
  <fills count="7">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13"/>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10"/>
      </left>
      <right style="thin">
        <color indexed="10"/>
      </right>
      <top style="thin">
        <color indexed="10"/>
      </top>
      <bottom style="thin">
        <color indexed="10"/>
      </bottom>
      <diagonal/>
    </border>
    <border>
      <left style="thin">
        <color indexed="8"/>
      </left>
      <right/>
      <top style="thin">
        <color indexed="8"/>
      </top>
      <bottom style="thin">
        <color indexed="8"/>
      </bottom>
      <diagonal/>
    </border>
    <border>
      <left/>
      <right style="thin">
        <color indexed="8"/>
      </right>
      <top/>
      <bottom/>
      <diagonal/>
    </border>
    <border>
      <left style="thin">
        <color indexed="64"/>
      </left>
      <right style="thin">
        <color indexed="8"/>
      </right>
      <top style="thin">
        <color indexed="64"/>
      </top>
      <bottom style="thin">
        <color indexed="8"/>
      </bottom>
      <diagonal/>
    </border>
    <border>
      <left style="thin">
        <color indexed="8"/>
      </left>
      <right style="thin">
        <color indexed="8"/>
      </right>
      <top style="thin">
        <color indexed="64"/>
      </top>
      <bottom style="thin">
        <color indexed="8"/>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thin">
        <color indexed="64"/>
      </bottom>
      <diagonal/>
    </border>
    <border>
      <left style="thin">
        <color indexed="8"/>
      </left>
      <right/>
      <top style="thin">
        <color indexed="8"/>
      </top>
      <bottom style="thin">
        <color indexed="64"/>
      </bottom>
      <diagonal/>
    </border>
    <border>
      <left style="thin">
        <color indexed="8"/>
      </left>
      <right style="thin">
        <color indexed="8"/>
      </right>
      <top style="thin">
        <color indexed="64"/>
      </top>
      <bottom/>
      <diagonal/>
    </border>
    <border>
      <left style="thin">
        <color indexed="8"/>
      </left>
      <right style="thin">
        <color indexed="64"/>
      </right>
      <top style="thin">
        <color indexed="64"/>
      </top>
      <bottom/>
      <diagonal/>
    </border>
  </borders>
  <cellStyleXfs count="7">
    <xf numFmtId="0" fontId="0" fillId="0" borderId="0"/>
    <xf numFmtId="0" fontId="2" fillId="0" borderId="0" applyNumberFormat="0" applyFill="0" applyBorder="0" applyAlignment="0" applyProtection="0">
      <alignment vertical="top"/>
      <protection locked="0"/>
    </xf>
    <xf numFmtId="0" fontId="1" fillId="0" borderId="0"/>
    <xf numFmtId="0" fontId="3" fillId="0" borderId="0"/>
    <xf numFmtId="0" fontId="1" fillId="0" borderId="0"/>
    <xf numFmtId="0" fontId="1" fillId="0" borderId="0" applyBorder="0" applyAlignment="0"/>
    <xf numFmtId="0" fontId="1" fillId="0" borderId="0"/>
  </cellStyleXfs>
  <cellXfs count="179">
    <xf numFmtId="0" fontId="0" fillId="0" borderId="0" xfId="0"/>
    <xf numFmtId="0" fontId="1" fillId="2" borderId="1" xfId="5" applyNumberFormat="1" applyFont="1" applyFill="1" applyBorder="1" applyAlignment="1" applyProtection="1">
      <alignment horizontal="left" vertical="top" wrapText="1"/>
    </xf>
    <xf numFmtId="0" fontId="1" fillId="2" borderId="1" xfId="5" applyNumberFormat="1" applyFill="1" applyBorder="1" applyAlignment="1" applyProtection="1">
      <alignment horizontal="left" vertical="top" wrapText="1"/>
    </xf>
    <xf numFmtId="0" fontId="5" fillId="2" borderId="1" xfId="5" applyNumberFormat="1" applyFont="1" applyFill="1" applyBorder="1" applyAlignment="1" applyProtection="1">
      <alignment horizontal="left" vertical="top" wrapText="1"/>
      <protection locked="0"/>
    </xf>
    <xf numFmtId="0" fontId="1" fillId="3" borderId="1" xfId="5" applyNumberFormat="1" applyFont="1" applyFill="1" applyBorder="1" applyAlignment="1" applyProtection="1">
      <alignment horizontal="left" vertical="top" wrapText="1"/>
      <protection locked="0"/>
    </xf>
    <xf numFmtId="0" fontId="1" fillId="2" borderId="1" xfId="5" applyNumberFormat="1" applyFont="1" applyFill="1" applyBorder="1" applyAlignment="1" applyProtection="1">
      <alignment horizontal="left" vertical="top" wrapText="1"/>
      <protection locked="0"/>
    </xf>
    <xf numFmtId="0" fontId="1" fillId="3" borderId="1" xfId="5" applyNumberFormat="1" applyFill="1" applyBorder="1" applyAlignment="1" applyProtection="1">
      <alignment horizontal="left" vertical="top" wrapText="1"/>
      <protection locked="0"/>
    </xf>
    <xf numFmtId="0" fontId="1" fillId="3" borderId="1" xfId="5" applyNumberFormat="1" applyFont="1" applyFill="1" applyBorder="1" applyAlignment="1" applyProtection="1">
      <alignment horizontal="left" vertical="top" wrapText="1"/>
    </xf>
    <xf numFmtId="0" fontId="1" fillId="3" borderId="1" xfId="5" applyNumberFormat="1" applyFill="1" applyBorder="1" applyAlignment="1" applyProtection="1">
      <alignment horizontal="left" vertical="top" wrapText="1"/>
    </xf>
    <xf numFmtId="0" fontId="13" fillId="2" borderId="1" xfId="5" applyNumberFormat="1" applyFont="1" applyFill="1" applyBorder="1" applyAlignment="1" applyProtection="1">
      <alignment horizontal="left" vertical="top" wrapText="1"/>
    </xf>
    <xf numFmtId="0" fontId="6" fillId="2" borderId="1" xfId="5" applyNumberFormat="1" applyFont="1" applyFill="1" applyBorder="1" applyAlignment="1" applyProtection="1">
      <alignment horizontal="left" vertical="top" wrapText="1"/>
    </xf>
    <xf numFmtId="1" fontId="0" fillId="0" borderId="2" xfId="0" applyNumberFormat="1" applyFont="1" applyFill="1" applyBorder="1" applyAlignment="1" applyProtection="1">
      <alignment horizontal="right"/>
    </xf>
    <xf numFmtId="1" fontId="0" fillId="0" borderId="3" xfId="0" applyNumberFormat="1" applyFont="1" applyFill="1" applyBorder="1" applyAlignment="1" applyProtection="1">
      <alignment horizontal="right"/>
    </xf>
    <xf numFmtId="1" fontId="0" fillId="2" borderId="4" xfId="0" applyNumberFormat="1" applyFont="1" applyFill="1" applyBorder="1" applyAlignment="1" applyProtection="1">
      <alignment horizontal="right"/>
    </xf>
    <xf numFmtId="1" fontId="0" fillId="2" borderId="1" xfId="0" applyNumberFormat="1" applyFont="1" applyFill="1" applyBorder="1" applyAlignment="1" applyProtection="1">
      <alignment horizontal="right"/>
    </xf>
    <xf numFmtId="0" fontId="0" fillId="2" borderId="0" xfId="0" applyNumberFormat="1" applyFont="1" applyFill="1" applyBorder="1" applyAlignment="1" applyProtection="1">
      <alignment horizontal="right"/>
    </xf>
    <xf numFmtId="0" fontId="0" fillId="0" borderId="5" xfId="0" applyNumberFormat="1" applyFont="1" applyFill="1" applyBorder="1" applyAlignment="1" applyProtection="1">
      <alignment horizontal="right"/>
    </xf>
    <xf numFmtId="0" fontId="0" fillId="0" borderId="6" xfId="0" applyNumberFormat="1" applyFill="1" applyBorder="1" applyAlignment="1" applyProtection="1">
      <alignment horizontal="right"/>
    </xf>
    <xf numFmtId="0" fontId="0" fillId="2" borderId="4" xfId="0" applyNumberFormat="1" applyFont="1" applyFill="1" applyBorder="1" applyAlignment="1" applyProtection="1">
      <alignment horizontal="right"/>
    </xf>
    <xf numFmtId="0" fontId="0" fillId="2" borderId="1" xfId="0" applyNumberFormat="1" applyFont="1" applyFill="1" applyBorder="1" applyAlignment="1" applyProtection="1">
      <alignment horizontal="right"/>
    </xf>
    <xf numFmtId="1" fontId="0" fillId="2" borderId="1" xfId="0" applyNumberFormat="1" applyFill="1" applyBorder="1" applyAlignment="1" applyProtection="1">
      <alignment horizontal="right"/>
    </xf>
    <xf numFmtId="0" fontId="0" fillId="2" borderId="1" xfId="0" applyNumberFormat="1" applyFill="1" applyBorder="1" applyAlignment="1" applyProtection="1">
      <alignment horizontal="right"/>
    </xf>
    <xf numFmtId="164" fontId="0" fillId="2" borderId="1" xfId="0" applyNumberFormat="1" applyFont="1" applyFill="1" applyBorder="1" applyAlignment="1" applyProtection="1">
      <alignment horizontal="right"/>
    </xf>
    <xf numFmtId="0" fontId="0" fillId="0" borderId="7" xfId="0" applyNumberFormat="1" applyFont="1" applyFill="1" applyBorder="1" applyAlignment="1" applyProtection="1">
      <alignment horizontal="right"/>
    </xf>
    <xf numFmtId="0" fontId="0" fillId="0" borderId="8" xfId="0" applyNumberFormat="1" applyFont="1" applyFill="1" applyBorder="1" applyAlignment="1" applyProtection="1">
      <alignment horizontal="right"/>
    </xf>
    <xf numFmtId="1" fontId="0" fillId="2" borderId="1" xfId="0" quotePrefix="1" applyNumberFormat="1" applyFill="1" applyBorder="1" applyAlignment="1" applyProtection="1">
      <alignment horizontal="right"/>
    </xf>
    <xf numFmtId="0" fontId="0" fillId="2" borderId="9" xfId="0" applyNumberFormat="1" applyFont="1" applyFill="1" applyBorder="1" applyAlignment="1" applyProtection="1">
      <alignment horizontal="right"/>
    </xf>
    <xf numFmtId="0" fontId="0" fillId="3" borderId="9" xfId="0" applyNumberFormat="1" applyFont="1" applyFill="1" applyBorder="1" applyAlignment="1" applyProtection="1">
      <alignment horizontal="right"/>
      <protection locked="0"/>
    </xf>
    <xf numFmtId="0" fontId="0" fillId="3" borderId="1" xfId="0" applyNumberFormat="1" applyFont="1" applyFill="1" applyBorder="1" applyAlignment="1" applyProtection="1">
      <alignment horizontal="right"/>
      <protection locked="0"/>
    </xf>
    <xf numFmtId="1" fontId="0" fillId="3" borderId="1" xfId="0" applyNumberFormat="1" applyFont="1" applyFill="1" applyBorder="1" applyAlignment="1" applyProtection="1">
      <alignment horizontal="right"/>
      <protection locked="0"/>
    </xf>
    <xf numFmtId="1" fontId="0" fillId="3" borderId="1" xfId="0" applyNumberFormat="1" applyFill="1" applyBorder="1" applyAlignment="1" applyProtection="1">
      <alignment horizontal="right"/>
      <protection locked="0"/>
    </xf>
    <xf numFmtId="164" fontId="0" fillId="3" borderId="1" xfId="0" applyNumberFormat="1" applyFont="1" applyFill="1" applyBorder="1" applyAlignment="1" applyProtection="1">
      <alignment horizontal="right"/>
      <protection locked="0"/>
    </xf>
    <xf numFmtId="0" fontId="0" fillId="3" borderId="1" xfId="0" applyNumberFormat="1" applyFill="1" applyBorder="1" applyAlignment="1" applyProtection="1">
      <alignment horizontal="right"/>
      <protection locked="0"/>
    </xf>
    <xf numFmtId="1" fontId="0" fillId="2" borderId="0" xfId="0" applyNumberFormat="1" applyFont="1" applyFill="1" applyBorder="1" applyAlignment="1" applyProtection="1">
      <alignment horizontal="right"/>
    </xf>
    <xf numFmtId="164" fontId="0" fillId="2" borderId="0" xfId="0" applyNumberFormat="1" applyFont="1" applyFill="1" applyBorder="1" applyAlignment="1" applyProtection="1">
      <alignment horizontal="right"/>
    </xf>
    <xf numFmtId="0" fontId="0" fillId="2" borderId="2" xfId="0" applyNumberFormat="1" applyFont="1" applyFill="1" applyBorder="1" applyAlignment="1" applyProtection="1">
      <alignment horizontal="right"/>
    </xf>
    <xf numFmtId="0" fontId="0" fillId="2" borderId="3" xfId="0" applyNumberFormat="1" applyFont="1" applyFill="1" applyBorder="1" applyAlignment="1" applyProtection="1">
      <alignment horizontal="right"/>
    </xf>
    <xf numFmtId="0" fontId="0" fillId="2" borderId="5" xfId="0" applyNumberFormat="1" applyFont="1" applyFill="1" applyBorder="1" applyAlignment="1" applyProtection="1">
      <alignment horizontal="right"/>
    </xf>
    <xf numFmtId="0" fontId="0" fillId="2" borderId="6" xfId="0" applyNumberFormat="1" applyFont="1" applyFill="1" applyBorder="1" applyAlignment="1" applyProtection="1">
      <alignment horizontal="right"/>
    </xf>
    <xf numFmtId="0" fontId="0" fillId="2" borderId="7" xfId="0" applyNumberFormat="1" applyFont="1" applyFill="1" applyBorder="1" applyAlignment="1" applyProtection="1">
      <alignment horizontal="right"/>
    </xf>
    <xf numFmtId="0" fontId="0" fillId="2" borderId="8" xfId="0" applyNumberFormat="1" applyFont="1" applyFill="1" applyBorder="1" applyAlignment="1" applyProtection="1">
      <alignment horizontal="right"/>
    </xf>
    <xf numFmtId="0" fontId="0" fillId="2" borderId="1" xfId="0" quotePrefix="1" applyNumberFormat="1" applyFill="1" applyBorder="1" applyAlignment="1" applyProtection="1">
      <alignment horizontal="right"/>
    </xf>
    <xf numFmtId="0" fontId="0" fillId="3" borderId="9" xfId="0" applyNumberFormat="1" applyFill="1" applyBorder="1" applyAlignment="1" applyProtection="1">
      <alignment horizontal="right"/>
      <protection locked="0"/>
    </xf>
    <xf numFmtId="0" fontId="0" fillId="2" borderId="0" xfId="0" applyNumberFormat="1" applyFill="1" applyBorder="1" applyAlignment="1" applyProtection="1">
      <alignment horizontal="right"/>
    </xf>
    <xf numFmtId="0" fontId="0" fillId="2" borderId="0" xfId="0" quotePrefix="1" applyNumberFormat="1" applyFill="1" applyBorder="1" applyAlignment="1" applyProtection="1">
      <alignment horizontal="right"/>
    </xf>
    <xf numFmtId="0" fontId="0" fillId="2" borderId="0" xfId="0" applyNumberFormat="1" applyFont="1" applyFill="1" applyBorder="1" applyAlignment="1">
      <alignment horizontal="right"/>
    </xf>
    <xf numFmtId="2" fontId="0" fillId="2" borderId="0" xfId="0" applyNumberFormat="1" applyFont="1" applyFill="1" applyBorder="1" applyAlignment="1" applyProtection="1">
      <alignment horizontal="right"/>
    </xf>
    <xf numFmtId="164" fontId="0" fillId="2" borderId="0" xfId="0" applyNumberFormat="1" applyFill="1" applyBorder="1" applyAlignment="1" applyProtection="1">
      <alignment horizontal="right"/>
    </xf>
    <xf numFmtId="0" fontId="0" fillId="2" borderId="0" xfId="0" applyNumberFormat="1" applyFont="1" applyFill="1" applyBorder="1" applyAlignment="1">
      <alignment horizontal="center"/>
    </xf>
    <xf numFmtId="0" fontId="0" fillId="2" borderId="0" xfId="0" applyNumberFormat="1" applyFont="1" applyFill="1" applyBorder="1" applyAlignment="1"/>
    <xf numFmtId="0" fontId="0" fillId="2" borderId="3" xfId="0" applyNumberFormat="1" applyFont="1" applyFill="1" applyBorder="1" applyProtection="1"/>
    <xf numFmtId="0" fontId="0" fillId="2" borderId="10" xfId="0" applyNumberFormat="1" applyFont="1" applyFill="1" applyBorder="1" applyProtection="1"/>
    <xf numFmtId="0" fontId="0" fillId="2" borderId="0" xfId="0" applyNumberFormat="1" applyFont="1" applyFill="1" applyBorder="1" applyProtection="1"/>
    <xf numFmtId="0" fontId="0" fillId="2" borderId="8" xfId="0" applyNumberFormat="1" applyFont="1" applyFill="1" applyBorder="1" applyAlignment="1" applyProtection="1">
      <alignment wrapText="1"/>
    </xf>
    <xf numFmtId="0" fontId="0" fillId="2" borderId="9" xfId="0" applyNumberFormat="1" applyFont="1" applyFill="1" applyBorder="1" applyAlignment="1" applyProtection="1">
      <alignment wrapText="1"/>
    </xf>
    <xf numFmtId="0" fontId="0" fillId="2" borderId="9" xfId="0" applyNumberFormat="1" applyFill="1" applyBorder="1" applyAlignment="1" applyProtection="1">
      <alignment wrapText="1"/>
    </xf>
    <xf numFmtId="0" fontId="0" fillId="2" borderId="4" xfId="0" applyNumberFormat="1" applyFont="1" applyFill="1" applyBorder="1" applyProtection="1"/>
    <xf numFmtId="0" fontId="0" fillId="3" borderId="4" xfId="0" applyNumberFormat="1" applyFont="1" applyFill="1" applyBorder="1" applyProtection="1">
      <protection locked="0"/>
    </xf>
    <xf numFmtId="0" fontId="0" fillId="3" borderId="1" xfId="0" applyNumberFormat="1" applyFont="1" applyFill="1" applyBorder="1" applyProtection="1">
      <protection locked="0"/>
    </xf>
    <xf numFmtId="0" fontId="0" fillId="3" borderId="1" xfId="0" applyNumberFormat="1" applyFill="1" applyBorder="1" applyProtection="1">
      <protection locked="0"/>
    </xf>
    <xf numFmtId="0" fontId="0" fillId="2" borderId="4" xfId="0" applyNumberFormat="1" applyFill="1" applyBorder="1" applyProtection="1"/>
    <xf numFmtId="0" fontId="2" fillId="3" borderId="1" xfId="1" applyNumberFormat="1" applyFill="1" applyBorder="1" applyAlignment="1" applyProtection="1">
      <protection locked="0"/>
    </xf>
    <xf numFmtId="0" fontId="0" fillId="2" borderId="1" xfId="0" applyNumberFormat="1" applyFont="1" applyFill="1" applyBorder="1" applyAlignment="1"/>
    <xf numFmtId="0" fontId="0" fillId="2" borderId="1" xfId="0" applyNumberFormat="1" applyFont="1" applyFill="1" applyBorder="1" applyAlignment="1">
      <alignment horizontal="center"/>
    </xf>
    <xf numFmtId="0" fontId="0" fillId="4" borderId="1" xfId="0" applyNumberFormat="1" applyFill="1" applyBorder="1" applyAlignment="1">
      <alignment horizontal="right"/>
    </xf>
    <xf numFmtId="0" fontId="0" fillId="4" borderId="1" xfId="0" applyNumberFormat="1" applyFont="1" applyFill="1" applyBorder="1" applyAlignment="1"/>
    <xf numFmtId="0" fontId="0" fillId="4" borderId="1" xfId="0" applyNumberFormat="1" applyFont="1" applyFill="1" applyBorder="1" applyAlignment="1">
      <alignment horizontal="right"/>
    </xf>
    <xf numFmtId="2" fontId="0" fillId="4" borderId="1" xfId="0" applyNumberFormat="1" applyFont="1" applyFill="1" applyBorder="1" applyAlignment="1"/>
    <xf numFmtId="2" fontId="0" fillId="2" borderId="1" xfId="0" applyNumberFormat="1" applyFont="1" applyFill="1" applyBorder="1" applyAlignment="1"/>
    <xf numFmtId="2" fontId="0" fillId="2" borderId="1" xfId="0" applyNumberFormat="1" applyFont="1" applyFill="1" applyBorder="1" applyAlignment="1">
      <alignment horizontal="center"/>
    </xf>
    <xf numFmtId="0" fontId="16" fillId="2" borderId="0" xfId="0" applyNumberFormat="1" applyFont="1" applyFill="1" applyBorder="1" applyAlignment="1">
      <alignment horizontal="left"/>
    </xf>
    <xf numFmtId="0" fontId="1" fillId="3" borderId="1" xfId="4" applyNumberFormat="1" applyFont="1" applyFill="1" applyBorder="1" applyAlignment="1" applyProtection="1">
      <alignment horizontal="left" vertical="top" wrapText="1"/>
      <protection locked="0"/>
    </xf>
    <xf numFmtId="0" fontId="1" fillId="3" borderId="4" xfId="4" applyNumberFormat="1" applyFont="1" applyFill="1" applyBorder="1" applyAlignment="1" applyProtection="1">
      <alignment horizontal="left" vertical="top" wrapText="1"/>
      <protection locked="0"/>
    </xf>
    <xf numFmtId="0" fontId="5" fillId="2" borderId="1" xfId="5" applyNumberFormat="1" applyFont="1" applyFill="1" applyBorder="1" applyAlignment="1" applyProtection="1">
      <alignment horizontal="left" vertical="top" wrapText="1"/>
    </xf>
    <xf numFmtId="0" fontId="6" fillId="0" borderId="1" xfId="5" applyFont="1" applyBorder="1" applyAlignment="1" applyProtection="1">
      <alignment horizontal="left" vertical="top" wrapText="1"/>
    </xf>
    <xf numFmtId="0" fontId="7" fillId="0" borderId="1" xfId="5" applyFont="1" applyBorder="1" applyAlignment="1" applyProtection="1">
      <alignment horizontal="left" vertical="top" wrapText="1"/>
    </xf>
    <xf numFmtId="0" fontId="9" fillId="0" borderId="1" xfId="5" applyFont="1" applyBorder="1" applyAlignment="1" applyProtection="1">
      <alignment horizontal="left" vertical="top" wrapText="1"/>
    </xf>
    <xf numFmtId="0" fontId="11" fillId="0" borderId="1" xfId="5" applyFont="1" applyBorder="1" applyAlignment="1" applyProtection="1">
      <alignment horizontal="left" vertical="top" wrapText="1"/>
    </xf>
    <xf numFmtId="0" fontId="10" fillId="0" borderId="1" xfId="5" applyFont="1" applyBorder="1" applyAlignment="1" applyProtection="1">
      <alignment horizontal="left" vertical="top" wrapText="1"/>
    </xf>
    <xf numFmtId="0" fontId="5" fillId="0" borderId="1" xfId="5" applyFont="1" applyBorder="1" applyAlignment="1" applyProtection="1">
      <alignment horizontal="left" vertical="top" wrapText="1"/>
    </xf>
    <xf numFmtId="0" fontId="14" fillId="0" borderId="1" xfId="5" applyFont="1" applyBorder="1" applyAlignment="1" applyProtection="1">
      <alignment horizontal="left" vertical="top" wrapText="1"/>
    </xf>
    <xf numFmtId="0" fontId="1" fillId="2" borderId="1" xfId="0" applyFont="1" applyFill="1" applyBorder="1" applyAlignment="1" applyProtection="1">
      <alignment horizontal="left" vertical="top" wrapText="1"/>
    </xf>
    <xf numFmtId="0" fontId="17" fillId="3" borderId="1" xfId="5" applyNumberFormat="1" applyFont="1" applyFill="1" applyBorder="1" applyAlignment="1" applyProtection="1">
      <alignment horizontal="left" vertical="top" wrapText="1"/>
      <protection locked="0"/>
    </xf>
    <xf numFmtId="0" fontId="0" fillId="2" borderId="1" xfId="5" applyNumberFormat="1" applyFont="1" applyFill="1" applyBorder="1" applyAlignment="1" applyProtection="1">
      <alignment horizontal="left" vertical="top" wrapText="1"/>
    </xf>
    <xf numFmtId="0" fontId="18" fillId="2" borderId="2" xfId="0" applyNumberFormat="1" applyFont="1" applyFill="1" applyBorder="1" applyProtection="1"/>
    <xf numFmtId="0" fontId="18" fillId="2" borderId="7" xfId="0" applyNumberFormat="1" applyFont="1" applyFill="1" applyBorder="1" applyProtection="1"/>
    <xf numFmtId="0" fontId="18" fillId="2" borderId="11" xfId="0" applyNumberFormat="1" applyFont="1" applyFill="1" applyBorder="1" applyProtection="1"/>
    <xf numFmtId="0" fontId="1" fillId="5" borderId="1" xfId="5" applyNumberFormat="1" applyFont="1" applyFill="1" applyBorder="1" applyAlignment="1" applyProtection="1">
      <alignment horizontal="left" vertical="top" wrapText="1"/>
    </xf>
    <xf numFmtId="0" fontId="1" fillId="5" borderId="1" xfId="5" applyNumberFormat="1" applyFont="1" applyFill="1" applyBorder="1" applyAlignment="1" applyProtection="1">
      <alignment horizontal="left" vertical="top" wrapText="1"/>
      <protection locked="0"/>
    </xf>
    <xf numFmtId="0" fontId="17" fillId="2" borderId="1" xfId="5" applyNumberFormat="1" applyFont="1" applyFill="1" applyBorder="1" applyAlignment="1" applyProtection="1">
      <alignment horizontal="left" vertical="top" wrapText="1"/>
    </xf>
    <xf numFmtId="0" fontId="17" fillId="3" borderId="1" xfId="5" applyNumberFormat="1" applyFont="1" applyFill="1" applyBorder="1" applyAlignment="1" applyProtection="1">
      <alignment horizontal="left" vertical="top" wrapText="1"/>
    </xf>
    <xf numFmtId="0" fontId="17" fillId="3" borderId="1" xfId="5" applyFont="1" applyFill="1" applyBorder="1" applyAlignment="1">
      <alignment horizontal="left" vertical="top" wrapText="1"/>
    </xf>
    <xf numFmtId="0" fontId="17" fillId="3" borderId="0" xfId="3" applyFont="1" applyFill="1" applyAlignment="1">
      <alignment horizontal="left" vertical="top" wrapText="1"/>
    </xf>
    <xf numFmtId="0" fontId="19" fillId="3" borderId="1" xfId="5" applyFont="1" applyFill="1" applyBorder="1" applyAlignment="1">
      <alignment horizontal="left" vertical="top" wrapText="1"/>
    </xf>
    <xf numFmtId="0" fontId="20" fillId="3" borderId="1" xfId="5" applyNumberFormat="1" applyFont="1" applyFill="1" applyBorder="1" applyAlignment="1" applyProtection="1">
      <alignment horizontal="left" vertical="top" wrapText="1"/>
    </xf>
    <xf numFmtId="0" fontId="17" fillId="5" borderId="1" xfId="5" applyNumberFormat="1" applyFont="1" applyFill="1" applyBorder="1" applyAlignment="1" applyProtection="1">
      <alignment horizontal="left" vertical="top" wrapText="1"/>
      <protection locked="0"/>
    </xf>
    <xf numFmtId="0" fontId="21" fillId="3" borderId="1" xfId="5" applyFont="1" applyFill="1" applyBorder="1" applyAlignment="1">
      <alignment horizontal="left" vertical="top" wrapText="1"/>
    </xf>
    <xf numFmtId="0" fontId="17" fillId="3" borderId="1" xfId="0" applyFont="1" applyFill="1" applyBorder="1" applyAlignment="1" applyProtection="1">
      <alignment horizontal="left" vertical="top" wrapText="1"/>
      <protection locked="0"/>
    </xf>
    <xf numFmtId="0" fontId="0" fillId="2" borderId="4" xfId="0" quotePrefix="1" applyNumberFormat="1" applyFill="1" applyBorder="1" applyAlignment="1" applyProtection="1">
      <alignment horizontal="right"/>
    </xf>
    <xf numFmtId="0" fontId="0" fillId="2" borderId="1" xfId="0" quotePrefix="1" applyNumberFormat="1" applyFill="1" applyBorder="1" applyAlignment="1" applyProtection="1">
      <alignment horizontal="right" wrapText="1"/>
    </xf>
    <xf numFmtId="0" fontId="0" fillId="2" borderId="1" xfId="0" applyNumberFormat="1" applyFill="1" applyBorder="1" applyAlignment="1" applyProtection="1">
      <alignment horizontal="left" wrapText="1"/>
    </xf>
    <xf numFmtId="0" fontId="0" fillId="3" borderId="1" xfId="0" applyNumberFormat="1" applyFill="1" applyBorder="1" applyAlignment="1" applyProtection="1">
      <alignment horizontal="left"/>
      <protection locked="0"/>
    </xf>
    <xf numFmtId="0" fontId="0" fillId="3" borderId="1" xfId="0" quotePrefix="1" applyNumberFormat="1" applyFill="1" applyBorder="1" applyAlignment="1" applyProtection="1">
      <alignment horizontal="left"/>
      <protection locked="0"/>
    </xf>
    <xf numFmtId="0" fontId="0" fillId="3" borderId="1" xfId="0" applyNumberFormat="1" applyFont="1" applyFill="1" applyBorder="1" applyAlignment="1" applyProtection="1">
      <alignment horizontal="left" vertical="top" wrapText="1"/>
      <protection locked="0"/>
    </xf>
    <xf numFmtId="1" fontId="0" fillId="3" borderId="1" xfId="0" applyNumberFormat="1" applyFill="1" applyBorder="1" applyAlignment="1" applyProtection="1">
      <alignment horizontal="left" vertical="top" wrapText="1"/>
      <protection locked="0"/>
    </xf>
    <xf numFmtId="0" fontId="0" fillId="3" borderId="1" xfId="0" applyNumberFormat="1" applyFill="1" applyBorder="1" applyAlignment="1" applyProtection="1">
      <alignment horizontal="left" vertical="top" wrapText="1"/>
      <protection locked="0"/>
    </xf>
    <xf numFmtId="0" fontId="0" fillId="3" borderId="1" xfId="0" quotePrefix="1" applyNumberFormat="1" applyFill="1" applyBorder="1" applyAlignment="1" applyProtection="1">
      <alignment horizontal="left" vertical="top" wrapText="1"/>
      <protection locked="0"/>
    </xf>
    <xf numFmtId="0" fontId="0" fillId="3" borderId="1" xfId="0" quotePrefix="1" applyNumberFormat="1" applyFill="1" applyBorder="1" applyAlignment="1" applyProtection="1">
      <alignment horizontal="right"/>
      <protection locked="0"/>
    </xf>
    <xf numFmtId="16" fontId="0" fillId="3" borderId="1" xfId="0" quotePrefix="1" applyNumberFormat="1" applyFill="1" applyBorder="1" applyAlignment="1" applyProtection="1">
      <alignment horizontal="right"/>
      <protection locked="0"/>
    </xf>
    <xf numFmtId="0" fontId="0" fillId="2" borderId="0" xfId="0" applyNumberFormat="1" applyFill="1" applyBorder="1" applyAlignment="1" applyProtection="1">
      <alignment horizontal="left"/>
    </xf>
    <xf numFmtId="0" fontId="0" fillId="2" borderId="1" xfId="0" applyNumberFormat="1" applyFill="1" applyBorder="1" applyAlignment="1" applyProtection="1">
      <alignment horizontal="left"/>
    </xf>
    <xf numFmtId="1" fontId="0" fillId="3" borderId="1" xfId="0" applyNumberFormat="1" applyFill="1" applyBorder="1" applyAlignment="1" applyProtection="1">
      <alignment horizontal="left"/>
      <protection locked="0"/>
    </xf>
    <xf numFmtId="0" fontId="0" fillId="3" borderId="1" xfId="0" applyNumberFormat="1" applyFont="1" applyFill="1" applyBorder="1" applyAlignment="1" applyProtection="1">
      <alignment horizontal="left"/>
      <protection locked="0"/>
    </xf>
    <xf numFmtId="0" fontId="0" fillId="0" borderId="0" xfId="0" applyNumberFormat="1" applyFont="1" applyFill="1" applyBorder="1" applyAlignment="1" applyProtection="1"/>
    <xf numFmtId="0" fontId="0" fillId="0" borderId="0" xfId="0" applyNumberFormat="1" applyFont="1" applyFill="1" applyBorder="1" applyAlignment="1" applyProtection="1">
      <alignment horizontal="center"/>
    </xf>
    <xf numFmtId="0" fontId="23" fillId="0" borderId="12" xfId="0" quotePrefix="1" applyNumberFormat="1" applyFont="1" applyFill="1" applyBorder="1" applyAlignment="1" applyProtection="1">
      <alignment horizontal="left" vertical="top" wrapText="1"/>
      <protection locked="0"/>
    </xf>
    <xf numFmtId="0" fontId="22" fillId="0" borderId="12" xfId="0" applyNumberFormat="1" applyFont="1" applyFill="1" applyBorder="1" applyAlignment="1" applyProtection="1">
      <alignment horizontal="center"/>
      <protection locked="0"/>
    </xf>
    <xf numFmtId="0" fontId="23" fillId="0" borderId="12" xfId="0" applyNumberFormat="1" applyFont="1" applyFill="1" applyBorder="1" applyAlignment="1" applyProtection="1">
      <alignment horizontal="left" vertical="top" wrapText="1"/>
      <protection locked="0"/>
    </xf>
    <xf numFmtId="0" fontId="10" fillId="3" borderId="1" xfId="5" applyNumberFormat="1" applyFont="1" applyFill="1" applyBorder="1" applyAlignment="1" applyProtection="1">
      <alignment horizontal="left" vertical="top" wrapText="1"/>
      <protection locked="0"/>
    </xf>
    <xf numFmtId="164" fontId="0" fillId="3" borderId="1" xfId="0" applyNumberFormat="1" applyFill="1" applyBorder="1" applyAlignment="1" applyProtection="1">
      <alignment horizontal="right"/>
      <protection locked="0"/>
    </xf>
    <xf numFmtId="0" fontId="0" fillId="2" borderId="1" xfId="0" applyNumberFormat="1" applyFill="1" applyBorder="1" applyAlignment="1" applyProtection="1">
      <alignment horizontal="right"/>
      <protection locked="0"/>
    </xf>
    <xf numFmtId="0" fontId="7" fillId="3" borderId="1" xfId="5" applyNumberFormat="1" applyFont="1" applyFill="1" applyBorder="1" applyAlignment="1" applyProtection="1">
      <alignment horizontal="left" vertical="top" wrapText="1"/>
      <protection locked="0"/>
    </xf>
    <xf numFmtId="165" fontId="0" fillId="3" borderId="1" xfId="0" applyNumberFormat="1" applyFont="1" applyFill="1" applyBorder="1" applyAlignment="1" applyProtection="1">
      <alignment horizontal="right"/>
      <protection locked="0"/>
    </xf>
    <xf numFmtId="165" fontId="0" fillId="3" borderId="1" xfId="0" applyNumberFormat="1" applyFill="1" applyBorder="1" applyAlignment="1" applyProtection="1">
      <alignment horizontal="left"/>
      <protection locked="0"/>
    </xf>
    <xf numFmtId="0" fontId="1" fillId="2" borderId="1" xfId="2" applyNumberFormat="1" applyFill="1" applyBorder="1" applyAlignment="1" applyProtection="1">
      <alignment horizontal="right"/>
      <protection locked="0"/>
    </xf>
    <xf numFmtId="0" fontId="1" fillId="3" borderId="1" xfId="2" applyNumberFormat="1" applyFill="1" applyBorder="1" applyAlignment="1" applyProtection="1">
      <alignment horizontal="left" vertical="top" wrapText="1"/>
      <protection locked="0"/>
    </xf>
    <xf numFmtId="0" fontId="1" fillId="3" borderId="1" xfId="2" applyNumberFormat="1" applyFont="1" applyFill="1" applyBorder="1" applyAlignment="1" applyProtection="1">
      <alignment horizontal="left" vertical="top" wrapText="1"/>
      <protection locked="0"/>
    </xf>
    <xf numFmtId="0" fontId="22" fillId="0" borderId="12" xfId="0" applyNumberFormat="1" applyFont="1" applyFill="1" applyBorder="1" applyAlignment="1" applyProtection="1">
      <alignment horizontal="center" wrapText="1"/>
      <protection locked="0"/>
    </xf>
    <xf numFmtId="4" fontId="23" fillId="0" borderId="12" xfId="0" applyNumberFormat="1" applyFont="1" applyFill="1" applyBorder="1" applyAlignment="1" applyProtection="1">
      <alignment horizontal="right" vertical="top" wrapText="1"/>
      <protection locked="0"/>
    </xf>
    <xf numFmtId="0" fontId="23" fillId="0" borderId="13" xfId="0" applyNumberFormat="1" applyFont="1" applyFill="1" applyBorder="1" applyAlignment="1" applyProtection="1">
      <alignment horizontal="left" vertical="top" wrapText="1"/>
      <protection locked="0"/>
    </xf>
    <xf numFmtId="4" fontId="23" fillId="0" borderId="13" xfId="0" applyNumberFormat="1" applyFont="1" applyFill="1" applyBorder="1" applyAlignment="1" applyProtection="1">
      <alignment horizontal="right" vertical="top" wrapText="1"/>
      <protection locked="0"/>
    </xf>
    <xf numFmtId="0" fontId="22" fillId="0" borderId="12" xfId="0" applyNumberFormat="1" applyFont="1" applyFill="1" applyBorder="1" applyAlignment="1" applyProtection="1">
      <alignment horizontal="right"/>
      <protection locked="0"/>
    </xf>
    <xf numFmtId="0" fontId="22" fillId="0" borderId="14" xfId="0" applyNumberFormat="1" applyFont="1" applyFill="1" applyBorder="1" applyAlignment="1" applyProtection="1">
      <alignment horizontal="center"/>
      <protection locked="0"/>
    </xf>
    <xf numFmtId="0" fontId="23" fillId="0" borderId="14" xfId="0" applyNumberFormat="1" applyFont="1" applyFill="1" applyBorder="1" applyAlignment="1" applyProtection="1">
      <alignment horizontal="left" vertical="top" wrapText="1"/>
      <protection locked="0"/>
    </xf>
    <xf numFmtId="0" fontId="22" fillId="0" borderId="15" xfId="0" applyNumberFormat="1" applyFont="1" applyFill="1" applyBorder="1" applyAlignment="1" applyProtection="1">
      <alignment horizontal="center" wrapText="1"/>
      <protection locked="0"/>
    </xf>
    <xf numFmtId="4" fontId="23" fillId="0" borderId="15" xfId="0" applyNumberFormat="1" applyFont="1" applyFill="1" applyBorder="1" applyAlignment="1" applyProtection="1">
      <alignment horizontal="right" vertical="top" wrapText="1"/>
      <protection locked="0"/>
    </xf>
    <xf numFmtId="0" fontId="22" fillId="0" borderId="16" xfId="0" applyNumberFormat="1" applyFont="1" applyFill="1" applyBorder="1" applyAlignment="1" applyProtection="1">
      <alignment horizontal="center" wrapText="1"/>
      <protection locked="0"/>
    </xf>
    <xf numFmtId="0" fontId="22" fillId="0" borderId="17" xfId="0" applyNumberFormat="1" applyFont="1" applyFill="1" applyBorder="1" applyAlignment="1" applyProtection="1">
      <alignment horizontal="center" vertical="top" wrapText="1"/>
      <protection locked="0"/>
    </xf>
    <xf numFmtId="4" fontId="23" fillId="0" borderId="18" xfId="0" applyNumberFormat="1" applyFont="1" applyFill="1" applyBorder="1" applyAlignment="1" applyProtection="1">
      <alignment horizontal="right" vertical="top" wrapText="1"/>
      <protection locked="0"/>
    </xf>
    <xf numFmtId="4" fontId="23" fillId="0" borderId="19" xfId="0" applyNumberFormat="1" applyFont="1" applyFill="1" applyBorder="1" applyAlignment="1" applyProtection="1">
      <alignment horizontal="right" vertical="top" wrapText="1"/>
      <protection locked="0"/>
    </xf>
    <xf numFmtId="4" fontId="23" fillId="0" borderId="14" xfId="0" applyNumberFormat="1" applyFont="1" applyFill="1" applyBorder="1" applyAlignment="1" applyProtection="1">
      <alignment horizontal="right" vertical="top" wrapText="1"/>
      <protection locked="0"/>
    </xf>
    <xf numFmtId="4" fontId="23" fillId="0" borderId="20" xfId="0" applyNumberFormat="1" applyFont="1" applyFill="1" applyBorder="1" applyAlignment="1" applyProtection="1">
      <alignment horizontal="right" vertical="top" wrapText="1"/>
      <protection locked="0"/>
    </xf>
    <xf numFmtId="0" fontId="22" fillId="0" borderId="21" xfId="0" applyNumberFormat="1" applyFont="1" applyFill="1" applyBorder="1" applyAlignment="1" applyProtection="1">
      <alignment horizontal="center" vertical="top" wrapText="1"/>
      <protection locked="0"/>
    </xf>
    <xf numFmtId="0" fontId="22" fillId="0" borderId="22" xfId="0" applyNumberFormat="1" applyFont="1" applyFill="1" applyBorder="1" applyAlignment="1" applyProtection="1">
      <alignment horizontal="center" vertical="top" wrapText="1"/>
      <protection locked="0"/>
    </xf>
    <xf numFmtId="4" fontId="23" fillId="0" borderId="1" xfId="0" applyNumberFormat="1" applyFont="1" applyFill="1" applyBorder="1" applyAlignment="1" applyProtection="1">
      <alignment horizontal="right" vertical="top" wrapText="1"/>
      <protection locked="0"/>
    </xf>
    <xf numFmtId="0" fontId="9" fillId="3" borderId="1" xfId="5" applyNumberFormat="1" applyFont="1" applyFill="1" applyBorder="1" applyAlignment="1" applyProtection="1">
      <alignment horizontal="left" vertical="top" wrapText="1"/>
      <protection locked="0"/>
    </xf>
    <xf numFmtId="0" fontId="9" fillId="3" borderId="1" xfId="5" applyNumberFormat="1" applyFont="1" applyFill="1" applyBorder="1" applyAlignment="1" applyProtection="1">
      <alignment horizontal="left" vertical="top" wrapText="1"/>
    </xf>
    <xf numFmtId="0" fontId="1" fillId="0" borderId="1" xfId="5" applyFont="1" applyBorder="1" applyAlignment="1" applyProtection="1">
      <alignment horizontal="left" vertical="top" wrapText="1"/>
    </xf>
    <xf numFmtId="0" fontId="1" fillId="3" borderId="1" xfId="0" applyNumberFormat="1" applyFont="1" applyFill="1" applyBorder="1" applyAlignment="1" applyProtection="1">
      <alignment horizontal="right"/>
      <protection locked="0"/>
    </xf>
    <xf numFmtId="1" fontId="1" fillId="3" borderId="1" xfId="0" applyNumberFormat="1" applyFont="1" applyFill="1" applyBorder="1" applyAlignment="1" applyProtection="1">
      <alignment horizontal="right"/>
      <protection locked="0"/>
    </xf>
    <xf numFmtId="164" fontId="1" fillId="3" borderId="1" xfId="0" applyNumberFormat="1" applyFont="1" applyFill="1" applyBorder="1" applyAlignment="1" applyProtection="1">
      <alignment horizontal="right"/>
      <protection locked="0"/>
    </xf>
    <xf numFmtId="0" fontId="24" fillId="3" borderId="1" xfId="0" applyNumberFormat="1" applyFont="1" applyFill="1" applyBorder="1" applyAlignment="1" applyProtection="1">
      <alignment horizontal="right"/>
      <protection locked="0"/>
    </xf>
    <xf numFmtId="164" fontId="24" fillId="3" borderId="1" xfId="0" applyNumberFormat="1" applyFont="1" applyFill="1" applyBorder="1" applyAlignment="1" applyProtection="1">
      <alignment horizontal="right"/>
      <protection locked="0"/>
    </xf>
    <xf numFmtId="1" fontId="24" fillId="3" borderId="1" xfId="0" applyNumberFormat="1" applyFont="1" applyFill="1" applyBorder="1" applyAlignment="1" applyProtection="1">
      <alignment horizontal="right"/>
      <protection locked="0"/>
    </xf>
    <xf numFmtId="0" fontId="9" fillId="3" borderId="1" xfId="5" applyFont="1" applyFill="1" applyBorder="1" applyAlignment="1">
      <alignment horizontal="left" vertical="top" wrapText="1"/>
    </xf>
    <xf numFmtId="0" fontId="1" fillId="3" borderId="1" xfId="0" applyNumberFormat="1" applyFont="1" applyFill="1" applyBorder="1" applyProtection="1">
      <protection locked="0"/>
    </xf>
    <xf numFmtId="0" fontId="1" fillId="2" borderId="4" xfId="0" applyNumberFormat="1" applyFont="1" applyFill="1" applyBorder="1" applyProtection="1"/>
    <xf numFmtId="2" fontId="0" fillId="3" borderId="1" xfId="0" applyNumberFormat="1" applyFill="1" applyBorder="1" applyAlignment="1" applyProtection="1">
      <alignment horizontal="right"/>
      <protection locked="0"/>
    </xf>
    <xf numFmtId="2" fontId="24" fillId="3" borderId="1" xfId="0" applyNumberFormat="1" applyFont="1" applyFill="1" applyBorder="1" applyAlignment="1" applyProtection="1">
      <alignment horizontal="right"/>
      <protection locked="0"/>
    </xf>
    <xf numFmtId="2" fontId="1" fillId="3" borderId="1" xfId="0" applyNumberFormat="1" applyFont="1" applyFill="1" applyBorder="1" applyAlignment="1" applyProtection="1">
      <alignment horizontal="right"/>
      <protection locked="0"/>
    </xf>
    <xf numFmtId="1" fontId="1" fillId="2" borderId="1" xfId="0" applyNumberFormat="1" applyFont="1" applyFill="1" applyBorder="1" applyAlignment="1" applyProtection="1">
      <alignment horizontal="right"/>
    </xf>
    <xf numFmtId="1" fontId="1" fillId="2" borderId="1" xfId="0" quotePrefix="1" applyNumberFormat="1" applyFont="1" applyFill="1" applyBorder="1" applyAlignment="1" applyProtection="1">
      <alignment horizontal="right"/>
    </xf>
    <xf numFmtId="0" fontId="0" fillId="3" borderId="10" xfId="0" applyNumberFormat="1" applyFont="1" applyFill="1" applyBorder="1" applyAlignment="1" applyProtection="1">
      <alignment horizontal="right"/>
      <protection locked="0"/>
    </xf>
    <xf numFmtId="164" fontId="0" fillId="3" borderId="10" xfId="0" applyNumberFormat="1" applyFont="1" applyFill="1" applyBorder="1" applyAlignment="1" applyProtection="1">
      <alignment horizontal="right"/>
      <protection locked="0"/>
    </xf>
    <xf numFmtId="1" fontId="0" fillId="3" borderId="10" xfId="0" applyNumberFormat="1" applyFont="1" applyFill="1" applyBorder="1" applyAlignment="1" applyProtection="1">
      <alignment horizontal="right"/>
      <protection locked="0"/>
    </xf>
    <xf numFmtId="1" fontId="0" fillId="3" borderId="10" xfId="0" applyNumberFormat="1" applyFill="1" applyBorder="1" applyAlignment="1" applyProtection="1">
      <alignment horizontal="right"/>
      <protection locked="0"/>
    </xf>
    <xf numFmtId="1" fontId="1" fillId="2" borderId="1" xfId="6" applyNumberFormat="1" applyFont="1" applyFill="1" applyBorder="1" applyAlignment="1" applyProtection="1">
      <alignment horizontal="right"/>
    </xf>
    <xf numFmtId="0" fontId="1" fillId="2" borderId="1" xfId="6" applyNumberFormat="1" applyFont="1" applyFill="1" applyBorder="1" applyAlignment="1" applyProtection="1">
      <alignment horizontal="right"/>
    </xf>
    <xf numFmtId="1" fontId="1" fillId="2" borderId="1" xfId="6" applyNumberFormat="1" applyFont="1" applyFill="1" applyBorder="1" applyAlignment="1" applyProtection="1">
      <alignment horizontal="right"/>
    </xf>
    <xf numFmtId="1" fontId="1" fillId="2" borderId="1" xfId="6" quotePrefix="1" applyNumberFormat="1" applyFont="1" applyFill="1" applyBorder="1" applyAlignment="1" applyProtection="1">
      <alignment horizontal="right"/>
    </xf>
    <xf numFmtId="0" fontId="1" fillId="3" borderId="1" xfId="0" applyNumberFormat="1" applyFont="1" applyFill="1" applyBorder="1" applyAlignment="1" applyProtection="1">
      <alignment horizontal="left"/>
      <protection locked="0"/>
    </xf>
    <xf numFmtId="0" fontId="1" fillId="2" borderId="0" xfId="0" applyNumberFormat="1" applyFont="1" applyFill="1" applyBorder="1" applyAlignment="1" applyProtection="1">
      <alignment horizontal="right"/>
    </xf>
    <xf numFmtId="0" fontId="24" fillId="2" borderId="0" xfId="0" applyNumberFormat="1" applyFont="1" applyFill="1" applyBorder="1" applyAlignment="1" applyProtection="1">
      <alignment horizontal="right"/>
    </xf>
    <xf numFmtId="1" fontId="1" fillId="3" borderId="1" xfId="0" applyNumberFormat="1" applyFont="1" applyFill="1" applyBorder="1" applyAlignment="1" applyProtection="1">
      <alignment horizontal="left" vertical="top" wrapText="1"/>
      <protection locked="0"/>
    </xf>
    <xf numFmtId="0" fontId="1" fillId="3" borderId="1" xfId="0" applyNumberFormat="1" applyFont="1" applyFill="1" applyBorder="1" applyAlignment="1" applyProtection="1">
      <alignment horizontal="left" vertical="top" wrapText="1"/>
      <protection locked="0"/>
    </xf>
    <xf numFmtId="0" fontId="0" fillId="2" borderId="1" xfId="0" applyNumberFormat="1" applyFill="1" applyBorder="1" applyProtection="1"/>
    <xf numFmtId="0" fontId="0" fillId="2" borderId="1" xfId="0" applyNumberFormat="1" applyFont="1" applyFill="1" applyBorder="1" applyProtection="1"/>
    <xf numFmtId="0" fontId="1" fillId="2" borderId="1" xfId="0" applyNumberFormat="1" applyFont="1" applyFill="1" applyBorder="1" applyProtection="1"/>
    <xf numFmtId="0" fontId="1" fillId="6" borderId="1" xfId="0" applyFont="1" applyFill="1" applyBorder="1" applyAlignment="1">
      <alignment vertical="center"/>
    </xf>
  </cellXfs>
  <cellStyles count="7">
    <cellStyle name="Link" xfId="1" builtinId="8"/>
    <cellStyle name="Normal_Sheet1" xfId="2" xr:uid="{00000000-0005-0000-0000-000001000000}"/>
    <cellStyle name="Standard" xfId="0" builtinId="0"/>
    <cellStyle name="Standard 2" xfId="6" xr:uid="{00000000-0005-0000-0000-000003000000}"/>
    <cellStyle name="Standard_Sprache" xfId="3" xr:uid="{00000000-0005-0000-0000-000004000000}"/>
    <cellStyle name="Standard_WalManVB" xfId="4" xr:uid="{00000000-0005-0000-0000-000005000000}"/>
    <cellStyle name="Standard_WalManVB_en" xfId="5" xr:uid="{00000000-0005-0000-0000-000006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209550</xdr:colOff>
          <xdr:row>0</xdr:row>
          <xdr:rowOff>114300</xdr:rowOff>
        </xdr:from>
        <xdr:to>
          <xdr:col>1</xdr:col>
          <xdr:colOff>1104900</xdr:colOff>
          <xdr:row>1</xdr:row>
          <xdr:rowOff>285750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200" b="1" i="0" u="none" strike="noStrike" baseline="0">
                  <a:solidFill>
                    <a:srgbClr val="000000"/>
                  </a:solidFill>
                  <a:latin typeface="Arial"/>
                  <a:cs typeface="Arial"/>
                </a:rPr>
                <a:t>Zurück/Back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66675</xdr:rowOff>
        </xdr:from>
        <xdr:to>
          <xdr:col>1</xdr:col>
          <xdr:colOff>1095375</xdr:colOff>
          <xdr:row>1</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200" b="1" i="0" u="none" strike="noStrike" baseline="0">
                  <a:solidFill>
                    <a:srgbClr val="000000"/>
                  </a:solidFill>
                  <a:latin typeface="Arial"/>
                  <a:cs typeface="Arial"/>
                </a:rPr>
                <a:t>Zurück/Back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66675</xdr:rowOff>
        </xdr:from>
        <xdr:to>
          <xdr:col>1</xdr:col>
          <xdr:colOff>666750</xdr:colOff>
          <xdr:row>2</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Zurück / 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590550</xdr:colOff>
          <xdr:row>2</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Zurück / 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590550</xdr:colOff>
          <xdr:row>2</xdr:row>
          <xdr:rowOff>85725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5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Zurück / 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47625</xdr:rowOff>
        </xdr:from>
        <xdr:to>
          <xdr:col>1</xdr:col>
          <xdr:colOff>381000</xdr:colOff>
          <xdr:row>2</xdr:row>
          <xdr:rowOff>123825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Zurück / 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142875</xdr:rowOff>
        </xdr:from>
        <xdr:to>
          <xdr:col>1</xdr:col>
          <xdr:colOff>952500</xdr:colOff>
          <xdr:row>2</xdr:row>
          <xdr:rowOff>9525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Zurück / 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47625</xdr:rowOff>
        </xdr:from>
        <xdr:to>
          <xdr:col>1</xdr:col>
          <xdr:colOff>1533525</xdr:colOff>
          <xdr:row>0</xdr:row>
          <xdr:rowOff>276225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200" b="1" i="0" u="none" strike="noStrike" baseline="0">
                  <a:solidFill>
                    <a:srgbClr val="000000"/>
                  </a:solidFill>
                  <a:latin typeface="Arial"/>
                  <a:cs typeface="Arial"/>
                </a:rPr>
                <a:t>Zurück / 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0</xdr:row>
          <xdr:rowOff>76200</xdr:rowOff>
        </xdr:from>
        <xdr:to>
          <xdr:col>1</xdr:col>
          <xdr:colOff>1514475</xdr:colOff>
          <xdr:row>0</xdr:row>
          <xdr:rowOff>266700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Zurück / Back</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0</xdr:row>
          <xdr:rowOff>76200</xdr:rowOff>
        </xdr:from>
        <xdr:to>
          <xdr:col>0</xdr:col>
          <xdr:colOff>1190625</xdr:colOff>
          <xdr:row>1</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rial"/>
                  <a:cs typeface="Arial"/>
                </a:rPr>
                <a:t>Zurück / Back</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gXP\Statik\Stamak\EngVersion\LEER_EN_.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ProgXP\Statik\Stamak\WalManV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rogXP\Statik\Stamak\LEER_EN_.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
      <sheetName val="DatTab"/>
      <sheetName val="Wand"/>
      <sheetName val="BOD"/>
      <sheetName val="WAL"/>
      <sheetName val="LAS"/>
      <sheetName val="MAS"/>
      <sheetName val="SCHNITT"/>
      <sheetName val="H"/>
      <sheetName val="TS"/>
      <sheetName val="131"/>
      <sheetName val="PfS"/>
      <sheetName val="PfG"/>
      <sheetName val="MIP"/>
      <sheetName val="WARZ"/>
      <sheetName val="T"/>
      <sheetName val="TPL"/>
      <sheetName val="STECK"/>
      <sheetName val="SP"/>
      <sheetName val="SPPL"/>
      <sheetName val="TMIP"/>
      <sheetName val="GMIP"/>
      <sheetName val="PF"/>
      <sheetName val="SCH"/>
      <sheetName val="ANK"/>
      <sheetName val="EtaT"/>
      <sheetName val="SumV"/>
      <sheetName val="SumVr"/>
      <sheetName val="ST"/>
      <sheetName val="SH"/>
      <sheetName val="GUR"/>
      <sheetName val="GURC"/>
      <sheetName val="STEI"/>
      <sheetName val="STEIC"/>
      <sheetName val="GEB"/>
      <sheetName val="LETR"/>
      <sheetName val="INH"/>
      <sheetName val="BASIS"/>
      <sheetName val="ERL"/>
      <sheetName val="MATR"/>
      <sheetName val="CALC"/>
      <sheetName val="OPT"/>
      <sheetName val="TXT"/>
      <sheetName val="PLAN"/>
      <sheetName val="PIC"/>
      <sheetName val="POS"/>
    </sheetNames>
    <sheetDataSet>
      <sheetData sheetId="0" refreshError="1"/>
      <sheetData sheetId="1" refreshError="1"/>
      <sheetData sheetId="2" refreshError="1"/>
      <sheetData sheetId="3">
        <row r="7">
          <cell r="J7">
            <v>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nnTab"/>
      <sheetName val="Boden"/>
      <sheetName val="Aq"/>
      <sheetName val="Version"/>
      <sheetName val="Bitmaps"/>
    </sheetNames>
    <definedNames>
      <definedName name="SichtenProfileEnde"/>
    </defined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
      <sheetName val="DatTab"/>
      <sheetName val="Wand"/>
      <sheetName val="BOD"/>
      <sheetName val="WAL"/>
      <sheetName val="LAS"/>
      <sheetName val="MAS"/>
      <sheetName val="SCHNITT"/>
      <sheetName val="H"/>
      <sheetName val="TS"/>
      <sheetName val="131"/>
      <sheetName val="PfS"/>
      <sheetName val="PfG"/>
      <sheetName val="MIP"/>
      <sheetName val="WARZ"/>
      <sheetName val="T"/>
      <sheetName val="TPL"/>
      <sheetName val="STECK"/>
      <sheetName val="SP"/>
      <sheetName val="SPPL"/>
      <sheetName val="TMIP"/>
      <sheetName val="GMIP"/>
      <sheetName val="GMIP2"/>
      <sheetName val="PF"/>
      <sheetName val="SCH"/>
      <sheetName val="ANK"/>
      <sheetName val="EtaT"/>
      <sheetName val="SumV"/>
      <sheetName val="SumVr"/>
      <sheetName val="ST"/>
      <sheetName val="SH"/>
      <sheetName val="GUR"/>
      <sheetName val="GURC"/>
      <sheetName val="STEI"/>
      <sheetName val="STEIC"/>
      <sheetName val="GEB"/>
      <sheetName val="LETR"/>
      <sheetName val="INH"/>
      <sheetName val="BASIS"/>
      <sheetName val="ERL"/>
      <sheetName val="MATR"/>
      <sheetName val="CALC"/>
      <sheetName val="OPT"/>
      <sheetName val="TXT"/>
      <sheetName val="PLAN"/>
      <sheetName val="PIC"/>
      <sheetName val="POS"/>
    </sheetNames>
    <sheetDataSet>
      <sheetData sheetId="0"/>
      <sheetData sheetId="1"/>
      <sheetData sheetId="2"/>
      <sheetData sheetId="3">
        <row r="2">
          <cell r="I2">
            <v>2</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Semeone.Mesfin@bauer.de" TargetMode="External"/><Relationship Id="rId13" Type="http://schemas.openxmlformats.org/officeDocument/2006/relationships/drawing" Target="../drawings/drawing1.xml"/><Relationship Id="rId3" Type="http://schemas.openxmlformats.org/officeDocument/2006/relationships/hyperlink" Target="mailto:christian.rinderer@bauer-spezialtiefbau.at" TargetMode="External"/><Relationship Id="rId7" Type="http://schemas.openxmlformats.org/officeDocument/2006/relationships/hyperlink" Target="mailto:David.Pferner@bauer.de" TargetMode="External"/><Relationship Id="rId12" Type="http://schemas.openxmlformats.org/officeDocument/2006/relationships/printerSettings" Target="../printerSettings/printerSettings1.bin"/><Relationship Id="rId2" Type="http://schemas.openxmlformats.org/officeDocument/2006/relationships/hyperlink" Target="mailto:chien-hsun.chen@bauer.de" TargetMode="External"/><Relationship Id="rId1" Type="http://schemas.openxmlformats.org/officeDocument/2006/relationships/hyperlink" Target="mailto:Heiko.Voigt@bauer.de" TargetMode="External"/><Relationship Id="rId6" Type="http://schemas.openxmlformats.org/officeDocument/2006/relationships/hyperlink" Target="mailto:m.globio@bauer.net.ph" TargetMode="External"/><Relationship Id="rId11" Type="http://schemas.openxmlformats.org/officeDocument/2006/relationships/hyperlink" Target="mailto:Jessica.Nagel@bauer.de" TargetMode="External"/><Relationship Id="rId5" Type="http://schemas.openxmlformats.org/officeDocument/2006/relationships/hyperlink" Target="mailto:robert.lentge@bauer.de" TargetMode="External"/><Relationship Id="rId15" Type="http://schemas.openxmlformats.org/officeDocument/2006/relationships/ctrlProp" Target="../ctrlProps/ctrlProp1.xml"/><Relationship Id="rId10" Type="http://schemas.openxmlformats.org/officeDocument/2006/relationships/hyperlink" Target="mailto:Onur.Baseski@bauer.de" TargetMode="External"/><Relationship Id="rId4" Type="http://schemas.openxmlformats.org/officeDocument/2006/relationships/hyperlink" Target="mailto:e.cavizo@bauer.net.ph" TargetMode="External"/><Relationship Id="rId9" Type="http://schemas.openxmlformats.org/officeDocument/2006/relationships/hyperlink" Target="mailto:Luan.Nguyen@bauer.de" TargetMode="External"/><Relationship Id="rId1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Rudolf.Kallmuenzer@bauer.de" TargetMode="External"/><Relationship Id="rId1" Type="http://schemas.openxmlformats.org/officeDocument/2006/relationships/hyperlink" Target="mailto:Reiner.Schedlbauer@bauer.de"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0"/>
  <dimension ref="A1:M202"/>
  <sheetViews>
    <sheetView topLeftCell="A19" zoomScale="160" zoomScaleNormal="160" workbookViewId="0">
      <selection activeCell="H40" sqref="H40"/>
    </sheetView>
  </sheetViews>
  <sheetFormatPr baseColWidth="10" defaultRowHeight="12.75" x14ac:dyDescent="0.2"/>
  <cols>
    <col min="1" max="1" width="4" style="52" customWidth="1"/>
    <col min="2" max="2" width="18.85546875" style="52" customWidth="1"/>
    <col min="3" max="3" width="5.140625" style="52" customWidth="1"/>
    <col min="4" max="4" width="10.7109375" style="52" customWidth="1"/>
    <col min="5" max="5" width="10.85546875" style="52" customWidth="1"/>
    <col min="6" max="6" width="14.140625" style="52" customWidth="1"/>
    <col min="7" max="7" width="18.85546875" style="52" customWidth="1"/>
    <col min="8" max="8" width="20.7109375" style="52" customWidth="1"/>
    <col min="9" max="9" width="27.5703125" style="52" customWidth="1"/>
    <col min="10" max="10" width="7.28515625" style="52" customWidth="1"/>
    <col min="11" max="11" width="20.42578125" customWidth="1"/>
    <col min="12" max="12" width="20.5703125" customWidth="1"/>
  </cols>
  <sheetData>
    <row r="1" spans="1:13" ht="13.5" x14ac:dyDescent="0.25">
      <c r="A1" s="84"/>
      <c r="B1" s="50">
        <v>1</v>
      </c>
      <c r="C1" s="51">
        <f t="shared" ref="C1:J1" si="0">+B1+1</f>
        <v>2</v>
      </c>
      <c r="D1" s="51">
        <f t="shared" si="0"/>
        <v>3</v>
      </c>
      <c r="E1" s="51">
        <f t="shared" si="0"/>
        <v>4</v>
      </c>
      <c r="F1" s="51">
        <f t="shared" si="0"/>
        <v>5</v>
      </c>
      <c r="G1" s="51">
        <f t="shared" si="0"/>
        <v>6</v>
      </c>
      <c r="H1" s="51">
        <f t="shared" si="0"/>
        <v>7</v>
      </c>
      <c r="I1" s="51">
        <f t="shared" si="0"/>
        <v>8</v>
      </c>
      <c r="J1" s="51">
        <f t="shared" si="0"/>
        <v>9</v>
      </c>
    </row>
    <row r="2" spans="1:13" ht="26.25" x14ac:dyDescent="0.25">
      <c r="A2" s="85"/>
      <c r="B2" s="53" t="s">
        <v>3999</v>
      </c>
      <c r="C2" s="55" t="s">
        <v>7567</v>
      </c>
      <c r="D2" s="54" t="s">
        <v>4000</v>
      </c>
      <c r="E2" s="54" t="s">
        <v>8282</v>
      </c>
      <c r="F2" s="54" t="s">
        <v>8283</v>
      </c>
      <c r="G2" s="54" t="s">
        <v>8284</v>
      </c>
      <c r="H2" s="54" t="s">
        <v>8285</v>
      </c>
      <c r="I2" s="58" t="s">
        <v>8286</v>
      </c>
      <c r="J2" s="58" t="s">
        <v>8287</v>
      </c>
      <c r="K2" s="155" t="s">
        <v>8774</v>
      </c>
      <c r="L2" s="155" t="s">
        <v>8775</v>
      </c>
      <c r="M2" s="155" t="s">
        <v>9158</v>
      </c>
    </row>
    <row r="3" spans="1:13" ht="13.5" x14ac:dyDescent="0.25">
      <c r="A3" s="86">
        <v>1</v>
      </c>
      <c r="B3" s="56" t="s">
        <v>8624</v>
      </c>
      <c r="C3" s="57">
        <v>0</v>
      </c>
      <c r="D3" s="58" t="s">
        <v>2887</v>
      </c>
      <c r="E3" s="58" t="s">
        <v>8649</v>
      </c>
      <c r="F3" s="58"/>
      <c r="G3" s="58"/>
      <c r="H3" s="58" t="s">
        <v>8707</v>
      </c>
      <c r="I3" s="58" t="s">
        <v>8686</v>
      </c>
      <c r="J3" s="58" t="s">
        <v>2889</v>
      </c>
      <c r="K3" s="58" t="s">
        <v>8720</v>
      </c>
      <c r="L3" s="58" t="s">
        <v>8763</v>
      </c>
      <c r="M3" s="58"/>
    </row>
    <row r="4" spans="1:13" ht="13.5" x14ac:dyDescent="0.25">
      <c r="A4" s="86">
        <f t="shared" ref="A4:A67" si="1">+A3+1</f>
        <v>2</v>
      </c>
      <c r="B4" s="56" t="s">
        <v>8625</v>
      </c>
      <c r="C4" s="57">
        <v>0</v>
      </c>
      <c r="D4" s="59" t="s">
        <v>2890</v>
      </c>
      <c r="E4" s="58" t="s">
        <v>8650</v>
      </c>
      <c r="F4" s="58"/>
      <c r="G4" s="58"/>
      <c r="H4" s="58" t="s">
        <v>8708</v>
      </c>
      <c r="I4" s="58" t="s">
        <v>5228</v>
      </c>
      <c r="J4" s="58" t="s">
        <v>5229</v>
      </c>
      <c r="K4" s="58" t="s">
        <v>8721</v>
      </c>
      <c r="L4" s="58" t="s">
        <v>8764</v>
      </c>
      <c r="M4" s="58"/>
    </row>
    <row r="5" spans="1:13" ht="13.5" x14ac:dyDescent="0.25">
      <c r="A5" s="86">
        <f t="shared" si="1"/>
        <v>3</v>
      </c>
      <c r="B5" s="56" t="s">
        <v>8626</v>
      </c>
      <c r="C5" s="57">
        <v>0</v>
      </c>
      <c r="D5" s="58" t="s">
        <v>5230</v>
      </c>
      <c r="E5" s="58" t="s">
        <v>8651</v>
      </c>
      <c r="F5" s="58"/>
      <c r="G5" s="57"/>
      <c r="H5" s="58" t="s">
        <v>8708</v>
      </c>
      <c r="I5" s="58" t="s">
        <v>5231</v>
      </c>
      <c r="J5" s="58" t="s">
        <v>5232</v>
      </c>
      <c r="K5" s="58" t="s">
        <v>8722</v>
      </c>
      <c r="L5" s="58" t="s">
        <v>8765</v>
      </c>
      <c r="M5" s="58"/>
    </row>
    <row r="6" spans="1:13" ht="13.5" x14ac:dyDescent="0.25">
      <c r="A6" s="86">
        <f t="shared" si="1"/>
        <v>4</v>
      </c>
      <c r="B6" s="56" t="s">
        <v>8627</v>
      </c>
      <c r="C6" s="57">
        <v>0</v>
      </c>
      <c r="D6" s="58" t="s">
        <v>8652</v>
      </c>
      <c r="E6" s="58" t="s">
        <v>8653</v>
      </c>
      <c r="F6" s="58"/>
      <c r="G6" s="58"/>
      <c r="H6" s="58" t="s">
        <v>8708</v>
      </c>
      <c r="I6" s="58" t="s">
        <v>8687</v>
      </c>
      <c r="J6" s="58" t="s">
        <v>8742</v>
      </c>
      <c r="K6" s="58" t="s">
        <v>8723</v>
      </c>
      <c r="L6" s="58" t="s">
        <v>8766</v>
      </c>
      <c r="M6" s="58"/>
    </row>
    <row r="7" spans="1:13" ht="13.5" x14ac:dyDescent="0.25">
      <c r="A7" s="86">
        <f t="shared" si="1"/>
        <v>5</v>
      </c>
      <c r="B7" s="56" t="s">
        <v>8628</v>
      </c>
      <c r="C7" s="57">
        <v>0</v>
      </c>
      <c r="D7" s="58" t="s">
        <v>8378</v>
      </c>
      <c r="E7" s="58" t="s">
        <v>8654</v>
      </c>
      <c r="F7" s="58"/>
      <c r="G7" s="58"/>
      <c r="H7" s="58" t="s">
        <v>8708</v>
      </c>
      <c r="I7" s="58" t="s">
        <v>8327</v>
      </c>
      <c r="J7" s="58" t="s">
        <v>8328</v>
      </c>
      <c r="K7" s="58" t="s">
        <v>8724</v>
      </c>
      <c r="L7" s="58" t="s">
        <v>1431</v>
      </c>
      <c r="M7" s="58"/>
    </row>
    <row r="8" spans="1:13" ht="13.5" x14ac:dyDescent="0.25">
      <c r="A8" s="86">
        <f t="shared" si="1"/>
        <v>6</v>
      </c>
      <c r="B8" s="56" t="s">
        <v>8629</v>
      </c>
      <c r="C8" s="57">
        <v>0</v>
      </c>
      <c r="D8" s="58" t="s">
        <v>8655</v>
      </c>
      <c r="E8" s="58" t="s">
        <v>8656</v>
      </c>
      <c r="F8" s="58"/>
      <c r="G8" s="58"/>
      <c r="H8" s="58" t="s">
        <v>8709</v>
      </c>
      <c r="I8" s="58" t="s">
        <v>8688</v>
      </c>
      <c r="J8" s="58" t="s">
        <v>8743</v>
      </c>
      <c r="K8" s="58" t="s">
        <v>8725</v>
      </c>
      <c r="L8" s="58" t="s">
        <v>8767</v>
      </c>
      <c r="M8" s="58"/>
    </row>
    <row r="9" spans="1:13" ht="13.5" x14ac:dyDescent="0.25">
      <c r="A9" s="86">
        <f t="shared" si="1"/>
        <v>7</v>
      </c>
      <c r="B9" s="56" t="s">
        <v>8630</v>
      </c>
      <c r="C9" s="57">
        <v>0</v>
      </c>
      <c r="D9" s="58" t="s">
        <v>8657</v>
      </c>
      <c r="E9" s="58" t="s">
        <v>8658</v>
      </c>
      <c r="F9" s="58"/>
      <c r="G9" s="58"/>
      <c r="H9" s="58" t="s">
        <v>8710</v>
      </c>
      <c r="I9" s="58" t="s">
        <v>8689</v>
      </c>
      <c r="J9" s="58" t="s">
        <v>8744</v>
      </c>
      <c r="K9" s="58" t="s">
        <v>8726</v>
      </c>
      <c r="L9" s="58" t="s">
        <v>8768</v>
      </c>
      <c r="M9" s="58"/>
    </row>
    <row r="10" spans="1:13" ht="13.5" x14ac:dyDescent="0.25">
      <c r="A10" s="86">
        <f t="shared" si="1"/>
        <v>8</v>
      </c>
      <c r="B10" s="56" t="s">
        <v>8631</v>
      </c>
      <c r="C10" s="57">
        <v>1</v>
      </c>
      <c r="D10" s="58" t="s">
        <v>8659</v>
      </c>
      <c r="E10" s="58" t="s">
        <v>8660</v>
      </c>
      <c r="F10" s="58"/>
      <c r="G10" s="58"/>
      <c r="H10" s="58" t="s">
        <v>8708</v>
      </c>
      <c r="I10" s="58" t="s">
        <v>8690</v>
      </c>
      <c r="J10" s="58" t="s">
        <v>8745</v>
      </c>
      <c r="K10" s="58" t="s">
        <v>8727</v>
      </c>
      <c r="L10" s="58" t="s">
        <v>8727</v>
      </c>
      <c r="M10" s="58"/>
    </row>
    <row r="11" spans="1:13" ht="13.5" x14ac:dyDescent="0.25">
      <c r="A11" s="86">
        <f>+A10+1</f>
        <v>9</v>
      </c>
      <c r="B11" s="60" t="s">
        <v>8632</v>
      </c>
      <c r="C11" s="57">
        <v>0</v>
      </c>
      <c r="D11" s="59" t="s">
        <v>8661</v>
      </c>
      <c r="E11" s="58" t="s">
        <v>8662</v>
      </c>
      <c r="F11" s="58"/>
      <c r="G11" s="58"/>
      <c r="H11" s="58" t="s">
        <v>8711</v>
      </c>
      <c r="I11" s="58" t="s">
        <v>8691</v>
      </c>
      <c r="J11" s="58" t="s">
        <v>8746</v>
      </c>
      <c r="K11" s="58" t="s">
        <v>8728</v>
      </c>
      <c r="L11" s="58" t="s">
        <v>8769</v>
      </c>
      <c r="M11" s="58"/>
    </row>
    <row r="12" spans="1:13" ht="13.5" x14ac:dyDescent="0.25">
      <c r="A12" s="86">
        <f t="shared" si="1"/>
        <v>10</v>
      </c>
      <c r="B12" s="60" t="s">
        <v>8633</v>
      </c>
      <c r="C12" s="57">
        <v>0</v>
      </c>
      <c r="D12" s="155" t="s">
        <v>9135</v>
      </c>
      <c r="E12" s="155" t="s">
        <v>8663</v>
      </c>
      <c r="F12" s="59"/>
      <c r="G12" s="58"/>
      <c r="H12" s="58" t="s">
        <v>8708</v>
      </c>
      <c r="I12" s="58" t="s">
        <v>8692</v>
      </c>
      <c r="J12" s="58" t="s">
        <v>8747</v>
      </c>
      <c r="K12" s="58" t="s">
        <v>8729</v>
      </c>
      <c r="L12" s="58" t="s">
        <v>8770</v>
      </c>
      <c r="M12" s="58"/>
    </row>
    <row r="13" spans="1:13" ht="13.5" x14ac:dyDescent="0.25">
      <c r="A13" s="86">
        <f t="shared" si="1"/>
        <v>11</v>
      </c>
      <c r="B13" s="56" t="s">
        <v>8634</v>
      </c>
      <c r="C13" s="57">
        <v>0</v>
      </c>
      <c r="D13" s="155" t="s">
        <v>9136</v>
      </c>
      <c r="E13" s="155" t="s">
        <v>5547</v>
      </c>
      <c r="F13" s="59"/>
      <c r="G13" s="58"/>
      <c r="H13" s="58" t="s">
        <v>8712</v>
      </c>
      <c r="I13" s="58" t="s">
        <v>8693</v>
      </c>
      <c r="J13" s="58" t="s">
        <v>5548</v>
      </c>
      <c r="K13" s="58" t="s">
        <v>8730</v>
      </c>
      <c r="L13" s="58" t="s">
        <v>8771</v>
      </c>
      <c r="M13" s="58"/>
    </row>
    <row r="14" spans="1:13" ht="13.5" x14ac:dyDescent="0.25">
      <c r="A14" s="86">
        <f t="shared" si="1"/>
        <v>12</v>
      </c>
      <c r="B14" s="56" t="s">
        <v>8635</v>
      </c>
      <c r="C14" s="57">
        <v>0</v>
      </c>
      <c r="D14" s="155" t="s">
        <v>9137</v>
      </c>
      <c r="E14" s="155" t="s">
        <v>3430</v>
      </c>
      <c r="F14" s="59"/>
      <c r="G14" s="58"/>
      <c r="H14" s="58" t="s">
        <v>8708</v>
      </c>
      <c r="I14" s="58" t="s">
        <v>8694</v>
      </c>
      <c r="J14" s="58" t="s">
        <v>8748</v>
      </c>
      <c r="K14" s="58" t="s">
        <v>8731</v>
      </c>
      <c r="L14" s="58" t="s">
        <v>1431</v>
      </c>
      <c r="M14" s="58"/>
    </row>
    <row r="15" spans="1:13" ht="13.5" x14ac:dyDescent="0.25">
      <c r="A15" s="86">
        <f t="shared" si="1"/>
        <v>13</v>
      </c>
      <c r="B15" s="56" t="s">
        <v>8636</v>
      </c>
      <c r="C15" s="57">
        <v>0</v>
      </c>
      <c r="D15" s="155" t="s">
        <v>9138</v>
      </c>
      <c r="E15" s="155" t="s">
        <v>8664</v>
      </c>
      <c r="F15" s="59"/>
      <c r="G15" s="58"/>
      <c r="H15" s="58" t="s">
        <v>8708</v>
      </c>
      <c r="I15" s="58" t="s">
        <v>8695</v>
      </c>
      <c r="J15" s="58" t="s">
        <v>8749</v>
      </c>
      <c r="K15" s="58" t="s">
        <v>8732</v>
      </c>
      <c r="L15" s="58"/>
      <c r="M15" s="58"/>
    </row>
    <row r="16" spans="1:13" ht="13.5" x14ac:dyDescent="0.25">
      <c r="A16" s="86">
        <f t="shared" si="1"/>
        <v>14</v>
      </c>
      <c r="B16" s="56" t="s">
        <v>8288</v>
      </c>
      <c r="C16" s="57">
        <v>0</v>
      </c>
      <c r="D16" s="58" t="s">
        <v>8289</v>
      </c>
      <c r="E16" s="58" t="s">
        <v>8290</v>
      </c>
      <c r="F16" s="59"/>
      <c r="G16" s="58"/>
      <c r="H16" s="58" t="s">
        <v>8708</v>
      </c>
      <c r="I16" s="58" t="s">
        <v>2579</v>
      </c>
      <c r="J16" s="155" t="s">
        <v>8750</v>
      </c>
      <c r="K16" s="155" t="s">
        <v>1431</v>
      </c>
      <c r="L16" s="155" t="s">
        <v>1431</v>
      </c>
      <c r="M16" s="58"/>
    </row>
    <row r="17" spans="1:13" ht="13.5" x14ac:dyDescent="0.25">
      <c r="A17" s="86">
        <f t="shared" si="1"/>
        <v>15</v>
      </c>
      <c r="B17" s="156" t="s">
        <v>8802</v>
      </c>
      <c r="C17" s="57">
        <v>0</v>
      </c>
      <c r="D17" s="155" t="s">
        <v>8799</v>
      </c>
      <c r="E17" s="155" t="s">
        <v>8798</v>
      </c>
      <c r="F17" s="59"/>
      <c r="G17" s="58"/>
      <c r="H17" s="155" t="s">
        <v>8708</v>
      </c>
      <c r="I17" s="58" t="s">
        <v>8803</v>
      </c>
      <c r="J17" s="155" t="s">
        <v>8800</v>
      </c>
      <c r="K17" s="155" t="s">
        <v>8801</v>
      </c>
      <c r="L17" s="58"/>
      <c r="M17" s="58"/>
    </row>
    <row r="18" spans="1:13" ht="13.5" x14ac:dyDescent="0.25">
      <c r="A18" s="86">
        <f t="shared" si="1"/>
        <v>16</v>
      </c>
      <c r="B18" s="60" t="s">
        <v>8637</v>
      </c>
      <c r="C18" s="57">
        <v>0</v>
      </c>
      <c r="D18" s="155" t="s">
        <v>9139</v>
      </c>
      <c r="E18" s="155" t="s">
        <v>8665</v>
      </c>
      <c r="F18" s="59"/>
      <c r="G18" s="59"/>
      <c r="H18" s="59" t="s">
        <v>8713</v>
      </c>
      <c r="I18" s="58" t="s">
        <v>8696</v>
      </c>
      <c r="J18" s="58" t="s">
        <v>8751</v>
      </c>
      <c r="K18" s="58" t="s">
        <v>8733</v>
      </c>
      <c r="L18" s="58" t="s">
        <v>1431</v>
      </c>
      <c r="M18" s="58"/>
    </row>
    <row r="19" spans="1:13" ht="13.5" x14ac:dyDescent="0.25">
      <c r="A19" s="86">
        <f t="shared" si="1"/>
        <v>17</v>
      </c>
      <c r="B19" s="60" t="s">
        <v>8638</v>
      </c>
      <c r="C19" s="57">
        <v>0</v>
      </c>
      <c r="D19" s="59" t="s">
        <v>8666</v>
      </c>
      <c r="E19" s="59" t="s">
        <v>8667</v>
      </c>
      <c r="F19" s="59"/>
      <c r="G19" s="58"/>
      <c r="H19" s="58" t="s">
        <v>8714</v>
      </c>
      <c r="I19" s="58" t="s">
        <v>8697</v>
      </c>
      <c r="J19" s="58" t="s">
        <v>8752</v>
      </c>
      <c r="K19" s="58" t="s">
        <v>8734</v>
      </c>
      <c r="L19" s="58"/>
      <c r="M19" s="58"/>
    </row>
    <row r="20" spans="1:13" ht="13.5" x14ac:dyDescent="0.25">
      <c r="A20" s="86">
        <f t="shared" si="1"/>
        <v>18</v>
      </c>
      <c r="B20" s="60" t="s">
        <v>8639</v>
      </c>
      <c r="C20" s="57">
        <v>0</v>
      </c>
      <c r="D20" s="155" t="s">
        <v>9140</v>
      </c>
      <c r="E20" s="155" t="s">
        <v>9141</v>
      </c>
      <c r="F20" s="59"/>
      <c r="G20" s="58"/>
      <c r="H20" s="58" t="s">
        <v>8715</v>
      </c>
      <c r="I20" s="58" t="s">
        <v>8698</v>
      </c>
      <c r="J20" s="58" t="s">
        <v>8753</v>
      </c>
      <c r="K20" s="58" t="s">
        <v>8735</v>
      </c>
      <c r="L20" s="58"/>
      <c r="M20" s="58"/>
    </row>
    <row r="21" spans="1:13" ht="13.5" x14ac:dyDescent="0.25">
      <c r="A21" s="86">
        <f t="shared" si="1"/>
        <v>19</v>
      </c>
      <c r="B21" s="60" t="s">
        <v>8640</v>
      </c>
      <c r="C21" s="57">
        <v>0</v>
      </c>
      <c r="D21" s="59" t="s">
        <v>8668</v>
      </c>
      <c r="E21" s="59" t="s">
        <v>8669</v>
      </c>
      <c r="F21" s="59"/>
      <c r="G21" s="58"/>
      <c r="H21" s="58" t="s">
        <v>8708</v>
      </c>
      <c r="I21" s="58" t="s">
        <v>8699</v>
      </c>
      <c r="J21" s="58" t="s">
        <v>8754</v>
      </c>
      <c r="K21" s="58" t="s">
        <v>8736</v>
      </c>
      <c r="L21" s="58" t="s">
        <v>1431</v>
      </c>
      <c r="M21" s="58"/>
    </row>
    <row r="22" spans="1:13" ht="13.5" x14ac:dyDescent="0.25">
      <c r="A22" s="86">
        <f t="shared" si="1"/>
        <v>20</v>
      </c>
      <c r="B22" s="56" t="s">
        <v>8641</v>
      </c>
      <c r="C22" s="57">
        <v>0</v>
      </c>
      <c r="D22" s="58" t="s">
        <v>8670</v>
      </c>
      <c r="E22" s="58" t="s">
        <v>8671</v>
      </c>
      <c r="F22" s="58"/>
      <c r="G22" s="58"/>
      <c r="H22" s="58" t="s">
        <v>8716</v>
      </c>
      <c r="I22" s="58"/>
      <c r="J22" s="58" t="s">
        <v>8755</v>
      </c>
      <c r="K22" s="58"/>
      <c r="L22" s="58"/>
      <c r="M22" s="58"/>
    </row>
    <row r="23" spans="1:13" ht="15" x14ac:dyDescent="0.25">
      <c r="A23" s="86">
        <f t="shared" si="1"/>
        <v>21</v>
      </c>
      <c r="B23" s="60" t="s">
        <v>8642</v>
      </c>
      <c r="C23" s="57">
        <v>0</v>
      </c>
      <c r="D23" s="59" t="s">
        <v>8672</v>
      </c>
      <c r="E23" s="59" t="s">
        <v>8673</v>
      </c>
      <c r="F23" s="59"/>
      <c r="G23" s="58"/>
      <c r="H23" s="58" t="s">
        <v>8708</v>
      </c>
      <c r="I23" s="58" t="s">
        <v>8700</v>
      </c>
      <c r="J23" s="58" t="s">
        <v>8756</v>
      </c>
      <c r="K23" s="58" t="s">
        <v>8737</v>
      </c>
      <c r="L23" s="58"/>
      <c r="M23" s="58"/>
    </row>
    <row r="24" spans="1:13" ht="13.5" x14ac:dyDescent="0.25">
      <c r="A24" s="86">
        <f t="shared" si="1"/>
        <v>22</v>
      </c>
      <c r="B24" s="60" t="s">
        <v>8643</v>
      </c>
      <c r="C24" s="57">
        <v>0</v>
      </c>
      <c r="D24" s="59" t="s">
        <v>8674</v>
      </c>
      <c r="E24" s="58" t="s">
        <v>8675</v>
      </c>
      <c r="F24" s="58"/>
      <c r="G24" s="58"/>
      <c r="H24" s="58" t="s">
        <v>8717</v>
      </c>
      <c r="I24" s="58" t="s">
        <v>8701</v>
      </c>
      <c r="J24" s="58" t="s">
        <v>8757</v>
      </c>
      <c r="K24" s="58" t="s">
        <v>8738</v>
      </c>
      <c r="L24" s="58" t="s">
        <v>8772</v>
      </c>
      <c r="M24" s="58"/>
    </row>
    <row r="25" spans="1:13" ht="13.5" x14ac:dyDescent="0.25">
      <c r="A25" s="86">
        <f t="shared" si="1"/>
        <v>23</v>
      </c>
      <c r="B25" s="56" t="s">
        <v>8644</v>
      </c>
      <c r="C25" s="57">
        <v>0</v>
      </c>
      <c r="D25" s="58" t="s">
        <v>8676</v>
      </c>
      <c r="E25" s="58" t="s">
        <v>8677</v>
      </c>
      <c r="F25" s="58"/>
      <c r="G25" s="58"/>
      <c r="H25" s="58" t="s">
        <v>8718</v>
      </c>
      <c r="I25" s="58" t="s">
        <v>8702</v>
      </c>
      <c r="J25" s="58" t="s">
        <v>8758</v>
      </c>
      <c r="K25" s="58" t="s">
        <v>8739</v>
      </c>
      <c r="L25" s="58"/>
      <c r="M25" s="58"/>
    </row>
    <row r="26" spans="1:13" ht="13.5" x14ac:dyDescent="0.25">
      <c r="A26" s="86">
        <f t="shared" si="1"/>
        <v>24</v>
      </c>
      <c r="B26" s="60" t="s">
        <v>8645</v>
      </c>
      <c r="C26" s="57">
        <v>0</v>
      </c>
      <c r="D26" s="59" t="s">
        <v>8678</v>
      </c>
      <c r="E26" s="59" t="s">
        <v>8679</v>
      </c>
      <c r="F26" s="58"/>
      <c r="G26" s="58"/>
      <c r="H26" s="58" t="s">
        <v>8719</v>
      </c>
      <c r="I26" s="58" t="s">
        <v>8703</v>
      </c>
      <c r="J26" s="58" t="s">
        <v>8759</v>
      </c>
      <c r="K26" s="58" t="s">
        <v>8740</v>
      </c>
      <c r="L26" s="58" t="s">
        <v>8773</v>
      </c>
      <c r="M26" s="58"/>
    </row>
    <row r="27" spans="1:13" ht="15" x14ac:dyDescent="0.25">
      <c r="A27" s="86">
        <f t="shared" si="1"/>
        <v>25</v>
      </c>
      <c r="B27" s="60" t="s">
        <v>8646</v>
      </c>
      <c r="C27" s="59">
        <v>0</v>
      </c>
      <c r="D27" s="59" t="s">
        <v>8680</v>
      </c>
      <c r="E27" s="59" t="s">
        <v>8681</v>
      </c>
      <c r="F27" s="59"/>
      <c r="G27" s="59"/>
      <c r="H27" s="59" t="s">
        <v>8708</v>
      </c>
      <c r="I27" s="59" t="s">
        <v>8704</v>
      </c>
      <c r="J27" s="59" t="s">
        <v>8760</v>
      </c>
      <c r="K27" s="59" t="s">
        <v>8741</v>
      </c>
      <c r="L27" s="59"/>
      <c r="M27" s="59"/>
    </row>
    <row r="28" spans="1:13" ht="13.5" x14ac:dyDescent="0.25">
      <c r="A28" s="86">
        <f t="shared" si="1"/>
        <v>26</v>
      </c>
      <c r="B28" s="175" t="s">
        <v>9175</v>
      </c>
      <c r="C28" s="59">
        <v>0</v>
      </c>
      <c r="D28" s="59" t="s">
        <v>9176</v>
      </c>
      <c r="E28" s="59" t="s">
        <v>9177</v>
      </c>
      <c r="F28" s="59"/>
      <c r="G28" s="59"/>
      <c r="H28" s="59" t="s">
        <v>8708</v>
      </c>
      <c r="I28" s="59" t="s">
        <v>9178</v>
      </c>
      <c r="J28" s="59" t="s">
        <v>9179</v>
      </c>
      <c r="K28" s="59" t="s">
        <v>9180</v>
      </c>
      <c r="L28" s="59"/>
      <c r="M28" s="59"/>
    </row>
    <row r="29" spans="1:13" ht="13.5" x14ac:dyDescent="0.25">
      <c r="A29" s="86">
        <f t="shared" si="1"/>
        <v>27</v>
      </c>
      <c r="B29" s="175" t="s">
        <v>8647</v>
      </c>
      <c r="C29" s="59">
        <v>0</v>
      </c>
      <c r="D29" s="59" t="s">
        <v>8682</v>
      </c>
      <c r="E29" s="59" t="s">
        <v>8683</v>
      </c>
      <c r="F29" s="59"/>
      <c r="G29" s="59"/>
      <c r="H29" s="59" t="s">
        <v>8708</v>
      </c>
      <c r="I29" s="59" t="s">
        <v>8705</v>
      </c>
      <c r="J29" s="59" t="s">
        <v>8761</v>
      </c>
      <c r="K29" s="59"/>
      <c r="L29" s="59"/>
      <c r="M29" s="59"/>
    </row>
    <row r="30" spans="1:13" ht="13.5" x14ac:dyDescent="0.25">
      <c r="A30" s="86">
        <f t="shared" si="1"/>
        <v>28</v>
      </c>
      <c r="B30" s="176" t="s">
        <v>8648</v>
      </c>
      <c r="C30" s="59">
        <v>0</v>
      </c>
      <c r="D30" s="59" t="s">
        <v>8684</v>
      </c>
      <c r="E30" s="59" t="s">
        <v>8685</v>
      </c>
      <c r="F30" s="59"/>
      <c r="G30" s="59"/>
      <c r="H30" s="59" t="s">
        <v>8708</v>
      </c>
      <c r="I30" s="59" t="s">
        <v>8706</v>
      </c>
      <c r="J30" s="59" t="s">
        <v>8762</v>
      </c>
      <c r="K30" s="59"/>
      <c r="L30" s="59"/>
      <c r="M30" s="59"/>
    </row>
    <row r="31" spans="1:13" ht="13.5" x14ac:dyDescent="0.25">
      <c r="A31" s="86">
        <f t="shared" si="1"/>
        <v>29</v>
      </c>
      <c r="B31" s="177" t="s">
        <v>8883</v>
      </c>
      <c r="C31" s="59">
        <v>0</v>
      </c>
      <c r="D31" s="59" t="s">
        <v>8884</v>
      </c>
      <c r="E31" s="59" t="s">
        <v>8885</v>
      </c>
      <c r="F31" s="59"/>
      <c r="G31" s="59"/>
      <c r="H31" s="59" t="s">
        <v>8713</v>
      </c>
      <c r="I31" s="59" t="s">
        <v>8886</v>
      </c>
      <c r="J31" s="59" t="s">
        <v>8887</v>
      </c>
      <c r="K31" s="59" t="s">
        <v>8888</v>
      </c>
      <c r="L31" s="59" t="s">
        <v>8889</v>
      </c>
      <c r="M31" s="59"/>
    </row>
    <row r="32" spans="1:13" ht="13.5" x14ac:dyDescent="0.25">
      <c r="A32" s="86">
        <f t="shared" si="1"/>
        <v>30</v>
      </c>
      <c r="B32" s="177" t="s">
        <v>9204</v>
      </c>
      <c r="C32" s="59">
        <v>0</v>
      </c>
      <c r="D32" s="59" t="s">
        <v>9205</v>
      </c>
      <c r="E32" s="59" t="s">
        <v>9206</v>
      </c>
      <c r="F32" s="59"/>
      <c r="G32" s="59"/>
      <c r="H32" s="59" t="s">
        <v>8708</v>
      </c>
      <c r="I32" s="59" t="s">
        <v>9207</v>
      </c>
      <c r="J32" s="59" t="s">
        <v>9209</v>
      </c>
      <c r="K32" s="59" t="s">
        <v>9208</v>
      </c>
      <c r="L32" s="59"/>
      <c r="M32" s="59"/>
    </row>
    <row r="33" spans="1:13" ht="13.5" x14ac:dyDescent="0.25">
      <c r="A33" s="86">
        <f t="shared" si="1"/>
        <v>31</v>
      </c>
      <c r="B33" s="177" t="s">
        <v>9044</v>
      </c>
      <c r="C33" s="59">
        <v>0</v>
      </c>
      <c r="D33" s="59" t="s">
        <v>9045</v>
      </c>
      <c r="E33" s="59" t="s">
        <v>9046</v>
      </c>
      <c r="F33" s="59"/>
      <c r="G33" s="59"/>
      <c r="H33" s="59" t="s">
        <v>9042</v>
      </c>
      <c r="I33" s="59" t="s">
        <v>9047</v>
      </c>
      <c r="J33" s="59" t="s">
        <v>9048</v>
      </c>
      <c r="K33" s="59" t="s">
        <v>9043</v>
      </c>
      <c r="L33" s="59"/>
      <c r="M33" s="59"/>
    </row>
    <row r="34" spans="1:13" ht="13.5" x14ac:dyDescent="0.25">
      <c r="A34" s="86">
        <f t="shared" si="1"/>
        <v>32</v>
      </c>
      <c r="B34" s="177" t="s">
        <v>9049</v>
      </c>
      <c r="C34" s="59">
        <v>0</v>
      </c>
      <c r="D34" s="59" t="s">
        <v>9050</v>
      </c>
      <c r="E34" s="59" t="s">
        <v>9051</v>
      </c>
      <c r="F34" s="59"/>
      <c r="G34" s="59"/>
      <c r="H34" s="59" t="s">
        <v>9052</v>
      </c>
      <c r="I34" s="59" t="s">
        <v>9053</v>
      </c>
      <c r="J34" s="59" t="s">
        <v>9054</v>
      </c>
      <c r="K34" s="59"/>
      <c r="L34" s="59" t="s">
        <v>9055</v>
      </c>
      <c r="M34" s="59"/>
    </row>
    <row r="35" spans="1:13" ht="13.5" x14ac:dyDescent="0.25">
      <c r="A35" s="86">
        <f t="shared" si="1"/>
        <v>33</v>
      </c>
      <c r="B35" s="177" t="s">
        <v>9201</v>
      </c>
      <c r="C35" s="59">
        <v>1</v>
      </c>
      <c r="D35" s="59" t="s">
        <v>5481</v>
      </c>
      <c r="E35" s="59" t="s">
        <v>9154</v>
      </c>
      <c r="F35" s="59"/>
      <c r="G35" s="59"/>
      <c r="H35" s="59" t="s">
        <v>8708</v>
      </c>
      <c r="I35" s="59" t="s">
        <v>9202</v>
      </c>
      <c r="J35" s="59" t="s">
        <v>9203</v>
      </c>
      <c r="K35" s="59" t="s">
        <v>9150</v>
      </c>
      <c r="L35" s="59"/>
      <c r="M35" s="59"/>
    </row>
    <row r="36" spans="1:13" ht="13.5" x14ac:dyDescent="0.25">
      <c r="A36" s="86">
        <f t="shared" si="1"/>
        <v>34</v>
      </c>
      <c r="B36" s="178" t="s">
        <v>9190</v>
      </c>
      <c r="C36" s="59">
        <v>0</v>
      </c>
      <c r="D36" s="59" t="s">
        <v>9191</v>
      </c>
      <c r="E36" s="59" t="s">
        <v>9192</v>
      </c>
      <c r="F36" s="59"/>
      <c r="G36" s="59"/>
      <c r="H36" s="59" t="s">
        <v>8708</v>
      </c>
      <c r="I36" s="59" t="s">
        <v>9181</v>
      </c>
      <c r="J36" s="59" t="s">
        <v>9188</v>
      </c>
      <c r="K36" s="59" t="s">
        <v>9189</v>
      </c>
      <c r="L36" s="59"/>
      <c r="M36" s="59"/>
    </row>
    <row r="37" spans="1:13" ht="13.5" x14ac:dyDescent="0.25">
      <c r="A37" s="86">
        <f t="shared" si="1"/>
        <v>35</v>
      </c>
      <c r="B37" s="177" t="s">
        <v>9157</v>
      </c>
      <c r="C37" s="59">
        <v>0</v>
      </c>
      <c r="D37" s="59" t="s">
        <v>9155</v>
      </c>
      <c r="E37" s="59" t="s">
        <v>9156</v>
      </c>
      <c r="F37" s="59"/>
      <c r="G37" s="59"/>
      <c r="H37" s="59" t="s">
        <v>8708</v>
      </c>
      <c r="I37" s="59" t="s">
        <v>9153</v>
      </c>
      <c r="J37" s="59" t="s">
        <v>9152</v>
      </c>
      <c r="K37" s="59" t="s">
        <v>9151</v>
      </c>
      <c r="L37" s="59"/>
      <c r="M37" s="59"/>
    </row>
    <row r="38" spans="1:13" ht="13.5" x14ac:dyDescent="0.25">
      <c r="A38" s="86">
        <f t="shared" si="1"/>
        <v>36</v>
      </c>
      <c r="B38" s="178" t="s">
        <v>9193</v>
      </c>
      <c r="C38" s="59">
        <v>0</v>
      </c>
      <c r="D38" s="59" t="s">
        <v>9194</v>
      </c>
      <c r="E38" s="59" t="s">
        <v>9195</v>
      </c>
      <c r="F38" s="59"/>
      <c r="G38" s="59"/>
      <c r="H38" s="59" t="s">
        <v>8708</v>
      </c>
      <c r="I38" s="59" t="s">
        <v>9182</v>
      </c>
      <c r="J38" s="59" t="s">
        <v>9184</v>
      </c>
      <c r="K38" s="59" t="s">
        <v>9186</v>
      </c>
      <c r="L38" s="59"/>
      <c r="M38" s="59"/>
    </row>
    <row r="39" spans="1:13" ht="13.5" x14ac:dyDescent="0.25">
      <c r="A39" s="86">
        <f t="shared" si="1"/>
        <v>37</v>
      </c>
      <c r="B39" s="178" t="s">
        <v>9196</v>
      </c>
      <c r="C39" s="59">
        <v>0</v>
      </c>
      <c r="D39" s="59" t="s">
        <v>9197</v>
      </c>
      <c r="E39" s="59" t="s">
        <v>9198</v>
      </c>
      <c r="F39" s="59"/>
      <c r="G39" s="59"/>
      <c r="H39" s="59" t="s">
        <v>8708</v>
      </c>
      <c r="I39" s="59" t="s">
        <v>9183</v>
      </c>
      <c r="J39" s="59" t="s">
        <v>9185</v>
      </c>
      <c r="K39" s="59" t="s">
        <v>9187</v>
      </c>
      <c r="L39" s="59"/>
      <c r="M39" s="59"/>
    </row>
    <row r="40" spans="1:13" ht="13.5" x14ac:dyDescent="0.25">
      <c r="A40" s="86">
        <f t="shared" si="1"/>
        <v>38</v>
      </c>
      <c r="B40" s="177"/>
      <c r="C40" s="59"/>
      <c r="D40" s="155"/>
      <c r="E40" s="155"/>
      <c r="F40" s="59"/>
      <c r="G40" s="59"/>
      <c r="H40" s="155"/>
      <c r="I40" s="59"/>
      <c r="J40" s="155"/>
      <c r="K40" s="155"/>
      <c r="L40" s="59"/>
      <c r="M40" s="59"/>
    </row>
    <row r="41" spans="1:13" ht="13.5" x14ac:dyDescent="0.25">
      <c r="A41" s="86">
        <f t="shared" si="1"/>
        <v>39</v>
      </c>
      <c r="B41" s="176"/>
      <c r="C41" s="59"/>
      <c r="D41" s="59"/>
      <c r="E41" s="59"/>
      <c r="F41" s="59"/>
      <c r="G41" s="59"/>
      <c r="H41" s="59"/>
      <c r="I41" s="59"/>
      <c r="J41" s="59"/>
      <c r="K41" s="59"/>
      <c r="L41" s="59"/>
      <c r="M41" s="59"/>
    </row>
    <row r="42" spans="1:13" ht="13.5" x14ac:dyDescent="0.25">
      <c r="A42" s="86">
        <f t="shared" si="1"/>
        <v>40</v>
      </c>
      <c r="B42" s="176"/>
      <c r="C42" s="59"/>
      <c r="D42" s="59"/>
      <c r="E42" s="59"/>
      <c r="F42" s="59"/>
      <c r="G42" s="59"/>
      <c r="H42" s="59"/>
      <c r="I42" s="59"/>
      <c r="J42" s="59"/>
      <c r="K42" s="59"/>
      <c r="L42" s="59"/>
      <c r="M42" s="59"/>
    </row>
    <row r="43" spans="1:13" ht="13.5" x14ac:dyDescent="0.25">
      <c r="A43" s="86">
        <f t="shared" si="1"/>
        <v>41</v>
      </c>
      <c r="B43" s="176"/>
      <c r="C43" s="58"/>
      <c r="D43" s="58"/>
      <c r="E43" s="58"/>
      <c r="F43" s="58"/>
      <c r="G43" s="58"/>
      <c r="H43" s="58"/>
      <c r="I43" s="58"/>
      <c r="J43" s="58"/>
      <c r="K43" s="58"/>
      <c r="L43" s="58"/>
      <c r="M43" s="58"/>
    </row>
    <row r="44" spans="1:13" ht="13.5" x14ac:dyDescent="0.25">
      <c r="A44" s="86">
        <f t="shared" si="1"/>
        <v>42</v>
      </c>
      <c r="B44" s="176"/>
      <c r="C44" s="58"/>
      <c r="D44" s="58"/>
      <c r="E44" s="58"/>
      <c r="F44" s="58"/>
      <c r="G44" s="58"/>
      <c r="H44" s="58"/>
      <c r="I44" s="58"/>
      <c r="J44" s="58"/>
      <c r="K44" s="58"/>
      <c r="L44" s="58"/>
      <c r="M44" s="58"/>
    </row>
    <row r="45" spans="1:13" ht="13.5" x14ac:dyDescent="0.25">
      <c r="A45" s="86">
        <f t="shared" si="1"/>
        <v>43</v>
      </c>
      <c r="B45" s="176"/>
      <c r="C45" s="58"/>
      <c r="D45" s="58"/>
      <c r="E45" s="58"/>
      <c r="F45" s="58"/>
      <c r="G45" s="58"/>
      <c r="H45" s="58"/>
      <c r="I45" s="58"/>
      <c r="J45" s="58"/>
      <c r="K45" s="58"/>
      <c r="L45" s="58"/>
      <c r="M45" s="58"/>
    </row>
    <row r="46" spans="1:13" ht="13.5" x14ac:dyDescent="0.25">
      <c r="A46" s="86">
        <f t="shared" si="1"/>
        <v>44</v>
      </c>
      <c r="B46" s="176"/>
      <c r="C46" s="58"/>
      <c r="D46" s="58"/>
      <c r="E46" s="58"/>
      <c r="F46" s="58"/>
      <c r="G46" s="58"/>
      <c r="H46" s="58"/>
      <c r="I46" s="58"/>
      <c r="J46" s="58"/>
      <c r="K46" s="58"/>
      <c r="L46" s="58"/>
      <c r="M46" s="58"/>
    </row>
    <row r="47" spans="1:13" ht="13.5" x14ac:dyDescent="0.25">
      <c r="A47" s="86">
        <f t="shared" si="1"/>
        <v>45</v>
      </c>
      <c r="B47" s="56"/>
      <c r="C47" s="57"/>
      <c r="D47" s="58"/>
      <c r="E47" s="58"/>
      <c r="F47" s="58"/>
      <c r="G47" s="58"/>
      <c r="H47" s="58"/>
      <c r="I47" s="58"/>
      <c r="J47" s="58"/>
      <c r="K47" s="58"/>
      <c r="L47" s="58"/>
      <c r="M47" s="58"/>
    </row>
    <row r="48" spans="1:13" ht="13.5" x14ac:dyDescent="0.25">
      <c r="A48" s="86">
        <f t="shared" si="1"/>
        <v>46</v>
      </c>
      <c r="B48" s="60"/>
      <c r="C48" s="57"/>
      <c r="D48" s="59"/>
      <c r="E48" s="59"/>
      <c r="F48" s="58"/>
      <c r="G48" s="58"/>
      <c r="H48" s="58"/>
      <c r="I48" s="58"/>
      <c r="J48" s="58"/>
      <c r="K48" s="58"/>
      <c r="L48" s="58"/>
      <c r="M48" s="58"/>
    </row>
    <row r="49" spans="1:13" ht="13.5" x14ac:dyDescent="0.25">
      <c r="A49" s="86">
        <f t="shared" si="1"/>
        <v>47</v>
      </c>
      <c r="B49" s="56"/>
      <c r="C49" s="57"/>
      <c r="D49" s="58"/>
      <c r="E49" s="58"/>
      <c r="F49" s="58"/>
      <c r="G49" s="58"/>
      <c r="H49" s="58"/>
      <c r="I49" s="58"/>
      <c r="J49" s="58"/>
      <c r="K49" s="58"/>
      <c r="L49" s="58"/>
      <c r="M49" s="58"/>
    </row>
    <row r="50" spans="1:13" ht="13.5" x14ac:dyDescent="0.25">
      <c r="A50" s="86">
        <f t="shared" si="1"/>
        <v>48</v>
      </c>
      <c r="B50" s="56"/>
      <c r="C50" s="57"/>
      <c r="D50" s="58"/>
      <c r="E50" s="58"/>
      <c r="F50" s="58"/>
      <c r="G50" s="58"/>
      <c r="H50" s="58"/>
      <c r="I50" s="58"/>
      <c r="J50" s="58"/>
      <c r="K50" s="58"/>
      <c r="L50" s="58"/>
      <c r="M50" s="58"/>
    </row>
    <row r="51" spans="1:13" ht="13.5" x14ac:dyDescent="0.25">
      <c r="A51" s="86">
        <f t="shared" si="1"/>
        <v>49</v>
      </c>
      <c r="B51" s="56"/>
      <c r="C51" s="57"/>
      <c r="D51" s="58"/>
      <c r="E51" s="58"/>
      <c r="F51" s="58"/>
      <c r="G51" s="58"/>
      <c r="H51" s="58"/>
      <c r="I51" s="58"/>
      <c r="J51" s="58"/>
      <c r="K51" s="58"/>
      <c r="L51" s="58"/>
      <c r="M51" s="58"/>
    </row>
    <row r="52" spans="1:13" ht="13.5" x14ac:dyDescent="0.25">
      <c r="A52" s="86">
        <f t="shared" si="1"/>
        <v>50</v>
      </c>
      <c r="B52" s="60"/>
      <c r="C52" s="57"/>
      <c r="D52" s="59"/>
      <c r="E52" s="59"/>
      <c r="F52" s="59"/>
      <c r="G52" s="59"/>
      <c r="H52" s="59"/>
      <c r="I52" s="58"/>
      <c r="J52" s="58"/>
      <c r="K52" s="58"/>
      <c r="L52" s="58"/>
      <c r="M52" s="58"/>
    </row>
    <row r="53" spans="1:13" ht="13.5" x14ac:dyDescent="0.25">
      <c r="A53" s="86">
        <f t="shared" si="1"/>
        <v>51</v>
      </c>
      <c r="B53" s="60"/>
      <c r="C53" s="57"/>
      <c r="D53" s="59"/>
      <c r="E53" s="59"/>
      <c r="F53" s="59"/>
      <c r="G53" s="59"/>
      <c r="H53" s="59"/>
      <c r="I53" s="58"/>
      <c r="J53" s="58"/>
      <c r="K53" s="58"/>
      <c r="L53" s="58"/>
      <c r="M53" s="58"/>
    </row>
    <row r="54" spans="1:13" ht="13.5" x14ac:dyDescent="0.25">
      <c r="A54" s="86">
        <f t="shared" si="1"/>
        <v>52</v>
      </c>
      <c r="B54" s="56"/>
      <c r="C54" s="57"/>
      <c r="D54" s="59"/>
      <c r="E54" s="59"/>
      <c r="F54" s="59"/>
      <c r="G54" s="59"/>
      <c r="H54" s="59"/>
      <c r="I54" s="58"/>
      <c r="J54" s="58"/>
      <c r="K54" s="58"/>
      <c r="L54" s="58"/>
      <c r="M54" s="58"/>
    </row>
    <row r="55" spans="1:13" ht="13.5" x14ac:dyDescent="0.25">
      <c r="A55" s="86">
        <f t="shared" si="1"/>
        <v>53</v>
      </c>
      <c r="B55" s="60"/>
      <c r="C55" s="57"/>
      <c r="D55" s="59"/>
      <c r="E55" s="59"/>
      <c r="F55" s="59"/>
      <c r="G55" s="59"/>
      <c r="H55" s="59"/>
      <c r="I55" s="58"/>
      <c r="J55" s="58"/>
      <c r="K55" s="58"/>
      <c r="L55" s="58"/>
      <c r="M55" s="58"/>
    </row>
    <row r="56" spans="1:13" ht="13.5" x14ac:dyDescent="0.25">
      <c r="A56" s="86">
        <f t="shared" si="1"/>
        <v>54</v>
      </c>
      <c r="B56" s="60"/>
      <c r="C56" s="57"/>
      <c r="D56" s="59"/>
      <c r="E56" s="59"/>
      <c r="F56" s="59"/>
      <c r="G56" s="59"/>
      <c r="H56" s="59"/>
      <c r="I56" s="58"/>
      <c r="J56" s="58"/>
      <c r="K56" s="58"/>
      <c r="L56" s="58"/>
      <c r="M56" s="58"/>
    </row>
    <row r="57" spans="1:13" ht="13.5" x14ac:dyDescent="0.25">
      <c r="A57" s="86">
        <f t="shared" si="1"/>
        <v>55</v>
      </c>
      <c r="B57" s="56"/>
      <c r="C57" s="57"/>
      <c r="D57" s="58"/>
      <c r="E57" s="58"/>
      <c r="F57" s="58"/>
      <c r="G57" s="58"/>
      <c r="H57" s="58"/>
      <c r="I57" s="58"/>
      <c r="J57" s="58"/>
      <c r="K57" s="58"/>
      <c r="L57" s="58"/>
      <c r="M57" s="58"/>
    </row>
    <row r="58" spans="1:13" ht="13.5" x14ac:dyDescent="0.25">
      <c r="A58" s="86">
        <f t="shared" si="1"/>
        <v>56</v>
      </c>
      <c r="B58" s="56"/>
      <c r="C58" s="57"/>
      <c r="D58" s="58"/>
      <c r="E58" s="58"/>
      <c r="F58" s="58"/>
      <c r="G58" s="58"/>
      <c r="H58" s="58"/>
      <c r="I58" s="58"/>
      <c r="J58" s="58"/>
      <c r="K58" s="58"/>
      <c r="L58" s="58"/>
      <c r="M58" s="58"/>
    </row>
    <row r="59" spans="1:13" ht="13.5" x14ac:dyDescent="0.25">
      <c r="A59" s="86">
        <f t="shared" si="1"/>
        <v>57</v>
      </c>
      <c r="B59" s="56"/>
      <c r="C59" s="57"/>
      <c r="D59" s="58"/>
      <c r="E59" s="58"/>
      <c r="F59" s="58"/>
      <c r="G59" s="58"/>
      <c r="H59" s="58"/>
      <c r="I59" s="58"/>
      <c r="J59" s="58"/>
      <c r="K59" s="58"/>
      <c r="L59" s="58"/>
      <c r="M59" s="58"/>
    </row>
    <row r="60" spans="1:13" ht="13.5" x14ac:dyDescent="0.25">
      <c r="A60" s="86">
        <f t="shared" si="1"/>
        <v>58</v>
      </c>
      <c r="B60" s="56"/>
      <c r="C60" s="57"/>
      <c r="D60" s="58"/>
      <c r="E60" s="58"/>
      <c r="F60" s="58"/>
      <c r="G60" s="58"/>
      <c r="H60" s="58"/>
      <c r="I60" s="58"/>
      <c r="J60" s="58"/>
      <c r="K60" s="58"/>
      <c r="L60" s="58"/>
      <c r="M60" s="58"/>
    </row>
    <row r="61" spans="1:13" ht="13.5" x14ac:dyDescent="0.25">
      <c r="A61" s="86">
        <f t="shared" si="1"/>
        <v>59</v>
      </c>
      <c r="B61" s="56"/>
      <c r="C61" s="57"/>
      <c r="D61" s="58"/>
      <c r="E61" s="58"/>
      <c r="F61" s="58"/>
      <c r="G61" s="58"/>
      <c r="H61" s="58"/>
      <c r="I61" s="58"/>
      <c r="J61" s="58"/>
      <c r="K61" s="58"/>
      <c r="L61" s="58"/>
      <c r="M61" s="58"/>
    </row>
    <row r="62" spans="1:13" ht="13.5" x14ac:dyDescent="0.25">
      <c r="A62" s="86">
        <f t="shared" si="1"/>
        <v>60</v>
      </c>
      <c r="B62" s="60"/>
      <c r="C62" s="57"/>
      <c r="D62" s="59"/>
      <c r="E62" s="59"/>
      <c r="F62" s="59"/>
      <c r="G62" s="58"/>
      <c r="H62" s="59"/>
      <c r="I62" s="58"/>
      <c r="J62" s="58"/>
      <c r="K62" s="58"/>
      <c r="L62" s="58"/>
      <c r="M62" s="58"/>
    </row>
    <row r="63" spans="1:13" ht="13.5" x14ac:dyDescent="0.25">
      <c r="A63" s="86">
        <f t="shared" si="1"/>
        <v>61</v>
      </c>
      <c r="B63" s="60"/>
      <c r="C63" s="57"/>
      <c r="D63" s="59"/>
      <c r="E63" s="59"/>
      <c r="F63" s="59"/>
      <c r="G63" s="59"/>
      <c r="H63" s="59"/>
      <c r="I63" s="58"/>
      <c r="J63" s="58"/>
      <c r="K63" s="58"/>
      <c r="L63" s="58"/>
      <c r="M63" s="58"/>
    </row>
    <row r="64" spans="1:13" ht="13.5" x14ac:dyDescent="0.25">
      <c r="A64" s="86">
        <f t="shared" si="1"/>
        <v>62</v>
      </c>
      <c r="B64" s="56"/>
      <c r="C64" s="57"/>
      <c r="D64" s="58"/>
      <c r="E64" s="58"/>
      <c r="F64" s="58"/>
      <c r="G64" s="58"/>
      <c r="H64" s="58"/>
      <c r="I64" s="58"/>
      <c r="J64" s="58"/>
      <c r="K64" s="58"/>
      <c r="L64" s="58"/>
      <c r="M64" s="58"/>
    </row>
    <row r="65" spans="1:13" ht="13.5" x14ac:dyDescent="0.25">
      <c r="A65" s="86">
        <f t="shared" si="1"/>
        <v>63</v>
      </c>
      <c r="B65" s="56"/>
      <c r="C65" s="57"/>
      <c r="D65" s="58"/>
      <c r="E65" s="58"/>
      <c r="F65" s="58"/>
      <c r="G65" s="58"/>
      <c r="H65" s="58"/>
      <c r="I65" s="58"/>
      <c r="J65" s="58"/>
      <c r="K65" s="58"/>
      <c r="L65" s="58"/>
      <c r="M65" s="58"/>
    </row>
    <row r="66" spans="1:13" ht="13.5" x14ac:dyDescent="0.25">
      <c r="A66" s="86">
        <f t="shared" si="1"/>
        <v>64</v>
      </c>
      <c r="B66" s="56"/>
      <c r="C66" s="57"/>
      <c r="D66" s="58"/>
      <c r="E66" s="58"/>
      <c r="F66" s="58"/>
      <c r="G66" s="58"/>
      <c r="H66" s="58"/>
      <c r="I66" s="58"/>
      <c r="J66" s="58"/>
      <c r="K66" s="58"/>
      <c r="L66" s="58"/>
      <c r="M66" s="58"/>
    </row>
    <row r="67" spans="1:13" ht="13.5" x14ac:dyDescent="0.25">
      <c r="A67" s="86">
        <f t="shared" si="1"/>
        <v>65</v>
      </c>
      <c r="B67" s="60"/>
      <c r="C67" s="57"/>
      <c r="D67" s="59"/>
      <c r="E67" s="58"/>
      <c r="F67" s="58"/>
      <c r="G67" s="58"/>
      <c r="H67" s="58"/>
      <c r="I67" s="58"/>
      <c r="J67" s="58"/>
      <c r="K67" s="58"/>
      <c r="L67" s="58"/>
      <c r="M67" s="58"/>
    </row>
    <row r="68" spans="1:13" ht="13.5" x14ac:dyDescent="0.25">
      <c r="A68" s="86">
        <f t="shared" ref="A68:A131" si="2">+A67+1</f>
        <v>66</v>
      </c>
      <c r="B68" s="56"/>
      <c r="C68" s="57"/>
      <c r="D68" s="58"/>
      <c r="E68" s="58"/>
      <c r="F68" s="58"/>
      <c r="G68" s="58"/>
      <c r="H68" s="58"/>
      <c r="I68" s="58"/>
      <c r="J68" s="58"/>
      <c r="K68" s="58"/>
      <c r="L68" s="58"/>
      <c r="M68" s="58"/>
    </row>
    <row r="69" spans="1:13" ht="13.5" x14ac:dyDescent="0.25">
      <c r="A69" s="86">
        <f t="shared" si="2"/>
        <v>67</v>
      </c>
      <c r="B69" s="56"/>
      <c r="C69" s="57"/>
      <c r="D69" s="58"/>
      <c r="E69" s="58"/>
      <c r="F69" s="58"/>
      <c r="G69" s="58"/>
      <c r="H69" s="58"/>
      <c r="I69" s="58"/>
      <c r="J69" s="58"/>
      <c r="K69" s="58"/>
      <c r="L69" s="58"/>
      <c r="M69" s="58"/>
    </row>
    <row r="70" spans="1:13" ht="13.5" x14ac:dyDescent="0.25">
      <c r="A70" s="86">
        <f t="shared" si="2"/>
        <v>68</v>
      </c>
      <c r="B70" s="56"/>
      <c r="C70" s="57"/>
      <c r="D70" s="58"/>
      <c r="E70" s="58"/>
      <c r="F70" s="58"/>
      <c r="G70" s="58"/>
      <c r="H70" s="58"/>
      <c r="I70" s="58"/>
      <c r="J70" s="58"/>
      <c r="K70" s="58"/>
      <c r="L70" s="58"/>
      <c r="M70" s="58"/>
    </row>
    <row r="71" spans="1:13" ht="13.5" x14ac:dyDescent="0.25">
      <c r="A71" s="86">
        <f t="shared" si="2"/>
        <v>69</v>
      </c>
      <c r="B71" s="56"/>
      <c r="C71" s="57"/>
      <c r="D71" s="58"/>
      <c r="E71" s="58"/>
      <c r="F71" s="58"/>
      <c r="G71" s="58"/>
      <c r="H71" s="58"/>
      <c r="I71" s="58"/>
      <c r="J71" s="58"/>
      <c r="K71" s="58"/>
      <c r="L71" s="58"/>
      <c r="M71" s="58"/>
    </row>
    <row r="72" spans="1:13" ht="13.5" x14ac:dyDescent="0.25">
      <c r="A72" s="86">
        <f t="shared" si="2"/>
        <v>70</v>
      </c>
      <c r="B72" s="56"/>
      <c r="C72" s="57"/>
      <c r="D72" s="58"/>
      <c r="E72" s="58"/>
      <c r="F72" s="58"/>
      <c r="G72" s="58"/>
      <c r="H72" s="58"/>
      <c r="I72" s="58"/>
      <c r="J72" s="58"/>
      <c r="K72" s="58"/>
      <c r="L72" s="58"/>
      <c r="M72" s="58"/>
    </row>
    <row r="73" spans="1:13" ht="13.5" x14ac:dyDescent="0.25">
      <c r="A73" s="86">
        <f t="shared" si="2"/>
        <v>71</v>
      </c>
      <c r="B73" s="56"/>
      <c r="C73" s="57"/>
      <c r="D73" s="58"/>
      <c r="E73" s="58"/>
      <c r="F73" s="58"/>
      <c r="G73" s="58"/>
      <c r="H73" s="58"/>
      <c r="I73" s="58"/>
      <c r="J73" s="58"/>
      <c r="K73" s="58"/>
      <c r="L73" s="58"/>
      <c r="M73" s="58"/>
    </row>
    <row r="74" spans="1:13" ht="13.5" x14ac:dyDescent="0.25">
      <c r="A74" s="86">
        <f t="shared" si="2"/>
        <v>72</v>
      </c>
      <c r="B74" s="56"/>
      <c r="C74" s="57"/>
      <c r="D74" s="58"/>
      <c r="E74" s="58"/>
      <c r="F74" s="58"/>
      <c r="G74" s="58"/>
      <c r="H74" s="58"/>
      <c r="I74" s="58"/>
      <c r="J74" s="58"/>
      <c r="K74" s="58"/>
      <c r="L74" s="58"/>
      <c r="M74" s="58"/>
    </row>
    <row r="75" spans="1:13" ht="13.5" x14ac:dyDescent="0.25">
      <c r="A75" s="86">
        <f t="shared" si="2"/>
        <v>73</v>
      </c>
      <c r="B75" s="56"/>
      <c r="C75" s="57"/>
      <c r="D75" s="58"/>
      <c r="E75" s="58"/>
      <c r="F75" s="58"/>
      <c r="G75" s="58"/>
      <c r="H75" s="58"/>
      <c r="I75" s="58"/>
      <c r="J75" s="58"/>
      <c r="K75" s="58"/>
      <c r="L75" s="58"/>
      <c r="M75" s="58"/>
    </row>
    <row r="76" spans="1:13" ht="13.5" x14ac:dyDescent="0.25">
      <c r="A76" s="86">
        <f t="shared" si="2"/>
        <v>74</v>
      </c>
      <c r="B76" s="56"/>
      <c r="C76" s="57"/>
      <c r="D76" s="58"/>
      <c r="E76" s="58"/>
      <c r="F76" s="58"/>
      <c r="G76" s="58"/>
      <c r="H76" s="58"/>
      <c r="I76" s="58"/>
      <c r="J76" s="58"/>
      <c r="K76" s="58"/>
      <c r="L76" s="58"/>
      <c r="M76" s="58"/>
    </row>
    <row r="77" spans="1:13" ht="13.5" x14ac:dyDescent="0.25">
      <c r="A77" s="86">
        <f t="shared" si="2"/>
        <v>75</v>
      </c>
      <c r="B77" s="60"/>
      <c r="C77" s="57"/>
      <c r="D77" s="59"/>
      <c r="E77" s="59"/>
      <c r="F77" s="58"/>
      <c r="G77" s="58"/>
      <c r="H77" s="58"/>
      <c r="I77" s="58"/>
      <c r="J77" s="58"/>
      <c r="K77" s="58"/>
      <c r="L77" s="58"/>
      <c r="M77" s="58"/>
    </row>
    <row r="78" spans="1:13" ht="13.5" x14ac:dyDescent="0.25">
      <c r="A78" s="86">
        <f t="shared" si="2"/>
        <v>76</v>
      </c>
      <c r="B78" s="56"/>
      <c r="C78" s="57"/>
      <c r="D78" s="58"/>
      <c r="E78" s="58"/>
      <c r="F78" s="58"/>
      <c r="G78" s="58"/>
      <c r="H78" s="58"/>
      <c r="I78" s="58"/>
      <c r="J78" s="58"/>
      <c r="K78" s="58"/>
      <c r="L78" s="58"/>
      <c r="M78" s="58"/>
    </row>
    <row r="79" spans="1:13" ht="13.5" x14ac:dyDescent="0.25">
      <c r="A79" s="86">
        <f t="shared" si="2"/>
        <v>77</v>
      </c>
      <c r="B79" s="56"/>
      <c r="C79" s="57"/>
      <c r="D79" s="58"/>
      <c r="E79" s="58"/>
      <c r="F79" s="58"/>
      <c r="G79" s="58"/>
      <c r="H79" s="58"/>
      <c r="I79" s="58"/>
      <c r="J79" s="58"/>
      <c r="K79" s="58"/>
      <c r="L79" s="58"/>
      <c r="M79" s="58"/>
    </row>
    <row r="80" spans="1:13" ht="13.5" x14ac:dyDescent="0.25">
      <c r="A80" s="86">
        <f t="shared" si="2"/>
        <v>78</v>
      </c>
      <c r="B80" s="56"/>
      <c r="C80" s="57"/>
      <c r="D80" s="58"/>
      <c r="E80" s="58"/>
      <c r="F80" s="58"/>
      <c r="G80" s="58"/>
      <c r="H80" s="58"/>
      <c r="I80" s="58"/>
      <c r="J80" s="58"/>
      <c r="K80" s="58"/>
      <c r="L80" s="58"/>
      <c r="M80" s="58"/>
    </row>
    <row r="81" spans="1:13" ht="13.5" x14ac:dyDescent="0.25">
      <c r="A81" s="86">
        <f t="shared" si="2"/>
        <v>79</v>
      </c>
      <c r="B81" s="56"/>
      <c r="C81" s="57"/>
      <c r="D81" s="58"/>
      <c r="E81" s="58"/>
      <c r="F81" s="58"/>
      <c r="G81" s="58"/>
      <c r="H81" s="58"/>
      <c r="I81" s="58"/>
      <c r="J81" s="58"/>
      <c r="K81" s="58"/>
      <c r="L81" s="58"/>
      <c r="M81" s="58"/>
    </row>
    <row r="82" spans="1:13" ht="13.5" x14ac:dyDescent="0.25">
      <c r="A82" s="86">
        <f t="shared" si="2"/>
        <v>80</v>
      </c>
      <c r="B82" s="60"/>
      <c r="C82" s="57"/>
      <c r="D82" s="59"/>
      <c r="E82" s="59"/>
      <c r="F82" s="58"/>
      <c r="G82" s="58"/>
      <c r="H82" s="59"/>
      <c r="I82" s="58"/>
      <c r="J82" s="58"/>
      <c r="K82" s="58"/>
      <c r="L82" s="58"/>
      <c r="M82" s="58"/>
    </row>
    <row r="83" spans="1:13" ht="13.5" x14ac:dyDescent="0.25">
      <c r="A83" s="86">
        <f t="shared" si="2"/>
        <v>81</v>
      </c>
      <c r="B83" s="56"/>
      <c r="C83" s="57"/>
      <c r="D83" s="58"/>
      <c r="E83" s="58"/>
      <c r="F83" s="58"/>
      <c r="G83" s="58"/>
      <c r="H83" s="58"/>
      <c r="I83" s="58"/>
      <c r="J83" s="58"/>
      <c r="K83" s="58"/>
      <c r="L83" s="58"/>
      <c r="M83" s="58"/>
    </row>
    <row r="84" spans="1:13" ht="13.5" x14ac:dyDescent="0.25">
      <c r="A84" s="86">
        <f t="shared" si="2"/>
        <v>82</v>
      </c>
      <c r="B84" s="56"/>
      <c r="C84" s="57"/>
      <c r="D84" s="58"/>
      <c r="E84" s="58"/>
      <c r="F84" s="58"/>
      <c r="G84" s="58"/>
      <c r="H84" s="58"/>
      <c r="I84" s="58"/>
      <c r="J84" s="58"/>
      <c r="K84" s="58"/>
      <c r="L84" s="58"/>
      <c r="M84" s="58"/>
    </row>
    <row r="85" spans="1:13" ht="13.5" x14ac:dyDescent="0.25">
      <c r="A85" s="86">
        <f t="shared" si="2"/>
        <v>83</v>
      </c>
      <c r="B85" s="60"/>
      <c r="C85" s="57"/>
      <c r="D85" s="59"/>
      <c r="E85" s="59"/>
      <c r="F85" s="58"/>
      <c r="G85" s="58"/>
      <c r="H85" s="58"/>
      <c r="I85" s="58"/>
      <c r="J85" s="58"/>
      <c r="K85" s="58"/>
      <c r="L85" s="58"/>
      <c r="M85" s="58"/>
    </row>
    <row r="86" spans="1:13" ht="13.5" x14ac:dyDescent="0.25">
      <c r="A86" s="86">
        <f t="shared" si="2"/>
        <v>84</v>
      </c>
      <c r="B86" s="56"/>
      <c r="C86" s="57"/>
      <c r="D86" s="58"/>
      <c r="E86" s="58"/>
      <c r="F86" s="58"/>
      <c r="G86" s="58"/>
      <c r="H86" s="58"/>
      <c r="I86" s="58"/>
      <c r="J86" s="58"/>
      <c r="K86" s="58"/>
      <c r="L86" s="58"/>
      <c r="M86" s="58"/>
    </row>
    <row r="87" spans="1:13" ht="13.5" x14ac:dyDescent="0.25">
      <c r="A87" s="86">
        <f t="shared" si="2"/>
        <v>85</v>
      </c>
      <c r="B87" s="56"/>
      <c r="C87" s="57"/>
      <c r="D87" s="58"/>
      <c r="E87" s="58"/>
      <c r="F87" s="58"/>
      <c r="G87" s="58"/>
      <c r="H87" s="58"/>
      <c r="I87" s="58"/>
      <c r="J87" s="58"/>
      <c r="K87" s="58"/>
      <c r="L87" s="58"/>
      <c r="M87" s="58"/>
    </row>
    <row r="88" spans="1:13" ht="13.5" x14ac:dyDescent="0.25">
      <c r="A88" s="86">
        <f t="shared" si="2"/>
        <v>86</v>
      </c>
      <c r="B88" s="56"/>
      <c r="C88" s="57"/>
      <c r="D88" s="58"/>
      <c r="E88" s="58"/>
      <c r="F88" s="58"/>
      <c r="G88" s="58"/>
      <c r="H88" s="58"/>
      <c r="I88" s="58"/>
      <c r="J88" s="58"/>
      <c r="K88" s="58"/>
      <c r="L88" s="58"/>
      <c r="M88" s="58"/>
    </row>
    <row r="89" spans="1:13" ht="13.5" x14ac:dyDescent="0.25">
      <c r="A89" s="86">
        <f t="shared" si="2"/>
        <v>87</v>
      </c>
      <c r="B89" s="56"/>
      <c r="C89" s="57"/>
      <c r="D89" s="58"/>
      <c r="E89" s="58"/>
      <c r="F89" s="58"/>
      <c r="G89" s="58"/>
      <c r="H89" s="58"/>
      <c r="I89" s="58"/>
      <c r="J89" s="58"/>
      <c r="K89" s="58"/>
      <c r="L89" s="58"/>
      <c r="M89" s="58"/>
    </row>
    <row r="90" spans="1:13" ht="13.5" x14ac:dyDescent="0.25">
      <c r="A90" s="86">
        <f t="shared" si="2"/>
        <v>88</v>
      </c>
      <c r="B90" s="56"/>
      <c r="C90" s="57"/>
      <c r="D90" s="58"/>
      <c r="E90" s="58"/>
      <c r="F90" s="58"/>
      <c r="G90" s="58"/>
      <c r="H90" s="58"/>
      <c r="I90" s="58"/>
      <c r="J90" s="58"/>
      <c r="K90" s="58"/>
      <c r="L90" s="58"/>
      <c r="M90" s="58"/>
    </row>
    <row r="91" spans="1:13" ht="13.5" x14ac:dyDescent="0.25">
      <c r="A91" s="86">
        <f t="shared" si="2"/>
        <v>89</v>
      </c>
      <c r="B91" s="56"/>
      <c r="C91" s="57"/>
      <c r="D91" s="58"/>
      <c r="E91" s="58"/>
      <c r="F91" s="58"/>
      <c r="G91" s="58"/>
      <c r="H91" s="58"/>
      <c r="I91" s="58"/>
      <c r="J91" s="58"/>
      <c r="K91" s="58"/>
      <c r="L91" s="58"/>
      <c r="M91" s="58"/>
    </row>
    <row r="92" spans="1:13" ht="13.5" x14ac:dyDescent="0.25">
      <c r="A92" s="86">
        <f t="shared" si="2"/>
        <v>90</v>
      </c>
      <c r="B92" s="60"/>
      <c r="C92" s="57"/>
      <c r="D92" s="58"/>
      <c r="E92" s="58"/>
      <c r="F92" s="58"/>
      <c r="G92" s="58"/>
      <c r="H92" s="58"/>
      <c r="I92" s="58"/>
      <c r="J92" s="58"/>
      <c r="K92" s="58"/>
      <c r="L92" s="58"/>
      <c r="M92" s="58"/>
    </row>
    <row r="93" spans="1:13" ht="13.5" x14ac:dyDescent="0.25">
      <c r="A93" s="86">
        <f t="shared" si="2"/>
        <v>91</v>
      </c>
      <c r="B93" s="56"/>
      <c r="C93" s="57"/>
      <c r="D93" s="58"/>
      <c r="E93" s="58"/>
      <c r="F93" s="58"/>
      <c r="G93" s="58"/>
      <c r="H93" s="58"/>
      <c r="I93" s="58"/>
      <c r="J93" s="58"/>
      <c r="K93" s="58"/>
      <c r="L93" s="58"/>
      <c r="M93" s="58"/>
    </row>
    <row r="94" spans="1:13" ht="13.5" x14ac:dyDescent="0.25">
      <c r="A94" s="86">
        <f t="shared" si="2"/>
        <v>92</v>
      </c>
      <c r="B94" s="56"/>
      <c r="C94" s="57"/>
      <c r="D94" s="58"/>
      <c r="E94" s="58"/>
      <c r="F94" s="58"/>
      <c r="G94" s="58"/>
      <c r="H94" s="58"/>
      <c r="I94" s="58"/>
      <c r="J94" s="58"/>
      <c r="K94" s="58"/>
      <c r="L94" s="58"/>
      <c r="M94" s="58"/>
    </row>
    <row r="95" spans="1:13" ht="13.5" x14ac:dyDescent="0.25">
      <c r="A95" s="86">
        <f t="shared" si="2"/>
        <v>93</v>
      </c>
      <c r="B95" s="56"/>
      <c r="C95" s="57"/>
      <c r="D95" s="58"/>
      <c r="E95" s="58"/>
      <c r="F95" s="58"/>
      <c r="G95" s="58"/>
      <c r="H95" s="58"/>
      <c r="I95" s="58"/>
      <c r="J95" s="58"/>
      <c r="K95" s="58"/>
      <c r="L95" s="58"/>
      <c r="M95" s="58"/>
    </row>
    <row r="96" spans="1:13" ht="13.5" x14ac:dyDescent="0.25">
      <c r="A96" s="86">
        <f t="shared" si="2"/>
        <v>94</v>
      </c>
      <c r="B96" s="56"/>
      <c r="C96" s="57"/>
      <c r="D96" s="58"/>
      <c r="E96" s="58"/>
      <c r="F96" s="58"/>
      <c r="G96" s="58"/>
      <c r="H96" s="58"/>
      <c r="I96" s="58"/>
      <c r="J96" s="58"/>
      <c r="K96" s="58"/>
      <c r="L96" s="58"/>
      <c r="M96" s="58"/>
    </row>
    <row r="97" spans="1:13" ht="13.5" x14ac:dyDescent="0.25">
      <c r="A97" s="86">
        <f t="shared" si="2"/>
        <v>95</v>
      </c>
      <c r="B97" s="60"/>
      <c r="C97" s="57"/>
      <c r="D97" s="59"/>
      <c r="E97" s="59"/>
      <c r="F97" s="58"/>
      <c r="G97" s="58"/>
      <c r="H97" s="58"/>
      <c r="I97" s="58"/>
      <c r="J97" s="58"/>
      <c r="K97" s="58"/>
      <c r="L97" s="58"/>
      <c r="M97" s="58"/>
    </row>
    <row r="98" spans="1:13" ht="13.5" x14ac:dyDescent="0.25">
      <c r="A98" s="86">
        <f t="shared" si="2"/>
        <v>96</v>
      </c>
      <c r="B98" s="60"/>
      <c r="C98" s="57"/>
      <c r="D98" s="59"/>
      <c r="E98" s="59"/>
      <c r="F98" s="58"/>
      <c r="G98" s="58"/>
      <c r="H98" s="58"/>
      <c r="I98" s="58"/>
      <c r="J98" s="58"/>
      <c r="K98" s="58"/>
      <c r="L98" s="58"/>
      <c r="M98" s="58"/>
    </row>
    <row r="99" spans="1:13" ht="13.5" x14ac:dyDescent="0.25">
      <c r="A99" s="86">
        <f t="shared" si="2"/>
        <v>97</v>
      </c>
      <c r="B99" s="56"/>
      <c r="C99" s="57"/>
      <c r="D99" s="58"/>
      <c r="E99" s="58"/>
      <c r="F99" s="58"/>
      <c r="G99" s="58"/>
      <c r="H99" s="58"/>
      <c r="I99" s="58"/>
      <c r="J99" s="58"/>
      <c r="K99" s="58"/>
      <c r="L99" s="58"/>
      <c r="M99" s="58"/>
    </row>
    <row r="100" spans="1:13" ht="13.5" x14ac:dyDescent="0.25">
      <c r="A100" s="86">
        <f t="shared" si="2"/>
        <v>98</v>
      </c>
      <c r="B100" s="56"/>
      <c r="C100" s="57"/>
      <c r="D100" s="58"/>
      <c r="E100" s="58"/>
      <c r="F100" s="58"/>
      <c r="G100" s="58"/>
      <c r="H100" s="58"/>
      <c r="I100" s="58"/>
      <c r="J100" s="58"/>
      <c r="K100" s="58"/>
      <c r="L100" s="58"/>
      <c r="M100" s="58"/>
    </row>
    <row r="101" spans="1:13" ht="13.5" x14ac:dyDescent="0.25">
      <c r="A101" s="86">
        <f t="shared" si="2"/>
        <v>99</v>
      </c>
      <c r="B101" s="60"/>
      <c r="C101" s="57"/>
      <c r="D101" s="59"/>
      <c r="E101" s="59"/>
      <c r="F101" s="59"/>
      <c r="G101" s="59"/>
      <c r="H101" s="58"/>
      <c r="I101" s="58"/>
      <c r="J101" s="58"/>
      <c r="K101" s="58"/>
      <c r="L101" s="58"/>
      <c r="M101" s="58"/>
    </row>
    <row r="102" spans="1:13" ht="13.5" x14ac:dyDescent="0.25">
      <c r="A102" s="86">
        <f t="shared" si="2"/>
        <v>100</v>
      </c>
      <c r="B102" s="56"/>
      <c r="C102" s="57"/>
      <c r="D102" s="58"/>
      <c r="E102" s="58"/>
      <c r="F102" s="58"/>
      <c r="G102" s="58"/>
      <c r="H102" s="58"/>
      <c r="I102" s="58"/>
      <c r="J102" s="58"/>
      <c r="K102" s="58"/>
      <c r="L102" s="58"/>
      <c r="M102" s="58"/>
    </row>
    <row r="103" spans="1:13" ht="13.5" x14ac:dyDescent="0.25">
      <c r="A103" s="86">
        <f t="shared" si="2"/>
        <v>101</v>
      </c>
      <c r="B103" s="56"/>
      <c r="C103" s="57"/>
      <c r="D103" s="58"/>
      <c r="E103" s="58"/>
      <c r="F103" s="58"/>
      <c r="G103" s="58"/>
      <c r="H103" s="58"/>
      <c r="I103" s="58"/>
      <c r="J103" s="58"/>
      <c r="K103" s="58"/>
      <c r="L103" s="58"/>
      <c r="M103" s="58"/>
    </row>
    <row r="104" spans="1:13" ht="13.5" x14ac:dyDescent="0.25">
      <c r="A104" s="86">
        <f t="shared" si="2"/>
        <v>102</v>
      </c>
      <c r="B104" s="60"/>
      <c r="C104" s="57"/>
      <c r="D104" s="59"/>
      <c r="E104" s="59"/>
      <c r="F104" s="59"/>
      <c r="G104" s="59"/>
      <c r="H104" s="59"/>
      <c r="I104" s="58"/>
      <c r="J104" s="58"/>
      <c r="K104" s="58"/>
      <c r="L104" s="58"/>
      <c r="M104" s="58"/>
    </row>
    <row r="105" spans="1:13" ht="13.5" x14ac:dyDescent="0.25">
      <c r="A105" s="86">
        <f t="shared" si="2"/>
        <v>103</v>
      </c>
      <c r="B105" s="56"/>
      <c r="C105" s="57"/>
      <c r="D105" s="58"/>
      <c r="E105" s="58"/>
      <c r="F105" s="58"/>
      <c r="G105" s="58"/>
      <c r="H105" s="58"/>
      <c r="I105" s="58"/>
      <c r="J105" s="58"/>
      <c r="K105" s="58"/>
      <c r="L105" s="58"/>
      <c r="M105" s="58"/>
    </row>
    <row r="106" spans="1:13" ht="13.5" x14ac:dyDescent="0.25">
      <c r="A106" s="86">
        <f t="shared" si="2"/>
        <v>104</v>
      </c>
      <c r="B106" s="56"/>
      <c r="C106" s="57"/>
      <c r="D106" s="58"/>
      <c r="E106" s="58"/>
      <c r="F106" s="58"/>
      <c r="G106" s="58"/>
      <c r="H106" s="58"/>
      <c r="I106" s="58"/>
      <c r="J106" s="58"/>
      <c r="K106" s="58"/>
      <c r="L106" s="58"/>
      <c r="M106" s="58"/>
    </row>
    <row r="107" spans="1:13" ht="13.5" x14ac:dyDescent="0.25">
      <c r="A107" s="86">
        <f t="shared" si="2"/>
        <v>105</v>
      </c>
      <c r="B107" s="56"/>
      <c r="C107" s="57"/>
      <c r="D107" s="58"/>
      <c r="E107" s="58"/>
      <c r="F107" s="58"/>
      <c r="G107" s="58"/>
      <c r="H107" s="58"/>
      <c r="I107" s="58"/>
      <c r="J107" s="58"/>
      <c r="K107" s="58"/>
      <c r="L107" s="58"/>
      <c r="M107" s="58"/>
    </row>
    <row r="108" spans="1:13" ht="13.5" x14ac:dyDescent="0.25">
      <c r="A108" s="86">
        <f t="shared" si="2"/>
        <v>106</v>
      </c>
      <c r="B108" s="56"/>
      <c r="C108" s="57"/>
      <c r="D108" s="58"/>
      <c r="E108" s="58"/>
      <c r="F108" s="58"/>
      <c r="G108" s="58"/>
      <c r="H108" s="58"/>
      <c r="I108" s="58"/>
      <c r="J108" s="58"/>
      <c r="K108" s="58"/>
      <c r="L108" s="58"/>
      <c r="M108" s="58"/>
    </row>
    <row r="109" spans="1:13" ht="13.5" x14ac:dyDescent="0.25">
      <c r="A109" s="86">
        <f t="shared" si="2"/>
        <v>107</v>
      </c>
      <c r="B109" s="56"/>
      <c r="C109" s="57"/>
      <c r="D109" s="58"/>
      <c r="E109" s="58"/>
      <c r="F109" s="58"/>
      <c r="G109" s="58"/>
      <c r="H109" s="58"/>
      <c r="I109" s="58"/>
      <c r="J109" s="58"/>
      <c r="K109" s="58"/>
      <c r="L109" s="58"/>
      <c r="M109" s="58"/>
    </row>
    <row r="110" spans="1:13" ht="13.5" x14ac:dyDescent="0.25">
      <c r="A110" s="86">
        <f t="shared" si="2"/>
        <v>108</v>
      </c>
      <c r="B110" s="56"/>
      <c r="C110" s="57"/>
      <c r="D110" s="58"/>
      <c r="E110" s="58"/>
      <c r="F110" s="58"/>
      <c r="G110" s="58"/>
      <c r="H110" s="58"/>
      <c r="I110" s="58"/>
      <c r="J110" s="58"/>
      <c r="K110" s="58"/>
      <c r="L110" s="58"/>
      <c r="M110" s="58"/>
    </row>
    <row r="111" spans="1:13" ht="13.5" x14ac:dyDescent="0.25">
      <c r="A111" s="86">
        <f t="shared" si="2"/>
        <v>109</v>
      </c>
      <c r="B111" s="56"/>
      <c r="C111" s="57"/>
      <c r="D111" s="58"/>
      <c r="E111" s="58"/>
      <c r="F111" s="58"/>
      <c r="G111" s="58"/>
      <c r="H111" s="58"/>
      <c r="I111" s="58"/>
      <c r="J111" s="58"/>
      <c r="K111" s="58"/>
      <c r="L111" s="58"/>
      <c r="M111" s="58"/>
    </row>
    <row r="112" spans="1:13" ht="13.5" x14ac:dyDescent="0.25">
      <c r="A112" s="86">
        <f t="shared" si="2"/>
        <v>110</v>
      </c>
      <c r="B112" s="56"/>
      <c r="C112" s="57"/>
      <c r="D112" s="58"/>
      <c r="E112" s="58"/>
      <c r="F112" s="58"/>
      <c r="G112" s="58"/>
      <c r="H112" s="58"/>
      <c r="I112" s="58"/>
      <c r="J112" s="58"/>
      <c r="K112" s="58"/>
      <c r="L112" s="58"/>
      <c r="M112" s="58"/>
    </row>
    <row r="113" spans="1:13" ht="13.5" x14ac:dyDescent="0.25">
      <c r="A113" s="86">
        <f t="shared" si="2"/>
        <v>111</v>
      </c>
      <c r="B113" s="56"/>
      <c r="C113" s="57"/>
      <c r="D113" s="58"/>
      <c r="E113" s="58"/>
      <c r="F113" s="58"/>
      <c r="G113" s="58"/>
      <c r="H113" s="58"/>
      <c r="I113" s="58"/>
      <c r="J113" s="58"/>
      <c r="K113" s="58"/>
      <c r="L113" s="58"/>
      <c r="M113" s="58"/>
    </row>
    <row r="114" spans="1:13" ht="13.5" x14ac:dyDescent="0.25">
      <c r="A114" s="86">
        <f t="shared" si="2"/>
        <v>112</v>
      </c>
      <c r="B114" s="56"/>
      <c r="C114" s="57"/>
      <c r="D114" s="58"/>
      <c r="E114" s="58"/>
      <c r="F114" s="58"/>
      <c r="G114" s="58"/>
      <c r="H114" s="58"/>
      <c r="I114" s="58"/>
      <c r="J114" s="58"/>
      <c r="K114" s="58"/>
      <c r="L114" s="58"/>
      <c r="M114" s="58"/>
    </row>
    <row r="115" spans="1:13" ht="13.5" x14ac:dyDescent="0.25">
      <c r="A115" s="86">
        <f t="shared" si="2"/>
        <v>113</v>
      </c>
      <c r="B115" s="56"/>
      <c r="C115" s="57"/>
      <c r="D115" s="58"/>
      <c r="E115" s="58"/>
      <c r="F115" s="58"/>
      <c r="G115" s="58"/>
      <c r="H115" s="58"/>
      <c r="I115" s="58"/>
      <c r="J115" s="58"/>
      <c r="K115" s="58"/>
      <c r="L115" s="58"/>
      <c r="M115" s="58"/>
    </row>
    <row r="116" spans="1:13" ht="13.5" x14ac:dyDescent="0.25">
      <c r="A116" s="86">
        <f t="shared" si="2"/>
        <v>114</v>
      </c>
      <c r="B116" s="56"/>
      <c r="C116" s="57"/>
      <c r="D116" s="58"/>
      <c r="E116" s="58"/>
      <c r="F116" s="58"/>
      <c r="G116" s="58"/>
      <c r="H116" s="58"/>
      <c r="I116" s="58"/>
      <c r="J116" s="58"/>
      <c r="K116" s="58"/>
      <c r="L116" s="58"/>
      <c r="M116" s="58"/>
    </row>
    <row r="117" spans="1:13" ht="13.5" x14ac:dyDescent="0.25">
      <c r="A117" s="86">
        <f t="shared" si="2"/>
        <v>115</v>
      </c>
      <c r="B117" s="56"/>
      <c r="C117" s="57"/>
      <c r="D117" s="58"/>
      <c r="E117" s="58"/>
      <c r="F117" s="58"/>
      <c r="G117" s="58"/>
      <c r="H117" s="58"/>
      <c r="I117" s="58"/>
      <c r="J117" s="58"/>
      <c r="K117" s="58"/>
      <c r="L117" s="58"/>
      <c r="M117" s="58"/>
    </row>
    <row r="118" spans="1:13" ht="13.5" x14ac:dyDescent="0.25">
      <c r="A118" s="86">
        <f t="shared" si="2"/>
        <v>116</v>
      </c>
      <c r="B118" s="56"/>
      <c r="C118" s="57"/>
      <c r="D118" s="58"/>
      <c r="E118" s="58"/>
      <c r="F118" s="58"/>
      <c r="G118" s="58"/>
      <c r="H118" s="58"/>
      <c r="I118" s="58"/>
      <c r="J118" s="58"/>
      <c r="K118" s="58"/>
      <c r="L118" s="58"/>
      <c r="M118" s="58"/>
    </row>
    <row r="119" spans="1:13" ht="13.5" x14ac:dyDescent="0.25">
      <c r="A119" s="86">
        <f t="shared" si="2"/>
        <v>117</v>
      </c>
      <c r="B119" s="56"/>
      <c r="C119" s="57"/>
      <c r="D119" s="58"/>
      <c r="E119" s="58"/>
      <c r="F119" s="58"/>
      <c r="G119" s="58"/>
      <c r="H119" s="58"/>
      <c r="I119" s="58"/>
      <c r="J119" s="58"/>
      <c r="K119" s="58"/>
      <c r="L119" s="58"/>
      <c r="M119" s="58"/>
    </row>
    <row r="120" spans="1:13" ht="13.5" x14ac:dyDescent="0.25">
      <c r="A120" s="86">
        <f t="shared" si="2"/>
        <v>118</v>
      </c>
      <c r="B120" s="56"/>
      <c r="C120" s="57"/>
      <c r="D120" s="58"/>
      <c r="E120" s="58"/>
      <c r="F120" s="58"/>
      <c r="G120" s="58"/>
      <c r="H120" s="58"/>
      <c r="I120" s="58"/>
      <c r="J120" s="58"/>
      <c r="K120" s="58"/>
      <c r="L120" s="58"/>
      <c r="M120" s="58"/>
    </row>
    <row r="121" spans="1:13" ht="13.5" x14ac:dyDescent="0.25">
      <c r="A121" s="86">
        <f t="shared" si="2"/>
        <v>119</v>
      </c>
      <c r="B121" s="56"/>
      <c r="C121" s="57"/>
      <c r="D121" s="58"/>
      <c r="E121" s="58"/>
      <c r="F121" s="58"/>
      <c r="G121" s="58"/>
      <c r="H121" s="58"/>
      <c r="I121" s="58"/>
      <c r="J121" s="58"/>
      <c r="K121" s="58"/>
      <c r="L121" s="58"/>
      <c r="M121" s="58"/>
    </row>
    <row r="122" spans="1:13" ht="13.5" x14ac:dyDescent="0.25">
      <c r="A122" s="86">
        <f t="shared" si="2"/>
        <v>120</v>
      </c>
      <c r="B122" s="56"/>
      <c r="C122" s="57"/>
      <c r="D122" s="58"/>
      <c r="E122" s="58"/>
      <c r="F122" s="58"/>
      <c r="G122" s="58"/>
      <c r="H122" s="58"/>
      <c r="I122" s="58"/>
      <c r="J122" s="58"/>
      <c r="K122" s="58"/>
      <c r="L122" s="58"/>
      <c r="M122" s="58"/>
    </row>
    <row r="123" spans="1:13" ht="13.5" x14ac:dyDescent="0.25">
      <c r="A123" s="86">
        <f t="shared" si="2"/>
        <v>121</v>
      </c>
      <c r="B123" s="56"/>
      <c r="C123" s="57"/>
      <c r="D123" s="58"/>
      <c r="E123" s="58"/>
      <c r="F123" s="58"/>
      <c r="G123" s="58"/>
      <c r="H123" s="58"/>
      <c r="I123" s="58"/>
      <c r="J123" s="58"/>
      <c r="K123" s="58"/>
      <c r="L123" s="58"/>
      <c r="M123" s="58"/>
    </row>
    <row r="124" spans="1:13" ht="13.5" x14ac:dyDescent="0.25">
      <c r="A124" s="86">
        <f t="shared" si="2"/>
        <v>122</v>
      </c>
      <c r="B124" s="56"/>
      <c r="C124" s="57"/>
      <c r="D124" s="58"/>
      <c r="E124" s="58"/>
      <c r="F124" s="58"/>
      <c r="G124" s="58"/>
      <c r="H124" s="58"/>
      <c r="I124" s="58"/>
      <c r="J124" s="58"/>
      <c r="K124" s="58"/>
      <c r="L124" s="58"/>
      <c r="M124" s="58"/>
    </row>
    <row r="125" spans="1:13" ht="13.5" x14ac:dyDescent="0.25">
      <c r="A125" s="86">
        <f t="shared" si="2"/>
        <v>123</v>
      </c>
      <c r="B125" s="56"/>
      <c r="C125" s="57"/>
      <c r="D125" s="58"/>
      <c r="E125" s="58"/>
      <c r="F125" s="58"/>
      <c r="G125" s="58"/>
      <c r="H125" s="58"/>
      <c r="I125" s="58"/>
      <c r="J125" s="58"/>
      <c r="K125" s="58"/>
      <c r="L125" s="58"/>
      <c r="M125" s="58"/>
    </row>
    <row r="126" spans="1:13" ht="13.5" x14ac:dyDescent="0.25">
      <c r="A126" s="86">
        <f t="shared" si="2"/>
        <v>124</v>
      </c>
      <c r="B126" s="56"/>
      <c r="C126" s="57"/>
      <c r="D126" s="58"/>
      <c r="E126" s="58"/>
      <c r="F126" s="58"/>
      <c r="G126" s="58"/>
      <c r="H126" s="58"/>
      <c r="I126" s="58"/>
      <c r="J126" s="58"/>
      <c r="K126" s="58"/>
      <c r="L126" s="58"/>
      <c r="M126" s="58"/>
    </row>
    <row r="127" spans="1:13" ht="13.5" x14ac:dyDescent="0.25">
      <c r="A127" s="86">
        <f t="shared" si="2"/>
        <v>125</v>
      </c>
      <c r="B127" s="56"/>
      <c r="C127" s="57"/>
      <c r="D127" s="58"/>
      <c r="E127" s="58"/>
      <c r="F127" s="58"/>
      <c r="G127" s="58"/>
      <c r="H127" s="58"/>
      <c r="I127" s="58"/>
      <c r="J127" s="58"/>
      <c r="K127" s="58"/>
      <c r="L127" s="58"/>
      <c r="M127" s="58"/>
    </row>
    <row r="128" spans="1:13" ht="13.5" x14ac:dyDescent="0.25">
      <c r="A128" s="86">
        <f t="shared" si="2"/>
        <v>126</v>
      </c>
      <c r="B128" s="56"/>
      <c r="C128" s="57"/>
      <c r="D128" s="58"/>
      <c r="E128" s="58"/>
      <c r="F128" s="58"/>
      <c r="G128" s="58"/>
      <c r="H128" s="58"/>
      <c r="I128" s="58"/>
      <c r="J128" s="58"/>
      <c r="K128" s="58"/>
      <c r="L128" s="58"/>
      <c r="M128" s="58"/>
    </row>
    <row r="129" spans="1:13" ht="13.5" x14ac:dyDescent="0.25">
      <c r="A129" s="86">
        <f t="shared" si="2"/>
        <v>127</v>
      </c>
      <c r="B129" s="56"/>
      <c r="C129" s="57"/>
      <c r="D129" s="58"/>
      <c r="E129" s="58"/>
      <c r="F129" s="58"/>
      <c r="G129" s="58"/>
      <c r="H129" s="58"/>
      <c r="I129" s="58"/>
      <c r="J129" s="58"/>
      <c r="K129" s="58"/>
      <c r="L129" s="58"/>
      <c r="M129" s="58"/>
    </row>
    <row r="130" spans="1:13" ht="13.5" x14ac:dyDescent="0.25">
      <c r="A130" s="86">
        <f t="shared" si="2"/>
        <v>128</v>
      </c>
      <c r="B130" s="56"/>
      <c r="C130" s="57"/>
      <c r="D130" s="58"/>
      <c r="E130" s="58"/>
      <c r="F130" s="58"/>
      <c r="G130" s="58"/>
      <c r="H130" s="58"/>
      <c r="I130" s="58"/>
      <c r="J130" s="58"/>
      <c r="K130" s="58"/>
      <c r="L130" s="58"/>
      <c r="M130" s="58"/>
    </row>
    <row r="131" spans="1:13" ht="13.5" x14ac:dyDescent="0.25">
      <c r="A131" s="86">
        <f t="shared" si="2"/>
        <v>129</v>
      </c>
      <c r="B131" s="56"/>
      <c r="C131" s="57"/>
      <c r="D131" s="58"/>
      <c r="E131" s="58"/>
      <c r="F131" s="58"/>
      <c r="G131" s="58"/>
      <c r="H131" s="58"/>
      <c r="I131" s="58"/>
      <c r="J131" s="58"/>
      <c r="K131" s="58"/>
      <c r="L131" s="58"/>
      <c r="M131" s="58"/>
    </row>
    <row r="132" spans="1:13" ht="13.5" x14ac:dyDescent="0.25">
      <c r="A132" s="86">
        <f t="shared" ref="A132:A195" si="3">+A131+1</f>
        <v>130</v>
      </c>
      <c r="B132" s="56"/>
      <c r="C132" s="57"/>
      <c r="D132" s="58"/>
      <c r="E132" s="58"/>
      <c r="F132" s="58"/>
      <c r="G132" s="58"/>
      <c r="H132" s="58"/>
      <c r="I132" s="58"/>
      <c r="J132" s="58"/>
      <c r="K132" s="58"/>
      <c r="L132" s="58"/>
      <c r="M132" s="58"/>
    </row>
    <row r="133" spans="1:13" ht="13.5" x14ac:dyDescent="0.25">
      <c r="A133" s="86">
        <f t="shared" si="3"/>
        <v>131</v>
      </c>
      <c r="B133" s="56"/>
      <c r="C133" s="57"/>
      <c r="D133" s="58"/>
      <c r="E133" s="58"/>
      <c r="F133" s="58"/>
      <c r="G133" s="58"/>
      <c r="H133" s="58"/>
      <c r="I133" s="58"/>
      <c r="J133" s="58"/>
      <c r="K133" s="58"/>
      <c r="L133" s="58"/>
      <c r="M133" s="58"/>
    </row>
    <row r="134" spans="1:13" ht="13.5" x14ac:dyDescent="0.25">
      <c r="A134" s="86">
        <f t="shared" si="3"/>
        <v>132</v>
      </c>
      <c r="B134" s="56"/>
      <c r="C134" s="57"/>
      <c r="D134" s="58"/>
      <c r="E134" s="58"/>
      <c r="F134" s="58"/>
      <c r="G134" s="58"/>
      <c r="H134" s="58"/>
      <c r="I134" s="58"/>
      <c r="J134" s="58"/>
      <c r="K134" s="58"/>
      <c r="L134" s="58"/>
      <c r="M134" s="58"/>
    </row>
    <row r="135" spans="1:13" ht="13.5" x14ac:dyDescent="0.25">
      <c r="A135" s="86">
        <f t="shared" si="3"/>
        <v>133</v>
      </c>
      <c r="B135" s="56"/>
      <c r="C135" s="57"/>
      <c r="D135" s="58"/>
      <c r="E135" s="58"/>
      <c r="F135" s="58"/>
      <c r="G135" s="58"/>
      <c r="H135" s="58"/>
      <c r="I135" s="58"/>
      <c r="J135" s="58"/>
      <c r="K135" s="58"/>
      <c r="L135" s="58"/>
      <c r="M135" s="58"/>
    </row>
    <row r="136" spans="1:13" ht="13.5" x14ac:dyDescent="0.25">
      <c r="A136" s="86">
        <f t="shared" si="3"/>
        <v>134</v>
      </c>
      <c r="B136" s="56"/>
      <c r="C136" s="57"/>
      <c r="D136" s="58"/>
      <c r="E136" s="58"/>
      <c r="F136" s="58"/>
      <c r="G136" s="58"/>
      <c r="H136" s="58"/>
      <c r="I136" s="58"/>
      <c r="J136" s="58"/>
      <c r="K136" s="58"/>
      <c r="L136" s="58"/>
      <c r="M136" s="58"/>
    </row>
    <row r="137" spans="1:13" ht="13.5" x14ac:dyDescent="0.25">
      <c r="A137" s="86">
        <f t="shared" si="3"/>
        <v>135</v>
      </c>
      <c r="B137" s="56"/>
      <c r="C137" s="57"/>
      <c r="D137" s="58"/>
      <c r="E137" s="58"/>
      <c r="F137" s="58"/>
      <c r="G137" s="58"/>
      <c r="H137" s="58"/>
      <c r="I137" s="58"/>
      <c r="J137" s="58"/>
      <c r="K137" s="58"/>
      <c r="L137" s="58"/>
      <c r="M137" s="58"/>
    </row>
    <row r="138" spans="1:13" ht="13.5" x14ac:dyDescent="0.25">
      <c r="A138" s="86">
        <f t="shared" si="3"/>
        <v>136</v>
      </c>
      <c r="B138" s="56"/>
      <c r="C138" s="57"/>
      <c r="D138" s="58"/>
      <c r="E138" s="58"/>
      <c r="F138" s="58"/>
      <c r="G138" s="58"/>
      <c r="H138" s="58"/>
      <c r="I138" s="58"/>
      <c r="J138" s="58"/>
      <c r="K138" s="58"/>
      <c r="L138" s="58"/>
      <c r="M138" s="58"/>
    </row>
    <row r="139" spans="1:13" ht="13.5" x14ac:dyDescent="0.25">
      <c r="A139" s="86">
        <f t="shared" si="3"/>
        <v>137</v>
      </c>
      <c r="B139" s="56"/>
      <c r="C139" s="57"/>
      <c r="D139" s="58"/>
      <c r="E139" s="58"/>
      <c r="F139" s="58"/>
      <c r="G139" s="58"/>
      <c r="H139" s="58"/>
      <c r="I139" s="58"/>
      <c r="J139" s="58"/>
      <c r="K139" s="58"/>
      <c r="L139" s="58"/>
      <c r="M139" s="58"/>
    </row>
    <row r="140" spans="1:13" ht="13.5" x14ac:dyDescent="0.25">
      <c r="A140" s="86">
        <f t="shared" si="3"/>
        <v>138</v>
      </c>
      <c r="B140" s="56"/>
      <c r="C140" s="57"/>
      <c r="D140" s="58"/>
      <c r="E140" s="58"/>
      <c r="F140" s="58"/>
      <c r="G140" s="58"/>
      <c r="H140" s="58"/>
      <c r="I140" s="58"/>
      <c r="J140" s="58"/>
      <c r="K140" s="58"/>
      <c r="L140" s="58"/>
      <c r="M140" s="58"/>
    </row>
    <row r="141" spans="1:13" ht="13.5" x14ac:dyDescent="0.25">
      <c r="A141" s="86">
        <f t="shared" si="3"/>
        <v>139</v>
      </c>
      <c r="B141" s="56"/>
      <c r="C141" s="57"/>
      <c r="D141" s="58"/>
      <c r="E141" s="58"/>
      <c r="F141" s="58"/>
      <c r="G141" s="58"/>
      <c r="H141" s="58"/>
      <c r="I141" s="58"/>
      <c r="J141" s="58"/>
      <c r="K141" s="58"/>
      <c r="L141" s="58"/>
      <c r="M141" s="58"/>
    </row>
    <row r="142" spans="1:13" ht="13.5" x14ac:dyDescent="0.25">
      <c r="A142" s="86">
        <f t="shared" si="3"/>
        <v>140</v>
      </c>
      <c r="B142" s="56"/>
      <c r="C142" s="57"/>
      <c r="D142" s="58"/>
      <c r="E142" s="58"/>
      <c r="F142" s="58"/>
      <c r="G142" s="58"/>
      <c r="H142" s="58"/>
      <c r="I142" s="58"/>
      <c r="J142" s="58"/>
      <c r="K142" s="58"/>
      <c r="L142" s="58"/>
      <c r="M142" s="58"/>
    </row>
    <row r="143" spans="1:13" ht="13.5" x14ac:dyDescent="0.25">
      <c r="A143" s="86">
        <f t="shared" si="3"/>
        <v>141</v>
      </c>
      <c r="B143" s="56"/>
      <c r="C143" s="57"/>
      <c r="D143" s="58"/>
      <c r="E143" s="58"/>
      <c r="F143" s="58"/>
      <c r="G143" s="58"/>
      <c r="H143" s="58"/>
      <c r="I143" s="58"/>
      <c r="J143" s="58"/>
      <c r="K143" s="58"/>
      <c r="L143" s="58"/>
      <c r="M143" s="58"/>
    </row>
    <row r="144" spans="1:13" ht="13.5" x14ac:dyDescent="0.25">
      <c r="A144" s="86">
        <f t="shared" si="3"/>
        <v>142</v>
      </c>
      <c r="B144" s="56"/>
      <c r="C144" s="57"/>
      <c r="D144" s="58"/>
      <c r="E144" s="58"/>
      <c r="F144" s="58"/>
      <c r="G144" s="58"/>
      <c r="H144" s="58"/>
      <c r="I144" s="58"/>
      <c r="J144" s="58"/>
      <c r="K144" s="58"/>
      <c r="L144" s="58"/>
      <c r="M144" s="58"/>
    </row>
    <row r="145" spans="1:13" ht="13.5" x14ac:dyDescent="0.25">
      <c r="A145" s="86">
        <f t="shared" si="3"/>
        <v>143</v>
      </c>
      <c r="B145" s="56"/>
      <c r="C145" s="57"/>
      <c r="D145" s="58"/>
      <c r="E145" s="58"/>
      <c r="F145" s="58"/>
      <c r="G145" s="58"/>
      <c r="H145" s="58"/>
      <c r="I145" s="58"/>
      <c r="J145" s="58"/>
      <c r="K145" s="58"/>
      <c r="L145" s="58"/>
      <c r="M145" s="58"/>
    </row>
    <row r="146" spans="1:13" ht="13.5" x14ac:dyDescent="0.25">
      <c r="A146" s="86">
        <f t="shared" si="3"/>
        <v>144</v>
      </c>
      <c r="B146" s="56"/>
      <c r="C146" s="57"/>
      <c r="D146" s="58"/>
      <c r="E146" s="58"/>
      <c r="F146" s="58"/>
      <c r="G146" s="58"/>
      <c r="H146" s="58"/>
      <c r="I146" s="58"/>
      <c r="J146" s="58"/>
      <c r="K146" s="58"/>
      <c r="L146" s="58"/>
      <c r="M146" s="58"/>
    </row>
    <row r="147" spans="1:13" ht="13.5" x14ac:dyDescent="0.25">
      <c r="A147" s="86">
        <f t="shared" si="3"/>
        <v>145</v>
      </c>
      <c r="B147" s="56"/>
      <c r="C147" s="57"/>
      <c r="D147" s="58"/>
      <c r="E147" s="58"/>
      <c r="F147" s="58"/>
      <c r="G147" s="58"/>
      <c r="H147" s="58"/>
      <c r="I147" s="58"/>
      <c r="J147" s="58"/>
      <c r="K147" s="58"/>
      <c r="L147" s="58"/>
      <c r="M147" s="58"/>
    </row>
    <row r="148" spans="1:13" ht="13.5" x14ac:dyDescent="0.25">
      <c r="A148" s="86">
        <f t="shared" si="3"/>
        <v>146</v>
      </c>
      <c r="B148" s="56"/>
      <c r="C148" s="57"/>
      <c r="D148" s="58"/>
      <c r="E148" s="58"/>
      <c r="F148" s="58"/>
      <c r="G148" s="58"/>
      <c r="H148" s="58"/>
      <c r="I148" s="58"/>
      <c r="J148" s="58"/>
      <c r="K148" s="58"/>
      <c r="L148" s="58"/>
      <c r="M148" s="58"/>
    </row>
    <row r="149" spans="1:13" ht="13.5" x14ac:dyDescent="0.25">
      <c r="A149" s="86">
        <f t="shared" si="3"/>
        <v>147</v>
      </c>
      <c r="B149" s="56"/>
      <c r="C149" s="57"/>
      <c r="D149" s="58"/>
      <c r="E149" s="58"/>
      <c r="F149" s="58"/>
      <c r="G149" s="58"/>
      <c r="H149" s="58"/>
      <c r="I149" s="58"/>
      <c r="J149" s="58"/>
      <c r="K149" s="58"/>
      <c r="L149" s="58"/>
      <c r="M149" s="58"/>
    </row>
    <row r="150" spans="1:13" ht="13.5" x14ac:dyDescent="0.25">
      <c r="A150" s="86">
        <f t="shared" si="3"/>
        <v>148</v>
      </c>
      <c r="B150" s="56"/>
      <c r="C150" s="57"/>
      <c r="D150" s="58"/>
      <c r="E150" s="58"/>
      <c r="F150" s="58"/>
      <c r="G150" s="58"/>
      <c r="H150" s="58"/>
      <c r="I150" s="58"/>
      <c r="J150" s="58"/>
      <c r="K150" s="58"/>
      <c r="L150" s="58"/>
      <c r="M150" s="58"/>
    </row>
    <row r="151" spans="1:13" ht="13.5" x14ac:dyDescent="0.25">
      <c r="A151" s="86">
        <f t="shared" si="3"/>
        <v>149</v>
      </c>
      <c r="B151" s="56"/>
      <c r="C151" s="57"/>
      <c r="D151" s="58"/>
      <c r="E151" s="58"/>
      <c r="F151" s="58"/>
      <c r="G151" s="58"/>
      <c r="H151" s="58"/>
      <c r="I151" s="58"/>
      <c r="J151" s="58"/>
      <c r="K151" s="58"/>
      <c r="L151" s="58"/>
      <c r="M151" s="58"/>
    </row>
    <row r="152" spans="1:13" ht="13.5" x14ac:dyDescent="0.25">
      <c r="A152" s="86">
        <f t="shared" si="3"/>
        <v>150</v>
      </c>
      <c r="B152" s="56"/>
      <c r="C152" s="57"/>
      <c r="D152" s="58"/>
      <c r="E152" s="58"/>
      <c r="F152" s="58"/>
      <c r="G152" s="58"/>
      <c r="H152" s="58"/>
      <c r="I152" s="58"/>
      <c r="J152" s="58"/>
      <c r="K152" s="58"/>
      <c r="L152" s="58"/>
      <c r="M152" s="58"/>
    </row>
    <row r="153" spans="1:13" ht="13.5" x14ac:dyDescent="0.25">
      <c r="A153" s="86">
        <f t="shared" si="3"/>
        <v>151</v>
      </c>
      <c r="B153" s="56"/>
      <c r="C153" s="57"/>
      <c r="D153" s="58"/>
      <c r="E153" s="58"/>
      <c r="F153" s="58"/>
      <c r="G153" s="58"/>
      <c r="H153" s="58"/>
      <c r="I153" s="58"/>
      <c r="J153" s="58"/>
      <c r="K153" s="58"/>
      <c r="L153" s="58"/>
      <c r="M153" s="58"/>
    </row>
    <row r="154" spans="1:13" ht="13.5" x14ac:dyDescent="0.25">
      <c r="A154" s="86">
        <f t="shared" si="3"/>
        <v>152</v>
      </c>
      <c r="B154" s="56"/>
      <c r="C154" s="57"/>
      <c r="D154" s="58"/>
      <c r="E154" s="58"/>
      <c r="F154" s="58"/>
      <c r="G154" s="58"/>
      <c r="H154" s="58"/>
      <c r="I154" s="58"/>
      <c r="J154" s="58"/>
      <c r="K154" s="58"/>
      <c r="L154" s="58"/>
      <c r="M154" s="58"/>
    </row>
    <row r="155" spans="1:13" ht="13.5" x14ac:dyDescent="0.25">
      <c r="A155" s="86">
        <f t="shared" si="3"/>
        <v>153</v>
      </c>
      <c r="B155" s="56"/>
      <c r="C155" s="57"/>
      <c r="D155" s="58"/>
      <c r="E155" s="58"/>
      <c r="F155" s="58"/>
      <c r="G155" s="58"/>
      <c r="H155" s="58"/>
      <c r="I155" s="58"/>
      <c r="J155" s="58"/>
      <c r="K155" s="58"/>
      <c r="L155" s="58"/>
      <c r="M155" s="58"/>
    </row>
    <row r="156" spans="1:13" ht="13.5" x14ac:dyDescent="0.25">
      <c r="A156" s="86">
        <f t="shared" si="3"/>
        <v>154</v>
      </c>
      <c r="B156" s="56"/>
      <c r="C156" s="57"/>
      <c r="D156" s="58"/>
      <c r="E156" s="58"/>
      <c r="F156" s="58"/>
      <c r="G156" s="58"/>
      <c r="H156" s="58"/>
      <c r="I156" s="58"/>
      <c r="J156" s="58"/>
      <c r="K156" s="58"/>
      <c r="L156" s="58"/>
      <c r="M156" s="58"/>
    </row>
    <row r="157" spans="1:13" ht="13.5" x14ac:dyDescent="0.25">
      <c r="A157" s="86">
        <f t="shared" si="3"/>
        <v>155</v>
      </c>
      <c r="B157" s="56"/>
      <c r="C157" s="57"/>
      <c r="D157" s="58"/>
      <c r="E157" s="58"/>
      <c r="F157" s="58"/>
      <c r="G157" s="58"/>
      <c r="H157" s="58"/>
      <c r="I157" s="58"/>
      <c r="J157" s="58"/>
      <c r="K157" s="58"/>
      <c r="L157" s="58"/>
      <c r="M157" s="58"/>
    </row>
    <row r="158" spans="1:13" ht="13.5" x14ac:dyDescent="0.25">
      <c r="A158" s="86">
        <f t="shared" si="3"/>
        <v>156</v>
      </c>
      <c r="B158" s="56"/>
      <c r="C158" s="57"/>
      <c r="D158" s="58"/>
      <c r="E158" s="58"/>
      <c r="F158" s="58"/>
      <c r="G158" s="58"/>
      <c r="H158" s="58"/>
      <c r="I158" s="58"/>
      <c r="J158" s="58"/>
      <c r="K158" s="58"/>
      <c r="L158" s="58"/>
      <c r="M158" s="58"/>
    </row>
    <row r="159" spans="1:13" ht="13.5" x14ac:dyDescent="0.25">
      <c r="A159" s="86">
        <f t="shared" si="3"/>
        <v>157</v>
      </c>
      <c r="B159" s="56"/>
      <c r="C159" s="57"/>
      <c r="D159" s="58"/>
      <c r="E159" s="58"/>
      <c r="F159" s="58"/>
      <c r="G159" s="58"/>
      <c r="H159" s="58"/>
      <c r="I159" s="58"/>
      <c r="J159" s="58"/>
      <c r="K159" s="58"/>
      <c r="L159" s="58"/>
      <c r="M159" s="58"/>
    </row>
    <row r="160" spans="1:13" ht="13.5" x14ac:dyDescent="0.25">
      <c r="A160" s="86">
        <f t="shared" si="3"/>
        <v>158</v>
      </c>
      <c r="B160" s="56"/>
      <c r="C160" s="57"/>
      <c r="D160" s="58"/>
      <c r="E160" s="58"/>
      <c r="F160" s="58"/>
      <c r="G160" s="58"/>
      <c r="H160" s="58"/>
      <c r="I160" s="58"/>
      <c r="J160" s="58"/>
      <c r="K160" s="58"/>
      <c r="L160" s="58"/>
      <c r="M160" s="58"/>
    </row>
    <row r="161" spans="1:13" ht="13.5" x14ac:dyDescent="0.25">
      <c r="A161" s="86">
        <f t="shared" si="3"/>
        <v>159</v>
      </c>
      <c r="B161" s="56"/>
      <c r="C161" s="57"/>
      <c r="D161" s="58"/>
      <c r="E161" s="58"/>
      <c r="F161" s="58"/>
      <c r="G161" s="58"/>
      <c r="H161" s="58"/>
      <c r="I161" s="58"/>
      <c r="J161" s="58"/>
      <c r="K161" s="58"/>
      <c r="L161" s="58"/>
      <c r="M161" s="58"/>
    </row>
    <row r="162" spans="1:13" ht="13.5" x14ac:dyDescent="0.25">
      <c r="A162" s="86">
        <f t="shared" si="3"/>
        <v>160</v>
      </c>
      <c r="B162" s="56"/>
      <c r="C162" s="57"/>
      <c r="D162" s="58"/>
      <c r="E162" s="58"/>
      <c r="F162" s="58"/>
      <c r="G162" s="58"/>
      <c r="H162" s="58"/>
      <c r="I162" s="58"/>
      <c r="J162" s="58"/>
      <c r="K162" s="58"/>
      <c r="L162" s="58"/>
      <c r="M162" s="58"/>
    </row>
    <row r="163" spans="1:13" ht="13.5" x14ac:dyDescent="0.25">
      <c r="A163" s="86">
        <f t="shared" si="3"/>
        <v>161</v>
      </c>
      <c r="B163" s="56"/>
      <c r="C163" s="57"/>
      <c r="D163" s="58"/>
      <c r="E163" s="58"/>
      <c r="F163" s="58"/>
      <c r="G163" s="58"/>
      <c r="H163" s="58"/>
      <c r="I163" s="58"/>
      <c r="J163" s="58"/>
      <c r="K163" s="58"/>
      <c r="L163" s="58"/>
      <c r="M163" s="58"/>
    </row>
    <row r="164" spans="1:13" ht="13.5" x14ac:dyDescent="0.25">
      <c r="A164" s="86">
        <f t="shared" si="3"/>
        <v>162</v>
      </c>
      <c r="B164" s="56"/>
      <c r="C164" s="57"/>
      <c r="D164" s="58"/>
      <c r="E164" s="58"/>
      <c r="F164" s="58"/>
      <c r="G164" s="58"/>
      <c r="H164" s="58"/>
      <c r="I164" s="58"/>
      <c r="J164" s="58"/>
      <c r="K164" s="58"/>
      <c r="L164" s="58"/>
      <c r="M164" s="58"/>
    </row>
    <row r="165" spans="1:13" ht="13.5" x14ac:dyDescent="0.25">
      <c r="A165" s="86">
        <f t="shared" si="3"/>
        <v>163</v>
      </c>
      <c r="B165" s="56"/>
      <c r="C165" s="57"/>
      <c r="D165" s="58"/>
      <c r="E165" s="58"/>
      <c r="F165" s="58"/>
      <c r="G165" s="58"/>
      <c r="H165" s="58"/>
      <c r="I165" s="58"/>
      <c r="J165" s="58"/>
      <c r="K165" s="58"/>
      <c r="L165" s="58"/>
      <c r="M165" s="58"/>
    </row>
    <row r="166" spans="1:13" ht="13.5" x14ac:dyDescent="0.25">
      <c r="A166" s="86">
        <f t="shared" si="3"/>
        <v>164</v>
      </c>
      <c r="B166" s="56"/>
      <c r="C166" s="57"/>
      <c r="D166" s="58"/>
      <c r="E166" s="58"/>
      <c r="F166" s="58"/>
      <c r="G166" s="58"/>
      <c r="H166" s="58"/>
      <c r="I166" s="58"/>
      <c r="J166" s="58"/>
      <c r="K166" s="58"/>
      <c r="L166" s="58"/>
      <c r="M166" s="58"/>
    </row>
    <row r="167" spans="1:13" ht="13.5" x14ac:dyDescent="0.25">
      <c r="A167" s="86">
        <f t="shared" si="3"/>
        <v>165</v>
      </c>
      <c r="B167" s="56"/>
      <c r="C167" s="57"/>
      <c r="D167" s="58"/>
      <c r="E167" s="58"/>
      <c r="F167" s="58"/>
      <c r="G167" s="58"/>
      <c r="H167" s="58"/>
      <c r="I167" s="58"/>
      <c r="J167" s="58"/>
      <c r="K167" s="58"/>
      <c r="L167" s="58"/>
      <c r="M167" s="58"/>
    </row>
    <row r="168" spans="1:13" ht="13.5" x14ac:dyDescent="0.25">
      <c r="A168" s="86">
        <f t="shared" si="3"/>
        <v>166</v>
      </c>
      <c r="B168" s="56"/>
      <c r="C168" s="57"/>
      <c r="D168" s="58"/>
      <c r="E168" s="58"/>
      <c r="F168" s="58"/>
      <c r="G168" s="58"/>
      <c r="H168" s="58"/>
      <c r="I168" s="58"/>
      <c r="J168" s="58"/>
      <c r="K168" s="58"/>
      <c r="L168" s="58"/>
      <c r="M168" s="58"/>
    </row>
    <row r="169" spans="1:13" ht="13.5" x14ac:dyDescent="0.25">
      <c r="A169" s="86">
        <f t="shared" si="3"/>
        <v>167</v>
      </c>
      <c r="B169" s="56"/>
      <c r="C169" s="57"/>
      <c r="D169" s="58"/>
      <c r="E169" s="58"/>
      <c r="F169" s="58"/>
      <c r="G169" s="58"/>
      <c r="H169" s="58"/>
      <c r="I169" s="58"/>
      <c r="J169" s="58"/>
      <c r="K169" s="58"/>
      <c r="L169" s="58"/>
      <c r="M169" s="58"/>
    </row>
    <row r="170" spans="1:13" ht="13.5" x14ac:dyDescent="0.25">
      <c r="A170" s="86">
        <f t="shared" si="3"/>
        <v>168</v>
      </c>
      <c r="B170" s="56"/>
      <c r="C170" s="57"/>
      <c r="D170" s="58"/>
      <c r="E170" s="58"/>
      <c r="F170" s="58"/>
      <c r="G170" s="58"/>
      <c r="H170" s="58"/>
      <c r="I170" s="58"/>
      <c r="J170" s="58"/>
      <c r="K170" s="58"/>
      <c r="L170" s="58"/>
      <c r="M170" s="58"/>
    </row>
    <row r="171" spans="1:13" ht="13.5" x14ac:dyDescent="0.25">
      <c r="A171" s="86">
        <f t="shared" si="3"/>
        <v>169</v>
      </c>
      <c r="B171" s="56"/>
      <c r="C171" s="57"/>
      <c r="D171" s="58"/>
      <c r="E171" s="58"/>
      <c r="F171" s="58"/>
      <c r="G171" s="58"/>
      <c r="H171" s="58"/>
      <c r="I171" s="58"/>
      <c r="J171" s="58"/>
      <c r="K171" s="58"/>
      <c r="L171" s="58"/>
      <c r="M171" s="58"/>
    </row>
    <row r="172" spans="1:13" ht="13.5" x14ac:dyDescent="0.25">
      <c r="A172" s="86">
        <f t="shared" si="3"/>
        <v>170</v>
      </c>
      <c r="B172" s="56"/>
      <c r="C172" s="57"/>
      <c r="D172" s="58"/>
      <c r="E172" s="58"/>
      <c r="F172" s="58"/>
      <c r="G172" s="58"/>
      <c r="H172" s="58"/>
      <c r="I172" s="58"/>
      <c r="J172" s="58"/>
      <c r="K172" s="58"/>
      <c r="L172" s="58"/>
      <c r="M172" s="58"/>
    </row>
    <row r="173" spans="1:13" ht="13.5" x14ac:dyDescent="0.25">
      <c r="A173" s="86">
        <f t="shared" si="3"/>
        <v>171</v>
      </c>
      <c r="B173" s="56"/>
      <c r="C173" s="57"/>
      <c r="D173" s="58"/>
      <c r="E173" s="58"/>
      <c r="F173" s="58"/>
      <c r="G173" s="58"/>
      <c r="H173" s="58"/>
      <c r="I173" s="58"/>
      <c r="J173" s="58"/>
      <c r="K173" s="58"/>
      <c r="L173" s="58"/>
      <c r="M173" s="58"/>
    </row>
    <row r="174" spans="1:13" ht="13.5" x14ac:dyDescent="0.25">
      <c r="A174" s="86">
        <f t="shared" si="3"/>
        <v>172</v>
      </c>
      <c r="B174" s="56"/>
      <c r="C174" s="57"/>
      <c r="D174" s="58"/>
      <c r="E174" s="58"/>
      <c r="F174" s="58"/>
      <c r="G174" s="58"/>
      <c r="H174" s="58"/>
      <c r="I174" s="58"/>
      <c r="J174" s="58"/>
      <c r="K174" s="58"/>
      <c r="L174" s="58"/>
      <c r="M174" s="58"/>
    </row>
    <row r="175" spans="1:13" ht="13.5" x14ac:dyDescent="0.25">
      <c r="A175" s="86">
        <f t="shared" si="3"/>
        <v>173</v>
      </c>
      <c r="B175" s="56"/>
      <c r="C175" s="57"/>
      <c r="D175" s="58"/>
      <c r="E175" s="58"/>
      <c r="F175" s="58"/>
      <c r="G175" s="58"/>
      <c r="H175" s="58"/>
      <c r="I175" s="58"/>
      <c r="J175" s="58"/>
      <c r="K175" s="58"/>
      <c r="L175" s="58"/>
      <c r="M175" s="58"/>
    </row>
    <row r="176" spans="1:13" ht="13.5" x14ac:dyDescent="0.25">
      <c r="A176" s="86">
        <f t="shared" si="3"/>
        <v>174</v>
      </c>
      <c r="B176" s="56"/>
      <c r="C176" s="57"/>
      <c r="D176" s="58"/>
      <c r="E176" s="58"/>
      <c r="F176" s="58"/>
      <c r="G176" s="58"/>
      <c r="H176" s="58"/>
      <c r="I176" s="58"/>
      <c r="J176" s="58"/>
      <c r="K176" s="58"/>
      <c r="L176" s="58"/>
      <c r="M176" s="58"/>
    </row>
    <row r="177" spans="1:13" ht="13.5" x14ac:dyDescent="0.25">
      <c r="A177" s="86">
        <f t="shared" si="3"/>
        <v>175</v>
      </c>
      <c r="B177" s="56"/>
      <c r="C177" s="57"/>
      <c r="D177" s="58"/>
      <c r="E177" s="58"/>
      <c r="F177" s="58"/>
      <c r="G177" s="58"/>
      <c r="H177" s="58"/>
      <c r="I177" s="58"/>
      <c r="J177" s="58"/>
      <c r="K177" s="58"/>
      <c r="L177" s="58"/>
      <c r="M177" s="58"/>
    </row>
    <row r="178" spans="1:13" ht="13.5" x14ac:dyDescent="0.25">
      <c r="A178" s="86">
        <f t="shared" si="3"/>
        <v>176</v>
      </c>
      <c r="B178" s="56"/>
      <c r="C178" s="57"/>
      <c r="D178" s="58"/>
      <c r="E178" s="58"/>
      <c r="F178" s="58"/>
      <c r="G178" s="58"/>
      <c r="H178" s="58"/>
      <c r="I178" s="58"/>
      <c r="J178" s="58"/>
      <c r="K178" s="58"/>
      <c r="L178" s="58"/>
      <c r="M178" s="58"/>
    </row>
    <row r="179" spans="1:13" ht="13.5" x14ac:dyDescent="0.25">
      <c r="A179" s="86">
        <f t="shared" si="3"/>
        <v>177</v>
      </c>
      <c r="B179" s="56"/>
      <c r="C179" s="57"/>
      <c r="D179" s="58"/>
      <c r="E179" s="58"/>
      <c r="F179" s="58"/>
      <c r="G179" s="58"/>
      <c r="H179" s="58"/>
      <c r="I179" s="58"/>
      <c r="J179" s="58"/>
      <c r="K179" s="58"/>
      <c r="L179" s="58"/>
      <c r="M179" s="58"/>
    </row>
    <row r="180" spans="1:13" ht="13.5" x14ac:dyDescent="0.25">
      <c r="A180" s="86">
        <f t="shared" si="3"/>
        <v>178</v>
      </c>
      <c r="B180" s="56"/>
      <c r="C180" s="57"/>
      <c r="D180" s="58"/>
      <c r="E180" s="58"/>
      <c r="F180" s="58"/>
      <c r="G180" s="58"/>
      <c r="H180" s="58"/>
      <c r="I180" s="58"/>
      <c r="J180" s="58"/>
      <c r="K180" s="58"/>
      <c r="L180" s="58"/>
      <c r="M180" s="58"/>
    </row>
    <row r="181" spans="1:13" ht="13.5" x14ac:dyDescent="0.25">
      <c r="A181" s="86">
        <f t="shared" si="3"/>
        <v>179</v>
      </c>
      <c r="B181" s="56"/>
      <c r="C181" s="57"/>
      <c r="D181" s="58"/>
      <c r="E181" s="58"/>
      <c r="F181" s="58"/>
      <c r="G181" s="58"/>
      <c r="H181" s="58"/>
      <c r="I181" s="58"/>
      <c r="J181" s="58"/>
      <c r="K181" s="58"/>
      <c r="L181" s="58"/>
      <c r="M181" s="58"/>
    </row>
    <row r="182" spans="1:13" ht="13.5" x14ac:dyDescent="0.25">
      <c r="A182" s="86">
        <f t="shared" si="3"/>
        <v>180</v>
      </c>
      <c r="B182" s="56"/>
      <c r="C182" s="57"/>
      <c r="D182" s="58"/>
      <c r="E182" s="58"/>
      <c r="F182" s="58"/>
      <c r="G182" s="58"/>
      <c r="H182" s="58"/>
      <c r="I182" s="58"/>
      <c r="J182" s="58"/>
      <c r="K182" s="58"/>
      <c r="L182" s="58"/>
      <c r="M182" s="58"/>
    </row>
    <row r="183" spans="1:13" ht="13.5" x14ac:dyDescent="0.25">
      <c r="A183" s="86">
        <f t="shared" si="3"/>
        <v>181</v>
      </c>
      <c r="B183" s="56"/>
      <c r="C183" s="57"/>
      <c r="D183" s="58"/>
      <c r="E183" s="58"/>
      <c r="F183" s="58"/>
      <c r="G183" s="58"/>
      <c r="H183" s="58"/>
      <c r="I183" s="58"/>
      <c r="J183" s="58"/>
      <c r="K183" s="58"/>
      <c r="L183" s="58"/>
      <c r="M183" s="58"/>
    </row>
    <row r="184" spans="1:13" ht="13.5" x14ac:dyDescent="0.25">
      <c r="A184" s="86">
        <f t="shared" si="3"/>
        <v>182</v>
      </c>
      <c r="B184" s="56"/>
      <c r="C184" s="57"/>
      <c r="D184" s="58"/>
      <c r="E184" s="58"/>
      <c r="F184" s="58"/>
      <c r="G184" s="58"/>
      <c r="H184" s="58"/>
      <c r="I184" s="58"/>
      <c r="J184" s="58"/>
      <c r="K184" s="58"/>
      <c r="L184" s="58"/>
      <c r="M184" s="58"/>
    </row>
    <row r="185" spans="1:13" ht="13.5" x14ac:dyDescent="0.25">
      <c r="A185" s="86">
        <f t="shared" si="3"/>
        <v>183</v>
      </c>
      <c r="B185" s="56"/>
      <c r="C185" s="57"/>
      <c r="D185" s="58"/>
      <c r="E185" s="58"/>
      <c r="F185" s="58"/>
      <c r="G185" s="58"/>
      <c r="H185" s="58"/>
      <c r="I185" s="58"/>
      <c r="J185" s="58"/>
      <c r="K185" s="58"/>
      <c r="L185" s="58"/>
      <c r="M185" s="58"/>
    </row>
    <row r="186" spans="1:13" ht="13.5" x14ac:dyDescent="0.25">
      <c r="A186" s="86">
        <f t="shared" si="3"/>
        <v>184</v>
      </c>
      <c r="B186" s="56"/>
      <c r="C186" s="57"/>
      <c r="D186" s="58"/>
      <c r="E186" s="58"/>
      <c r="F186" s="58"/>
      <c r="G186" s="58"/>
      <c r="H186" s="58"/>
      <c r="I186" s="58"/>
      <c r="J186" s="58"/>
      <c r="K186" s="58"/>
      <c r="L186" s="58"/>
      <c r="M186" s="58"/>
    </row>
    <row r="187" spans="1:13" ht="13.5" x14ac:dyDescent="0.25">
      <c r="A187" s="86">
        <f t="shared" si="3"/>
        <v>185</v>
      </c>
      <c r="B187" s="56"/>
      <c r="C187" s="57"/>
      <c r="D187" s="58"/>
      <c r="E187" s="58"/>
      <c r="F187" s="58"/>
      <c r="G187" s="58"/>
      <c r="H187" s="58"/>
      <c r="I187" s="58"/>
      <c r="J187" s="58"/>
      <c r="K187" s="58"/>
      <c r="L187" s="58"/>
      <c r="M187" s="58"/>
    </row>
    <row r="188" spans="1:13" ht="13.5" x14ac:dyDescent="0.25">
      <c r="A188" s="86">
        <f t="shared" si="3"/>
        <v>186</v>
      </c>
      <c r="B188" s="56"/>
      <c r="C188" s="57"/>
      <c r="D188" s="58"/>
      <c r="E188" s="58"/>
      <c r="F188" s="58"/>
      <c r="G188" s="58"/>
      <c r="H188" s="58"/>
      <c r="I188" s="58"/>
      <c r="J188" s="58"/>
      <c r="K188" s="58"/>
      <c r="L188" s="58"/>
      <c r="M188" s="58"/>
    </row>
    <row r="189" spans="1:13" ht="13.5" x14ac:dyDescent="0.25">
      <c r="A189" s="86">
        <f t="shared" si="3"/>
        <v>187</v>
      </c>
      <c r="B189" s="56"/>
      <c r="C189" s="57"/>
      <c r="D189" s="58"/>
      <c r="E189" s="58"/>
      <c r="F189" s="58"/>
      <c r="G189" s="58"/>
      <c r="H189" s="58"/>
      <c r="I189" s="58"/>
      <c r="J189" s="58"/>
      <c r="K189" s="58"/>
      <c r="L189" s="58"/>
      <c r="M189" s="58"/>
    </row>
    <row r="190" spans="1:13" ht="13.5" x14ac:dyDescent="0.25">
      <c r="A190" s="86">
        <f t="shared" si="3"/>
        <v>188</v>
      </c>
      <c r="B190" s="56"/>
      <c r="C190" s="57"/>
      <c r="D190" s="58"/>
      <c r="E190" s="58"/>
      <c r="F190" s="58"/>
      <c r="G190" s="58"/>
      <c r="H190" s="58"/>
      <c r="I190" s="58"/>
      <c r="J190" s="58"/>
      <c r="K190" s="58"/>
      <c r="L190" s="58"/>
      <c r="M190" s="58"/>
    </row>
    <row r="191" spans="1:13" ht="13.5" x14ac:dyDescent="0.25">
      <c r="A191" s="86">
        <f t="shared" si="3"/>
        <v>189</v>
      </c>
      <c r="B191" s="56"/>
      <c r="C191" s="57"/>
      <c r="D191" s="58"/>
      <c r="E191" s="58"/>
      <c r="F191" s="58"/>
      <c r="G191" s="58"/>
      <c r="H191" s="58"/>
      <c r="I191" s="58"/>
      <c r="J191" s="58"/>
      <c r="K191" s="58"/>
      <c r="L191" s="58"/>
      <c r="M191" s="58"/>
    </row>
    <row r="192" spans="1:13" ht="13.5" x14ac:dyDescent="0.25">
      <c r="A192" s="86">
        <f t="shared" si="3"/>
        <v>190</v>
      </c>
      <c r="B192" s="56"/>
      <c r="C192" s="57"/>
      <c r="D192" s="58"/>
      <c r="E192" s="58"/>
      <c r="F192" s="58"/>
      <c r="G192" s="58"/>
      <c r="H192" s="58"/>
      <c r="I192" s="58"/>
      <c r="J192" s="58"/>
      <c r="K192" s="58"/>
      <c r="L192" s="58"/>
      <c r="M192" s="58"/>
    </row>
    <row r="193" spans="1:13" ht="13.5" x14ac:dyDescent="0.25">
      <c r="A193" s="86">
        <f t="shared" si="3"/>
        <v>191</v>
      </c>
      <c r="B193" s="56"/>
      <c r="C193" s="57"/>
      <c r="D193" s="58"/>
      <c r="E193" s="58"/>
      <c r="F193" s="58"/>
      <c r="G193" s="58"/>
      <c r="H193" s="58"/>
      <c r="I193" s="58"/>
      <c r="J193" s="58"/>
      <c r="K193" s="58"/>
      <c r="L193" s="58"/>
      <c r="M193" s="58"/>
    </row>
    <row r="194" spans="1:13" ht="13.5" x14ac:dyDescent="0.25">
      <c r="A194" s="86">
        <f t="shared" si="3"/>
        <v>192</v>
      </c>
      <c r="B194" s="56"/>
      <c r="C194" s="57"/>
      <c r="D194" s="58"/>
      <c r="E194" s="58"/>
      <c r="F194" s="58"/>
      <c r="G194" s="58"/>
      <c r="H194" s="58"/>
      <c r="I194" s="58"/>
      <c r="J194" s="58"/>
      <c r="K194" s="58"/>
      <c r="L194" s="58"/>
      <c r="M194" s="58"/>
    </row>
    <row r="195" spans="1:13" ht="13.5" x14ac:dyDescent="0.25">
      <c r="A195" s="86">
        <f t="shared" si="3"/>
        <v>193</v>
      </c>
      <c r="B195" s="56"/>
      <c r="C195" s="57"/>
      <c r="D195" s="58"/>
      <c r="E195" s="58"/>
      <c r="F195" s="58"/>
      <c r="G195" s="58"/>
      <c r="H195" s="58"/>
      <c r="I195" s="58"/>
      <c r="J195" s="58"/>
      <c r="K195" s="58"/>
      <c r="L195" s="58"/>
      <c r="M195" s="58"/>
    </row>
    <row r="196" spans="1:13" ht="13.5" x14ac:dyDescent="0.25">
      <c r="A196" s="86">
        <f t="shared" ref="A196:A202" si="4">+A195+1</f>
        <v>194</v>
      </c>
      <c r="B196" s="56"/>
      <c r="C196" s="57"/>
      <c r="D196" s="58"/>
      <c r="E196" s="58"/>
      <c r="F196" s="58"/>
      <c r="G196" s="58"/>
      <c r="H196" s="58"/>
      <c r="I196" s="58"/>
      <c r="J196" s="58"/>
      <c r="K196" s="58"/>
      <c r="L196" s="58"/>
      <c r="M196" s="58"/>
    </row>
    <row r="197" spans="1:13" ht="13.5" x14ac:dyDescent="0.25">
      <c r="A197" s="86">
        <f t="shared" si="4"/>
        <v>195</v>
      </c>
      <c r="B197" s="56"/>
      <c r="C197" s="57"/>
      <c r="D197" s="58"/>
      <c r="E197" s="58"/>
      <c r="F197" s="58"/>
      <c r="G197" s="58"/>
      <c r="H197" s="58"/>
      <c r="I197" s="58"/>
      <c r="J197" s="58"/>
      <c r="K197" s="58"/>
      <c r="L197" s="58"/>
      <c r="M197" s="58"/>
    </row>
    <row r="198" spans="1:13" ht="13.5" x14ac:dyDescent="0.25">
      <c r="A198" s="86">
        <f t="shared" si="4"/>
        <v>196</v>
      </c>
      <c r="B198" s="56"/>
      <c r="C198" s="57"/>
      <c r="D198" s="58"/>
      <c r="E198" s="58"/>
      <c r="F198" s="58"/>
      <c r="G198" s="58"/>
      <c r="H198" s="58"/>
      <c r="I198" s="58"/>
      <c r="J198" s="58"/>
      <c r="K198" s="58"/>
      <c r="L198" s="58"/>
      <c r="M198" s="58"/>
    </row>
    <row r="199" spans="1:13" ht="13.5" x14ac:dyDescent="0.25">
      <c r="A199" s="86">
        <f t="shared" si="4"/>
        <v>197</v>
      </c>
      <c r="B199" s="56"/>
      <c r="C199" s="57"/>
      <c r="D199" s="58"/>
      <c r="E199" s="58"/>
      <c r="F199" s="58"/>
      <c r="G199" s="58"/>
      <c r="H199" s="58"/>
      <c r="I199" s="58"/>
      <c r="J199" s="58"/>
      <c r="K199" s="58"/>
      <c r="L199" s="58"/>
      <c r="M199" s="58"/>
    </row>
    <row r="200" spans="1:13" ht="13.5" x14ac:dyDescent="0.25">
      <c r="A200" s="86">
        <f t="shared" si="4"/>
        <v>198</v>
      </c>
      <c r="B200" s="56"/>
      <c r="C200" s="57"/>
      <c r="D200" s="58"/>
      <c r="E200" s="58"/>
      <c r="F200" s="58"/>
      <c r="G200" s="58"/>
      <c r="H200" s="58"/>
      <c r="I200" s="58"/>
      <c r="J200" s="58"/>
      <c r="K200" s="58"/>
      <c r="L200" s="58"/>
      <c r="M200" s="58"/>
    </row>
    <row r="201" spans="1:13" ht="13.5" x14ac:dyDescent="0.25">
      <c r="A201" s="86">
        <f t="shared" si="4"/>
        <v>199</v>
      </c>
      <c r="B201" s="56"/>
      <c r="C201" s="57"/>
      <c r="D201" s="58"/>
      <c r="E201" s="58"/>
      <c r="F201" s="58"/>
      <c r="G201" s="58"/>
      <c r="H201" s="58"/>
      <c r="I201" s="58"/>
      <c r="J201" s="58"/>
      <c r="K201" s="58"/>
      <c r="L201" s="58"/>
      <c r="M201" s="58"/>
    </row>
    <row r="202" spans="1:13" ht="13.5" x14ac:dyDescent="0.25">
      <c r="A202" s="86">
        <f t="shared" si="4"/>
        <v>200</v>
      </c>
      <c r="B202" s="56"/>
      <c r="C202" s="57"/>
      <c r="D202" s="58"/>
      <c r="E202" s="58"/>
      <c r="F202" s="58"/>
      <c r="G202" s="58"/>
      <c r="H202" s="58"/>
      <c r="I202" s="58"/>
      <c r="J202" s="58"/>
      <c r="K202" s="58"/>
      <c r="L202" s="58"/>
      <c r="M202" s="58"/>
    </row>
  </sheetData>
  <hyperlinks>
    <hyperlink ref="I27" r:id="rId1" display="Heiko.Voigt@bauer.de" xr:uid="{00000000-0004-0000-0000-000000000000}"/>
    <hyperlink ref="I17" r:id="rId2" xr:uid="{00000000-0004-0000-0000-000001000000}"/>
    <hyperlink ref="I31" r:id="rId3" xr:uid="{00000000-0004-0000-0000-000002000000}"/>
    <hyperlink ref="I33" r:id="rId4" xr:uid="{00000000-0004-0000-0000-000003000000}"/>
    <hyperlink ref="I34" r:id="rId5" xr:uid="{00000000-0004-0000-0000-000004000000}"/>
    <hyperlink ref="I32" r:id="rId6" display="m.globio@bauer.net.ph" xr:uid="{00000000-0004-0000-0000-000005000000}"/>
    <hyperlink ref="I28" r:id="rId7" xr:uid="{00000000-0004-0000-0000-000006000000}"/>
    <hyperlink ref="I36" r:id="rId8" xr:uid="{00000000-0004-0000-0000-000007000000}"/>
    <hyperlink ref="I38" r:id="rId9" display="mailto:Luan.Nguyen@bauer.de" xr:uid="{00000000-0004-0000-0000-000008000000}"/>
    <hyperlink ref="I39" r:id="rId10" display="mailto:Onur.Baseski@bauer.de" xr:uid="{00000000-0004-0000-0000-000009000000}"/>
    <hyperlink ref="I35" r:id="rId11" xr:uid="{3EF44F1A-6FBF-4C97-9724-75E75F010DEB}"/>
  </hyperlinks>
  <pageMargins left="0.7" right="0.7" top="0.78740157499999996" bottom="0.78740157499999996" header="0.3" footer="0.3"/>
  <pageSetup paperSize="9" orientation="portrait" horizontalDpi="1200" verticalDpi="1200" r:id="rId12"/>
  <drawing r:id="rId13"/>
  <legacyDrawing r:id="rId14"/>
  <mc:AlternateContent xmlns:mc="http://schemas.openxmlformats.org/markup-compatibility/2006">
    <mc:Choice Requires="x14">
      <controls>
        <mc:AlternateContent xmlns:mc="http://schemas.openxmlformats.org/markup-compatibility/2006">
          <mc:Choice Requires="x14">
            <control shapeId="15362" r:id="rId15" name="Button 2">
              <controlPr defaultSize="0" print="0" autoFill="0" autoPict="0" macro="[2]!SichtenProfileEnde">
                <anchor moveWithCells="1" sizeWithCells="1">
                  <from>
                    <xdr:col>0</xdr:col>
                    <xdr:colOff>209550</xdr:colOff>
                    <xdr:row>0</xdr:row>
                    <xdr:rowOff>114300</xdr:rowOff>
                  </from>
                  <to>
                    <xdr:col>1</xdr:col>
                    <xdr:colOff>1104900</xdr:colOff>
                    <xdr:row>1</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1"/>
  <dimension ref="A1:J202"/>
  <sheetViews>
    <sheetView showGridLines="0" zoomScale="175" zoomScaleNormal="175" workbookViewId="0">
      <pane xSplit="2" ySplit="2" topLeftCell="C3" activePane="bottomRight" state="frozenSplit"/>
      <selection pane="topRight" activeCell="C1" sqref="C1"/>
      <selection pane="bottomLeft" activeCell="A3" sqref="A3"/>
      <selection pane="bottomRight" activeCell="K30" sqref="K30"/>
    </sheetView>
  </sheetViews>
  <sheetFormatPr baseColWidth="10" defaultRowHeight="12.75" x14ac:dyDescent="0.2"/>
  <cols>
    <col min="1" max="1" width="4" style="52" customWidth="1"/>
    <col min="2" max="2" width="18.85546875" style="52" customWidth="1"/>
    <col min="3" max="3" width="5.140625" style="52" customWidth="1"/>
    <col min="4" max="4" width="10.7109375" style="52" customWidth="1"/>
    <col min="5" max="5" width="10.85546875" style="52" customWidth="1"/>
    <col min="6" max="6" width="14.140625" style="52" customWidth="1"/>
    <col min="7" max="7" width="18.85546875" style="52" customWidth="1"/>
    <col min="8" max="8" width="20.7109375" style="52" customWidth="1"/>
    <col min="9" max="9" width="27.5703125" style="52" customWidth="1"/>
    <col min="10" max="10" width="5.85546875" style="52" customWidth="1"/>
    <col min="11" max="16384" width="11.42578125" style="52"/>
  </cols>
  <sheetData>
    <row r="1" spans="1:10" ht="13.5" x14ac:dyDescent="0.25">
      <c r="A1" s="84"/>
      <c r="B1" s="50">
        <v>1</v>
      </c>
      <c r="C1" s="51">
        <f t="shared" ref="C1:J1" si="0">+B1+1</f>
        <v>2</v>
      </c>
      <c r="D1" s="51">
        <f t="shared" si="0"/>
        <v>3</v>
      </c>
      <c r="E1" s="51">
        <f t="shared" si="0"/>
        <v>4</v>
      </c>
      <c r="F1" s="51">
        <f t="shared" si="0"/>
        <v>5</v>
      </c>
      <c r="G1" s="51">
        <f t="shared" si="0"/>
        <v>6</v>
      </c>
      <c r="H1" s="51">
        <f t="shared" si="0"/>
        <v>7</v>
      </c>
      <c r="I1" s="51">
        <f t="shared" si="0"/>
        <v>8</v>
      </c>
      <c r="J1" s="51">
        <f t="shared" si="0"/>
        <v>9</v>
      </c>
    </row>
    <row r="2" spans="1:10" ht="24" customHeight="1" x14ac:dyDescent="0.25">
      <c r="A2" s="85"/>
      <c r="B2" s="53" t="s">
        <v>3999</v>
      </c>
      <c r="C2" s="55" t="s">
        <v>7567</v>
      </c>
      <c r="D2" s="54" t="s">
        <v>4000</v>
      </c>
      <c r="E2" s="54" t="s">
        <v>8282</v>
      </c>
      <c r="F2" s="54" t="s">
        <v>8283</v>
      </c>
      <c r="G2" s="54" t="s">
        <v>8284</v>
      </c>
      <c r="H2" s="54" t="s">
        <v>8285</v>
      </c>
      <c r="I2" s="54" t="s">
        <v>8286</v>
      </c>
      <c r="J2" s="55" t="s">
        <v>8287</v>
      </c>
    </row>
    <row r="3" spans="1:10" ht="13.5" x14ac:dyDescent="0.25">
      <c r="A3" s="86">
        <v>1</v>
      </c>
      <c r="B3" s="156" t="str">
        <f>IF(D3="","",D3&amp;", "&amp;E3)</f>
        <v>Nominem, Nominadum</v>
      </c>
      <c r="C3" s="57">
        <v>0</v>
      </c>
      <c r="D3" s="58" t="s">
        <v>8289</v>
      </c>
      <c r="E3" s="58" t="s">
        <v>8290</v>
      </c>
      <c r="F3" s="58" t="s">
        <v>8291</v>
      </c>
      <c r="G3" s="58" t="s">
        <v>8292</v>
      </c>
      <c r="H3" s="58" t="s">
        <v>8293</v>
      </c>
      <c r="I3" s="58" t="s">
        <v>2579</v>
      </c>
      <c r="J3" s="58"/>
    </row>
    <row r="4" spans="1:10" ht="13.5" x14ac:dyDescent="0.25">
      <c r="A4" s="86">
        <f t="shared" ref="A4:A35" si="1">+A3+1</f>
        <v>2</v>
      </c>
      <c r="B4" s="56" t="str">
        <f t="shared" ref="B4:B67" si="2">IF(D4="","",D4&amp;", "&amp;E4)</f>
        <v>Kallmünzer, Rudolf</v>
      </c>
      <c r="C4" s="57">
        <v>0</v>
      </c>
      <c r="D4" s="59" t="s">
        <v>9218</v>
      </c>
      <c r="E4" s="59" t="s">
        <v>9219</v>
      </c>
      <c r="F4" s="58" t="s">
        <v>2580</v>
      </c>
      <c r="G4" s="58" t="s">
        <v>7852</v>
      </c>
      <c r="H4" s="58" t="s">
        <v>2581</v>
      </c>
      <c r="I4" s="58" t="s">
        <v>9220</v>
      </c>
      <c r="J4" s="58" t="s">
        <v>9221</v>
      </c>
    </row>
    <row r="5" spans="1:10" ht="13.5" x14ac:dyDescent="0.25">
      <c r="A5" s="86">
        <f t="shared" si="1"/>
        <v>3</v>
      </c>
      <c r="B5" s="56" t="str">
        <f t="shared" si="2"/>
        <v>Nietfeld, Dajana</v>
      </c>
      <c r="C5" s="57">
        <v>1</v>
      </c>
      <c r="D5" s="58" t="s">
        <v>7070</v>
      </c>
      <c r="E5" s="58" t="s">
        <v>7071</v>
      </c>
      <c r="F5" s="58" t="s">
        <v>8777</v>
      </c>
      <c r="G5" s="57" t="s">
        <v>1966</v>
      </c>
      <c r="H5" s="58" t="s">
        <v>8293</v>
      </c>
      <c r="I5" s="58" t="s">
        <v>7072</v>
      </c>
      <c r="J5" s="58"/>
    </row>
    <row r="6" spans="1:10" ht="13.5" x14ac:dyDescent="0.25">
      <c r="A6" s="86">
        <f t="shared" si="1"/>
        <v>4</v>
      </c>
      <c r="B6" s="56" t="str">
        <f t="shared" si="2"/>
        <v>Krause, Andreas</v>
      </c>
      <c r="C6" s="57">
        <v>0</v>
      </c>
      <c r="D6" s="58" t="s">
        <v>3476</v>
      </c>
      <c r="E6" s="58" t="s">
        <v>5597</v>
      </c>
      <c r="F6" s="58" t="s">
        <v>7853</v>
      </c>
      <c r="G6" s="58" t="s">
        <v>1966</v>
      </c>
      <c r="H6" s="58" t="s">
        <v>8293</v>
      </c>
      <c r="I6" s="58" t="s">
        <v>3477</v>
      </c>
      <c r="J6" s="58"/>
    </row>
    <row r="7" spans="1:10" ht="13.5" x14ac:dyDescent="0.25">
      <c r="A7" s="86">
        <f t="shared" si="1"/>
        <v>5</v>
      </c>
      <c r="B7" s="56" t="str">
        <f t="shared" si="2"/>
        <v>Schedlbauer, Reiner</v>
      </c>
      <c r="C7" s="57">
        <v>0</v>
      </c>
      <c r="D7" s="58" t="s">
        <v>108</v>
      </c>
      <c r="E7" s="155" t="s">
        <v>9159</v>
      </c>
      <c r="F7" s="58" t="s">
        <v>7853</v>
      </c>
      <c r="G7" s="58" t="s">
        <v>1966</v>
      </c>
      <c r="H7" s="58" t="s">
        <v>8293</v>
      </c>
      <c r="I7" s="58" t="s">
        <v>9160</v>
      </c>
      <c r="J7" s="58"/>
    </row>
    <row r="8" spans="1:10" ht="13.5" x14ac:dyDescent="0.25">
      <c r="A8" s="86">
        <f t="shared" si="1"/>
        <v>6</v>
      </c>
      <c r="B8" s="56" t="str">
        <f t="shared" ref="B8:B31" si="3">IF(D8="","",D8&amp;", "&amp;E8)</f>
        <v>Heinrich, Martin</v>
      </c>
      <c r="C8" s="57">
        <v>0</v>
      </c>
      <c r="D8" s="58" t="s">
        <v>3431</v>
      </c>
      <c r="E8" s="58" t="s">
        <v>3912</v>
      </c>
      <c r="F8" s="58" t="s">
        <v>8777</v>
      </c>
      <c r="G8" s="58" t="s">
        <v>1966</v>
      </c>
      <c r="H8" s="58" t="s">
        <v>8293</v>
      </c>
      <c r="I8" s="58" t="s">
        <v>8778</v>
      </c>
      <c r="J8" s="58"/>
    </row>
    <row r="9" spans="1:10" ht="13.5" x14ac:dyDescent="0.25">
      <c r="A9" s="86">
        <f t="shared" si="1"/>
        <v>7</v>
      </c>
      <c r="B9" s="56" t="str">
        <f t="shared" si="3"/>
        <v>Friedrich, Axel</v>
      </c>
      <c r="C9" s="57">
        <v>0</v>
      </c>
      <c r="D9" s="58" t="s">
        <v>3913</v>
      </c>
      <c r="E9" s="58" t="s">
        <v>7124</v>
      </c>
      <c r="F9" s="58" t="s">
        <v>9161</v>
      </c>
      <c r="G9" s="58" t="s">
        <v>3105</v>
      </c>
      <c r="H9" s="58" t="s">
        <v>87</v>
      </c>
      <c r="I9" s="58" t="s">
        <v>7125</v>
      </c>
      <c r="J9" s="58"/>
    </row>
    <row r="10" spans="1:10" ht="13.5" x14ac:dyDescent="0.25">
      <c r="A10" s="86">
        <f t="shared" si="1"/>
        <v>8</v>
      </c>
      <c r="B10" s="56" t="str">
        <f t="shared" si="3"/>
        <v>Weinhold, Tino</v>
      </c>
      <c r="C10" s="57">
        <v>0</v>
      </c>
      <c r="D10" s="58" t="s">
        <v>5326</v>
      </c>
      <c r="E10" s="58" t="s">
        <v>5327</v>
      </c>
      <c r="F10" s="155" t="s">
        <v>9162</v>
      </c>
      <c r="G10" s="58" t="s">
        <v>3105</v>
      </c>
      <c r="H10" s="58" t="s">
        <v>87</v>
      </c>
      <c r="I10" s="58" t="s">
        <v>324</v>
      </c>
      <c r="J10" s="58"/>
    </row>
    <row r="11" spans="1:10" ht="13.5" x14ac:dyDescent="0.25">
      <c r="A11" s="86">
        <f t="shared" si="1"/>
        <v>9</v>
      </c>
      <c r="B11" s="56" t="str">
        <f t="shared" si="3"/>
        <v>Reiter, Michael</v>
      </c>
      <c r="C11" s="57">
        <v>0</v>
      </c>
      <c r="D11" s="58" t="s">
        <v>6934</v>
      </c>
      <c r="E11" s="58" t="s">
        <v>525</v>
      </c>
      <c r="F11" s="58" t="s">
        <v>7853</v>
      </c>
      <c r="G11" s="155" t="s">
        <v>1966</v>
      </c>
      <c r="H11" s="155" t="s">
        <v>8293</v>
      </c>
      <c r="I11" s="58" t="s">
        <v>8779</v>
      </c>
      <c r="J11" s="155" t="s">
        <v>6935</v>
      </c>
    </row>
    <row r="12" spans="1:10" ht="13.5" x14ac:dyDescent="0.25">
      <c r="A12" s="86">
        <f t="shared" si="1"/>
        <v>10</v>
      </c>
      <c r="B12" s="56" t="str">
        <f t="shared" si="3"/>
        <v>Voigt, Heiko</v>
      </c>
      <c r="C12" s="57">
        <v>0</v>
      </c>
      <c r="D12" s="59" t="s">
        <v>646</v>
      </c>
      <c r="E12" s="59" t="s">
        <v>647</v>
      </c>
      <c r="F12" s="58" t="s">
        <v>3104</v>
      </c>
      <c r="G12" s="58" t="s">
        <v>3105</v>
      </c>
      <c r="H12" s="58" t="s">
        <v>87</v>
      </c>
      <c r="I12" s="58" t="s">
        <v>4834</v>
      </c>
      <c r="J12" s="59"/>
    </row>
    <row r="13" spans="1:10" ht="13.5" x14ac:dyDescent="0.25">
      <c r="A13" s="86">
        <f t="shared" si="1"/>
        <v>11</v>
      </c>
      <c r="B13" s="60" t="str">
        <f t="shared" si="3"/>
        <v>Lorinser, Hans</v>
      </c>
      <c r="C13" s="57">
        <v>0</v>
      </c>
      <c r="D13" s="59" t="s">
        <v>4835</v>
      </c>
      <c r="E13" s="58" t="s">
        <v>4836</v>
      </c>
      <c r="F13" s="58" t="s">
        <v>2580</v>
      </c>
      <c r="G13" s="58" t="s">
        <v>7852</v>
      </c>
      <c r="H13" s="58" t="s">
        <v>2581</v>
      </c>
      <c r="I13" s="58" t="s">
        <v>4840</v>
      </c>
      <c r="J13" s="59"/>
    </row>
    <row r="14" spans="1:10" ht="13.5" x14ac:dyDescent="0.25">
      <c r="A14" s="86">
        <f t="shared" si="1"/>
        <v>12</v>
      </c>
      <c r="B14" s="60" t="str">
        <f t="shared" si="3"/>
        <v>Stotz, Alfons</v>
      </c>
      <c r="C14" s="57">
        <v>0</v>
      </c>
      <c r="D14" s="59" t="s">
        <v>4841</v>
      </c>
      <c r="E14" s="59" t="s">
        <v>1710</v>
      </c>
      <c r="F14" s="155" t="s">
        <v>4837</v>
      </c>
      <c r="G14" s="58" t="s">
        <v>4838</v>
      </c>
      <c r="H14" s="58" t="s">
        <v>4839</v>
      </c>
      <c r="I14" s="58" t="s">
        <v>1711</v>
      </c>
      <c r="J14" s="59"/>
    </row>
    <row r="15" spans="1:10" ht="13.5" x14ac:dyDescent="0.25">
      <c r="A15" s="86">
        <f t="shared" si="1"/>
        <v>13</v>
      </c>
      <c r="B15" s="56" t="str">
        <f t="shared" si="3"/>
        <v>Schmid, Josef</v>
      </c>
      <c r="C15" s="57">
        <v>0</v>
      </c>
      <c r="D15" s="58" t="s">
        <v>9163</v>
      </c>
      <c r="E15" s="58" t="s">
        <v>815</v>
      </c>
      <c r="F15" s="59" t="s">
        <v>2580</v>
      </c>
      <c r="G15" s="58" t="s">
        <v>7852</v>
      </c>
      <c r="H15" s="58" t="s">
        <v>2581</v>
      </c>
      <c r="I15" s="58" t="s">
        <v>9164</v>
      </c>
      <c r="J15" s="58"/>
    </row>
    <row r="16" spans="1:10" ht="13.5" x14ac:dyDescent="0.25">
      <c r="A16" s="86">
        <f t="shared" si="1"/>
        <v>14</v>
      </c>
      <c r="B16" s="56" t="str">
        <f t="shared" si="3"/>
        <v>Pache, Beate</v>
      </c>
      <c r="C16" s="57">
        <v>1</v>
      </c>
      <c r="D16" s="58" t="s">
        <v>816</v>
      </c>
      <c r="E16" s="58" t="s">
        <v>817</v>
      </c>
      <c r="F16" s="155" t="s">
        <v>9165</v>
      </c>
      <c r="G16" s="58" t="s">
        <v>4838</v>
      </c>
      <c r="H16" s="58" t="s">
        <v>4839</v>
      </c>
      <c r="I16" s="58" t="s">
        <v>818</v>
      </c>
      <c r="J16" s="58"/>
    </row>
    <row r="17" spans="1:10" ht="13.5" x14ac:dyDescent="0.25">
      <c r="A17" s="86">
        <f t="shared" si="1"/>
        <v>15</v>
      </c>
      <c r="B17" s="56" t="str">
        <f t="shared" si="3"/>
        <v>Neu, Markus</v>
      </c>
      <c r="C17" s="57">
        <v>0</v>
      </c>
      <c r="D17" s="58" t="s">
        <v>8776</v>
      </c>
      <c r="E17" s="58" t="s">
        <v>5963</v>
      </c>
      <c r="F17" s="59" t="s">
        <v>9166</v>
      </c>
      <c r="G17" s="58" t="s">
        <v>9167</v>
      </c>
      <c r="H17" s="58" t="s">
        <v>9168</v>
      </c>
      <c r="I17" s="58" t="s">
        <v>8780</v>
      </c>
      <c r="J17" s="58"/>
    </row>
    <row r="18" spans="1:10" ht="13.5" x14ac:dyDescent="0.25">
      <c r="A18" s="86">
        <f t="shared" si="1"/>
        <v>16</v>
      </c>
      <c r="B18" s="60" t="str">
        <f t="shared" si="3"/>
        <v>Hoffmann, Lutz</v>
      </c>
      <c r="C18" s="57">
        <v>0</v>
      </c>
      <c r="D18" s="59" t="s">
        <v>9210</v>
      </c>
      <c r="E18" s="59" t="s">
        <v>9211</v>
      </c>
      <c r="F18" s="59" t="s">
        <v>9166</v>
      </c>
      <c r="G18" s="58" t="s">
        <v>9212</v>
      </c>
      <c r="H18" s="58" t="s">
        <v>9168</v>
      </c>
      <c r="I18" s="58" t="s">
        <v>9213</v>
      </c>
      <c r="J18" s="58" t="s">
        <v>9214</v>
      </c>
    </row>
    <row r="19" spans="1:10" ht="13.5" x14ac:dyDescent="0.25">
      <c r="A19" s="86">
        <f t="shared" si="1"/>
        <v>17</v>
      </c>
      <c r="B19" s="56" t="str">
        <f t="shared" si="3"/>
        <v>Haugwitz, HansGerd</v>
      </c>
      <c r="C19" s="57">
        <v>0</v>
      </c>
      <c r="D19" s="155" t="s">
        <v>7685</v>
      </c>
      <c r="E19" s="58" t="s">
        <v>7686</v>
      </c>
      <c r="F19" s="155" t="s">
        <v>7853</v>
      </c>
      <c r="G19" s="155" t="s">
        <v>9169</v>
      </c>
      <c r="H19" s="155" t="s">
        <v>8293</v>
      </c>
      <c r="I19" s="58" t="s">
        <v>7687</v>
      </c>
      <c r="J19" s="58"/>
    </row>
    <row r="20" spans="1:10" ht="13.5" x14ac:dyDescent="0.25">
      <c r="A20" s="86">
        <f t="shared" si="1"/>
        <v>18</v>
      </c>
      <c r="B20" s="60" t="str">
        <f t="shared" si="3"/>
        <v>Walter, Markus</v>
      </c>
      <c r="C20" s="57">
        <v>0</v>
      </c>
      <c r="D20" s="59" t="s">
        <v>9215</v>
      </c>
      <c r="E20" s="59" t="s">
        <v>5963</v>
      </c>
      <c r="F20" s="155" t="s">
        <v>2580</v>
      </c>
      <c r="G20" s="58" t="s">
        <v>7852</v>
      </c>
      <c r="H20" s="58" t="s">
        <v>2581</v>
      </c>
      <c r="I20" s="58" t="s">
        <v>9216</v>
      </c>
      <c r="J20" s="59" t="s">
        <v>9217</v>
      </c>
    </row>
    <row r="21" spans="1:10" ht="13.5" x14ac:dyDescent="0.25">
      <c r="A21" s="86">
        <f t="shared" si="1"/>
        <v>19</v>
      </c>
      <c r="B21" s="56" t="str">
        <f t="shared" si="3"/>
        <v>Holzhäuser, Frank</v>
      </c>
      <c r="C21" s="57">
        <v>0</v>
      </c>
      <c r="D21" s="58" t="s">
        <v>3103</v>
      </c>
      <c r="E21" s="58" t="s">
        <v>3102</v>
      </c>
      <c r="F21" s="155" t="s">
        <v>3104</v>
      </c>
      <c r="G21" s="155" t="s">
        <v>3105</v>
      </c>
      <c r="H21" s="155" t="s">
        <v>87</v>
      </c>
      <c r="I21" s="58" t="s">
        <v>88</v>
      </c>
      <c r="J21" s="58"/>
    </row>
    <row r="22" spans="1:10" ht="13.5" x14ac:dyDescent="0.25">
      <c r="A22" s="86">
        <f t="shared" si="1"/>
        <v>20</v>
      </c>
      <c r="B22" s="60" t="str">
        <f t="shared" si="3"/>
        <v>Jäger, Thomas</v>
      </c>
      <c r="C22" s="57">
        <v>0</v>
      </c>
      <c r="D22" s="59" t="s">
        <v>5960</v>
      </c>
      <c r="E22" s="59" t="s">
        <v>1100</v>
      </c>
      <c r="F22" s="59" t="s">
        <v>3104</v>
      </c>
      <c r="G22" s="59" t="s">
        <v>3105</v>
      </c>
      <c r="H22" s="59" t="s">
        <v>87</v>
      </c>
      <c r="I22" s="58" t="s">
        <v>5961</v>
      </c>
      <c r="J22" s="59"/>
    </row>
    <row r="23" spans="1:10" ht="13.5" x14ac:dyDescent="0.25">
      <c r="A23" s="86">
        <f t="shared" si="1"/>
        <v>21</v>
      </c>
      <c r="B23" s="60" t="str">
        <f t="shared" si="3"/>
        <v>Dolp, Markus</v>
      </c>
      <c r="C23" s="57">
        <v>0</v>
      </c>
      <c r="D23" s="59" t="s">
        <v>5962</v>
      </c>
      <c r="E23" s="59" t="s">
        <v>5963</v>
      </c>
      <c r="F23" s="59" t="s">
        <v>5964</v>
      </c>
      <c r="G23" s="58" t="s">
        <v>5965</v>
      </c>
      <c r="H23" s="58" t="s">
        <v>5966</v>
      </c>
      <c r="I23" s="58" t="s">
        <v>5967</v>
      </c>
      <c r="J23" s="59"/>
    </row>
    <row r="24" spans="1:10" ht="13.5" x14ac:dyDescent="0.25">
      <c r="A24" s="86">
        <f t="shared" si="1"/>
        <v>22</v>
      </c>
      <c r="B24" s="60" t="str">
        <f t="shared" si="3"/>
        <v>Ausserlechner, Peter</v>
      </c>
      <c r="C24" s="57">
        <v>0</v>
      </c>
      <c r="D24" s="59" t="s">
        <v>4262</v>
      </c>
      <c r="E24" s="59" t="s">
        <v>1099</v>
      </c>
      <c r="F24" s="59" t="s">
        <v>5964</v>
      </c>
      <c r="G24" s="58" t="s">
        <v>5965</v>
      </c>
      <c r="H24" s="58" t="s">
        <v>5966</v>
      </c>
      <c r="I24" s="58" t="s">
        <v>4263</v>
      </c>
      <c r="J24" s="59"/>
    </row>
    <row r="25" spans="1:10" ht="13.5" x14ac:dyDescent="0.25">
      <c r="A25" s="86">
        <f t="shared" si="1"/>
        <v>23</v>
      </c>
      <c r="B25" s="60" t="str">
        <f t="shared" si="3"/>
        <v>Rausch, Alexander</v>
      </c>
      <c r="C25" s="57">
        <v>0</v>
      </c>
      <c r="D25" s="59" t="s">
        <v>4264</v>
      </c>
      <c r="E25" s="59" t="s">
        <v>4265</v>
      </c>
      <c r="F25" s="155" t="s">
        <v>5964</v>
      </c>
      <c r="G25" s="155" t="s">
        <v>5965</v>
      </c>
      <c r="H25" s="155" t="s">
        <v>5966</v>
      </c>
      <c r="I25" s="58" t="s">
        <v>8027</v>
      </c>
      <c r="J25" s="59"/>
    </row>
    <row r="26" spans="1:10" ht="13.5" x14ac:dyDescent="0.25">
      <c r="A26" s="86">
        <f t="shared" si="1"/>
        <v>24</v>
      </c>
      <c r="B26" s="56" t="str">
        <f t="shared" si="3"/>
        <v>Hein, Marco</v>
      </c>
      <c r="C26" s="57">
        <v>0</v>
      </c>
      <c r="D26" s="58" t="s">
        <v>8028</v>
      </c>
      <c r="E26" s="58" t="s">
        <v>8029</v>
      </c>
      <c r="F26" s="58" t="s">
        <v>9162</v>
      </c>
      <c r="G26" s="58" t="s">
        <v>3105</v>
      </c>
      <c r="H26" s="58" t="s">
        <v>87</v>
      </c>
      <c r="I26" s="58" t="s">
        <v>4850</v>
      </c>
      <c r="J26" s="58"/>
    </row>
    <row r="27" spans="1:10" ht="13.5" x14ac:dyDescent="0.25">
      <c r="A27" s="86">
        <f t="shared" si="1"/>
        <v>25</v>
      </c>
      <c r="B27" s="60" t="str">
        <f t="shared" si="3"/>
        <v>Pregler, Michael</v>
      </c>
      <c r="C27" s="57">
        <v>0</v>
      </c>
      <c r="D27" s="59" t="s">
        <v>2883</v>
      </c>
      <c r="E27" s="59" t="s">
        <v>525</v>
      </c>
      <c r="F27" s="58" t="s">
        <v>9172</v>
      </c>
      <c r="G27" s="58" t="s">
        <v>9171</v>
      </c>
      <c r="H27" s="58" t="s">
        <v>9170</v>
      </c>
      <c r="I27" s="58" t="s">
        <v>2586</v>
      </c>
      <c r="J27" s="59"/>
    </row>
    <row r="28" spans="1:10" ht="13.5" x14ac:dyDescent="0.25">
      <c r="A28" s="86">
        <f t="shared" si="1"/>
        <v>26</v>
      </c>
      <c r="B28" s="60" t="str">
        <f t="shared" si="3"/>
        <v>Ruscha, Wolfgang</v>
      </c>
      <c r="C28" s="57">
        <v>0</v>
      </c>
      <c r="D28" s="59" t="s">
        <v>8435</v>
      </c>
      <c r="E28" s="59" t="s">
        <v>7126</v>
      </c>
      <c r="F28" s="59" t="s">
        <v>2888</v>
      </c>
      <c r="G28" s="58" t="s">
        <v>1966</v>
      </c>
      <c r="H28" s="58" t="s">
        <v>8293</v>
      </c>
      <c r="I28" s="58" t="s">
        <v>8781</v>
      </c>
      <c r="J28" s="58" t="s">
        <v>8436</v>
      </c>
    </row>
    <row r="29" spans="1:10" ht="13.5" x14ac:dyDescent="0.25">
      <c r="A29" s="86">
        <f t="shared" si="1"/>
        <v>27</v>
      </c>
      <c r="B29" s="60" t="str">
        <f t="shared" si="3"/>
        <v>Winter, Michael</v>
      </c>
      <c r="C29" s="57">
        <v>0</v>
      </c>
      <c r="D29" s="59" t="s">
        <v>2780</v>
      </c>
      <c r="E29" s="58" t="s">
        <v>525</v>
      </c>
      <c r="F29" s="58" t="s">
        <v>9172</v>
      </c>
      <c r="G29" s="58" t="s">
        <v>9171</v>
      </c>
      <c r="H29" s="58" t="s">
        <v>9173</v>
      </c>
      <c r="I29" s="58" t="s">
        <v>2781</v>
      </c>
      <c r="J29" s="58"/>
    </row>
    <row r="30" spans="1:10" ht="13.5" x14ac:dyDescent="0.25">
      <c r="A30" s="86">
        <f t="shared" si="1"/>
        <v>28</v>
      </c>
      <c r="B30" s="56" t="str">
        <f t="shared" si="3"/>
        <v/>
      </c>
      <c r="C30" s="57"/>
      <c r="D30" s="59"/>
      <c r="E30" s="59"/>
      <c r="F30" s="58"/>
      <c r="G30" s="58"/>
      <c r="H30" s="58"/>
      <c r="I30" s="58"/>
      <c r="J30" s="58"/>
    </row>
    <row r="31" spans="1:10" ht="13.5" x14ac:dyDescent="0.25">
      <c r="A31" s="86">
        <f t="shared" si="1"/>
        <v>29</v>
      </c>
      <c r="B31" s="60" t="str">
        <f t="shared" si="3"/>
        <v/>
      </c>
      <c r="C31" s="57"/>
      <c r="D31" s="59"/>
      <c r="E31" s="59"/>
      <c r="F31" s="58"/>
      <c r="G31" s="58"/>
      <c r="H31" s="58"/>
      <c r="I31" s="58"/>
      <c r="J31" s="58"/>
    </row>
    <row r="32" spans="1:10" ht="13.5" x14ac:dyDescent="0.25">
      <c r="A32" s="86">
        <f t="shared" si="1"/>
        <v>30</v>
      </c>
      <c r="B32" s="60"/>
      <c r="C32" s="57"/>
      <c r="D32" s="59"/>
      <c r="E32" s="59"/>
      <c r="F32" s="155"/>
      <c r="G32" s="59"/>
      <c r="H32" s="155"/>
      <c r="I32" s="58"/>
      <c r="J32" s="58"/>
    </row>
    <row r="33" spans="1:10" ht="13.5" x14ac:dyDescent="0.25">
      <c r="A33" s="86">
        <f t="shared" si="1"/>
        <v>31</v>
      </c>
      <c r="B33" s="60"/>
      <c r="C33" s="57"/>
      <c r="D33" s="59"/>
      <c r="E33" s="59"/>
      <c r="F33" s="155"/>
      <c r="G33" s="155"/>
      <c r="H33" s="155"/>
      <c r="I33" s="58"/>
      <c r="J33" s="59"/>
    </row>
    <row r="34" spans="1:10" ht="13.5" x14ac:dyDescent="0.25">
      <c r="A34" s="86">
        <f t="shared" si="1"/>
        <v>32</v>
      </c>
      <c r="B34" s="60"/>
      <c r="C34" s="57"/>
      <c r="D34" s="59"/>
      <c r="E34" s="59"/>
      <c r="F34" s="58"/>
      <c r="G34" s="58"/>
      <c r="H34" s="58"/>
      <c r="I34" s="58"/>
      <c r="J34" s="59"/>
    </row>
    <row r="35" spans="1:10" ht="13.5" x14ac:dyDescent="0.25">
      <c r="A35" s="86">
        <f t="shared" si="1"/>
        <v>33</v>
      </c>
      <c r="B35" s="56"/>
      <c r="C35" s="57"/>
      <c r="D35" s="58"/>
      <c r="E35" s="58"/>
      <c r="F35" s="155"/>
      <c r="G35" s="155"/>
      <c r="H35" s="155"/>
      <c r="I35" s="58"/>
      <c r="J35" s="58"/>
    </row>
    <row r="36" spans="1:10" ht="13.5" x14ac:dyDescent="0.25">
      <c r="A36" s="86">
        <f t="shared" ref="A36:A67" si="4">+A35+1</f>
        <v>34</v>
      </c>
      <c r="B36" s="60"/>
      <c r="C36" s="57"/>
      <c r="D36" s="59"/>
      <c r="E36" s="59"/>
      <c r="F36" s="58"/>
      <c r="G36" s="155"/>
      <c r="H36" s="155"/>
      <c r="I36" s="58"/>
      <c r="J36" s="59"/>
    </row>
    <row r="37" spans="1:10" ht="13.5" x14ac:dyDescent="0.25">
      <c r="A37" s="86">
        <f t="shared" si="4"/>
        <v>35</v>
      </c>
      <c r="B37" s="156"/>
      <c r="C37" s="57"/>
      <c r="D37" s="59"/>
      <c r="E37" s="59"/>
      <c r="F37" s="58"/>
      <c r="G37" s="58"/>
      <c r="H37" s="58"/>
      <c r="I37" s="58"/>
      <c r="J37" s="59"/>
    </row>
    <row r="38" spans="1:10" ht="13.5" x14ac:dyDescent="0.25">
      <c r="A38" s="86">
        <f t="shared" si="4"/>
        <v>36</v>
      </c>
      <c r="B38" s="56" t="str">
        <f t="shared" si="2"/>
        <v/>
      </c>
      <c r="C38" s="57"/>
      <c r="D38" s="58"/>
      <c r="E38" s="58"/>
      <c r="F38" s="58"/>
      <c r="G38" s="58"/>
      <c r="H38" s="58"/>
      <c r="I38" s="58"/>
      <c r="J38" s="58"/>
    </row>
    <row r="39" spans="1:10" ht="13.5" x14ac:dyDescent="0.25">
      <c r="A39" s="86">
        <f t="shared" si="4"/>
        <v>37</v>
      </c>
      <c r="B39" s="56" t="str">
        <f t="shared" si="2"/>
        <v/>
      </c>
      <c r="C39" s="57"/>
      <c r="D39" s="58"/>
      <c r="E39" s="58"/>
      <c r="F39" s="58"/>
      <c r="G39" s="59"/>
      <c r="H39" s="59"/>
      <c r="I39" s="59"/>
      <c r="J39" s="58"/>
    </row>
    <row r="40" spans="1:10" ht="13.5" x14ac:dyDescent="0.25">
      <c r="A40" s="86">
        <f t="shared" si="4"/>
        <v>38</v>
      </c>
      <c r="B40" s="56" t="str">
        <f t="shared" si="2"/>
        <v/>
      </c>
      <c r="C40" s="57"/>
      <c r="D40" s="58"/>
      <c r="E40" s="58"/>
      <c r="F40" s="58"/>
      <c r="G40" s="59"/>
      <c r="H40" s="59"/>
      <c r="I40" s="59"/>
      <c r="J40" s="58"/>
    </row>
    <row r="41" spans="1:10" ht="13.5" x14ac:dyDescent="0.25">
      <c r="A41" s="86">
        <f t="shared" si="4"/>
        <v>39</v>
      </c>
      <c r="B41" s="56" t="str">
        <f t="shared" si="2"/>
        <v/>
      </c>
      <c r="C41" s="57"/>
      <c r="D41" s="58"/>
      <c r="E41" s="58"/>
      <c r="F41" s="58"/>
      <c r="G41" s="59"/>
      <c r="H41" s="59"/>
      <c r="I41" s="59"/>
      <c r="J41" s="58"/>
    </row>
    <row r="42" spans="1:10" ht="13.5" x14ac:dyDescent="0.25">
      <c r="A42" s="86">
        <f t="shared" si="4"/>
        <v>40</v>
      </c>
      <c r="B42" s="56" t="str">
        <f t="shared" si="2"/>
        <v/>
      </c>
      <c r="C42" s="57"/>
      <c r="D42" s="59"/>
      <c r="E42" s="59"/>
      <c r="F42" s="58"/>
      <c r="G42" s="58"/>
      <c r="H42" s="58"/>
      <c r="I42" s="58"/>
      <c r="J42" s="58"/>
    </row>
    <row r="43" spans="1:10" ht="13.5" x14ac:dyDescent="0.25">
      <c r="A43" s="86">
        <f t="shared" si="4"/>
        <v>41</v>
      </c>
      <c r="B43" s="56" t="str">
        <f t="shared" si="2"/>
        <v/>
      </c>
      <c r="C43" s="57"/>
      <c r="D43" s="58"/>
      <c r="E43" s="58"/>
      <c r="F43" s="58"/>
      <c r="G43" s="58"/>
      <c r="H43" s="58"/>
      <c r="I43" s="58"/>
      <c r="J43" s="58"/>
    </row>
    <row r="44" spans="1:10" ht="13.5" x14ac:dyDescent="0.25">
      <c r="A44" s="86">
        <f t="shared" si="4"/>
        <v>42</v>
      </c>
      <c r="B44" s="56" t="str">
        <f t="shared" si="2"/>
        <v/>
      </c>
      <c r="C44" s="57"/>
      <c r="D44" s="58"/>
      <c r="E44" s="58"/>
      <c r="F44" s="58"/>
      <c r="G44" s="58"/>
      <c r="H44" s="58"/>
      <c r="I44" s="58"/>
      <c r="J44" s="58"/>
    </row>
    <row r="45" spans="1:10" ht="13.5" x14ac:dyDescent="0.25">
      <c r="A45" s="86">
        <f t="shared" si="4"/>
        <v>43</v>
      </c>
      <c r="B45" s="56" t="str">
        <f t="shared" si="2"/>
        <v/>
      </c>
      <c r="C45" s="57"/>
      <c r="D45" s="58"/>
      <c r="E45" s="58"/>
      <c r="F45" s="58"/>
      <c r="G45" s="58"/>
      <c r="H45" s="58"/>
      <c r="I45" s="58"/>
      <c r="J45" s="58"/>
    </row>
    <row r="46" spans="1:10" ht="13.5" x14ac:dyDescent="0.25">
      <c r="A46" s="86">
        <f t="shared" si="4"/>
        <v>44</v>
      </c>
      <c r="B46" s="56" t="str">
        <f t="shared" si="2"/>
        <v/>
      </c>
      <c r="C46" s="57"/>
      <c r="D46" s="58"/>
      <c r="E46" s="58"/>
      <c r="F46" s="58"/>
      <c r="G46" s="58"/>
      <c r="H46" s="58"/>
      <c r="I46" s="58"/>
      <c r="J46" s="58"/>
    </row>
    <row r="47" spans="1:10" ht="13.5" x14ac:dyDescent="0.25">
      <c r="A47" s="86">
        <f t="shared" si="4"/>
        <v>45</v>
      </c>
      <c r="B47" s="56" t="str">
        <f t="shared" si="2"/>
        <v/>
      </c>
      <c r="C47" s="57"/>
      <c r="D47" s="58"/>
      <c r="E47" s="58"/>
      <c r="F47" s="58"/>
      <c r="G47" s="58"/>
      <c r="H47" s="58"/>
      <c r="I47" s="58"/>
      <c r="J47" s="58"/>
    </row>
    <row r="48" spans="1:10" ht="13.5" x14ac:dyDescent="0.25">
      <c r="A48" s="86">
        <f t="shared" si="4"/>
        <v>46</v>
      </c>
      <c r="B48" s="60" t="str">
        <f t="shared" si="2"/>
        <v/>
      </c>
      <c r="C48" s="57"/>
      <c r="D48" s="59"/>
      <c r="E48" s="59"/>
      <c r="F48" s="58"/>
      <c r="G48" s="58"/>
      <c r="H48" s="58"/>
      <c r="I48" s="59"/>
      <c r="J48" s="58"/>
    </row>
    <row r="49" spans="1:10" ht="13.5" x14ac:dyDescent="0.25">
      <c r="A49" s="86">
        <f t="shared" si="4"/>
        <v>47</v>
      </c>
      <c r="B49" s="56" t="str">
        <f t="shared" si="2"/>
        <v/>
      </c>
      <c r="C49" s="57"/>
      <c r="D49" s="58"/>
      <c r="E49" s="58"/>
      <c r="F49" s="58"/>
      <c r="G49" s="58"/>
      <c r="H49" s="58"/>
      <c r="I49" s="58"/>
      <c r="J49" s="58"/>
    </row>
    <row r="50" spans="1:10" ht="13.5" x14ac:dyDescent="0.25">
      <c r="A50" s="86">
        <f t="shared" si="4"/>
        <v>48</v>
      </c>
      <c r="B50" s="56" t="str">
        <f t="shared" si="2"/>
        <v/>
      </c>
      <c r="C50" s="57"/>
      <c r="D50" s="58"/>
      <c r="E50" s="58"/>
      <c r="F50" s="58"/>
      <c r="G50" s="58"/>
      <c r="H50" s="58"/>
      <c r="I50" s="58"/>
      <c r="J50" s="58"/>
    </row>
    <row r="51" spans="1:10" ht="13.5" x14ac:dyDescent="0.25">
      <c r="A51" s="86">
        <f t="shared" si="4"/>
        <v>49</v>
      </c>
      <c r="B51" s="56" t="str">
        <f t="shared" si="2"/>
        <v/>
      </c>
      <c r="C51" s="57"/>
      <c r="D51" s="58"/>
      <c r="E51" s="58"/>
      <c r="F51" s="58"/>
      <c r="G51" s="58"/>
      <c r="H51" s="58"/>
      <c r="I51" s="58"/>
      <c r="J51" s="58"/>
    </row>
    <row r="52" spans="1:10" ht="13.5" x14ac:dyDescent="0.25">
      <c r="A52" s="86">
        <f t="shared" si="4"/>
        <v>50</v>
      </c>
      <c r="B52" s="60" t="str">
        <f t="shared" si="2"/>
        <v/>
      </c>
      <c r="C52" s="57"/>
      <c r="D52" s="59"/>
      <c r="E52" s="59"/>
      <c r="F52" s="59"/>
      <c r="G52" s="59"/>
      <c r="H52" s="59"/>
      <c r="I52" s="61"/>
      <c r="J52" s="58"/>
    </row>
    <row r="53" spans="1:10" ht="13.5" x14ac:dyDescent="0.25">
      <c r="A53" s="86">
        <f t="shared" si="4"/>
        <v>51</v>
      </c>
      <c r="B53" s="60" t="str">
        <f t="shared" si="2"/>
        <v/>
      </c>
      <c r="C53" s="57"/>
      <c r="D53" s="59"/>
      <c r="E53" s="59"/>
      <c r="F53" s="59"/>
      <c r="G53" s="59"/>
      <c r="H53" s="59"/>
      <c r="I53" s="58"/>
      <c r="J53" s="58"/>
    </row>
    <row r="54" spans="1:10" ht="13.5" x14ac:dyDescent="0.25">
      <c r="A54" s="86">
        <f t="shared" si="4"/>
        <v>52</v>
      </c>
      <c r="B54" s="56" t="str">
        <f t="shared" si="2"/>
        <v/>
      </c>
      <c r="C54" s="57"/>
      <c r="D54" s="59"/>
      <c r="E54" s="59"/>
      <c r="F54" s="59"/>
      <c r="G54" s="59"/>
      <c r="H54" s="59"/>
      <c r="I54" s="58"/>
      <c r="J54" s="58"/>
    </row>
    <row r="55" spans="1:10" ht="13.5" x14ac:dyDescent="0.25">
      <c r="A55" s="86">
        <f t="shared" si="4"/>
        <v>53</v>
      </c>
      <c r="B55" s="60" t="str">
        <f t="shared" si="2"/>
        <v/>
      </c>
      <c r="C55" s="57"/>
      <c r="D55" s="59"/>
      <c r="E55" s="59"/>
      <c r="F55" s="59"/>
      <c r="G55" s="59"/>
      <c r="H55" s="59"/>
      <c r="I55" s="61"/>
      <c r="J55" s="58"/>
    </row>
    <row r="56" spans="1:10" ht="13.5" x14ac:dyDescent="0.25">
      <c r="A56" s="86">
        <f t="shared" si="4"/>
        <v>54</v>
      </c>
      <c r="B56" s="60" t="str">
        <f t="shared" si="2"/>
        <v/>
      </c>
      <c r="C56" s="57"/>
      <c r="D56" s="59"/>
      <c r="E56" s="59"/>
      <c r="F56" s="59"/>
      <c r="G56" s="59"/>
      <c r="H56" s="59"/>
      <c r="I56" s="59"/>
      <c r="J56" s="58"/>
    </row>
    <row r="57" spans="1:10" ht="13.5" x14ac:dyDescent="0.25">
      <c r="A57" s="86">
        <f t="shared" si="4"/>
        <v>55</v>
      </c>
      <c r="B57" s="56" t="str">
        <f t="shared" si="2"/>
        <v/>
      </c>
      <c r="C57" s="57"/>
      <c r="D57" s="58"/>
      <c r="E57" s="58"/>
      <c r="F57" s="58"/>
      <c r="G57" s="58"/>
      <c r="H57" s="58"/>
      <c r="I57" s="58"/>
      <c r="J57" s="58"/>
    </row>
    <row r="58" spans="1:10" ht="13.5" x14ac:dyDescent="0.25">
      <c r="A58" s="86">
        <f t="shared" si="4"/>
        <v>56</v>
      </c>
      <c r="B58" s="56" t="str">
        <f t="shared" si="2"/>
        <v/>
      </c>
      <c r="C58" s="57"/>
      <c r="D58" s="58"/>
      <c r="E58" s="58"/>
      <c r="F58" s="58"/>
      <c r="G58" s="58"/>
      <c r="H58" s="58"/>
      <c r="I58" s="58"/>
      <c r="J58" s="58"/>
    </row>
    <row r="59" spans="1:10" ht="13.5" x14ac:dyDescent="0.25">
      <c r="A59" s="86">
        <f t="shared" si="4"/>
        <v>57</v>
      </c>
      <c r="B59" s="56" t="str">
        <f t="shared" si="2"/>
        <v/>
      </c>
      <c r="C59" s="57"/>
      <c r="D59" s="58"/>
      <c r="E59" s="58"/>
      <c r="F59" s="58"/>
      <c r="G59" s="58"/>
      <c r="H59" s="58"/>
      <c r="I59" s="58"/>
      <c r="J59" s="58"/>
    </row>
    <row r="60" spans="1:10" ht="13.5" x14ac:dyDescent="0.25">
      <c r="A60" s="86">
        <f t="shared" si="4"/>
        <v>58</v>
      </c>
      <c r="B60" s="56" t="str">
        <f t="shared" si="2"/>
        <v/>
      </c>
      <c r="C60" s="57"/>
      <c r="D60" s="58"/>
      <c r="E60" s="58"/>
      <c r="F60" s="58"/>
      <c r="G60" s="58"/>
      <c r="H60" s="58"/>
      <c r="I60" s="58"/>
      <c r="J60" s="58"/>
    </row>
    <row r="61" spans="1:10" ht="13.5" x14ac:dyDescent="0.25">
      <c r="A61" s="86">
        <f t="shared" si="4"/>
        <v>59</v>
      </c>
      <c r="B61" s="56" t="str">
        <f t="shared" si="2"/>
        <v/>
      </c>
      <c r="C61" s="57"/>
      <c r="D61" s="58"/>
      <c r="E61" s="58"/>
      <c r="F61" s="58"/>
      <c r="G61" s="58"/>
      <c r="H61" s="58"/>
      <c r="I61" s="58"/>
      <c r="J61" s="58"/>
    </row>
    <row r="62" spans="1:10" ht="13.5" x14ac:dyDescent="0.25">
      <c r="A62" s="86">
        <f t="shared" si="4"/>
        <v>60</v>
      </c>
      <c r="B62" s="60" t="str">
        <f t="shared" si="2"/>
        <v/>
      </c>
      <c r="C62" s="57"/>
      <c r="D62" s="59"/>
      <c r="E62" s="59"/>
      <c r="F62" s="59"/>
      <c r="G62" s="58"/>
      <c r="H62" s="59"/>
      <c r="I62" s="61"/>
      <c r="J62" s="58"/>
    </row>
    <row r="63" spans="1:10" ht="13.5" x14ac:dyDescent="0.25">
      <c r="A63" s="86">
        <f t="shared" si="4"/>
        <v>61</v>
      </c>
      <c r="B63" s="60" t="str">
        <f t="shared" si="2"/>
        <v/>
      </c>
      <c r="C63" s="57"/>
      <c r="D63" s="59"/>
      <c r="E63" s="59"/>
      <c r="F63" s="59"/>
      <c r="G63" s="59"/>
      <c r="H63" s="59"/>
      <c r="I63" s="61"/>
      <c r="J63" s="58"/>
    </row>
    <row r="64" spans="1:10" ht="13.5" x14ac:dyDescent="0.25">
      <c r="A64" s="86">
        <f t="shared" si="4"/>
        <v>62</v>
      </c>
      <c r="B64" s="56" t="str">
        <f t="shared" si="2"/>
        <v/>
      </c>
      <c r="C64" s="57"/>
      <c r="D64" s="58"/>
      <c r="E64" s="58"/>
      <c r="F64" s="58"/>
      <c r="G64" s="58"/>
      <c r="H64" s="58"/>
      <c r="I64" s="58"/>
      <c r="J64" s="58"/>
    </row>
    <row r="65" spans="1:10" ht="13.5" x14ac:dyDescent="0.25">
      <c r="A65" s="86">
        <f t="shared" si="4"/>
        <v>63</v>
      </c>
      <c r="B65" s="56" t="str">
        <f t="shared" si="2"/>
        <v/>
      </c>
      <c r="C65" s="57"/>
      <c r="D65" s="58"/>
      <c r="E65" s="58"/>
      <c r="F65" s="58"/>
      <c r="G65" s="58"/>
      <c r="H65" s="58"/>
      <c r="I65" s="58"/>
      <c r="J65" s="58"/>
    </row>
    <row r="66" spans="1:10" ht="13.5" x14ac:dyDescent="0.25">
      <c r="A66" s="86">
        <f t="shared" si="4"/>
        <v>64</v>
      </c>
      <c r="B66" s="56" t="str">
        <f t="shared" si="2"/>
        <v/>
      </c>
      <c r="C66" s="57"/>
      <c r="D66" s="58"/>
      <c r="E66" s="58"/>
      <c r="F66" s="58"/>
      <c r="G66" s="58"/>
      <c r="H66" s="58"/>
      <c r="I66" s="58"/>
      <c r="J66" s="58"/>
    </row>
    <row r="67" spans="1:10" ht="13.5" x14ac:dyDescent="0.25">
      <c r="A67" s="86">
        <f t="shared" si="4"/>
        <v>65</v>
      </c>
      <c r="B67" s="60" t="str">
        <f t="shared" si="2"/>
        <v/>
      </c>
      <c r="C67" s="57"/>
      <c r="D67" s="59"/>
      <c r="E67" s="58"/>
      <c r="F67" s="58"/>
      <c r="G67" s="58"/>
      <c r="H67" s="58"/>
      <c r="I67" s="58"/>
      <c r="J67" s="58"/>
    </row>
    <row r="68" spans="1:10" ht="13.5" x14ac:dyDescent="0.25">
      <c r="A68" s="86">
        <f t="shared" ref="A68:A101" si="5">+A67+1</f>
        <v>66</v>
      </c>
      <c r="B68" s="56" t="str">
        <f t="shared" ref="B68:B131" si="6">IF(D68="","",D68&amp;", "&amp;E68)</f>
        <v/>
      </c>
      <c r="C68" s="57"/>
      <c r="D68" s="58"/>
      <c r="E68" s="58"/>
      <c r="F68" s="58"/>
      <c r="G68" s="58"/>
      <c r="H68" s="58"/>
      <c r="I68" s="58"/>
      <c r="J68" s="58"/>
    </row>
    <row r="69" spans="1:10" ht="13.5" x14ac:dyDescent="0.25">
      <c r="A69" s="86">
        <f t="shared" si="5"/>
        <v>67</v>
      </c>
      <c r="B69" s="56" t="str">
        <f t="shared" si="6"/>
        <v/>
      </c>
      <c r="C69" s="57"/>
      <c r="D69" s="58"/>
      <c r="E69" s="58"/>
      <c r="F69" s="58"/>
      <c r="G69" s="58"/>
      <c r="H69" s="58"/>
      <c r="I69" s="58"/>
      <c r="J69" s="58"/>
    </row>
    <row r="70" spans="1:10" ht="13.5" x14ac:dyDescent="0.25">
      <c r="A70" s="86">
        <f t="shared" si="5"/>
        <v>68</v>
      </c>
      <c r="B70" s="56" t="str">
        <f t="shared" si="6"/>
        <v/>
      </c>
      <c r="C70" s="57"/>
      <c r="D70" s="58"/>
      <c r="E70" s="58"/>
      <c r="F70" s="58"/>
      <c r="G70" s="58"/>
      <c r="H70" s="58"/>
      <c r="I70" s="58"/>
      <c r="J70" s="58"/>
    </row>
    <row r="71" spans="1:10" ht="13.5" x14ac:dyDescent="0.25">
      <c r="A71" s="86">
        <f t="shared" si="5"/>
        <v>69</v>
      </c>
      <c r="B71" s="56" t="str">
        <f t="shared" si="6"/>
        <v/>
      </c>
      <c r="C71" s="57"/>
      <c r="D71" s="58"/>
      <c r="E71" s="58"/>
      <c r="F71" s="58"/>
      <c r="G71" s="58"/>
      <c r="H71" s="58"/>
      <c r="I71" s="58"/>
      <c r="J71" s="59"/>
    </row>
    <row r="72" spans="1:10" ht="13.5" x14ac:dyDescent="0.25">
      <c r="A72" s="86">
        <f t="shared" si="5"/>
        <v>70</v>
      </c>
      <c r="B72" s="56" t="str">
        <f t="shared" si="6"/>
        <v/>
      </c>
      <c r="C72" s="57"/>
      <c r="D72" s="58"/>
      <c r="E72" s="58"/>
      <c r="F72" s="58"/>
      <c r="G72" s="58"/>
      <c r="H72" s="58"/>
      <c r="I72" s="58"/>
      <c r="J72" s="59"/>
    </row>
    <row r="73" spans="1:10" ht="13.5" x14ac:dyDescent="0.25">
      <c r="A73" s="86">
        <f t="shared" si="5"/>
        <v>71</v>
      </c>
      <c r="B73" s="56" t="str">
        <f t="shared" si="6"/>
        <v/>
      </c>
      <c r="C73" s="57"/>
      <c r="D73" s="58"/>
      <c r="E73" s="58"/>
      <c r="F73" s="58"/>
      <c r="G73" s="58"/>
      <c r="H73" s="58"/>
      <c r="I73" s="58"/>
      <c r="J73" s="59"/>
    </row>
    <row r="74" spans="1:10" ht="13.5" x14ac:dyDescent="0.25">
      <c r="A74" s="86">
        <f t="shared" si="5"/>
        <v>72</v>
      </c>
      <c r="B74" s="56" t="str">
        <f t="shared" si="6"/>
        <v/>
      </c>
      <c r="C74" s="57"/>
      <c r="D74" s="58"/>
      <c r="E74" s="58"/>
      <c r="F74" s="58"/>
      <c r="G74" s="58"/>
      <c r="H74" s="58"/>
      <c r="I74" s="58"/>
      <c r="J74" s="59"/>
    </row>
    <row r="75" spans="1:10" ht="13.5" x14ac:dyDescent="0.25">
      <c r="A75" s="86">
        <f t="shared" si="5"/>
        <v>73</v>
      </c>
      <c r="B75" s="56" t="str">
        <f t="shared" si="6"/>
        <v/>
      </c>
      <c r="C75" s="57"/>
      <c r="D75" s="58"/>
      <c r="E75" s="58"/>
      <c r="F75" s="58"/>
      <c r="G75" s="58"/>
      <c r="H75" s="58"/>
      <c r="I75" s="58"/>
      <c r="J75" s="59"/>
    </row>
    <row r="76" spans="1:10" ht="13.5" x14ac:dyDescent="0.25">
      <c r="A76" s="86">
        <f t="shared" si="5"/>
        <v>74</v>
      </c>
      <c r="B76" s="56" t="str">
        <f t="shared" si="6"/>
        <v/>
      </c>
      <c r="C76" s="57"/>
      <c r="D76" s="58"/>
      <c r="E76" s="58"/>
      <c r="F76" s="58"/>
      <c r="G76" s="58"/>
      <c r="H76" s="58"/>
      <c r="I76" s="58"/>
      <c r="J76" s="59"/>
    </row>
    <row r="77" spans="1:10" ht="13.5" x14ac:dyDescent="0.25">
      <c r="A77" s="86">
        <f t="shared" si="5"/>
        <v>75</v>
      </c>
      <c r="B77" s="60" t="str">
        <f t="shared" si="6"/>
        <v/>
      </c>
      <c r="C77" s="57"/>
      <c r="D77" s="59"/>
      <c r="E77" s="59"/>
      <c r="F77" s="58"/>
      <c r="G77" s="58"/>
      <c r="H77" s="58"/>
      <c r="I77" s="59"/>
      <c r="J77" s="59"/>
    </row>
    <row r="78" spans="1:10" ht="13.5" x14ac:dyDescent="0.25">
      <c r="A78" s="86">
        <f t="shared" si="5"/>
        <v>76</v>
      </c>
      <c r="B78" s="56" t="str">
        <f t="shared" si="6"/>
        <v/>
      </c>
      <c r="C78" s="57"/>
      <c r="D78" s="58"/>
      <c r="E78" s="58"/>
      <c r="F78" s="58"/>
      <c r="G78" s="58"/>
      <c r="H78" s="58"/>
      <c r="I78" s="58"/>
      <c r="J78" s="58"/>
    </row>
    <row r="79" spans="1:10" ht="13.5" x14ac:dyDescent="0.25">
      <c r="A79" s="86">
        <f t="shared" si="5"/>
        <v>77</v>
      </c>
      <c r="B79" s="56" t="str">
        <f t="shared" si="6"/>
        <v/>
      </c>
      <c r="C79" s="57"/>
      <c r="D79" s="58"/>
      <c r="E79" s="58"/>
      <c r="F79" s="58"/>
      <c r="G79" s="58"/>
      <c r="H79" s="58"/>
      <c r="I79" s="58"/>
      <c r="J79" s="59"/>
    </row>
    <row r="80" spans="1:10" ht="13.5" x14ac:dyDescent="0.25">
      <c r="A80" s="86">
        <f t="shared" si="5"/>
        <v>78</v>
      </c>
      <c r="B80" s="56" t="str">
        <f t="shared" si="6"/>
        <v/>
      </c>
      <c r="C80" s="57"/>
      <c r="D80" s="58"/>
      <c r="E80" s="58"/>
      <c r="F80" s="58"/>
      <c r="G80" s="58"/>
      <c r="H80" s="58"/>
      <c r="I80" s="58"/>
      <c r="J80" s="59"/>
    </row>
    <row r="81" spans="1:10" ht="13.5" x14ac:dyDescent="0.25">
      <c r="A81" s="86">
        <f t="shared" si="5"/>
        <v>79</v>
      </c>
      <c r="B81" s="56" t="str">
        <f t="shared" si="6"/>
        <v/>
      </c>
      <c r="C81" s="57"/>
      <c r="D81" s="58"/>
      <c r="E81" s="58"/>
      <c r="F81" s="58"/>
      <c r="G81" s="58"/>
      <c r="H81" s="58"/>
      <c r="I81" s="58"/>
      <c r="J81" s="59"/>
    </row>
    <row r="82" spans="1:10" ht="13.5" x14ac:dyDescent="0.25">
      <c r="A82" s="86">
        <f t="shared" si="5"/>
        <v>80</v>
      </c>
      <c r="B82" s="60" t="str">
        <f t="shared" si="6"/>
        <v/>
      </c>
      <c r="C82" s="57"/>
      <c r="D82" s="59"/>
      <c r="E82" s="59"/>
      <c r="F82" s="58"/>
      <c r="G82" s="58"/>
      <c r="H82" s="59"/>
      <c r="I82" s="59"/>
      <c r="J82" s="59"/>
    </row>
    <row r="83" spans="1:10" ht="13.5" x14ac:dyDescent="0.25">
      <c r="A83" s="86">
        <f t="shared" si="5"/>
        <v>81</v>
      </c>
      <c r="B83" s="56" t="str">
        <f t="shared" si="6"/>
        <v/>
      </c>
      <c r="C83" s="57"/>
      <c r="D83" s="58"/>
      <c r="E83" s="58"/>
      <c r="F83" s="58"/>
      <c r="G83" s="58"/>
      <c r="H83" s="58"/>
      <c r="I83" s="58"/>
      <c r="J83" s="58"/>
    </row>
    <row r="84" spans="1:10" ht="13.5" x14ac:dyDescent="0.25">
      <c r="A84" s="86">
        <f t="shared" si="5"/>
        <v>82</v>
      </c>
      <c r="B84" s="56" t="str">
        <f t="shared" si="6"/>
        <v/>
      </c>
      <c r="C84" s="57"/>
      <c r="D84" s="58"/>
      <c r="E84" s="58"/>
      <c r="F84" s="58"/>
      <c r="G84" s="58"/>
      <c r="H84" s="58"/>
      <c r="I84" s="58"/>
      <c r="J84" s="58"/>
    </row>
    <row r="85" spans="1:10" ht="13.5" x14ac:dyDescent="0.25">
      <c r="A85" s="86">
        <f t="shared" si="5"/>
        <v>83</v>
      </c>
      <c r="B85" s="60" t="str">
        <f t="shared" si="6"/>
        <v/>
      </c>
      <c r="C85" s="57"/>
      <c r="D85" s="59"/>
      <c r="E85" s="59"/>
      <c r="F85" s="58"/>
      <c r="G85" s="58"/>
      <c r="H85" s="58"/>
      <c r="I85" s="58"/>
      <c r="J85" s="58"/>
    </row>
    <row r="86" spans="1:10" ht="13.5" x14ac:dyDescent="0.25">
      <c r="A86" s="86">
        <f t="shared" si="5"/>
        <v>84</v>
      </c>
      <c r="B86" s="56" t="str">
        <f t="shared" si="6"/>
        <v/>
      </c>
      <c r="C86" s="57"/>
      <c r="D86" s="58"/>
      <c r="E86" s="58"/>
      <c r="F86" s="58"/>
      <c r="G86" s="58"/>
      <c r="H86" s="58"/>
      <c r="I86" s="58"/>
      <c r="J86" s="58"/>
    </row>
    <row r="87" spans="1:10" ht="13.5" x14ac:dyDescent="0.25">
      <c r="A87" s="86">
        <f t="shared" si="5"/>
        <v>85</v>
      </c>
      <c r="B87" s="56" t="str">
        <f t="shared" si="6"/>
        <v/>
      </c>
      <c r="C87" s="57"/>
      <c r="D87" s="58"/>
      <c r="E87" s="58"/>
      <c r="F87" s="58"/>
      <c r="G87" s="58"/>
      <c r="H87" s="58"/>
      <c r="I87" s="58"/>
      <c r="J87" s="58"/>
    </row>
    <row r="88" spans="1:10" ht="13.5" x14ac:dyDescent="0.25">
      <c r="A88" s="86">
        <f t="shared" si="5"/>
        <v>86</v>
      </c>
      <c r="B88" s="56" t="str">
        <f t="shared" si="6"/>
        <v/>
      </c>
      <c r="C88" s="57"/>
      <c r="D88" s="58"/>
      <c r="E88" s="58"/>
      <c r="F88" s="58"/>
      <c r="G88" s="58"/>
      <c r="H88" s="58"/>
      <c r="I88" s="58"/>
      <c r="J88" s="58"/>
    </row>
    <row r="89" spans="1:10" ht="13.5" x14ac:dyDescent="0.25">
      <c r="A89" s="86">
        <f t="shared" si="5"/>
        <v>87</v>
      </c>
      <c r="B89" s="56" t="str">
        <f t="shared" si="6"/>
        <v/>
      </c>
      <c r="C89" s="57"/>
      <c r="D89" s="58"/>
      <c r="E89" s="58"/>
      <c r="F89" s="58"/>
      <c r="G89" s="58"/>
      <c r="H89" s="58"/>
      <c r="I89" s="58"/>
      <c r="J89" s="58"/>
    </row>
    <row r="90" spans="1:10" ht="13.5" x14ac:dyDescent="0.25">
      <c r="A90" s="86">
        <f t="shared" si="5"/>
        <v>88</v>
      </c>
      <c r="B90" s="56" t="str">
        <f t="shared" si="6"/>
        <v/>
      </c>
      <c r="C90" s="57"/>
      <c r="D90" s="58"/>
      <c r="E90" s="58"/>
      <c r="F90" s="58"/>
      <c r="G90" s="58"/>
      <c r="H90" s="58"/>
      <c r="I90" s="58"/>
      <c r="J90" s="58"/>
    </row>
    <row r="91" spans="1:10" ht="13.5" x14ac:dyDescent="0.25">
      <c r="A91" s="86">
        <f t="shared" si="5"/>
        <v>89</v>
      </c>
      <c r="B91" s="56" t="str">
        <f t="shared" si="6"/>
        <v/>
      </c>
      <c r="C91" s="57"/>
      <c r="D91" s="58"/>
      <c r="E91" s="58"/>
      <c r="F91" s="58"/>
      <c r="G91" s="58"/>
      <c r="H91" s="58"/>
      <c r="I91" s="58"/>
      <c r="J91" s="58"/>
    </row>
    <row r="92" spans="1:10" ht="13.5" x14ac:dyDescent="0.25">
      <c r="A92" s="86">
        <f t="shared" si="5"/>
        <v>90</v>
      </c>
      <c r="B92" s="60" t="str">
        <f t="shared" si="6"/>
        <v/>
      </c>
      <c r="C92" s="57"/>
      <c r="D92" s="58"/>
      <c r="E92" s="58"/>
      <c r="F92" s="58"/>
      <c r="G92" s="58"/>
      <c r="H92" s="58"/>
      <c r="I92" s="58"/>
      <c r="J92" s="58"/>
    </row>
    <row r="93" spans="1:10" ht="13.5" x14ac:dyDescent="0.25">
      <c r="A93" s="86">
        <f t="shared" si="5"/>
        <v>91</v>
      </c>
      <c r="B93" s="56" t="str">
        <f t="shared" si="6"/>
        <v/>
      </c>
      <c r="C93" s="57"/>
      <c r="D93" s="58"/>
      <c r="E93" s="58"/>
      <c r="F93" s="58"/>
      <c r="G93" s="58"/>
      <c r="H93" s="58"/>
      <c r="I93" s="58"/>
      <c r="J93" s="58"/>
    </row>
    <row r="94" spans="1:10" ht="13.5" x14ac:dyDescent="0.25">
      <c r="A94" s="86">
        <f t="shared" si="5"/>
        <v>92</v>
      </c>
      <c r="B94" s="56" t="str">
        <f t="shared" si="6"/>
        <v/>
      </c>
      <c r="C94" s="57"/>
      <c r="D94" s="58"/>
      <c r="E94" s="58"/>
      <c r="F94" s="58"/>
      <c r="G94" s="58"/>
      <c r="H94" s="58"/>
      <c r="I94" s="58"/>
      <c r="J94" s="58"/>
    </row>
    <row r="95" spans="1:10" ht="13.5" x14ac:dyDescent="0.25">
      <c r="A95" s="86">
        <f t="shared" si="5"/>
        <v>93</v>
      </c>
      <c r="B95" s="56" t="str">
        <f t="shared" si="6"/>
        <v/>
      </c>
      <c r="C95" s="57"/>
      <c r="D95" s="58"/>
      <c r="E95" s="58"/>
      <c r="F95" s="58"/>
      <c r="G95" s="58"/>
      <c r="H95" s="58"/>
      <c r="I95" s="58"/>
      <c r="J95" s="58"/>
    </row>
    <row r="96" spans="1:10" ht="13.5" x14ac:dyDescent="0.25">
      <c r="A96" s="86">
        <f t="shared" si="5"/>
        <v>94</v>
      </c>
      <c r="B96" s="56" t="str">
        <f t="shared" si="6"/>
        <v/>
      </c>
      <c r="C96" s="57"/>
      <c r="D96" s="58"/>
      <c r="E96" s="58"/>
      <c r="F96" s="58"/>
      <c r="G96" s="58"/>
      <c r="H96" s="58"/>
      <c r="I96" s="58"/>
      <c r="J96" s="58"/>
    </row>
    <row r="97" spans="1:10" ht="13.5" x14ac:dyDescent="0.25">
      <c r="A97" s="86">
        <f t="shared" si="5"/>
        <v>95</v>
      </c>
      <c r="B97" s="60" t="str">
        <f t="shared" si="6"/>
        <v/>
      </c>
      <c r="C97" s="57"/>
      <c r="D97" s="59"/>
      <c r="E97" s="59"/>
      <c r="F97" s="58"/>
      <c r="G97" s="58"/>
      <c r="H97" s="58"/>
      <c r="I97" s="58"/>
      <c r="J97" s="58"/>
    </row>
    <row r="98" spans="1:10" ht="13.5" x14ac:dyDescent="0.25">
      <c r="A98" s="86">
        <f t="shared" si="5"/>
        <v>96</v>
      </c>
      <c r="B98" s="60" t="str">
        <f t="shared" si="6"/>
        <v/>
      </c>
      <c r="C98" s="57"/>
      <c r="D98" s="59"/>
      <c r="E98" s="59"/>
      <c r="F98" s="58"/>
      <c r="G98" s="58"/>
      <c r="H98" s="58"/>
      <c r="I98" s="58"/>
      <c r="J98" s="58"/>
    </row>
    <row r="99" spans="1:10" ht="13.5" x14ac:dyDescent="0.25">
      <c r="A99" s="86">
        <f t="shared" si="5"/>
        <v>97</v>
      </c>
      <c r="B99" s="56" t="str">
        <f t="shared" si="6"/>
        <v/>
      </c>
      <c r="C99" s="57"/>
      <c r="D99" s="58"/>
      <c r="E99" s="58"/>
      <c r="F99" s="58"/>
      <c r="G99" s="58"/>
      <c r="H99" s="58"/>
      <c r="I99" s="58"/>
      <c r="J99" s="58"/>
    </row>
    <row r="100" spans="1:10" ht="13.5" x14ac:dyDescent="0.25">
      <c r="A100" s="86">
        <f t="shared" si="5"/>
        <v>98</v>
      </c>
      <c r="B100" s="56" t="str">
        <f t="shared" si="6"/>
        <v/>
      </c>
      <c r="C100" s="57"/>
      <c r="D100" s="58"/>
      <c r="E100" s="58"/>
      <c r="F100" s="58"/>
      <c r="G100" s="58"/>
      <c r="H100" s="58"/>
      <c r="I100" s="58"/>
      <c r="J100" s="58"/>
    </row>
    <row r="101" spans="1:10" ht="13.5" x14ac:dyDescent="0.25">
      <c r="A101" s="86">
        <f t="shared" si="5"/>
        <v>99</v>
      </c>
      <c r="B101" s="60" t="str">
        <f t="shared" si="6"/>
        <v/>
      </c>
      <c r="C101" s="57"/>
      <c r="D101" s="59"/>
      <c r="E101" s="59"/>
      <c r="F101" s="59"/>
      <c r="G101" s="59"/>
      <c r="H101" s="58"/>
      <c r="I101" s="59"/>
      <c r="J101" s="59"/>
    </row>
    <row r="102" spans="1:10" ht="13.5" x14ac:dyDescent="0.25">
      <c r="A102" s="86">
        <f t="shared" ref="A102:A165" si="7">+A101+1</f>
        <v>100</v>
      </c>
      <c r="B102" s="56" t="str">
        <f t="shared" si="6"/>
        <v/>
      </c>
      <c r="C102" s="57"/>
      <c r="D102" s="58"/>
      <c r="E102" s="58"/>
      <c r="F102" s="58"/>
      <c r="G102" s="58"/>
      <c r="H102" s="58"/>
      <c r="I102" s="58"/>
      <c r="J102" s="58"/>
    </row>
    <row r="103" spans="1:10" ht="13.5" x14ac:dyDescent="0.25">
      <c r="A103" s="86">
        <f t="shared" si="7"/>
        <v>101</v>
      </c>
      <c r="B103" s="56" t="str">
        <f t="shared" si="6"/>
        <v/>
      </c>
      <c r="C103" s="57"/>
      <c r="D103" s="58"/>
      <c r="E103" s="58"/>
      <c r="F103" s="58"/>
      <c r="G103" s="58"/>
      <c r="H103" s="58"/>
      <c r="I103" s="58"/>
      <c r="J103" s="58"/>
    </row>
    <row r="104" spans="1:10" ht="13.5" x14ac:dyDescent="0.25">
      <c r="A104" s="86">
        <f t="shared" si="7"/>
        <v>102</v>
      </c>
      <c r="B104" s="60" t="str">
        <f t="shared" si="6"/>
        <v/>
      </c>
      <c r="C104" s="57"/>
      <c r="D104" s="59"/>
      <c r="E104" s="59"/>
      <c r="F104" s="59"/>
      <c r="G104" s="59"/>
      <c r="H104" s="59"/>
      <c r="I104" s="61"/>
      <c r="J104" s="59"/>
    </row>
    <row r="105" spans="1:10" ht="13.5" x14ac:dyDescent="0.25">
      <c r="A105" s="86">
        <f t="shared" si="7"/>
        <v>103</v>
      </c>
      <c r="B105" s="56" t="str">
        <f t="shared" si="6"/>
        <v/>
      </c>
      <c r="C105" s="57"/>
      <c r="D105" s="58"/>
      <c r="E105" s="58"/>
      <c r="F105" s="58"/>
      <c r="G105" s="58"/>
      <c r="H105" s="58"/>
      <c r="I105" s="58"/>
      <c r="J105" s="58"/>
    </row>
    <row r="106" spans="1:10" ht="13.5" x14ac:dyDescent="0.25">
      <c r="A106" s="86">
        <f t="shared" si="7"/>
        <v>104</v>
      </c>
      <c r="B106" s="56" t="str">
        <f t="shared" si="6"/>
        <v/>
      </c>
      <c r="C106" s="57"/>
      <c r="D106" s="58"/>
      <c r="E106" s="58"/>
      <c r="F106" s="58"/>
      <c r="G106" s="58"/>
      <c r="H106" s="58"/>
      <c r="I106" s="58"/>
      <c r="J106" s="58"/>
    </row>
    <row r="107" spans="1:10" ht="13.5" x14ac:dyDescent="0.25">
      <c r="A107" s="86">
        <f t="shared" si="7"/>
        <v>105</v>
      </c>
      <c r="B107" s="56" t="str">
        <f t="shared" si="6"/>
        <v/>
      </c>
      <c r="C107" s="57"/>
      <c r="D107" s="58"/>
      <c r="E107" s="58"/>
      <c r="F107" s="58"/>
      <c r="G107" s="58"/>
      <c r="H107" s="58"/>
      <c r="I107" s="58"/>
      <c r="J107" s="58"/>
    </row>
    <row r="108" spans="1:10" ht="13.5" x14ac:dyDescent="0.25">
      <c r="A108" s="86">
        <f t="shared" si="7"/>
        <v>106</v>
      </c>
      <c r="B108" s="56" t="str">
        <f t="shared" si="6"/>
        <v/>
      </c>
      <c r="C108" s="57"/>
      <c r="D108" s="58"/>
      <c r="E108" s="58"/>
      <c r="F108" s="58"/>
      <c r="G108" s="58"/>
      <c r="H108" s="58"/>
      <c r="I108" s="58"/>
      <c r="J108" s="58"/>
    </row>
    <row r="109" spans="1:10" ht="13.5" x14ac:dyDescent="0.25">
      <c r="A109" s="86">
        <f t="shared" si="7"/>
        <v>107</v>
      </c>
      <c r="B109" s="56" t="str">
        <f t="shared" si="6"/>
        <v/>
      </c>
      <c r="C109" s="57"/>
      <c r="D109" s="58"/>
      <c r="E109" s="58"/>
      <c r="F109" s="58"/>
      <c r="G109" s="58"/>
      <c r="H109" s="58"/>
      <c r="I109" s="58"/>
      <c r="J109" s="58"/>
    </row>
    <row r="110" spans="1:10" ht="13.5" x14ac:dyDescent="0.25">
      <c r="A110" s="86">
        <f t="shared" si="7"/>
        <v>108</v>
      </c>
      <c r="B110" s="56" t="str">
        <f t="shared" si="6"/>
        <v/>
      </c>
      <c r="C110" s="57"/>
      <c r="D110" s="58"/>
      <c r="E110" s="58"/>
      <c r="F110" s="58"/>
      <c r="G110" s="58"/>
      <c r="H110" s="58"/>
      <c r="I110" s="58"/>
      <c r="J110" s="58"/>
    </row>
    <row r="111" spans="1:10" ht="13.5" x14ac:dyDescent="0.25">
      <c r="A111" s="86">
        <f t="shared" si="7"/>
        <v>109</v>
      </c>
      <c r="B111" s="56" t="str">
        <f t="shared" si="6"/>
        <v/>
      </c>
      <c r="C111" s="57"/>
      <c r="D111" s="58"/>
      <c r="E111" s="58"/>
      <c r="F111" s="58"/>
      <c r="G111" s="58"/>
      <c r="H111" s="58"/>
      <c r="I111" s="58"/>
      <c r="J111" s="58"/>
    </row>
    <row r="112" spans="1:10" ht="13.5" x14ac:dyDescent="0.25">
      <c r="A112" s="86">
        <f t="shared" si="7"/>
        <v>110</v>
      </c>
      <c r="B112" s="56" t="str">
        <f t="shared" si="6"/>
        <v/>
      </c>
      <c r="C112" s="57"/>
      <c r="D112" s="58"/>
      <c r="E112" s="58"/>
      <c r="F112" s="58"/>
      <c r="G112" s="58"/>
      <c r="H112" s="58"/>
      <c r="I112" s="58"/>
      <c r="J112" s="58"/>
    </row>
    <row r="113" spans="1:10" ht="13.5" x14ac:dyDescent="0.25">
      <c r="A113" s="86">
        <f t="shared" si="7"/>
        <v>111</v>
      </c>
      <c r="B113" s="56" t="str">
        <f t="shared" si="6"/>
        <v/>
      </c>
      <c r="C113" s="57"/>
      <c r="D113" s="58"/>
      <c r="E113" s="58"/>
      <c r="F113" s="58"/>
      <c r="G113" s="58"/>
      <c r="H113" s="58"/>
      <c r="I113" s="58"/>
      <c r="J113" s="58"/>
    </row>
    <row r="114" spans="1:10" ht="13.5" x14ac:dyDescent="0.25">
      <c r="A114" s="86">
        <f t="shared" si="7"/>
        <v>112</v>
      </c>
      <c r="B114" s="56" t="str">
        <f t="shared" si="6"/>
        <v/>
      </c>
      <c r="C114" s="57"/>
      <c r="D114" s="58"/>
      <c r="E114" s="58"/>
      <c r="F114" s="58"/>
      <c r="G114" s="58"/>
      <c r="H114" s="58"/>
      <c r="I114" s="58"/>
      <c r="J114" s="58"/>
    </row>
    <row r="115" spans="1:10" ht="13.5" x14ac:dyDescent="0.25">
      <c r="A115" s="86">
        <f t="shared" si="7"/>
        <v>113</v>
      </c>
      <c r="B115" s="56" t="str">
        <f t="shared" si="6"/>
        <v/>
      </c>
      <c r="C115" s="57"/>
      <c r="D115" s="58"/>
      <c r="E115" s="58"/>
      <c r="F115" s="58"/>
      <c r="G115" s="58"/>
      <c r="H115" s="58"/>
      <c r="I115" s="58"/>
      <c r="J115" s="58"/>
    </row>
    <row r="116" spans="1:10" ht="13.5" x14ac:dyDescent="0.25">
      <c r="A116" s="86">
        <f t="shared" si="7"/>
        <v>114</v>
      </c>
      <c r="B116" s="56" t="str">
        <f t="shared" si="6"/>
        <v/>
      </c>
      <c r="C116" s="57"/>
      <c r="D116" s="58"/>
      <c r="E116" s="58"/>
      <c r="F116" s="58"/>
      <c r="G116" s="58"/>
      <c r="H116" s="58"/>
      <c r="I116" s="58"/>
      <c r="J116" s="58"/>
    </row>
    <row r="117" spans="1:10" ht="13.5" x14ac:dyDescent="0.25">
      <c r="A117" s="86">
        <f t="shared" si="7"/>
        <v>115</v>
      </c>
      <c r="B117" s="56" t="str">
        <f t="shared" si="6"/>
        <v/>
      </c>
      <c r="C117" s="57"/>
      <c r="D117" s="58"/>
      <c r="E117" s="58"/>
      <c r="F117" s="58"/>
      <c r="G117" s="58"/>
      <c r="H117" s="58"/>
      <c r="I117" s="58"/>
      <c r="J117" s="58"/>
    </row>
    <row r="118" spans="1:10" ht="13.5" x14ac:dyDescent="0.25">
      <c r="A118" s="86">
        <f t="shared" si="7"/>
        <v>116</v>
      </c>
      <c r="B118" s="56" t="str">
        <f t="shared" si="6"/>
        <v/>
      </c>
      <c r="C118" s="57"/>
      <c r="D118" s="58"/>
      <c r="E118" s="58"/>
      <c r="F118" s="58"/>
      <c r="G118" s="58"/>
      <c r="H118" s="58"/>
      <c r="I118" s="58"/>
      <c r="J118" s="58"/>
    </row>
    <row r="119" spans="1:10" ht="13.5" x14ac:dyDescent="0.25">
      <c r="A119" s="86">
        <f t="shared" si="7"/>
        <v>117</v>
      </c>
      <c r="B119" s="56" t="str">
        <f t="shared" si="6"/>
        <v/>
      </c>
      <c r="C119" s="57"/>
      <c r="D119" s="58"/>
      <c r="E119" s="58"/>
      <c r="F119" s="58"/>
      <c r="G119" s="58"/>
      <c r="H119" s="58"/>
      <c r="I119" s="58"/>
      <c r="J119" s="58"/>
    </row>
    <row r="120" spans="1:10" ht="13.5" x14ac:dyDescent="0.25">
      <c r="A120" s="86">
        <f t="shared" si="7"/>
        <v>118</v>
      </c>
      <c r="B120" s="56" t="str">
        <f t="shared" si="6"/>
        <v/>
      </c>
      <c r="C120" s="57"/>
      <c r="D120" s="58"/>
      <c r="E120" s="58"/>
      <c r="F120" s="58"/>
      <c r="G120" s="58"/>
      <c r="H120" s="58"/>
      <c r="I120" s="58"/>
      <c r="J120" s="58"/>
    </row>
    <row r="121" spans="1:10" ht="13.5" x14ac:dyDescent="0.25">
      <c r="A121" s="86">
        <f t="shared" si="7"/>
        <v>119</v>
      </c>
      <c r="B121" s="56" t="str">
        <f t="shared" si="6"/>
        <v/>
      </c>
      <c r="C121" s="57"/>
      <c r="D121" s="58"/>
      <c r="E121" s="58"/>
      <c r="F121" s="58"/>
      <c r="G121" s="58"/>
      <c r="H121" s="58"/>
      <c r="I121" s="58"/>
      <c r="J121" s="58"/>
    </row>
    <row r="122" spans="1:10" ht="13.5" x14ac:dyDescent="0.25">
      <c r="A122" s="86">
        <f t="shared" si="7"/>
        <v>120</v>
      </c>
      <c r="B122" s="56" t="str">
        <f t="shared" si="6"/>
        <v/>
      </c>
      <c r="C122" s="57"/>
      <c r="D122" s="58"/>
      <c r="E122" s="58"/>
      <c r="F122" s="58"/>
      <c r="G122" s="58"/>
      <c r="H122" s="58"/>
      <c r="I122" s="58"/>
      <c r="J122" s="58"/>
    </row>
    <row r="123" spans="1:10" ht="13.5" x14ac:dyDescent="0.25">
      <c r="A123" s="86">
        <f t="shared" si="7"/>
        <v>121</v>
      </c>
      <c r="B123" s="56" t="str">
        <f t="shared" si="6"/>
        <v/>
      </c>
      <c r="C123" s="57"/>
      <c r="D123" s="58"/>
      <c r="E123" s="58"/>
      <c r="F123" s="58"/>
      <c r="G123" s="58"/>
      <c r="H123" s="58"/>
      <c r="I123" s="58"/>
      <c r="J123" s="58"/>
    </row>
    <row r="124" spans="1:10" ht="13.5" x14ac:dyDescent="0.25">
      <c r="A124" s="86">
        <f t="shared" si="7"/>
        <v>122</v>
      </c>
      <c r="B124" s="56" t="str">
        <f t="shared" si="6"/>
        <v/>
      </c>
      <c r="C124" s="57"/>
      <c r="D124" s="58"/>
      <c r="E124" s="58"/>
      <c r="F124" s="58"/>
      <c r="G124" s="58"/>
      <c r="H124" s="58"/>
      <c r="I124" s="58"/>
      <c r="J124" s="58"/>
    </row>
    <row r="125" spans="1:10" ht="13.5" x14ac:dyDescent="0.25">
      <c r="A125" s="86">
        <f t="shared" si="7"/>
        <v>123</v>
      </c>
      <c r="B125" s="56" t="str">
        <f t="shared" si="6"/>
        <v/>
      </c>
      <c r="C125" s="57"/>
      <c r="D125" s="58"/>
      <c r="E125" s="58"/>
      <c r="F125" s="58"/>
      <c r="G125" s="58"/>
      <c r="H125" s="58"/>
      <c r="I125" s="58"/>
      <c r="J125" s="58"/>
    </row>
    <row r="126" spans="1:10" ht="13.5" x14ac:dyDescent="0.25">
      <c r="A126" s="86">
        <f t="shared" si="7"/>
        <v>124</v>
      </c>
      <c r="B126" s="56" t="str">
        <f t="shared" si="6"/>
        <v/>
      </c>
      <c r="C126" s="57"/>
      <c r="D126" s="58"/>
      <c r="E126" s="58"/>
      <c r="F126" s="58"/>
      <c r="G126" s="58"/>
      <c r="H126" s="58"/>
      <c r="I126" s="58"/>
      <c r="J126" s="58"/>
    </row>
    <row r="127" spans="1:10" ht="13.5" x14ac:dyDescent="0.25">
      <c r="A127" s="86">
        <f t="shared" si="7"/>
        <v>125</v>
      </c>
      <c r="B127" s="56" t="str">
        <f t="shared" si="6"/>
        <v/>
      </c>
      <c r="C127" s="57"/>
      <c r="D127" s="58"/>
      <c r="E127" s="58"/>
      <c r="F127" s="58"/>
      <c r="G127" s="58"/>
      <c r="H127" s="58"/>
      <c r="I127" s="58"/>
      <c r="J127" s="58"/>
    </row>
    <row r="128" spans="1:10" ht="13.5" x14ac:dyDescent="0.25">
      <c r="A128" s="86">
        <f t="shared" si="7"/>
        <v>126</v>
      </c>
      <c r="B128" s="56" t="str">
        <f t="shared" si="6"/>
        <v/>
      </c>
      <c r="C128" s="57"/>
      <c r="D128" s="58"/>
      <c r="E128" s="58"/>
      <c r="F128" s="58"/>
      <c r="G128" s="58"/>
      <c r="H128" s="58"/>
      <c r="I128" s="58"/>
      <c r="J128" s="58"/>
    </row>
    <row r="129" spans="1:10" ht="13.5" x14ac:dyDescent="0.25">
      <c r="A129" s="86">
        <f t="shared" si="7"/>
        <v>127</v>
      </c>
      <c r="B129" s="56" t="str">
        <f t="shared" si="6"/>
        <v/>
      </c>
      <c r="C129" s="57"/>
      <c r="D129" s="58"/>
      <c r="E129" s="58"/>
      <c r="F129" s="58"/>
      <c r="G129" s="58"/>
      <c r="H129" s="58"/>
      <c r="I129" s="58"/>
      <c r="J129" s="58"/>
    </row>
    <row r="130" spans="1:10" ht="13.5" x14ac:dyDescent="0.25">
      <c r="A130" s="86">
        <f t="shared" si="7"/>
        <v>128</v>
      </c>
      <c r="B130" s="56" t="str">
        <f t="shared" si="6"/>
        <v/>
      </c>
      <c r="C130" s="57"/>
      <c r="D130" s="58"/>
      <c r="E130" s="58"/>
      <c r="F130" s="58"/>
      <c r="G130" s="58"/>
      <c r="H130" s="58"/>
      <c r="I130" s="58"/>
      <c r="J130" s="58"/>
    </row>
    <row r="131" spans="1:10" ht="13.5" x14ac:dyDescent="0.25">
      <c r="A131" s="86">
        <f t="shared" si="7"/>
        <v>129</v>
      </c>
      <c r="B131" s="56" t="str">
        <f t="shared" si="6"/>
        <v/>
      </c>
      <c r="C131" s="57"/>
      <c r="D131" s="58"/>
      <c r="E131" s="58"/>
      <c r="F131" s="58"/>
      <c r="G131" s="58"/>
      <c r="H131" s="58"/>
      <c r="I131" s="58"/>
      <c r="J131" s="58"/>
    </row>
    <row r="132" spans="1:10" ht="13.5" x14ac:dyDescent="0.25">
      <c r="A132" s="86">
        <f t="shared" si="7"/>
        <v>130</v>
      </c>
      <c r="B132" s="56" t="str">
        <f t="shared" ref="B132:B195" si="8">IF(D132="","",D132&amp;", "&amp;E132)</f>
        <v/>
      </c>
      <c r="C132" s="57"/>
      <c r="D132" s="58"/>
      <c r="E132" s="58"/>
      <c r="F132" s="58"/>
      <c r="G132" s="58"/>
      <c r="H132" s="58"/>
      <c r="I132" s="58"/>
      <c r="J132" s="58"/>
    </row>
    <row r="133" spans="1:10" ht="13.5" x14ac:dyDescent="0.25">
      <c r="A133" s="86">
        <f t="shared" si="7"/>
        <v>131</v>
      </c>
      <c r="B133" s="56" t="str">
        <f t="shared" si="8"/>
        <v/>
      </c>
      <c r="C133" s="57"/>
      <c r="D133" s="58"/>
      <c r="E133" s="58"/>
      <c r="F133" s="58"/>
      <c r="G133" s="58"/>
      <c r="H133" s="58"/>
      <c r="I133" s="58"/>
      <c r="J133" s="58"/>
    </row>
    <row r="134" spans="1:10" ht="13.5" x14ac:dyDescent="0.25">
      <c r="A134" s="86">
        <f t="shared" si="7"/>
        <v>132</v>
      </c>
      <c r="B134" s="56" t="str">
        <f t="shared" si="8"/>
        <v/>
      </c>
      <c r="C134" s="57"/>
      <c r="D134" s="58"/>
      <c r="E134" s="58"/>
      <c r="F134" s="58"/>
      <c r="G134" s="58"/>
      <c r="H134" s="58"/>
      <c r="I134" s="58"/>
      <c r="J134" s="58"/>
    </row>
    <row r="135" spans="1:10" ht="13.5" x14ac:dyDescent="0.25">
      <c r="A135" s="86">
        <f t="shared" si="7"/>
        <v>133</v>
      </c>
      <c r="B135" s="56" t="str">
        <f t="shared" si="8"/>
        <v/>
      </c>
      <c r="C135" s="57"/>
      <c r="D135" s="58"/>
      <c r="E135" s="58"/>
      <c r="F135" s="58"/>
      <c r="G135" s="58"/>
      <c r="H135" s="58"/>
      <c r="I135" s="58"/>
      <c r="J135" s="58"/>
    </row>
    <row r="136" spans="1:10" ht="13.5" x14ac:dyDescent="0.25">
      <c r="A136" s="86">
        <f t="shared" si="7"/>
        <v>134</v>
      </c>
      <c r="B136" s="56" t="str">
        <f t="shared" si="8"/>
        <v/>
      </c>
      <c r="C136" s="57"/>
      <c r="D136" s="58"/>
      <c r="E136" s="58"/>
      <c r="F136" s="58"/>
      <c r="G136" s="58"/>
      <c r="H136" s="58"/>
      <c r="I136" s="58"/>
      <c r="J136" s="58"/>
    </row>
    <row r="137" spans="1:10" ht="13.5" x14ac:dyDescent="0.25">
      <c r="A137" s="86">
        <f t="shared" si="7"/>
        <v>135</v>
      </c>
      <c r="B137" s="56" t="str">
        <f t="shared" si="8"/>
        <v/>
      </c>
      <c r="C137" s="57"/>
      <c r="D137" s="58"/>
      <c r="E137" s="58"/>
      <c r="F137" s="58"/>
      <c r="G137" s="58"/>
      <c r="H137" s="58"/>
      <c r="I137" s="58"/>
      <c r="J137" s="58"/>
    </row>
    <row r="138" spans="1:10" ht="13.5" x14ac:dyDescent="0.25">
      <c r="A138" s="86">
        <f t="shared" si="7"/>
        <v>136</v>
      </c>
      <c r="B138" s="56" t="str">
        <f t="shared" si="8"/>
        <v/>
      </c>
      <c r="C138" s="57"/>
      <c r="D138" s="58"/>
      <c r="E138" s="58"/>
      <c r="F138" s="58"/>
      <c r="G138" s="58"/>
      <c r="H138" s="58"/>
      <c r="I138" s="58"/>
      <c r="J138" s="58"/>
    </row>
    <row r="139" spans="1:10" ht="13.5" x14ac:dyDescent="0.25">
      <c r="A139" s="86">
        <f t="shared" si="7"/>
        <v>137</v>
      </c>
      <c r="B139" s="56" t="str">
        <f t="shared" si="8"/>
        <v/>
      </c>
      <c r="C139" s="57"/>
      <c r="D139" s="58"/>
      <c r="E139" s="58"/>
      <c r="F139" s="58"/>
      <c r="G139" s="58"/>
      <c r="H139" s="58"/>
      <c r="I139" s="58"/>
      <c r="J139" s="58"/>
    </row>
    <row r="140" spans="1:10" ht="13.5" x14ac:dyDescent="0.25">
      <c r="A140" s="86">
        <f t="shared" si="7"/>
        <v>138</v>
      </c>
      <c r="B140" s="56" t="str">
        <f t="shared" si="8"/>
        <v/>
      </c>
      <c r="C140" s="57"/>
      <c r="D140" s="58"/>
      <c r="E140" s="58"/>
      <c r="F140" s="58"/>
      <c r="G140" s="58"/>
      <c r="H140" s="58"/>
      <c r="I140" s="58"/>
      <c r="J140" s="58"/>
    </row>
    <row r="141" spans="1:10" ht="13.5" x14ac:dyDescent="0.25">
      <c r="A141" s="86">
        <f t="shared" si="7"/>
        <v>139</v>
      </c>
      <c r="B141" s="56" t="str">
        <f t="shared" si="8"/>
        <v/>
      </c>
      <c r="C141" s="57"/>
      <c r="D141" s="58"/>
      <c r="E141" s="58"/>
      <c r="F141" s="58"/>
      <c r="G141" s="58"/>
      <c r="H141" s="58"/>
      <c r="I141" s="58"/>
      <c r="J141" s="58"/>
    </row>
    <row r="142" spans="1:10" ht="13.5" x14ac:dyDescent="0.25">
      <c r="A142" s="86">
        <f t="shared" si="7"/>
        <v>140</v>
      </c>
      <c r="B142" s="56" t="str">
        <f t="shared" si="8"/>
        <v/>
      </c>
      <c r="C142" s="57"/>
      <c r="D142" s="58"/>
      <c r="E142" s="58"/>
      <c r="F142" s="58"/>
      <c r="G142" s="58"/>
      <c r="H142" s="58"/>
      <c r="I142" s="58"/>
      <c r="J142" s="58"/>
    </row>
    <row r="143" spans="1:10" ht="13.5" x14ac:dyDescent="0.25">
      <c r="A143" s="86">
        <f t="shared" si="7"/>
        <v>141</v>
      </c>
      <c r="B143" s="56" t="str">
        <f t="shared" si="8"/>
        <v/>
      </c>
      <c r="C143" s="57"/>
      <c r="D143" s="58"/>
      <c r="E143" s="58"/>
      <c r="F143" s="58"/>
      <c r="G143" s="58"/>
      <c r="H143" s="58"/>
      <c r="I143" s="58"/>
      <c r="J143" s="58"/>
    </row>
    <row r="144" spans="1:10" ht="13.5" x14ac:dyDescent="0.25">
      <c r="A144" s="86">
        <f t="shared" si="7"/>
        <v>142</v>
      </c>
      <c r="B144" s="56" t="str">
        <f t="shared" si="8"/>
        <v/>
      </c>
      <c r="C144" s="57"/>
      <c r="D144" s="58"/>
      <c r="E144" s="58"/>
      <c r="F144" s="58"/>
      <c r="G144" s="58"/>
      <c r="H144" s="58"/>
      <c r="I144" s="58"/>
      <c r="J144" s="58"/>
    </row>
    <row r="145" spans="1:10" ht="13.5" x14ac:dyDescent="0.25">
      <c r="A145" s="86">
        <f t="shared" si="7"/>
        <v>143</v>
      </c>
      <c r="B145" s="56" t="str">
        <f t="shared" si="8"/>
        <v/>
      </c>
      <c r="C145" s="57"/>
      <c r="D145" s="58"/>
      <c r="E145" s="58"/>
      <c r="F145" s="58"/>
      <c r="G145" s="58"/>
      <c r="H145" s="58"/>
      <c r="I145" s="58"/>
      <c r="J145" s="58"/>
    </row>
    <row r="146" spans="1:10" ht="13.5" x14ac:dyDescent="0.25">
      <c r="A146" s="86">
        <f t="shared" si="7"/>
        <v>144</v>
      </c>
      <c r="B146" s="56" t="str">
        <f t="shared" si="8"/>
        <v/>
      </c>
      <c r="C146" s="57"/>
      <c r="D146" s="58"/>
      <c r="E146" s="58"/>
      <c r="F146" s="58"/>
      <c r="G146" s="58"/>
      <c r="H146" s="58"/>
      <c r="I146" s="58"/>
      <c r="J146" s="58"/>
    </row>
    <row r="147" spans="1:10" ht="13.5" x14ac:dyDescent="0.25">
      <c r="A147" s="86">
        <f t="shared" si="7"/>
        <v>145</v>
      </c>
      <c r="B147" s="56" t="str">
        <f t="shared" si="8"/>
        <v/>
      </c>
      <c r="C147" s="57"/>
      <c r="D147" s="58"/>
      <c r="E147" s="58"/>
      <c r="F147" s="58"/>
      <c r="G147" s="58"/>
      <c r="H147" s="58"/>
      <c r="I147" s="58"/>
      <c r="J147" s="58"/>
    </row>
    <row r="148" spans="1:10" ht="13.5" x14ac:dyDescent="0.25">
      <c r="A148" s="86">
        <f t="shared" si="7"/>
        <v>146</v>
      </c>
      <c r="B148" s="56" t="str">
        <f t="shared" si="8"/>
        <v/>
      </c>
      <c r="C148" s="57"/>
      <c r="D148" s="58"/>
      <c r="E148" s="58"/>
      <c r="F148" s="58"/>
      <c r="G148" s="58"/>
      <c r="H148" s="58"/>
      <c r="I148" s="58"/>
      <c r="J148" s="58"/>
    </row>
    <row r="149" spans="1:10" ht="13.5" x14ac:dyDescent="0.25">
      <c r="A149" s="86">
        <f t="shared" si="7"/>
        <v>147</v>
      </c>
      <c r="B149" s="56" t="str">
        <f t="shared" si="8"/>
        <v/>
      </c>
      <c r="C149" s="57"/>
      <c r="D149" s="58"/>
      <c r="E149" s="58"/>
      <c r="F149" s="58"/>
      <c r="G149" s="58"/>
      <c r="H149" s="58"/>
      <c r="I149" s="58"/>
      <c r="J149" s="58"/>
    </row>
    <row r="150" spans="1:10" ht="13.5" x14ac:dyDescent="0.25">
      <c r="A150" s="86">
        <f t="shared" si="7"/>
        <v>148</v>
      </c>
      <c r="B150" s="56" t="str">
        <f t="shared" si="8"/>
        <v/>
      </c>
      <c r="C150" s="57"/>
      <c r="D150" s="58"/>
      <c r="E150" s="58"/>
      <c r="F150" s="58"/>
      <c r="G150" s="58"/>
      <c r="H150" s="58"/>
      <c r="I150" s="58"/>
      <c r="J150" s="58"/>
    </row>
    <row r="151" spans="1:10" ht="13.5" x14ac:dyDescent="0.25">
      <c r="A151" s="86">
        <f t="shared" si="7"/>
        <v>149</v>
      </c>
      <c r="B151" s="56" t="str">
        <f t="shared" si="8"/>
        <v/>
      </c>
      <c r="C151" s="57"/>
      <c r="D151" s="58"/>
      <c r="E151" s="58"/>
      <c r="F151" s="58"/>
      <c r="G151" s="58"/>
      <c r="H151" s="58"/>
      <c r="I151" s="58"/>
      <c r="J151" s="58"/>
    </row>
    <row r="152" spans="1:10" ht="13.5" x14ac:dyDescent="0.25">
      <c r="A152" s="86">
        <f t="shared" si="7"/>
        <v>150</v>
      </c>
      <c r="B152" s="56" t="str">
        <f t="shared" si="8"/>
        <v/>
      </c>
      <c r="C152" s="57"/>
      <c r="D152" s="58"/>
      <c r="E152" s="58"/>
      <c r="F152" s="58"/>
      <c r="G152" s="58"/>
      <c r="H152" s="58"/>
      <c r="I152" s="58"/>
      <c r="J152" s="58"/>
    </row>
    <row r="153" spans="1:10" ht="13.5" x14ac:dyDescent="0.25">
      <c r="A153" s="86">
        <f t="shared" si="7"/>
        <v>151</v>
      </c>
      <c r="B153" s="56" t="str">
        <f t="shared" si="8"/>
        <v/>
      </c>
      <c r="C153" s="57"/>
      <c r="D153" s="58"/>
      <c r="E153" s="58"/>
      <c r="F153" s="58"/>
      <c r="G153" s="58"/>
      <c r="H153" s="58"/>
      <c r="I153" s="58"/>
      <c r="J153" s="58"/>
    </row>
    <row r="154" spans="1:10" ht="13.5" x14ac:dyDescent="0.25">
      <c r="A154" s="86">
        <f t="shared" si="7"/>
        <v>152</v>
      </c>
      <c r="B154" s="56" t="str">
        <f t="shared" si="8"/>
        <v/>
      </c>
      <c r="C154" s="57"/>
      <c r="D154" s="58"/>
      <c r="E154" s="58"/>
      <c r="F154" s="58"/>
      <c r="G154" s="58"/>
      <c r="H154" s="58"/>
      <c r="I154" s="58"/>
      <c r="J154" s="58"/>
    </row>
    <row r="155" spans="1:10" ht="13.5" x14ac:dyDescent="0.25">
      <c r="A155" s="86">
        <f t="shared" si="7"/>
        <v>153</v>
      </c>
      <c r="B155" s="56" t="str">
        <f t="shared" si="8"/>
        <v/>
      </c>
      <c r="C155" s="57"/>
      <c r="D155" s="58"/>
      <c r="E155" s="58"/>
      <c r="F155" s="58"/>
      <c r="G155" s="58"/>
      <c r="H155" s="58"/>
      <c r="I155" s="58"/>
      <c r="J155" s="58"/>
    </row>
    <row r="156" spans="1:10" ht="13.5" x14ac:dyDescent="0.25">
      <c r="A156" s="86">
        <f t="shared" si="7"/>
        <v>154</v>
      </c>
      <c r="B156" s="56" t="str">
        <f t="shared" si="8"/>
        <v/>
      </c>
      <c r="C156" s="57"/>
      <c r="D156" s="58"/>
      <c r="E156" s="58"/>
      <c r="F156" s="58"/>
      <c r="G156" s="58"/>
      <c r="H156" s="58"/>
      <c r="I156" s="58"/>
      <c r="J156" s="58"/>
    </row>
    <row r="157" spans="1:10" ht="13.5" x14ac:dyDescent="0.25">
      <c r="A157" s="86">
        <f t="shared" si="7"/>
        <v>155</v>
      </c>
      <c r="B157" s="56" t="str">
        <f t="shared" si="8"/>
        <v/>
      </c>
      <c r="C157" s="57"/>
      <c r="D157" s="58"/>
      <c r="E157" s="58"/>
      <c r="F157" s="58"/>
      <c r="G157" s="58"/>
      <c r="H157" s="58"/>
      <c r="I157" s="58"/>
      <c r="J157" s="58"/>
    </row>
    <row r="158" spans="1:10" ht="13.5" x14ac:dyDescent="0.25">
      <c r="A158" s="86">
        <f t="shared" si="7"/>
        <v>156</v>
      </c>
      <c r="B158" s="56" t="str">
        <f t="shared" si="8"/>
        <v/>
      </c>
      <c r="C158" s="57"/>
      <c r="D158" s="58"/>
      <c r="E158" s="58"/>
      <c r="F158" s="58"/>
      <c r="G158" s="58"/>
      <c r="H158" s="58"/>
      <c r="I158" s="58"/>
      <c r="J158" s="58"/>
    </row>
    <row r="159" spans="1:10" ht="13.5" x14ac:dyDescent="0.25">
      <c r="A159" s="86">
        <f t="shared" si="7"/>
        <v>157</v>
      </c>
      <c r="B159" s="56" t="str">
        <f t="shared" si="8"/>
        <v/>
      </c>
      <c r="C159" s="57"/>
      <c r="D159" s="58"/>
      <c r="E159" s="58"/>
      <c r="F159" s="58"/>
      <c r="G159" s="58"/>
      <c r="H159" s="58"/>
      <c r="I159" s="58"/>
      <c r="J159" s="58"/>
    </row>
    <row r="160" spans="1:10" ht="13.5" x14ac:dyDescent="0.25">
      <c r="A160" s="86">
        <f t="shared" si="7"/>
        <v>158</v>
      </c>
      <c r="B160" s="56" t="str">
        <f t="shared" si="8"/>
        <v/>
      </c>
      <c r="C160" s="57"/>
      <c r="D160" s="58"/>
      <c r="E160" s="58"/>
      <c r="F160" s="58"/>
      <c r="G160" s="58"/>
      <c r="H160" s="58"/>
      <c r="I160" s="58"/>
      <c r="J160" s="58"/>
    </row>
    <row r="161" spans="1:10" ht="13.5" x14ac:dyDescent="0.25">
      <c r="A161" s="86">
        <f t="shared" si="7"/>
        <v>159</v>
      </c>
      <c r="B161" s="56" t="str">
        <f t="shared" si="8"/>
        <v/>
      </c>
      <c r="C161" s="57"/>
      <c r="D161" s="58"/>
      <c r="E161" s="58"/>
      <c r="F161" s="58"/>
      <c r="G161" s="58"/>
      <c r="H161" s="58"/>
      <c r="I161" s="58"/>
      <c r="J161" s="58"/>
    </row>
    <row r="162" spans="1:10" ht="13.5" x14ac:dyDescent="0.25">
      <c r="A162" s="86">
        <f t="shared" si="7"/>
        <v>160</v>
      </c>
      <c r="B162" s="56" t="str">
        <f t="shared" si="8"/>
        <v/>
      </c>
      <c r="C162" s="57"/>
      <c r="D162" s="58"/>
      <c r="E162" s="58"/>
      <c r="F162" s="58"/>
      <c r="G162" s="58"/>
      <c r="H162" s="58"/>
      <c r="I162" s="58"/>
      <c r="J162" s="58"/>
    </row>
    <row r="163" spans="1:10" ht="13.5" x14ac:dyDescent="0.25">
      <c r="A163" s="86">
        <f t="shared" si="7"/>
        <v>161</v>
      </c>
      <c r="B163" s="56" t="str">
        <f t="shared" si="8"/>
        <v/>
      </c>
      <c r="C163" s="57"/>
      <c r="D163" s="58"/>
      <c r="E163" s="58"/>
      <c r="F163" s="58"/>
      <c r="G163" s="58"/>
      <c r="H163" s="58"/>
      <c r="I163" s="58"/>
      <c r="J163" s="58"/>
    </row>
    <row r="164" spans="1:10" ht="13.5" x14ac:dyDescent="0.25">
      <c r="A164" s="86">
        <f t="shared" si="7"/>
        <v>162</v>
      </c>
      <c r="B164" s="56" t="str">
        <f t="shared" si="8"/>
        <v/>
      </c>
      <c r="C164" s="57"/>
      <c r="D164" s="58"/>
      <c r="E164" s="58"/>
      <c r="F164" s="58"/>
      <c r="G164" s="58"/>
      <c r="H164" s="58"/>
      <c r="I164" s="58"/>
      <c r="J164" s="58"/>
    </row>
    <row r="165" spans="1:10" ht="13.5" x14ac:dyDescent="0.25">
      <c r="A165" s="86">
        <f t="shared" si="7"/>
        <v>163</v>
      </c>
      <c r="B165" s="56" t="str">
        <f t="shared" si="8"/>
        <v/>
      </c>
      <c r="C165" s="57"/>
      <c r="D165" s="58"/>
      <c r="E165" s="58"/>
      <c r="F165" s="58"/>
      <c r="G165" s="58"/>
      <c r="H165" s="58"/>
      <c r="I165" s="58"/>
      <c r="J165" s="58"/>
    </row>
    <row r="166" spans="1:10" ht="13.5" x14ac:dyDescent="0.25">
      <c r="A166" s="86">
        <f t="shared" ref="A166:A202" si="9">+A165+1</f>
        <v>164</v>
      </c>
      <c r="B166" s="56" t="str">
        <f t="shared" si="8"/>
        <v/>
      </c>
      <c r="C166" s="57"/>
      <c r="D166" s="58"/>
      <c r="E166" s="58"/>
      <c r="F166" s="58"/>
      <c r="G166" s="58"/>
      <c r="H166" s="58"/>
      <c r="I166" s="58"/>
      <c r="J166" s="58"/>
    </row>
    <row r="167" spans="1:10" ht="13.5" x14ac:dyDescent="0.25">
      <c r="A167" s="86">
        <f t="shared" si="9"/>
        <v>165</v>
      </c>
      <c r="B167" s="56" t="str">
        <f t="shared" si="8"/>
        <v/>
      </c>
      <c r="C167" s="57"/>
      <c r="D167" s="58"/>
      <c r="E167" s="58"/>
      <c r="F167" s="58"/>
      <c r="G167" s="58"/>
      <c r="H167" s="58"/>
      <c r="I167" s="58"/>
      <c r="J167" s="58"/>
    </row>
    <row r="168" spans="1:10" ht="13.5" x14ac:dyDescent="0.25">
      <c r="A168" s="86">
        <f t="shared" si="9"/>
        <v>166</v>
      </c>
      <c r="B168" s="56" t="str">
        <f t="shared" si="8"/>
        <v/>
      </c>
      <c r="C168" s="57"/>
      <c r="D168" s="58"/>
      <c r="E168" s="58"/>
      <c r="F168" s="58"/>
      <c r="G168" s="58"/>
      <c r="H168" s="58"/>
      <c r="I168" s="58"/>
      <c r="J168" s="58"/>
    </row>
    <row r="169" spans="1:10" ht="13.5" x14ac:dyDescent="0.25">
      <c r="A169" s="86">
        <f t="shared" si="9"/>
        <v>167</v>
      </c>
      <c r="B169" s="56" t="str">
        <f t="shared" si="8"/>
        <v/>
      </c>
      <c r="C169" s="57"/>
      <c r="D169" s="58"/>
      <c r="E169" s="58"/>
      <c r="F169" s="58"/>
      <c r="G169" s="58"/>
      <c r="H169" s="58"/>
      <c r="I169" s="58"/>
      <c r="J169" s="58"/>
    </row>
    <row r="170" spans="1:10" ht="13.5" x14ac:dyDescent="0.25">
      <c r="A170" s="86">
        <f t="shared" si="9"/>
        <v>168</v>
      </c>
      <c r="B170" s="56" t="str">
        <f t="shared" si="8"/>
        <v/>
      </c>
      <c r="C170" s="57"/>
      <c r="D170" s="58"/>
      <c r="E170" s="58"/>
      <c r="F170" s="58"/>
      <c r="G170" s="58"/>
      <c r="H170" s="58"/>
      <c r="I170" s="58"/>
      <c r="J170" s="58"/>
    </row>
    <row r="171" spans="1:10" ht="13.5" x14ac:dyDescent="0.25">
      <c r="A171" s="86">
        <f t="shared" si="9"/>
        <v>169</v>
      </c>
      <c r="B171" s="56" t="str">
        <f t="shared" si="8"/>
        <v/>
      </c>
      <c r="C171" s="57"/>
      <c r="D171" s="58"/>
      <c r="E171" s="58"/>
      <c r="F171" s="58"/>
      <c r="G171" s="58"/>
      <c r="H171" s="58"/>
      <c r="I171" s="58"/>
      <c r="J171" s="58"/>
    </row>
    <row r="172" spans="1:10" ht="13.5" x14ac:dyDescent="0.25">
      <c r="A172" s="86">
        <f t="shared" si="9"/>
        <v>170</v>
      </c>
      <c r="B172" s="56" t="str">
        <f t="shared" si="8"/>
        <v/>
      </c>
      <c r="C172" s="57"/>
      <c r="D172" s="58"/>
      <c r="E172" s="58"/>
      <c r="F172" s="58"/>
      <c r="G172" s="58"/>
      <c r="H172" s="58"/>
      <c r="I172" s="58"/>
      <c r="J172" s="58"/>
    </row>
    <row r="173" spans="1:10" ht="13.5" x14ac:dyDescent="0.25">
      <c r="A173" s="86">
        <f t="shared" si="9"/>
        <v>171</v>
      </c>
      <c r="B173" s="56" t="str">
        <f t="shared" si="8"/>
        <v/>
      </c>
      <c r="C173" s="57"/>
      <c r="D173" s="58"/>
      <c r="E173" s="58"/>
      <c r="F173" s="58"/>
      <c r="G173" s="58"/>
      <c r="H173" s="58"/>
      <c r="I173" s="58"/>
      <c r="J173" s="58"/>
    </row>
    <row r="174" spans="1:10" ht="13.5" x14ac:dyDescent="0.25">
      <c r="A174" s="86">
        <f t="shared" si="9"/>
        <v>172</v>
      </c>
      <c r="B174" s="56" t="str">
        <f t="shared" si="8"/>
        <v/>
      </c>
      <c r="C174" s="57"/>
      <c r="D174" s="58"/>
      <c r="E174" s="58"/>
      <c r="F174" s="58"/>
      <c r="G174" s="58"/>
      <c r="H174" s="58"/>
      <c r="I174" s="58"/>
      <c r="J174" s="58"/>
    </row>
    <row r="175" spans="1:10" ht="13.5" x14ac:dyDescent="0.25">
      <c r="A175" s="86">
        <f t="shared" si="9"/>
        <v>173</v>
      </c>
      <c r="B175" s="56" t="str">
        <f t="shared" si="8"/>
        <v/>
      </c>
      <c r="C175" s="57"/>
      <c r="D175" s="58"/>
      <c r="E175" s="58"/>
      <c r="F175" s="58"/>
      <c r="G175" s="58"/>
      <c r="H175" s="58"/>
      <c r="I175" s="58"/>
      <c r="J175" s="58"/>
    </row>
    <row r="176" spans="1:10" ht="13.5" x14ac:dyDescent="0.25">
      <c r="A176" s="86">
        <f t="shared" si="9"/>
        <v>174</v>
      </c>
      <c r="B176" s="56" t="str">
        <f t="shared" si="8"/>
        <v/>
      </c>
      <c r="C176" s="57"/>
      <c r="D176" s="58"/>
      <c r="E176" s="58"/>
      <c r="F176" s="58"/>
      <c r="G176" s="58"/>
      <c r="H176" s="58"/>
      <c r="I176" s="58"/>
      <c r="J176" s="58"/>
    </row>
    <row r="177" spans="1:10" ht="13.5" x14ac:dyDescent="0.25">
      <c r="A177" s="86">
        <f t="shared" si="9"/>
        <v>175</v>
      </c>
      <c r="B177" s="56" t="str">
        <f t="shared" si="8"/>
        <v/>
      </c>
      <c r="C177" s="57"/>
      <c r="D177" s="58"/>
      <c r="E177" s="58"/>
      <c r="F177" s="58"/>
      <c r="G177" s="58"/>
      <c r="H177" s="58"/>
      <c r="I177" s="58"/>
      <c r="J177" s="58"/>
    </row>
    <row r="178" spans="1:10" ht="13.5" x14ac:dyDescent="0.25">
      <c r="A178" s="86">
        <f t="shared" si="9"/>
        <v>176</v>
      </c>
      <c r="B178" s="56" t="str">
        <f t="shared" si="8"/>
        <v/>
      </c>
      <c r="C178" s="57"/>
      <c r="D178" s="58"/>
      <c r="E178" s="58"/>
      <c r="F178" s="58"/>
      <c r="G178" s="58"/>
      <c r="H178" s="58"/>
      <c r="I178" s="58"/>
      <c r="J178" s="58"/>
    </row>
    <row r="179" spans="1:10" ht="13.5" x14ac:dyDescent="0.25">
      <c r="A179" s="86">
        <f t="shared" si="9"/>
        <v>177</v>
      </c>
      <c r="B179" s="56" t="str">
        <f t="shared" si="8"/>
        <v/>
      </c>
      <c r="C179" s="57"/>
      <c r="D179" s="58"/>
      <c r="E179" s="58"/>
      <c r="F179" s="58"/>
      <c r="G179" s="58"/>
      <c r="H179" s="58"/>
      <c r="I179" s="58"/>
      <c r="J179" s="58"/>
    </row>
    <row r="180" spans="1:10" ht="13.5" x14ac:dyDescent="0.25">
      <c r="A180" s="86">
        <f t="shared" si="9"/>
        <v>178</v>
      </c>
      <c r="B180" s="56" t="str">
        <f t="shared" si="8"/>
        <v/>
      </c>
      <c r="C180" s="57"/>
      <c r="D180" s="58"/>
      <c r="E180" s="58"/>
      <c r="F180" s="58"/>
      <c r="G180" s="58"/>
      <c r="H180" s="58"/>
      <c r="I180" s="58"/>
      <c r="J180" s="58"/>
    </row>
    <row r="181" spans="1:10" ht="13.5" x14ac:dyDescent="0.25">
      <c r="A181" s="86">
        <f t="shared" si="9"/>
        <v>179</v>
      </c>
      <c r="B181" s="56" t="str">
        <f t="shared" si="8"/>
        <v/>
      </c>
      <c r="C181" s="57"/>
      <c r="D181" s="58"/>
      <c r="E181" s="58"/>
      <c r="F181" s="58"/>
      <c r="G181" s="58"/>
      <c r="H181" s="58"/>
      <c r="I181" s="58"/>
      <c r="J181" s="58"/>
    </row>
    <row r="182" spans="1:10" ht="13.5" x14ac:dyDescent="0.25">
      <c r="A182" s="86">
        <f t="shared" si="9"/>
        <v>180</v>
      </c>
      <c r="B182" s="56" t="str">
        <f t="shared" si="8"/>
        <v/>
      </c>
      <c r="C182" s="57"/>
      <c r="D182" s="58"/>
      <c r="E182" s="58"/>
      <c r="F182" s="58"/>
      <c r="G182" s="58"/>
      <c r="H182" s="58"/>
      <c r="I182" s="58"/>
      <c r="J182" s="58"/>
    </row>
    <row r="183" spans="1:10" ht="13.5" x14ac:dyDescent="0.25">
      <c r="A183" s="86">
        <f t="shared" si="9"/>
        <v>181</v>
      </c>
      <c r="B183" s="56" t="str">
        <f t="shared" si="8"/>
        <v/>
      </c>
      <c r="C183" s="57"/>
      <c r="D183" s="58"/>
      <c r="E183" s="58"/>
      <c r="F183" s="58"/>
      <c r="G183" s="58"/>
      <c r="H183" s="58"/>
      <c r="I183" s="58"/>
      <c r="J183" s="58"/>
    </row>
    <row r="184" spans="1:10" ht="13.5" x14ac:dyDescent="0.25">
      <c r="A184" s="86">
        <f t="shared" si="9"/>
        <v>182</v>
      </c>
      <c r="B184" s="56" t="str">
        <f t="shared" si="8"/>
        <v/>
      </c>
      <c r="C184" s="57"/>
      <c r="D184" s="58"/>
      <c r="E184" s="58"/>
      <c r="F184" s="58"/>
      <c r="G184" s="58"/>
      <c r="H184" s="58"/>
      <c r="I184" s="58"/>
      <c r="J184" s="58"/>
    </row>
    <row r="185" spans="1:10" ht="13.5" x14ac:dyDescent="0.25">
      <c r="A185" s="86">
        <f t="shared" si="9"/>
        <v>183</v>
      </c>
      <c r="B185" s="56" t="str">
        <f t="shared" si="8"/>
        <v/>
      </c>
      <c r="C185" s="57"/>
      <c r="D185" s="58"/>
      <c r="E185" s="58"/>
      <c r="F185" s="58"/>
      <c r="G185" s="58"/>
      <c r="H185" s="58"/>
      <c r="I185" s="58"/>
      <c r="J185" s="58"/>
    </row>
    <row r="186" spans="1:10" ht="13.5" x14ac:dyDescent="0.25">
      <c r="A186" s="86">
        <f t="shared" si="9"/>
        <v>184</v>
      </c>
      <c r="B186" s="56" t="str">
        <f t="shared" si="8"/>
        <v/>
      </c>
      <c r="C186" s="57"/>
      <c r="D186" s="58"/>
      <c r="E186" s="58"/>
      <c r="F186" s="58"/>
      <c r="G186" s="58"/>
      <c r="H186" s="58"/>
      <c r="I186" s="58"/>
      <c r="J186" s="58"/>
    </row>
    <row r="187" spans="1:10" ht="13.5" x14ac:dyDescent="0.25">
      <c r="A187" s="86">
        <f t="shared" si="9"/>
        <v>185</v>
      </c>
      <c r="B187" s="56" t="str">
        <f t="shared" si="8"/>
        <v/>
      </c>
      <c r="C187" s="57"/>
      <c r="D187" s="58"/>
      <c r="E187" s="58"/>
      <c r="F187" s="58"/>
      <c r="G187" s="58"/>
      <c r="H187" s="58"/>
      <c r="I187" s="58"/>
      <c r="J187" s="58"/>
    </row>
    <row r="188" spans="1:10" ht="13.5" x14ac:dyDescent="0.25">
      <c r="A188" s="86">
        <f t="shared" si="9"/>
        <v>186</v>
      </c>
      <c r="B188" s="56" t="str">
        <f t="shared" si="8"/>
        <v/>
      </c>
      <c r="C188" s="57"/>
      <c r="D188" s="58"/>
      <c r="E188" s="58"/>
      <c r="F188" s="58"/>
      <c r="G188" s="58"/>
      <c r="H188" s="58"/>
      <c r="I188" s="58"/>
      <c r="J188" s="58"/>
    </row>
    <row r="189" spans="1:10" ht="13.5" x14ac:dyDescent="0.25">
      <c r="A189" s="86">
        <f t="shared" si="9"/>
        <v>187</v>
      </c>
      <c r="B189" s="56" t="str">
        <f t="shared" si="8"/>
        <v/>
      </c>
      <c r="C189" s="57"/>
      <c r="D189" s="58"/>
      <c r="E189" s="58"/>
      <c r="F189" s="58"/>
      <c r="G189" s="58"/>
      <c r="H189" s="58"/>
      <c r="I189" s="58"/>
      <c r="J189" s="58"/>
    </row>
    <row r="190" spans="1:10" ht="13.5" x14ac:dyDescent="0.25">
      <c r="A190" s="86">
        <f t="shared" si="9"/>
        <v>188</v>
      </c>
      <c r="B190" s="56" t="str">
        <f t="shared" si="8"/>
        <v/>
      </c>
      <c r="C190" s="57"/>
      <c r="D190" s="58"/>
      <c r="E190" s="58"/>
      <c r="F190" s="58"/>
      <c r="G190" s="58"/>
      <c r="H190" s="58"/>
      <c r="I190" s="58"/>
      <c r="J190" s="58"/>
    </row>
    <row r="191" spans="1:10" ht="13.5" x14ac:dyDescent="0.25">
      <c r="A191" s="86">
        <f t="shared" si="9"/>
        <v>189</v>
      </c>
      <c r="B191" s="56" t="str">
        <f t="shared" si="8"/>
        <v/>
      </c>
      <c r="C191" s="57"/>
      <c r="D191" s="58"/>
      <c r="E191" s="58"/>
      <c r="F191" s="58"/>
      <c r="G191" s="58"/>
      <c r="H191" s="58"/>
      <c r="I191" s="58"/>
      <c r="J191" s="58"/>
    </row>
    <row r="192" spans="1:10" ht="13.5" x14ac:dyDescent="0.25">
      <c r="A192" s="86">
        <f t="shared" si="9"/>
        <v>190</v>
      </c>
      <c r="B192" s="56" t="str">
        <f t="shared" si="8"/>
        <v/>
      </c>
      <c r="C192" s="57"/>
      <c r="D192" s="58"/>
      <c r="E192" s="58"/>
      <c r="F192" s="58"/>
      <c r="G192" s="58"/>
      <c r="H192" s="58"/>
      <c r="I192" s="58"/>
      <c r="J192" s="58"/>
    </row>
    <row r="193" spans="1:10" ht="13.5" x14ac:dyDescent="0.25">
      <c r="A193" s="86">
        <f t="shared" si="9"/>
        <v>191</v>
      </c>
      <c r="B193" s="56" t="str">
        <f t="shared" si="8"/>
        <v/>
      </c>
      <c r="C193" s="57"/>
      <c r="D193" s="58"/>
      <c r="E193" s="58"/>
      <c r="F193" s="58"/>
      <c r="G193" s="58"/>
      <c r="H193" s="58"/>
      <c r="I193" s="58"/>
      <c r="J193" s="58"/>
    </row>
    <row r="194" spans="1:10" ht="13.5" x14ac:dyDescent="0.25">
      <c r="A194" s="86">
        <f t="shared" si="9"/>
        <v>192</v>
      </c>
      <c r="B194" s="56" t="str">
        <f t="shared" si="8"/>
        <v/>
      </c>
      <c r="C194" s="57"/>
      <c r="D194" s="58"/>
      <c r="E194" s="58"/>
      <c r="F194" s="58"/>
      <c r="G194" s="58"/>
      <c r="H194" s="58"/>
      <c r="I194" s="58"/>
      <c r="J194" s="58"/>
    </row>
    <row r="195" spans="1:10" ht="13.5" x14ac:dyDescent="0.25">
      <c r="A195" s="86">
        <f t="shared" si="9"/>
        <v>193</v>
      </c>
      <c r="B195" s="56" t="str">
        <f t="shared" si="8"/>
        <v/>
      </c>
      <c r="C195" s="57"/>
      <c r="D195" s="58"/>
      <c r="E195" s="58"/>
      <c r="F195" s="58"/>
      <c r="G195" s="58"/>
      <c r="H195" s="58"/>
      <c r="I195" s="58"/>
      <c r="J195" s="58"/>
    </row>
    <row r="196" spans="1:10" ht="13.5" x14ac:dyDescent="0.25">
      <c r="A196" s="86">
        <f t="shared" si="9"/>
        <v>194</v>
      </c>
      <c r="B196" s="56" t="str">
        <f t="shared" ref="B196:B202" si="10">IF(D196="","",D196&amp;", "&amp;E196)</f>
        <v/>
      </c>
      <c r="C196" s="57"/>
      <c r="D196" s="58"/>
      <c r="E196" s="58"/>
      <c r="F196" s="58"/>
      <c r="G196" s="58"/>
      <c r="H196" s="58"/>
      <c r="I196" s="58"/>
      <c r="J196" s="58"/>
    </row>
    <row r="197" spans="1:10" ht="13.5" x14ac:dyDescent="0.25">
      <c r="A197" s="86">
        <f t="shared" si="9"/>
        <v>195</v>
      </c>
      <c r="B197" s="56" t="str">
        <f t="shared" si="10"/>
        <v/>
      </c>
      <c r="C197" s="57"/>
      <c r="D197" s="58"/>
      <c r="E197" s="58"/>
      <c r="F197" s="58"/>
      <c r="G197" s="58"/>
      <c r="H197" s="58"/>
      <c r="I197" s="58"/>
      <c r="J197" s="58"/>
    </row>
    <row r="198" spans="1:10" ht="13.5" x14ac:dyDescent="0.25">
      <c r="A198" s="86">
        <f t="shared" si="9"/>
        <v>196</v>
      </c>
      <c r="B198" s="56" t="str">
        <f t="shared" si="10"/>
        <v/>
      </c>
      <c r="C198" s="57"/>
      <c r="D198" s="58"/>
      <c r="E198" s="58"/>
      <c r="F198" s="58"/>
      <c r="G198" s="58"/>
      <c r="H198" s="58"/>
      <c r="I198" s="58"/>
      <c r="J198" s="58"/>
    </row>
    <row r="199" spans="1:10" ht="13.5" x14ac:dyDescent="0.25">
      <c r="A199" s="86">
        <f t="shared" si="9"/>
        <v>197</v>
      </c>
      <c r="B199" s="56" t="str">
        <f t="shared" si="10"/>
        <v/>
      </c>
      <c r="C199" s="57"/>
      <c r="D199" s="58"/>
      <c r="E199" s="58"/>
      <c r="F199" s="58"/>
      <c r="G199" s="58"/>
      <c r="H199" s="58"/>
      <c r="I199" s="58"/>
      <c r="J199" s="58"/>
    </row>
    <row r="200" spans="1:10" ht="13.5" x14ac:dyDescent="0.25">
      <c r="A200" s="86">
        <f t="shared" si="9"/>
        <v>198</v>
      </c>
      <c r="B200" s="56" t="str">
        <f t="shared" si="10"/>
        <v/>
      </c>
      <c r="C200" s="57"/>
      <c r="D200" s="58"/>
      <c r="E200" s="58"/>
      <c r="F200" s="58"/>
      <c r="G200" s="58"/>
      <c r="H200" s="58"/>
      <c r="I200" s="58"/>
      <c r="J200" s="58"/>
    </row>
    <row r="201" spans="1:10" ht="13.5" x14ac:dyDescent="0.25">
      <c r="A201" s="86">
        <f t="shared" si="9"/>
        <v>199</v>
      </c>
      <c r="B201" s="56" t="str">
        <f t="shared" si="10"/>
        <v/>
      </c>
      <c r="C201" s="57"/>
      <c r="D201" s="58"/>
      <c r="E201" s="58"/>
      <c r="F201" s="58"/>
      <c r="G201" s="58"/>
      <c r="H201" s="58"/>
      <c r="I201" s="58"/>
      <c r="J201" s="58"/>
    </row>
    <row r="202" spans="1:10" ht="13.5" x14ac:dyDescent="0.25">
      <c r="A202" s="86">
        <f t="shared" si="9"/>
        <v>200</v>
      </c>
      <c r="B202" s="56" t="str">
        <f t="shared" si="10"/>
        <v/>
      </c>
      <c r="C202" s="57"/>
      <c r="D202" s="58"/>
      <c r="E202" s="58"/>
      <c r="F202" s="58"/>
      <c r="G202" s="58"/>
      <c r="H202" s="58"/>
      <c r="I202" s="58"/>
      <c r="J202" s="58"/>
    </row>
  </sheetData>
  <phoneticPr fontId="4" type="noConversion"/>
  <hyperlinks>
    <hyperlink ref="I7" r:id="rId1" xr:uid="{00000000-0004-0000-0100-000000000000}"/>
    <hyperlink ref="I4" r:id="rId2" xr:uid="{059AC146-2316-42E7-88A3-D639934C5487}"/>
  </hyperlinks>
  <pageMargins left="0.78740157499999996" right="0.78740157499999996" top="0.984251969" bottom="0.984251969" header="0.4921259845" footer="0.4921259845"/>
  <pageSetup paperSize="9"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macro="[2]!SichtenProfileEnde">
                <anchor moveWithCells="1" sizeWithCells="1">
                  <from>
                    <xdr:col>1</xdr:col>
                    <xdr:colOff>38100</xdr:colOff>
                    <xdr:row>0</xdr:row>
                    <xdr:rowOff>66675</xdr:rowOff>
                  </from>
                  <to>
                    <xdr:col>1</xdr:col>
                    <xdr:colOff>1095375</xdr:colOff>
                    <xdr:row>1</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B2:R22"/>
  <sheetViews>
    <sheetView zoomScale="80" zoomScaleNormal="80" workbookViewId="0">
      <selection activeCell="R11" sqref="R11"/>
    </sheetView>
  </sheetViews>
  <sheetFormatPr baseColWidth="10" defaultRowHeight="12.75" x14ac:dyDescent="0.2"/>
  <cols>
    <col min="1" max="1" width="3" style="49" customWidth="1"/>
    <col min="2" max="3" width="10.7109375" style="49" customWidth="1"/>
    <col min="4" max="15" width="6.7109375" style="49" customWidth="1"/>
    <col min="16" max="16384" width="11.42578125" style="49"/>
  </cols>
  <sheetData>
    <row r="2" spans="2:18" ht="18" x14ac:dyDescent="0.25">
      <c r="C2" s="70" t="s">
        <v>4705</v>
      </c>
      <c r="D2" s="48"/>
      <c r="E2" s="48"/>
      <c r="F2" s="48"/>
      <c r="G2" s="48"/>
      <c r="H2" s="48"/>
      <c r="I2" s="48"/>
      <c r="J2" s="48"/>
      <c r="K2" s="48"/>
      <c r="L2" s="48"/>
      <c r="M2" s="48"/>
      <c r="N2" s="48"/>
      <c r="O2" s="48"/>
    </row>
    <row r="3" spans="2:18" x14ac:dyDescent="0.2">
      <c r="C3" s="63" t="s">
        <v>4706</v>
      </c>
      <c r="D3" s="62">
        <v>6</v>
      </c>
      <c r="E3" s="62">
        <v>8</v>
      </c>
      <c r="F3" s="62">
        <v>10</v>
      </c>
      <c r="G3" s="62">
        <v>12</v>
      </c>
      <c r="H3" s="62">
        <v>14</v>
      </c>
      <c r="I3" s="62">
        <v>16</v>
      </c>
      <c r="J3" s="62">
        <v>20</v>
      </c>
      <c r="K3" s="62">
        <v>25</v>
      </c>
      <c r="L3" s="62">
        <v>28</v>
      </c>
      <c r="M3" s="62">
        <v>32</v>
      </c>
      <c r="N3" s="62">
        <v>40</v>
      </c>
      <c r="O3" s="62">
        <v>50</v>
      </c>
    </row>
    <row r="4" spans="2:18" x14ac:dyDescent="0.2">
      <c r="C4" s="63" t="s">
        <v>4067</v>
      </c>
      <c r="D4" s="67">
        <f t="shared" ref="D4:O4" si="0">+(D3/10)^2*PI()/4</f>
        <v>0.28274333882308139</v>
      </c>
      <c r="E4" s="67">
        <f t="shared" si="0"/>
        <v>0.50265482457436694</v>
      </c>
      <c r="F4" s="67">
        <f t="shared" si="0"/>
        <v>0.78539816339744828</v>
      </c>
      <c r="G4" s="67">
        <f t="shared" si="0"/>
        <v>1.1309733552923256</v>
      </c>
      <c r="H4" s="67">
        <f t="shared" si="0"/>
        <v>1.5393804002589984</v>
      </c>
      <c r="I4" s="67">
        <f t="shared" si="0"/>
        <v>2.0106192982974678</v>
      </c>
      <c r="J4" s="67">
        <f t="shared" si="0"/>
        <v>3.1415926535897931</v>
      </c>
      <c r="K4" s="67">
        <f t="shared" si="0"/>
        <v>4.908738521234052</v>
      </c>
      <c r="L4" s="67">
        <f t="shared" si="0"/>
        <v>6.1575216010359934</v>
      </c>
      <c r="M4" s="67">
        <f t="shared" si="0"/>
        <v>8.0424771931898711</v>
      </c>
      <c r="N4" s="67">
        <f t="shared" si="0"/>
        <v>12.566370614359172</v>
      </c>
      <c r="O4" s="67">
        <f t="shared" si="0"/>
        <v>19.634954084936208</v>
      </c>
    </row>
    <row r="5" spans="2:18" x14ac:dyDescent="0.2">
      <c r="C5" s="63" t="s">
        <v>4068</v>
      </c>
      <c r="D5" s="67">
        <f t="shared" ref="D5:O5" si="1">+D4*0.785</f>
        <v>0.2219535209761189</v>
      </c>
      <c r="E5" s="67">
        <f t="shared" si="1"/>
        <v>0.39458403729087804</v>
      </c>
      <c r="F5" s="67">
        <f t="shared" si="1"/>
        <v>0.61653755826699697</v>
      </c>
      <c r="G5" s="67">
        <f t="shared" si="1"/>
        <v>0.88781408390447558</v>
      </c>
      <c r="H5" s="67">
        <f t="shared" si="1"/>
        <v>1.2084136142033137</v>
      </c>
      <c r="I5" s="67">
        <f t="shared" si="1"/>
        <v>1.5783361491635122</v>
      </c>
      <c r="J5" s="67">
        <f t="shared" si="1"/>
        <v>2.4661502330679879</v>
      </c>
      <c r="K5" s="67">
        <f t="shared" si="1"/>
        <v>3.8533597391687309</v>
      </c>
      <c r="L5" s="67">
        <f t="shared" si="1"/>
        <v>4.8336544568132549</v>
      </c>
      <c r="M5" s="67">
        <f t="shared" si="1"/>
        <v>6.3133445966540487</v>
      </c>
      <c r="N5" s="67">
        <f t="shared" si="1"/>
        <v>9.8646009322719515</v>
      </c>
      <c r="O5" s="67">
        <f t="shared" si="1"/>
        <v>15.413438956674923</v>
      </c>
    </row>
    <row r="7" spans="2:18" ht="18" x14ac:dyDescent="0.25">
      <c r="B7" s="70" t="s">
        <v>4069</v>
      </c>
      <c r="C7" s="48"/>
      <c r="D7" s="48"/>
      <c r="E7" s="48"/>
      <c r="F7" s="48"/>
      <c r="G7" s="48"/>
      <c r="H7" s="48"/>
      <c r="I7" s="48"/>
      <c r="J7" s="48"/>
      <c r="K7" s="48"/>
      <c r="Q7" s="70" t="s">
        <v>9017</v>
      </c>
    </row>
    <row r="8" spans="2:18" x14ac:dyDescent="0.2">
      <c r="C8" s="62" t="s">
        <v>4070</v>
      </c>
      <c r="D8" s="62" t="s">
        <v>4071</v>
      </c>
      <c r="E8" s="63" t="s">
        <v>4072</v>
      </c>
      <c r="F8" s="63" t="s">
        <v>1299</v>
      </c>
      <c r="G8" s="63" t="s">
        <v>7575</v>
      </c>
      <c r="H8" s="63" t="s">
        <v>3983</v>
      </c>
      <c r="I8" s="63" t="s">
        <v>3983</v>
      </c>
      <c r="J8" s="63" t="s">
        <v>3984</v>
      </c>
      <c r="K8" s="63" t="s">
        <v>3985</v>
      </c>
      <c r="Q8" s="63" t="s">
        <v>9056</v>
      </c>
      <c r="R8" s="63" t="s">
        <v>9057</v>
      </c>
    </row>
    <row r="9" spans="2:18" x14ac:dyDescent="0.2">
      <c r="C9" s="62"/>
      <c r="D9" s="62" t="s">
        <v>3986</v>
      </c>
      <c r="E9" s="63" t="s">
        <v>3986</v>
      </c>
      <c r="F9" s="63" t="s">
        <v>3987</v>
      </c>
      <c r="G9" s="63" t="s">
        <v>3987</v>
      </c>
      <c r="H9" s="63" t="s">
        <v>3988</v>
      </c>
      <c r="I9" s="63" t="s">
        <v>3989</v>
      </c>
      <c r="J9" s="63" t="s">
        <v>3990</v>
      </c>
      <c r="K9" s="63" t="s">
        <v>3990</v>
      </c>
      <c r="Q9" s="63" t="s">
        <v>9058</v>
      </c>
      <c r="R9" s="63" t="s">
        <v>9058</v>
      </c>
    </row>
    <row r="10" spans="2:18" x14ac:dyDescent="0.2">
      <c r="B10" s="62">
        <v>0</v>
      </c>
      <c r="C10" s="64" t="s">
        <v>3991</v>
      </c>
      <c r="D10" s="65">
        <v>1.88</v>
      </c>
      <c r="E10" s="65">
        <v>1.88</v>
      </c>
      <c r="F10" s="65">
        <v>6</v>
      </c>
      <c r="G10" s="65">
        <v>2.2999999999999998</v>
      </c>
      <c r="H10" s="65">
        <v>41.7</v>
      </c>
      <c r="I10" s="68">
        <f t="shared" ref="I10:I20" si="2">+H10/(F10-K10/100)/(G10-J10/100)</f>
        <v>3.5849689216722984</v>
      </c>
      <c r="J10" s="62">
        <v>27</v>
      </c>
      <c r="K10" s="62">
        <v>27</v>
      </c>
      <c r="Q10" s="69">
        <v>0</v>
      </c>
      <c r="R10" s="63">
        <v>0</v>
      </c>
    </row>
    <row r="11" spans="2:18" x14ac:dyDescent="0.2">
      <c r="B11" s="62">
        <f>+D10</f>
        <v>1.88</v>
      </c>
      <c r="C11" s="64" t="s">
        <v>3992</v>
      </c>
      <c r="D11" s="65">
        <v>2.57</v>
      </c>
      <c r="E11" s="65">
        <v>2.57</v>
      </c>
      <c r="F11" s="65">
        <v>6</v>
      </c>
      <c r="G11" s="65">
        <v>2.2999999999999998</v>
      </c>
      <c r="H11" s="65">
        <v>56.8</v>
      </c>
      <c r="I11" s="68">
        <f t="shared" si="2"/>
        <v>4.9824561403508776</v>
      </c>
      <c r="J11" s="62">
        <v>30</v>
      </c>
      <c r="K11" s="62">
        <v>30</v>
      </c>
      <c r="Q11" s="69">
        <v>235</v>
      </c>
      <c r="R11" s="63">
        <v>208</v>
      </c>
    </row>
    <row r="12" spans="2:18" x14ac:dyDescent="0.2">
      <c r="B12" s="62">
        <f>+D11</f>
        <v>2.57</v>
      </c>
      <c r="C12" s="64" t="s">
        <v>3993</v>
      </c>
      <c r="D12" s="65">
        <v>3.35</v>
      </c>
      <c r="E12" s="65">
        <v>3.35</v>
      </c>
      <c r="F12" s="65">
        <v>6</v>
      </c>
      <c r="G12" s="65">
        <v>2.2999999999999998</v>
      </c>
      <c r="H12" s="65">
        <v>74.3</v>
      </c>
      <c r="I12" s="68">
        <f t="shared" si="2"/>
        <v>6.4737607932317403</v>
      </c>
      <c r="J12" s="62">
        <v>29</v>
      </c>
      <c r="K12" s="62">
        <v>29</v>
      </c>
      <c r="Q12" s="69">
        <v>275</v>
      </c>
      <c r="R12" s="63">
        <v>234</v>
      </c>
    </row>
    <row r="13" spans="2:18" x14ac:dyDescent="0.2">
      <c r="B13" s="62">
        <f>+D12</f>
        <v>3.35</v>
      </c>
      <c r="C13" s="64" t="s">
        <v>1705</v>
      </c>
      <c r="D13" s="65">
        <v>4.24</v>
      </c>
      <c r="E13" s="65">
        <v>4.24</v>
      </c>
      <c r="F13" s="65">
        <v>6</v>
      </c>
      <c r="G13" s="65">
        <v>2.2999999999999998</v>
      </c>
      <c r="H13" s="65">
        <v>84.4</v>
      </c>
      <c r="I13" s="68">
        <f t="shared" si="2"/>
        <v>7.5560210924001128</v>
      </c>
      <c r="J13" s="62">
        <v>33</v>
      </c>
      <c r="K13" s="62">
        <v>33</v>
      </c>
      <c r="Q13" s="69">
        <v>355</v>
      </c>
      <c r="R13" s="63">
        <v>252</v>
      </c>
    </row>
    <row r="14" spans="2:18" x14ac:dyDescent="0.2">
      <c r="B14" s="62">
        <f>+D13</f>
        <v>4.24</v>
      </c>
      <c r="C14" s="64" t="s">
        <v>1706</v>
      </c>
      <c r="D14" s="65">
        <v>5.24</v>
      </c>
      <c r="E14" s="65">
        <v>5.24</v>
      </c>
      <c r="F14" s="65">
        <v>6</v>
      </c>
      <c r="G14" s="65">
        <v>2.2999999999999998</v>
      </c>
      <c r="H14" s="65">
        <v>100.9</v>
      </c>
      <c r="I14" s="68">
        <f t="shared" si="2"/>
        <v>9.9368727903014555</v>
      </c>
      <c r="J14" s="62">
        <v>49</v>
      </c>
      <c r="K14" s="62">
        <v>39</v>
      </c>
      <c r="Q14" s="69">
        <v>420</v>
      </c>
      <c r="R14" s="63">
        <v>273</v>
      </c>
    </row>
    <row r="15" spans="2:18" x14ac:dyDescent="0.2">
      <c r="B15" s="62">
        <f>+D14</f>
        <v>5.24</v>
      </c>
      <c r="C15" s="64" t="s">
        <v>1707</v>
      </c>
      <c r="D15" s="65">
        <v>6.36</v>
      </c>
      <c r="E15" s="65">
        <v>6.35</v>
      </c>
      <c r="F15" s="65">
        <v>6</v>
      </c>
      <c r="G15" s="65">
        <v>2.35</v>
      </c>
      <c r="H15" s="65">
        <v>132</v>
      </c>
      <c r="I15" s="68">
        <f>+H15/(F15-K15/100)/(G15-J15/100)</f>
        <v>12.650221378874129</v>
      </c>
      <c r="J15" s="62">
        <v>49</v>
      </c>
      <c r="K15" s="62">
        <v>39</v>
      </c>
      <c r="Q15" s="69">
        <v>460</v>
      </c>
      <c r="R15" s="63">
        <v>293</v>
      </c>
    </row>
    <row r="16" spans="2:18" x14ac:dyDescent="0.2">
      <c r="B16" s="62">
        <v>0</v>
      </c>
      <c r="C16" s="64" t="s">
        <v>3994</v>
      </c>
      <c r="D16" s="65">
        <v>1.88</v>
      </c>
      <c r="E16" s="65">
        <v>1.1299999999999999</v>
      </c>
      <c r="F16" s="65">
        <v>6</v>
      </c>
      <c r="G16" s="65">
        <v>2.2999999999999998</v>
      </c>
      <c r="H16" s="65">
        <v>33.6</v>
      </c>
      <c r="I16" s="68">
        <f t="shared" si="2"/>
        <v>2.8636200930676536</v>
      </c>
      <c r="J16" s="62">
        <v>27</v>
      </c>
      <c r="K16" s="62">
        <v>22</v>
      </c>
      <c r="Q16" s="69">
        <v>99999</v>
      </c>
      <c r="R16" s="63">
        <v>293</v>
      </c>
    </row>
    <row r="17" spans="2:11" x14ac:dyDescent="0.2">
      <c r="B17" s="62">
        <f>+D16</f>
        <v>1.88</v>
      </c>
      <c r="C17" s="64" t="s">
        <v>3995</v>
      </c>
      <c r="D17" s="65">
        <v>2.57</v>
      </c>
      <c r="E17" s="65">
        <v>1.1299999999999999</v>
      </c>
      <c r="F17" s="65">
        <v>6</v>
      </c>
      <c r="G17" s="65">
        <v>2.2999999999999998</v>
      </c>
      <c r="H17" s="65">
        <v>41.2</v>
      </c>
      <c r="I17" s="68">
        <f t="shared" si="2"/>
        <v>3.5462824286870149</v>
      </c>
      <c r="J17" s="62">
        <v>29</v>
      </c>
      <c r="K17" s="62">
        <v>22</v>
      </c>
    </row>
    <row r="18" spans="2:11" x14ac:dyDescent="0.2">
      <c r="B18" s="62">
        <f>+D17</f>
        <v>2.57</v>
      </c>
      <c r="C18" s="64" t="s">
        <v>3996</v>
      </c>
      <c r="D18" s="65">
        <v>3.35</v>
      </c>
      <c r="E18" s="65">
        <v>1.1299999999999999</v>
      </c>
      <c r="F18" s="65">
        <v>6</v>
      </c>
      <c r="G18" s="65">
        <v>2.2999999999999998</v>
      </c>
      <c r="H18" s="65">
        <v>50.2</v>
      </c>
      <c r="I18" s="68">
        <f t="shared" si="2"/>
        <v>4.4086909173941304</v>
      </c>
      <c r="J18" s="62">
        <v>33</v>
      </c>
      <c r="K18" s="62">
        <v>22</v>
      </c>
    </row>
    <row r="19" spans="2:11" x14ac:dyDescent="0.2">
      <c r="B19" s="62">
        <f>+D18</f>
        <v>3.35</v>
      </c>
      <c r="C19" s="64" t="s">
        <v>1708</v>
      </c>
      <c r="D19" s="65">
        <v>4.24</v>
      </c>
      <c r="E19" s="65">
        <v>2.0099999999999998</v>
      </c>
      <c r="F19" s="65">
        <v>6</v>
      </c>
      <c r="G19" s="65">
        <v>2.2999999999999998</v>
      </c>
      <c r="H19" s="65">
        <v>57.2</v>
      </c>
      <c r="I19" s="68">
        <f t="shared" si="2"/>
        <v>5.1542675893886969</v>
      </c>
      <c r="J19" s="62">
        <v>38</v>
      </c>
      <c r="K19" s="62">
        <v>22</v>
      </c>
    </row>
    <row r="20" spans="2:11" x14ac:dyDescent="0.2">
      <c r="B20" s="62">
        <f>+D19</f>
        <v>4.24</v>
      </c>
      <c r="C20" s="64" t="s">
        <v>1709</v>
      </c>
      <c r="D20" s="65">
        <v>5.24</v>
      </c>
      <c r="E20" s="65">
        <v>2.0099999999999998</v>
      </c>
      <c r="F20" s="65">
        <v>6</v>
      </c>
      <c r="G20" s="65">
        <v>2.2999999999999998</v>
      </c>
      <c r="H20" s="65">
        <v>75.7</v>
      </c>
      <c r="I20" s="68">
        <f t="shared" si="2"/>
        <v>7.2989885549545388</v>
      </c>
      <c r="J20" s="62">
        <v>49</v>
      </c>
      <c r="K20" s="62">
        <v>27</v>
      </c>
    </row>
    <row r="21" spans="2:11" x14ac:dyDescent="0.2">
      <c r="B21" s="62">
        <f>+D21</f>
        <v>0.94</v>
      </c>
      <c r="C21" s="66" t="s">
        <v>3997</v>
      </c>
      <c r="D21" s="65">
        <v>0.94</v>
      </c>
      <c r="E21" s="65">
        <v>0.94</v>
      </c>
      <c r="F21" s="65">
        <v>5</v>
      </c>
      <c r="G21" s="65">
        <v>2.15</v>
      </c>
      <c r="H21" s="65">
        <v>15.9</v>
      </c>
      <c r="I21" s="69"/>
      <c r="J21" s="63"/>
      <c r="K21" s="63"/>
    </row>
    <row r="22" spans="2:11" x14ac:dyDescent="0.2">
      <c r="B22" s="62">
        <f>+D22</f>
        <v>1.41</v>
      </c>
      <c r="C22" s="66" t="s">
        <v>3998</v>
      </c>
      <c r="D22" s="65">
        <v>1.41</v>
      </c>
      <c r="E22" s="65">
        <v>1.41</v>
      </c>
      <c r="F22" s="65">
        <v>5</v>
      </c>
      <c r="G22" s="65">
        <v>2.15</v>
      </c>
      <c r="H22" s="65">
        <v>23.7</v>
      </c>
      <c r="I22" s="69"/>
      <c r="J22" s="63"/>
      <c r="K22" s="63"/>
    </row>
  </sheetData>
  <phoneticPr fontId="4"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fitToPage="1"/>
  </sheetPr>
  <dimension ref="A1:U144"/>
  <sheetViews>
    <sheetView showGridLines="0" zoomScale="80" zoomScaleNormal="80" workbookViewId="0">
      <pane xSplit="2" ySplit="3" topLeftCell="C4" activePane="bottomRight" state="frozenSplit"/>
      <selection pane="topRight" activeCell="C1" sqref="C1"/>
      <selection pane="bottomLeft" activeCell="A4" sqref="A4"/>
      <selection pane="bottomRight" activeCell="D65" sqref="D65"/>
    </sheetView>
  </sheetViews>
  <sheetFormatPr baseColWidth="10" defaultRowHeight="12.75" x14ac:dyDescent="0.2"/>
  <cols>
    <col min="1" max="1" width="3.7109375" style="15" customWidth="1"/>
    <col min="2" max="2" width="15" style="15" customWidth="1"/>
    <col min="3" max="3" width="6.7109375" style="15" customWidth="1"/>
    <col min="4" max="4" width="5" style="15" customWidth="1"/>
    <col min="5" max="5" width="6.7109375" style="15" customWidth="1"/>
    <col min="6" max="6" width="6.42578125" style="15" customWidth="1"/>
    <col min="7" max="7" width="9.85546875" style="15" customWidth="1"/>
    <col min="8" max="8" width="7" style="15" customWidth="1"/>
    <col min="9" max="9" width="4.5703125" style="15" customWidth="1"/>
    <col min="10" max="10" width="6.7109375" style="15" customWidth="1"/>
    <col min="11" max="11" width="4.85546875" style="15" customWidth="1"/>
    <col min="12" max="12" width="5.85546875" style="15" bestFit="1" customWidth="1"/>
    <col min="13" max="13" width="11.42578125" style="15" bestFit="1" customWidth="1"/>
    <col min="14" max="14" width="6" style="15" customWidth="1"/>
    <col min="15" max="15" width="5.42578125" style="15" customWidth="1"/>
    <col min="16" max="16" width="5.85546875" style="15" customWidth="1"/>
    <col min="17" max="17" width="5.5703125" style="15" customWidth="1"/>
    <col min="18" max="18" width="6.7109375" style="15" customWidth="1"/>
    <col min="19" max="19" width="3.85546875" style="15" customWidth="1"/>
    <col min="20" max="20" width="6.85546875" style="15" customWidth="1"/>
    <col min="21" max="16384" width="11.42578125" style="15"/>
  </cols>
  <sheetData>
    <row r="1" spans="1:20" x14ac:dyDescent="0.2">
      <c r="A1" s="35"/>
      <c r="B1" s="36">
        <v>1</v>
      </c>
      <c r="C1" s="18">
        <v>2</v>
      </c>
      <c r="D1" s="19">
        <v>3</v>
      </c>
      <c r="E1" s="19">
        <v>4</v>
      </c>
      <c r="F1" s="19">
        <v>5</v>
      </c>
      <c r="G1" s="19">
        <v>6</v>
      </c>
      <c r="H1" s="19">
        <v>7</v>
      </c>
      <c r="I1" s="19">
        <v>8</v>
      </c>
      <c r="J1" s="19">
        <v>9</v>
      </c>
      <c r="K1" s="19">
        <v>10</v>
      </c>
      <c r="L1" s="166">
        <v>11</v>
      </c>
      <c r="M1" s="168">
        <v>12</v>
      </c>
    </row>
    <row r="2" spans="1:20" x14ac:dyDescent="0.2">
      <c r="A2" s="37"/>
      <c r="B2" s="38" t="s">
        <v>5890</v>
      </c>
      <c r="C2" s="18" t="s">
        <v>4698</v>
      </c>
      <c r="D2" s="19" t="s">
        <v>4699</v>
      </c>
      <c r="E2" s="19" t="s">
        <v>2111</v>
      </c>
      <c r="F2" s="19" t="s">
        <v>4700</v>
      </c>
      <c r="G2" s="19" t="s">
        <v>4701</v>
      </c>
      <c r="H2" s="19" t="s">
        <v>4702</v>
      </c>
      <c r="I2" s="19" t="s">
        <v>4703</v>
      </c>
      <c r="J2" s="19" t="s">
        <v>4704</v>
      </c>
      <c r="K2" s="21" t="s">
        <v>6741</v>
      </c>
      <c r="L2" s="167" t="s">
        <v>1445</v>
      </c>
      <c r="M2" s="168" t="s">
        <v>8793</v>
      </c>
      <c r="R2" s="43"/>
      <c r="S2" s="43"/>
      <c r="T2" s="43"/>
    </row>
    <row r="3" spans="1:20" x14ac:dyDescent="0.2">
      <c r="A3" s="39"/>
      <c r="B3" s="40"/>
      <c r="C3" s="18" t="s">
        <v>1447</v>
      </c>
      <c r="D3" s="19" t="s">
        <v>1447</v>
      </c>
      <c r="E3" s="19" t="s">
        <v>1453</v>
      </c>
      <c r="F3" s="19" t="s">
        <v>1449</v>
      </c>
      <c r="G3" s="21" t="s">
        <v>1450</v>
      </c>
      <c r="H3" s="19" t="s">
        <v>1451</v>
      </c>
      <c r="I3" s="19" t="s">
        <v>1452</v>
      </c>
      <c r="J3" s="19" t="s">
        <v>1455</v>
      </c>
      <c r="K3" s="41" t="s">
        <v>1431</v>
      </c>
      <c r="L3" s="167" t="s">
        <v>1454</v>
      </c>
      <c r="M3" s="169" t="s">
        <v>1454</v>
      </c>
      <c r="R3" s="43"/>
      <c r="S3" s="44"/>
    </row>
    <row r="4" spans="1:20" x14ac:dyDescent="0.2">
      <c r="A4" s="26">
        <v>1</v>
      </c>
      <c r="B4" s="27" t="str">
        <f t="shared" ref="B4:B35" si="0">+ROUND(C4,0)&amp;"x"&amp;D4</f>
        <v>102x10</v>
      </c>
      <c r="C4" s="28">
        <v>101.6</v>
      </c>
      <c r="D4" s="28">
        <v>10</v>
      </c>
      <c r="E4" s="31">
        <f t="shared" ref="E4:E35" si="1">+(C4^2-(C4-D4*2)^2)*PI()/4/100</f>
        <v>28.776988706882502</v>
      </c>
      <c r="F4" s="31">
        <f t="shared" ref="F4:F35" si="2">+E4*0.785</f>
        <v>22.589936134902764</v>
      </c>
      <c r="G4" s="29">
        <f t="shared" ref="G4:G35" si="3">+(C4^4-(C4-D4*2)^4)*PI()/64/10000</f>
        <v>305.41593654388538</v>
      </c>
      <c r="H4" s="29">
        <f t="shared" ref="H4:H35" si="4">+(C4^4-(C4-D4*2)^4)*PI()/32/C4/1000</f>
        <v>60.121247351158544</v>
      </c>
      <c r="I4" s="28">
        <f t="shared" ref="I4:I35" si="5">+SQRT(G4/E4)</f>
        <v>3.2577906623968338</v>
      </c>
      <c r="J4" s="29">
        <f t="shared" ref="J4:J35" si="6">+(C4/2*4/3/PI()*C4^2*PI()/4/2-(C4-2*D4)/2*4/3/PI()*(C4-2*D4)^2*PI()/4/2)/1000</f>
        <v>42.119466666666675</v>
      </c>
      <c r="K4" s="29">
        <v>1</v>
      </c>
      <c r="L4" s="149" t="s">
        <v>8794</v>
      </c>
      <c r="M4" s="149" t="s">
        <v>8795</v>
      </c>
      <c r="Q4" s="45"/>
      <c r="S4" s="43"/>
    </row>
    <row r="5" spans="1:20" x14ac:dyDescent="0.2">
      <c r="A5" s="19">
        <f t="shared" ref="A5:A43" si="7">+A4+1</f>
        <v>2</v>
      </c>
      <c r="B5" s="28" t="str">
        <f t="shared" si="0"/>
        <v>114x3,2</v>
      </c>
      <c r="C5" s="28">
        <v>114.3</v>
      </c>
      <c r="D5" s="28">
        <v>3.2</v>
      </c>
      <c r="E5" s="31">
        <f t="shared" si="1"/>
        <v>11.168990202042446</v>
      </c>
      <c r="F5" s="31">
        <f t="shared" si="2"/>
        <v>8.7676573086033205</v>
      </c>
      <c r="G5" s="29">
        <f t="shared" si="3"/>
        <v>172.4694525142765</v>
      </c>
      <c r="H5" s="29">
        <f t="shared" si="4"/>
        <v>30.178381892261857</v>
      </c>
      <c r="I5" s="28">
        <f t="shared" si="5"/>
        <v>3.9296071686620273</v>
      </c>
      <c r="J5" s="29">
        <f t="shared" si="6"/>
        <v>19.75459733333334</v>
      </c>
      <c r="K5" s="29">
        <v>1</v>
      </c>
      <c r="L5" s="149" t="s">
        <v>8794</v>
      </c>
      <c r="M5" s="149" t="s">
        <v>8795</v>
      </c>
      <c r="Q5" s="45"/>
      <c r="S5" s="43"/>
    </row>
    <row r="6" spans="1:20" x14ac:dyDescent="0.2">
      <c r="A6" s="19">
        <f t="shared" si="7"/>
        <v>3</v>
      </c>
      <c r="B6" s="28" t="str">
        <f t="shared" si="0"/>
        <v>114x3,6</v>
      </c>
      <c r="C6" s="28">
        <v>114.3</v>
      </c>
      <c r="D6" s="28">
        <v>3.6</v>
      </c>
      <c r="E6" s="31">
        <f t="shared" si="1"/>
        <v>12.519875043086058</v>
      </c>
      <c r="F6" s="31">
        <f t="shared" si="2"/>
        <v>9.8281019088225552</v>
      </c>
      <c r="G6" s="29">
        <f t="shared" si="3"/>
        <v>191.98367637163253</v>
      </c>
      <c r="H6" s="29">
        <f t="shared" si="4"/>
        <v>33.592944247004816</v>
      </c>
      <c r="I6" s="28">
        <f t="shared" si="5"/>
        <v>3.915905067797226</v>
      </c>
      <c r="J6" s="29">
        <f t="shared" si="6"/>
        <v>22.065858000000024</v>
      </c>
      <c r="K6" s="29">
        <v>1</v>
      </c>
      <c r="L6" s="149" t="s">
        <v>8794</v>
      </c>
      <c r="M6" s="149" t="s">
        <v>8795</v>
      </c>
      <c r="Q6" s="45"/>
      <c r="S6" s="43"/>
    </row>
    <row r="7" spans="1:20" x14ac:dyDescent="0.2">
      <c r="A7" s="19">
        <f t="shared" si="7"/>
        <v>4</v>
      </c>
      <c r="B7" s="28" t="str">
        <f t="shared" si="0"/>
        <v>114x11</v>
      </c>
      <c r="C7" s="28">
        <v>114.3</v>
      </c>
      <c r="D7" s="28">
        <v>11</v>
      </c>
      <c r="E7" s="31">
        <f t="shared" si="1"/>
        <v>35.697917322740821</v>
      </c>
      <c r="F7" s="31">
        <f t="shared" si="2"/>
        <v>28.022865098351545</v>
      </c>
      <c r="G7" s="29">
        <f t="shared" si="3"/>
        <v>481.55999622014184</v>
      </c>
      <c r="H7" s="29">
        <f t="shared" si="4"/>
        <v>84.262466530208542</v>
      </c>
      <c r="I7" s="28">
        <f t="shared" si="5"/>
        <v>3.6728548160797208</v>
      </c>
      <c r="J7" s="29">
        <f t="shared" si="6"/>
        <v>58.911728333333343</v>
      </c>
      <c r="K7" s="29">
        <v>1</v>
      </c>
      <c r="L7" s="149" t="s">
        <v>8794</v>
      </c>
      <c r="M7" s="149" t="s">
        <v>8795</v>
      </c>
      <c r="Q7" s="45"/>
      <c r="S7" s="43"/>
    </row>
    <row r="8" spans="1:20" x14ac:dyDescent="0.2">
      <c r="A8" s="19">
        <f t="shared" si="7"/>
        <v>5</v>
      </c>
      <c r="B8" s="28" t="str">
        <f t="shared" si="0"/>
        <v>140x3,2</v>
      </c>
      <c r="C8" s="28">
        <v>139.69999999999999</v>
      </c>
      <c r="D8" s="28">
        <v>3.2</v>
      </c>
      <c r="E8" s="31">
        <f t="shared" si="1"/>
        <v>13.722476710880221</v>
      </c>
      <c r="F8" s="31">
        <f t="shared" si="2"/>
        <v>10.772144218040975</v>
      </c>
      <c r="G8" s="29">
        <f t="shared" si="3"/>
        <v>319.77641857227161</v>
      </c>
      <c r="H8" s="29">
        <f t="shared" si="4"/>
        <v>45.780446467039603</v>
      </c>
      <c r="I8" s="28">
        <f t="shared" si="5"/>
        <v>4.8273297484219979</v>
      </c>
      <c r="J8" s="29">
        <f t="shared" si="6"/>
        <v>29.817061333333346</v>
      </c>
      <c r="K8" s="29">
        <v>1</v>
      </c>
      <c r="L8" s="149" t="s">
        <v>8794</v>
      </c>
      <c r="M8" s="149" t="s">
        <v>8795</v>
      </c>
      <c r="Q8" s="45"/>
      <c r="S8" s="43"/>
    </row>
    <row r="9" spans="1:20" x14ac:dyDescent="0.2">
      <c r="A9" s="19">
        <f t="shared" si="7"/>
        <v>6</v>
      </c>
      <c r="B9" s="28" t="str">
        <f t="shared" si="0"/>
        <v>140x3,6</v>
      </c>
      <c r="C9" s="28">
        <v>139.69999999999999</v>
      </c>
      <c r="D9" s="28">
        <v>3.6</v>
      </c>
      <c r="E9" s="31">
        <f t="shared" si="1"/>
        <v>15.392547365528523</v>
      </c>
      <c r="F9" s="31">
        <f t="shared" si="2"/>
        <v>12.083149681939892</v>
      </c>
      <c r="G9" s="29">
        <f t="shared" si="3"/>
        <v>356.64859337561091</v>
      </c>
      <c r="H9" s="29">
        <f t="shared" si="4"/>
        <v>51.059211650051679</v>
      </c>
      <c r="I9" s="28">
        <f t="shared" si="5"/>
        <v>4.8135446918045739</v>
      </c>
      <c r="J9" s="29">
        <f t="shared" si="6"/>
        <v>33.349553999999976</v>
      </c>
      <c r="K9" s="29">
        <v>1</v>
      </c>
      <c r="L9" s="149" t="s">
        <v>8794</v>
      </c>
      <c r="M9" s="149" t="s">
        <v>8795</v>
      </c>
      <c r="Q9" s="45"/>
      <c r="S9" s="43"/>
    </row>
    <row r="10" spans="1:20" x14ac:dyDescent="0.2">
      <c r="A10" s="19">
        <f t="shared" si="7"/>
        <v>7</v>
      </c>
      <c r="B10" s="28" t="str">
        <f t="shared" si="0"/>
        <v>140x11</v>
      </c>
      <c r="C10" s="28">
        <v>139.69999999999999</v>
      </c>
      <c r="D10" s="28">
        <v>11</v>
      </c>
      <c r="E10" s="31">
        <f t="shared" si="1"/>
        <v>44.475527196870701</v>
      </c>
      <c r="F10" s="31">
        <f t="shared" si="2"/>
        <v>34.913288849543498</v>
      </c>
      <c r="G10" s="29">
        <f t="shared" si="3"/>
        <v>927.57547983294535</v>
      </c>
      <c r="H10" s="29">
        <f t="shared" si="4"/>
        <v>132.7953442853179</v>
      </c>
      <c r="I10" s="28">
        <f t="shared" si="5"/>
        <v>4.5668219255845734</v>
      </c>
      <c r="J10" s="29">
        <f t="shared" si="6"/>
        <v>91.322128333333325</v>
      </c>
      <c r="K10" s="29">
        <v>1</v>
      </c>
      <c r="L10" s="149" t="s">
        <v>8794</v>
      </c>
      <c r="M10" s="149" t="s">
        <v>8795</v>
      </c>
      <c r="Q10" s="45"/>
      <c r="S10" s="43"/>
    </row>
    <row r="11" spans="1:20" x14ac:dyDescent="0.2">
      <c r="A11" s="19">
        <f t="shared" si="7"/>
        <v>8</v>
      </c>
      <c r="B11" s="28" t="str">
        <f t="shared" si="0"/>
        <v>168x3,6</v>
      </c>
      <c r="C11" s="28">
        <v>168.3</v>
      </c>
      <c r="D11" s="28">
        <v>3.6</v>
      </c>
      <c r="E11" s="31">
        <f t="shared" si="1"/>
        <v>18.627131161664575</v>
      </c>
      <c r="F11" s="31">
        <f t="shared" si="2"/>
        <v>14.622297961906693</v>
      </c>
      <c r="G11" s="29">
        <f t="shared" si="3"/>
        <v>631.9033049412169</v>
      </c>
      <c r="H11" s="29">
        <f t="shared" si="4"/>
        <v>75.092490189092899</v>
      </c>
      <c r="I11" s="28">
        <f t="shared" si="5"/>
        <v>5.824415206696723</v>
      </c>
      <c r="J11" s="29">
        <f t="shared" si="6"/>
        <v>48.834737999999895</v>
      </c>
      <c r="K11" s="29">
        <v>1</v>
      </c>
      <c r="L11" s="149" t="s">
        <v>8794</v>
      </c>
      <c r="M11" s="149" t="s">
        <v>8795</v>
      </c>
      <c r="Q11" s="45"/>
      <c r="S11" s="43"/>
    </row>
    <row r="12" spans="1:20" x14ac:dyDescent="0.2">
      <c r="A12" s="19">
        <f t="shared" si="7"/>
        <v>9</v>
      </c>
      <c r="B12" s="28" t="str">
        <f t="shared" si="0"/>
        <v>168x4</v>
      </c>
      <c r="C12" s="28">
        <v>168.3</v>
      </c>
      <c r="D12" s="28">
        <v>4</v>
      </c>
      <c r="E12" s="31">
        <f t="shared" si="1"/>
        <v>20.646546919392112</v>
      </c>
      <c r="F12" s="31">
        <f t="shared" si="2"/>
        <v>16.20753933172281</v>
      </c>
      <c r="G12" s="29">
        <f t="shared" si="3"/>
        <v>697.0916863759644</v>
      </c>
      <c r="H12" s="29">
        <f t="shared" si="4"/>
        <v>82.839178416632734</v>
      </c>
      <c r="I12" s="28">
        <f t="shared" si="5"/>
        <v>5.8106034540312601</v>
      </c>
      <c r="J12" s="29">
        <f t="shared" si="6"/>
        <v>53.999646666666671</v>
      </c>
      <c r="K12" s="29">
        <v>1</v>
      </c>
      <c r="L12" s="149" t="s">
        <v>8794</v>
      </c>
      <c r="M12" s="149" t="s">
        <v>8795</v>
      </c>
      <c r="Q12" s="45"/>
      <c r="S12" s="43"/>
    </row>
    <row r="13" spans="1:20" x14ac:dyDescent="0.2">
      <c r="A13" s="19">
        <f t="shared" si="7"/>
        <v>10</v>
      </c>
      <c r="B13" s="28" t="str">
        <f t="shared" si="0"/>
        <v>168x11</v>
      </c>
      <c r="C13" s="28">
        <v>168.3</v>
      </c>
      <c r="D13" s="28">
        <v>11</v>
      </c>
      <c r="E13" s="31">
        <f t="shared" si="1"/>
        <v>54.35897768506419</v>
      </c>
      <c r="F13" s="31">
        <f t="shared" si="2"/>
        <v>42.671797482775389</v>
      </c>
      <c r="G13" s="29">
        <f t="shared" si="3"/>
        <v>1689.4967315812066</v>
      </c>
      <c r="H13" s="29">
        <f t="shared" si="4"/>
        <v>200.77204178029785</v>
      </c>
      <c r="I13" s="28">
        <f t="shared" si="5"/>
        <v>5.5749764573493952</v>
      </c>
      <c r="J13" s="29">
        <f t="shared" si="6"/>
        <v>136.30992833333335</v>
      </c>
      <c r="K13" s="29">
        <v>1</v>
      </c>
      <c r="L13" s="149" t="s">
        <v>8794</v>
      </c>
      <c r="M13" s="149" t="s">
        <v>8795</v>
      </c>
      <c r="Q13" s="45"/>
      <c r="S13" s="43"/>
    </row>
    <row r="14" spans="1:20" x14ac:dyDescent="0.2">
      <c r="A14" s="19">
        <f t="shared" si="7"/>
        <v>11</v>
      </c>
      <c r="B14" s="28" t="str">
        <f t="shared" si="0"/>
        <v>219x5</v>
      </c>
      <c r="C14" s="28">
        <v>219.1</v>
      </c>
      <c r="D14" s="28">
        <v>5</v>
      </c>
      <c r="E14" s="31">
        <f t="shared" si="1"/>
        <v>33.630749356678734</v>
      </c>
      <c r="F14" s="31">
        <f t="shared" si="2"/>
        <v>26.400138244992807</v>
      </c>
      <c r="G14" s="29">
        <f t="shared" si="3"/>
        <v>1928.0428733154192</v>
      </c>
      <c r="H14" s="29">
        <f t="shared" si="4"/>
        <v>175.99661098269459</v>
      </c>
      <c r="I14" s="28">
        <f t="shared" si="5"/>
        <v>7.5716419949704425</v>
      </c>
      <c r="J14" s="29">
        <f t="shared" si="6"/>
        <v>114.6178583333334</v>
      </c>
      <c r="K14" s="29">
        <v>1</v>
      </c>
      <c r="L14" s="149" t="s">
        <v>8794</v>
      </c>
      <c r="M14" s="149" t="s">
        <v>8795</v>
      </c>
      <c r="Q14" s="45"/>
      <c r="S14" s="43"/>
    </row>
    <row r="15" spans="1:20" x14ac:dyDescent="0.2">
      <c r="A15" s="19">
        <f t="shared" si="7"/>
        <v>12</v>
      </c>
      <c r="B15" s="28" t="str">
        <f t="shared" si="0"/>
        <v>219x7,1</v>
      </c>
      <c r="C15" s="28">
        <v>219.1</v>
      </c>
      <c r="D15" s="28">
        <v>7.1</v>
      </c>
      <c r="E15" s="31">
        <f t="shared" si="1"/>
        <v>47.287252621833531</v>
      </c>
      <c r="F15" s="31">
        <f t="shared" si="2"/>
        <v>37.120493308139324</v>
      </c>
      <c r="G15" s="29">
        <f t="shared" si="3"/>
        <v>2659.5775403004413</v>
      </c>
      <c r="H15" s="29">
        <f t="shared" si="4"/>
        <v>242.77293841172443</v>
      </c>
      <c r="I15" s="28">
        <f t="shared" si="5"/>
        <v>7.4995341521990557</v>
      </c>
      <c r="J15" s="29">
        <f t="shared" si="6"/>
        <v>159.61085183333338</v>
      </c>
      <c r="K15" s="29">
        <v>1</v>
      </c>
      <c r="L15" s="149" t="s">
        <v>8794</v>
      </c>
      <c r="M15" s="149" t="s">
        <v>8795</v>
      </c>
      <c r="Q15" s="45"/>
      <c r="S15" s="43"/>
    </row>
    <row r="16" spans="1:20" x14ac:dyDescent="0.2">
      <c r="A16" s="19">
        <f t="shared" si="7"/>
        <v>13</v>
      </c>
      <c r="B16" s="28" t="str">
        <f t="shared" si="0"/>
        <v>219x8,8</v>
      </c>
      <c r="C16" s="28">
        <v>219.1</v>
      </c>
      <c r="D16" s="28">
        <v>8.8000000000000007</v>
      </c>
      <c r="E16" s="31">
        <f t="shared" si="1"/>
        <v>58.139570284394132</v>
      </c>
      <c r="F16" s="31">
        <f t="shared" si="2"/>
        <v>45.639562673249394</v>
      </c>
      <c r="G16" s="29">
        <f t="shared" si="3"/>
        <v>3219.7352453522049</v>
      </c>
      <c r="H16" s="29">
        <f t="shared" si="4"/>
        <v>293.90554498879095</v>
      </c>
      <c r="I16" s="28">
        <f t="shared" si="5"/>
        <v>7.4417345088359612</v>
      </c>
      <c r="J16" s="29">
        <f t="shared" si="6"/>
        <v>194.70837466666674</v>
      </c>
      <c r="K16" s="29">
        <v>1</v>
      </c>
      <c r="L16" s="149" t="s">
        <v>8794</v>
      </c>
      <c r="M16" s="149" t="s">
        <v>8795</v>
      </c>
      <c r="Q16" s="45"/>
      <c r="S16" s="43"/>
    </row>
    <row r="17" spans="1:19" x14ac:dyDescent="0.2">
      <c r="A17" s="19">
        <f t="shared" si="7"/>
        <v>14</v>
      </c>
      <c r="B17" s="32" t="str">
        <f t="shared" si="0"/>
        <v>219x10</v>
      </c>
      <c r="C17" s="28">
        <v>219.1</v>
      </c>
      <c r="D17" s="28">
        <v>10</v>
      </c>
      <c r="E17" s="31">
        <f t="shared" si="1"/>
        <v>65.690702386562577</v>
      </c>
      <c r="F17" s="31">
        <f t="shared" si="2"/>
        <v>51.567201373451624</v>
      </c>
      <c r="G17" s="29">
        <f t="shared" si="3"/>
        <v>3598.4389618160976</v>
      </c>
      <c r="H17" s="29">
        <f t="shared" si="4"/>
        <v>328.474574332825</v>
      </c>
      <c r="I17" s="28">
        <f t="shared" si="5"/>
        <v>7.4012507388954196</v>
      </c>
      <c r="J17" s="29">
        <f t="shared" si="6"/>
        <v>218.7807166666669</v>
      </c>
      <c r="K17" s="29">
        <v>1</v>
      </c>
      <c r="L17" s="149" t="s">
        <v>8794</v>
      </c>
      <c r="M17" s="149" t="s">
        <v>8795</v>
      </c>
      <c r="Q17" s="45"/>
      <c r="S17" s="43"/>
    </row>
    <row r="18" spans="1:19" x14ac:dyDescent="0.2">
      <c r="A18" s="19">
        <f t="shared" si="7"/>
        <v>15</v>
      </c>
      <c r="B18" s="32" t="str">
        <f t="shared" si="0"/>
        <v>245x6,3</v>
      </c>
      <c r="C18" s="28">
        <v>244.5</v>
      </c>
      <c r="D18" s="28">
        <v>6.3</v>
      </c>
      <c r="E18" s="31">
        <f t="shared" si="1"/>
        <v>47.144624315360588</v>
      </c>
      <c r="F18" s="31">
        <f t="shared" si="2"/>
        <v>37.008530087558064</v>
      </c>
      <c r="G18" s="29">
        <f t="shared" si="3"/>
        <v>3346.0266548476966</v>
      </c>
      <c r="H18" s="29">
        <f t="shared" si="4"/>
        <v>273.70361184848235</v>
      </c>
      <c r="I18" s="28">
        <f t="shared" si="5"/>
        <v>8.4245867851189011</v>
      </c>
      <c r="J18" s="29">
        <f t="shared" si="6"/>
        <v>178.77028049999998</v>
      </c>
      <c r="K18" s="29">
        <v>1</v>
      </c>
      <c r="L18" s="149" t="s">
        <v>8794</v>
      </c>
      <c r="M18" s="149" t="s">
        <v>8795</v>
      </c>
      <c r="Q18" s="45"/>
      <c r="S18" s="43"/>
    </row>
    <row r="19" spans="1:19" x14ac:dyDescent="0.2">
      <c r="A19" s="19">
        <f t="shared" si="7"/>
        <v>16</v>
      </c>
      <c r="B19" s="32" t="str">
        <f t="shared" si="0"/>
        <v>245x8</v>
      </c>
      <c r="C19" s="28">
        <v>244.5</v>
      </c>
      <c r="D19" s="28">
        <v>8</v>
      </c>
      <c r="E19" s="31">
        <f t="shared" si="1"/>
        <v>59.438933005918891</v>
      </c>
      <c r="F19" s="31">
        <f t="shared" si="2"/>
        <v>46.659562409646334</v>
      </c>
      <c r="G19" s="29">
        <f t="shared" si="3"/>
        <v>4160.4466904158571</v>
      </c>
      <c r="H19" s="29">
        <f t="shared" si="4"/>
        <v>340.32283766182877</v>
      </c>
      <c r="I19" s="28">
        <f t="shared" si="5"/>
        <v>8.3663201289455813</v>
      </c>
      <c r="J19" s="29">
        <f t="shared" si="6"/>
        <v>223.81433333333325</v>
      </c>
      <c r="K19" s="29">
        <v>1</v>
      </c>
      <c r="L19" s="149" t="s">
        <v>8794</v>
      </c>
      <c r="M19" s="149" t="s">
        <v>8795</v>
      </c>
      <c r="Q19" s="45"/>
      <c r="S19" s="43"/>
    </row>
    <row r="20" spans="1:19" x14ac:dyDescent="0.2">
      <c r="A20" s="19">
        <f t="shared" si="7"/>
        <v>17</v>
      </c>
      <c r="B20" s="32" t="str">
        <f t="shared" si="0"/>
        <v>245x10</v>
      </c>
      <c r="C20" s="28">
        <v>244.5</v>
      </c>
      <c r="D20" s="28">
        <v>10</v>
      </c>
      <c r="E20" s="31">
        <f t="shared" si="1"/>
        <v>73.670347726680646</v>
      </c>
      <c r="F20" s="31">
        <f t="shared" si="2"/>
        <v>57.831222965444312</v>
      </c>
      <c r="G20" s="29">
        <f t="shared" si="3"/>
        <v>5073.1473423122106</v>
      </c>
      <c r="H20" s="29">
        <f t="shared" si="4"/>
        <v>414.9813776942504</v>
      </c>
      <c r="I20" s="28">
        <f t="shared" si="5"/>
        <v>8.2983620371733604</v>
      </c>
      <c r="J20" s="29">
        <f t="shared" si="6"/>
        <v>275.11791666666676</v>
      </c>
      <c r="K20" s="29">
        <v>1</v>
      </c>
      <c r="L20" s="149" t="s">
        <v>8794</v>
      </c>
      <c r="M20" s="149" t="s">
        <v>8795</v>
      </c>
      <c r="Q20" s="45"/>
      <c r="S20" s="43"/>
    </row>
    <row r="21" spans="1:19" x14ac:dyDescent="0.2">
      <c r="A21" s="19">
        <f t="shared" si="7"/>
        <v>18</v>
      </c>
      <c r="B21" s="32" t="str">
        <f t="shared" si="0"/>
        <v>245x11</v>
      </c>
      <c r="C21" s="28">
        <v>244.5</v>
      </c>
      <c r="D21" s="28">
        <v>11</v>
      </c>
      <c r="E21" s="31">
        <f t="shared" si="1"/>
        <v>80.691807307453843</v>
      </c>
      <c r="F21" s="31">
        <f t="shared" si="2"/>
        <v>63.34306873635127</v>
      </c>
      <c r="G21" s="29">
        <f t="shared" si="3"/>
        <v>5511.5782495662834</v>
      </c>
      <c r="H21" s="29">
        <f t="shared" si="4"/>
        <v>450.84484659028908</v>
      </c>
      <c r="I21" s="28">
        <f t="shared" si="5"/>
        <v>8.2646271845740262</v>
      </c>
      <c r="J21" s="29">
        <f t="shared" si="6"/>
        <v>300.09420833333326</v>
      </c>
      <c r="K21" s="29">
        <v>1</v>
      </c>
      <c r="L21" s="149" t="s">
        <v>8794</v>
      </c>
      <c r="M21" s="149" t="s">
        <v>8795</v>
      </c>
      <c r="Q21" s="45"/>
      <c r="S21" s="43"/>
    </row>
    <row r="22" spans="1:19" x14ac:dyDescent="0.2">
      <c r="A22" s="19">
        <f t="shared" si="7"/>
        <v>19</v>
      </c>
      <c r="B22" s="32" t="str">
        <f t="shared" si="0"/>
        <v>273x6,3</v>
      </c>
      <c r="C22" s="28">
        <v>273</v>
      </c>
      <c r="D22" s="28">
        <v>6.3</v>
      </c>
      <c r="E22" s="31">
        <f t="shared" si="1"/>
        <v>52.78535392488115</v>
      </c>
      <c r="F22" s="31">
        <f t="shared" si="2"/>
        <v>41.436502831031703</v>
      </c>
      <c r="G22" s="29">
        <f t="shared" si="3"/>
        <v>4695.8233545390203</v>
      </c>
      <c r="H22" s="29">
        <f t="shared" si="4"/>
        <v>344.01636296989159</v>
      </c>
      <c r="I22" s="28">
        <f t="shared" si="5"/>
        <v>9.4318993315238444</v>
      </c>
      <c r="J22" s="29">
        <f t="shared" si="6"/>
        <v>224.09767800000006</v>
      </c>
      <c r="K22" s="29">
        <v>1</v>
      </c>
      <c r="L22" s="149" t="s">
        <v>8794</v>
      </c>
      <c r="M22" s="149" t="s">
        <v>8795</v>
      </c>
      <c r="Q22" s="45"/>
      <c r="S22" s="43"/>
    </row>
    <row r="23" spans="1:19" x14ac:dyDescent="0.2">
      <c r="A23" s="19">
        <f t="shared" si="7"/>
        <v>20</v>
      </c>
      <c r="B23" s="32" t="str">
        <f t="shared" si="0"/>
        <v>273x7,1</v>
      </c>
      <c r="C23" s="28">
        <v>273</v>
      </c>
      <c r="D23" s="28">
        <v>7.1</v>
      </c>
      <c r="E23" s="31">
        <f t="shared" si="1"/>
        <v>59.309813547856329</v>
      </c>
      <c r="F23" s="31">
        <f t="shared" si="2"/>
        <v>46.558203635067223</v>
      </c>
      <c r="G23" s="29">
        <f t="shared" si="3"/>
        <v>5245.4503576380757</v>
      </c>
      <c r="H23" s="29">
        <f t="shared" si="4"/>
        <v>384.28207748264293</v>
      </c>
      <c r="I23" s="28">
        <f t="shared" si="5"/>
        <v>9.4043354363825209</v>
      </c>
      <c r="J23" s="29">
        <f t="shared" si="6"/>
        <v>251.05462733333303</v>
      </c>
      <c r="K23" s="29">
        <v>1</v>
      </c>
      <c r="L23" s="149" t="s">
        <v>8794</v>
      </c>
      <c r="M23" s="149" t="s">
        <v>8795</v>
      </c>
      <c r="S23" s="43"/>
    </row>
    <row r="24" spans="1:19" x14ac:dyDescent="0.2">
      <c r="A24" s="19">
        <f t="shared" si="7"/>
        <v>21</v>
      </c>
      <c r="B24" s="28" t="str">
        <f t="shared" si="0"/>
        <v>273x8,8</v>
      </c>
      <c r="C24" s="28">
        <v>273</v>
      </c>
      <c r="D24" s="28">
        <v>8.8000000000000007</v>
      </c>
      <c r="E24" s="31">
        <f t="shared" si="1"/>
        <v>73.040772558901224</v>
      </c>
      <c r="F24" s="31">
        <f t="shared" si="2"/>
        <v>57.337006458737463</v>
      </c>
      <c r="G24" s="29">
        <f t="shared" si="3"/>
        <v>6380.0274861315784</v>
      </c>
      <c r="H24" s="29">
        <f t="shared" si="4"/>
        <v>467.40128103528048</v>
      </c>
      <c r="I24" s="28">
        <f t="shared" si="5"/>
        <v>9.3460606674684055</v>
      </c>
      <c r="J24" s="29">
        <f t="shared" si="6"/>
        <v>307.24079466666632</v>
      </c>
      <c r="K24" s="29">
        <v>1</v>
      </c>
      <c r="L24" s="149" t="s">
        <v>8794</v>
      </c>
      <c r="M24" s="149" t="s">
        <v>8795</v>
      </c>
      <c r="S24" s="43"/>
    </row>
    <row r="25" spans="1:19" x14ac:dyDescent="0.2">
      <c r="A25" s="19">
        <f t="shared" si="7"/>
        <v>22</v>
      </c>
      <c r="B25" s="28" t="str">
        <f t="shared" si="0"/>
        <v>273x10</v>
      </c>
      <c r="C25" s="28">
        <v>273</v>
      </c>
      <c r="D25" s="28">
        <v>10</v>
      </c>
      <c r="E25" s="31">
        <f t="shared" si="1"/>
        <v>82.623886789411557</v>
      </c>
      <c r="F25" s="31">
        <f t="shared" si="2"/>
        <v>64.859751129688078</v>
      </c>
      <c r="G25" s="29">
        <f t="shared" si="3"/>
        <v>7154.0925175196871</v>
      </c>
      <c r="H25" s="29">
        <f t="shared" si="4"/>
        <v>524.10934194283425</v>
      </c>
      <c r="I25" s="28">
        <f t="shared" si="5"/>
        <v>9.3051732923143362</v>
      </c>
      <c r="J25" s="29">
        <f t="shared" si="6"/>
        <v>346.01166666666649</v>
      </c>
      <c r="K25" s="29">
        <v>1</v>
      </c>
      <c r="L25" s="149" t="s">
        <v>8794</v>
      </c>
      <c r="M25" s="149" t="s">
        <v>8795</v>
      </c>
      <c r="S25" s="43"/>
    </row>
    <row r="26" spans="1:19" x14ac:dyDescent="0.2">
      <c r="A26" s="19">
        <f t="shared" si="7"/>
        <v>23</v>
      </c>
      <c r="B26" s="28" t="str">
        <f t="shared" si="0"/>
        <v>273x11</v>
      </c>
      <c r="C26" s="28">
        <v>273</v>
      </c>
      <c r="D26" s="28">
        <v>11</v>
      </c>
      <c r="E26" s="31">
        <f t="shared" si="1"/>
        <v>90.540700276457841</v>
      </c>
      <c r="F26" s="31">
        <f t="shared" si="2"/>
        <v>71.074449717019405</v>
      </c>
      <c r="G26" s="29">
        <f t="shared" si="3"/>
        <v>7782.5390681382787</v>
      </c>
      <c r="H26" s="29">
        <f t="shared" si="4"/>
        <v>570.14938228119263</v>
      </c>
      <c r="I26" s="28">
        <f t="shared" si="5"/>
        <v>9.2712593535074834</v>
      </c>
      <c r="J26" s="29">
        <f t="shared" si="6"/>
        <v>377.76383333333325</v>
      </c>
      <c r="K26" s="29">
        <v>1</v>
      </c>
      <c r="L26" s="149" t="s">
        <v>8794</v>
      </c>
      <c r="M26" s="149" t="s">
        <v>8795</v>
      </c>
      <c r="S26" s="43"/>
    </row>
    <row r="27" spans="1:19" x14ac:dyDescent="0.2">
      <c r="A27" s="19">
        <f t="shared" si="7"/>
        <v>24</v>
      </c>
      <c r="B27" s="28" t="str">
        <f t="shared" si="0"/>
        <v>324x7,1</v>
      </c>
      <c r="C27" s="28">
        <v>323.89999999999998</v>
      </c>
      <c r="D27" s="28">
        <v>7.1</v>
      </c>
      <c r="E27" s="31">
        <f t="shared" si="1"/>
        <v>70.663215238664463</v>
      </c>
      <c r="F27" s="31">
        <f t="shared" si="2"/>
        <v>55.470623962351603</v>
      </c>
      <c r="G27" s="29">
        <f t="shared" si="3"/>
        <v>8869.3508745433537</v>
      </c>
      <c r="H27" s="29">
        <f t="shared" si="4"/>
        <v>547.65982553524884</v>
      </c>
      <c r="I27" s="28">
        <f t="shared" si="5"/>
        <v>11.203383975388865</v>
      </c>
      <c r="J27" s="29">
        <f t="shared" si="6"/>
        <v>356.34560383333263</v>
      </c>
      <c r="K27" s="29">
        <v>1</v>
      </c>
      <c r="L27" s="149" t="s">
        <v>8794</v>
      </c>
      <c r="M27" s="149" t="s">
        <v>8795</v>
      </c>
      <c r="S27" s="43"/>
    </row>
    <row r="28" spans="1:19" x14ac:dyDescent="0.2">
      <c r="A28" s="19">
        <f t="shared" si="7"/>
        <v>25</v>
      </c>
      <c r="B28" s="28" t="str">
        <f t="shared" si="0"/>
        <v>324x8,8</v>
      </c>
      <c r="C28" s="28">
        <v>323.89999999999998</v>
      </c>
      <c r="D28" s="28">
        <v>8.8000000000000007</v>
      </c>
      <c r="E28" s="31">
        <f t="shared" si="1"/>
        <v>87.112594372860798</v>
      </c>
      <c r="F28" s="31">
        <f t="shared" si="2"/>
        <v>68.383386582695735</v>
      </c>
      <c r="G28" s="29">
        <f t="shared" si="3"/>
        <v>10819.97767565848</v>
      </c>
      <c r="H28" s="29">
        <f t="shared" si="4"/>
        <v>668.10606209684966</v>
      </c>
      <c r="I28" s="28">
        <f t="shared" si="5"/>
        <v>11.144811012305235</v>
      </c>
      <c r="J28" s="29">
        <f t="shared" si="6"/>
        <v>436.98082266666739</v>
      </c>
      <c r="K28" s="29">
        <v>1</v>
      </c>
      <c r="L28" s="149" t="s">
        <v>8794</v>
      </c>
      <c r="M28" s="149" t="s">
        <v>8795</v>
      </c>
      <c r="S28" s="43"/>
    </row>
    <row r="29" spans="1:19" x14ac:dyDescent="0.2">
      <c r="A29" s="19">
        <f t="shared" si="7"/>
        <v>26</v>
      </c>
      <c r="B29" s="32" t="str">
        <f t="shared" si="0"/>
        <v>324x10</v>
      </c>
      <c r="C29" s="28">
        <v>323.89999999999998</v>
      </c>
      <c r="D29" s="28">
        <v>10</v>
      </c>
      <c r="E29" s="31">
        <f t="shared" si="1"/>
        <v>98.614593396183608</v>
      </c>
      <c r="F29" s="31">
        <f t="shared" si="2"/>
        <v>77.41245581600414</v>
      </c>
      <c r="G29" s="29">
        <f t="shared" si="3"/>
        <v>12158.342374387992</v>
      </c>
      <c r="H29" s="29">
        <f t="shared" si="4"/>
        <v>750.74667331818409</v>
      </c>
      <c r="I29" s="28">
        <f t="shared" si="5"/>
        <v>11.1036711271543</v>
      </c>
      <c r="J29" s="29">
        <f t="shared" si="6"/>
        <v>492.83271666666678</v>
      </c>
      <c r="K29" s="29">
        <v>1</v>
      </c>
      <c r="L29" s="149" t="s">
        <v>8794</v>
      </c>
      <c r="M29" s="149" t="s">
        <v>8795</v>
      </c>
      <c r="S29" s="43"/>
    </row>
    <row r="30" spans="1:19" x14ac:dyDescent="0.2">
      <c r="A30" s="19">
        <f t="shared" si="7"/>
        <v>27</v>
      </c>
      <c r="B30" s="32" t="str">
        <f t="shared" si="0"/>
        <v>324x11</v>
      </c>
      <c r="C30" s="28">
        <v>323.89999999999998</v>
      </c>
      <c r="D30" s="28">
        <v>11</v>
      </c>
      <c r="E30" s="31">
        <f t="shared" si="1"/>
        <v>108.13047754390713</v>
      </c>
      <c r="F30" s="31">
        <f t="shared" si="2"/>
        <v>84.882424871967103</v>
      </c>
      <c r="G30" s="29">
        <f t="shared" si="3"/>
        <v>13249.688319615474</v>
      </c>
      <c r="H30" s="29">
        <f t="shared" si="4"/>
        <v>818.13450568789597</v>
      </c>
      <c r="I30" s="28">
        <f t="shared" si="5"/>
        <v>11.069519524351543</v>
      </c>
      <c r="J30" s="29">
        <f t="shared" si="6"/>
        <v>538.70708833333379</v>
      </c>
      <c r="K30" s="29">
        <v>1</v>
      </c>
      <c r="L30" s="149" t="s">
        <v>8794</v>
      </c>
      <c r="M30" s="149" t="s">
        <v>8795</v>
      </c>
      <c r="S30" s="43"/>
    </row>
    <row r="31" spans="1:19" x14ac:dyDescent="0.2">
      <c r="A31" s="19">
        <f t="shared" si="7"/>
        <v>28</v>
      </c>
      <c r="B31" s="32" t="str">
        <f t="shared" si="0"/>
        <v>324x12,5</v>
      </c>
      <c r="C31" s="28">
        <v>323.89999999999998</v>
      </c>
      <c r="D31" s="28">
        <v>12.5</v>
      </c>
      <c r="E31" s="31">
        <f t="shared" si="1"/>
        <v>122.28649404098269</v>
      </c>
      <c r="F31" s="31">
        <f t="shared" si="2"/>
        <v>95.99489782217141</v>
      </c>
      <c r="G31" s="29">
        <f t="shared" si="3"/>
        <v>14846.529625485295</v>
      </c>
      <c r="H31" s="29">
        <f t="shared" si="4"/>
        <v>916.73538903891915</v>
      </c>
      <c r="I31" s="28">
        <f t="shared" si="5"/>
        <v>11.018519070183617</v>
      </c>
      <c r="J31" s="29">
        <f t="shared" si="6"/>
        <v>606.38777083333343</v>
      </c>
      <c r="K31" s="29">
        <v>1</v>
      </c>
      <c r="L31" s="149" t="s">
        <v>8794</v>
      </c>
      <c r="M31" s="149" t="s">
        <v>8795</v>
      </c>
      <c r="S31" s="43"/>
    </row>
    <row r="32" spans="1:19" x14ac:dyDescent="0.2">
      <c r="A32" s="19">
        <f t="shared" si="7"/>
        <v>29</v>
      </c>
      <c r="B32" s="32" t="str">
        <f t="shared" si="0"/>
        <v>356x8</v>
      </c>
      <c r="C32" s="28">
        <v>355.6</v>
      </c>
      <c r="D32" s="28">
        <v>8</v>
      </c>
      <c r="E32" s="31">
        <f t="shared" si="1"/>
        <v>87.361408511024948</v>
      </c>
      <c r="F32" s="31">
        <f t="shared" si="2"/>
        <v>68.578705681154588</v>
      </c>
      <c r="G32" s="29">
        <f t="shared" si="3"/>
        <v>13201.374635199709</v>
      </c>
      <c r="H32" s="29">
        <f t="shared" si="4"/>
        <v>742.48451266590041</v>
      </c>
      <c r="I32" s="28">
        <f t="shared" si="5"/>
        <v>12.29277023294587</v>
      </c>
      <c r="J32" s="29">
        <f t="shared" si="6"/>
        <v>483.38837333333402</v>
      </c>
      <c r="K32" s="29">
        <v>1</v>
      </c>
      <c r="L32" s="149" t="s">
        <v>8794</v>
      </c>
      <c r="M32" s="149" t="s">
        <v>8795</v>
      </c>
      <c r="S32" s="43"/>
    </row>
    <row r="33" spans="1:19" x14ac:dyDescent="0.2">
      <c r="A33" s="19">
        <f t="shared" si="7"/>
        <v>30</v>
      </c>
      <c r="B33" s="32" t="str">
        <f t="shared" si="0"/>
        <v>356x10</v>
      </c>
      <c r="C33" s="28">
        <v>355.6</v>
      </c>
      <c r="D33" s="28">
        <v>10</v>
      </c>
      <c r="E33" s="31">
        <f t="shared" si="1"/>
        <v>108.57344210806325</v>
      </c>
      <c r="F33" s="31">
        <f t="shared" si="2"/>
        <v>85.230152054829659</v>
      </c>
      <c r="G33" s="29">
        <f t="shared" si="3"/>
        <v>16223.499728243667</v>
      </c>
      <c r="H33" s="29">
        <f t="shared" si="4"/>
        <v>912.45780248839515</v>
      </c>
      <c r="I33" s="28">
        <f t="shared" si="5"/>
        <v>12.223919175125465</v>
      </c>
      <c r="J33" s="29">
        <f t="shared" si="6"/>
        <v>597.36346666666725</v>
      </c>
      <c r="K33" s="29">
        <v>1</v>
      </c>
      <c r="L33" s="149" t="s">
        <v>8794</v>
      </c>
      <c r="M33" s="149" t="s">
        <v>8795</v>
      </c>
      <c r="S33" s="43"/>
    </row>
    <row r="34" spans="1:19" x14ac:dyDescent="0.2">
      <c r="A34" s="19">
        <f t="shared" si="7"/>
        <v>31</v>
      </c>
      <c r="B34" s="32" t="str">
        <f t="shared" si="0"/>
        <v>356x12,2</v>
      </c>
      <c r="C34" s="28">
        <v>355.6</v>
      </c>
      <c r="D34" s="28">
        <v>12.2</v>
      </c>
      <c r="E34" s="31">
        <f t="shared" si="1"/>
        <v>131.61639590361355</v>
      </c>
      <c r="F34" s="31">
        <f t="shared" si="2"/>
        <v>103.31887078433664</v>
      </c>
      <c r="G34" s="29">
        <f t="shared" si="3"/>
        <v>19425.329679612274</v>
      </c>
      <c r="H34" s="29">
        <f t="shared" si="4"/>
        <v>1092.5382271997903</v>
      </c>
      <c r="I34" s="28">
        <f t="shared" si="5"/>
        <v>12.14868305619996</v>
      </c>
      <c r="J34" s="29">
        <f t="shared" si="6"/>
        <v>719.63635733333274</v>
      </c>
      <c r="K34" s="29">
        <v>1</v>
      </c>
      <c r="L34" s="149" t="s">
        <v>8794</v>
      </c>
      <c r="M34" s="149" t="s">
        <v>8795</v>
      </c>
      <c r="S34" s="43"/>
    </row>
    <row r="35" spans="1:19" x14ac:dyDescent="0.2">
      <c r="A35" s="19">
        <f t="shared" si="7"/>
        <v>32</v>
      </c>
      <c r="B35" s="32" t="str">
        <f t="shared" si="0"/>
        <v>406x8,8</v>
      </c>
      <c r="C35" s="28">
        <v>406.4</v>
      </c>
      <c r="D35" s="28">
        <v>8.8000000000000007</v>
      </c>
      <c r="E35" s="31">
        <f t="shared" si="1"/>
        <v>109.92055703792271</v>
      </c>
      <c r="F35" s="31">
        <f t="shared" si="2"/>
        <v>86.287637274769324</v>
      </c>
      <c r="G35" s="29">
        <f t="shared" si="3"/>
        <v>21731.733808625464</v>
      </c>
      <c r="H35" s="29">
        <f t="shared" si="4"/>
        <v>1069.4750890071587</v>
      </c>
      <c r="I35" s="28">
        <f t="shared" si="5"/>
        <v>14.060725443589316</v>
      </c>
      <c r="J35" s="29">
        <f t="shared" si="6"/>
        <v>695.69092266666792</v>
      </c>
      <c r="K35" s="29">
        <v>1</v>
      </c>
      <c r="L35" s="149" t="s">
        <v>8794</v>
      </c>
      <c r="M35" s="149" t="s">
        <v>8795</v>
      </c>
      <c r="S35" s="43"/>
    </row>
    <row r="36" spans="1:19" x14ac:dyDescent="0.2">
      <c r="A36" s="19">
        <f t="shared" si="7"/>
        <v>33</v>
      </c>
      <c r="B36" s="32" t="str">
        <f t="shared" ref="B36:B67" si="8">+ROUND(C36,0)&amp;"x"&amp;D36</f>
        <v>406x12,5</v>
      </c>
      <c r="C36" s="28">
        <v>406.4</v>
      </c>
      <c r="D36" s="28">
        <v>12.5</v>
      </c>
      <c r="E36" s="31">
        <f t="shared" ref="E36:E67" si="9">+(C36^2-(C36-D36*2)^2)*PI()/4/100</f>
        <v>154.68416828112743</v>
      </c>
      <c r="F36" s="31">
        <f t="shared" ref="F36:F67" si="10">+E36*0.785</f>
        <v>121.42707210068504</v>
      </c>
      <c r="G36" s="29">
        <f t="shared" ref="G36:G67" si="11">+(C36^4-(C36-D36*2)^4)*PI()/64/10000</f>
        <v>30030.666728705204</v>
      </c>
      <c r="H36" s="29">
        <f t="shared" ref="H36:H67" si="12">+(C36^4-(C36-D36*2)^4)*PI()/32/C36/1000</f>
        <v>1477.8871421606893</v>
      </c>
      <c r="I36" s="28">
        <f t="shared" ref="I36:I67" si="13">+SQRT(G36/E36)</f>
        <v>13.933478567823617</v>
      </c>
      <c r="J36" s="29">
        <f t="shared" ref="J36:J67" si="14">+(C36/2*4/3/PI()*C36^2*PI()/4/2-(C36-2*D36)/2*4/3/PI()*(C36-2*D36)^2*PI()/4/2)/1000</f>
        <v>970.05808333333493</v>
      </c>
      <c r="K36" s="29">
        <v>1</v>
      </c>
      <c r="L36" s="149" t="s">
        <v>8794</v>
      </c>
      <c r="M36" s="149" t="s">
        <v>8795</v>
      </c>
      <c r="S36" s="43"/>
    </row>
    <row r="37" spans="1:19" x14ac:dyDescent="0.2">
      <c r="A37" s="19">
        <f t="shared" si="7"/>
        <v>34</v>
      </c>
      <c r="B37" s="32" t="str">
        <f t="shared" si="8"/>
        <v>406x17,5</v>
      </c>
      <c r="C37" s="28">
        <v>406.4</v>
      </c>
      <c r="D37" s="28">
        <v>17.5</v>
      </c>
      <c r="E37" s="31">
        <f t="shared" si="9"/>
        <v>213.80894202168736</v>
      </c>
      <c r="F37" s="31">
        <f t="shared" si="10"/>
        <v>167.84001948702459</v>
      </c>
      <c r="G37" s="29">
        <f t="shared" si="11"/>
        <v>40503.287133197526</v>
      </c>
      <c r="H37" s="29">
        <f t="shared" si="12"/>
        <v>1993.2720045864926</v>
      </c>
      <c r="I37" s="28">
        <f t="shared" si="13"/>
        <v>13.763605087330861</v>
      </c>
      <c r="J37" s="29">
        <f t="shared" si="14"/>
        <v>1324.2713166666674</v>
      </c>
      <c r="K37" s="29">
        <v>1</v>
      </c>
      <c r="L37" s="149" t="s">
        <v>8794</v>
      </c>
      <c r="M37" s="149" t="s">
        <v>8795</v>
      </c>
      <c r="S37" s="43"/>
    </row>
    <row r="38" spans="1:19" x14ac:dyDescent="0.2">
      <c r="A38" s="19">
        <f t="shared" si="7"/>
        <v>35</v>
      </c>
      <c r="B38" s="32" t="str">
        <f t="shared" si="8"/>
        <v>457x10</v>
      </c>
      <c r="C38" s="28">
        <v>457</v>
      </c>
      <c r="D38" s="28">
        <v>10</v>
      </c>
      <c r="E38" s="31">
        <f t="shared" si="9"/>
        <v>140.42919161546376</v>
      </c>
      <c r="F38" s="31">
        <f t="shared" si="10"/>
        <v>110.23691541813906</v>
      </c>
      <c r="G38" s="29">
        <f t="shared" si="11"/>
        <v>35091.324083319683</v>
      </c>
      <c r="H38" s="29">
        <f t="shared" si="12"/>
        <v>1535.7253428148658</v>
      </c>
      <c r="I38" s="28">
        <f t="shared" si="13"/>
        <v>15.807790800741261</v>
      </c>
      <c r="J38" s="29">
        <f t="shared" si="14"/>
        <v>999.21166666666693</v>
      </c>
      <c r="K38" s="29">
        <v>1</v>
      </c>
      <c r="L38" s="149" t="s">
        <v>8794</v>
      </c>
      <c r="M38" s="149" t="s">
        <v>8795</v>
      </c>
      <c r="S38" s="43"/>
    </row>
    <row r="39" spans="1:19" x14ac:dyDescent="0.2">
      <c r="A39" s="19">
        <f t="shared" si="7"/>
        <v>36</v>
      </c>
      <c r="B39" s="32" t="str">
        <f t="shared" si="8"/>
        <v>457x14,2</v>
      </c>
      <c r="C39" s="28">
        <v>457</v>
      </c>
      <c r="D39" s="28">
        <v>14.2</v>
      </c>
      <c r="E39" s="31">
        <f t="shared" si="9"/>
        <v>197.53580623535743</v>
      </c>
      <c r="F39" s="31">
        <f t="shared" si="10"/>
        <v>155.06560789475557</v>
      </c>
      <c r="G39" s="29">
        <f t="shared" si="11"/>
        <v>48463.800143024135</v>
      </c>
      <c r="H39" s="29">
        <f t="shared" si="12"/>
        <v>2120.9540543993053</v>
      </c>
      <c r="I39" s="28">
        <f t="shared" si="13"/>
        <v>15.663392033656057</v>
      </c>
      <c r="J39" s="29">
        <f t="shared" si="14"/>
        <v>1392.5872786666657</v>
      </c>
      <c r="K39" s="29">
        <v>1</v>
      </c>
      <c r="L39" s="149" t="s">
        <v>8794</v>
      </c>
      <c r="M39" s="149" t="s">
        <v>8795</v>
      </c>
      <c r="S39" s="43"/>
    </row>
    <row r="40" spans="1:19" x14ac:dyDescent="0.2">
      <c r="A40" s="19">
        <f t="shared" si="7"/>
        <v>37</v>
      </c>
      <c r="B40" s="32" t="str">
        <f t="shared" si="8"/>
        <v>457x17,5</v>
      </c>
      <c r="C40" s="28">
        <v>457</v>
      </c>
      <c r="D40" s="28">
        <v>17.5</v>
      </c>
      <c r="E40" s="31">
        <f t="shared" si="9"/>
        <v>241.62774496922495</v>
      </c>
      <c r="F40" s="31">
        <f t="shared" si="10"/>
        <v>189.67777980084159</v>
      </c>
      <c r="G40" s="29">
        <f t="shared" si="11"/>
        <v>58433.592652610707</v>
      </c>
      <c r="H40" s="29">
        <f t="shared" si="12"/>
        <v>2557.2688250595493</v>
      </c>
      <c r="I40" s="28">
        <f t="shared" si="13"/>
        <v>15.550984695510444</v>
      </c>
      <c r="J40" s="29">
        <f t="shared" si="14"/>
        <v>1691.0454166666671</v>
      </c>
      <c r="K40" s="29">
        <v>1</v>
      </c>
      <c r="L40" s="149" t="s">
        <v>8794</v>
      </c>
      <c r="M40" s="149" t="s">
        <v>8795</v>
      </c>
      <c r="S40" s="43"/>
    </row>
    <row r="41" spans="1:19" x14ac:dyDescent="0.2">
      <c r="A41" s="19">
        <f t="shared" si="7"/>
        <v>38</v>
      </c>
      <c r="B41" s="32" t="str">
        <f t="shared" si="8"/>
        <v>508x14,2</v>
      </c>
      <c r="C41" s="28">
        <v>508</v>
      </c>
      <c r="D41" s="28">
        <v>14.2</v>
      </c>
      <c r="E41" s="31">
        <f t="shared" si="9"/>
        <v>220.28722023265462</v>
      </c>
      <c r="F41" s="31">
        <f t="shared" si="10"/>
        <v>172.92546788263388</v>
      </c>
      <c r="G41" s="29">
        <f t="shared" si="11"/>
        <v>67198.638560693318</v>
      </c>
      <c r="H41" s="29">
        <f t="shared" si="12"/>
        <v>2645.6156913658788</v>
      </c>
      <c r="I41" s="28">
        <f t="shared" si="13"/>
        <v>17.465683496502507</v>
      </c>
      <c r="J41" s="29">
        <f t="shared" si="14"/>
        <v>1731.730138666667</v>
      </c>
      <c r="K41" s="29">
        <v>1</v>
      </c>
      <c r="L41" s="149" t="s">
        <v>8794</v>
      </c>
      <c r="M41" s="149" t="s">
        <v>8795</v>
      </c>
      <c r="S41" s="43"/>
    </row>
    <row r="42" spans="1:19" x14ac:dyDescent="0.2">
      <c r="A42" s="19">
        <f t="shared" si="7"/>
        <v>39</v>
      </c>
      <c r="B42" s="32" t="str">
        <f t="shared" si="8"/>
        <v>508x20</v>
      </c>
      <c r="C42" s="28">
        <v>508</v>
      </c>
      <c r="D42" s="28">
        <v>20</v>
      </c>
      <c r="E42" s="31">
        <f t="shared" si="9"/>
        <v>306.61944299036384</v>
      </c>
      <c r="F42" s="31">
        <f t="shared" si="10"/>
        <v>240.69626274743561</v>
      </c>
      <c r="G42" s="29">
        <f t="shared" si="11"/>
        <v>91427.785510866684</v>
      </c>
      <c r="H42" s="29">
        <f t="shared" si="12"/>
        <v>3599.5191146010507</v>
      </c>
      <c r="I42" s="28">
        <f t="shared" si="13"/>
        <v>17.267889274604467</v>
      </c>
      <c r="J42" s="29">
        <f t="shared" si="14"/>
        <v>2382.773333333334</v>
      </c>
      <c r="K42" s="29">
        <v>1</v>
      </c>
      <c r="L42" s="149" t="s">
        <v>8794</v>
      </c>
      <c r="M42" s="149" t="s">
        <v>8795</v>
      </c>
      <c r="S42" s="43"/>
    </row>
    <row r="43" spans="1:19" x14ac:dyDescent="0.2">
      <c r="A43" s="19">
        <f t="shared" si="7"/>
        <v>40</v>
      </c>
      <c r="B43" s="32" t="str">
        <f t="shared" si="8"/>
        <v>508x25</v>
      </c>
      <c r="C43" s="28">
        <v>508</v>
      </c>
      <c r="D43" s="28">
        <v>25</v>
      </c>
      <c r="E43" s="31">
        <f t="shared" si="9"/>
        <v>379.34731292096751</v>
      </c>
      <c r="F43" s="31">
        <f t="shared" si="10"/>
        <v>297.7876406429595</v>
      </c>
      <c r="G43" s="29">
        <f t="shared" si="11"/>
        <v>110918.309193244</v>
      </c>
      <c r="H43" s="29">
        <f t="shared" si="12"/>
        <v>4366.8625666631497</v>
      </c>
      <c r="I43" s="28">
        <f t="shared" si="13"/>
        <v>17.099488296437414</v>
      </c>
      <c r="J43" s="29">
        <f t="shared" si="14"/>
        <v>2918.7166666666681</v>
      </c>
      <c r="K43" s="29">
        <v>1</v>
      </c>
      <c r="L43" s="149" t="s">
        <v>8794</v>
      </c>
      <c r="M43" s="149" t="s">
        <v>8795</v>
      </c>
      <c r="S43" s="43"/>
    </row>
    <row r="44" spans="1:19" x14ac:dyDescent="0.2">
      <c r="A44" s="19">
        <f>+A42+1</f>
        <v>40</v>
      </c>
      <c r="B44" s="32" t="str">
        <f t="shared" si="8"/>
        <v>559x12,5</v>
      </c>
      <c r="C44" s="28">
        <v>559</v>
      </c>
      <c r="D44" s="28">
        <v>12.5</v>
      </c>
      <c r="E44" s="31">
        <f t="shared" si="9"/>
        <v>214.61004814835272</v>
      </c>
      <c r="F44" s="31">
        <f t="shared" si="10"/>
        <v>168.4688877964569</v>
      </c>
      <c r="G44" s="29">
        <f t="shared" si="11"/>
        <v>80161.815840773183</v>
      </c>
      <c r="H44" s="29">
        <f t="shared" si="12"/>
        <v>2868.0435005643353</v>
      </c>
      <c r="I44" s="28">
        <f t="shared" si="13"/>
        <v>19.326746363524308</v>
      </c>
      <c r="J44" s="29">
        <f t="shared" si="14"/>
        <v>1866.9645833333338</v>
      </c>
      <c r="K44" s="29">
        <v>1</v>
      </c>
      <c r="L44" s="149" t="s">
        <v>8794</v>
      </c>
      <c r="M44" s="149" t="s">
        <v>8795</v>
      </c>
      <c r="S44" s="43"/>
    </row>
    <row r="45" spans="1:19" x14ac:dyDescent="0.2">
      <c r="A45" s="19">
        <f t="shared" ref="A45:A58" si="15">+A44+1</f>
        <v>41</v>
      </c>
      <c r="B45" s="32" t="str">
        <f t="shared" si="8"/>
        <v>559x16</v>
      </c>
      <c r="C45" s="28">
        <v>559</v>
      </c>
      <c r="D45" s="28">
        <v>16</v>
      </c>
      <c r="E45" s="31">
        <f t="shared" si="9"/>
        <v>272.94156974388125</v>
      </c>
      <c r="F45" s="31">
        <f t="shared" si="10"/>
        <v>214.2591322489468</v>
      </c>
      <c r="G45" s="29">
        <f t="shared" si="11"/>
        <v>100683.02742408508</v>
      </c>
      <c r="H45" s="29">
        <f t="shared" si="12"/>
        <v>3602.2550062284463</v>
      </c>
      <c r="I45" s="28">
        <f t="shared" si="13"/>
        <v>19.206281524542952</v>
      </c>
      <c r="J45" s="29">
        <f t="shared" si="14"/>
        <v>2359.4746666666679</v>
      </c>
      <c r="K45" s="29">
        <v>1</v>
      </c>
      <c r="L45" s="149" t="s">
        <v>8794</v>
      </c>
      <c r="M45" s="149" t="s">
        <v>8795</v>
      </c>
      <c r="S45" s="43"/>
    </row>
    <row r="46" spans="1:19" x14ac:dyDescent="0.2">
      <c r="A46" s="19">
        <f t="shared" si="15"/>
        <v>42</v>
      </c>
      <c r="B46" s="32" t="str">
        <f t="shared" si="8"/>
        <v>559x20</v>
      </c>
      <c r="C46" s="28">
        <v>559</v>
      </c>
      <c r="D46" s="28">
        <v>20</v>
      </c>
      <c r="E46" s="31">
        <f t="shared" si="9"/>
        <v>338.66368805697965</v>
      </c>
      <c r="F46" s="31">
        <f t="shared" si="10"/>
        <v>265.85099512472902</v>
      </c>
      <c r="G46" s="29">
        <f t="shared" si="11"/>
        <v>123155.47349153073</v>
      </c>
      <c r="H46" s="29">
        <f t="shared" si="12"/>
        <v>4406.2781213427807</v>
      </c>
      <c r="I46" s="28">
        <f t="shared" si="13"/>
        <v>19.069642104664684</v>
      </c>
      <c r="J46" s="29">
        <f t="shared" si="14"/>
        <v>2906.543333333334</v>
      </c>
      <c r="K46" s="29">
        <v>1</v>
      </c>
      <c r="L46" s="149" t="s">
        <v>8794</v>
      </c>
      <c r="M46" s="149" t="s">
        <v>8795</v>
      </c>
      <c r="S46" s="43"/>
    </row>
    <row r="47" spans="1:19" x14ac:dyDescent="0.2">
      <c r="A47" s="19">
        <f t="shared" si="15"/>
        <v>43</v>
      </c>
      <c r="B47" s="32" t="str">
        <f t="shared" si="8"/>
        <v>559x25</v>
      </c>
      <c r="C47" s="28">
        <v>559</v>
      </c>
      <c r="D47" s="28">
        <v>25</v>
      </c>
      <c r="E47" s="31">
        <f t="shared" si="9"/>
        <v>419.40261925423738</v>
      </c>
      <c r="F47" s="31">
        <f t="shared" si="10"/>
        <v>329.23105611457635</v>
      </c>
      <c r="G47" s="29">
        <f t="shared" si="11"/>
        <v>149821.62491636901</v>
      </c>
      <c r="H47" s="29">
        <f t="shared" si="12"/>
        <v>5360.3443619452237</v>
      </c>
      <c r="I47" s="28">
        <f t="shared" si="13"/>
        <v>18.900429889290876</v>
      </c>
      <c r="J47" s="29">
        <f t="shared" si="14"/>
        <v>3567.0541666666677</v>
      </c>
      <c r="K47" s="29">
        <v>1</v>
      </c>
      <c r="L47" s="149" t="s">
        <v>8794</v>
      </c>
      <c r="M47" s="149" t="s">
        <v>8795</v>
      </c>
      <c r="S47" s="43"/>
    </row>
    <row r="48" spans="1:19" x14ac:dyDescent="0.2">
      <c r="A48" s="19">
        <f t="shared" si="15"/>
        <v>44</v>
      </c>
      <c r="B48" s="32" t="str">
        <f t="shared" si="8"/>
        <v>559x30</v>
      </c>
      <c r="C48" s="28">
        <v>559</v>
      </c>
      <c r="D48" s="28">
        <v>30</v>
      </c>
      <c r="E48" s="31">
        <f t="shared" si="9"/>
        <v>498.57075412470016</v>
      </c>
      <c r="F48" s="31">
        <f t="shared" si="10"/>
        <v>391.37804198788962</v>
      </c>
      <c r="G48" s="29">
        <f t="shared" si="11"/>
        <v>174961.56510465307</v>
      </c>
      <c r="H48" s="29">
        <f t="shared" si="12"/>
        <v>6259.8055493614693</v>
      </c>
      <c r="I48" s="28">
        <f t="shared" si="13"/>
        <v>18.733025649905038</v>
      </c>
      <c r="J48" s="29">
        <f t="shared" si="14"/>
        <v>4202.1149999999998</v>
      </c>
      <c r="K48" s="29">
        <v>1</v>
      </c>
      <c r="L48" s="149" t="s">
        <v>8794</v>
      </c>
      <c r="M48" s="149" t="s">
        <v>8795</v>
      </c>
      <c r="S48" s="43"/>
    </row>
    <row r="49" spans="1:19" x14ac:dyDescent="0.2">
      <c r="A49" s="19">
        <f t="shared" si="15"/>
        <v>45</v>
      </c>
      <c r="B49" s="32" t="str">
        <f t="shared" si="8"/>
        <v>610x12,5</v>
      </c>
      <c r="C49" s="28">
        <v>610</v>
      </c>
      <c r="D49" s="28">
        <v>12.5</v>
      </c>
      <c r="E49" s="31">
        <f t="shared" si="9"/>
        <v>234.63770131498768</v>
      </c>
      <c r="F49" s="31">
        <f t="shared" si="10"/>
        <v>184.19059553226535</v>
      </c>
      <c r="G49" s="29">
        <f t="shared" si="11"/>
        <v>104754.73499489286</v>
      </c>
      <c r="H49" s="29">
        <f t="shared" si="12"/>
        <v>3434.5814752423889</v>
      </c>
      <c r="I49" s="28">
        <f t="shared" si="13"/>
        <v>21.12943740377391</v>
      </c>
      <c r="J49" s="29">
        <f t="shared" si="14"/>
        <v>2231.6145833333339</v>
      </c>
      <c r="K49" s="29">
        <v>1</v>
      </c>
      <c r="L49" s="149" t="s">
        <v>8794</v>
      </c>
      <c r="M49" s="149" t="s">
        <v>8795</v>
      </c>
      <c r="S49" s="43"/>
    </row>
    <row r="50" spans="1:19" x14ac:dyDescent="0.2">
      <c r="A50" s="19">
        <f t="shared" si="15"/>
        <v>46</v>
      </c>
      <c r="B50" s="32" t="str">
        <f t="shared" si="8"/>
        <v>610x16</v>
      </c>
      <c r="C50" s="28">
        <v>610</v>
      </c>
      <c r="D50" s="28">
        <v>16</v>
      </c>
      <c r="E50" s="31">
        <f t="shared" si="9"/>
        <v>298.57696579717395</v>
      </c>
      <c r="F50" s="31">
        <f t="shared" si="10"/>
        <v>234.38291815078156</v>
      </c>
      <c r="G50" s="29">
        <f t="shared" si="11"/>
        <v>131781.42250906967</v>
      </c>
      <c r="H50" s="29">
        <f t="shared" si="12"/>
        <v>4320.7023773465471</v>
      </c>
      <c r="I50" s="28">
        <f t="shared" si="13"/>
        <v>21.008688678734806</v>
      </c>
      <c r="J50" s="29">
        <f t="shared" si="14"/>
        <v>2823.3706666666681</v>
      </c>
      <c r="K50" s="29">
        <v>1</v>
      </c>
      <c r="L50" s="149" t="s">
        <v>8794</v>
      </c>
      <c r="M50" s="149" t="s">
        <v>8795</v>
      </c>
      <c r="S50" s="43"/>
    </row>
    <row r="51" spans="1:19" x14ac:dyDescent="0.2">
      <c r="A51" s="19">
        <f t="shared" si="15"/>
        <v>47</v>
      </c>
      <c r="B51" s="32" t="str">
        <f t="shared" si="8"/>
        <v>610x20</v>
      </c>
      <c r="C51" s="28">
        <v>610</v>
      </c>
      <c r="D51" s="28">
        <v>20</v>
      </c>
      <c r="E51" s="31">
        <f t="shared" si="9"/>
        <v>370.70793312359558</v>
      </c>
      <c r="F51" s="31">
        <f t="shared" si="10"/>
        <v>291.00572750202252</v>
      </c>
      <c r="G51" s="29">
        <f t="shared" si="11"/>
        <v>161489.64336696631</v>
      </c>
      <c r="H51" s="29">
        <f t="shared" si="12"/>
        <v>5294.7424054743051</v>
      </c>
      <c r="I51" s="28">
        <f t="shared" si="13"/>
        <v>20.8716314647418</v>
      </c>
      <c r="J51" s="29">
        <f t="shared" si="14"/>
        <v>3482.3333333333339</v>
      </c>
      <c r="K51" s="29">
        <v>1</v>
      </c>
      <c r="L51" s="149" t="s">
        <v>8794</v>
      </c>
      <c r="M51" s="149" t="s">
        <v>8795</v>
      </c>
      <c r="S51" s="43"/>
    </row>
    <row r="52" spans="1:19" x14ac:dyDescent="0.2">
      <c r="A52" s="19">
        <f t="shared" si="15"/>
        <v>48</v>
      </c>
      <c r="B52" s="32" t="str">
        <f t="shared" si="8"/>
        <v>660x14,2</v>
      </c>
      <c r="C52" s="28">
        <v>660</v>
      </c>
      <c r="D52" s="28">
        <v>14.2</v>
      </c>
      <c r="E52" s="31">
        <f t="shared" si="9"/>
        <v>288.09535606773647</v>
      </c>
      <c r="F52" s="31">
        <f t="shared" si="10"/>
        <v>226.15485451317315</v>
      </c>
      <c r="G52" s="29">
        <f t="shared" si="11"/>
        <v>150263.07605520927</v>
      </c>
      <c r="H52" s="29">
        <f t="shared" si="12"/>
        <v>4553.4265471275539</v>
      </c>
      <c r="I52" s="28">
        <f t="shared" si="13"/>
        <v>22.837996847359452</v>
      </c>
      <c r="J52" s="29">
        <f t="shared" si="14"/>
        <v>2961.5864586666598</v>
      </c>
      <c r="K52" s="29">
        <v>1</v>
      </c>
      <c r="L52" s="149" t="s">
        <v>8794</v>
      </c>
      <c r="M52" s="149" t="s">
        <v>8795</v>
      </c>
      <c r="S52" s="43"/>
    </row>
    <row r="53" spans="1:19" x14ac:dyDescent="0.2">
      <c r="A53" s="19">
        <f t="shared" si="15"/>
        <v>49</v>
      </c>
      <c r="B53" s="32" t="str">
        <f t="shared" si="8"/>
        <v>660x20</v>
      </c>
      <c r="C53" s="28">
        <v>660</v>
      </c>
      <c r="D53" s="28">
        <v>20</v>
      </c>
      <c r="E53" s="31">
        <f t="shared" si="9"/>
        <v>402.12385965949352</v>
      </c>
      <c r="F53" s="31">
        <f t="shared" si="10"/>
        <v>315.66722983270245</v>
      </c>
      <c r="G53" s="29">
        <f t="shared" si="11"/>
        <v>206088.47807549042</v>
      </c>
      <c r="H53" s="29">
        <f t="shared" si="12"/>
        <v>6245.1053962269825</v>
      </c>
      <c r="I53" s="28">
        <f t="shared" si="13"/>
        <v>22.638462845343543</v>
      </c>
      <c r="J53" s="29">
        <f t="shared" si="14"/>
        <v>4097.3333333333358</v>
      </c>
      <c r="K53" s="29">
        <v>1</v>
      </c>
      <c r="L53" s="149" t="s">
        <v>8794</v>
      </c>
      <c r="M53" s="149" t="s">
        <v>8795</v>
      </c>
      <c r="S53" s="43"/>
    </row>
    <row r="54" spans="1:19" x14ac:dyDescent="0.2">
      <c r="A54" s="19">
        <f t="shared" si="15"/>
        <v>50</v>
      </c>
      <c r="B54" s="32" t="str">
        <f t="shared" si="8"/>
        <v>660x25</v>
      </c>
      <c r="C54" s="28">
        <v>660</v>
      </c>
      <c r="D54" s="28">
        <v>25</v>
      </c>
      <c r="E54" s="31">
        <f t="shared" si="9"/>
        <v>498.72783375737964</v>
      </c>
      <c r="F54" s="31">
        <f t="shared" si="10"/>
        <v>391.50134949954304</v>
      </c>
      <c r="G54" s="29">
        <f t="shared" si="11"/>
        <v>251764.04457864724</v>
      </c>
      <c r="H54" s="29">
        <f t="shared" si="12"/>
        <v>7629.2134720802196</v>
      </c>
      <c r="I54" s="28">
        <f t="shared" si="13"/>
        <v>22.468032846691319</v>
      </c>
      <c r="J54" s="29">
        <f t="shared" si="14"/>
        <v>5042.9166666666679</v>
      </c>
      <c r="K54" s="29">
        <v>1</v>
      </c>
      <c r="L54" s="149" t="s">
        <v>8794</v>
      </c>
      <c r="M54" s="149" t="s">
        <v>8795</v>
      </c>
      <c r="S54" s="43"/>
    </row>
    <row r="55" spans="1:19" x14ac:dyDescent="0.2">
      <c r="A55" s="19">
        <f t="shared" si="15"/>
        <v>51</v>
      </c>
      <c r="B55" s="32" t="str">
        <f t="shared" si="8"/>
        <v>711x20</v>
      </c>
      <c r="C55" s="28">
        <v>711</v>
      </c>
      <c r="D55" s="28">
        <v>20</v>
      </c>
      <c r="E55" s="31">
        <f t="shared" si="9"/>
        <v>434.16810472610939</v>
      </c>
      <c r="F55" s="31">
        <f t="shared" si="10"/>
        <v>340.82196220999589</v>
      </c>
      <c r="G55" s="29">
        <f t="shared" si="11"/>
        <v>259350.86006827236</v>
      </c>
      <c r="H55" s="29">
        <f t="shared" si="12"/>
        <v>7295.3828429893765</v>
      </c>
      <c r="I55" s="28">
        <f t="shared" si="13"/>
        <v>24.440770241545174</v>
      </c>
      <c r="J55" s="29">
        <f t="shared" si="14"/>
        <v>4776.1433333333325</v>
      </c>
      <c r="K55" s="29">
        <v>1</v>
      </c>
      <c r="L55" s="149" t="s">
        <v>8794</v>
      </c>
      <c r="M55" s="149" t="s">
        <v>8795</v>
      </c>
      <c r="S55" s="43"/>
    </row>
    <row r="56" spans="1:19" x14ac:dyDescent="0.2">
      <c r="A56" s="19">
        <f t="shared" si="15"/>
        <v>52</v>
      </c>
      <c r="B56" s="32" t="str">
        <f t="shared" si="8"/>
        <v>813x20</v>
      </c>
      <c r="C56" s="28">
        <v>813</v>
      </c>
      <c r="D56" s="28">
        <v>20</v>
      </c>
      <c r="E56" s="31">
        <f t="shared" si="9"/>
        <v>498.25659485934119</v>
      </c>
      <c r="F56" s="31">
        <f t="shared" si="10"/>
        <v>391.13142696458283</v>
      </c>
      <c r="G56" s="29">
        <f t="shared" si="11"/>
        <v>391909.33007330698</v>
      </c>
      <c r="H56" s="29">
        <f t="shared" si="12"/>
        <v>9641.065930462657</v>
      </c>
      <c r="I56" s="28">
        <f t="shared" si="13"/>
        <v>28.04569931379854</v>
      </c>
      <c r="J56" s="29">
        <f t="shared" si="14"/>
        <v>6289.8233333333283</v>
      </c>
      <c r="K56" s="29">
        <v>1</v>
      </c>
      <c r="L56" s="149" t="s">
        <v>8794</v>
      </c>
      <c r="M56" s="149" t="s">
        <v>8795</v>
      </c>
      <c r="S56" s="43"/>
    </row>
    <row r="57" spans="1:19" x14ac:dyDescent="0.2">
      <c r="A57" s="19">
        <f t="shared" si="15"/>
        <v>53</v>
      </c>
      <c r="B57" s="32" t="str">
        <f t="shared" si="8"/>
        <v>813x25</v>
      </c>
      <c r="C57" s="28">
        <v>813</v>
      </c>
      <c r="D57" s="28">
        <v>25</v>
      </c>
      <c r="E57" s="31">
        <f t="shared" si="9"/>
        <v>618.89375275718919</v>
      </c>
      <c r="F57" s="31">
        <f t="shared" si="10"/>
        <v>485.83159591439352</v>
      </c>
      <c r="G57" s="29">
        <f t="shared" si="11"/>
        <v>480856.46375941666</v>
      </c>
      <c r="H57" s="29">
        <f t="shared" si="12"/>
        <v>11829.187300354653</v>
      </c>
      <c r="I57" s="28">
        <f t="shared" si="13"/>
        <v>27.874024646613197</v>
      </c>
      <c r="J57" s="29">
        <f t="shared" si="14"/>
        <v>7764.4041666666571</v>
      </c>
      <c r="K57" s="29">
        <v>1</v>
      </c>
      <c r="L57" s="149" t="s">
        <v>8794</v>
      </c>
      <c r="M57" s="149" t="s">
        <v>8795</v>
      </c>
      <c r="S57" s="43"/>
    </row>
    <row r="58" spans="1:19" x14ac:dyDescent="0.2">
      <c r="A58" s="19">
        <f t="shared" si="15"/>
        <v>54</v>
      </c>
      <c r="B58" s="32" t="str">
        <f t="shared" si="8"/>
        <v>914x20</v>
      </c>
      <c r="C58" s="28">
        <v>914</v>
      </c>
      <c r="D58" s="28">
        <v>20</v>
      </c>
      <c r="E58" s="31">
        <f t="shared" si="9"/>
        <v>561.71676646185506</v>
      </c>
      <c r="F58" s="31">
        <f t="shared" si="10"/>
        <v>440.94766167255625</v>
      </c>
      <c r="G58" s="29">
        <f t="shared" si="11"/>
        <v>561461.18533311493</v>
      </c>
      <c r="H58" s="29">
        <f t="shared" si="12"/>
        <v>12285.802742518927</v>
      </c>
      <c r="I58" s="28">
        <f t="shared" si="13"/>
        <v>31.615581601482521</v>
      </c>
      <c r="J58" s="29">
        <f t="shared" si="14"/>
        <v>7993.6933333333354</v>
      </c>
      <c r="K58" s="29">
        <v>1</v>
      </c>
      <c r="L58" s="149" t="s">
        <v>8794</v>
      </c>
      <c r="M58" s="149" t="s">
        <v>8795</v>
      </c>
      <c r="S58" s="43"/>
    </row>
    <row r="59" spans="1:19" x14ac:dyDescent="0.2">
      <c r="A59" s="19">
        <v>53</v>
      </c>
      <c r="B59" s="32" t="str">
        <f t="shared" si="8"/>
        <v>914x25</v>
      </c>
      <c r="C59" s="28">
        <v>914</v>
      </c>
      <c r="D59" s="28">
        <v>25</v>
      </c>
      <c r="E59" s="31">
        <f t="shared" si="9"/>
        <v>698.21896726033151</v>
      </c>
      <c r="F59" s="31">
        <f t="shared" si="10"/>
        <v>548.10188929936021</v>
      </c>
      <c r="G59" s="29">
        <f t="shared" si="11"/>
        <v>690316.87409836275</v>
      </c>
      <c r="H59" s="29">
        <f t="shared" si="12"/>
        <v>15105.402059045136</v>
      </c>
      <c r="I59" s="28">
        <f t="shared" si="13"/>
        <v>31.443322025511236</v>
      </c>
      <c r="J59" s="29">
        <f t="shared" si="14"/>
        <v>9881.6166666666722</v>
      </c>
      <c r="K59" s="29">
        <v>1</v>
      </c>
      <c r="L59" s="149" t="s">
        <v>8794</v>
      </c>
      <c r="M59" s="149" t="s">
        <v>8795</v>
      </c>
      <c r="S59" s="43"/>
    </row>
    <row r="60" spans="1:19" x14ac:dyDescent="0.2">
      <c r="A60" s="19">
        <v>54</v>
      </c>
      <c r="B60" s="32" t="str">
        <f t="shared" si="8"/>
        <v>1016x20</v>
      </c>
      <c r="C60" s="28">
        <v>1016</v>
      </c>
      <c r="D60" s="28">
        <v>20</v>
      </c>
      <c r="E60" s="31">
        <f t="shared" si="9"/>
        <v>625.8052565950868</v>
      </c>
      <c r="F60" s="31">
        <f t="shared" si="10"/>
        <v>491.25712642714313</v>
      </c>
      <c r="G60" s="29">
        <f t="shared" si="11"/>
        <v>776323.93691133708</v>
      </c>
      <c r="H60" s="29">
        <f t="shared" si="12"/>
        <v>15281.967262034195</v>
      </c>
      <c r="I60" s="28">
        <f t="shared" si="13"/>
        <v>35.221016453248481</v>
      </c>
      <c r="J60" s="29">
        <f t="shared" si="14"/>
        <v>9921.4933333333429</v>
      </c>
      <c r="K60" s="29">
        <v>1</v>
      </c>
      <c r="L60" s="149" t="s">
        <v>8794</v>
      </c>
      <c r="M60" s="149" t="s">
        <v>8795</v>
      </c>
      <c r="S60" s="43"/>
    </row>
    <row r="61" spans="1:19" x14ac:dyDescent="0.2">
      <c r="A61" s="19">
        <v>55</v>
      </c>
      <c r="B61" s="32" t="str">
        <f t="shared" si="8"/>
        <v>1016x25</v>
      </c>
      <c r="C61" s="28">
        <v>1016</v>
      </c>
      <c r="D61" s="28">
        <v>25</v>
      </c>
      <c r="E61" s="31">
        <f t="shared" si="9"/>
        <v>778.32957992687125</v>
      </c>
      <c r="F61" s="31">
        <f t="shared" si="10"/>
        <v>610.9887202425939</v>
      </c>
      <c r="G61" s="29">
        <f t="shared" si="11"/>
        <v>956086.43521451985</v>
      </c>
      <c r="H61" s="29">
        <f t="shared" si="12"/>
        <v>18820.599118396061</v>
      </c>
      <c r="I61" s="28">
        <f t="shared" si="13"/>
        <v>35.048288117966614</v>
      </c>
      <c r="J61" s="29">
        <f t="shared" si="14"/>
        <v>12278.616666666672</v>
      </c>
      <c r="K61" s="29">
        <v>1</v>
      </c>
      <c r="L61" s="149" t="s">
        <v>8794</v>
      </c>
      <c r="M61" s="149" t="s">
        <v>8795</v>
      </c>
      <c r="S61" s="43"/>
    </row>
    <row r="62" spans="1:19" x14ac:dyDescent="0.2">
      <c r="A62" s="19">
        <v>56</v>
      </c>
      <c r="B62" s="32" t="str">
        <f t="shared" si="8"/>
        <v>1220x20</v>
      </c>
      <c r="C62" s="28">
        <v>1220</v>
      </c>
      <c r="D62" s="28">
        <v>20</v>
      </c>
      <c r="E62" s="31">
        <f t="shared" si="9"/>
        <v>753.98223686155029</v>
      </c>
      <c r="F62" s="31">
        <f t="shared" si="10"/>
        <v>591.87605593631702</v>
      </c>
      <c r="G62" s="29">
        <f t="shared" si="11"/>
        <v>1357545.0174692215</v>
      </c>
      <c r="H62" s="29">
        <f t="shared" si="12"/>
        <v>22254.836351954447</v>
      </c>
      <c r="I62" s="28">
        <f t="shared" si="13"/>
        <v>42.432299018554254</v>
      </c>
      <c r="J62" s="29">
        <f t="shared" si="14"/>
        <v>14401.333333333314</v>
      </c>
      <c r="K62" s="29">
        <v>1</v>
      </c>
      <c r="L62" s="149" t="s">
        <v>8794</v>
      </c>
      <c r="M62" s="149" t="s">
        <v>8795</v>
      </c>
      <c r="S62" s="43"/>
    </row>
    <row r="63" spans="1:19" x14ac:dyDescent="0.2">
      <c r="A63" s="19">
        <v>57</v>
      </c>
      <c r="B63" s="32" t="str">
        <f t="shared" si="8"/>
        <v>1220x25</v>
      </c>
      <c r="C63" s="28">
        <v>1220</v>
      </c>
      <c r="D63" s="28">
        <v>25</v>
      </c>
      <c r="E63" s="31">
        <f t="shared" si="9"/>
        <v>938.55080525995072</v>
      </c>
      <c r="F63" s="31">
        <f t="shared" si="10"/>
        <v>736.76238212906139</v>
      </c>
      <c r="G63" s="29">
        <f t="shared" si="11"/>
        <v>1676075.7599182858</v>
      </c>
      <c r="H63" s="29">
        <f t="shared" si="12"/>
        <v>27476.651801939111</v>
      </c>
      <c r="I63" s="28">
        <f t="shared" si="13"/>
        <v>42.258874807547819</v>
      </c>
      <c r="J63" s="29">
        <f t="shared" si="14"/>
        <v>17852.916666666672</v>
      </c>
      <c r="K63" s="29">
        <v>1</v>
      </c>
      <c r="L63" s="149" t="s">
        <v>8794</v>
      </c>
      <c r="M63" s="149" t="s">
        <v>8795</v>
      </c>
      <c r="S63" s="43"/>
    </row>
    <row r="64" spans="1:19" x14ac:dyDescent="0.2">
      <c r="A64" s="19">
        <v>58</v>
      </c>
      <c r="B64" s="32" t="str">
        <f t="shared" si="8"/>
        <v>1220x28</v>
      </c>
      <c r="C64" s="28">
        <v>1220</v>
      </c>
      <c r="D64" s="28">
        <v>28</v>
      </c>
      <c r="E64" s="31">
        <f t="shared" si="9"/>
        <v>1048.5379640621293</v>
      </c>
      <c r="F64" s="31">
        <f t="shared" si="10"/>
        <v>823.10230178877157</v>
      </c>
      <c r="G64" s="29">
        <f t="shared" si="11"/>
        <v>1863314.8744162475</v>
      </c>
      <c r="H64" s="29">
        <f t="shared" si="12"/>
        <v>30546.145482233565</v>
      </c>
      <c r="I64" s="28">
        <f t="shared" si="13"/>
        <v>42.155189478876736</v>
      </c>
      <c r="J64" s="29">
        <f t="shared" si="14"/>
        <v>19895.754666666657</v>
      </c>
      <c r="K64" s="29">
        <v>1</v>
      </c>
      <c r="L64" s="149" t="s">
        <v>8794</v>
      </c>
      <c r="M64" s="149" t="s">
        <v>8795</v>
      </c>
      <c r="S64" s="43"/>
    </row>
    <row r="65" spans="1:19" x14ac:dyDescent="0.2">
      <c r="A65" s="19">
        <v>59</v>
      </c>
      <c r="B65" s="32" t="str">
        <f t="shared" si="8"/>
        <v>1220x30</v>
      </c>
      <c r="C65" s="28">
        <v>1220</v>
      </c>
      <c r="D65" s="28">
        <v>30</v>
      </c>
      <c r="E65" s="31">
        <f t="shared" si="9"/>
        <v>1121.5485773315561</v>
      </c>
      <c r="F65" s="31">
        <f t="shared" si="10"/>
        <v>880.41563320527155</v>
      </c>
      <c r="G65" s="29">
        <f t="shared" si="11"/>
        <v>1986542.9175985188</v>
      </c>
      <c r="H65" s="29">
        <f t="shared" si="12"/>
        <v>32566.277337680633</v>
      </c>
      <c r="I65" s="28">
        <f t="shared" si="13"/>
        <v>42.086221023037929</v>
      </c>
      <c r="J65" s="29">
        <f t="shared" si="14"/>
        <v>21245.999999999971</v>
      </c>
      <c r="K65" s="29">
        <v>1</v>
      </c>
      <c r="L65" s="149" t="s">
        <v>8794</v>
      </c>
      <c r="M65" s="149" t="s">
        <v>8795</v>
      </c>
      <c r="S65" s="43"/>
    </row>
    <row r="66" spans="1:19" x14ac:dyDescent="0.2">
      <c r="A66" s="19">
        <v>60</v>
      </c>
      <c r="B66" s="32" t="str">
        <f t="shared" si="8"/>
        <v>1420x30</v>
      </c>
      <c r="C66" s="28">
        <v>1420</v>
      </c>
      <c r="D66" s="28">
        <v>30</v>
      </c>
      <c r="E66" s="31">
        <f t="shared" si="9"/>
        <v>1310.0441365469437</v>
      </c>
      <c r="F66" s="31">
        <f t="shared" si="10"/>
        <v>1028.384647189351</v>
      </c>
      <c r="G66" s="29">
        <f t="shared" si="11"/>
        <v>3165394.1449315529</v>
      </c>
      <c r="H66" s="29">
        <f t="shared" si="12"/>
        <v>44583.016125796523</v>
      </c>
      <c r="I66" s="28">
        <f t="shared" si="13"/>
        <v>49.155365932927403</v>
      </c>
      <c r="J66" s="29">
        <f t="shared" si="14"/>
        <v>28986</v>
      </c>
      <c r="K66" s="29">
        <v>1</v>
      </c>
      <c r="L66" s="149" t="s">
        <v>8794</v>
      </c>
      <c r="M66" s="149" t="s">
        <v>8795</v>
      </c>
      <c r="S66" s="43"/>
    </row>
    <row r="67" spans="1:19" x14ac:dyDescent="0.2">
      <c r="A67" s="19">
        <v>61</v>
      </c>
      <c r="B67" s="32" t="str">
        <f t="shared" si="8"/>
        <v>1420x35</v>
      </c>
      <c r="C67" s="28">
        <v>1420</v>
      </c>
      <c r="D67" s="28">
        <v>35</v>
      </c>
      <c r="E67" s="31">
        <f t="shared" si="9"/>
        <v>1522.8870388276523</v>
      </c>
      <c r="F67" s="31">
        <f t="shared" si="10"/>
        <v>1195.4663254797072</v>
      </c>
      <c r="G67" s="29">
        <f t="shared" si="11"/>
        <v>3653881.9083471708</v>
      </c>
      <c r="H67" s="29">
        <f t="shared" si="12"/>
        <v>51463.12546967846</v>
      </c>
      <c r="I67" s="28">
        <f t="shared" si="13"/>
        <v>48.982777585596345</v>
      </c>
      <c r="J67" s="29">
        <f t="shared" si="14"/>
        <v>33576.083333333314</v>
      </c>
      <c r="K67" s="29">
        <v>1</v>
      </c>
      <c r="L67" s="149" t="s">
        <v>8794</v>
      </c>
      <c r="M67" s="149" t="s">
        <v>8795</v>
      </c>
      <c r="S67" s="43"/>
    </row>
    <row r="68" spans="1:19" x14ac:dyDescent="0.2">
      <c r="A68" s="19">
        <v>62</v>
      </c>
      <c r="B68" s="32" t="str">
        <f t="shared" ref="B68:B82" si="16">+ROUND(C68,0)&amp;"x"&amp;D68</f>
        <v>1620x35</v>
      </c>
      <c r="C68" s="28">
        <v>1620</v>
      </c>
      <c r="D68" s="28">
        <v>35</v>
      </c>
      <c r="E68" s="31">
        <f t="shared" ref="E68:E82" si="17">+(C68^2-(C68-D68*2)^2)*PI()/4/100</f>
        <v>1742.7985245789378</v>
      </c>
      <c r="F68" s="31">
        <f t="shared" ref="F68:F84" si="18">+E68*0.785</f>
        <v>1368.0968417944662</v>
      </c>
      <c r="G68" s="29">
        <f t="shared" ref="G68:G82" si="19">+(C68^4-(C68-D68*2)^4)*PI()/64/10000</f>
        <v>5475546.1895036632</v>
      </c>
      <c r="H68" s="29">
        <f t="shared" ref="H68:H82" si="20">+(C68^4-(C68-D68*2)^4)*PI()/32/C68/1000</f>
        <v>67599.335672884728</v>
      </c>
      <c r="I68" s="28">
        <f t="shared" ref="I68:I82" si="21">+SQRT(G68/E68)</f>
        <v>56.051873296081723</v>
      </c>
      <c r="J68" s="29">
        <f t="shared" ref="J68:J82" si="22">+(C68/2*4/3/PI()*C68^2*PI()/4/2-(C68-2*D68)/2*4/3/PI()*(C68-2*D68)^2*PI()/4/2)/1000</f>
        <v>43971.083333333372</v>
      </c>
      <c r="K68" s="29">
        <v>1</v>
      </c>
      <c r="L68" s="149" t="s">
        <v>8794</v>
      </c>
      <c r="M68" s="149" t="s">
        <v>8795</v>
      </c>
      <c r="S68" s="43"/>
    </row>
    <row r="69" spans="1:19" x14ac:dyDescent="0.2">
      <c r="A69" s="19">
        <v>63</v>
      </c>
      <c r="B69" s="32" t="str">
        <f t="shared" si="16"/>
        <v>1620x40</v>
      </c>
      <c r="C69" s="28">
        <v>1620</v>
      </c>
      <c r="D69" s="28">
        <v>40</v>
      </c>
      <c r="E69" s="31">
        <f t="shared" si="17"/>
        <v>1985.4865570687493</v>
      </c>
      <c r="F69" s="31">
        <f t="shared" si="18"/>
        <v>1558.6069472989682</v>
      </c>
      <c r="G69" s="29">
        <f t="shared" si="19"/>
        <v>6199681.7744471692</v>
      </c>
      <c r="H69" s="29">
        <f t="shared" si="20"/>
        <v>76539.281166014436</v>
      </c>
      <c r="I69" s="28">
        <f t="shared" si="21"/>
        <v>55.879334283794037</v>
      </c>
      <c r="J69" s="29">
        <f t="shared" si="22"/>
        <v>49938.666666666686</v>
      </c>
      <c r="K69" s="29">
        <v>1</v>
      </c>
      <c r="L69" s="149" t="s">
        <v>8794</v>
      </c>
      <c r="M69" s="149" t="s">
        <v>8795</v>
      </c>
      <c r="S69" s="43"/>
    </row>
    <row r="70" spans="1:19" x14ac:dyDescent="0.2">
      <c r="A70" s="19">
        <v>64</v>
      </c>
      <c r="B70" s="32" t="str">
        <f t="shared" si="16"/>
        <v>1820x40</v>
      </c>
      <c r="C70" s="28">
        <v>1820</v>
      </c>
      <c r="D70" s="28">
        <v>40</v>
      </c>
      <c r="E70" s="31">
        <f t="shared" si="17"/>
        <v>2236.8139693559328</v>
      </c>
      <c r="F70" s="31">
        <f t="shared" si="18"/>
        <v>1755.8989659444073</v>
      </c>
      <c r="G70" s="29">
        <f t="shared" si="19"/>
        <v>8863375.3535728827</v>
      </c>
      <c r="H70" s="29">
        <f t="shared" si="20"/>
        <v>97399.729160141578</v>
      </c>
      <c r="I70" s="28">
        <f t="shared" si="21"/>
        <v>62.948391560070853</v>
      </c>
      <c r="J70" s="29">
        <f t="shared" si="22"/>
        <v>63378.666666666686</v>
      </c>
      <c r="K70" s="29">
        <v>1</v>
      </c>
      <c r="L70" s="149" t="s">
        <v>8794</v>
      </c>
      <c r="M70" s="149" t="s">
        <v>8795</v>
      </c>
      <c r="S70" s="43"/>
    </row>
    <row r="71" spans="1:19" x14ac:dyDescent="0.2">
      <c r="A71" s="19">
        <v>65</v>
      </c>
      <c r="B71" s="32" t="str">
        <f t="shared" si="16"/>
        <v>1820x45</v>
      </c>
      <c r="C71" s="28">
        <v>1820</v>
      </c>
      <c r="D71" s="28">
        <v>45</v>
      </c>
      <c r="E71" s="31">
        <f t="shared" si="17"/>
        <v>2509.3471320548474</v>
      </c>
      <c r="F71" s="31">
        <f t="shared" si="18"/>
        <v>1969.8374986630554</v>
      </c>
      <c r="G71" s="29">
        <f t="shared" si="19"/>
        <v>9888866.5448408928</v>
      </c>
      <c r="H71" s="29">
        <f t="shared" si="20"/>
        <v>108668.8631301197</v>
      </c>
      <c r="I71" s="28">
        <f t="shared" si="21"/>
        <v>62.775891072927031</v>
      </c>
      <c r="J71" s="29">
        <f t="shared" si="22"/>
        <v>70904.25</v>
      </c>
      <c r="K71" s="29">
        <v>1</v>
      </c>
      <c r="L71" s="149" t="s">
        <v>8794</v>
      </c>
      <c r="M71" s="149" t="s">
        <v>8795</v>
      </c>
      <c r="S71" s="43"/>
    </row>
    <row r="72" spans="1:19" x14ac:dyDescent="0.2">
      <c r="A72" s="19">
        <v>66</v>
      </c>
      <c r="B72" s="32" t="str">
        <f t="shared" si="16"/>
        <v>2020x45</v>
      </c>
      <c r="C72" s="28">
        <v>2020</v>
      </c>
      <c r="D72" s="28">
        <v>45</v>
      </c>
      <c r="E72" s="31">
        <f t="shared" si="17"/>
        <v>2792.090470877929</v>
      </c>
      <c r="F72" s="31">
        <f t="shared" si="18"/>
        <v>2191.7910196391745</v>
      </c>
      <c r="G72" s="29">
        <f t="shared" si="19"/>
        <v>13620689.845214685</v>
      </c>
      <c r="H72" s="29">
        <f t="shared" si="20"/>
        <v>134858.31529915531</v>
      </c>
      <c r="I72" s="28">
        <f t="shared" si="21"/>
        <v>69.844917495835006</v>
      </c>
      <c r="J72" s="29">
        <f t="shared" si="22"/>
        <v>87779.249999999884</v>
      </c>
      <c r="K72" s="29">
        <v>1</v>
      </c>
      <c r="L72" s="149" t="s">
        <v>8794</v>
      </c>
      <c r="M72" s="149" t="s">
        <v>8795</v>
      </c>
      <c r="S72" s="43"/>
    </row>
    <row r="73" spans="1:19" x14ac:dyDescent="0.2">
      <c r="A73" s="19">
        <v>67</v>
      </c>
      <c r="B73" s="32" t="str">
        <f t="shared" si="16"/>
        <v>2020x50</v>
      </c>
      <c r="C73" s="28">
        <v>2020</v>
      </c>
      <c r="D73" s="28">
        <v>50</v>
      </c>
      <c r="E73" s="31">
        <f t="shared" si="17"/>
        <v>3094.4687637859461</v>
      </c>
      <c r="F73" s="31">
        <f t="shared" si="18"/>
        <v>2429.1579795719676</v>
      </c>
      <c r="G73" s="29">
        <f t="shared" si="19"/>
        <v>15021324.996607928</v>
      </c>
      <c r="H73" s="29">
        <f t="shared" si="20"/>
        <v>148725.99006542505</v>
      </c>
      <c r="I73" s="28">
        <f t="shared" si="21"/>
        <v>69.67244792599152</v>
      </c>
      <c r="J73" s="29">
        <f t="shared" si="22"/>
        <v>97043.333333333372</v>
      </c>
      <c r="K73" s="29">
        <v>1</v>
      </c>
      <c r="L73" s="149" t="s">
        <v>8794</v>
      </c>
      <c r="M73" s="149" t="s">
        <v>8795</v>
      </c>
      <c r="S73" s="43"/>
    </row>
    <row r="74" spans="1:19" x14ac:dyDescent="0.2">
      <c r="A74" s="19">
        <v>68</v>
      </c>
      <c r="B74" s="32" t="str">
        <f t="shared" si="16"/>
        <v>2220x45</v>
      </c>
      <c r="C74" s="28">
        <v>2220</v>
      </c>
      <c r="D74" s="28">
        <v>45</v>
      </c>
      <c r="E74" s="31">
        <f t="shared" si="17"/>
        <v>3074.8338097010101</v>
      </c>
      <c r="F74" s="31">
        <f t="shared" si="18"/>
        <v>2413.7445406152929</v>
      </c>
      <c r="G74" s="29">
        <f t="shared" si="19"/>
        <v>18190140.286851857</v>
      </c>
      <c r="H74" s="29">
        <f t="shared" si="20"/>
        <v>163875.13771938608</v>
      </c>
      <c r="I74" s="28">
        <f t="shared" si="21"/>
        <v>76.914319213004802</v>
      </c>
      <c r="J74" s="29">
        <f t="shared" si="22"/>
        <v>106454.25000000012</v>
      </c>
      <c r="K74" s="29">
        <v>1</v>
      </c>
      <c r="L74" s="149" t="s">
        <v>8794</v>
      </c>
      <c r="M74" s="149" t="s">
        <v>8795</v>
      </c>
      <c r="S74" s="43"/>
    </row>
    <row r="75" spans="1:19" x14ac:dyDescent="0.2">
      <c r="A75" s="19">
        <v>69</v>
      </c>
      <c r="B75" s="32" t="str">
        <f t="shared" si="16"/>
        <v>2220x55</v>
      </c>
      <c r="C75" s="28">
        <v>2220</v>
      </c>
      <c r="D75" s="28">
        <v>55</v>
      </c>
      <c r="E75" s="31">
        <f t="shared" si="17"/>
        <v>3740.8514522620458</v>
      </c>
      <c r="F75" s="31">
        <f t="shared" si="18"/>
        <v>2936.5683900257059</v>
      </c>
      <c r="G75" s="29">
        <f t="shared" si="19"/>
        <v>21931910.65496508</v>
      </c>
      <c r="H75" s="29">
        <f t="shared" si="20"/>
        <v>197584.78067536108</v>
      </c>
      <c r="I75" s="28">
        <f t="shared" si="21"/>
        <v>76.569004825712611</v>
      </c>
      <c r="J75" s="29">
        <f t="shared" si="22"/>
        <v>128926.41666666663</v>
      </c>
      <c r="K75" s="29">
        <v>1</v>
      </c>
      <c r="L75" s="149" t="s">
        <v>8794</v>
      </c>
      <c r="M75" s="149" t="s">
        <v>8795</v>
      </c>
      <c r="S75" s="43"/>
    </row>
    <row r="76" spans="1:19" x14ac:dyDescent="0.2">
      <c r="A76" s="19">
        <v>70</v>
      </c>
      <c r="B76" s="32" t="str">
        <f t="shared" si="16"/>
        <v>2420x50</v>
      </c>
      <c r="C76" s="28">
        <v>2420</v>
      </c>
      <c r="D76" s="28">
        <v>50</v>
      </c>
      <c r="E76" s="31">
        <f t="shared" si="17"/>
        <v>3722.7872945039048</v>
      </c>
      <c r="F76" s="31">
        <f t="shared" si="18"/>
        <v>2922.3880261855652</v>
      </c>
      <c r="G76" s="29">
        <f t="shared" si="19"/>
        <v>26149788.653419051</v>
      </c>
      <c r="H76" s="29">
        <f t="shared" si="20"/>
        <v>216113.9558133806</v>
      </c>
      <c r="I76" s="28">
        <f t="shared" si="21"/>
        <v>83.810798826881481</v>
      </c>
      <c r="J76" s="29">
        <f t="shared" si="22"/>
        <v>140443.33333333326</v>
      </c>
      <c r="K76" s="29">
        <v>1</v>
      </c>
      <c r="L76" s="149" t="s">
        <v>8794</v>
      </c>
      <c r="M76" s="149" t="s">
        <v>8795</v>
      </c>
      <c r="S76" s="43"/>
    </row>
    <row r="77" spans="1:19" x14ac:dyDescent="0.2">
      <c r="A77" s="19">
        <v>71</v>
      </c>
      <c r="B77" s="32" t="str">
        <f t="shared" si="16"/>
        <v>2420x55</v>
      </c>
      <c r="C77" s="28">
        <v>2420</v>
      </c>
      <c r="D77" s="28">
        <v>55</v>
      </c>
      <c r="E77" s="31">
        <f t="shared" si="17"/>
        <v>4086.4266441569234</v>
      </c>
      <c r="F77" s="31">
        <f t="shared" si="18"/>
        <v>3207.844915663185</v>
      </c>
      <c r="G77" s="29">
        <f t="shared" si="19"/>
        <v>28585831.384203978</v>
      </c>
      <c r="H77" s="29">
        <f t="shared" si="20"/>
        <v>236246.54036532214</v>
      </c>
      <c r="I77" s="28">
        <f t="shared" si="21"/>
        <v>83.637984791600516</v>
      </c>
      <c r="J77" s="29">
        <f t="shared" si="22"/>
        <v>153841.41666666674</v>
      </c>
      <c r="K77" s="29">
        <v>1</v>
      </c>
      <c r="L77" s="149" t="s">
        <v>8794</v>
      </c>
      <c r="M77" s="149" t="s">
        <v>8795</v>
      </c>
      <c r="S77" s="43"/>
    </row>
    <row r="78" spans="1:19" x14ac:dyDescent="0.2">
      <c r="A78" s="19">
        <v>72</v>
      </c>
      <c r="B78" s="32" t="str">
        <f t="shared" si="16"/>
        <v>2420x60</v>
      </c>
      <c r="C78" s="28">
        <v>2420</v>
      </c>
      <c r="D78" s="28">
        <v>60</v>
      </c>
      <c r="E78" s="31">
        <f t="shared" si="17"/>
        <v>4448.4951974831465</v>
      </c>
      <c r="F78" s="31">
        <f t="shared" si="18"/>
        <v>3492.0687300242703</v>
      </c>
      <c r="G78" s="29">
        <f t="shared" si="19"/>
        <v>30990441.793266345</v>
      </c>
      <c r="H78" s="29">
        <f t="shared" si="20"/>
        <v>256119.3536633582</v>
      </c>
      <c r="I78" s="28">
        <f t="shared" si="21"/>
        <v>83.46556176052492</v>
      </c>
      <c r="J78" s="29">
        <f t="shared" si="22"/>
        <v>167124.00000000012</v>
      </c>
      <c r="K78" s="29">
        <v>1</v>
      </c>
      <c r="L78" s="149" t="s">
        <v>8794</v>
      </c>
      <c r="M78" s="149" t="s">
        <v>8795</v>
      </c>
      <c r="S78" s="43"/>
    </row>
    <row r="79" spans="1:19" x14ac:dyDescent="0.2">
      <c r="A79" s="19">
        <v>73</v>
      </c>
      <c r="B79" s="32" t="str">
        <f t="shared" si="16"/>
        <v>2420x65</v>
      </c>
      <c r="C79" s="28">
        <v>2420</v>
      </c>
      <c r="D79" s="28">
        <v>65</v>
      </c>
      <c r="E79" s="31">
        <f t="shared" si="17"/>
        <v>4808.9929544825754</v>
      </c>
      <c r="F79" s="31">
        <f t="shared" si="18"/>
        <v>3775.0594692688219</v>
      </c>
      <c r="G79" s="29">
        <f t="shared" si="19"/>
        <v>33363891.432021141</v>
      </c>
      <c r="H79" s="29">
        <f t="shared" si="20"/>
        <v>275734.639934059</v>
      </c>
      <c r="I79" s="28">
        <f t="shared" si="21"/>
        <v>83.293532161867162</v>
      </c>
      <c r="J79" s="29">
        <f t="shared" si="22"/>
        <v>180291.58333333337</v>
      </c>
      <c r="K79" s="29">
        <v>1</v>
      </c>
      <c r="L79" s="149" t="s">
        <v>8794</v>
      </c>
      <c r="M79" s="149" t="s">
        <v>8795</v>
      </c>
      <c r="S79" s="43"/>
    </row>
    <row r="80" spans="1:19" x14ac:dyDescent="0.2">
      <c r="A80" s="19">
        <v>74</v>
      </c>
      <c r="B80" s="32" t="str">
        <f t="shared" si="16"/>
        <v>2420x70</v>
      </c>
      <c r="C80" s="28">
        <v>2420</v>
      </c>
      <c r="D80" s="28">
        <v>70</v>
      </c>
      <c r="E80" s="31">
        <f t="shared" si="17"/>
        <v>5167.9199151552093</v>
      </c>
      <c r="F80" s="31">
        <f t="shared" si="18"/>
        <v>4056.8171333968394</v>
      </c>
      <c r="G80" s="29">
        <f t="shared" si="19"/>
        <v>35706450.673786134</v>
      </c>
      <c r="H80" s="29">
        <f t="shared" si="20"/>
        <v>295094.63366765395</v>
      </c>
      <c r="I80" s="28">
        <f t="shared" si="21"/>
        <v>83.121898438377841</v>
      </c>
      <c r="J80" s="29">
        <f t="shared" si="22"/>
        <v>193344.66666666686</v>
      </c>
      <c r="K80" s="29">
        <v>1</v>
      </c>
      <c r="L80" s="149" t="s">
        <v>8794</v>
      </c>
      <c r="M80" s="149" t="s">
        <v>8795</v>
      </c>
      <c r="S80" s="43"/>
    </row>
    <row r="81" spans="1:19" x14ac:dyDescent="0.2">
      <c r="A81" s="19">
        <v>75</v>
      </c>
      <c r="B81" s="32" t="str">
        <f t="shared" si="16"/>
        <v>2420x75</v>
      </c>
      <c r="C81" s="28">
        <v>2420</v>
      </c>
      <c r="D81" s="28">
        <v>75</v>
      </c>
      <c r="E81" s="31">
        <f t="shared" si="17"/>
        <v>5525.276079501049</v>
      </c>
      <c r="F81" s="31">
        <f t="shared" si="18"/>
        <v>4337.3417224083232</v>
      </c>
      <c r="G81" s="29">
        <f t="shared" si="19"/>
        <v>38018388.713781811</v>
      </c>
      <c r="H81" s="29">
        <f t="shared" si="20"/>
        <v>314201.55961803149</v>
      </c>
      <c r="I81" s="28">
        <f t="shared" si="21"/>
        <v>82.950663047380161</v>
      </c>
      <c r="J81" s="29">
        <f t="shared" si="22"/>
        <v>206283.75000000023</v>
      </c>
      <c r="K81" s="29">
        <v>1</v>
      </c>
      <c r="L81" s="149" t="s">
        <v>8794</v>
      </c>
      <c r="M81" s="149" t="s">
        <v>8795</v>
      </c>
      <c r="S81" s="43"/>
    </row>
    <row r="82" spans="1:19" x14ac:dyDescent="0.2">
      <c r="A82" s="19">
        <f>+A81+1</f>
        <v>76</v>
      </c>
      <c r="B82" s="32" t="str">
        <f t="shared" si="16"/>
        <v>610x16</v>
      </c>
      <c r="C82" s="28">
        <v>610</v>
      </c>
      <c r="D82" s="28">
        <v>16</v>
      </c>
      <c r="E82" s="31">
        <f t="shared" si="17"/>
        <v>298.57696579717395</v>
      </c>
      <c r="F82" s="31">
        <f t="shared" si="18"/>
        <v>234.38291815078156</v>
      </c>
      <c r="G82" s="29">
        <f t="shared" si="19"/>
        <v>131781.42250906967</v>
      </c>
      <c r="H82" s="29">
        <f t="shared" si="20"/>
        <v>4320.7023773465471</v>
      </c>
      <c r="I82" s="28">
        <f t="shared" si="21"/>
        <v>21.008688678734806</v>
      </c>
      <c r="J82" s="29">
        <f t="shared" si="22"/>
        <v>2823.3706666666681</v>
      </c>
      <c r="K82" s="29">
        <v>1</v>
      </c>
      <c r="L82" s="149" t="s">
        <v>8794</v>
      </c>
      <c r="M82" s="149" t="s">
        <v>8795</v>
      </c>
      <c r="S82" s="43"/>
    </row>
    <row r="83" spans="1:19" x14ac:dyDescent="0.2">
      <c r="A83" s="19">
        <f t="shared" ref="A83:A90" si="23">+A82+1</f>
        <v>77</v>
      </c>
      <c r="B83" s="32" t="str">
        <f>+ROUND(C83,0)&amp;"x"&amp;D83</f>
        <v>762x16</v>
      </c>
      <c r="C83" s="28">
        <v>762</v>
      </c>
      <c r="D83" s="28">
        <v>16</v>
      </c>
      <c r="E83" s="31">
        <f>+(C83^2-(C83-D83*2)^2)*PI()/4/100</f>
        <v>374.98049913247769</v>
      </c>
      <c r="F83" s="31">
        <f t="shared" si="18"/>
        <v>294.35969181899497</v>
      </c>
      <c r="G83" s="29">
        <f>+(C83^4-(C83-D83*2)^4)*PI()/64/10000</f>
        <v>260973.30307873484</v>
      </c>
      <c r="H83" s="29">
        <f>+(C83^4-(C83-D83*2)^4)*PI()/32/C83/1000</f>
        <v>6849.6929941925155</v>
      </c>
      <c r="I83" s="28">
        <f>+SQRT(G83/E83)</f>
        <v>26.381148572418148</v>
      </c>
      <c r="J83" s="29">
        <f>+(C83/2*4/3/PI()*C83^2*PI()/4/2-(C83-2*D83)/2*4/3/PI()*(C83-2*D83)^2*PI()/4/2)/1000</f>
        <v>4452.8106666666681</v>
      </c>
      <c r="K83" s="29">
        <v>1</v>
      </c>
      <c r="L83" s="149" t="s">
        <v>8794</v>
      </c>
      <c r="M83" s="149" t="s">
        <v>8795</v>
      </c>
      <c r="R83" s="33"/>
      <c r="S83" s="43"/>
    </row>
    <row r="84" spans="1:19" x14ac:dyDescent="0.2">
      <c r="A84" s="19">
        <f t="shared" si="23"/>
        <v>78</v>
      </c>
      <c r="B84" s="32" t="str">
        <f>+ROUND(C84,0)&amp;"x"&amp;D84</f>
        <v>914x16</v>
      </c>
      <c r="C84" s="28">
        <v>914</v>
      </c>
      <c r="D84" s="28">
        <v>16</v>
      </c>
      <c r="E84" s="31">
        <f>+(C84^2-(C84-D84*2)^2)*PI()/4/100</f>
        <v>451.38403246778148</v>
      </c>
      <c r="F84" s="31">
        <f t="shared" si="18"/>
        <v>354.3364654872085</v>
      </c>
      <c r="G84" s="29">
        <f>+(C84^4-(C84-D84*2)^4)*PI()/64/10000</f>
        <v>455141.80453807575</v>
      </c>
      <c r="H84" s="29">
        <f>+(C84^4-(C84-D84*2)^4)*PI()/32/C84/1000</f>
        <v>9959.3392677915908</v>
      </c>
      <c r="I84" s="28">
        <f>+SQRT(G84/E84)</f>
        <v>31.754133589188037</v>
      </c>
      <c r="J84" s="29">
        <f>+(C84/2*4/3/PI()*C84^2*PI()/4/2-(C84-2*D84)/2*4/3/PI()*(C84-2*D84)^2*PI()/4/2)/1000</f>
        <v>6451.914666666672</v>
      </c>
      <c r="K84" s="29">
        <v>1</v>
      </c>
      <c r="L84" s="149" t="s">
        <v>8794</v>
      </c>
      <c r="M84" s="149" t="s">
        <v>8795</v>
      </c>
      <c r="R84" s="33"/>
      <c r="S84" s="43"/>
    </row>
    <row r="85" spans="1:19" x14ac:dyDescent="0.2">
      <c r="A85" s="19">
        <f t="shared" si="23"/>
        <v>79</v>
      </c>
      <c r="B85" s="32"/>
      <c r="C85" s="28"/>
      <c r="D85" s="28"/>
      <c r="E85" s="31"/>
      <c r="F85" s="31"/>
      <c r="G85" s="29"/>
      <c r="H85" s="29"/>
      <c r="I85" s="28"/>
      <c r="J85" s="29"/>
      <c r="K85" s="29"/>
      <c r="L85" s="29"/>
      <c r="M85" s="29"/>
      <c r="R85" s="33"/>
      <c r="S85" s="43"/>
    </row>
    <row r="86" spans="1:19" x14ac:dyDescent="0.2">
      <c r="A86" s="19">
        <f t="shared" si="23"/>
        <v>80</v>
      </c>
      <c r="B86" s="32"/>
      <c r="C86" s="28"/>
      <c r="D86" s="28"/>
      <c r="E86" s="31"/>
      <c r="F86" s="31"/>
      <c r="G86" s="29"/>
      <c r="H86" s="29"/>
      <c r="I86" s="28"/>
      <c r="J86" s="29"/>
      <c r="K86" s="29"/>
      <c r="L86" s="29"/>
      <c r="M86" s="29"/>
      <c r="R86" s="33"/>
      <c r="S86" s="43"/>
    </row>
    <row r="87" spans="1:19" x14ac:dyDescent="0.2">
      <c r="A87" s="19">
        <f t="shared" si="23"/>
        <v>81</v>
      </c>
      <c r="B87" s="32"/>
      <c r="C87" s="28"/>
      <c r="D87" s="28"/>
      <c r="E87" s="31"/>
      <c r="F87" s="31"/>
      <c r="G87" s="29"/>
      <c r="H87" s="29"/>
      <c r="I87" s="28"/>
      <c r="J87" s="29"/>
      <c r="K87" s="29"/>
      <c r="L87" s="29"/>
      <c r="M87" s="29"/>
      <c r="R87" s="33"/>
      <c r="S87" s="43"/>
    </row>
    <row r="88" spans="1:19" x14ac:dyDescent="0.2">
      <c r="A88" s="19">
        <f t="shared" si="23"/>
        <v>82</v>
      </c>
      <c r="B88" s="32"/>
      <c r="C88" s="28"/>
      <c r="D88" s="28"/>
      <c r="E88" s="31"/>
      <c r="F88" s="31"/>
      <c r="G88" s="29"/>
      <c r="H88" s="29"/>
      <c r="I88" s="28"/>
      <c r="J88" s="29"/>
      <c r="K88" s="29"/>
      <c r="L88" s="29"/>
      <c r="M88" s="29"/>
      <c r="R88" s="33"/>
      <c r="S88" s="43"/>
    </row>
    <row r="89" spans="1:19" x14ac:dyDescent="0.2">
      <c r="A89" s="19">
        <f t="shared" si="23"/>
        <v>83</v>
      </c>
      <c r="B89" s="32"/>
      <c r="C89" s="28"/>
      <c r="D89" s="28"/>
      <c r="E89" s="31"/>
      <c r="F89" s="31"/>
      <c r="G89" s="29"/>
      <c r="H89" s="29"/>
      <c r="I89" s="28"/>
      <c r="J89" s="29"/>
      <c r="K89" s="29"/>
      <c r="L89" s="29"/>
      <c r="M89" s="29"/>
      <c r="R89" s="33"/>
      <c r="S89" s="43"/>
    </row>
    <row r="90" spans="1:19" x14ac:dyDescent="0.2">
      <c r="A90" s="19">
        <f t="shared" si="23"/>
        <v>84</v>
      </c>
      <c r="B90" s="32"/>
      <c r="C90" s="28"/>
      <c r="D90" s="28"/>
      <c r="E90" s="31"/>
      <c r="F90" s="31"/>
      <c r="G90" s="29"/>
      <c r="H90" s="29"/>
      <c r="I90" s="28"/>
      <c r="J90" s="29"/>
      <c r="K90" s="29"/>
      <c r="L90" s="29"/>
      <c r="M90" s="29"/>
      <c r="R90" s="33"/>
      <c r="S90" s="43"/>
    </row>
    <row r="91" spans="1:19" x14ac:dyDescent="0.2">
      <c r="B91" s="43"/>
      <c r="R91" s="33"/>
      <c r="S91" s="43"/>
    </row>
    <row r="92" spans="1:19" x14ac:dyDescent="0.2">
      <c r="B92" s="43"/>
      <c r="R92" s="33"/>
      <c r="S92" s="43"/>
    </row>
    <row r="93" spans="1:19" x14ac:dyDescent="0.2">
      <c r="B93" s="43"/>
      <c r="R93" s="33"/>
      <c r="S93" s="43"/>
    </row>
    <row r="94" spans="1:19" x14ac:dyDescent="0.2">
      <c r="B94" s="43"/>
      <c r="R94" s="33"/>
      <c r="S94" s="43"/>
    </row>
    <row r="95" spans="1:19" x14ac:dyDescent="0.2">
      <c r="B95" s="43"/>
      <c r="R95" s="33"/>
      <c r="S95" s="43"/>
    </row>
    <row r="96" spans="1:19" x14ac:dyDescent="0.2">
      <c r="B96" s="43"/>
      <c r="R96" s="33"/>
      <c r="S96" s="43"/>
    </row>
    <row r="97" spans="2:19" x14ac:dyDescent="0.2">
      <c r="B97" s="43"/>
      <c r="R97" s="33"/>
      <c r="S97" s="43"/>
    </row>
    <row r="98" spans="2:19" x14ac:dyDescent="0.2">
      <c r="B98" s="43"/>
      <c r="R98" s="33"/>
      <c r="S98" s="43"/>
    </row>
    <row r="99" spans="2:19" x14ac:dyDescent="0.2">
      <c r="B99" s="43"/>
      <c r="R99" s="33"/>
      <c r="S99" s="43"/>
    </row>
    <row r="100" spans="2:19" x14ac:dyDescent="0.2">
      <c r="B100" s="43"/>
      <c r="R100" s="33"/>
      <c r="S100" s="43"/>
    </row>
    <row r="101" spans="2:19" x14ac:dyDescent="0.2">
      <c r="B101" s="43"/>
      <c r="R101" s="33"/>
      <c r="S101" s="43"/>
    </row>
    <row r="102" spans="2:19" x14ac:dyDescent="0.2">
      <c r="B102" s="43"/>
      <c r="R102" s="33"/>
      <c r="S102" s="43"/>
    </row>
    <row r="103" spans="2:19" x14ac:dyDescent="0.2">
      <c r="B103" s="43"/>
      <c r="R103" s="33"/>
      <c r="S103" s="43"/>
    </row>
    <row r="104" spans="2:19" x14ac:dyDescent="0.2">
      <c r="B104" s="43"/>
      <c r="R104" s="33"/>
      <c r="S104" s="43"/>
    </row>
    <row r="105" spans="2:19" x14ac:dyDescent="0.2">
      <c r="B105" s="43"/>
      <c r="R105" s="33"/>
      <c r="S105" s="43"/>
    </row>
    <row r="106" spans="2:19" x14ac:dyDescent="0.2">
      <c r="B106" s="43"/>
      <c r="R106" s="33"/>
      <c r="S106" s="43"/>
    </row>
    <row r="107" spans="2:19" x14ac:dyDescent="0.2">
      <c r="B107" s="43"/>
      <c r="S107" s="43"/>
    </row>
    <row r="108" spans="2:19" x14ac:dyDescent="0.2">
      <c r="S108" s="43"/>
    </row>
    <row r="109" spans="2:19" x14ac:dyDescent="0.2">
      <c r="S109" s="43"/>
    </row>
    <row r="110" spans="2:19" x14ac:dyDescent="0.2">
      <c r="S110" s="43"/>
    </row>
    <row r="111" spans="2:19" x14ac:dyDescent="0.2">
      <c r="S111" s="43"/>
    </row>
    <row r="112" spans="2:19" x14ac:dyDescent="0.2">
      <c r="B112" s="43"/>
      <c r="S112" s="43"/>
    </row>
    <row r="113" spans="2:21" x14ac:dyDescent="0.2">
      <c r="B113" s="43"/>
      <c r="S113" s="43"/>
    </row>
    <row r="114" spans="2:21" x14ac:dyDescent="0.2">
      <c r="B114" s="43"/>
      <c r="S114" s="43"/>
    </row>
    <row r="115" spans="2:21" x14ac:dyDescent="0.2">
      <c r="B115" s="43"/>
      <c r="S115" s="43"/>
    </row>
    <row r="116" spans="2:21" x14ac:dyDescent="0.2">
      <c r="B116" s="43"/>
      <c r="S116" s="43"/>
    </row>
    <row r="117" spans="2:21" x14ac:dyDescent="0.2">
      <c r="B117" s="43"/>
      <c r="S117" s="43"/>
    </row>
    <row r="118" spans="2:21" x14ac:dyDescent="0.2">
      <c r="B118" s="43"/>
      <c r="S118" s="43"/>
    </row>
    <row r="119" spans="2:21" x14ac:dyDescent="0.2">
      <c r="B119" s="43"/>
      <c r="S119" s="43"/>
    </row>
    <row r="120" spans="2:21" x14ac:dyDescent="0.2">
      <c r="B120" s="43"/>
      <c r="S120" s="43"/>
    </row>
    <row r="121" spans="2:21" x14ac:dyDescent="0.2">
      <c r="B121" s="43"/>
      <c r="S121" s="43"/>
    </row>
    <row r="122" spans="2:21" x14ac:dyDescent="0.2">
      <c r="B122" s="43"/>
      <c r="S122" s="43"/>
    </row>
    <row r="123" spans="2:21" x14ac:dyDescent="0.2">
      <c r="S123" s="43"/>
    </row>
    <row r="124" spans="2:21" x14ac:dyDescent="0.2">
      <c r="S124" s="43"/>
    </row>
    <row r="125" spans="2:21" x14ac:dyDescent="0.2">
      <c r="S125" s="43"/>
    </row>
    <row r="127" spans="2:21" x14ac:dyDescent="0.2">
      <c r="C127" s="34"/>
    </row>
    <row r="128" spans="2:21" x14ac:dyDescent="0.2">
      <c r="D128" s="34"/>
      <c r="E128" s="34"/>
      <c r="F128" s="34"/>
      <c r="G128" s="34"/>
      <c r="H128" s="34"/>
      <c r="I128" s="34"/>
      <c r="J128" s="34"/>
      <c r="K128" s="34"/>
      <c r="L128" s="34"/>
      <c r="M128" s="34"/>
      <c r="N128" s="34"/>
      <c r="O128" s="34"/>
      <c r="P128" s="34"/>
      <c r="Q128" s="34"/>
      <c r="R128" s="34"/>
      <c r="S128" s="34"/>
      <c r="T128" s="34"/>
      <c r="U128" s="34"/>
    </row>
    <row r="129" spans="4:21" x14ac:dyDescent="0.2">
      <c r="D129" s="34"/>
      <c r="E129" s="34"/>
      <c r="F129" s="34"/>
      <c r="G129" s="34"/>
      <c r="H129" s="34"/>
      <c r="I129" s="34"/>
      <c r="J129" s="34"/>
      <c r="K129" s="34"/>
      <c r="L129" s="34"/>
      <c r="M129" s="34"/>
      <c r="N129" s="34"/>
      <c r="O129" s="34"/>
      <c r="P129" s="34"/>
      <c r="Q129" s="34"/>
      <c r="R129" s="34"/>
      <c r="S129" s="34"/>
      <c r="T129" s="34"/>
      <c r="U129" s="34"/>
    </row>
    <row r="130" spans="4:21" x14ac:dyDescent="0.2">
      <c r="D130" s="34"/>
      <c r="E130" s="34"/>
      <c r="F130" s="34"/>
      <c r="G130" s="34"/>
      <c r="H130" s="34"/>
      <c r="I130" s="34"/>
      <c r="J130" s="34"/>
      <c r="K130" s="34"/>
      <c r="L130" s="34"/>
      <c r="M130" s="34"/>
      <c r="N130" s="34"/>
      <c r="O130" s="34"/>
      <c r="P130" s="34"/>
      <c r="Q130" s="34"/>
      <c r="R130" s="34"/>
      <c r="S130" s="34"/>
      <c r="T130" s="34"/>
      <c r="U130" s="34"/>
    </row>
    <row r="131" spans="4:21" x14ac:dyDescent="0.2">
      <c r="D131" s="34"/>
      <c r="E131" s="34"/>
      <c r="F131" s="34"/>
      <c r="G131" s="34"/>
      <c r="H131" s="34"/>
      <c r="I131" s="34"/>
      <c r="J131" s="34"/>
      <c r="K131" s="34"/>
      <c r="L131" s="34"/>
      <c r="M131" s="34"/>
      <c r="N131" s="34"/>
      <c r="O131" s="34"/>
      <c r="P131" s="34"/>
      <c r="Q131" s="34"/>
      <c r="R131" s="34"/>
      <c r="S131" s="34"/>
      <c r="T131" s="34"/>
      <c r="U131" s="34"/>
    </row>
    <row r="132" spans="4:21" x14ac:dyDescent="0.2">
      <c r="D132" s="34"/>
      <c r="E132" s="34"/>
      <c r="F132" s="34"/>
      <c r="G132" s="34"/>
      <c r="H132" s="34"/>
      <c r="I132" s="34"/>
      <c r="J132" s="34"/>
      <c r="K132" s="34"/>
      <c r="L132" s="34"/>
      <c r="M132" s="34"/>
      <c r="N132" s="34"/>
      <c r="O132" s="34"/>
      <c r="P132" s="34"/>
      <c r="Q132" s="33"/>
      <c r="R132" s="34"/>
      <c r="S132" s="34"/>
      <c r="T132" s="46"/>
      <c r="U132" s="34"/>
    </row>
    <row r="133" spans="4:21" x14ac:dyDescent="0.2">
      <c r="D133" s="34"/>
      <c r="E133" s="34"/>
      <c r="F133" s="34"/>
      <c r="G133" s="34"/>
      <c r="H133" s="34"/>
      <c r="I133" s="34"/>
      <c r="J133" s="34"/>
      <c r="K133" s="34"/>
      <c r="L133" s="34"/>
      <c r="M133" s="34"/>
      <c r="N133" s="34"/>
      <c r="O133" s="34"/>
      <c r="P133" s="34"/>
      <c r="Q133" s="33"/>
      <c r="R133" s="34"/>
      <c r="S133" s="34"/>
      <c r="T133" s="46"/>
      <c r="U133" s="34"/>
    </row>
    <row r="134" spans="4:21" x14ac:dyDescent="0.2">
      <c r="D134" s="34"/>
      <c r="E134" s="34"/>
      <c r="F134" s="34"/>
      <c r="G134" s="34"/>
      <c r="H134" s="34"/>
      <c r="I134" s="34"/>
      <c r="J134" s="34"/>
      <c r="K134" s="34"/>
      <c r="L134" s="34"/>
      <c r="M134" s="34"/>
      <c r="N134" s="34"/>
      <c r="O134" s="34"/>
      <c r="P134" s="34"/>
      <c r="Q134" s="33"/>
      <c r="R134" s="34"/>
      <c r="S134" s="34"/>
      <c r="T134" s="46"/>
      <c r="U134" s="34"/>
    </row>
    <row r="135" spans="4:21" x14ac:dyDescent="0.2">
      <c r="D135" s="34"/>
      <c r="E135" s="34"/>
      <c r="F135" s="34"/>
      <c r="G135" s="34"/>
      <c r="H135" s="34"/>
      <c r="I135" s="34"/>
      <c r="J135" s="34"/>
      <c r="K135" s="34"/>
      <c r="L135" s="34"/>
      <c r="M135" s="34"/>
      <c r="N135" s="34"/>
      <c r="O135" s="34"/>
      <c r="P135" s="34"/>
      <c r="Q135" s="33"/>
      <c r="R135" s="34"/>
      <c r="S135" s="34"/>
      <c r="T135" s="46"/>
      <c r="U135" s="34"/>
    </row>
    <row r="136" spans="4:21" x14ac:dyDescent="0.2">
      <c r="D136" s="34"/>
      <c r="E136" s="34"/>
      <c r="F136" s="34"/>
      <c r="G136" s="34"/>
      <c r="H136" s="34"/>
      <c r="I136" s="34"/>
      <c r="J136" s="34"/>
      <c r="K136" s="34"/>
      <c r="L136" s="34"/>
      <c r="M136" s="34"/>
      <c r="N136" s="34"/>
      <c r="O136" s="34"/>
      <c r="P136" s="34"/>
      <c r="Q136" s="33"/>
      <c r="R136" s="34"/>
      <c r="S136" s="34"/>
      <c r="T136" s="46"/>
      <c r="U136" s="34"/>
    </row>
    <row r="137" spans="4:21" x14ac:dyDescent="0.2">
      <c r="D137" s="34"/>
      <c r="E137" s="34"/>
      <c r="F137" s="34"/>
      <c r="G137" s="34"/>
      <c r="H137" s="34"/>
      <c r="I137" s="34"/>
      <c r="J137" s="34"/>
      <c r="K137" s="34"/>
      <c r="L137" s="34"/>
      <c r="M137" s="34"/>
      <c r="N137" s="34"/>
      <c r="O137" s="34"/>
      <c r="P137" s="34"/>
      <c r="Q137" s="33"/>
      <c r="R137" s="34"/>
      <c r="S137" s="34"/>
      <c r="T137" s="46"/>
      <c r="U137" s="34"/>
    </row>
    <row r="138" spans="4:21" x14ac:dyDescent="0.2">
      <c r="D138" s="34"/>
      <c r="E138" s="34"/>
      <c r="F138" s="34"/>
      <c r="G138" s="34"/>
      <c r="H138" s="34"/>
      <c r="I138" s="34"/>
      <c r="J138" s="34"/>
      <c r="K138" s="34"/>
      <c r="L138" s="34"/>
      <c r="M138" s="34"/>
      <c r="N138" s="34"/>
      <c r="O138" s="34"/>
      <c r="P138" s="34"/>
      <c r="Q138" s="33"/>
      <c r="R138" s="34"/>
      <c r="S138" s="34"/>
      <c r="T138" s="46"/>
      <c r="U138" s="34"/>
    </row>
    <row r="139" spans="4:21" x14ac:dyDescent="0.2">
      <c r="D139" s="34"/>
      <c r="E139" s="34"/>
      <c r="F139" s="34"/>
      <c r="G139" s="34"/>
      <c r="H139" s="34"/>
      <c r="I139" s="34"/>
      <c r="J139" s="34"/>
      <c r="K139" s="34"/>
      <c r="L139" s="34"/>
      <c r="M139" s="34"/>
      <c r="N139" s="34"/>
      <c r="O139" s="34"/>
      <c r="P139" s="34"/>
      <c r="Q139" s="33"/>
      <c r="R139" s="34"/>
      <c r="S139" s="34"/>
      <c r="T139" s="46"/>
      <c r="U139" s="34"/>
    </row>
    <row r="140" spans="4:21" x14ac:dyDescent="0.2">
      <c r="D140" s="34"/>
      <c r="E140" s="34"/>
      <c r="F140" s="34"/>
      <c r="G140" s="34"/>
      <c r="H140" s="34"/>
      <c r="I140" s="34"/>
      <c r="J140" s="34"/>
      <c r="K140" s="34"/>
      <c r="L140" s="34"/>
      <c r="M140" s="34"/>
      <c r="N140" s="34"/>
      <c r="O140" s="34"/>
      <c r="P140" s="34"/>
      <c r="Q140" s="33"/>
      <c r="R140" s="34"/>
      <c r="S140" s="34"/>
      <c r="T140" s="46"/>
      <c r="U140" s="34"/>
    </row>
    <row r="141" spans="4:21" x14ac:dyDescent="0.2">
      <c r="D141" s="34"/>
      <c r="E141" s="34"/>
      <c r="F141" s="34"/>
      <c r="G141" s="34"/>
      <c r="H141" s="34"/>
      <c r="I141" s="34"/>
      <c r="J141" s="34"/>
      <c r="K141" s="34"/>
      <c r="L141" s="34"/>
      <c r="M141" s="34"/>
      <c r="N141" s="47"/>
      <c r="O141" s="34"/>
      <c r="P141" s="34"/>
      <c r="Q141" s="33"/>
      <c r="R141" s="34"/>
      <c r="S141" s="34"/>
      <c r="T141" s="46"/>
      <c r="U141" s="34"/>
    </row>
    <row r="142" spans="4:21" x14ac:dyDescent="0.2">
      <c r="D142" s="34"/>
      <c r="E142" s="34"/>
      <c r="F142" s="34"/>
      <c r="G142" s="34"/>
      <c r="H142" s="34"/>
      <c r="I142" s="34"/>
      <c r="J142" s="34"/>
      <c r="K142" s="34"/>
      <c r="L142" s="34"/>
      <c r="M142" s="34"/>
      <c r="N142" s="34"/>
      <c r="O142" s="34"/>
      <c r="P142" s="34"/>
      <c r="Q142" s="33"/>
      <c r="R142" s="34"/>
      <c r="S142" s="34"/>
      <c r="T142" s="46"/>
      <c r="U142" s="34"/>
    </row>
    <row r="143" spans="4:21" x14ac:dyDescent="0.2">
      <c r="D143" s="34"/>
      <c r="E143" s="34"/>
      <c r="F143" s="34"/>
      <c r="G143" s="34"/>
      <c r="H143" s="34"/>
      <c r="I143" s="34"/>
      <c r="J143" s="34"/>
      <c r="K143" s="34"/>
      <c r="L143" s="34"/>
      <c r="M143" s="34"/>
      <c r="N143" s="34"/>
      <c r="O143" s="34"/>
      <c r="P143" s="34"/>
      <c r="Q143" s="33"/>
      <c r="R143" s="34"/>
      <c r="S143" s="34"/>
      <c r="T143" s="46"/>
      <c r="U143" s="34"/>
    </row>
    <row r="144" spans="4:21" x14ac:dyDescent="0.2">
      <c r="D144" s="34"/>
      <c r="E144" s="34"/>
      <c r="F144" s="34"/>
      <c r="G144" s="34"/>
      <c r="H144" s="34"/>
      <c r="I144" s="34"/>
      <c r="J144" s="34"/>
      <c r="K144" s="34"/>
      <c r="L144" s="34"/>
      <c r="M144" s="34"/>
      <c r="N144" s="34"/>
      <c r="O144" s="34"/>
      <c r="P144" s="34"/>
      <c r="Q144" s="33"/>
      <c r="R144" s="34"/>
      <c r="S144" s="34"/>
      <c r="T144" s="46"/>
      <c r="U144" s="34"/>
    </row>
  </sheetData>
  <phoneticPr fontId="4" type="noConversion"/>
  <pageMargins left="0.86" right="0.35" top="1.1100000000000001" bottom="0.38" header="0.4921259845" footer="0.28000000000000003"/>
  <pageSetup paperSize="9" scale="65" fitToHeight="2" orientation="portrait" verticalDpi="300" r:id="rId1"/>
  <headerFooter alignWithMargins="0">
    <oddHeader>&amp;L&amp;"Arial,Fett"&amp;36BK&amp;C&amp;"Arial,Fett"&amp;18WallMann
Profilliste Rohre&amp;RSeite &amp;P/&amp;N
&amp;D
&amp;F/&amp;A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2]!SichtenProfileEnde">
                <anchor moveWithCells="1" sizeWithCells="1">
                  <from>
                    <xdr:col>0</xdr:col>
                    <xdr:colOff>47625</xdr:colOff>
                    <xdr:row>0</xdr:row>
                    <xdr:rowOff>66675</xdr:rowOff>
                  </from>
                  <to>
                    <xdr:col>1</xdr:col>
                    <xdr:colOff>666750</xdr:colOff>
                    <xdr:row>2</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Y201"/>
  <sheetViews>
    <sheetView showGridLines="0" zoomScaleNormal="100" workbookViewId="0">
      <pane xSplit="2" ySplit="3" topLeftCell="C4" activePane="bottomRight" state="frozenSplit"/>
      <selection pane="topRight" activeCell="C1" sqref="C1"/>
      <selection pane="bottomLeft" activeCell="A4" sqref="A4"/>
      <selection pane="bottomRight" activeCell="T169" sqref="T169"/>
    </sheetView>
  </sheetViews>
  <sheetFormatPr baseColWidth="10" defaultRowHeight="12.75" x14ac:dyDescent="0.2"/>
  <cols>
    <col min="1" max="1" width="3.7109375" style="15" customWidth="1"/>
    <col min="2" max="2" width="15" style="15" customWidth="1"/>
    <col min="3" max="3" width="6.7109375" style="15" customWidth="1"/>
    <col min="4" max="4" width="5" style="15" customWidth="1"/>
    <col min="5" max="6" width="4.28515625" style="15" customWidth="1"/>
    <col min="7" max="7" width="6.7109375" style="15" customWidth="1"/>
    <col min="8" max="8" width="4.85546875" style="15" customWidth="1"/>
    <col min="9" max="9" width="4.5703125" style="15" customWidth="1"/>
    <col min="10" max="11" width="5" style="15" customWidth="1"/>
    <col min="12" max="12" width="4.42578125" style="15" customWidth="1"/>
    <col min="13" max="13" width="7.7109375" style="15" customWidth="1"/>
    <col min="14" max="14" width="6" style="15" customWidth="1"/>
    <col min="15" max="15" width="5.42578125" style="15" customWidth="1"/>
    <col min="16" max="16" width="5.85546875" style="15" customWidth="1"/>
    <col min="17" max="17" width="5.5703125" style="15" customWidth="1"/>
    <col min="18" max="18" width="6.7109375" style="15" customWidth="1"/>
    <col min="19" max="19" width="5" style="15" customWidth="1"/>
    <col min="20" max="21" width="6.85546875" style="15" customWidth="1"/>
    <col min="22" max="16384" width="11.42578125" style="15"/>
  </cols>
  <sheetData>
    <row r="1" spans="1:24" x14ac:dyDescent="0.2">
      <c r="A1" s="35"/>
      <c r="B1" s="36">
        <v>1</v>
      </c>
      <c r="C1" s="18">
        <f t="shared" ref="C1:Q1" si="0">+B1+1</f>
        <v>2</v>
      </c>
      <c r="D1" s="19">
        <f t="shared" si="0"/>
        <v>3</v>
      </c>
      <c r="E1" s="19">
        <f t="shared" si="0"/>
        <v>4</v>
      </c>
      <c r="F1" s="19">
        <f t="shared" si="0"/>
        <v>5</v>
      </c>
      <c r="G1" s="19">
        <f t="shared" si="0"/>
        <v>6</v>
      </c>
      <c r="H1" s="19">
        <f t="shared" si="0"/>
        <v>7</v>
      </c>
      <c r="I1" s="19">
        <f t="shared" si="0"/>
        <v>8</v>
      </c>
      <c r="J1" s="19">
        <f t="shared" si="0"/>
        <v>9</v>
      </c>
      <c r="K1" s="19">
        <f t="shared" si="0"/>
        <v>10</v>
      </c>
      <c r="L1" s="19">
        <f t="shared" si="0"/>
        <v>11</v>
      </c>
      <c r="M1" s="19">
        <f t="shared" si="0"/>
        <v>12</v>
      </c>
      <c r="N1" s="19">
        <f t="shared" si="0"/>
        <v>13</v>
      </c>
      <c r="O1" s="19">
        <f t="shared" si="0"/>
        <v>14</v>
      </c>
      <c r="P1" s="19">
        <f t="shared" si="0"/>
        <v>15</v>
      </c>
      <c r="Q1" s="19">
        <f t="shared" si="0"/>
        <v>16</v>
      </c>
      <c r="R1" s="19">
        <v>17</v>
      </c>
      <c r="S1" s="19">
        <v>18</v>
      </c>
      <c r="T1" s="19">
        <v>19</v>
      </c>
      <c r="U1" s="19">
        <v>20</v>
      </c>
      <c r="V1" s="19">
        <v>21</v>
      </c>
      <c r="W1" s="19">
        <v>22</v>
      </c>
      <c r="X1" s="19">
        <v>23</v>
      </c>
    </row>
    <row r="2" spans="1:24" x14ac:dyDescent="0.2">
      <c r="A2" s="37"/>
      <c r="B2" s="38" t="s">
        <v>6730</v>
      </c>
      <c r="C2" s="18" t="s">
        <v>6731</v>
      </c>
      <c r="D2" s="19" t="s">
        <v>6732</v>
      </c>
      <c r="E2" s="19" t="s">
        <v>6733</v>
      </c>
      <c r="F2" s="19" t="s">
        <v>2111</v>
      </c>
      <c r="G2" s="19" t="s">
        <v>6734</v>
      </c>
      <c r="H2" s="19" t="s">
        <v>6735</v>
      </c>
      <c r="I2" s="19" t="s">
        <v>6736</v>
      </c>
      <c r="J2" s="19" t="s">
        <v>241</v>
      </c>
      <c r="K2" s="19" t="s">
        <v>6737</v>
      </c>
      <c r="L2" s="19" t="s">
        <v>6738</v>
      </c>
      <c r="M2" s="19" t="s">
        <v>1741</v>
      </c>
      <c r="N2" s="19" t="s">
        <v>1446</v>
      </c>
      <c r="O2" s="19" t="s">
        <v>6739</v>
      </c>
      <c r="P2" s="19" t="s">
        <v>1744</v>
      </c>
      <c r="Q2" s="19" t="s">
        <v>1745</v>
      </c>
      <c r="R2" s="21" t="s">
        <v>6740</v>
      </c>
      <c r="S2" s="110" t="s">
        <v>5929</v>
      </c>
      <c r="T2" s="21" t="s">
        <v>6742</v>
      </c>
      <c r="U2" s="21" t="s">
        <v>6741</v>
      </c>
      <c r="V2" s="21" t="s">
        <v>8804</v>
      </c>
      <c r="W2" s="21" t="s">
        <v>8805</v>
      </c>
      <c r="X2" s="21" t="s">
        <v>8806</v>
      </c>
    </row>
    <row r="3" spans="1:24" ht="14.25" x14ac:dyDescent="0.2">
      <c r="A3" s="39"/>
      <c r="B3" s="40"/>
      <c r="C3" s="18" t="s">
        <v>6743</v>
      </c>
      <c r="D3" s="19" t="s">
        <v>1455</v>
      </c>
      <c r="E3" s="19" t="s">
        <v>1429</v>
      </c>
      <c r="F3" s="19" t="s">
        <v>1453</v>
      </c>
      <c r="G3" s="21" t="s">
        <v>4697</v>
      </c>
      <c r="H3" s="19" t="s">
        <v>1447</v>
      </c>
      <c r="I3" s="19" t="s">
        <v>1447</v>
      </c>
      <c r="J3" s="19" t="s">
        <v>1447</v>
      </c>
      <c r="K3" s="19" t="s">
        <v>1447</v>
      </c>
      <c r="L3" s="19" t="s">
        <v>1447</v>
      </c>
      <c r="M3" s="19" t="s">
        <v>1430</v>
      </c>
      <c r="N3" s="21" t="s">
        <v>6743</v>
      </c>
      <c r="O3" s="21" t="s">
        <v>6743</v>
      </c>
      <c r="P3" s="19" t="s">
        <v>6743</v>
      </c>
      <c r="Q3" s="19" t="s">
        <v>1430</v>
      </c>
      <c r="R3" s="21" t="s">
        <v>4697</v>
      </c>
      <c r="S3" s="41" t="s">
        <v>1431</v>
      </c>
      <c r="T3" s="19" t="s">
        <v>1432</v>
      </c>
      <c r="U3" s="41" t="s">
        <v>1431</v>
      </c>
      <c r="V3" s="41" t="s">
        <v>6728</v>
      </c>
      <c r="W3" s="41" t="s">
        <v>1447</v>
      </c>
      <c r="X3" s="41" t="s">
        <v>1447</v>
      </c>
    </row>
    <row r="4" spans="1:24" x14ac:dyDescent="0.2">
      <c r="A4" s="26">
        <v>1</v>
      </c>
      <c r="B4" s="27" t="s">
        <v>1433</v>
      </c>
      <c r="C4" s="28">
        <v>745</v>
      </c>
      <c r="D4" s="28">
        <v>251</v>
      </c>
      <c r="E4" s="28">
        <v>77</v>
      </c>
      <c r="F4" s="28">
        <v>98.3</v>
      </c>
      <c r="G4" s="28">
        <v>11520</v>
      </c>
      <c r="H4" s="28">
        <v>1200</v>
      </c>
      <c r="I4" s="28">
        <v>249</v>
      </c>
      <c r="J4" s="28">
        <v>310</v>
      </c>
      <c r="K4" s="28">
        <v>7.5</v>
      </c>
      <c r="L4" s="28">
        <v>6.4</v>
      </c>
      <c r="M4" s="28">
        <v>21.41</v>
      </c>
      <c r="N4" s="28">
        <v>418</v>
      </c>
      <c r="O4" s="28">
        <f t="shared" ref="O4:O67" si="1">+(I4*K4*(J4-K4)/2/H4)</f>
        <v>235.3828125</v>
      </c>
      <c r="P4" s="28">
        <f t="shared" ref="P4:P67" si="2">+C4*J4/(J4-2*K4)</f>
        <v>782.88135593220341</v>
      </c>
      <c r="Q4" s="28">
        <v>38.76</v>
      </c>
      <c r="R4" s="28"/>
      <c r="S4" s="32" t="s">
        <v>1434</v>
      </c>
      <c r="T4" s="28">
        <v>42.5</v>
      </c>
      <c r="U4" s="28">
        <v>1</v>
      </c>
      <c r="V4" s="28">
        <v>2650</v>
      </c>
      <c r="W4" s="28">
        <v>68.900000000000006</v>
      </c>
      <c r="X4" s="28">
        <v>106.5</v>
      </c>
    </row>
    <row r="5" spans="1:24" x14ac:dyDescent="0.2">
      <c r="A5" s="19">
        <f t="shared" ref="A5:A70" si="3">+A4+1</f>
        <v>2</v>
      </c>
      <c r="B5" s="28" t="s">
        <v>1435</v>
      </c>
      <c r="C5" s="28">
        <v>830</v>
      </c>
      <c r="D5" s="28">
        <v>265</v>
      </c>
      <c r="E5" s="28">
        <v>89</v>
      </c>
      <c r="F5" s="28">
        <v>113.3</v>
      </c>
      <c r="G5" s="28">
        <v>12870</v>
      </c>
      <c r="H5" s="28">
        <v>1200</v>
      </c>
      <c r="I5" s="28">
        <v>246</v>
      </c>
      <c r="J5" s="28">
        <v>310</v>
      </c>
      <c r="K5" s="28">
        <v>8.1999999999999993</v>
      </c>
      <c r="L5" s="28">
        <v>8</v>
      </c>
      <c r="M5" s="28">
        <v>26.07</v>
      </c>
      <c r="N5" s="28">
        <v>482</v>
      </c>
      <c r="O5" s="28">
        <f t="shared" si="1"/>
        <v>253.66289999999998</v>
      </c>
      <c r="P5" s="28">
        <f t="shared" si="2"/>
        <v>876.36239782016344</v>
      </c>
      <c r="Q5" s="28">
        <v>43.11</v>
      </c>
      <c r="R5" s="28"/>
      <c r="S5" s="32" t="s">
        <v>1434</v>
      </c>
      <c r="T5" s="28">
        <v>42.5</v>
      </c>
      <c r="U5" s="28">
        <v>1</v>
      </c>
      <c r="V5" s="28">
        <v>2790</v>
      </c>
      <c r="W5" s="28">
        <v>69.099999999999994</v>
      </c>
      <c r="X5" s="28">
        <v>106.3</v>
      </c>
    </row>
    <row r="6" spans="1:24" x14ac:dyDescent="0.2">
      <c r="A6" s="19">
        <f t="shared" si="3"/>
        <v>3</v>
      </c>
      <c r="B6" s="28" t="s">
        <v>1578</v>
      </c>
      <c r="C6" s="28">
        <v>1200</v>
      </c>
      <c r="D6" s="28">
        <v>330</v>
      </c>
      <c r="E6" s="28">
        <v>108</v>
      </c>
      <c r="F6" s="28">
        <v>138.30000000000001</v>
      </c>
      <c r="G6" s="28">
        <v>18600</v>
      </c>
      <c r="H6" s="28">
        <v>1200</v>
      </c>
      <c r="I6" s="28">
        <v>377</v>
      </c>
      <c r="J6" s="28">
        <v>310</v>
      </c>
      <c r="K6" s="28">
        <v>9.6999999999999993</v>
      </c>
      <c r="L6" s="28">
        <v>8.1999999999999993</v>
      </c>
      <c r="M6" s="28">
        <v>26.09</v>
      </c>
      <c r="N6" s="28">
        <v>650</v>
      </c>
      <c r="O6" s="28">
        <f t="shared" si="1"/>
        <v>457.56961249999995</v>
      </c>
      <c r="P6" s="28">
        <f t="shared" si="2"/>
        <v>1280.1101169993117</v>
      </c>
      <c r="Q6" s="28">
        <v>52.53</v>
      </c>
      <c r="R6" s="28"/>
      <c r="S6" s="32" t="s">
        <v>1434</v>
      </c>
      <c r="T6" s="28">
        <v>60</v>
      </c>
      <c r="U6" s="28">
        <v>1</v>
      </c>
      <c r="V6" s="28">
        <v>3830</v>
      </c>
      <c r="W6" s="28">
        <v>60.6</v>
      </c>
      <c r="X6" s="28">
        <v>116.4</v>
      </c>
    </row>
    <row r="7" spans="1:24" x14ac:dyDescent="0.2">
      <c r="A7" s="19">
        <f t="shared" si="3"/>
        <v>4</v>
      </c>
      <c r="B7" s="32" t="s">
        <v>3479</v>
      </c>
      <c r="C7" s="28">
        <v>1240</v>
      </c>
      <c r="D7" s="28">
        <v>340</v>
      </c>
      <c r="E7" s="28">
        <v>113</v>
      </c>
      <c r="F7" s="28">
        <v>145</v>
      </c>
      <c r="G7" s="28">
        <v>19220</v>
      </c>
      <c r="H7" s="28">
        <v>1200</v>
      </c>
      <c r="I7" s="28">
        <v>376</v>
      </c>
      <c r="J7" s="28">
        <v>310</v>
      </c>
      <c r="K7" s="28">
        <v>10</v>
      </c>
      <c r="L7" s="28">
        <v>9</v>
      </c>
      <c r="M7" s="28">
        <v>28.3</v>
      </c>
      <c r="N7" s="28">
        <v>680</v>
      </c>
      <c r="O7" s="28">
        <f t="shared" si="1"/>
        <v>470</v>
      </c>
      <c r="P7" s="28">
        <f t="shared" si="2"/>
        <v>1325.5172413793102</v>
      </c>
      <c r="Q7" s="28">
        <v>55.28</v>
      </c>
      <c r="R7" s="28"/>
      <c r="S7" s="32" t="s">
        <v>1434</v>
      </c>
      <c r="T7" s="28">
        <v>60</v>
      </c>
      <c r="U7" s="28">
        <v>1</v>
      </c>
      <c r="V7" s="28">
        <v>3890</v>
      </c>
      <c r="W7" s="28">
        <v>61</v>
      </c>
      <c r="X7" s="28">
        <v>116</v>
      </c>
    </row>
    <row r="8" spans="1:24" x14ac:dyDescent="0.2">
      <c r="A8" s="19">
        <f t="shared" si="3"/>
        <v>5</v>
      </c>
      <c r="B8" s="28" t="s">
        <v>1579</v>
      </c>
      <c r="C8" s="28">
        <v>1620</v>
      </c>
      <c r="D8" s="28">
        <v>425</v>
      </c>
      <c r="E8" s="28">
        <v>124</v>
      </c>
      <c r="F8" s="28">
        <v>158</v>
      </c>
      <c r="G8" s="28">
        <v>30710</v>
      </c>
      <c r="H8" s="28">
        <v>1200</v>
      </c>
      <c r="I8" s="28">
        <v>381</v>
      </c>
      <c r="J8" s="28">
        <v>380</v>
      </c>
      <c r="K8" s="28">
        <v>10.5</v>
      </c>
      <c r="L8" s="28">
        <v>9</v>
      </c>
      <c r="M8" s="28">
        <v>34.270000000000003</v>
      </c>
      <c r="N8" s="28">
        <v>911</v>
      </c>
      <c r="O8" s="28">
        <f t="shared" si="1"/>
        <v>615.91031250000003</v>
      </c>
      <c r="P8" s="28">
        <f t="shared" si="2"/>
        <v>1714.7632311977716</v>
      </c>
      <c r="Q8" s="28">
        <v>73.23</v>
      </c>
      <c r="R8" s="28"/>
      <c r="S8" s="32" t="s">
        <v>1434</v>
      </c>
      <c r="T8" s="28">
        <v>66</v>
      </c>
      <c r="U8" s="28">
        <v>1</v>
      </c>
      <c r="V8" s="28">
        <v>5840</v>
      </c>
      <c r="W8" s="28">
        <v>74.099999999999994</v>
      </c>
      <c r="X8" s="28">
        <v>138</v>
      </c>
    </row>
    <row r="9" spans="1:24" x14ac:dyDescent="0.2">
      <c r="A9" s="19">
        <f t="shared" si="3"/>
        <v>6</v>
      </c>
      <c r="B9" s="28" t="s">
        <v>1580</v>
      </c>
      <c r="C9" s="28">
        <v>2020</v>
      </c>
      <c r="D9" s="28">
        <v>520</v>
      </c>
      <c r="E9" s="28">
        <v>139.19999999999999</v>
      </c>
      <c r="F9" s="28">
        <v>177.3</v>
      </c>
      <c r="G9" s="28">
        <v>42370</v>
      </c>
      <c r="H9" s="28">
        <v>1200</v>
      </c>
      <c r="I9" s="28">
        <v>348</v>
      </c>
      <c r="J9" s="28">
        <v>420</v>
      </c>
      <c r="K9" s="28">
        <v>12.5</v>
      </c>
      <c r="L9" s="28">
        <v>9</v>
      </c>
      <c r="M9" s="28">
        <v>39.36</v>
      </c>
      <c r="N9" s="28">
        <v>1130</v>
      </c>
      <c r="O9" s="28">
        <f t="shared" si="1"/>
        <v>738.59375</v>
      </c>
      <c r="P9" s="28">
        <f t="shared" si="2"/>
        <v>2147.8481012658226</v>
      </c>
      <c r="Q9" s="28">
        <v>93.28</v>
      </c>
      <c r="R9" s="28"/>
      <c r="S9" s="32" t="s">
        <v>1434</v>
      </c>
      <c r="T9" s="28">
        <v>66</v>
      </c>
      <c r="U9" s="28">
        <v>1</v>
      </c>
      <c r="V9" s="28">
        <v>7910</v>
      </c>
      <c r="W9" s="28">
        <v>81.599999999999994</v>
      </c>
      <c r="X9" s="28">
        <v>153</v>
      </c>
    </row>
    <row r="10" spans="1:24" x14ac:dyDescent="0.2">
      <c r="A10" s="19">
        <f t="shared" si="3"/>
        <v>7</v>
      </c>
      <c r="B10" s="32" t="s">
        <v>3478</v>
      </c>
      <c r="C10" s="28">
        <v>2030</v>
      </c>
      <c r="D10" s="28">
        <v>537</v>
      </c>
      <c r="E10" s="28">
        <v>144</v>
      </c>
      <c r="F10" s="28">
        <v>184.1</v>
      </c>
      <c r="G10" s="28">
        <v>42550</v>
      </c>
      <c r="H10" s="28">
        <v>1200</v>
      </c>
      <c r="I10" s="28">
        <v>346</v>
      </c>
      <c r="J10" s="28">
        <v>420</v>
      </c>
      <c r="K10" s="28">
        <v>12.2</v>
      </c>
      <c r="L10" s="28">
        <v>10</v>
      </c>
      <c r="M10" s="28">
        <v>42.78</v>
      </c>
      <c r="N10" s="28">
        <v>1147</v>
      </c>
      <c r="O10" s="28">
        <f>+(I10*K10*(J10-K10)/2/H10)</f>
        <v>717.25223333333327</v>
      </c>
      <c r="P10" s="28">
        <f t="shared" si="2"/>
        <v>2155.2072800808896</v>
      </c>
      <c r="Q10" s="28">
        <v>99.02</v>
      </c>
      <c r="R10" s="28"/>
      <c r="S10" s="32" t="s">
        <v>1434</v>
      </c>
      <c r="T10" s="28">
        <v>66</v>
      </c>
      <c r="U10" s="28">
        <v>1</v>
      </c>
      <c r="V10" s="28">
        <v>8240</v>
      </c>
      <c r="W10" s="28">
        <v>82.9</v>
      </c>
      <c r="X10" s="28">
        <v>151.69999999999999</v>
      </c>
    </row>
    <row r="11" spans="1:24" x14ac:dyDescent="0.2">
      <c r="A11" s="19">
        <f t="shared" si="3"/>
        <v>8</v>
      </c>
      <c r="B11" s="148" t="s">
        <v>6073</v>
      </c>
      <c r="C11" s="28">
        <v>2500</v>
      </c>
      <c r="D11" s="28">
        <v>600</v>
      </c>
      <c r="E11" s="28">
        <v>157</v>
      </c>
      <c r="F11" s="28">
        <v>201</v>
      </c>
      <c r="G11" s="28">
        <v>54370</v>
      </c>
      <c r="H11" s="28">
        <v>1200</v>
      </c>
      <c r="I11" s="28">
        <v>344</v>
      </c>
      <c r="J11" s="28">
        <v>435</v>
      </c>
      <c r="K11" s="28">
        <v>15.8</v>
      </c>
      <c r="L11" s="28">
        <v>9.1999999999999993</v>
      </c>
      <c r="M11" s="28">
        <v>41.69</v>
      </c>
      <c r="N11" s="28">
        <v>1380</v>
      </c>
      <c r="O11" s="28">
        <f t="shared" si="1"/>
        <v>949.34826666666663</v>
      </c>
      <c r="P11" s="28">
        <f t="shared" si="2"/>
        <v>2695.8353991075855</v>
      </c>
      <c r="Q11" s="28">
        <v>117.59</v>
      </c>
      <c r="R11" s="28"/>
      <c r="S11" s="32" t="s">
        <v>1434</v>
      </c>
      <c r="T11" s="28">
        <v>66</v>
      </c>
      <c r="U11" s="28">
        <v>1</v>
      </c>
      <c r="V11" s="28">
        <v>9720</v>
      </c>
      <c r="W11" s="28">
        <v>79.5</v>
      </c>
      <c r="X11" s="28">
        <v>163.1</v>
      </c>
    </row>
    <row r="12" spans="1:24" x14ac:dyDescent="0.2">
      <c r="A12" s="19">
        <f t="shared" si="3"/>
        <v>9</v>
      </c>
      <c r="B12" s="28" t="s">
        <v>6074</v>
      </c>
      <c r="C12" s="28">
        <v>2540</v>
      </c>
      <c r="D12" s="28">
        <v>620</v>
      </c>
      <c r="E12" s="28">
        <v>162</v>
      </c>
      <c r="F12" s="28">
        <v>207</v>
      </c>
      <c r="G12" s="28">
        <v>55240</v>
      </c>
      <c r="H12" s="28">
        <v>1200</v>
      </c>
      <c r="I12" s="28">
        <v>342</v>
      </c>
      <c r="J12" s="28">
        <v>435</v>
      </c>
      <c r="K12" s="28">
        <v>15.6</v>
      </c>
      <c r="L12" s="28">
        <v>10</v>
      </c>
      <c r="M12" s="28">
        <v>44.8</v>
      </c>
      <c r="N12" s="28">
        <v>1410</v>
      </c>
      <c r="O12" s="28">
        <f t="shared" si="1"/>
        <v>932.32619999999997</v>
      </c>
      <c r="P12" s="28">
        <f t="shared" si="2"/>
        <v>2736.2555720653786</v>
      </c>
      <c r="Q12" s="28">
        <v>117.17</v>
      </c>
      <c r="R12" s="28"/>
      <c r="S12" s="32" t="s">
        <v>1434</v>
      </c>
      <c r="T12" s="28">
        <v>66</v>
      </c>
      <c r="U12" s="28">
        <v>1</v>
      </c>
      <c r="V12" s="28">
        <v>10000</v>
      </c>
      <c r="W12" s="28">
        <v>80</v>
      </c>
      <c r="X12" s="28">
        <v>162.6</v>
      </c>
    </row>
    <row r="13" spans="1:24" x14ac:dyDescent="0.2">
      <c r="A13" s="19">
        <f t="shared" si="3"/>
        <v>10</v>
      </c>
      <c r="B13" s="32" t="s">
        <v>6075</v>
      </c>
      <c r="C13" s="28">
        <v>3200</v>
      </c>
      <c r="D13" s="28">
        <v>649</v>
      </c>
      <c r="E13" s="28">
        <v>190</v>
      </c>
      <c r="F13" s="28">
        <v>241.7</v>
      </c>
      <c r="G13" s="28">
        <v>72320</v>
      </c>
      <c r="H13" s="28">
        <v>1200</v>
      </c>
      <c r="I13" s="28">
        <v>294</v>
      </c>
      <c r="J13" s="28">
        <v>452</v>
      </c>
      <c r="K13" s="28">
        <v>19</v>
      </c>
      <c r="L13" s="28">
        <v>10.6</v>
      </c>
      <c r="M13" s="28">
        <f>+G13*1.5*L13/H13/N13*100</f>
        <v>52.941436464088397</v>
      </c>
      <c r="N13" s="28">
        <v>1810</v>
      </c>
      <c r="O13" s="28">
        <f t="shared" si="1"/>
        <v>1007.8075</v>
      </c>
      <c r="P13" s="28">
        <f t="shared" si="2"/>
        <v>3493.7198067632849</v>
      </c>
      <c r="Q13" s="28">
        <v>150.97</v>
      </c>
      <c r="R13" s="28"/>
      <c r="S13" s="32" t="s">
        <v>1434</v>
      </c>
      <c r="T13" s="28">
        <v>66</v>
      </c>
      <c r="U13" s="28">
        <v>1</v>
      </c>
      <c r="V13" s="28">
        <v>11280</v>
      </c>
      <c r="W13" s="28">
        <v>78.3</v>
      </c>
      <c r="X13" s="28">
        <v>173.8</v>
      </c>
    </row>
    <row r="14" spans="1:24" x14ac:dyDescent="0.2">
      <c r="A14" s="19">
        <f t="shared" si="3"/>
        <v>11</v>
      </c>
      <c r="B14" s="32" t="s">
        <v>6076</v>
      </c>
      <c r="C14" s="28">
        <v>510</v>
      </c>
      <c r="D14" s="28">
        <v>130</v>
      </c>
      <c r="E14" s="28">
        <v>94</v>
      </c>
      <c r="F14" s="28">
        <v>119.7</v>
      </c>
      <c r="G14" s="28">
        <v>3825</v>
      </c>
      <c r="H14" s="28">
        <v>1200</v>
      </c>
      <c r="I14" s="28">
        <v>401</v>
      </c>
      <c r="J14" s="28">
        <v>150</v>
      </c>
      <c r="K14" s="28">
        <v>9.5</v>
      </c>
      <c r="L14" s="28">
        <v>9.5</v>
      </c>
      <c r="M14" s="28">
        <f>+G14*1.5*L14/H14/N14*100</f>
        <v>15.662715517241379</v>
      </c>
      <c r="N14" s="28">
        <v>290</v>
      </c>
      <c r="O14" s="28">
        <f t="shared" si="1"/>
        <v>223.01447916666666</v>
      </c>
      <c r="P14" s="28">
        <f t="shared" si="2"/>
        <v>583.96946564885491</v>
      </c>
      <c r="Q14" s="28">
        <v>150.97</v>
      </c>
      <c r="R14" s="28"/>
      <c r="S14" s="32" t="s">
        <v>1434</v>
      </c>
      <c r="T14" s="28">
        <v>45</v>
      </c>
      <c r="U14" s="28">
        <v>1</v>
      </c>
      <c r="V14" s="28">
        <v>850</v>
      </c>
      <c r="W14" s="28">
        <v>30.2</v>
      </c>
      <c r="X14" s="28">
        <v>65.8</v>
      </c>
    </row>
    <row r="15" spans="1:24" x14ac:dyDescent="0.2">
      <c r="A15" s="19">
        <f t="shared" si="3"/>
        <v>12</v>
      </c>
      <c r="B15" s="32" t="s">
        <v>6077</v>
      </c>
      <c r="C15" s="28">
        <v>540</v>
      </c>
      <c r="D15" s="28">
        <v>133</v>
      </c>
      <c r="E15" s="28">
        <v>99</v>
      </c>
      <c r="F15" s="28">
        <v>126.1</v>
      </c>
      <c r="G15" s="28">
        <v>4050</v>
      </c>
      <c r="H15" s="28">
        <v>1200</v>
      </c>
      <c r="I15" s="28">
        <v>401</v>
      </c>
      <c r="J15" s="28">
        <v>150</v>
      </c>
      <c r="K15" s="28">
        <v>10</v>
      </c>
      <c r="L15" s="28">
        <v>10</v>
      </c>
      <c r="M15" s="28">
        <f>+G15*1.5*L15/H15/N15*100</f>
        <v>16.38349514563107</v>
      </c>
      <c r="N15" s="28">
        <v>309</v>
      </c>
      <c r="O15" s="28">
        <f t="shared" si="1"/>
        <v>233.91666666666666</v>
      </c>
      <c r="P15" s="28">
        <f t="shared" si="2"/>
        <v>623.07692307692309</v>
      </c>
      <c r="Q15" s="28">
        <v>150.97</v>
      </c>
      <c r="R15" s="28"/>
      <c r="S15" s="32" t="s">
        <v>1434</v>
      </c>
      <c r="T15" s="28">
        <v>45</v>
      </c>
      <c r="U15" s="28">
        <v>1</v>
      </c>
      <c r="V15" s="28">
        <v>823</v>
      </c>
      <c r="W15" s="28">
        <v>29.8</v>
      </c>
      <c r="X15" s="28">
        <v>66.2</v>
      </c>
    </row>
    <row r="16" spans="1:24" x14ac:dyDescent="0.2">
      <c r="A16" s="19">
        <f t="shared" si="3"/>
        <v>13</v>
      </c>
      <c r="B16" s="28" t="s">
        <v>6078</v>
      </c>
      <c r="C16" s="28">
        <v>1210</v>
      </c>
      <c r="D16" s="28">
        <v>414</v>
      </c>
      <c r="E16" s="28">
        <v>96.5</v>
      </c>
      <c r="F16" s="28">
        <v>123</v>
      </c>
      <c r="G16" s="28">
        <v>24200</v>
      </c>
      <c r="H16" s="28">
        <v>1400</v>
      </c>
      <c r="I16" s="28">
        <v>302</v>
      </c>
      <c r="J16" s="28">
        <v>400</v>
      </c>
      <c r="K16" s="28">
        <v>9.5</v>
      </c>
      <c r="L16" s="28">
        <v>8</v>
      </c>
      <c r="M16" s="28">
        <v>29.12</v>
      </c>
      <c r="N16" s="28">
        <v>730</v>
      </c>
      <c r="O16" s="28">
        <f t="shared" si="1"/>
        <v>400.12303571428572</v>
      </c>
      <c r="P16" s="28">
        <f t="shared" si="2"/>
        <v>1270.3412073490813</v>
      </c>
      <c r="Q16" s="28">
        <v>53.87</v>
      </c>
      <c r="R16" s="28"/>
      <c r="S16" s="32" t="s">
        <v>1434</v>
      </c>
      <c r="T16" s="28">
        <v>46</v>
      </c>
      <c r="U16" s="28">
        <v>1</v>
      </c>
      <c r="V16" s="28">
        <v>5630</v>
      </c>
      <c r="W16" s="28">
        <v>86</v>
      </c>
      <c r="X16" s="28">
        <v>136</v>
      </c>
    </row>
    <row r="17" spans="1:25" x14ac:dyDescent="0.2">
      <c r="A17" s="19">
        <f t="shared" si="3"/>
        <v>14</v>
      </c>
      <c r="B17" s="28" t="s">
        <v>6079</v>
      </c>
      <c r="C17" s="28">
        <v>1300</v>
      </c>
      <c r="D17" s="28">
        <v>426</v>
      </c>
      <c r="E17" s="28">
        <v>103</v>
      </c>
      <c r="F17" s="28">
        <v>131.1</v>
      </c>
      <c r="G17" s="28">
        <v>25950</v>
      </c>
      <c r="H17" s="28">
        <v>1400</v>
      </c>
      <c r="I17" s="28">
        <v>302</v>
      </c>
      <c r="J17" s="28">
        <v>400</v>
      </c>
      <c r="K17" s="28">
        <v>10</v>
      </c>
      <c r="L17" s="28">
        <v>9</v>
      </c>
      <c r="M17" s="28">
        <v>32.51</v>
      </c>
      <c r="N17" s="28">
        <v>787.5</v>
      </c>
      <c r="O17" s="28">
        <f t="shared" si="1"/>
        <v>420.64285714285717</v>
      </c>
      <c r="P17" s="28">
        <f t="shared" si="2"/>
        <v>1368.421052631579</v>
      </c>
      <c r="Q17" s="28">
        <v>57.28</v>
      </c>
      <c r="R17" s="28"/>
      <c r="S17" s="32" t="s">
        <v>1434</v>
      </c>
      <c r="T17" s="28">
        <v>46</v>
      </c>
      <c r="U17" s="28">
        <v>1</v>
      </c>
      <c r="V17" s="28">
        <v>5830</v>
      </c>
      <c r="W17" s="28">
        <v>85</v>
      </c>
      <c r="X17" s="28">
        <v>137</v>
      </c>
    </row>
    <row r="18" spans="1:25" x14ac:dyDescent="0.2">
      <c r="A18" s="19">
        <f t="shared" si="3"/>
        <v>15</v>
      </c>
      <c r="B18" s="32" t="s">
        <v>6080</v>
      </c>
      <c r="C18" s="28">
        <v>1340</v>
      </c>
      <c r="D18" s="28">
        <v>437</v>
      </c>
      <c r="E18" s="28">
        <v>108</v>
      </c>
      <c r="F18" s="28">
        <v>137.6</v>
      </c>
      <c r="G18" s="28">
        <v>26800</v>
      </c>
      <c r="H18" s="28">
        <v>1400</v>
      </c>
      <c r="I18" s="28">
        <v>302</v>
      </c>
      <c r="J18" s="28">
        <v>400</v>
      </c>
      <c r="K18" s="28">
        <v>10</v>
      </c>
      <c r="L18" s="28">
        <v>10</v>
      </c>
      <c r="M18" s="28">
        <f t="shared" ref="M18:M24" si="4">+G18*1.5*L18/H18/N18*100</f>
        <v>36.532170119956383</v>
      </c>
      <c r="N18" s="28">
        <v>786</v>
      </c>
      <c r="O18" s="28">
        <f t="shared" si="1"/>
        <v>420.64285714285717</v>
      </c>
      <c r="P18" s="28">
        <f t="shared" si="2"/>
        <v>1410.5263157894738</v>
      </c>
      <c r="Q18" s="28">
        <f>+M18*N18/O18</f>
        <v>68.262862964849717</v>
      </c>
      <c r="R18" s="28"/>
      <c r="S18" s="32" t="s">
        <v>1434</v>
      </c>
      <c r="T18" s="28">
        <v>46</v>
      </c>
      <c r="U18" s="28">
        <v>1</v>
      </c>
      <c r="V18" s="28">
        <v>5960</v>
      </c>
      <c r="W18" s="28">
        <v>86</v>
      </c>
      <c r="X18" s="28">
        <v>136</v>
      </c>
    </row>
    <row r="19" spans="1:25" x14ac:dyDescent="0.2">
      <c r="A19" s="19">
        <f t="shared" si="3"/>
        <v>16</v>
      </c>
      <c r="B19" s="32" t="s">
        <v>6081</v>
      </c>
      <c r="C19" s="28">
        <v>1600</v>
      </c>
      <c r="D19" s="28">
        <v>529</v>
      </c>
      <c r="E19" s="28">
        <v>115</v>
      </c>
      <c r="F19" s="28">
        <v>146.4</v>
      </c>
      <c r="G19" s="28">
        <v>35200</v>
      </c>
      <c r="H19" s="28">
        <v>1400</v>
      </c>
      <c r="I19" s="28">
        <v>341</v>
      </c>
      <c r="J19" s="28">
        <v>440</v>
      </c>
      <c r="K19" s="28">
        <v>10.199999999999999</v>
      </c>
      <c r="L19" s="28">
        <v>9.5</v>
      </c>
      <c r="M19" s="28">
        <f t="shared" si="4"/>
        <v>37.321428571428569</v>
      </c>
      <c r="N19" s="28">
        <v>960</v>
      </c>
      <c r="O19" s="28">
        <f t="shared" si="1"/>
        <v>533.90369999999996</v>
      </c>
      <c r="P19" s="28">
        <f t="shared" si="2"/>
        <v>1677.7883698760725</v>
      </c>
      <c r="Q19" s="28">
        <f>+M19*N19/O19</f>
        <v>67.106804894911633</v>
      </c>
      <c r="R19" s="28"/>
      <c r="S19" s="32" t="s">
        <v>1434</v>
      </c>
      <c r="T19" s="28">
        <v>53</v>
      </c>
      <c r="U19" s="28">
        <v>1</v>
      </c>
      <c r="V19" s="28">
        <v>7910</v>
      </c>
      <c r="W19" s="28">
        <v>92.7</v>
      </c>
      <c r="X19" s="28">
        <v>149.30000000000001</v>
      </c>
    </row>
    <row r="20" spans="1:25" x14ac:dyDescent="0.2">
      <c r="A20" s="19">
        <f t="shared" si="3"/>
        <v>17</v>
      </c>
      <c r="B20" s="32" t="s">
        <v>6082</v>
      </c>
      <c r="C20" s="28">
        <v>2000</v>
      </c>
      <c r="D20" s="28">
        <v>580</v>
      </c>
      <c r="E20" s="28">
        <v>127.5</v>
      </c>
      <c r="F20" s="28">
        <v>162.4</v>
      </c>
      <c r="G20" s="28">
        <v>45000</v>
      </c>
      <c r="H20" s="28">
        <v>1500</v>
      </c>
      <c r="I20" s="28">
        <v>338</v>
      </c>
      <c r="J20" s="28">
        <v>450</v>
      </c>
      <c r="K20" s="28">
        <v>11.7</v>
      </c>
      <c r="L20" s="28">
        <v>10</v>
      </c>
      <c r="M20" s="28">
        <f t="shared" si="4"/>
        <v>39.404553415061294</v>
      </c>
      <c r="N20" s="28">
        <v>1142</v>
      </c>
      <c r="O20" s="28">
        <f t="shared" si="1"/>
        <v>577.76706000000001</v>
      </c>
      <c r="P20" s="28">
        <f t="shared" si="2"/>
        <v>2109.7046413502107</v>
      </c>
      <c r="Q20" s="28">
        <f>+M20*N20/O20</f>
        <v>77.886060171031559</v>
      </c>
      <c r="R20" s="28"/>
      <c r="S20" s="32" t="s">
        <v>1434</v>
      </c>
      <c r="T20" s="28">
        <v>54.3</v>
      </c>
      <c r="U20" s="28">
        <v>1</v>
      </c>
      <c r="V20" s="28">
        <v>9431</v>
      </c>
      <c r="W20" s="28">
        <v>84.4</v>
      </c>
      <c r="X20" s="28">
        <v>162.6</v>
      </c>
    </row>
    <row r="21" spans="1:25" x14ac:dyDescent="0.2">
      <c r="A21" s="19">
        <f t="shared" si="3"/>
        <v>18</v>
      </c>
      <c r="B21" s="32" t="s">
        <v>7369</v>
      </c>
      <c r="C21" s="28">
        <v>1255</v>
      </c>
      <c r="D21" s="28">
        <v>377</v>
      </c>
      <c r="E21" s="28">
        <v>116</v>
      </c>
      <c r="F21" s="28">
        <v>147.80000000000001</v>
      </c>
      <c r="G21" s="28">
        <v>22580</v>
      </c>
      <c r="H21" s="28">
        <v>1200</v>
      </c>
      <c r="I21" s="28">
        <v>256</v>
      </c>
      <c r="J21" s="28">
        <v>360</v>
      </c>
      <c r="K21" s="28">
        <v>10</v>
      </c>
      <c r="L21" s="28">
        <v>10</v>
      </c>
      <c r="M21" s="28">
        <f t="shared" si="4"/>
        <v>37.384105960264904</v>
      </c>
      <c r="N21" s="28">
        <v>755</v>
      </c>
      <c r="O21" s="28">
        <f t="shared" si="1"/>
        <v>373.33333333333331</v>
      </c>
      <c r="P21" s="28">
        <f t="shared" si="2"/>
        <v>1328.8235294117646</v>
      </c>
      <c r="Q21" s="28">
        <v>59.95</v>
      </c>
      <c r="R21" s="28"/>
      <c r="S21" s="32" t="s">
        <v>1434</v>
      </c>
      <c r="T21" s="28">
        <v>50.4</v>
      </c>
      <c r="U21" s="28">
        <v>2</v>
      </c>
      <c r="V21" s="28">
        <v>4600</v>
      </c>
      <c r="W21" s="28">
        <f>J21/2-100.4</f>
        <v>79.599999999999994</v>
      </c>
      <c r="X21" s="28">
        <f>ROUND(V21/D21*10,1)</f>
        <v>122</v>
      </c>
      <c r="Y21" s="34"/>
    </row>
    <row r="22" spans="1:25" x14ac:dyDescent="0.2">
      <c r="A22" s="19">
        <f t="shared" si="3"/>
        <v>19</v>
      </c>
      <c r="B22" s="32" t="s">
        <v>1439</v>
      </c>
      <c r="C22" s="28">
        <v>1800</v>
      </c>
      <c r="D22" s="28">
        <v>484</v>
      </c>
      <c r="E22" s="28">
        <v>128.19999999999999</v>
      </c>
      <c r="F22" s="28">
        <v>163.30000000000001</v>
      </c>
      <c r="G22" s="28">
        <v>38650</v>
      </c>
      <c r="H22" s="28">
        <v>1200</v>
      </c>
      <c r="I22" s="28">
        <v>269</v>
      </c>
      <c r="J22" s="28">
        <v>430</v>
      </c>
      <c r="K22" s="28">
        <v>11.2</v>
      </c>
      <c r="L22" s="28">
        <v>9</v>
      </c>
      <c r="M22" s="28">
        <f t="shared" si="4"/>
        <v>41.214454976303315</v>
      </c>
      <c r="N22" s="28">
        <v>1055</v>
      </c>
      <c r="O22" s="28">
        <f t="shared" si="1"/>
        <v>525.73359999999991</v>
      </c>
      <c r="P22" s="28">
        <f t="shared" si="2"/>
        <v>1898.9205103042198</v>
      </c>
      <c r="Q22" s="28">
        <v>76.45</v>
      </c>
      <c r="R22" s="28"/>
      <c r="S22" s="32" t="s">
        <v>1434</v>
      </c>
      <c r="T22" s="28">
        <v>57.5</v>
      </c>
      <c r="U22" s="28">
        <v>2</v>
      </c>
      <c r="V22" s="28">
        <v>7220</v>
      </c>
      <c r="W22" s="28">
        <f>J22/2-127.6</f>
        <v>87.4</v>
      </c>
      <c r="X22" s="28">
        <f t="shared" ref="X22:X29" si="5">ROUND(V22/D22*10,1)</f>
        <v>149.19999999999999</v>
      </c>
    </row>
    <row r="23" spans="1:25" x14ac:dyDescent="0.2">
      <c r="A23" s="19">
        <f t="shared" si="3"/>
        <v>20</v>
      </c>
      <c r="B23" s="32" t="s">
        <v>1440</v>
      </c>
      <c r="C23" s="28">
        <v>2200</v>
      </c>
      <c r="D23" s="28">
        <v>546</v>
      </c>
      <c r="E23" s="28">
        <v>143.6</v>
      </c>
      <c r="F23" s="28">
        <v>182.9</v>
      </c>
      <c r="G23" s="28">
        <v>49460</v>
      </c>
      <c r="H23" s="28">
        <v>1200</v>
      </c>
      <c r="I23" s="28">
        <v>297</v>
      </c>
      <c r="J23" s="28">
        <v>450</v>
      </c>
      <c r="K23" s="28">
        <v>12.1</v>
      </c>
      <c r="L23" s="28">
        <v>9.5</v>
      </c>
      <c r="M23" s="28">
        <f t="shared" si="4"/>
        <v>46.065686274509801</v>
      </c>
      <c r="N23" s="28">
        <v>1275</v>
      </c>
      <c r="O23" s="28">
        <f t="shared" si="1"/>
        <v>655.70051249999995</v>
      </c>
      <c r="P23" s="28">
        <f t="shared" si="2"/>
        <v>2325.035227806482</v>
      </c>
      <c r="Q23" s="28">
        <v>91.93</v>
      </c>
      <c r="R23" s="28"/>
      <c r="S23" s="32" t="s">
        <v>1434</v>
      </c>
      <c r="T23" s="28">
        <v>62.4</v>
      </c>
      <c r="U23" s="28">
        <v>2</v>
      </c>
      <c r="V23" s="28">
        <v>8740</v>
      </c>
      <c r="W23" s="28">
        <f>J23/2-138.1</f>
        <v>86.9</v>
      </c>
      <c r="X23" s="28">
        <f t="shared" si="5"/>
        <v>160.1</v>
      </c>
    </row>
    <row r="24" spans="1:25" x14ac:dyDescent="0.2">
      <c r="A24" s="19">
        <f t="shared" si="3"/>
        <v>21</v>
      </c>
      <c r="B24" s="32" t="s">
        <v>7370</v>
      </c>
      <c r="C24" s="28">
        <v>2840</v>
      </c>
      <c r="D24" s="28">
        <v>589</v>
      </c>
      <c r="E24" s="28">
        <v>169.6</v>
      </c>
      <c r="F24" s="28">
        <v>216.1</v>
      </c>
      <c r="G24" s="28">
        <v>64460</v>
      </c>
      <c r="H24" s="28">
        <v>1200</v>
      </c>
      <c r="I24" s="28">
        <v>339</v>
      </c>
      <c r="J24" s="28">
        <v>454</v>
      </c>
      <c r="K24" s="28">
        <v>15.2</v>
      </c>
      <c r="L24" s="28">
        <v>10.1</v>
      </c>
      <c r="M24" s="28">
        <f t="shared" si="4"/>
        <v>50.235030864197526</v>
      </c>
      <c r="N24" s="28">
        <v>1620</v>
      </c>
      <c r="O24" s="28">
        <f t="shared" si="1"/>
        <v>942.10360000000003</v>
      </c>
      <c r="P24" s="28">
        <f t="shared" si="2"/>
        <v>3043.8149197355992</v>
      </c>
      <c r="Q24" s="28">
        <v>112.01</v>
      </c>
      <c r="R24" s="28"/>
      <c r="S24" s="32" t="s">
        <v>1434</v>
      </c>
      <c r="T24" s="28">
        <v>68</v>
      </c>
      <c r="U24" s="28">
        <v>2</v>
      </c>
      <c r="V24" s="28">
        <v>10070</v>
      </c>
      <c r="W24" s="28">
        <f>J24/2-148.5</f>
        <v>78.5</v>
      </c>
      <c r="X24" s="28">
        <f t="shared" si="5"/>
        <v>171</v>
      </c>
    </row>
    <row r="25" spans="1:25" x14ac:dyDescent="0.2">
      <c r="A25" s="19">
        <f t="shared" si="3"/>
        <v>22</v>
      </c>
      <c r="B25" s="32" t="s">
        <v>7415</v>
      </c>
      <c r="C25" s="28">
        <v>3200</v>
      </c>
      <c r="D25" s="28">
        <v>633</v>
      </c>
      <c r="E25" s="28">
        <v>190.2</v>
      </c>
      <c r="F25" s="28">
        <v>242</v>
      </c>
      <c r="G25" s="28">
        <v>72320</v>
      </c>
      <c r="H25" s="28">
        <v>1200</v>
      </c>
      <c r="I25" s="28">
        <v>342</v>
      </c>
      <c r="J25" s="28">
        <v>452</v>
      </c>
      <c r="K25" s="28">
        <v>19.5</v>
      </c>
      <c r="L25" s="28">
        <v>11</v>
      </c>
      <c r="M25" s="28">
        <v>50.63</v>
      </c>
      <c r="N25" s="28">
        <v>1825</v>
      </c>
      <c r="O25" s="28">
        <f t="shared" si="1"/>
        <v>1201.809375</v>
      </c>
      <c r="P25" s="28">
        <f t="shared" si="2"/>
        <v>3502.1791767554478</v>
      </c>
      <c r="Q25" s="28">
        <f>+M25*N25/O25</f>
        <v>76.883865213649202</v>
      </c>
      <c r="R25" s="28"/>
      <c r="S25" s="32" t="s">
        <v>1434</v>
      </c>
      <c r="T25" s="28">
        <v>68.099999999999994</v>
      </c>
      <c r="U25" s="28">
        <v>2</v>
      </c>
      <c r="V25" s="28">
        <v>10950</v>
      </c>
      <c r="W25" s="28">
        <f>J25/2-149.4</f>
        <v>76.599999999999994</v>
      </c>
      <c r="X25" s="28">
        <f t="shared" si="5"/>
        <v>173</v>
      </c>
    </row>
    <row r="26" spans="1:25" x14ac:dyDescent="0.2">
      <c r="A26" s="19">
        <f t="shared" si="3"/>
        <v>23</v>
      </c>
      <c r="B26" s="32" t="s">
        <v>7371</v>
      </c>
      <c r="C26" s="28">
        <v>3000</v>
      </c>
      <c r="D26" s="28">
        <v>601</v>
      </c>
      <c r="E26" s="28">
        <v>177.1</v>
      </c>
      <c r="F26" s="28">
        <v>225.6</v>
      </c>
      <c r="G26" s="28">
        <v>68380</v>
      </c>
      <c r="H26" s="28">
        <v>1200</v>
      </c>
      <c r="I26" s="28">
        <v>339</v>
      </c>
      <c r="J26" s="28">
        <v>456</v>
      </c>
      <c r="K26" s="28">
        <v>16.2</v>
      </c>
      <c r="L26" s="28">
        <v>10.5</v>
      </c>
      <c r="M26" s="28">
        <f>+G26*1.5*L26/H26/N26*100</f>
        <v>52.484649122807014</v>
      </c>
      <c r="N26" s="28">
        <v>1710</v>
      </c>
      <c r="O26" s="28">
        <f t="shared" si="1"/>
        <v>1006.3723500000001</v>
      </c>
      <c r="P26" s="28">
        <f t="shared" si="2"/>
        <v>3229.4617563739375</v>
      </c>
      <c r="Q26" s="28">
        <f>+M26*N26/O26</f>
        <v>89.1804608900473</v>
      </c>
      <c r="R26" s="28"/>
      <c r="S26" s="32" t="s">
        <v>1434</v>
      </c>
      <c r="T26" s="28">
        <v>68</v>
      </c>
      <c r="U26" s="28">
        <v>2</v>
      </c>
      <c r="V26" s="28">
        <v>10400</v>
      </c>
      <c r="W26" s="28">
        <f>J26/2-150.4</f>
        <v>77.599999999999994</v>
      </c>
      <c r="X26" s="28">
        <f t="shared" si="5"/>
        <v>173</v>
      </c>
    </row>
    <row r="27" spans="1:25" x14ac:dyDescent="0.2">
      <c r="A27" s="19">
        <f>+A26+1</f>
        <v>24</v>
      </c>
      <c r="B27" s="32" t="s">
        <v>4845</v>
      </c>
      <c r="C27" s="28">
        <v>2335</v>
      </c>
      <c r="D27" s="28">
        <v>557</v>
      </c>
      <c r="E27" s="28">
        <v>15.7</v>
      </c>
      <c r="F27" s="28">
        <v>192</v>
      </c>
      <c r="G27" s="28">
        <v>52520</v>
      </c>
      <c r="H27" s="28">
        <v>1200</v>
      </c>
      <c r="I27" s="28">
        <v>297</v>
      </c>
      <c r="J27" s="28">
        <v>450</v>
      </c>
      <c r="K27" s="28">
        <v>13.1</v>
      </c>
      <c r="L27" s="28">
        <v>10</v>
      </c>
      <c r="M27" s="28">
        <f>+G27*1.5*L27/H27/N27*100</f>
        <v>48.450184501845015</v>
      </c>
      <c r="N27" s="28">
        <v>1355</v>
      </c>
      <c r="O27" s="28">
        <f>+(I27*K27*(J27-K27)/2/H27)</f>
        <v>708.26951249999991</v>
      </c>
      <c r="P27" s="28">
        <f>+C27*J27/(J27-2*K27)</f>
        <v>2479.353468617272</v>
      </c>
      <c r="Q27" s="28">
        <f>+M27*N27/O27</f>
        <v>92.690704373640543</v>
      </c>
      <c r="R27" s="28"/>
      <c r="S27" s="32" t="s">
        <v>1434</v>
      </c>
      <c r="T27" s="28">
        <v>68</v>
      </c>
      <c r="U27" s="28">
        <v>2</v>
      </c>
      <c r="V27" s="28">
        <v>9020</v>
      </c>
      <c r="W27" s="28">
        <f>J27/2-139.7</f>
        <v>85.300000000000011</v>
      </c>
      <c r="X27" s="28">
        <f t="shared" si="5"/>
        <v>161.9</v>
      </c>
    </row>
    <row r="28" spans="1:25" x14ac:dyDescent="0.2">
      <c r="A28" s="19">
        <f>+A26+1</f>
        <v>24</v>
      </c>
      <c r="B28" s="32" t="s">
        <v>7444</v>
      </c>
      <c r="C28" s="28">
        <v>2680</v>
      </c>
      <c r="D28" s="28">
        <v>576</v>
      </c>
      <c r="E28" s="28">
        <v>162.30000000000001</v>
      </c>
      <c r="F28" s="28">
        <v>206.8</v>
      </c>
      <c r="G28" s="28">
        <v>60580</v>
      </c>
      <c r="H28" s="28">
        <v>1200</v>
      </c>
      <c r="I28" s="28">
        <v>339</v>
      </c>
      <c r="J28" s="28">
        <v>452</v>
      </c>
      <c r="K28" s="28">
        <v>14.2</v>
      </c>
      <c r="L28" s="28">
        <v>9.6999999999999993</v>
      </c>
      <c r="M28" s="28">
        <f>+G28*1.5*L28/H28/N28*100</f>
        <v>49.601526827809536</v>
      </c>
      <c r="N28" s="28">
        <f>+(I28*K28*(J28-K28)/2+SQRT((J28-K28)^2+(H28-2*I28)^2)*L28*(J28-K28)/4)/H28</f>
        <v>1480.8667131354871</v>
      </c>
      <c r="O28" s="28">
        <f>+(I28*K28*(J28-K28)/2/H28)</f>
        <v>878.1173500000001</v>
      </c>
      <c r="P28" s="28">
        <f>+C28*J28/(J28-2*K28)</f>
        <v>2859.6789423984892</v>
      </c>
      <c r="Q28" s="28">
        <f>+M28*N28/O28</f>
        <v>83.648557906298038</v>
      </c>
      <c r="R28" s="28"/>
      <c r="S28" s="32" t="s">
        <v>1434</v>
      </c>
      <c r="T28" s="28">
        <v>68</v>
      </c>
      <c r="U28" s="28">
        <v>2</v>
      </c>
      <c r="V28" s="28">
        <v>9740</v>
      </c>
      <c r="W28" s="28">
        <f>J28/2-146.4</f>
        <v>79.599999999999994</v>
      </c>
      <c r="X28" s="28">
        <f t="shared" si="5"/>
        <v>169.1</v>
      </c>
    </row>
    <row r="29" spans="1:25" x14ac:dyDescent="0.2">
      <c r="A29" s="19">
        <f t="shared" si="3"/>
        <v>25</v>
      </c>
      <c r="B29" s="32" t="s">
        <v>1441</v>
      </c>
      <c r="C29" s="28">
        <v>3335</v>
      </c>
      <c r="D29" s="28">
        <v>641</v>
      </c>
      <c r="E29" s="28">
        <v>197.2</v>
      </c>
      <c r="F29" s="28">
        <v>251.2</v>
      </c>
      <c r="G29" s="28">
        <v>75400</v>
      </c>
      <c r="H29" s="28">
        <v>1200</v>
      </c>
      <c r="I29" s="28">
        <v>342</v>
      </c>
      <c r="J29" s="28">
        <v>452</v>
      </c>
      <c r="K29" s="28">
        <v>20.5</v>
      </c>
      <c r="L29" s="28">
        <v>11.4</v>
      </c>
      <c r="M29" s="28">
        <f>+G29*1.5*L29/H29/N29*100</f>
        <v>56.401574803149614</v>
      </c>
      <c r="N29" s="28">
        <v>1905</v>
      </c>
      <c r="O29" s="28">
        <f>+(I29*K29*(J29-K29)/2/H29)</f>
        <v>1260.5193750000001</v>
      </c>
      <c r="P29" s="28">
        <f>+C29*J29/(J29-2*K29)</f>
        <v>3667.6885644768859</v>
      </c>
      <c r="Q29" s="28">
        <f>+Q28*L29/L28</f>
        <v>98.308614446577081</v>
      </c>
      <c r="R29" s="28"/>
      <c r="S29" s="32" t="s">
        <v>1434</v>
      </c>
      <c r="T29" s="28">
        <v>68.099999999999994</v>
      </c>
      <c r="U29" s="28">
        <v>2</v>
      </c>
      <c r="V29" s="28">
        <v>11140</v>
      </c>
      <c r="W29" s="28">
        <f>J29/2-150.4</f>
        <v>75.599999999999994</v>
      </c>
      <c r="X29" s="28">
        <f t="shared" si="5"/>
        <v>173.8</v>
      </c>
    </row>
    <row r="30" spans="1:25" x14ac:dyDescent="0.2">
      <c r="A30" s="19">
        <f>+A29+1</f>
        <v>26</v>
      </c>
      <c r="B30" s="28" t="s">
        <v>3858</v>
      </c>
      <c r="C30" s="28">
        <v>1250</v>
      </c>
      <c r="D30" s="28">
        <v>336</v>
      </c>
      <c r="E30" s="28">
        <v>122</v>
      </c>
      <c r="F30" s="28">
        <v>155</v>
      </c>
      <c r="G30" s="28">
        <v>21250</v>
      </c>
      <c r="H30" s="28">
        <v>1000</v>
      </c>
      <c r="I30" s="28">
        <v>260</v>
      </c>
      <c r="J30" s="28">
        <v>340</v>
      </c>
      <c r="K30" s="28">
        <v>10</v>
      </c>
      <c r="L30" s="28">
        <v>9</v>
      </c>
      <c r="M30" s="28">
        <f t="shared" ref="M30:M46" si="6">+G30*1.5*L30/H30/N30*100</f>
        <v>39.514462809917354</v>
      </c>
      <c r="N30" s="28">
        <v>726</v>
      </c>
      <c r="O30" s="28">
        <f t="shared" si="1"/>
        <v>429</v>
      </c>
      <c r="P30" s="28">
        <f t="shared" si="2"/>
        <v>1328.125</v>
      </c>
      <c r="Q30" s="28">
        <f t="shared" ref="Q30:Q46" si="7">+M30*N30/O30</f>
        <v>66.870629370629374</v>
      </c>
      <c r="R30" s="28"/>
      <c r="S30" s="32" t="s">
        <v>1434</v>
      </c>
      <c r="T30" s="28">
        <v>60</v>
      </c>
      <c r="U30" s="28">
        <v>3</v>
      </c>
      <c r="V30" s="28">
        <v>3880</v>
      </c>
      <c r="W30" s="28">
        <v>76.5</v>
      </c>
      <c r="X30" s="28">
        <v>115.5</v>
      </c>
      <c r="Y30" s="172"/>
    </row>
    <row r="31" spans="1:25" x14ac:dyDescent="0.2">
      <c r="A31" s="19">
        <f t="shared" si="3"/>
        <v>27</v>
      </c>
      <c r="B31" s="28" t="s">
        <v>3859</v>
      </c>
      <c r="C31" s="28">
        <v>2000</v>
      </c>
      <c r="D31" s="28">
        <v>527</v>
      </c>
      <c r="E31" s="28">
        <v>155</v>
      </c>
      <c r="F31" s="28">
        <v>197.4</v>
      </c>
      <c r="G31" s="28">
        <v>42000</v>
      </c>
      <c r="H31" s="28">
        <v>1000</v>
      </c>
      <c r="I31" s="28">
        <v>275</v>
      </c>
      <c r="J31" s="28">
        <v>420</v>
      </c>
      <c r="K31" s="28">
        <v>11.5</v>
      </c>
      <c r="L31" s="28">
        <v>10</v>
      </c>
      <c r="M31" s="28">
        <f t="shared" si="6"/>
        <v>54.782608695652172</v>
      </c>
      <c r="N31" s="28">
        <v>1150</v>
      </c>
      <c r="O31" s="28">
        <f t="shared" si="1"/>
        <v>645.94062499999995</v>
      </c>
      <c r="P31" s="28">
        <f t="shared" si="2"/>
        <v>2115.8690176322416</v>
      </c>
      <c r="Q31" s="28">
        <f t="shared" si="7"/>
        <v>97.532184169404118</v>
      </c>
      <c r="R31" s="28"/>
      <c r="S31" s="32" t="s">
        <v>1434</v>
      </c>
      <c r="T31" s="28">
        <v>70</v>
      </c>
      <c r="U31" s="28">
        <v>3</v>
      </c>
      <c r="V31" s="28">
        <v>7480</v>
      </c>
      <c r="W31" s="28">
        <v>93.9</v>
      </c>
      <c r="X31" s="28">
        <v>141.1</v>
      </c>
    </row>
    <row r="32" spans="1:25" x14ac:dyDescent="0.2">
      <c r="A32" s="19">
        <f t="shared" si="3"/>
        <v>28</v>
      </c>
      <c r="B32" s="28" t="s">
        <v>3860</v>
      </c>
      <c r="C32" s="28">
        <v>2500</v>
      </c>
      <c r="D32" s="28">
        <v>547</v>
      </c>
      <c r="E32" s="28">
        <v>175</v>
      </c>
      <c r="F32" s="28">
        <v>223</v>
      </c>
      <c r="G32" s="28">
        <v>52500</v>
      </c>
      <c r="H32" s="28">
        <v>1000</v>
      </c>
      <c r="I32" s="28">
        <v>278</v>
      </c>
      <c r="J32" s="28">
        <v>420</v>
      </c>
      <c r="K32" s="28">
        <v>15.6</v>
      </c>
      <c r="L32" s="28">
        <v>10</v>
      </c>
      <c r="M32" s="28">
        <f t="shared" si="6"/>
        <v>56.25</v>
      </c>
      <c r="N32" s="28">
        <v>1400</v>
      </c>
      <c r="O32" s="28">
        <f t="shared" si="1"/>
        <v>876.90095999999994</v>
      </c>
      <c r="P32" s="28">
        <f t="shared" si="2"/>
        <v>2700.6172839506171</v>
      </c>
      <c r="Q32" s="28">
        <f t="shared" si="7"/>
        <v>89.804896552969907</v>
      </c>
      <c r="R32" s="28"/>
      <c r="S32" s="32" t="s">
        <v>1434</v>
      </c>
      <c r="T32" s="28">
        <v>70</v>
      </c>
      <c r="U32" s="28">
        <v>3</v>
      </c>
      <c r="V32" s="28">
        <v>8270</v>
      </c>
      <c r="W32" s="28">
        <v>84.7</v>
      </c>
      <c r="X32" s="28">
        <v>150.30000000000001</v>
      </c>
    </row>
    <row r="33" spans="1:24" x14ac:dyDescent="0.2">
      <c r="A33" s="19">
        <f t="shared" si="3"/>
        <v>29</v>
      </c>
      <c r="B33" s="28" t="s">
        <v>3861</v>
      </c>
      <c r="C33" s="28">
        <v>2550</v>
      </c>
      <c r="D33" s="28">
        <v>560</v>
      </c>
      <c r="E33" s="28">
        <v>185.4</v>
      </c>
      <c r="F33" s="28">
        <v>236.2</v>
      </c>
      <c r="G33" s="28">
        <v>53610</v>
      </c>
      <c r="H33" s="28">
        <v>1000</v>
      </c>
      <c r="I33" s="28">
        <v>274</v>
      </c>
      <c r="J33" s="28">
        <v>420</v>
      </c>
      <c r="K33" s="28">
        <v>15.6</v>
      </c>
      <c r="L33" s="28">
        <v>12</v>
      </c>
      <c r="M33" s="28">
        <f t="shared" si="6"/>
        <v>65.466757123473542</v>
      </c>
      <c r="N33" s="28">
        <v>1474</v>
      </c>
      <c r="O33" s="28">
        <f t="shared" si="1"/>
        <v>864.28367999999989</v>
      </c>
      <c r="P33" s="28">
        <f t="shared" si="2"/>
        <v>2754.6296296296296</v>
      </c>
      <c r="Q33" s="28">
        <f t="shared" si="7"/>
        <v>111.65084130710419</v>
      </c>
      <c r="R33" s="28"/>
      <c r="S33" s="32" t="s">
        <v>1434</v>
      </c>
      <c r="T33" s="28">
        <v>70</v>
      </c>
      <c r="U33" s="28">
        <v>3</v>
      </c>
      <c r="V33" s="28">
        <v>8397</v>
      </c>
      <c r="W33" s="28">
        <v>85.7</v>
      </c>
      <c r="X33" s="28">
        <v>149.30000000000001</v>
      </c>
    </row>
    <row r="34" spans="1:24" x14ac:dyDescent="0.2">
      <c r="A34" s="19">
        <f t="shared" si="3"/>
        <v>30</v>
      </c>
      <c r="B34" s="28" t="s">
        <v>3862</v>
      </c>
      <c r="C34" s="28">
        <v>3040</v>
      </c>
      <c r="D34" s="28">
        <v>562</v>
      </c>
      <c r="E34" s="28">
        <v>206</v>
      </c>
      <c r="F34" s="28">
        <v>262</v>
      </c>
      <c r="G34" s="28">
        <v>63840</v>
      </c>
      <c r="H34" s="28">
        <v>1000</v>
      </c>
      <c r="I34" s="28">
        <v>278</v>
      </c>
      <c r="J34" s="28">
        <v>420</v>
      </c>
      <c r="K34" s="28">
        <v>20</v>
      </c>
      <c r="L34" s="28">
        <v>11.5</v>
      </c>
      <c r="M34" s="28">
        <f t="shared" si="6"/>
        <v>63.289655172413795</v>
      </c>
      <c r="N34" s="28">
        <v>1740</v>
      </c>
      <c r="O34" s="28">
        <f t="shared" si="1"/>
        <v>1112</v>
      </c>
      <c r="P34" s="28">
        <f t="shared" si="2"/>
        <v>3360</v>
      </c>
      <c r="Q34" s="28">
        <f t="shared" si="7"/>
        <v>99.032374100719423</v>
      </c>
      <c r="R34" s="28"/>
      <c r="S34" s="32" t="s">
        <v>1434</v>
      </c>
      <c r="T34" s="28">
        <v>70</v>
      </c>
      <c r="U34" s="28">
        <v>3</v>
      </c>
      <c r="V34" s="28">
        <v>8850</v>
      </c>
      <c r="W34" s="28">
        <v>79.900000000000006</v>
      </c>
      <c r="X34" s="28">
        <v>155.19999999999999</v>
      </c>
    </row>
    <row r="35" spans="1:24" x14ac:dyDescent="0.2">
      <c r="A35" s="19">
        <f t="shared" si="3"/>
        <v>31</v>
      </c>
      <c r="B35" s="32" t="s">
        <v>3863</v>
      </c>
      <c r="C35" s="28">
        <v>1405</v>
      </c>
      <c r="D35" s="28">
        <v>457</v>
      </c>
      <c r="E35" s="28">
        <v>103.8</v>
      </c>
      <c r="F35" s="28">
        <v>132.30000000000001</v>
      </c>
      <c r="G35" s="28">
        <v>28680</v>
      </c>
      <c r="H35" s="28">
        <v>1500</v>
      </c>
      <c r="I35" s="28">
        <v>303</v>
      </c>
      <c r="J35" s="28">
        <v>408</v>
      </c>
      <c r="K35" s="28">
        <v>10</v>
      </c>
      <c r="L35" s="28">
        <v>8.3000000000000007</v>
      </c>
      <c r="M35" s="28">
        <f t="shared" si="6"/>
        <v>29.029756097560984</v>
      </c>
      <c r="N35" s="28">
        <v>820</v>
      </c>
      <c r="O35" s="28">
        <f t="shared" si="1"/>
        <v>401.98</v>
      </c>
      <c r="P35" s="28">
        <f t="shared" si="2"/>
        <v>1477.4226804123712</v>
      </c>
      <c r="Q35" s="28">
        <f t="shared" si="7"/>
        <v>59.217871535897331</v>
      </c>
      <c r="R35" s="28"/>
      <c r="S35" s="32" t="s">
        <v>1434</v>
      </c>
      <c r="T35" s="28">
        <v>47.8</v>
      </c>
      <c r="U35" s="28">
        <v>4</v>
      </c>
      <c r="V35" s="28">
        <v>6590</v>
      </c>
      <c r="W35" s="28">
        <f>J35/2-122.6</f>
        <v>81.400000000000006</v>
      </c>
      <c r="X35" s="28">
        <f>ROUND(V35/D35*10,1)</f>
        <v>144.19999999999999</v>
      </c>
    </row>
    <row r="36" spans="1:24" x14ac:dyDescent="0.2">
      <c r="A36" s="19">
        <f t="shared" si="3"/>
        <v>32</v>
      </c>
      <c r="B36" s="32" t="s">
        <v>3864</v>
      </c>
      <c r="C36" s="28">
        <v>1600</v>
      </c>
      <c r="D36" s="28">
        <v>481</v>
      </c>
      <c r="E36" s="28">
        <v>115</v>
      </c>
      <c r="F36" s="28">
        <v>146.5</v>
      </c>
      <c r="G36" s="28">
        <v>32850</v>
      </c>
      <c r="H36" s="28">
        <v>1500</v>
      </c>
      <c r="I36" s="28">
        <v>303</v>
      </c>
      <c r="J36" s="28">
        <v>411</v>
      </c>
      <c r="K36" s="28">
        <v>11.5</v>
      </c>
      <c r="L36" s="28">
        <v>9.3000000000000007</v>
      </c>
      <c r="M36" s="28">
        <f t="shared" si="6"/>
        <v>32.674331550802144</v>
      </c>
      <c r="N36" s="28">
        <v>935</v>
      </c>
      <c r="O36" s="28">
        <f t="shared" si="1"/>
        <v>464.01925</v>
      </c>
      <c r="P36" s="28">
        <f t="shared" si="2"/>
        <v>1694.8453608247423</v>
      </c>
      <c r="Q36" s="28">
        <f t="shared" si="7"/>
        <v>65.838863366121132</v>
      </c>
      <c r="R36" s="28"/>
      <c r="S36" s="32" t="s">
        <v>1434</v>
      </c>
      <c r="T36" s="28">
        <v>47.8</v>
      </c>
      <c r="U36" s="28">
        <v>4</v>
      </c>
      <c r="V36" s="28">
        <v>7110</v>
      </c>
      <c r="W36" s="28">
        <f>J36/2-126.3</f>
        <v>79.2</v>
      </c>
      <c r="X36" s="28">
        <f t="shared" ref="X36:X43" si="8">ROUND(V36/D36*10,1)</f>
        <v>147.80000000000001</v>
      </c>
    </row>
    <row r="37" spans="1:24" x14ac:dyDescent="0.2">
      <c r="A37" s="19">
        <f t="shared" si="3"/>
        <v>33</v>
      </c>
      <c r="B37" s="32" t="s">
        <v>3865</v>
      </c>
      <c r="C37" s="28">
        <v>1665</v>
      </c>
      <c r="D37" s="28">
        <v>488</v>
      </c>
      <c r="E37" s="28">
        <v>118.7</v>
      </c>
      <c r="F37" s="28">
        <v>151.19999999999999</v>
      </c>
      <c r="G37" s="28">
        <v>34270</v>
      </c>
      <c r="H37" s="28">
        <v>1500</v>
      </c>
      <c r="I37" s="28">
        <v>303</v>
      </c>
      <c r="J37" s="28">
        <v>412</v>
      </c>
      <c r="K37" s="28">
        <v>12</v>
      </c>
      <c r="L37" s="28">
        <v>9.6999999999999993</v>
      </c>
      <c r="M37" s="28">
        <f t="shared" si="6"/>
        <v>34.094256410256406</v>
      </c>
      <c r="N37" s="28">
        <v>975</v>
      </c>
      <c r="O37" s="28">
        <f t="shared" si="1"/>
        <v>484.8</v>
      </c>
      <c r="P37" s="28">
        <f t="shared" si="2"/>
        <v>1767.9896907216496</v>
      </c>
      <c r="Q37" s="28">
        <f t="shared" si="7"/>
        <v>68.568275577557742</v>
      </c>
      <c r="R37" s="28"/>
      <c r="S37" s="32" t="s">
        <v>1434</v>
      </c>
      <c r="T37" s="28">
        <v>47.8</v>
      </c>
      <c r="U37" s="28">
        <v>4</v>
      </c>
      <c r="V37" s="28">
        <v>7270</v>
      </c>
      <c r="W37" s="28">
        <f>J37/2-127.4</f>
        <v>78.599999999999994</v>
      </c>
      <c r="X37" s="28">
        <f t="shared" si="8"/>
        <v>149</v>
      </c>
    </row>
    <row r="38" spans="1:24" x14ac:dyDescent="0.2">
      <c r="A38" s="19">
        <f t="shared" si="3"/>
        <v>34</v>
      </c>
      <c r="B38" s="32" t="s">
        <v>3866</v>
      </c>
      <c r="C38" s="28">
        <v>1780</v>
      </c>
      <c r="D38" s="28">
        <v>554</v>
      </c>
      <c r="E38" s="28">
        <v>118</v>
      </c>
      <c r="F38" s="28">
        <v>150.30000000000001</v>
      </c>
      <c r="G38" s="28">
        <v>39300</v>
      </c>
      <c r="H38" s="28">
        <v>1500</v>
      </c>
      <c r="I38" s="28">
        <v>336</v>
      </c>
      <c r="J38" s="28">
        <v>441</v>
      </c>
      <c r="K38" s="28">
        <v>10.5</v>
      </c>
      <c r="L38" s="28">
        <v>9.1</v>
      </c>
      <c r="M38" s="28">
        <f t="shared" si="6"/>
        <v>34.721359223300965</v>
      </c>
      <c r="N38" s="28">
        <v>1030</v>
      </c>
      <c r="O38" s="28">
        <f t="shared" si="1"/>
        <v>506.26799999999997</v>
      </c>
      <c r="P38" s="28">
        <f t="shared" si="2"/>
        <v>1869</v>
      </c>
      <c r="Q38" s="28">
        <f t="shared" si="7"/>
        <v>70.640451302472201</v>
      </c>
      <c r="R38" s="28"/>
      <c r="S38" s="32" t="s">
        <v>1434</v>
      </c>
      <c r="T38" s="28">
        <v>54.7</v>
      </c>
      <c r="U38" s="28">
        <v>4</v>
      </c>
      <c r="V38" s="28">
        <v>8760</v>
      </c>
      <c r="W38" s="28">
        <f>J38/2-135.3</f>
        <v>85.199999999999989</v>
      </c>
      <c r="X38" s="28">
        <f t="shared" si="8"/>
        <v>158.1</v>
      </c>
    </row>
    <row r="39" spans="1:24" x14ac:dyDescent="0.2">
      <c r="A39" s="19">
        <f t="shared" si="3"/>
        <v>35</v>
      </c>
      <c r="B39" s="32" t="s">
        <v>3867</v>
      </c>
      <c r="C39" s="28">
        <v>2000</v>
      </c>
      <c r="D39" s="28">
        <v>579</v>
      </c>
      <c r="E39" s="28">
        <v>129.19999999999999</v>
      </c>
      <c r="F39" s="28">
        <v>164.6</v>
      </c>
      <c r="G39" s="28">
        <v>44440</v>
      </c>
      <c r="H39" s="28">
        <v>1500</v>
      </c>
      <c r="I39" s="28">
        <v>336</v>
      </c>
      <c r="J39" s="28">
        <v>444</v>
      </c>
      <c r="K39" s="28">
        <v>12</v>
      </c>
      <c r="L39" s="28">
        <v>10</v>
      </c>
      <c r="M39" s="28">
        <f t="shared" si="6"/>
        <v>38.476190476190474</v>
      </c>
      <c r="N39" s="28">
        <v>1155</v>
      </c>
      <c r="O39" s="28">
        <f t="shared" si="1"/>
        <v>580.60799999999995</v>
      </c>
      <c r="P39" s="28">
        <f t="shared" si="2"/>
        <v>2114.2857142857142</v>
      </c>
      <c r="Q39" s="28">
        <f t="shared" si="7"/>
        <v>76.540454144620824</v>
      </c>
      <c r="R39" s="28"/>
      <c r="S39" s="32" t="s">
        <v>1434</v>
      </c>
      <c r="T39" s="28">
        <v>54.7</v>
      </c>
      <c r="U39" s="28">
        <v>4</v>
      </c>
      <c r="V39" s="28">
        <v>9380</v>
      </c>
      <c r="W39" s="28">
        <f>J39/2-139.3</f>
        <v>82.699999999999989</v>
      </c>
      <c r="X39" s="28">
        <f t="shared" si="8"/>
        <v>162</v>
      </c>
    </row>
    <row r="40" spans="1:24" x14ac:dyDescent="0.2">
      <c r="A40" s="19">
        <f t="shared" si="3"/>
        <v>36</v>
      </c>
      <c r="B40" s="32" t="s">
        <v>3868</v>
      </c>
      <c r="C40" s="28">
        <v>2075</v>
      </c>
      <c r="D40" s="28">
        <v>588</v>
      </c>
      <c r="E40" s="28">
        <v>132.9</v>
      </c>
      <c r="F40" s="28">
        <v>169.3</v>
      </c>
      <c r="G40" s="28">
        <v>46180</v>
      </c>
      <c r="H40" s="28">
        <v>1500</v>
      </c>
      <c r="I40" s="28">
        <v>336</v>
      </c>
      <c r="J40" s="28">
        <v>445</v>
      </c>
      <c r="K40" s="28">
        <v>12.5</v>
      </c>
      <c r="L40" s="28">
        <v>10.3</v>
      </c>
      <c r="M40" s="28">
        <f t="shared" si="6"/>
        <v>39.637833333333333</v>
      </c>
      <c r="N40" s="28">
        <v>1200</v>
      </c>
      <c r="O40" s="28">
        <f t="shared" si="1"/>
        <v>605.5</v>
      </c>
      <c r="P40" s="28">
        <f t="shared" si="2"/>
        <v>2198.5119047619046</v>
      </c>
      <c r="Q40" s="28">
        <f t="shared" si="7"/>
        <v>78.555573905862929</v>
      </c>
      <c r="R40" s="28"/>
      <c r="S40" s="32" t="s">
        <v>1434</v>
      </c>
      <c r="T40" s="28">
        <v>54.7</v>
      </c>
      <c r="U40" s="28">
        <v>4</v>
      </c>
      <c r="V40" s="28">
        <v>9580</v>
      </c>
      <c r="W40" s="28">
        <f>J40/2-140.5</f>
        <v>82</v>
      </c>
      <c r="X40" s="28">
        <f t="shared" si="8"/>
        <v>162.9</v>
      </c>
    </row>
    <row r="41" spans="1:24" x14ac:dyDescent="0.2">
      <c r="A41" s="19">
        <f t="shared" si="3"/>
        <v>37</v>
      </c>
      <c r="B41" s="32" t="s">
        <v>3869</v>
      </c>
      <c r="C41" s="28">
        <v>2270</v>
      </c>
      <c r="D41" s="28">
        <v>579</v>
      </c>
      <c r="E41" s="28">
        <v>136.1</v>
      </c>
      <c r="F41" s="28">
        <v>173.4</v>
      </c>
      <c r="G41" s="28">
        <v>50700</v>
      </c>
      <c r="H41" s="28">
        <v>1500</v>
      </c>
      <c r="I41" s="28">
        <v>374</v>
      </c>
      <c r="J41" s="28">
        <v>447</v>
      </c>
      <c r="K41" s="28">
        <v>13</v>
      </c>
      <c r="L41" s="28">
        <v>9.5</v>
      </c>
      <c r="M41" s="28">
        <f t="shared" si="6"/>
        <v>37.482490272373539</v>
      </c>
      <c r="N41" s="28">
        <v>1285</v>
      </c>
      <c r="O41" s="28">
        <f t="shared" si="1"/>
        <v>703.36933333333332</v>
      </c>
      <c r="P41" s="28">
        <f t="shared" si="2"/>
        <v>2410.190023752969</v>
      </c>
      <c r="Q41" s="28">
        <f t="shared" si="7"/>
        <v>68.477537642623034</v>
      </c>
      <c r="R41" s="28"/>
      <c r="S41" s="32" t="s">
        <v>1434</v>
      </c>
      <c r="T41" s="28">
        <v>59.6</v>
      </c>
      <c r="U41" s="28">
        <v>4</v>
      </c>
      <c r="V41" s="28">
        <v>9830</v>
      </c>
      <c r="W41" s="28">
        <f>J41/2-147.1</f>
        <v>76.400000000000006</v>
      </c>
      <c r="X41" s="28">
        <f t="shared" si="8"/>
        <v>169.8</v>
      </c>
    </row>
    <row r="42" spans="1:24" x14ac:dyDescent="0.2">
      <c r="A42" s="19">
        <f t="shared" si="3"/>
        <v>38</v>
      </c>
      <c r="B42" s="32" t="s">
        <v>3870</v>
      </c>
      <c r="C42" s="28">
        <v>2500</v>
      </c>
      <c r="D42" s="28">
        <v>601</v>
      </c>
      <c r="E42" s="28">
        <v>147.19999999999999</v>
      </c>
      <c r="F42" s="28">
        <v>187.5</v>
      </c>
      <c r="G42" s="28">
        <v>56240</v>
      </c>
      <c r="H42" s="28">
        <v>1500</v>
      </c>
      <c r="I42" s="28">
        <v>374</v>
      </c>
      <c r="J42" s="28">
        <v>450</v>
      </c>
      <c r="K42" s="28">
        <v>14.5</v>
      </c>
      <c r="L42" s="28">
        <v>10.199999999999999</v>
      </c>
      <c r="M42" s="28">
        <f t="shared" si="6"/>
        <v>40.397746478873231</v>
      </c>
      <c r="N42" s="28">
        <v>1420</v>
      </c>
      <c r="O42" s="28">
        <f t="shared" si="1"/>
        <v>787.23883333333333</v>
      </c>
      <c r="P42" s="28">
        <f t="shared" si="2"/>
        <v>2672.209026128266</v>
      </c>
      <c r="Q42" s="28">
        <f t="shared" si="7"/>
        <v>72.868356553379698</v>
      </c>
      <c r="R42" s="28"/>
      <c r="S42" s="32" t="s">
        <v>1434</v>
      </c>
      <c r="T42" s="28">
        <v>59.6</v>
      </c>
      <c r="U42" s="28">
        <v>4</v>
      </c>
      <c r="V42" s="28">
        <v>10390</v>
      </c>
      <c r="W42" s="28">
        <f>J42/2-150.3</f>
        <v>74.699999999999989</v>
      </c>
      <c r="X42" s="28">
        <f t="shared" si="8"/>
        <v>172.9</v>
      </c>
    </row>
    <row r="43" spans="1:24" x14ac:dyDescent="0.2">
      <c r="A43" s="19">
        <f t="shared" si="3"/>
        <v>39</v>
      </c>
      <c r="B43" s="32" t="s">
        <v>3871</v>
      </c>
      <c r="C43" s="28">
        <v>2580</v>
      </c>
      <c r="D43" s="28">
        <v>608</v>
      </c>
      <c r="E43" s="28">
        <v>150.9</v>
      </c>
      <c r="F43" s="28">
        <v>192.2</v>
      </c>
      <c r="G43" s="28">
        <v>58140</v>
      </c>
      <c r="H43" s="28">
        <v>1500</v>
      </c>
      <c r="I43" s="28">
        <v>374</v>
      </c>
      <c r="J43" s="28">
        <v>451</v>
      </c>
      <c r="K43" s="28">
        <v>15</v>
      </c>
      <c r="L43" s="28">
        <v>10.5</v>
      </c>
      <c r="M43" s="28">
        <f t="shared" si="6"/>
        <v>41.670307167235499</v>
      </c>
      <c r="N43" s="28">
        <v>1465</v>
      </c>
      <c r="O43" s="28">
        <f t="shared" si="1"/>
        <v>815.32</v>
      </c>
      <c r="P43" s="28">
        <f t="shared" si="2"/>
        <v>2763.8479809976247</v>
      </c>
      <c r="Q43" s="28">
        <f t="shared" si="7"/>
        <v>74.87489574645538</v>
      </c>
      <c r="R43" s="28"/>
      <c r="S43" s="32" t="s">
        <v>1434</v>
      </c>
      <c r="T43" s="28">
        <v>59.6</v>
      </c>
      <c r="U43" s="28">
        <v>4</v>
      </c>
      <c r="V43" s="28">
        <v>10580</v>
      </c>
      <c r="W43" s="28">
        <f>J43/2-151.3</f>
        <v>74.199999999999989</v>
      </c>
      <c r="X43" s="28">
        <f t="shared" si="8"/>
        <v>174</v>
      </c>
    </row>
    <row r="44" spans="1:24" x14ac:dyDescent="0.2">
      <c r="A44" s="19">
        <f>+A43+1</f>
        <v>40</v>
      </c>
      <c r="B44" s="32" t="s">
        <v>3480</v>
      </c>
      <c r="C44" s="28">
        <v>1260</v>
      </c>
      <c r="D44" s="28">
        <v>350</v>
      </c>
      <c r="E44" s="28">
        <v>116</v>
      </c>
      <c r="F44" s="28">
        <v>148.30000000000001</v>
      </c>
      <c r="G44" s="28">
        <v>19530</v>
      </c>
      <c r="H44" s="28">
        <v>1200</v>
      </c>
      <c r="I44" s="28">
        <v>380</v>
      </c>
      <c r="J44" s="28">
        <v>310</v>
      </c>
      <c r="K44" s="28">
        <v>10</v>
      </c>
      <c r="L44" s="28">
        <v>10</v>
      </c>
      <c r="M44" s="28">
        <f t="shared" si="6"/>
        <v>34.875</v>
      </c>
      <c r="N44" s="28">
        <v>700</v>
      </c>
      <c r="O44" s="28">
        <f t="shared" si="1"/>
        <v>475</v>
      </c>
      <c r="P44" s="28">
        <f t="shared" si="2"/>
        <v>1346.8965517241379</v>
      </c>
      <c r="Q44" s="28">
        <v>55.28</v>
      </c>
      <c r="R44" s="28"/>
      <c r="S44" s="32" t="s">
        <v>1434</v>
      </c>
      <c r="T44" s="28">
        <v>60</v>
      </c>
      <c r="U44" s="28">
        <v>1</v>
      </c>
      <c r="V44" s="28">
        <v>4067</v>
      </c>
      <c r="W44" s="28">
        <v>61</v>
      </c>
      <c r="X44" s="28">
        <v>116</v>
      </c>
    </row>
    <row r="45" spans="1:24" x14ac:dyDescent="0.2">
      <c r="A45" s="19">
        <f>+A43+1</f>
        <v>40</v>
      </c>
      <c r="B45" s="32" t="s">
        <v>3872</v>
      </c>
      <c r="C45" s="28">
        <v>1920</v>
      </c>
      <c r="D45" s="28">
        <v>573</v>
      </c>
      <c r="E45" s="28">
        <v>124</v>
      </c>
      <c r="F45" s="28">
        <f t="shared" ref="F45:F64" si="9">+E45/0.7865</f>
        <v>157.66052129688495</v>
      </c>
      <c r="G45" s="28">
        <v>43200</v>
      </c>
      <c r="H45" s="28">
        <v>1500</v>
      </c>
      <c r="I45" s="28">
        <v>338</v>
      </c>
      <c r="J45" s="28">
        <v>450</v>
      </c>
      <c r="K45" s="28">
        <v>11.2</v>
      </c>
      <c r="L45" s="28">
        <v>9.6999999999999993</v>
      </c>
      <c r="M45" s="28">
        <f t="shared" si="6"/>
        <v>34.461561931474613</v>
      </c>
      <c r="N45" s="28">
        <f>+(I45*K45*(J45-K45)/2+SQRT((J45-K45)^2+(H45-2*I45)^2)*L45*(J45-K45)/4)/H45</f>
        <v>1215.9634575857117</v>
      </c>
      <c r="O45" s="28">
        <f t="shared" si="1"/>
        <v>553.70709333333332</v>
      </c>
      <c r="P45" s="28">
        <f t="shared" si="2"/>
        <v>2020.5799812909261</v>
      </c>
      <c r="Q45" s="28">
        <f t="shared" si="7"/>
        <v>75.679001595837732</v>
      </c>
      <c r="R45" s="28"/>
      <c r="S45" s="32" t="s">
        <v>1434</v>
      </c>
      <c r="T45" s="28">
        <v>54.3</v>
      </c>
      <c r="U45" s="28">
        <v>1</v>
      </c>
      <c r="V45" s="28" t="s">
        <v>8808</v>
      </c>
      <c r="W45" s="28"/>
      <c r="X45" s="28"/>
    </row>
    <row r="46" spans="1:24" x14ac:dyDescent="0.2">
      <c r="A46" s="19">
        <f t="shared" si="3"/>
        <v>41</v>
      </c>
      <c r="B46" s="32" t="s">
        <v>3873</v>
      </c>
      <c r="C46" s="28">
        <v>2060</v>
      </c>
      <c r="D46" s="28">
        <v>586</v>
      </c>
      <c r="E46" s="28">
        <v>131.5</v>
      </c>
      <c r="F46" s="28">
        <f t="shared" si="9"/>
        <v>167.19643992371266</v>
      </c>
      <c r="G46" s="28">
        <v>46350</v>
      </c>
      <c r="H46" s="28">
        <v>1500</v>
      </c>
      <c r="I46" s="28">
        <v>338</v>
      </c>
      <c r="J46" s="28">
        <v>450</v>
      </c>
      <c r="K46" s="28">
        <v>12.2</v>
      </c>
      <c r="L46" s="28">
        <v>10.3</v>
      </c>
      <c r="M46" s="28">
        <f t="shared" si="6"/>
        <v>45.312274796005958</v>
      </c>
      <c r="N46" s="28">
        <f>+(I46*K46*(J46-K46)/2+SQRT((J46-K46)^2+((H46-2*I46)/2)^2)*L46*(J46-K46)/4)/H46</f>
        <v>1053.5886846318313</v>
      </c>
      <c r="O46" s="28">
        <f t="shared" si="1"/>
        <v>601.77069333333327</v>
      </c>
      <c r="P46" s="28">
        <f t="shared" si="2"/>
        <v>2178.1015037593984</v>
      </c>
      <c r="Q46" s="28">
        <f t="shared" si="7"/>
        <v>79.333374870011397</v>
      </c>
      <c r="R46" s="28"/>
      <c r="S46" s="32" t="s">
        <v>1434</v>
      </c>
      <c r="T46" s="28">
        <v>54.3</v>
      </c>
      <c r="U46" s="28">
        <v>1</v>
      </c>
      <c r="V46" s="28" t="s">
        <v>8808</v>
      </c>
      <c r="W46" s="28"/>
      <c r="X46" s="28"/>
    </row>
    <row r="47" spans="1:24" x14ac:dyDescent="0.2">
      <c r="A47" s="19">
        <f t="shared" si="3"/>
        <v>42</v>
      </c>
      <c r="B47" s="32" t="s">
        <v>3874</v>
      </c>
      <c r="C47" s="28">
        <v>1150</v>
      </c>
      <c r="D47" s="28">
        <v>408</v>
      </c>
      <c r="E47" s="28">
        <v>93</v>
      </c>
      <c r="F47" s="28">
        <f t="shared" si="9"/>
        <v>118.2453909726637</v>
      </c>
      <c r="G47" s="28">
        <v>23000</v>
      </c>
      <c r="H47" s="28">
        <v>1400</v>
      </c>
      <c r="I47" s="28">
        <v>302</v>
      </c>
      <c r="J47" s="28">
        <v>400</v>
      </c>
      <c r="K47" s="28">
        <v>9</v>
      </c>
      <c r="L47" s="28">
        <v>7.7</v>
      </c>
      <c r="M47" s="28">
        <v>29.12</v>
      </c>
      <c r="N47" s="28">
        <v>730</v>
      </c>
      <c r="O47" s="28">
        <f t="shared" si="1"/>
        <v>379.5492857142857</v>
      </c>
      <c r="P47" s="28">
        <f t="shared" si="2"/>
        <v>1204.1884816753927</v>
      </c>
      <c r="Q47" s="28">
        <v>53.87</v>
      </c>
      <c r="R47" s="28"/>
      <c r="S47" s="32" t="s">
        <v>1434</v>
      </c>
      <c r="T47" s="28">
        <v>46</v>
      </c>
      <c r="U47" s="28">
        <v>1</v>
      </c>
      <c r="V47" s="28" t="s">
        <v>8808</v>
      </c>
      <c r="W47" s="28"/>
      <c r="X47" s="28"/>
    </row>
    <row r="48" spans="1:24" x14ac:dyDescent="0.2">
      <c r="A48" s="19">
        <f t="shared" si="3"/>
        <v>43</v>
      </c>
      <c r="B48" s="32" t="s">
        <v>1374</v>
      </c>
      <c r="C48" s="28">
        <v>1270</v>
      </c>
      <c r="D48" s="28">
        <v>433</v>
      </c>
      <c r="E48" s="28">
        <v>100</v>
      </c>
      <c r="F48" s="28">
        <f t="shared" si="9"/>
        <v>127.14558169103624</v>
      </c>
      <c r="G48" s="28">
        <v>25400</v>
      </c>
      <c r="H48" s="28">
        <v>1400</v>
      </c>
      <c r="I48" s="28">
        <v>302</v>
      </c>
      <c r="J48" s="28">
        <v>400</v>
      </c>
      <c r="K48" s="28">
        <v>10</v>
      </c>
      <c r="L48" s="28">
        <v>8.3000000000000007</v>
      </c>
      <c r="M48" s="28">
        <v>29.12</v>
      </c>
      <c r="N48" s="28">
        <v>730</v>
      </c>
      <c r="O48" s="28">
        <f t="shared" si="1"/>
        <v>420.64285714285717</v>
      </c>
      <c r="P48" s="28">
        <f t="shared" si="2"/>
        <v>1336.8421052631579</v>
      </c>
      <c r="Q48" s="28">
        <v>53.87</v>
      </c>
      <c r="R48" s="28"/>
      <c r="S48" s="32" t="s">
        <v>1434</v>
      </c>
      <c r="T48" s="28">
        <v>46</v>
      </c>
      <c r="U48" s="28">
        <v>1</v>
      </c>
      <c r="V48" s="28" t="s">
        <v>8808</v>
      </c>
      <c r="W48" s="28"/>
      <c r="X48" s="28"/>
    </row>
    <row r="49" spans="1:24" x14ac:dyDescent="0.2">
      <c r="A49" s="19">
        <f t="shared" si="3"/>
        <v>44</v>
      </c>
      <c r="B49" s="32" t="s">
        <v>1375</v>
      </c>
      <c r="C49" s="28">
        <v>1530</v>
      </c>
      <c r="D49" s="28">
        <v>523</v>
      </c>
      <c r="E49" s="28">
        <v>111.4</v>
      </c>
      <c r="F49" s="28">
        <f t="shared" si="9"/>
        <v>141.64017800381438</v>
      </c>
      <c r="G49" s="28">
        <v>33660</v>
      </c>
      <c r="H49" s="28">
        <v>1400</v>
      </c>
      <c r="I49" s="28">
        <v>340</v>
      </c>
      <c r="J49" s="28">
        <v>440</v>
      </c>
      <c r="K49" s="28">
        <v>9.6999999999999993</v>
      </c>
      <c r="L49" s="28">
        <v>9.1999999999999993</v>
      </c>
      <c r="M49" s="28">
        <f>+G49*1.5*L49/H49/N49*100</f>
        <v>34.561607142857135</v>
      </c>
      <c r="N49" s="28">
        <v>960</v>
      </c>
      <c r="O49" s="28">
        <f t="shared" si="1"/>
        <v>506.83192857142853</v>
      </c>
      <c r="P49" s="28">
        <f t="shared" si="2"/>
        <v>1600.570613409415</v>
      </c>
      <c r="Q49" s="28">
        <f>+M49*N49/O49</f>
        <v>65.463797734019167</v>
      </c>
      <c r="R49" s="28"/>
      <c r="S49" s="32" t="s">
        <v>1434</v>
      </c>
      <c r="T49" s="28">
        <v>53</v>
      </c>
      <c r="U49" s="28">
        <v>1</v>
      </c>
      <c r="V49" s="28" t="s">
        <v>8808</v>
      </c>
      <c r="W49" s="28"/>
      <c r="X49" s="28"/>
    </row>
    <row r="50" spans="1:24" x14ac:dyDescent="0.2">
      <c r="A50" s="19">
        <f t="shared" si="3"/>
        <v>45</v>
      </c>
      <c r="B50" s="32" t="s">
        <v>1376</v>
      </c>
      <c r="C50" s="28">
        <v>1670</v>
      </c>
      <c r="D50" s="28">
        <v>548</v>
      </c>
      <c r="E50" s="28">
        <v>118.6</v>
      </c>
      <c r="F50" s="28">
        <f t="shared" si="9"/>
        <v>150.79465988556896</v>
      </c>
      <c r="G50" s="28">
        <v>36740</v>
      </c>
      <c r="H50" s="28">
        <v>1400</v>
      </c>
      <c r="I50" s="28">
        <v>340</v>
      </c>
      <c r="J50" s="28">
        <v>440</v>
      </c>
      <c r="K50" s="28">
        <v>10.7</v>
      </c>
      <c r="L50" s="28">
        <v>9.8000000000000007</v>
      </c>
      <c r="M50" s="28">
        <f>+G50*1.5*L50/H50/N50*100</f>
        <v>40.184375000000003</v>
      </c>
      <c r="N50" s="28">
        <v>960</v>
      </c>
      <c r="O50" s="28">
        <f t="shared" si="1"/>
        <v>557.78335714285708</v>
      </c>
      <c r="P50" s="28">
        <f t="shared" si="2"/>
        <v>1755.3750597228857</v>
      </c>
      <c r="Q50" s="28">
        <f>+M50*N50/O50</f>
        <v>69.161260381814913</v>
      </c>
      <c r="R50" s="28"/>
      <c r="S50" s="32" t="s">
        <v>1434</v>
      </c>
      <c r="T50" s="28">
        <v>53</v>
      </c>
      <c r="U50" s="28">
        <v>1</v>
      </c>
      <c r="V50" s="28" t="s">
        <v>8808</v>
      </c>
      <c r="W50" s="28"/>
      <c r="X50" s="28"/>
    </row>
    <row r="51" spans="1:24" x14ac:dyDescent="0.2">
      <c r="A51" s="19">
        <f t="shared" si="3"/>
        <v>46</v>
      </c>
      <c r="B51" s="42" t="s">
        <v>1377</v>
      </c>
      <c r="C51" s="28">
        <v>700</v>
      </c>
      <c r="D51" s="28">
        <v>251</v>
      </c>
      <c r="E51" s="28">
        <v>73.5</v>
      </c>
      <c r="F51" s="28">
        <f t="shared" si="9"/>
        <v>93.452002542911643</v>
      </c>
      <c r="G51" s="28">
        <f>11520*K51/(K51+0.5)</f>
        <v>10752</v>
      </c>
      <c r="H51" s="28">
        <v>1200</v>
      </c>
      <c r="I51" s="28">
        <v>249</v>
      </c>
      <c r="J51" s="28">
        <v>310</v>
      </c>
      <c r="K51" s="28">
        <v>7</v>
      </c>
      <c r="L51" s="28">
        <v>6</v>
      </c>
      <c r="M51" s="28">
        <v>21.41</v>
      </c>
      <c r="N51" s="28">
        <f t="shared" ref="N51:N57" si="10">+(I51*K51*(J51-K51)/2+SQRT((J51-K51)^2+((H51-2*I51)/2)^2)*L51*(J51-K51)/4)/H51</f>
        <v>395.67698437724579</v>
      </c>
      <c r="O51" s="28">
        <f t="shared" si="1"/>
        <v>220.05375000000001</v>
      </c>
      <c r="P51" s="28">
        <f t="shared" si="2"/>
        <v>733.10810810810813</v>
      </c>
      <c r="Q51" s="28">
        <v>38.76</v>
      </c>
      <c r="R51" s="28"/>
      <c r="S51" s="32" t="s">
        <v>1434</v>
      </c>
      <c r="T51" s="28">
        <v>42.5</v>
      </c>
      <c r="U51" s="28">
        <v>1</v>
      </c>
      <c r="V51" s="28" t="s">
        <v>8808</v>
      </c>
      <c r="W51" s="28"/>
      <c r="X51" s="28"/>
    </row>
    <row r="52" spans="1:24" x14ac:dyDescent="0.2">
      <c r="A52" s="19">
        <f t="shared" si="3"/>
        <v>47</v>
      </c>
      <c r="B52" s="42" t="s">
        <v>1378</v>
      </c>
      <c r="C52" s="28">
        <v>790</v>
      </c>
      <c r="D52" s="28">
        <v>246</v>
      </c>
      <c r="E52" s="28">
        <v>81.8</v>
      </c>
      <c r="F52" s="28">
        <f t="shared" si="9"/>
        <v>104.00508582326763</v>
      </c>
      <c r="G52" s="28">
        <v>12245</v>
      </c>
      <c r="H52" s="28">
        <v>1200</v>
      </c>
      <c r="I52" s="28">
        <v>249</v>
      </c>
      <c r="J52" s="28">
        <v>310</v>
      </c>
      <c r="K52" s="28">
        <v>8</v>
      </c>
      <c r="L52" s="28">
        <v>6.8</v>
      </c>
      <c r="M52" s="28">
        <v>21.41</v>
      </c>
      <c r="N52" s="28">
        <f t="shared" si="10"/>
        <v>448.76346546445819</v>
      </c>
      <c r="O52" s="28">
        <f t="shared" si="1"/>
        <v>250.66</v>
      </c>
      <c r="P52" s="28">
        <f t="shared" si="2"/>
        <v>832.99319727891157</v>
      </c>
      <c r="Q52" s="28">
        <v>38.76</v>
      </c>
      <c r="R52" s="28"/>
      <c r="S52" s="32" t="s">
        <v>1434</v>
      </c>
      <c r="T52" s="28">
        <v>42.5</v>
      </c>
      <c r="U52" s="28">
        <v>1</v>
      </c>
      <c r="V52" s="28" t="s">
        <v>8808</v>
      </c>
      <c r="W52" s="28"/>
      <c r="X52" s="28"/>
    </row>
    <row r="53" spans="1:24" x14ac:dyDescent="0.2">
      <c r="A53" s="19">
        <f t="shared" si="3"/>
        <v>48</v>
      </c>
      <c r="B53" s="32" t="s">
        <v>1379</v>
      </c>
      <c r="C53" s="28">
        <v>790</v>
      </c>
      <c r="D53" s="28">
        <v>254</v>
      </c>
      <c r="E53" s="28">
        <v>85.5</v>
      </c>
      <c r="F53" s="28">
        <f t="shared" si="9"/>
        <v>108.70947234583599</v>
      </c>
      <c r="G53" s="28">
        <v>12245</v>
      </c>
      <c r="H53" s="28">
        <v>1200</v>
      </c>
      <c r="I53" s="28">
        <v>251</v>
      </c>
      <c r="J53" s="28">
        <v>310</v>
      </c>
      <c r="K53" s="28">
        <v>7.7</v>
      </c>
      <c r="L53" s="28">
        <v>7.6</v>
      </c>
      <c r="M53" s="28">
        <v>26.07</v>
      </c>
      <c r="N53" s="28">
        <f t="shared" si="10"/>
        <v>464.43858403733458</v>
      </c>
      <c r="O53" s="28">
        <f t="shared" si="1"/>
        <v>243.43967083333337</v>
      </c>
      <c r="P53" s="28">
        <f t="shared" si="2"/>
        <v>831.29667345553287</v>
      </c>
      <c r="Q53" s="28">
        <v>43.11</v>
      </c>
      <c r="R53" s="28"/>
      <c r="S53" s="32" t="s">
        <v>1434</v>
      </c>
      <c r="T53" s="28">
        <v>60</v>
      </c>
      <c r="U53" s="28">
        <v>1</v>
      </c>
      <c r="V53" s="28" t="s">
        <v>8808</v>
      </c>
      <c r="W53" s="28"/>
      <c r="X53" s="28"/>
    </row>
    <row r="54" spans="1:24" x14ac:dyDescent="0.2">
      <c r="A54" s="19">
        <f t="shared" si="3"/>
        <v>49</v>
      </c>
      <c r="B54" s="32" t="s">
        <v>1380</v>
      </c>
      <c r="C54" s="28">
        <v>880</v>
      </c>
      <c r="D54" s="28">
        <v>264</v>
      </c>
      <c r="E54" s="28">
        <v>92.5</v>
      </c>
      <c r="F54" s="28">
        <f t="shared" si="9"/>
        <v>117.60966306420852</v>
      </c>
      <c r="G54" s="28">
        <v>13640</v>
      </c>
      <c r="H54" s="28">
        <v>1200</v>
      </c>
      <c r="I54" s="28">
        <v>251</v>
      </c>
      <c r="J54" s="28">
        <v>310</v>
      </c>
      <c r="K54" s="28">
        <v>8.6999999999999993</v>
      </c>
      <c r="L54" s="28">
        <v>8.4</v>
      </c>
      <c r="M54" s="28">
        <v>26.07</v>
      </c>
      <c r="N54" s="28">
        <f t="shared" si="10"/>
        <v>517.25438932710176</v>
      </c>
      <c r="O54" s="28">
        <f t="shared" si="1"/>
        <v>274.14533749999998</v>
      </c>
      <c r="P54" s="28">
        <f t="shared" si="2"/>
        <v>932.33082706766913</v>
      </c>
      <c r="Q54" s="28">
        <v>43.11</v>
      </c>
      <c r="R54" s="28"/>
      <c r="S54" s="32" t="s">
        <v>1434</v>
      </c>
      <c r="T54" s="28">
        <v>60</v>
      </c>
      <c r="U54" s="28">
        <v>1</v>
      </c>
      <c r="V54" s="28" t="s">
        <v>8808</v>
      </c>
      <c r="W54" s="28"/>
      <c r="X54" s="28"/>
    </row>
    <row r="55" spans="1:24" x14ac:dyDescent="0.2">
      <c r="A55" s="19">
        <f t="shared" si="3"/>
        <v>50</v>
      </c>
      <c r="B55" s="32" t="s">
        <v>1381</v>
      </c>
      <c r="C55" s="28">
        <v>1150</v>
      </c>
      <c r="D55" s="28">
        <v>320</v>
      </c>
      <c r="E55" s="28">
        <v>104.5</v>
      </c>
      <c r="F55" s="28">
        <f t="shared" si="9"/>
        <v>132.86713286713288</v>
      </c>
      <c r="G55" s="28">
        <v>17825</v>
      </c>
      <c r="H55" s="28">
        <v>1200</v>
      </c>
      <c r="I55" s="28">
        <v>382</v>
      </c>
      <c r="J55" s="28">
        <v>310</v>
      </c>
      <c r="K55" s="28">
        <v>9.1999999999999993</v>
      </c>
      <c r="L55" s="28">
        <v>7.9</v>
      </c>
      <c r="M55" s="28">
        <v>26.09</v>
      </c>
      <c r="N55" s="28">
        <f t="shared" si="10"/>
        <v>624.3836626613695</v>
      </c>
      <c r="O55" s="28">
        <f t="shared" si="1"/>
        <v>440.47146666666669</v>
      </c>
      <c r="P55" s="28">
        <f t="shared" si="2"/>
        <v>1222.5651577503429</v>
      </c>
      <c r="Q55" s="28">
        <v>52.53</v>
      </c>
      <c r="R55" s="28"/>
      <c r="S55" s="32" t="s">
        <v>1434</v>
      </c>
      <c r="T55" s="28">
        <v>60</v>
      </c>
      <c r="U55" s="28">
        <v>1</v>
      </c>
      <c r="V55" s="28" t="s">
        <v>8808</v>
      </c>
      <c r="W55" s="28"/>
      <c r="X55" s="28"/>
    </row>
    <row r="56" spans="1:24" x14ac:dyDescent="0.2">
      <c r="A56" s="19">
        <f t="shared" si="3"/>
        <v>51</v>
      </c>
      <c r="B56" s="32" t="s">
        <v>6239</v>
      </c>
      <c r="C56" s="28">
        <v>1250</v>
      </c>
      <c r="D56" s="28">
        <v>340</v>
      </c>
      <c r="E56" s="28">
        <v>111.5</v>
      </c>
      <c r="F56" s="28">
        <f t="shared" si="9"/>
        <v>141.76732358550541</v>
      </c>
      <c r="G56" s="28">
        <v>19375</v>
      </c>
      <c r="H56" s="28">
        <v>1200</v>
      </c>
      <c r="I56" s="28">
        <v>382</v>
      </c>
      <c r="J56" s="28">
        <v>310</v>
      </c>
      <c r="K56" s="28">
        <v>10.199999999999999</v>
      </c>
      <c r="L56" s="28">
        <v>8.5</v>
      </c>
      <c r="M56" s="28">
        <v>26.09</v>
      </c>
      <c r="N56" s="28">
        <f t="shared" si="10"/>
        <v>683.51803790321696</v>
      </c>
      <c r="O56" s="28">
        <f t="shared" si="1"/>
        <v>486.7253</v>
      </c>
      <c r="P56" s="28">
        <f t="shared" si="2"/>
        <v>1338.0524861878453</v>
      </c>
      <c r="Q56" s="28">
        <v>52.53</v>
      </c>
      <c r="R56" s="28"/>
      <c r="S56" s="32" t="s">
        <v>1434</v>
      </c>
      <c r="T56" s="28">
        <v>60</v>
      </c>
      <c r="U56" s="28">
        <v>1</v>
      </c>
      <c r="V56" s="28" t="s">
        <v>8808</v>
      </c>
      <c r="W56" s="28"/>
      <c r="X56" s="28"/>
    </row>
    <row r="57" spans="1:24" x14ac:dyDescent="0.2">
      <c r="A57" s="19">
        <f t="shared" si="3"/>
        <v>52</v>
      </c>
      <c r="B57" s="32" t="s">
        <v>6240</v>
      </c>
      <c r="C57" s="28">
        <v>1190</v>
      </c>
      <c r="D57" s="28">
        <v>335</v>
      </c>
      <c r="E57" s="28">
        <v>109.5</v>
      </c>
      <c r="F57" s="28">
        <f t="shared" si="9"/>
        <v>139.22441195168469</v>
      </c>
      <c r="G57" s="28">
        <v>18445</v>
      </c>
      <c r="H57" s="28">
        <v>1200</v>
      </c>
      <c r="I57" s="28">
        <v>380</v>
      </c>
      <c r="J57" s="28">
        <v>310</v>
      </c>
      <c r="K57" s="28">
        <v>9.5</v>
      </c>
      <c r="L57" s="28">
        <v>8.6999999999999993</v>
      </c>
      <c r="M57" s="28">
        <v>28.3</v>
      </c>
      <c r="N57" s="28">
        <f t="shared" si="10"/>
        <v>654.84559172271497</v>
      </c>
      <c r="O57" s="28">
        <f t="shared" si="1"/>
        <v>452.00208333333336</v>
      </c>
      <c r="P57" s="28">
        <f t="shared" si="2"/>
        <v>1267.6975945017182</v>
      </c>
      <c r="Q57" s="28">
        <v>55.28</v>
      </c>
      <c r="R57" s="28"/>
      <c r="S57" s="32" t="s">
        <v>1434</v>
      </c>
      <c r="T57" s="28">
        <v>66</v>
      </c>
      <c r="U57" s="28">
        <v>1</v>
      </c>
      <c r="V57" s="28" t="s">
        <v>8808</v>
      </c>
      <c r="W57" s="28"/>
      <c r="X57" s="28"/>
    </row>
    <row r="58" spans="1:24" x14ac:dyDescent="0.2">
      <c r="A58" s="19">
        <f t="shared" si="3"/>
        <v>53</v>
      </c>
      <c r="B58" s="32" t="s">
        <v>6241</v>
      </c>
      <c r="C58" s="28">
        <v>1290</v>
      </c>
      <c r="D58" s="28">
        <v>343</v>
      </c>
      <c r="E58" s="28">
        <v>116.5</v>
      </c>
      <c r="F58" s="28">
        <f t="shared" si="9"/>
        <v>148.12460267005721</v>
      </c>
      <c r="G58" s="28">
        <v>19995</v>
      </c>
      <c r="H58" s="28">
        <v>1200</v>
      </c>
      <c r="I58" s="28">
        <v>380</v>
      </c>
      <c r="J58" s="28">
        <v>310</v>
      </c>
      <c r="K58" s="28">
        <v>10.5</v>
      </c>
      <c r="L58" s="28">
        <v>9.3000000000000007</v>
      </c>
      <c r="M58" s="28">
        <v>28.3</v>
      </c>
      <c r="N58" s="28">
        <f>K13</f>
        <v>19</v>
      </c>
      <c r="O58" s="28">
        <f t="shared" si="1"/>
        <v>497.91874999999999</v>
      </c>
      <c r="P58" s="28">
        <f t="shared" si="2"/>
        <v>1383.7370242214533</v>
      </c>
      <c r="Q58" s="28">
        <v>55.28</v>
      </c>
      <c r="R58" s="28"/>
      <c r="S58" s="32" t="s">
        <v>1434</v>
      </c>
      <c r="T58" s="28">
        <v>66</v>
      </c>
      <c r="U58" s="28">
        <v>1</v>
      </c>
      <c r="V58" s="28" t="s">
        <v>8808</v>
      </c>
      <c r="W58" s="28"/>
      <c r="X58" s="28"/>
    </row>
    <row r="59" spans="1:24" x14ac:dyDescent="0.2">
      <c r="A59" s="19">
        <f t="shared" si="3"/>
        <v>54</v>
      </c>
      <c r="B59" s="32" t="s">
        <v>6242</v>
      </c>
      <c r="C59" s="28">
        <v>1560</v>
      </c>
      <c r="D59" s="28">
        <v>417</v>
      </c>
      <c r="E59" s="28">
        <v>120.5</v>
      </c>
      <c r="F59" s="28">
        <f t="shared" si="9"/>
        <v>153.21042593769866</v>
      </c>
      <c r="G59" s="28">
        <v>29640</v>
      </c>
      <c r="H59" s="28">
        <v>1200</v>
      </c>
      <c r="I59" s="28">
        <v>382</v>
      </c>
      <c r="J59" s="28">
        <v>380</v>
      </c>
      <c r="K59" s="28">
        <v>10</v>
      </c>
      <c r="L59" s="28">
        <v>8.8000000000000007</v>
      </c>
      <c r="M59" s="28">
        <v>34.270000000000003</v>
      </c>
      <c r="N59" s="28">
        <f t="shared" ref="N59:N68" si="11">+(I59*K59*(J59-K59)/2+SQRT((J59-K59)^2+((H59-2*I59)/2)^2)*L59*(J59-K59)/4)/H59</f>
        <v>880.22430844002554</v>
      </c>
      <c r="O59" s="28">
        <f t="shared" si="1"/>
        <v>588.91666666666663</v>
      </c>
      <c r="P59" s="28">
        <f t="shared" si="2"/>
        <v>1646.6666666666667</v>
      </c>
      <c r="Q59" s="28">
        <v>73.23</v>
      </c>
      <c r="R59" s="28"/>
      <c r="S59" s="32" t="s">
        <v>1434</v>
      </c>
      <c r="T59" s="28">
        <v>66</v>
      </c>
      <c r="U59" s="28">
        <v>1</v>
      </c>
      <c r="V59" s="28" t="s">
        <v>8808</v>
      </c>
      <c r="W59" s="28"/>
      <c r="X59" s="28"/>
    </row>
    <row r="60" spans="1:24" x14ac:dyDescent="0.2">
      <c r="A60" s="19">
        <f t="shared" si="3"/>
        <v>55</v>
      </c>
      <c r="B60" s="32" t="s">
        <v>6243</v>
      </c>
      <c r="C60" s="28">
        <v>1680</v>
      </c>
      <c r="D60" s="28">
        <v>428</v>
      </c>
      <c r="E60" s="28">
        <v>127.5</v>
      </c>
      <c r="F60" s="28">
        <f t="shared" si="9"/>
        <v>162.11061665607122</v>
      </c>
      <c r="G60" s="28">
        <v>31920</v>
      </c>
      <c r="H60" s="28">
        <v>1200</v>
      </c>
      <c r="I60" s="28">
        <v>382</v>
      </c>
      <c r="J60" s="28">
        <v>380</v>
      </c>
      <c r="K60" s="28">
        <v>11</v>
      </c>
      <c r="L60" s="28">
        <v>9.1999999999999993</v>
      </c>
      <c r="M60" s="28">
        <v>34.270000000000003</v>
      </c>
      <c r="N60" s="28">
        <f t="shared" si="11"/>
        <v>949.17415690425605</v>
      </c>
      <c r="O60" s="28">
        <f t="shared" si="1"/>
        <v>646.0575</v>
      </c>
      <c r="P60" s="28">
        <f t="shared" si="2"/>
        <v>1783.2402234636872</v>
      </c>
      <c r="Q60" s="28">
        <v>73.23</v>
      </c>
      <c r="R60" s="28"/>
      <c r="S60" s="32" t="s">
        <v>1434</v>
      </c>
      <c r="T60" s="28">
        <v>66</v>
      </c>
      <c r="U60" s="28">
        <v>1</v>
      </c>
      <c r="V60" s="28" t="s">
        <v>8808</v>
      </c>
      <c r="W60" s="28"/>
      <c r="X60" s="28"/>
    </row>
    <row r="61" spans="1:24" x14ac:dyDescent="0.2">
      <c r="A61" s="19">
        <f t="shared" si="3"/>
        <v>56</v>
      </c>
      <c r="B61" s="32" t="s">
        <v>7050</v>
      </c>
      <c r="C61" s="28">
        <v>1950</v>
      </c>
      <c r="D61" s="28">
        <v>515</v>
      </c>
      <c r="E61" s="28">
        <v>135.5</v>
      </c>
      <c r="F61" s="28">
        <f t="shared" si="9"/>
        <v>172.2822631913541</v>
      </c>
      <c r="G61" s="28">
        <v>40950</v>
      </c>
      <c r="H61" s="28">
        <v>1200</v>
      </c>
      <c r="I61" s="28">
        <v>348</v>
      </c>
      <c r="J61" s="28">
        <v>420</v>
      </c>
      <c r="K61" s="28">
        <v>12</v>
      </c>
      <c r="L61" s="28">
        <v>8.8000000000000007</v>
      </c>
      <c r="M61" s="28">
        <v>39.36</v>
      </c>
      <c r="N61" s="28">
        <f t="shared" si="11"/>
        <v>1068.6232420706565</v>
      </c>
      <c r="O61" s="28">
        <f t="shared" si="1"/>
        <v>709.92</v>
      </c>
      <c r="P61" s="28">
        <f t="shared" si="2"/>
        <v>2068.181818181818</v>
      </c>
      <c r="Q61" s="28">
        <v>93.28</v>
      </c>
      <c r="R61" s="28"/>
      <c r="S61" s="32" t="s">
        <v>1434</v>
      </c>
      <c r="T61" s="28">
        <v>66</v>
      </c>
      <c r="U61" s="28">
        <v>1</v>
      </c>
      <c r="V61" s="28" t="s">
        <v>8808</v>
      </c>
      <c r="W61" s="28"/>
      <c r="X61" s="28"/>
    </row>
    <row r="62" spans="1:24" x14ac:dyDescent="0.2">
      <c r="A62" s="19">
        <f t="shared" si="3"/>
        <v>57</v>
      </c>
      <c r="B62" s="32" t="s">
        <v>7051</v>
      </c>
      <c r="C62" s="28">
        <v>2090</v>
      </c>
      <c r="D62" s="28">
        <v>525</v>
      </c>
      <c r="E62" s="28">
        <v>142.5</v>
      </c>
      <c r="F62" s="28">
        <f t="shared" si="9"/>
        <v>181.18245390972663</v>
      </c>
      <c r="G62" s="28">
        <v>43890</v>
      </c>
      <c r="H62" s="28">
        <v>1200</v>
      </c>
      <c r="I62" s="28">
        <v>348</v>
      </c>
      <c r="J62" s="28">
        <v>420</v>
      </c>
      <c r="K62" s="28">
        <v>13</v>
      </c>
      <c r="L62" s="28">
        <v>9.1999999999999993</v>
      </c>
      <c r="M62" s="28">
        <v>39.36</v>
      </c>
      <c r="N62" s="28">
        <f t="shared" si="11"/>
        <v>1140.6203294587024</v>
      </c>
      <c r="O62" s="28">
        <f t="shared" si="1"/>
        <v>767.19500000000005</v>
      </c>
      <c r="P62" s="28">
        <f t="shared" si="2"/>
        <v>2227.9187817258885</v>
      </c>
      <c r="Q62" s="28">
        <v>93.28</v>
      </c>
      <c r="R62" s="28"/>
      <c r="S62" s="32" t="s">
        <v>1434</v>
      </c>
      <c r="T62" s="28">
        <v>66</v>
      </c>
      <c r="U62" s="28">
        <v>1</v>
      </c>
      <c r="V62" s="28" t="s">
        <v>8808</v>
      </c>
      <c r="W62" s="28"/>
      <c r="X62" s="28"/>
    </row>
    <row r="63" spans="1:24" x14ac:dyDescent="0.2">
      <c r="A63" s="19">
        <f t="shared" si="3"/>
        <v>58</v>
      </c>
      <c r="B63" s="32" t="s">
        <v>7052</v>
      </c>
      <c r="C63" s="28">
        <v>2430</v>
      </c>
      <c r="D63" s="28">
        <v>570</v>
      </c>
      <c r="E63" s="28">
        <v>153.5</v>
      </c>
      <c r="F63" s="28">
        <f t="shared" si="9"/>
        <v>195.16846789574063</v>
      </c>
      <c r="G63" s="28">
        <v>52850</v>
      </c>
      <c r="H63" s="28">
        <v>1200</v>
      </c>
      <c r="I63" s="28">
        <v>344</v>
      </c>
      <c r="J63" s="28">
        <v>435</v>
      </c>
      <c r="K63" s="28">
        <v>15.1</v>
      </c>
      <c r="L63" s="28">
        <v>9</v>
      </c>
      <c r="M63" s="28">
        <v>41.69</v>
      </c>
      <c r="N63" s="28">
        <f t="shared" si="11"/>
        <v>1295.9916632779505</v>
      </c>
      <c r="O63" s="28">
        <f t="shared" si="1"/>
        <v>908.80356666666648</v>
      </c>
      <c r="P63" s="28">
        <f t="shared" si="2"/>
        <v>2611.2895256916995</v>
      </c>
      <c r="Q63" s="28">
        <v>117.59</v>
      </c>
      <c r="R63" s="28"/>
      <c r="S63" s="32" t="s">
        <v>1434</v>
      </c>
      <c r="T63" s="28">
        <v>66</v>
      </c>
      <c r="U63" s="28">
        <v>1</v>
      </c>
      <c r="V63" s="28" t="s">
        <v>8808</v>
      </c>
      <c r="W63" s="28"/>
      <c r="X63" s="28"/>
    </row>
    <row r="64" spans="1:24" x14ac:dyDescent="0.2">
      <c r="A64" s="19">
        <f t="shared" si="3"/>
        <v>59</v>
      </c>
      <c r="B64" s="32" t="s">
        <v>7053</v>
      </c>
      <c r="C64" s="28">
        <v>2570</v>
      </c>
      <c r="D64" s="28">
        <v>610</v>
      </c>
      <c r="E64" s="28">
        <v>160.5</v>
      </c>
      <c r="F64" s="28">
        <f t="shared" si="9"/>
        <v>204.06865861411316</v>
      </c>
      <c r="G64" s="28">
        <v>55900</v>
      </c>
      <c r="H64" s="28">
        <v>1200</v>
      </c>
      <c r="I64" s="28">
        <v>344</v>
      </c>
      <c r="J64" s="28">
        <v>435</v>
      </c>
      <c r="K64" s="28">
        <v>16.100000000000001</v>
      </c>
      <c r="L64" s="28">
        <v>9.4</v>
      </c>
      <c r="M64" s="28">
        <v>41.69</v>
      </c>
      <c r="N64" s="28">
        <f t="shared" si="11"/>
        <v>1369.4147362570118</v>
      </c>
      <c r="O64" s="28">
        <f t="shared" si="1"/>
        <v>966.68156666666675</v>
      </c>
      <c r="P64" s="28">
        <f t="shared" si="2"/>
        <v>2775.4468718967228</v>
      </c>
      <c r="Q64" s="28">
        <v>117.59</v>
      </c>
      <c r="R64" s="28"/>
      <c r="S64" s="32" t="s">
        <v>1434</v>
      </c>
      <c r="T64" s="28">
        <v>66</v>
      </c>
      <c r="U64" s="28">
        <v>1</v>
      </c>
      <c r="V64" s="28" t="s">
        <v>8808</v>
      </c>
      <c r="W64" s="28"/>
      <c r="X64" s="28"/>
    </row>
    <row r="65" spans="1:24" x14ac:dyDescent="0.2">
      <c r="A65" s="19">
        <f t="shared" si="3"/>
        <v>60</v>
      </c>
      <c r="B65" s="32" t="s">
        <v>7054</v>
      </c>
      <c r="C65" s="28">
        <v>3130</v>
      </c>
      <c r="D65" s="28">
        <v>671</v>
      </c>
      <c r="E65" s="28">
        <v>186.5</v>
      </c>
      <c r="F65" s="28">
        <v>242</v>
      </c>
      <c r="G65" s="28">
        <v>70740</v>
      </c>
      <c r="H65" s="28">
        <v>1200</v>
      </c>
      <c r="I65" s="28">
        <v>294</v>
      </c>
      <c r="J65" s="28">
        <v>452</v>
      </c>
      <c r="K65" s="28">
        <v>18.5</v>
      </c>
      <c r="L65" s="28">
        <v>10.4</v>
      </c>
      <c r="M65" s="28">
        <f t="shared" ref="M65:M111" si="12">+G65*1.5*L65/H65/N65*100</f>
        <v>62.10271607479784</v>
      </c>
      <c r="N65" s="28">
        <f t="shared" si="11"/>
        <v>1480.8047990886421</v>
      </c>
      <c r="O65" s="28">
        <f t="shared" si="1"/>
        <v>982.41937499999995</v>
      </c>
      <c r="P65" s="28">
        <f t="shared" si="2"/>
        <v>3409.0602409638554</v>
      </c>
      <c r="Q65" s="28">
        <v>150.97</v>
      </c>
      <c r="R65" s="28"/>
      <c r="S65" s="32" t="s">
        <v>1434</v>
      </c>
      <c r="T65" s="28">
        <v>66</v>
      </c>
      <c r="U65" s="28">
        <v>1</v>
      </c>
      <c r="V65" s="28" t="s">
        <v>8808</v>
      </c>
      <c r="W65" s="28"/>
      <c r="X65" s="28"/>
    </row>
    <row r="66" spans="1:24" x14ac:dyDescent="0.2">
      <c r="A66" s="19">
        <f t="shared" si="3"/>
        <v>61</v>
      </c>
      <c r="B66" s="32" t="s">
        <v>7055</v>
      </c>
      <c r="C66" s="28">
        <v>3270</v>
      </c>
      <c r="D66" s="28">
        <v>681</v>
      </c>
      <c r="E66" s="28">
        <v>193.5</v>
      </c>
      <c r="F66" s="28">
        <v>242</v>
      </c>
      <c r="G66" s="28">
        <v>73900</v>
      </c>
      <c r="H66" s="28">
        <v>1200</v>
      </c>
      <c r="I66" s="28">
        <v>294</v>
      </c>
      <c r="J66" s="28">
        <v>452</v>
      </c>
      <c r="K66" s="28">
        <v>19.5</v>
      </c>
      <c r="L66" s="28">
        <v>10.8</v>
      </c>
      <c r="M66" s="28">
        <f t="shared" si="12"/>
        <v>64.418550142770499</v>
      </c>
      <c r="N66" s="28">
        <f t="shared" si="11"/>
        <v>1548.699866403254</v>
      </c>
      <c r="O66" s="28">
        <f t="shared" si="1"/>
        <v>1033.1343750000001</v>
      </c>
      <c r="P66" s="28">
        <f t="shared" si="2"/>
        <v>3578.7893462469733</v>
      </c>
      <c r="Q66" s="28">
        <v>150.97</v>
      </c>
      <c r="R66" s="28"/>
      <c r="S66" s="32" t="s">
        <v>1434</v>
      </c>
      <c r="T66" s="28">
        <v>66</v>
      </c>
      <c r="U66" s="28">
        <v>1</v>
      </c>
      <c r="V66" s="28" t="s">
        <v>8808</v>
      </c>
      <c r="W66" s="28"/>
      <c r="X66" s="28"/>
    </row>
    <row r="67" spans="1:24" x14ac:dyDescent="0.2">
      <c r="A67" s="19">
        <f t="shared" si="3"/>
        <v>62</v>
      </c>
      <c r="B67" s="32" t="s">
        <v>5235</v>
      </c>
      <c r="C67" s="28">
        <v>1100</v>
      </c>
      <c r="D67" s="28">
        <v>136</v>
      </c>
      <c r="E67" s="28">
        <v>122</v>
      </c>
      <c r="F67" s="28">
        <v>155.5</v>
      </c>
      <c r="G67" s="28">
        <v>14850</v>
      </c>
      <c r="H67" s="28">
        <v>800</v>
      </c>
      <c r="I67" s="28">
        <v>250</v>
      </c>
      <c r="J67" s="28">
        <v>270</v>
      </c>
      <c r="K67" s="28">
        <v>9.5</v>
      </c>
      <c r="L67" s="28">
        <v>7.5</v>
      </c>
      <c r="M67" s="28">
        <f t="shared" si="12"/>
        <v>36.623022623229708</v>
      </c>
      <c r="N67" s="28">
        <f t="shared" si="11"/>
        <v>570.20996641479258</v>
      </c>
      <c r="O67" s="28">
        <f t="shared" si="1"/>
        <v>386.6796875</v>
      </c>
      <c r="P67" s="28">
        <f t="shared" si="2"/>
        <v>1183.2669322709164</v>
      </c>
      <c r="Q67" s="28">
        <f t="shared" ref="Q67:Q130" si="13">+M67*N67/O67</f>
        <v>54.005455096474392</v>
      </c>
      <c r="R67" s="28"/>
      <c r="S67" s="32" t="s">
        <v>1434</v>
      </c>
      <c r="T67" s="28">
        <v>60.6</v>
      </c>
      <c r="U67" s="28">
        <v>5</v>
      </c>
      <c r="V67" s="28">
        <v>1453</v>
      </c>
      <c r="W67" s="28">
        <f>157-X67</f>
        <v>50</v>
      </c>
      <c r="X67" s="28">
        <v>107</v>
      </c>
    </row>
    <row r="68" spans="1:24" x14ac:dyDescent="0.2">
      <c r="A68" s="19">
        <f t="shared" si="3"/>
        <v>63</v>
      </c>
      <c r="B68" s="32" t="s">
        <v>5236</v>
      </c>
      <c r="C68" s="28">
        <v>1600</v>
      </c>
      <c r="D68" s="28">
        <v>271</v>
      </c>
      <c r="E68" s="28">
        <v>155.5</v>
      </c>
      <c r="F68" s="28">
        <v>197.2</v>
      </c>
      <c r="G68" s="28">
        <v>23200</v>
      </c>
      <c r="H68" s="28">
        <v>800</v>
      </c>
      <c r="I68" s="28">
        <v>253.4</v>
      </c>
      <c r="J68" s="28">
        <v>290</v>
      </c>
      <c r="K68" s="28">
        <v>13</v>
      </c>
      <c r="L68" s="28">
        <v>9</v>
      </c>
      <c r="M68" s="28">
        <f t="shared" si="12"/>
        <v>48.068198324849327</v>
      </c>
      <c r="N68" s="28">
        <f t="shared" si="11"/>
        <v>814.4678054172258</v>
      </c>
      <c r="O68" s="28">
        <f t="shared" ref="O68:O111" si="14">+(I68*K68*(J68-K68)/2/H68)</f>
        <v>570.30837500000007</v>
      </c>
      <c r="P68" s="28">
        <f t="shared" ref="P68:P131" si="15">+C68*J68/(J68-2*K68)</f>
        <v>1757.5757575757575</v>
      </c>
      <c r="Q68" s="28">
        <f t="shared" si="13"/>
        <v>68.647071858273165</v>
      </c>
      <c r="R68" s="28"/>
      <c r="S68" s="32" t="s">
        <v>1434</v>
      </c>
      <c r="T68" s="28">
        <v>81.900000000000006</v>
      </c>
      <c r="U68" s="28">
        <v>5</v>
      </c>
      <c r="V68" s="28">
        <v>3041</v>
      </c>
      <c r="W68" s="28">
        <f>168-X68</f>
        <v>56</v>
      </c>
      <c r="X68" s="28">
        <v>112</v>
      </c>
    </row>
    <row r="69" spans="1:24" x14ac:dyDescent="0.2">
      <c r="A69" s="19">
        <f t="shared" si="3"/>
        <v>64</v>
      </c>
      <c r="B69" s="32" t="s">
        <v>5237</v>
      </c>
      <c r="C69" s="28">
        <v>1250</v>
      </c>
      <c r="D69" s="28">
        <v>324</v>
      </c>
      <c r="E69" s="28">
        <v>117.3</v>
      </c>
      <c r="F69" s="28">
        <v>149.4</v>
      </c>
      <c r="G69" s="28">
        <v>21191</v>
      </c>
      <c r="H69" s="28">
        <v>800</v>
      </c>
      <c r="I69" s="28">
        <v>266.10000000000002</v>
      </c>
      <c r="J69" s="28">
        <v>340</v>
      </c>
      <c r="K69" s="28">
        <v>9.6999999999999993</v>
      </c>
      <c r="L69" s="28">
        <v>8.4</v>
      </c>
      <c r="M69" s="28">
        <f t="shared" si="12"/>
        <v>46.679475524475528</v>
      </c>
      <c r="N69" s="28">
        <v>715</v>
      </c>
      <c r="O69" s="28">
        <f t="shared" si="14"/>
        <v>532.85028187499995</v>
      </c>
      <c r="P69" s="28">
        <f t="shared" si="15"/>
        <v>1325.6394260761072</v>
      </c>
      <c r="Q69" s="28">
        <f t="shared" si="13"/>
        <v>62.636403010910968</v>
      </c>
      <c r="R69" s="28"/>
      <c r="S69" s="32" t="s">
        <v>1434</v>
      </c>
      <c r="T69" s="28">
        <v>63.4</v>
      </c>
      <c r="U69" s="28">
        <v>6</v>
      </c>
      <c r="V69" s="28">
        <v>3752</v>
      </c>
      <c r="W69" s="28">
        <f>190-X69</f>
        <v>74.3</v>
      </c>
      <c r="X69" s="28">
        <v>115.7</v>
      </c>
    </row>
    <row r="70" spans="1:24" x14ac:dyDescent="0.2">
      <c r="A70" s="19">
        <f t="shared" si="3"/>
        <v>65</v>
      </c>
      <c r="B70" s="32" t="s">
        <v>5238</v>
      </c>
      <c r="C70" s="28">
        <v>1300</v>
      </c>
      <c r="D70" s="28">
        <v>337</v>
      </c>
      <c r="E70" s="28">
        <v>122.8</v>
      </c>
      <c r="F70" s="28">
        <v>156.4</v>
      </c>
      <c r="G70" s="28">
        <v>22054</v>
      </c>
      <c r="H70" s="28">
        <v>1000</v>
      </c>
      <c r="I70" s="28">
        <v>266</v>
      </c>
      <c r="J70" s="28">
        <v>340</v>
      </c>
      <c r="K70" s="28">
        <v>10</v>
      </c>
      <c r="L70" s="28">
        <v>9</v>
      </c>
      <c r="M70" s="28">
        <f t="shared" si="12"/>
        <v>39.856626506024092</v>
      </c>
      <c r="N70" s="28">
        <v>747</v>
      </c>
      <c r="O70" s="28">
        <f t="shared" si="14"/>
        <v>438.9</v>
      </c>
      <c r="P70" s="28">
        <f t="shared" si="15"/>
        <v>1381.25</v>
      </c>
      <c r="Q70" s="28">
        <f t="shared" si="13"/>
        <v>67.835269993164729</v>
      </c>
      <c r="R70" s="28"/>
      <c r="S70" s="32" t="s">
        <v>1434</v>
      </c>
      <c r="T70" s="28">
        <v>63.4</v>
      </c>
      <c r="U70" s="28">
        <v>6</v>
      </c>
      <c r="V70" s="28">
        <v>3895</v>
      </c>
      <c r="W70" s="28">
        <f>190-X70</f>
        <v>74.5</v>
      </c>
      <c r="X70" s="28">
        <v>115.5</v>
      </c>
    </row>
    <row r="71" spans="1:24" x14ac:dyDescent="0.2">
      <c r="A71" s="19">
        <f t="shared" ref="A71:A134" si="16">+A70+1</f>
        <v>66</v>
      </c>
      <c r="B71" s="32" t="s">
        <v>5239</v>
      </c>
      <c r="C71" s="28">
        <v>1336</v>
      </c>
      <c r="D71" s="28">
        <v>363</v>
      </c>
      <c r="E71" s="28">
        <v>130.6</v>
      </c>
      <c r="F71" s="28">
        <v>166.4</v>
      </c>
      <c r="G71" s="28">
        <v>22719</v>
      </c>
      <c r="H71" s="28">
        <v>1000</v>
      </c>
      <c r="I71" s="28">
        <v>265</v>
      </c>
      <c r="J71" s="28">
        <v>340</v>
      </c>
      <c r="K71" s="28">
        <v>10</v>
      </c>
      <c r="L71" s="28">
        <v>10</v>
      </c>
      <c r="M71" s="28">
        <f t="shared" si="12"/>
        <v>43.972258064516133</v>
      </c>
      <c r="N71" s="28">
        <v>775</v>
      </c>
      <c r="O71" s="28">
        <f t="shared" si="14"/>
        <v>437.25</v>
      </c>
      <c r="P71" s="28">
        <f t="shared" si="15"/>
        <v>1419.5</v>
      </c>
      <c r="Q71" s="28">
        <f t="shared" si="13"/>
        <v>77.93825042881646</v>
      </c>
      <c r="R71" s="28"/>
      <c r="S71" s="32" t="s">
        <v>1434</v>
      </c>
      <c r="T71" s="28">
        <v>63.4</v>
      </c>
      <c r="U71" s="28">
        <v>6</v>
      </c>
      <c r="V71" s="28">
        <v>4148</v>
      </c>
      <c r="W71" s="28">
        <f>191-X71</f>
        <v>76.900000000000006</v>
      </c>
      <c r="X71" s="28">
        <v>114.1</v>
      </c>
    </row>
    <row r="72" spans="1:24" x14ac:dyDescent="0.2">
      <c r="A72" s="19">
        <f t="shared" si="16"/>
        <v>67</v>
      </c>
      <c r="B72" s="32" t="s">
        <v>5240</v>
      </c>
      <c r="C72" s="28">
        <v>800</v>
      </c>
      <c r="D72" s="28">
        <v>251</v>
      </c>
      <c r="E72" s="28">
        <v>85.4</v>
      </c>
      <c r="F72" s="28">
        <v>108.8</v>
      </c>
      <c r="G72" s="28">
        <v>12404</v>
      </c>
      <c r="H72" s="28">
        <v>1000</v>
      </c>
      <c r="I72" s="28">
        <v>252</v>
      </c>
      <c r="J72" s="28">
        <v>310</v>
      </c>
      <c r="K72" s="28">
        <v>8</v>
      </c>
      <c r="L72" s="28">
        <v>7.2</v>
      </c>
      <c r="M72" s="28">
        <f t="shared" si="12"/>
        <v>28.809290322580644</v>
      </c>
      <c r="N72" s="28">
        <v>465</v>
      </c>
      <c r="O72" s="28">
        <f t="shared" si="14"/>
        <v>304.416</v>
      </c>
      <c r="P72" s="28">
        <f t="shared" si="15"/>
        <v>843.53741496598639</v>
      </c>
      <c r="Q72" s="28">
        <f t="shared" si="13"/>
        <v>44.006622516556291</v>
      </c>
      <c r="R72" s="28"/>
      <c r="S72" s="32" t="s">
        <v>1434</v>
      </c>
      <c r="T72" s="28">
        <v>43.5</v>
      </c>
      <c r="U72" s="28">
        <v>6</v>
      </c>
      <c r="V72" s="28" t="s">
        <v>8808</v>
      </c>
      <c r="W72" s="28"/>
      <c r="X72" s="28"/>
    </row>
    <row r="73" spans="1:24" x14ac:dyDescent="0.2">
      <c r="A73" s="19">
        <f t="shared" si="16"/>
        <v>68</v>
      </c>
      <c r="B73" s="32" t="s">
        <v>5241</v>
      </c>
      <c r="C73" s="28">
        <v>845</v>
      </c>
      <c r="D73" s="28">
        <v>259</v>
      </c>
      <c r="E73" s="28">
        <v>90.5</v>
      </c>
      <c r="F73" s="28">
        <v>115.4</v>
      </c>
      <c r="G73" s="28">
        <v>13075</v>
      </c>
      <c r="H73" s="28">
        <v>1000</v>
      </c>
      <c r="I73" s="28">
        <v>250.1</v>
      </c>
      <c r="J73" s="28">
        <v>310</v>
      </c>
      <c r="K73" s="28">
        <v>8.1999999999999993</v>
      </c>
      <c r="L73" s="28">
        <v>8</v>
      </c>
      <c r="M73" s="28">
        <f t="shared" si="12"/>
        <v>31.696969696969695</v>
      </c>
      <c r="N73" s="28">
        <v>495</v>
      </c>
      <c r="O73" s="28">
        <f t="shared" si="14"/>
        <v>309.46873799999997</v>
      </c>
      <c r="P73" s="28">
        <f t="shared" si="15"/>
        <v>892.20027247956398</v>
      </c>
      <c r="Q73" s="28">
        <f t="shared" si="13"/>
        <v>50.699789908989132</v>
      </c>
      <c r="R73" s="28"/>
      <c r="S73" s="32" t="s">
        <v>1434</v>
      </c>
      <c r="T73" s="28">
        <v>43.5</v>
      </c>
      <c r="U73" s="28">
        <v>6</v>
      </c>
      <c r="V73" s="28">
        <v>2749</v>
      </c>
      <c r="W73" s="28">
        <f>175.5-X73</f>
        <v>69.2</v>
      </c>
      <c r="X73" s="28">
        <v>106.3</v>
      </c>
    </row>
    <row r="74" spans="1:24" x14ac:dyDescent="0.2">
      <c r="A74" s="19">
        <f t="shared" si="16"/>
        <v>69</v>
      </c>
      <c r="B74" s="32" t="s">
        <v>5242</v>
      </c>
      <c r="C74" s="28">
        <v>1180</v>
      </c>
      <c r="D74" s="28">
        <v>297</v>
      </c>
      <c r="E74" s="28">
        <v>108</v>
      </c>
      <c r="F74" s="28">
        <v>137.6</v>
      </c>
      <c r="G74" s="28">
        <v>18251</v>
      </c>
      <c r="H74" s="28">
        <v>1000</v>
      </c>
      <c r="I74" s="28">
        <v>383.7</v>
      </c>
      <c r="J74" s="28">
        <v>310</v>
      </c>
      <c r="K74" s="28">
        <v>9.6999999999999993</v>
      </c>
      <c r="L74" s="28">
        <v>8.4</v>
      </c>
      <c r="M74" s="28">
        <f t="shared" si="12"/>
        <v>35.162477064220184</v>
      </c>
      <c r="N74" s="28">
        <v>654</v>
      </c>
      <c r="O74" s="28">
        <f t="shared" si="14"/>
        <v>558.84178349999991</v>
      </c>
      <c r="P74" s="28">
        <f t="shared" si="15"/>
        <v>1258.7749483826565</v>
      </c>
      <c r="Q74" s="28">
        <f t="shared" si="13"/>
        <v>41.149857936490548</v>
      </c>
      <c r="R74" s="28"/>
      <c r="S74" s="32" t="s">
        <v>1434</v>
      </c>
      <c r="T74" s="28">
        <v>61.2</v>
      </c>
      <c r="U74" s="28">
        <v>6</v>
      </c>
      <c r="V74" s="28">
        <v>3482</v>
      </c>
      <c r="W74" s="28">
        <f>177-X74</f>
        <v>59.900000000000006</v>
      </c>
      <c r="X74" s="28">
        <v>117.1</v>
      </c>
    </row>
    <row r="75" spans="1:24" x14ac:dyDescent="0.2">
      <c r="A75" s="19">
        <f t="shared" si="16"/>
        <v>70</v>
      </c>
      <c r="B75" s="32" t="s">
        <v>5243</v>
      </c>
      <c r="C75" s="28">
        <v>1220</v>
      </c>
      <c r="D75" s="28">
        <v>317</v>
      </c>
      <c r="E75" s="28">
        <v>113.5</v>
      </c>
      <c r="F75" s="28">
        <v>144.80000000000001</v>
      </c>
      <c r="G75" s="28">
        <v>18900</v>
      </c>
      <c r="H75" s="28">
        <v>1000</v>
      </c>
      <c r="I75" s="28">
        <v>382.7</v>
      </c>
      <c r="J75" s="28">
        <v>310</v>
      </c>
      <c r="K75" s="28">
        <v>10</v>
      </c>
      <c r="L75" s="28">
        <v>9</v>
      </c>
      <c r="M75" s="28">
        <f t="shared" si="12"/>
        <v>37.522058823529413</v>
      </c>
      <c r="N75" s="28">
        <v>680</v>
      </c>
      <c r="O75" s="28">
        <f t="shared" si="14"/>
        <v>574.04999999999995</v>
      </c>
      <c r="P75" s="28">
        <f t="shared" si="15"/>
        <v>1304.1379310344828</v>
      </c>
      <c r="Q75" s="28">
        <f t="shared" si="13"/>
        <v>44.447347792004187</v>
      </c>
      <c r="R75" s="28"/>
      <c r="S75" s="32" t="s">
        <v>1434</v>
      </c>
      <c r="T75" s="28">
        <v>61.2</v>
      </c>
      <c r="U75" s="28">
        <v>6</v>
      </c>
      <c r="V75" s="28">
        <v>3679</v>
      </c>
      <c r="W75" s="28">
        <f>177-X75</f>
        <v>61.099999999999994</v>
      </c>
      <c r="X75" s="28">
        <v>115.9</v>
      </c>
    </row>
    <row r="76" spans="1:24" x14ac:dyDescent="0.2">
      <c r="A76" s="19">
        <f t="shared" si="16"/>
        <v>71</v>
      </c>
      <c r="B76" s="32" t="s">
        <v>5244</v>
      </c>
      <c r="C76" s="28">
        <v>1265</v>
      </c>
      <c r="D76" s="28">
        <v>343</v>
      </c>
      <c r="E76" s="28">
        <v>119.7</v>
      </c>
      <c r="F76" s="28">
        <v>152.80000000000001</v>
      </c>
      <c r="G76" s="28">
        <v>19584</v>
      </c>
      <c r="H76" s="28">
        <v>1000</v>
      </c>
      <c r="I76" s="28">
        <v>380.3</v>
      </c>
      <c r="J76" s="28">
        <v>310</v>
      </c>
      <c r="K76" s="28">
        <v>10</v>
      </c>
      <c r="L76" s="28">
        <v>10</v>
      </c>
      <c r="M76" s="28">
        <f t="shared" si="12"/>
        <v>41.668085106382982</v>
      </c>
      <c r="N76" s="28">
        <v>705</v>
      </c>
      <c r="O76" s="28">
        <f t="shared" si="14"/>
        <v>570.45000000000005</v>
      </c>
      <c r="P76" s="28">
        <f t="shared" si="15"/>
        <v>1352.2413793103449</v>
      </c>
      <c r="Q76" s="28">
        <f t="shared" si="13"/>
        <v>51.496187220615305</v>
      </c>
      <c r="R76" s="28"/>
      <c r="S76" s="32" t="s">
        <v>1434</v>
      </c>
      <c r="T76" s="28">
        <v>61.2</v>
      </c>
      <c r="U76" s="28">
        <v>6</v>
      </c>
      <c r="V76" s="28">
        <v>3921</v>
      </c>
      <c r="W76" s="28">
        <f>177-X76</f>
        <v>62.5</v>
      </c>
      <c r="X76" s="28">
        <v>114.5</v>
      </c>
    </row>
    <row r="77" spans="1:24" x14ac:dyDescent="0.2">
      <c r="A77" s="19">
        <f t="shared" si="16"/>
        <v>72</v>
      </c>
      <c r="B77" s="32" t="s">
        <v>5245</v>
      </c>
      <c r="C77" s="28">
        <v>1620</v>
      </c>
      <c r="D77" s="28">
        <v>419</v>
      </c>
      <c r="E77" s="28">
        <v>123.5</v>
      </c>
      <c r="F77" s="28">
        <v>157.30000000000001</v>
      </c>
      <c r="G77" s="28">
        <v>30726</v>
      </c>
      <c r="H77" s="28">
        <v>1200</v>
      </c>
      <c r="I77" s="28">
        <v>379.8</v>
      </c>
      <c r="J77" s="28">
        <v>380</v>
      </c>
      <c r="K77" s="28">
        <v>10.5</v>
      </c>
      <c r="L77" s="28">
        <v>9</v>
      </c>
      <c r="M77" s="28">
        <f t="shared" si="12"/>
        <v>37.943743139407246</v>
      </c>
      <c r="N77" s="28">
        <v>911</v>
      </c>
      <c r="O77" s="28">
        <f t="shared" si="14"/>
        <v>613.9704375</v>
      </c>
      <c r="P77" s="28">
        <f t="shared" si="15"/>
        <v>1714.7632311977716</v>
      </c>
      <c r="Q77" s="28">
        <f t="shared" si="13"/>
        <v>56.300349151582722</v>
      </c>
      <c r="R77" s="28"/>
      <c r="S77" s="32" t="s">
        <v>1434</v>
      </c>
      <c r="T77" s="28">
        <v>61.2</v>
      </c>
      <c r="U77" s="28">
        <v>6</v>
      </c>
      <c r="V77" s="28">
        <v>5777</v>
      </c>
      <c r="W77" s="28">
        <f>212-X77</f>
        <v>74.199999999999989</v>
      </c>
      <c r="X77" s="28">
        <v>137.80000000000001</v>
      </c>
    </row>
    <row r="78" spans="1:24" x14ac:dyDescent="0.2">
      <c r="A78" s="19">
        <f t="shared" si="16"/>
        <v>73</v>
      </c>
      <c r="B78" s="32" t="s">
        <v>5246</v>
      </c>
      <c r="C78" s="28">
        <v>1730</v>
      </c>
      <c r="D78" s="28">
        <v>422</v>
      </c>
      <c r="E78" s="28">
        <v>728.7</v>
      </c>
      <c r="F78" s="28">
        <v>164</v>
      </c>
      <c r="G78" s="28">
        <v>32870</v>
      </c>
      <c r="H78" s="28">
        <v>1200</v>
      </c>
      <c r="I78" s="28">
        <v>380</v>
      </c>
      <c r="J78" s="28">
        <v>380</v>
      </c>
      <c r="K78" s="28">
        <v>11.5</v>
      </c>
      <c r="L78" s="28">
        <v>9</v>
      </c>
      <c r="M78" s="28">
        <f t="shared" si="12"/>
        <v>38.220493879004721</v>
      </c>
      <c r="N78" s="28">
        <f>+(I78*K78*(J78-K78)/2+SQRT((J78-K78)^2+((H78-2*I78)/2)^2)*L78*(J78-K78)/4)/H78</f>
        <v>967.51104569878851</v>
      </c>
      <c r="O78" s="28">
        <f t="shared" si="14"/>
        <v>670.97708333333333</v>
      </c>
      <c r="P78" s="28">
        <f t="shared" si="15"/>
        <v>1841.4565826330531</v>
      </c>
      <c r="Q78" s="28">
        <f t="shared" si="13"/>
        <v>55.111792814583211</v>
      </c>
      <c r="R78" s="28"/>
      <c r="S78" s="32" t="s">
        <v>1434</v>
      </c>
      <c r="T78" s="28">
        <v>71.599999999999994</v>
      </c>
      <c r="U78" s="28">
        <v>6</v>
      </c>
      <c r="V78" s="28" t="s">
        <v>8808</v>
      </c>
      <c r="W78" s="28"/>
      <c r="X78" s="28"/>
    </row>
    <row r="79" spans="1:24" x14ac:dyDescent="0.2">
      <c r="A79" s="19">
        <f t="shared" si="16"/>
        <v>74</v>
      </c>
      <c r="B79" s="32" t="s">
        <v>5247</v>
      </c>
      <c r="C79" s="28">
        <v>2006</v>
      </c>
      <c r="D79" s="28">
        <v>475</v>
      </c>
      <c r="E79" s="28">
        <v>137.30000000000001</v>
      </c>
      <c r="F79" s="28">
        <v>174.9</v>
      </c>
      <c r="G79" s="28">
        <v>41127</v>
      </c>
      <c r="H79" s="28">
        <v>1200</v>
      </c>
      <c r="I79" s="28">
        <v>367.9</v>
      </c>
      <c r="J79" s="28">
        <v>410</v>
      </c>
      <c r="K79" s="28">
        <v>12.8</v>
      </c>
      <c r="L79" s="28">
        <v>9</v>
      </c>
      <c r="M79" s="28">
        <f t="shared" si="12"/>
        <v>41.017619680851062</v>
      </c>
      <c r="N79" s="28">
        <v>1128</v>
      </c>
      <c r="O79" s="28">
        <f t="shared" si="14"/>
        <v>779.35935999999992</v>
      </c>
      <c r="P79" s="28">
        <f t="shared" si="15"/>
        <v>2139.5941727367326</v>
      </c>
      <c r="Q79" s="28">
        <f t="shared" si="13"/>
        <v>59.366548186448938</v>
      </c>
      <c r="R79" s="28"/>
      <c r="S79" s="32" t="s">
        <v>1434</v>
      </c>
      <c r="T79" s="28">
        <v>66.5</v>
      </c>
      <c r="U79" s="28">
        <v>6</v>
      </c>
      <c r="V79" s="28" t="s">
        <v>8808</v>
      </c>
      <c r="W79" s="28"/>
      <c r="X79" s="28"/>
    </row>
    <row r="80" spans="1:24" x14ac:dyDescent="0.2">
      <c r="A80" s="19">
        <f t="shared" si="16"/>
        <v>75</v>
      </c>
      <c r="B80" s="32" t="s">
        <v>5248</v>
      </c>
      <c r="C80" s="28">
        <v>830</v>
      </c>
      <c r="D80" s="28">
        <v>263</v>
      </c>
      <c r="E80" s="28">
        <v>54.6</v>
      </c>
      <c r="F80" s="28">
        <v>116</v>
      </c>
      <c r="G80" s="28">
        <v>12863</v>
      </c>
      <c r="H80" s="28">
        <v>1200</v>
      </c>
      <c r="I80" s="28">
        <v>116</v>
      </c>
      <c r="J80" s="28">
        <v>310</v>
      </c>
      <c r="K80" s="28">
        <v>8.1999999999999993</v>
      </c>
      <c r="L80" s="28">
        <v>8</v>
      </c>
      <c r="M80" s="28">
        <f t="shared" si="12"/>
        <v>31.641962289565186</v>
      </c>
      <c r="N80" s="28">
        <f t="shared" ref="N80:N111" si="17">+(I80*K80*(J80-K80)/2+SQRT((J80-K80)^2+((H80-2*I80)/2)^2)*L80*(J80-K80)/4)/H80</f>
        <v>406.51713955938601</v>
      </c>
      <c r="O80" s="28">
        <f t="shared" si="14"/>
        <v>119.61339999999998</v>
      </c>
      <c r="P80" s="28">
        <f t="shared" si="15"/>
        <v>876.36239782016344</v>
      </c>
      <c r="Q80" s="28">
        <f t="shared" si="13"/>
        <v>107.53811863888161</v>
      </c>
      <c r="R80" s="28"/>
      <c r="S80" s="32" t="s">
        <v>1434</v>
      </c>
      <c r="T80" s="28">
        <v>72.599999999999994</v>
      </c>
      <c r="U80" s="28">
        <v>7</v>
      </c>
      <c r="V80" s="28" t="s">
        <v>8808</v>
      </c>
      <c r="W80" s="28"/>
      <c r="X80" s="28"/>
    </row>
    <row r="81" spans="1:24" x14ac:dyDescent="0.2">
      <c r="A81" s="19">
        <f t="shared" si="16"/>
        <v>76</v>
      </c>
      <c r="B81" s="32" t="s">
        <v>5249</v>
      </c>
      <c r="C81" s="28">
        <v>1208</v>
      </c>
      <c r="D81" s="28">
        <v>272</v>
      </c>
      <c r="E81" s="28">
        <v>63.9</v>
      </c>
      <c r="F81" s="28">
        <v>136</v>
      </c>
      <c r="G81" s="28">
        <v>18727</v>
      </c>
      <c r="H81" s="28">
        <v>1200</v>
      </c>
      <c r="I81" s="28">
        <v>136</v>
      </c>
      <c r="J81" s="28">
        <v>310</v>
      </c>
      <c r="K81" s="28">
        <v>9.6999999999999993</v>
      </c>
      <c r="L81" s="28">
        <v>8.1999999999999993</v>
      </c>
      <c r="M81" s="28">
        <f t="shared" si="12"/>
        <v>42.788460131140454</v>
      </c>
      <c r="N81" s="28">
        <f t="shared" si="17"/>
        <v>448.60635183340452</v>
      </c>
      <c r="O81" s="28">
        <f t="shared" si="14"/>
        <v>165.06489999999997</v>
      </c>
      <c r="P81" s="28">
        <f t="shared" si="15"/>
        <v>1288.6441844459737</v>
      </c>
      <c r="Q81" s="28">
        <f t="shared" si="13"/>
        <v>116.28865373559127</v>
      </c>
      <c r="R81" s="28"/>
      <c r="S81" s="32" t="s">
        <v>1434</v>
      </c>
      <c r="T81" s="28">
        <v>72.599999999999994</v>
      </c>
      <c r="U81" s="28">
        <v>7</v>
      </c>
      <c r="V81" s="28" t="s">
        <v>8808</v>
      </c>
      <c r="W81" s="28"/>
      <c r="X81" s="28"/>
    </row>
    <row r="82" spans="1:24" x14ac:dyDescent="0.2">
      <c r="A82" s="19">
        <f t="shared" si="16"/>
        <v>77</v>
      </c>
      <c r="B82" s="32" t="s">
        <v>5250</v>
      </c>
      <c r="C82" s="28">
        <v>124</v>
      </c>
      <c r="D82" s="28">
        <v>272</v>
      </c>
      <c r="E82" s="28">
        <v>65.3</v>
      </c>
      <c r="F82" s="28">
        <v>139</v>
      </c>
      <c r="G82" s="28">
        <v>19217</v>
      </c>
      <c r="H82" s="28">
        <v>1200</v>
      </c>
      <c r="I82" s="28">
        <v>139</v>
      </c>
      <c r="J82" s="28">
        <v>310</v>
      </c>
      <c r="K82" s="28">
        <v>10</v>
      </c>
      <c r="L82" s="28">
        <v>8.3000000000000007</v>
      </c>
      <c r="M82" s="28">
        <f t="shared" si="12"/>
        <v>43.430267991294379</v>
      </c>
      <c r="N82" s="28">
        <f t="shared" si="17"/>
        <v>459.07240323721953</v>
      </c>
      <c r="O82" s="28">
        <f t="shared" si="14"/>
        <v>173.75</v>
      </c>
      <c r="P82" s="28">
        <f t="shared" si="15"/>
        <v>132.55172413793105</v>
      </c>
      <c r="Q82" s="28">
        <f t="shared" si="13"/>
        <v>114.74899280575541</v>
      </c>
      <c r="R82" s="28"/>
      <c r="S82" s="32" t="s">
        <v>1434</v>
      </c>
      <c r="T82" s="28">
        <v>72.599999999999994</v>
      </c>
      <c r="U82" s="28">
        <v>7</v>
      </c>
      <c r="V82" s="28" t="s">
        <v>8808</v>
      </c>
      <c r="W82" s="28"/>
      <c r="X82" s="28"/>
    </row>
    <row r="83" spans="1:24" x14ac:dyDescent="0.2">
      <c r="A83" s="19">
        <f t="shared" si="16"/>
        <v>78</v>
      </c>
      <c r="B83" s="32" t="s">
        <v>4813</v>
      </c>
      <c r="C83" s="28">
        <v>1282</v>
      </c>
      <c r="D83" s="28">
        <v>1</v>
      </c>
      <c r="E83" s="28">
        <v>70.8</v>
      </c>
      <c r="F83" s="28">
        <v>155</v>
      </c>
      <c r="G83" s="28">
        <v>19866</v>
      </c>
      <c r="H83" s="28">
        <v>1200</v>
      </c>
      <c r="I83" s="28">
        <v>155</v>
      </c>
      <c r="J83" s="28">
        <v>310</v>
      </c>
      <c r="K83" s="28">
        <v>10</v>
      </c>
      <c r="L83" s="28">
        <v>10</v>
      </c>
      <c r="M83" s="28">
        <f t="shared" si="12"/>
        <v>46.926841861334616</v>
      </c>
      <c r="N83" s="28">
        <f t="shared" si="17"/>
        <v>529.17475404328763</v>
      </c>
      <c r="O83" s="28">
        <f t="shared" si="14"/>
        <v>193.75</v>
      </c>
      <c r="P83" s="28">
        <f t="shared" si="15"/>
        <v>1370.4137931034484</v>
      </c>
      <c r="Q83" s="28">
        <f t="shared" si="13"/>
        <v>128.16774193548386</v>
      </c>
      <c r="R83" s="28"/>
      <c r="S83" s="32" t="s">
        <v>1434</v>
      </c>
      <c r="T83" s="28">
        <v>72.599999999999994</v>
      </c>
      <c r="U83" s="28">
        <v>7</v>
      </c>
      <c r="V83" s="28" t="s">
        <v>8808</v>
      </c>
      <c r="W83" s="28"/>
      <c r="X83" s="28"/>
    </row>
    <row r="84" spans="1:24" x14ac:dyDescent="0.2">
      <c r="A84" s="19">
        <f t="shared" si="16"/>
        <v>79</v>
      </c>
      <c r="B84" s="32" t="s">
        <v>4814</v>
      </c>
      <c r="C84" s="28">
        <v>1641</v>
      </c>
      <c r="D84" s="28">
        <v>403</v>
      </c>
      <c r="E84" s="28">
        <v>74.099999999999994</v>
      </c>
      <c r="F84" s="28">
        <v>157</v>
      </c>
      <c r="G84" s="28">
        <v>31184</v>
      </c>
      <c r="H84" s="28">
        <v>1200</v>
      </c>
      <c r="I84" s="28">
        <v>157</v>
      </c>
      <c r="J84" s="28">
        <v>380</v>
      </c>
      <c r="K84" s="28">
        <v>10.5</v>
      </c>
      <c r="L84" s="28">
        <v>9</v>
      </c>
      <c r="M84" s="28">
        <f t="shared" si="12"/>
        <v>53.686266327072332</v>
      </c>
      <c r="N84" s="28">
        <f t="shared" si="17"/>
        <v>653.46321135968492</v>
      </c>
      <c r="O84" s="28">
        <f t="shared" si="14"/>
        <v>253.80031249999999</v>
      </c>
      <c r="P84" s="28">
        <f t="shared" si="15"/>
        <v>1736.9916434540389</v>
      </c>
      <c r="Q84" s="28">
        <f t="shared" si="13"/>
        <v>138.22678015812136</v>
      </c>
      <c r="R84" s="28"/>
      <c r="S84" s="32" t="s">
        <v>1434</v>
      </c>
      <c r="T84" s="28">
        <v>72.599999999999994</v>
      </c>
      <c r="U84" s="28">
        <v>7</v>
      </c>
      <c r="V84" s="28" t="s">
        <v>8808</v>
      </c>
      <c r="W84" s="28"/>
      <c r="X84" s="28"/>
    </row>
    <row r="85" spans="1:24" x14ac:dyDescent="0.2">
      <c r="A85" s="19">
        <f t="shared" si="16"/>
        <v>80</v>
      </c>
      <c r="B85" s="32" t="s">
        <v>4815</v>
      </c>
      <c r="C85" s="28">
        <v>2023</v>
      </c>
      <c r="D85" s="28">
        <v>531</v>
      </c>
      <c r="E85" s="28">
        <v>83.2</v>
      </c>
      <c r="F85" s="28">
        <v>177</v>
      </c>
      <c r="G85" s="28">
        <v>43484</v>
      </c>
      <c r="H85" s="28">
        <v>1200</v>
      </c>
      <c r="I85" s="28">
        <v>177</v>
      </c>
      <c r="J85" s="28">
        <v>430</v>
      </c>
      <c r="K85" s="28">
        <v>12.5</v>
      </c>
      <c r="L85" s="28">
        <v>9</v>
      </c>
      <c r="M85" s="28">
        <f t="shared" si="12"/>
        <v>57.543116109813155</v>
      </c>
      <c r="N85" s="28">
        <f t="shared" si="17"/>
        <v>850.1364421531124</v>
      </c>
      <c r="O85" s="28">
        <f t="shared" si="14"/>
        <v>384.8828125</v>
      </c>
      <c r="P85" s="28">
        <f t="shared" si="15"/>
        <v>2147.8765432098767</v>
      </c>
      <c r="Q85" s="28">
        <f t="shared" si="13"/>
        <v>127.10232416522886</v>
      </c>
      <c r="R85" s="28"/>
      <c r="S85" s="32" t="s">
        <v>1434</v>
      </c>
      <c r="T85" s="28">
        <v>72.599999999999994</v>
      </c>
      <c r="U85" s="28">
        <v>7</v>
      </c>
      <c r="V85" s="28" t="s">
        <v>8808</v>
      </c>
      <c r="W85" s="28"/>
      <c r="X85" s="28"/>
    </row>
    <row r="86" spans="1:24" x14ac:dyDescent="0.2">
      <c r="A86" s="19">
        <f t="shared" si="16"/>
        <v>81</v>
      </c>
      <c r="B86" s="32" t="s">
        <v>1085</v>
      </c>
      <c r="C86" s="28">
        <v>2009</v>
      </c>
      <c r="D86" s="28">
        <v>601</v>
      </c>
      <c r="E86" s="28">
        <v>84.3</v>
      </c>
      <c r="F86" s="28">
        <v>179</v>
      </c>
      <c r="G86" s="28">
        <v>45197</v>
      </c>
      <c r="H86" s="28">
        <v>1200</v>
      </c>
      <c r="I86" s="28">
        <v>179</v>
      </c>
      <c r="J86" s="28">
        <v>450</v>
      </c>
      <c r="K86" s="28">
        <v>11.2</v>
      </c>
      <c r="L86" s="28">
        <v>10</v>
      </c>
      <c r="M86" s="28">
        <f t="shared" si="12"/>
        <v>61.245890850765697</v>
      </c>
      <c r="N86" s="28">
        <f t="shared" si="17"/>
        <v>922.44964054259788</v>
      </c>
      <c r="O86" s="28">
        <f t="shared" si="14"/>
        <v>366.54426666666666</v>
      </c>
      <c r="P86" s="28">
        <f t="shared" si="15"/>
        <v>2114.2422825070157</v>
      </c>
      <c r="Q86" s="28">
        <f t="shared" si="13"/>
        <v>154.13213392688905</v>
      </c>
      <c r="R86" s="28"/>
      <c r="S86" s="32" t="s">
        <v>1434</v>
      </c>
      <c r="T86" s="28">
        <v>72.599999999999994</v>
      </c>
      <c r="U86" s="28">
        <v>7</v>
      </c>
      <c r="V86" s="28" t="s">
        <v>8808</v>
      </c>
      <c r="W86" s="28"/>
      <c r="X86" s="28"/>
    </row>
    <row r="87" spans="1:24" x14ac:dyDescent="0.2">
      <c r="A87" s="19">
        <f t="shared" si="16"/>
        <v>82</v>
      </c>
      <c r="B87" s="32" t="s">
        <v>1086</v>
      </c>
      <c r="C87" s="28">
        <v>2488</v>
      </c>
      <c r="D87" s="28">
        <v>577</v>
      </c>
      <c r="E87" s="28">
        <v>95</v>
      </c>
      <c r="F87" s="28">
        <v>202</v>
      </c>
      <c r="G87" s="28">
        <v>57233</v>
      </c>
      <c r="H87" s="28">
        <v>1200</v>
      </c>
      <c r="I87" s="28">
        <v>202</v>
      </c>
      <c r="J87" s="28">
        <v>460</v>
      </c>
      <c r="K87" s="28">
        <v>13.5</v>
      </c>
      <c r="L87" s="28">
        <v>10</v>
      </c>
      <c r="M87" s="28">
        <f t="shared" si="12"/>
        <v>67.255311988462168</v>
      </c>
      <c r="N87" s="28">
        <f t="shared" si="17"/>
        <v>1063.7263865830121</v>
      </c>
      <c r="O87" s="28">
        <f t="shared" si="14"/>
        <v>507.33562499999999</v>
      </c>
      <c r="P87" s="28">
        <f t="shared" si="15"/>
        <v>2643.1408775981522</v>
      </c>
      <c r="Q87" s="28">
        <f t="shared" si="13"/>
        <v>141.01365343701224</v>
      </c>
      <c r="R87" s="28"/>
      <c r="S87" s="32" t="s">
        <v>1434</v>
      </c>
      <c r="T87" s="28">
        <v>72.599999999999994</v>
      </c>
      <c r="U87" s="28">
        <v>7</v>
      </c>
      <c r="V87" s="28" t="s">
        <v>8808</v>
      </c>
      <c r="W87" s="28"/>
      <c r="X87" s="28"/>
    </row>
    <row r="88" spans="1:24" x14ac:dyDescent="0.2">
      <c r="A88" s="19">
        <f t="shared" si="16"/>
        <v>83</v>
      </c>
      <c r="B88" s="32" t="s">
        <v>1087</v>
      </c>
      <c r="C88" s="28">
        <v>2544</v>
      </c>
      <c r="D88" s="28">
        <v>636</v>
      </c>
      <c r="E88" s="28">
        <v>100</v>
      </c>
      <c r="F88" s="28">
        <v>212</v>
      </c>
      <c r="G88" s="28">
        <v>57246</v>
      </c>
      <c r="H88" s="28">
        <v>1200</v>
      </c>
      <c r="I88" s="28">
        <v>212</v>
      </c>
      <c r="J88" s="28">
        <v>450</v>
      </c>
      <c r="K88" s="28">
        <v>15</v>
      </c>
      <c r="L88" s="28">
        <v>11</v>
      </c>
      <c r="M88" s="28">
        <f t="shared" si="12"/>
        <v>68.005714741880269</v>
      </c>
      <c r="N88" s="28">
        <f t="shared" si="17"/>
        <v>1157.4505216033804</v>
      </c>
      <c r="O88" s="28">
        <f t="shared" si="14"/>
        <v>576.375</v>
      </c>
      <c r="P88" s="28">
        <f t="shared" si="15"/>
        <v>2725.7142857142858</v>
      </c>
      <c r="Q88" s="28">
        <f t="shared" si="13"/>
        <v>136.56603773584908</v>
      </c>
      <c r="R88" s="28"/>
      <c r="S88" s="32" t="s">
        <v>1434</v>
      </c>
      <c r="T88" s="28">
        <v>72.599999999999994</v>
      </c>
      <c r="U88" s="28">
        <v>7</v>
      </c>
      <c r="V88" s="28" t="s">
        <v>8808</v>
      </c>
      <c r="W88" s="28"/>
      <c r="X88" s="28"/>
    </row>
    <row r="89" spans="1:24" x14ac:dyDescent="0.2">
      <c r="A89" s="19">
        <f t="shared" si="16"/>
        <v>84</v>
      </c>
      <c r="B89" s="32" t="s">
        <v>1088</v>
      </c>
      <c r="C89" s="28">
        <v>3209</v>
      </c>
      <c r="D89" s="28">
        <v>632</v>
      </c>
      <c r="E89" s="28">
        <v>114.4</v>
      </c>
      <c r="F89" s="28">
        <v>243</v>
      </c>
      <c r="G89" s="28">
        <v>73802</v>
      </c>
      <c r="H89" s="28">
        <v>1200</v>
      </c>
      <c r="I89" s="28">
        <v>243</v>
      </c>
      <c r="J89" s="28">
        <v>460</v>
      </c>
      <c r="K89" s="28">
        <v>19</v>
      </c>
      <c r="L89" s="28">
        <v>1.1000000000000001</v>
      </c>
      <c r="M89" s="28">
        <f t="shared" si="12"/>
        <v>11.204153255207542</v>
      </c>
      <c r="N89" s="28">
        <f t="shared" si="17"/>
        <v>905.71547611448898</v>
      </c>
      <c r="O89" s="28">
        <f t="shared" si="14"/>
        <v>848.37374999999997</v>
      </c>
      <c r="P89" s="28">
        <f t="shared" si="15"/>
        <v>3497.9620853080569</v>
      </c>
      <c r="Q89" s="28">
        <f t="shared" si="13"/>
        <v>11.961443880129483</v>
      </c>
      <c r="R89" s="28"/>
      <c r="S89" s="32" t="s">
        <v>1434</v>
      </c>
      <c r="T89" s="28">
        <v>72.599999999999994</v>
      </c>
      <c r="U89" s="28">
        <v>7</v>
      </c>
      <c r="V89" s="28" t="s">
        <v>8808</v>
      </c>
      <c r="W89" s="28"/>
      <c r="X89" s="28"/>
    </row>
    <row r="90" spans="1:24" x14ac:dyDescent="0.2">
      <c r="A90" s="19">
        <f t="shared" si="16"/>
        <v>85</v>
      </c>
      <c r="B90" s="32" t="s">
        <v>1089</v>
      </c>
      <c r="C90" s="28">
        <v>3348</v>
      </c>
      <c r="D90" s="28">
        <v>668</v>
      </c>
      <c r="E90" s="28">
        <v>126.5</v>
      </c>
      <c r="F90" s="28">
        <v>269</v>
      </c>
      <c r="G90" s="28">
        <v>75325</v>
      </c>
      <c r="H90" s="28">
        <v>1200</v>
      </c>
      <c r="I90" s="28">
        <v>269</v>
      </c>
      <c r="J90" s="28">
        <v>450</v>
      </c>
      <c r="K90" s="28">
        <v>21.5</v>
      </c>
      <c r="L90" s="28">
        <v>13</v>
      </c>
      <c r="M90" s="28">
        <f t="shared" si="12"/>
        <v>73.693970984528832</v>
      </c>
      <c r="N90" s="28">
        <f t="shared" si="17"/>
        <v>1660.9652508167469</v>
      </c>
      <c r="O90" s="28">
        <f t="shared" si="14"/>
        <v>1032.5957291666666</v>
      </c>
      <c r="P90" s="28">
        <f t="shared" si="15"/>
        <v>3701.7199017199018</v>
      </c>
      <c r="Q90" s="28">
        <f t="shared" si="13"/>
        <v>118.53925165735744</v>
      </c>
      <c r="R90" s="28"/>
      <c r="S90" s="32" t="s">
        <v>1434</v>
      </c>
      <c r="T90" s="28">
        <v>72.599999999999994</v>
      </c>
      <c r="U90" s="28">
        <v>7</v>
      </c>
      <c r="V90" s="28" t="s">
        <v>8808</v>
      </c>
      <c r="W90" s="28"/>
      <c r="X90" s="28"/>
    </row>
    <row r="91" spans="1:24" x14ac:dyDescent="0.2">
      <c r="A91" s="19">
        <f t="shared" si="16"/>
        <v>86</v>
      </c>
      <c r="B91" s="32" t="s">
        <v>1090</v>
      </c>
      <c r="C91" s="28">
        <v>3805</v>
      </c>
      <c r="D91" s="28">
        <v>814</v>
      </c>
      <c r="E91" s="28">
        <v>140.4</v>
      </c>
      <c r="F91" s="28">
        <v>298</v>
      </c>
      <c r="G91" s="28">
        <v>87511</v>
      </c>
      <c r="H91" s="28">
        <v>1200</v>
      </c>
      <c r="I91" s="28">
        <v>298</v>
      </c>
      <c r="J91" s="28">
        <v>460</v>
      </c>
      <c r="K91" s="28">
        <v>22.5</v>
      </c>
      <c r="L91" s="28">
        <v>14.5</v>
      </c>
      <c r="M91" s="28">
        <f t="shared" si="12"/>
        <v>82.403121740439374</v>
      </c>
      <c r="N91" s="28">
        <f t="shared" si="17"/>
        <v>1924.8504686462654</v>
      </c>
      <c r="O91" s="28">
        <f t="shared" si="14"/>
        <v>1222.265625</v>
      </c>
      <c r="P91" s="28">
        <f t="shared" si="15"/>
        <v>4217.5903614457829</v>
      </c>
      <c r="Q91" s="28">
        <f t="shared" si="13"/>
        <v>129.77022690955576</v>
      </c>
      <c r="R91" s="28"/>
      <c r="S91" s="32" t="s">
        <v>1434</v>
      </c>
      <c r="T91" s="28">
        <v>72.599999999999994</v>
      </c>
      <c r="U91" s="28">
        <v>7</v>
      </c>
      <c r="V91" s="28" t="s">
        <v>8808</v>
      </c>
      <c r="W91" s="28"/>
      <c r="X91" s="28"/>
    </row>
    <row r="92" spans="1:24" x14ac:dyDescent="0.2">
      <c r="A92" s="19">
        <f t="shared" si="16"/>
        <v>87</v>
      </c>
      <c r="B92" s="32" t="s">
        <v>1091</v>
      </c>
      <c r="C92" s="28">
        <v>614</v>
      </c>
      <c r="D92" s="28">
        <v>1</v>
      </c>
      <c r="E92" s="28">
        <v>44.8</v>
      </c>
      <c r="F92" s="28">
        <v>109</v>
      </c>
      <c r="G92" s="28">
        <v>6508</v>
      </c>
      <c r="H92" s="28">
        <v>525</v>
      </c>
      <c r="I92" s="28">
        <v>109</v>
      </c>
      <c r="J92" s="28">
        <v>212</v>
      </c>
      <c r="K92" s="28">
        <v>7.8</v>
      </c>
      <c r="L92" s="28">
        <v>6.4</v>
      </c>
      <c r="M92" s="28">
        <f t="shared" si="12"/>
        <v>36.692919683403808</v>
      </c>
      <c r="N92" s="28">
        <f t="shared" si="17"/>
        <v>324.32259301854839</v>
      </c>
      <c r="O92" s="28">
        <f t="shared" si="14"/>
        <v>165.34365714285713</v>
      </c>
      <c r="P92" s="28">
        <f t="shared" si="15"/>
        <v>662.76985743380851</v>
      </c>
      <c r="Q92" s="28">
        <f t="shared" si="13"/>
        <v>71.973385993639567</v>
      </c>
      <c r="R92" s="28"/>
      <c r="S92" s="32" t="s">
        <v>1434</v>
      </c>
      <c r="T92" s="28">
        <v>72.599999999999994</v>
      </c>
      <c r="U92" s="28">
        <v>8</v>
      </c>
      <c r="V92" s="28" t="s">
        <v>8808</v>
      </c>
      <c r="W92" s="28"/>
      <c r="X92" s="28"/>
    </row>
    <row r="93" spans="1:24" x14ac:dyDescent="0.2">
      <c r="A93" s="19">
        <f t="shared" si="16"/>
        <v>88</v>
      </c>
      <c r="B93" s="32" t="s">
        <v>1092</v>
      </c>
      <c r="C93" s="28">
        <v>2029</v>
      </c>
      <c r="D93" s="28">
        <v>1</v>
      </c>
      <c r="E93" s="28">
        <v>80.7</v>
      </c>
      <c r="F93" s="28">
        <v>196</v>
      </c>
      <c r="G93" s="28">
        <v>40574</v>
      </c>
      <c r="H93" s="28">
        <v>525</v>
      </c>
      <c r="I93" s="28">
        <v>196</v>
      </c>
      <c r="J93" s="28">
        <v>400</v>
      </c>
      <c r="K93" s="28">
        <v>11.3</v>
      </c>
      <c r="L93" s="28">
        <v>10</v>
      </c>
      <c r="M93" s="28">
        <f t="shared" si="12"/>
        <v>74.799649076141122</v>
      </c>
      <c r="N93" s="28">
        <f t="shared" si="17"/>
        <v>1549.8162854709321</v>
      </c>
      <c r="O93" s="28">
        <f t="shared" si="14"/>
        <v>819.89786666666669</v>
      </c>
      <c r="P93" s="28">
        <f t="shared" si="15"/>
        <v>2150.5034446210916</v>
      </c>
      <c r="Q93" s="28">
        <f t="shared" si="13"/>
        <v>141.3904328803973</v>
      </c>
      <c r="R93" s="28"/>
      <c r="S93" s="32" t="s">
        <v>1434</v>
      </c>
      <c r="T93" s="28">
        <v>72.599999999999994</v>
      </c>
      <c r="U93" s="28">
        <v>8</v>
      </c>
      <c r="V93" s="28" t="s">
        <v>8808</v>
      </c>
      <c r="W93" s="28"/>
      <c r="X93" s="28"/>
    </row>
    <row r="94" spans="1:24" x14ac:dyDescent="0.2">
      <c r="A94" s="19">
        <f t="shared" si="16"/>
        <v>89</v>
      </c>
      <c r="B94" s="32" t="s">
        <v>6280</v>
      </c>
      <c r="C94" s="28">
        <v>876</v>
      </c>
      <c r="D94" s="28">
        <v>140</v>
      </c>
      <c r="E94" s="28">
        <v>49.4</v>
      </c>
      <c r="F94" s="28">
        <v>157</v>
      </c>
      <c r="G94" s="28">
        <v>8756</v>
      </c>
      <c r="H94" s="28">
        <v>400</v>
      </c>
      <c r="I94" s="28">
        <v>157</v>
      </c>
      <c r="J94" s="28">
        <v>200</v>
      </c>
      <c r="K94" s="28">
        <v>10.5</v>
      </c>
      <c r="L94" s="28">
        <v>8.6</v>
      </c>
      <c r="M94" s="28">
        <f t="shared" si="12"/>
        <v>47.990284442283368</v>
      </c>
      <c r="N94" s="28">
        <f t="shared" si="17"/>
        <v>588.4128491457725</v>
      </c>
      <c r="O94" s="28">
        <f t="shared" si="14"/>
        <v>390.48843749999997</v>
      </c>
      <c r="P94" s="28">
        <f t="shared" si="15"/>
        <v>978.77094972067039</v>
      </c>
      <c r="Q94" s="28">
        <f t="shared" si="13"/>
        <v>72.314817260114125</v>
      </c>
      <c r="R94" s="28"/>
      <c r="S94" s="32" t="s">
        <v>1434</v>
      </c>
      <c r="T94" s="28">
        <v>72.599999999999994</v>
      </c>
      <c r="U94" s="28">
        <v>8</v>
      </c>
      <c r="V94" s="28" t="s">
        <v>8808</v>
      </c>
      <c r="W94" s="28"/>
      <c r="X94" s="28"/>
    </row>
    <row r="95" spans="1:24" x14ac:dyDescent="0.2">
      <c r="A95" s="19">
        <f t="shared" si="16"/>
        <v>90</v>
      </c>
      <c r="B95" s="32" t="s">
        <v>6281</v>
      </c>
      <c r="C95" s="28">
        <v>1305</v>
      </c>
      <c r="D95" s="28">
        <v>228</v>
      </c>
      <c r="E95" s="28">
        <v>60.1</v>
      </c>
      <c r="F95" s="28">
        <v>191</v>
      </c>
      <c r="G95" s="28">
        <v>16316</v>
      </c>
      <c r="H95" s="28">
        <v>400</v>
      </c>
      <c r="I95" s="28">
        <v>191</v>
      </c>
      <c r="J95" s="28">
        <v>250</v>
      </c>
      <c r="K95" s="28">
        <v>13.5</v>
      </c>
      <c r="L95" s="28">
        <v>8.6</v>
      </c>
      <c r="M95" s="28">
        <f t="shared" si="12"/>
        <v>49.494859960031548</v>
      </c>
      <c r="N95" s="28">
        <f t="shared" si="17"/>
        <v>1063.1225149943118</v>
      </c>
      <c r="O95" s="28">
        <f t="shared" si="14"/>
        <v>762.26906250000002</v>
      </c>
      <c r="P95" s="28">
        <f t="shared" si="15"/>
        <v>1463.0044843049327</v>
      </c>
      <c r="Q95" s="28">
        <f t="shared" si="13"/>
        <v>69.029562642128099</v>
      </c>
      <c r="R95" s="28"/>
      <c r="S95" s="32" t="s">
        <v>1434</v>
      </c>
      <c r="T95" s="28">
        <v>72.599999999999994</v>
      </c>
      <c r="U95" s="28">
        <v>8</v>
      </c>
      <c r="V95" s="28" t="s">
        <v>8808</v>
      </c>
      <c r="W95" s="28"/>
      <c r="X95" s="28"/>
    </row>
    <row r="96" spans="1:24" x14ac:dyDescent="0.2">
      <c r="A96" s="19">
        <f t="shared" si="16"/>
        <v>91</v>
      </c>
      <c r="B96" s="32" t="s">
        <v>6255</v>
      </c>
      <c r="C96" s="28">
        <v>2279</v>
      </c>
      <c r="D96" s="28">
        <v>355</v>
      </c>
      <c r="E96" s="28">
        <v>76.099999999999994</v>
      </c>
      <c r="F96" s="28">
        <v>242</v>
      </c>
      <c r="G96" s="28">
        <v>36742</v>
      </c>
      <c r="H96" s="28">
        <v>400</v>
      </c>
      <c r="I96" s="28">
        <v>242</v>
      </c>
      <c r="J96" s="28">
        <v>340</v>
      </c>
      <c r="K96" s="28">
        <v>15.5</v>
      </c>
      <c r="L96" s="28">
        <v>9.6999999999999993</v>
      </c>
      <c r="M96" s="28">
        <f t="shared" si="12"/>
        <v>61.725747911852466</v>
      </c>
      <c r="N96" s="28">
        <f t="shared" si="17"/>
        <v>2165.2070573670107</v>
      </c>
      <c r="O96" s="28">
        <f t="shared" si="14"/>
        <v>1521.4993750000001</v>
      </c>
      <c r="P96" s="28">
        <f t="shared" si="15"/>
        <v>2507.6375404530745</v>
      </c>
      <c r="Q96" s="28">
        <f t="shared" si="13"/>
        <v>87.840341702407855</v>
      </c>
      <c r="R96" s="28"/>
      <c r="S96" s="32" t="s">
        <v>1434</v>
      </c>
      <c r="T96" s="28">
        <v>72.599999999999994</v>
      </c>
      <c r="U96" s="28">
        <v>8</v>
      </c>
      <c r="V96" s="28" t="s">
        <v>8808</v>
      </c>
      <c r="W96" s="28"/>
      <c r="X96" s="28"/>
    </row>
    <row r="97" spans="1:24" x14ac:dyDescent="0.2">
      <c r="A97" s="19">
        <f t="shared" si="16"/>
        <v>92</v>
      </c>
      <c r="B97" s="32" t="s">
        <v>6256</v>
      </c>
      <c r="C97" s="28">
        <v>4211</v>
      </c>
      <c r="D97" s="28">
        <v>1</v>
      </c>
      <c r="E97" s="28">
        <v>13.3</v>
      </c>
      <c r="F97" s="28">
        <v>339</v>
      </c>
      <c r="G97" s="28">
        <v>94755</v>
      </c>
      <c r="H97" s="28">
        <v>500</v>
      </c>
      <c r="I97" s="28">
        <v>339</v>
      </c>
      <c r="J97" s="28">
        <v>450</v>
      </c>
      <c r="K97" s="28">
        <v>20.5</v>
      </c>
      <c r="L97" s="28">
        <v>14</v>
      </c>
      <c r="M97" s="28">
        <f t="shared" si="12"/>
        <v>92.475390965754116</v>
      </c>
      <c r="N97" s="28">
        <f t="shared" si="17"/>
        <v>4303.5341169563517</v>
      </c>
      <c r="O97" s="28">
        <f t="shared" si="14"/>
        <v>2984.81025</v>
      </c>
      <c r="P97" s="28">
        <f t="shared" si="15"/>
        <v>4633.1295843520784</v>
      </c>
      <c r="Q97" s="28">
        <f t="shared" si="13"/>
        <v>133.33209372354574</v>
      </c>
      <c r="R97" s="28"/>
      <c r="S97" s="32" t="s">
        <v>1434</v>
      </c>
      <c r="T97" s="28">
        <v>72.599999999999994</v>
      </c>
      <c r="U97" s="28">
        <v>8</v>
      </c>
      <c r="V97" s="28" t="s">
        <v>8808</v>
      </c>
      <c r="W97" s="28"/>
      <c r="X97" s="28"/>
    </row>
    <row r="98" spans="1:24" x14ac:dyDescent="0.2">
      <c r="A98" s="19">
        <f t="shared" si="16"/>
        <v>93</v>
      </c>
      <c r="B98" s="32" t="s">
        <v>6257</v>
      </c>
      <c r="C98" s="28">
        <v>4187</v>
      </c>
      <c r="D98" s="28">
        <v>1</v>
      </c>
      <c r="E98" s="28">
        <v>122.5</v>
      </c>
      <c r="F98" s="28">
        <v>371</v>
      </c>
      <c r="G98" s="28">
        <v>92115</v>
      </c>
      <c r="H98" s="28">
        <v>420</v>
      </c>
      <c r="I98" s="28">
        <v>371</v>
      </c>
      <c r="J98" s="28">
        <v>440</v>
      </c>
      <c r="K98" s="28">
        <v>22</v>
      </c>
      <c r="L98" s="28">
        <v>14</v>
      </c>
      <c r="M98" s="28">
        <f t="shared" si="12"/>
        <v>81.9255781213256</v>
      </c>
      <c r="N98" s="28">
        <f t="shared" si="17"/>
        <v>5621.8706118609643</v>
      </c>
      <c r="O98" s="28">
        <f t="shared" si="14"/>
        <v>4061.5666666666666</v>
      </c>
      <c r="P98" s="28">
        <f t="shared" si="15"/>
        <v>4652.2222222222226</v>
      </c>
      <c r="Q98" s="28">
        <f t="shared" si="13"/>
        <v>113.39836023865996</v>
      </c>
      <c r="R98" s="28"/>
      <c r="S98" s="32" t="s">
        <v>1434</v>
      </c>
      <c r="T98" s="28">
        <v>72.599999999999994</v>
      </c>
      <c r="U98" s="28">
        <v>8</v>
      </c>
      <c r="V98" s="28" t="s">
        <v>8808</v>
      </c>
      <c r="W98" s="28"/>
      <c r="X98" s="28"/>
    </row>
    <row r="99" spans="1:24" x14ac:dyDescent="0.2">
      <c r="A99" s="19">
        <f t="shared" si="16"/>
        <v>94</v>
      </c>
      <c r="B99" s="32" t="s">
        <v>6258</v>
      </c>
      <c r="C99" s="28">
        <v>4618</v>
      </c>
      <c r="D99" s="28">
        <v>777</v>
      </c>
      <c r="E99" s="28">
        <v>130.69999999999999</v>
      </c>
      <c r="F99" s="28">
        <v>396</v>
      </c>
      <c r="G99" s="28">
        <v>101598</v>
      </c>
      <c r="H99" s="28">
        <v>420</v>
      </c>
      <c r="I99" s="28">
        <v>396</v>
      </c>
      <c r="J99" s="28">
        <v>440</v>
      </c>
      <c r="K99" s="28">
        <v>25.4</v>
      </c>
      <c r="L99" s="28">
        <v>14</v>
      </c>
      <c r="M99" s="28">
        <f t="shared" si="12"/>
        <v>77.739354881453863</v>
      </c>
      <c r="N99" s="28">
        <f t="shared" si="17"/>
        <v>6534.528113522977</v>
      </c>
      <c r="O99" s="28">
        <f t="shared" si="14"/>
        <v>4964.5388571428575</v>
      </c>
      <c r="P99" s="28">
        <f t="shared" si="15"/>
        <v>5220.7605344295989</v>
      </c>
      <c r="Q99" s="28">
        <f t="shared" si="13"/>
        <v>102.32370309059345</v>
      </c>
      <c r="R99" s="28"/>
      <c r="S99" s="32" t="s">
        <v>1434</v>
      </c>
      <c r="T99" s="28">
        <v>72.599999999999994</v>
      </c>
      <c r="U99" s="28">
        <v>8</v>
      </c>
      <c r="V99" s="28" t="s">
        <v>8808</v>
      </c>
      <c r="W99" s="28"/>
      <c r="X99" s="28"/>
    </row>
    <row r="100" spans="1:24" x14ac:dyDescent="0.2">
      <c r="A100" s="19">
        <f t="shared" si="16"/>
        <v>95</v>
      </c>
      <c r="B100" s="32" t="s">
        <v>6259</v>
      </c>
      <c r="C100" s="28">
        <v>5005</v>
      </c>
      <c r="D100" s="28">
        <v>780</v>
      </c>
      <c r="E100" s="28">
        <v>138.30000000000001</v>
      </c>
      <c r="F100" s="28">
        <v>419</v>
      </c>
      <c r="G100" s="28">
        <v>110109</v>
      </c>
      <c r="H100" s="28">
        <v>420</v>
      </c>
      <c r="I100" s="28">
        <v>419</v>
      </c>
      <c r="J100" s="28">
        <v>440</v>
      </c>
      <c r="K100" s="28">
        <v>28.6</v>
      </c>
      <c r="L100" s="28">
        <v>14</v>
      </c>
      <c r="M100" s="28">
        <f t="shared" si="12"/>
        <v>73.888758379719178</v>
      </c>
      <c r="N100" s="28">
        <f t="shared" si="17"/>
        <v>7450.9981230258745</v>
      </c>
      <c r="O100" s="28">
        <f t="shared" si="14"/>
        <v>5869.0128095238106</v>
      </c>
      <c r="P100" s="28">
        <f t="shared" si="15"/>
        <v>5752.8735632183907</v>
      </c>
      <c r="Q100" s="28">
        <f t="shared" si="13"/>
        <v>93.805383949173745</v>
      </c>
      <c r="R100" s="28"/>
      <c r="S100" s="32" t="s">
        <v>1434</v>
      </c>
      <c r="T100" s="28">
        <v>72.599999999999994</v>
      </c>
      <c r="U100" s="28">
        <v>8</v>
      </c>
      <c r="V100" s="28" t="s">
        <v>8808</v>
      </c>
      <c r="W100" s="28"/>
      <c r="X100" s="28"/>
    </row>
    <row r="101" spans="1:24" x14ac:dyDescent="0.2">
      <c r="A101" s="19">
        <f t="shared" si="16"/>
        <v>96</v>
      </c>
      <c r="B101" s="32" t="s">
        <v>6260</v>
      </c>
      <c r="C101" s="28">
        <v>772</v>
      </c>
      <c r="D101" s="28">
        <v>1</v>
      </c>
      <c r="E101" s="28">
        <v>55.8</v>
      </c>
      <c r="F101" s="28">
        <v>71</v>
      </c>
      <c r="G101" s="28">
        <v>12065</v>
      </c>
      <c r="H101" s="28">
        <v>1397</v>
      </c>
      <c r="I101" s="28">
        <v>444</v>
      </c>
      <c r="J101" s="28">
        <v>312</v>
      </c>
      <c r="K101" s="28">
        <v>5</v>
      </c>
      <c r="L101" s="28">
        <v>5</v>
      </c>
      <c r="M101" s="28">
        <f t="shared" si="12"/>
        <v>18.324770275721406</v>
      </c>
      <c r="N101" s="28">
        <f t="shared" si="17"/>
        <v>353.47088284399956</v>
      </c>
      <c r="O101" s="28">
        <f t="shared" si="14"/>
        <v>243.92984967788118</v>
      </c>
      <c r="P101" s="28">
        <f t="shared" si="15"/>
        <v>797.56291390728472</v>
      </c>
      <c r="Q101" s="28">
        <f t="shared" si="13"/>
        <v>26.553833964257411</v>
      </c>
      <c r="R101" s="28"/>
      <c r="S101" s="32" t="s">
        <v>6261</v>
      </c>
      <c r="T101" s="28">
        <v>35</v>
      </c>
      <c r="U101" s="28">
        <v>9</v>
      </c>
      <c r="V101" s="28" t="s">
        <v>8822</v>
      </c>
      <c r="W101" s="28"/>
      <c r="X101" s="28"/>
    </row>
    <row r="102" spans="1:24" x14ac:dyDescent="0.2">
      <c r="A102" s="19">
        <f t="shared" si="16"/>
        <v>97</v>
      </c>
      <c r="B102" s="32" t="s">
        <v>6262</v>
      </c>
      <c r="C102" s="28">
        <v>922</v>
      </c>
      <c r="D102" s="28">
        <v>1</v>
      </c>
      <c r="E102" s="28">
        <v>66.7</v>
      </c>
      <c r="F102" s="28">
        <v>85</v>
      </c>
      <c r="G102" s="28">
        <v>14444</v>
      </c>
      <c r="H102" s="28">
        <v>1398</v>
      </c>
      <c r="I102" s="28">
        <v>444</v>
      </c>
      <c r="J102" s="28">
        <v>313</v>
      </c>
      <c r="K102" s="28">
        <v>6</v>
      </c>
      <c r="L102" s="28">
        <v>6</v>
      </c>
      <c r="M102" s="28">
        <f t="shared" si="12"/>
        <v>21.932641663856955</v>
      </c>
      <c r="N102" s="28">
        <f t="shared" si="17"/>
        <v>423.96682482965025</v>
      </c>
      <c r="O102" s="28">
        <f t="shared" si="14"/>
        <v>292.50643776824035</v>
      </c>
      <c r="P102" s="28">
        <f t="shared" si="15"/>
        <v>958.75747508305653</v>
      </c>
      <c r="Q102" s="28">
        <f t="shared" si="13"/>
        <v>31.789770226252308</v>
      </c>
      <c r="R102" s="28"/>
      <c r="S102" s="32" t="s">
        <v>6261</v>
      </c>
      <c r="T102" s="28">
        <v>35</v>
      </c>
      <c r="U102" s="28">
        <v>9</v>
      </c>
      <c r="V102" s="28" t="s">
        <v>8822</v>
      </c>
      <c r="W102" s="28"/>
      <c r="X102" s="28"/>
    </row>
    <row r="103" spans="1:24" x14ac:dyDescent="0.2">
      <c r="A103" s="19">
        <f t="shared" si="16"/>
        <v>98</v>
      </c>
      <c r="B103" s="32" t="s">
        <v>6263</v>
      </c>
      <c r="C103" s="28">
        <v>1069</v>
      </c>
      <c r="D103" s="28">
        <v>1</v>
      </c>
      <c r="E103" s="28">
        <v>77.5</v>
      </c>
      <c r="F103" s="28">
        <v>98.8</v>
      </c>
      <c r="G103" s="28">
        <v>16815</v>
      </c>
      <c r="H103" s="28">
        <v>1398</v>
      </c>
      <c r="I103" s="28">
        <v>444</v>
      </c>
      <c r="J103" s="28">
        <v>314</v>
      </c>
      <c r="K103" s="28">
        <v>7</v>
      </c>
      <c r="L103" s="28">
        <v>7</v>
      </c>
      <c r="M103" s="28">
        <f t="shared" si="12"/>
        <v>25.532911214189607</v>
      </c>
      <c r="N103" s="28">
        <f t="shared" si="17"/>
        <v>494.62796230125866</v>
      </c>
      <c r="O103" s="28">
        <f t="shared" si="14"/>
        <v>341.25751072961373</v>
      </c>
      <c r="P103" s="28">
        <f t="shared" si="15"/>
        <v>1118.8866666666668</v>
      </c>
      <c r="Q103" s="28">
        <f t="shared" si="13"/>
        <v>37.008099304516236</v>
      </c>
      <c r="R103" s="28"/>
      <c r="S103" s="32" t="s">
        <v>6261</v>
      </c>
      <c r="T103" s="28">
        <v>35</v>
      </c>
      <c r="U103" s="28">
        <v>9</v>
      </c>
      <c r="V103" s="28" t="s">
        <v>8822</v>
      </c>
      <c r="W103" s="28"/>
      <c r="X103" s="28"/>
    </row>
    <row r="104" spans="1:24" x14ac:dyDescent="0.2">
      <c r="A104" s="19">
        <f t="shared" si="16"/>
        <v>99</v>
      </c>
      <c r="B104" s="32" t="s">
        <v>6264</v>
      </c>
      <c r="C104" s="28">
        <v>1525</v>
      </c>
      <c r="D104" s="28">
        <v>1</v>
      </c>
      <c r="E104" s="28">
        <v>80.3</v>
      </c>
      <c r="F104" s="28">
        <v>102.3</v>
      </c>
      <c r="G104" s="28">
        <v>34340</v>
      </c>
      <c r="H104" s="28">
        <v>1406</v>
      </c>
      <c r="I104" s="28">
        <v>434</v>
      </c>
      <c r="J104" s="28">
        <v>451</v>
      </c>
      <c r="K104" s="28">
        <v>6</v>
      </c>
      <c r="L104" s="28">
        <v>6</v>
      </c>
      <c r="M104" s="28">
        <f t="shared" si="12"/>
        <v>33.358481741933176</v>
      </c>
      <c r="N104" s="28">
        <f t="shared" si="17"/>
        <v>658.94808983411554</v>
      </c>
      <c r="O104" s="28">
        <f t="shared" si="14"/>
        <v>412.08392603129442</v>
      </c>
      <c r="P104" s="28">
        <f t="shared" si="15"/>
        <v>1566.6856492027334</v>
      </c>
      <c r="Q104" s="28">
        <f t="shared" si="13"/>
        <v>53.342308289753021</v>
      </c>
      <c r="R104" s="28"/>
      <c r="S104" s="32" t="s">
        <v>6261</v>
      </c>
      <c r="T104" s="28">
        <v>25</v>
      </c>
      <c r="U104" s="28">
        <v>9</v>
      </c>
      <c r="V104" s="28" t="s">
        <v>8822</v>
      </c>
      <c r="W104" s="28"/>
      <c r="X104" s="28"/>
    </row>
    <row r="105" spans="1:24" x14ac:dyDescent="0.2">
      <c r="A105" s="19">
        <f t="shared" si="16"/>
        <v>100</v>
      </c>
      <c r="B105" s="32" t="s">
        <v>6265</v>
      </c>
      <c r="C105" s="28">
        <v>1770</v>
      </c>
      <c r="D105" s="28">
        <v>1</v>
      </c>
      <c r="E105" s="28">
        <v>93.3</v>
      </c>
      <c r="F105" s="28">
        <v>118.9</v>
      </c>
      <c r="G105" s="28">
        <v>39954</v>
      </c>
      <c r="H105" s="28">
        <v>1406</v>
      </c>
      <c r="I105" s="28">
        <v>434</v>
      </c>
      <c r="J105" s="28">
        <v>452</v>
      </c>
      <c r="K105" s="28">
        <v>7</v>
      </c>
      <c r="L105" s="28">
        <v>7</v>
      </c>
      <c r="M105" s="28">
        <f t="shared" si="12"/>
        <v>38.812020370331915</v>
      </c>
      <c r="N105" s="28">
        <f t="shared" si="17"/>
        <v>768.77277147313487</v>
      </c>
      <c r="O105" s="28">
        <f t="shared" si="14"/>
        <v>480.76458036984354</v>
      </c>
      <c r="P105" s="28">
        <f t="shared" si="15"/>
        <v>1826.5753424657535</v>
      </c>
      <c r="Q105" s="28">
        <f t="shared" si="13"/>
        <v>62.062859214000923</v>
      </c>
      <c r="R105" s="28"/>
      <c r="S105" s="32" t="s">
        <v>6261</v>
      </c>
      <c r="T105" s="28">
        <v>25</v>
      </c>
      <c r="U105" s="28">
        <v>9</v>
      </c>
      <c r="V105" s="28" t="s">
        <v>8822</v>
      </c>
      <c r="W105" s="28"/>
      <c r="X105" s="28"/>
    </row>
    <row r="106" spans="1:24" x14ac:dyDescent="0.2">
      <c r="A106" s="19">
        <f t="shared" si="16"/>
        <v>101</v>
      </c>
      <c r="B106" s="32" t="s">
        <v>6266</v>
      </c>
      <c r="C106" s="28">
        <v>2013</v>
      </c>
      <c r="D106" s="28">
        <v>1</v>
      </c>
      <c r="E106" s="28">
        <v>106.3</v>
      </c>
      <c r="F106" s="28">
        <v>135.4</v>
      </c>
      <c r="G106" s="28">
        <v>45537</v>
      </c>
      <c r="H106" s="28">
        <v>1407</v>
      </c>
      <c r="I106" s="28">
        <v>434</v>
      </c>
      <c r="J106" s="28">
        <v>453</v>
      </c>
      <c r="K106" s="28">
        <v>8</v>
      </c>
      <c r="L106" s="28">
        <v>8</v>
      </c>
      <c r="M106" s="28">
        <f t="shared" si="12"/>
        <v>44.227197411747291</v>
      </c>
      <c r="N106" s="28">
        <f t="shared" si="17"/>
        <v>878.13673317080463</v>
      </c>
      <c r="O106" s="28">
        <f t="shared" si="14"/>
        <v>549.05472636815921</v>
      </c>
      <c r="P106" s="28">
        <f t="shared" si="15"/>
        <v>2086.7025171624714</v>
      </c>
      <c r="Q106" s="28">
        <f t="shared" si="13"/>
        <v>70.735256045150948</v>
      </c>
      <c r="R106" s="28"/>
      <c r="S106" s="32" t="s">
        <v>1434</v>
      </c>
      <c r="T106" s="28">
        <v>25</v>
      </c>
      <c r="U106" s="28">
        <v>9</v>
      </c>
      <c r="V106" s="28" t="s">
        <v>8808</v>
      </c>
      <c r="W106" s="28"/>
      <c r="X106" s="28"/>
    </row>
    <row r="107" spans="1:24" x14ac:dyDescent="0.2">
      <c r="A107" s="19">
        <f t="shared" si="16"/>
        <v>102</v>
      </c>
      <c r="B107" s="32" t="s">
        <v>6267</v>
      </c>
      <c r="C107" s="28">
        <v>181</v>
      </c>
      <c r="D107" s="28">
        <v>1</v>
      </c>
      <c r="E107" s="28">
        <v>48.8</v>
      </c>
      <c r="F107" s="28">
        <v>62.2</v>
      </c>
      <c r="G107" s="28">
        <v>831</v>
      </c>
      <c r="H107" s="28">
        <f>660*2</f>
        <v>1320</v>
      </c>
      <c r="I107" s="28">
        <v>260</v>
      </c>
      <c r="J107" s="28">
        <v>91</v>
      </c>
      <c r="K107" s="28">
        <v>5</v>
      </c>
      <c r="L107" s="28">
        <v>5</v>
      </c>
      <c r="M107" s="28">
        <f t="shared" si="12"/>
        <v>6.2398249002406079</v>
      </c>
      <c r="N107" s="28">
        <f t="shared" si="17"/>
        <v>75.668644306170265</v>
      </c>
      <c r="O107" s="28">
        <f t="shared" si="14"/>
        <v>42.348484848484851</v>
      </c>
      <c r="P107" s="28">
        <f t="shared" si="15"/>
        <v>203.34567901234567</v>
      </c>
      <c r="Q107" s="28">
        <f t="shared" si="13"/>
        <v>11.149373881932021</v>
      </c>
      <c r="R107" s="28"/>
      <c r="S107" s="32" t="s">
        <v>1434</v>
      </c>
      <c r="T107" s="28">
        <v>41</v>
      </c>
      <c r="U107" s="28">
        <v>10</v>
      </c>
      <c r="V107" s="28" t="s">
        <v>8808</v>
      </c>
      <c r="W107" s="28"/>
      <c r="X107" s="28"/>
    </row>
    <row r="108" spans="1:24" x14ac:dyDescent="0.2">
      <c r="A108" s="19">
        <f t="shared" si="16"/>
        <v>103</v>
      </c>
      <c r="B108" s="32" t="s">
        <v>6268</v>
      </c>
      <c r="C108" s="28">
        <v>322</v>
      </c>
      <c r="D108" s="28">
        <v>1</v>
      </c>
      <c r="E108" s="28">
        <v>54.9</v>
      </c>
      <c r="F108" s="28">
        <v>70</v>
      </c>
      <c r="G108" s="28">
        <v>2063</v>
      </c>
      <c r="H108" s="28">
        <f>711*2</f>
        <v>1422</v>
      </c>
      <c r="I108" s="28">
        <v>350</v>
      </c>
      <c r="J108" s="28">
        <v>127</v>
      </c>
      <c r="K108" s="28">
        <v>5</v>
      </c>
      <c r="L108" s="28">
        <v>5</v>
      </c>
      <c r="M108" s="28">
        <f t="shared" si="12"/>
        <v>9.3851616605539228</v>
      </c>
      <c r="N108" s="28">
        <f t="shared" si="17"/>
        <v>115.93622018783121</v>
      </c>
      <c r="O108" s="28">
        <f t="shared" si="14"/>
        <v>75.070323488045005</v>
      </c>
      <c r="P108" s="28">
        <f t="shared" si="15"/>
        <v>349.52136752136749</v>
      </c>
      <c r="Q108" s="28">
        <f t="shared" si="13"/>
        <v>14.494145199063231</v>
      </c>
      <c r="R108" s="28"/>
      <c r="S108" s="32" t="s">
        <v>1434</v>
      </c>
      <c r="T108" s="28">
        <v>79</v>
      </c>
      <c r="U108" s="28">
        <v>10</v>
      </c>
      <c r="V108" s="28" t="s">
        <v>8808</v>
      </c>
      <c r="W108" s="28"/>
      <c r="X108" s="28"/>
    </row>
    <row r="109" spans="1:24" x14ac:dyDescent="0.2">
      <c r="A109" s="19">
        <f t="shared" si="16"/>
        <v>104</v>
      </c>
      <c r="B109" s="32" t="s">
        <v>6269</v>
      </c>
      <c r="C109" s="28">
        <v>600</v>
      </c>
      <c r="D109" s="28">
        <v>1</v>
      </c>
      <c r="E109" s="28">
        <v>63.3</v>
      </c>
      <c r="F109" s="28">
        <v>80.7</v>
      </c>
      <c r="G109" s="28">
        <v>7620</v>
      </c>
      <c r="H109" s="28">
        <f>921*2</f>
        <v>1842</v>
      </c>
      <c r="I109" s="28">
        <v>252</v>
      </c>
      <c r="J109" s="28">
        <v>253.5</v>
      </c>
      <c r="K109" s="28">
        <v>6</v>
      </c>
      <c r="L109" s="28">
        <v>6</v>
      </c>
      <c r="M109" s="28">
        <f t="shared" si="12"/>
        <v>15.174986200706533</v>
      </c>
      <c r="N109" s="28">
        <f t="shared" si="17"/>
        <v>245.34632101723253</v>
      </c>
      <c r="O109" s="28">
        <f t="shared" si="14"/>
        <v>101.57980456026058</v>
      </c>
      <c r="P109" s="28">
        <f t="shared" si="15"/>
        <v>629.81366459627327</v>
      </c>
      <c r="Q109" s="28">
        <f t="shared" si="13"/>
        <v>36.652236652236653</v>
      </c>
      <c r="R109" s="28"/>
      <c r="S109" s="32" t="s">
        <v>1434</v>
      </c>
      <c r="T109" s="28">
        <v>48</v>
      </c>
      <c r="U109" s="28">
        <v>10</v>
      </c>
      <c r="V109" s="28" t="s">
        <v>8808</v>
      </c>
      <c r="W109" s="28"/>
      <c r="X109" s="28"/>
    </row>
    <row r="110" spans="1:24" x14ac:dyDescent="0.2">
      <c r="A110" s="19">
        <f t="shared" si="16"/>
        <v>105</v>
      </c>
      <c r="B110" s="32" t="s">
        <v>6270</v>
      </c>
      <c r="C110" s="28">
        <v>801</v>
      </c>
      <c r="D110" s="28">
        <v>1</v>
      </c>
      <c r="E110" s="28">
        <v>71.8</v>
      </c>
      <c r="F110" s="28">
        <v>91.4</v>
      </c>
      <c r="G110" s="28">
        <v>11813</v>
      </c>
      <c r="H110" s="28">
        <f>813*2</f>
        <v>1626</v>
      </c>
      <c r="I110" s="28">
        <v>252</v>
      </c>
      <c r="J110" s="28">
        <v>295</v>
      </c>
      <c r="K110" s="28">
        <v>6</v>
      </c>
      <c r="L110" s="28">
        <v>6</v>
      </c>
      <c r="M110" s="28">
        <f t="shared" si="12"/>
        <v>21.606936361280514</v>
      </c>
      <c r="N110" s="28">
        <f t="shared" si="17"/>
        <v>302.61397434047677</v>
      </c>
      <c r="O110" s="28">
        <f t="shared" si="14"/>
        <v>134.36900369003689</v>
      </c>
      <c r="P110" s="28">
        <f t="shared" si="15"/>
        <v>834.96466431095405</v>
      </c>
      <c r="Q110" s="28">
        <f t="shared" si="13"/>
        <v>48.661229197561376</v>
      </c>
      <c r="R110" s="28"/>
      <c r="S110" s="32" t="s">
        <v>1434</v>
      </c>
      <c r="T110" s="28">
        <v>60</v>
      </c>
      <c r="U110" s="28">
        <v>10</v>
      </c>
      <c r="V110" s="28" t="s">
        <v>8808</v>
      </c>
      <c r="W110" s="28"/>
      <c r="X110" s="28"/>
    </row>
    <row r="111" spans="1:24" x14ac:dyDescent="0.2">
      <c r="A111" s="19">
        <f t="shared" si="16"/>
        <v>106</v>
      </c>
      <c r="B111" s="32" t="s">
        <v>6271</v>
      </c>
      <c r="C111" s="28">
        <v>1063</v>
      </c>
      <c r="D111" s="28">
        <v>1</v>
      </c>
      <c r="E111" s="28">
        <v>99.8</v>
      </c>
      <c r="F111" s="28">
        <v>127.1</v>
      </c>
      <c r="G111" s="28">
        <v>15995</v>
      </c>
      <c r="H111" s="28">
        <f>804*2</f>
        <v>1608</v>
      </c>
      <c r="I111" s="28">
        <v>252</v>
      </c>
      <c r="J111" s="28">
        <v>297</v>
      </c>
      <c r="K111" s="28">
        <v>8</v>
      </c>
      <c r="L111" s="28">
        <v>8</v>
      </c>
      <c r="M111" s="28">
        <f t="shared" si="12"/>
        <v>29.463480512516139</v>
      </c>
      <c r="N111" s="28">
        <f t="shared" si="17"/>
        <v>405.13092671140566</v>
      </c>
      <c r="O111" s="28">
        <f t="shared" si="14"/>
        <v>181.16417910447763</v>
      </c>
      <c r="P111" s="28">
        <f t="shared" si="15"/>
        <v>1123.5266903914592</v>
      </c>
      <c r="Q111" s="28">
        <f t="shared" si="13"/>
        <v>65.888119953863892</v>
      </c>
      <c r="R111" s="28"/>
      <c r="S111" s="32" t="s">
        <v>1434</v>
      </c>
      <c r="T111" s="28">
        <v>60</v>
      </c>
      <c r="U111" s="28">
        <v>10</v>
      </c>
      <c r="V111" s="28" t="s">
        <v>8808</v>
      </c>
      <c r="W111" s="28"/>
      <c r="X111" s="28"/>
    </row>
    <row r="112" spans="1:24" x14ac:dyDescent="0.2">
      <c r="A112" s="19">
        <f t="shared" si="16"/>
        <v>107</v>
      </c>
      <c r="B112" s="32" t="s">
        <v>6272</v>
      </c>
      <c r="C112" s="28">
        <v>3280</v>
      </c>
      <c r="D112" s="28">
        <v>1</v>
      </c>
      <c r="E112" s="28">
        <v>189</v>
      </c>
      <c r="F112" s="28">
        <v>241</v>
      </c>
      <c r="G112" s="28">
        <v>110440</v>
      </c>
      <c r="H112" s="28">
        <v>1790</v>
      </c>
      <c r="I112" s="28">
        <v>460</v>
      </c>
      <c r="J112" s="28">
        <v>575</v>
      </c>
      <c r="K112" s="28">
        <v>14</v>
      </c>
      <c r="L112" s="28">
        <v>11</v>
      </c>
      <c r="M112" s="28">
        <f t="shared" ref="M112:M123" si="18">+G112*L112/H112/N112*100</f>
        <v>35.694249835351975</v>
      </c>
      <c r="N112" s="28">
        <f t="shared" ref="N112:N135" si="19">+(I112*K112*(J112-K112)/2+SQRT((J112-K112)^2+(H112-2*I112)^2)*L112*(J112-K112)/4)/H112</f>
        <v>1901.3750600625772</v>
      </c>
      <c r="O112" s="28">
        <f t="shared" ref="O112:O123" si="20">+(I112*K112*(J112-K112)/2)/H112</f>
        <v>1009.1731843575419</v>
      </c>
      <c r="P112" s="28">
        <f t="shared" si="15"/>
        <v>3447.8976234003658</v>
      </c>
      <c r="Q112" s="28">
        <f t="shared" si="13"/>
        <v>67.251248325417123</v>
      </c>
      <c r="R112" s="29">
        <f t="shared" ref="R112:R123" si="21">+(J112^3*I112-(J112-2*K112)^3*(I112-L112))/12/H112/10</f>
        <v>65007.842053072622</v>
      </c>
      <c r="S112" s="32" t="s">
        <v>6261</v>
      </c>
      <c r="T112" s="32">
        <v>90</v>
      </c>
      <c r="U112" s="28">
        <v>11</v>
      </c>
      <c r="V112" s="28" t="s">
        <v>8822</v>
      </c>
      <c r="W112" s="28"/>
      <c r="X112" s="28"/>
    </row>
    <row r="113" spans="1:24" x14ac:dyDescent="0.2">
      <c r="A113" s="19">
        <f t="shared" si="16"/>
        <v>108</v>
      </c>
      <c r="B113" s="32" t="s">
        <v>6273</v>
      </c>
      <c r="C113" s="28">
        <v>3560</v>
      </c>
      <c r="D113" s="28">
        <v>1</v>
      </c>
      <c r="E113" s="28">
        <v>197</v>
      </c>
      <c r="F113" s="28">
        <v>251.2</v>
      </c>
      <c r="G113" s="28">
        <v>119510</v>
      </c>
      <c r="H113" s="28">
        <v>1790</v>
      </c>
      <c r="I113" s="28">
        <v>460</v>
      </c>
      <c r="J113" s="28">
        <v>575</v>
      </c>
      <c r="K113" s="28">
        <v>16</v>
      </c>
      <c r="L113" s="28">
        <v>11</v>
      </c>
      <c r="M113" s="28">
        <f t="shared" si="18"/>
        <v>36.048279311263684</v>
      </c>
      <c r="N113" s="28">
        <f t="shared" si="19"/>
        <v>2037.3205280395466</v>
      </c>
      <c r="O113" s="28">
        <f t="shared" si="20"/>
        <v>1149.2290502793296</v>
      </c>
      <c r="P113" s="28">
        <f t="shared" si="15"/>
        <v>3769.7974217311234</v>
      </c>
      <c r="Q113" s="28">
        <f t="shared" si="13"/>
        <v>63.905362837364869</v>
      </c>
      <c r="R113" s="29">
        <f t="shared" si="21"/>
        <v>72458.390861266307</v>
      </c>
      <c r="S113" s="32" t="s">
        <v>6261</v>
      </c>
      <c r="T113" s="32">
        <v>90</v>
      </c>
      <c r="U113" s="28">
        <v>11</v>
      </c>
      <c r="V113" s="28" t="s">
        <v>8822</v>
      </c>
      <c r="W113" s="28"/>
      <c r="X113" s="28"/>
    </row>
    <row r="114" spans="1:24" x14ac:dyDescent="0.2">
      <c r="A114" s="19">
        <f t="shared" si="16"/>
        <v>109</v>
      </c>
      <c r="B114" s="32" t="s">
        <v>6274</v>
      </c>
      <c r="C114" s="28">
        <v>3885</v>
      </c>
      <c r="D114" s="28">
        <v>1</v>
      </c>
      <c r="E114" s="28">
        <v>208</v>
      </c>
      <c r="F114" s="28">
        <v>264.89999999999998</v>
      </c>
      <c r="G114" s="28">
        <v>129820</v>
      </c>
      <c r="H114" s="28">
        <v>1790</v>
      </c>
      <c r="I114" s="28">
        <v>461</v>
      </c>
      <c r="J114" s="28">
        <v>575</v>
      </c>
      <c r="K114" s="28">
        <v>18</v>
      </c>
      <c r="L114" s="28">
        <v>12</v>
      </c>
      <c r="M114" s="28">
        <f t="shared" si="18"/>
        <v>38.614198878008224</v>
      </c>
      <c r="N114" s="28">
        <f t="shared" si="19"/>
        <v>2253.8384875655488</v>
      </c>
      <c r="O114" s="28">
        <f t="shared" si="20"/>
        <v>1291.0575418994413</v>
      </c>
      <c r="P114" s="28">
        <f t="shared" si="15"/>
        <v>4144.4805194805194</v>
      </c>
      <c r="Q114" s="28">
        <f t="shared" si="13"/>
        <v>67.409983500599097</v>
      </c>
      <c r="R114" s="29">
        <f t="shared" si="21"/>
        <v>80685.028603351951</v>
      </c>
      <c r="S114" s="32" t="s">
        <v>6261</v>
      </c>
      <c r="T114" s="32">
        <v>90</v>
      </c>
      <c r="U114" s="28">
        <v>11</v>
      </c>
      <c r="V114" s="28" t="s">
        <v>8822</v>
      </c>
      <c r="W114" s="28"/>
      <c r="X114" s="28"/>
    </row>
    <row r="115" spans="1:24" x14ac:dyDescent="0.2">
      <c r="A115" s="19">
        <f t="shared" si="16"/>
        <v>110</v>
      </c>
      <c r="B115" s="32" t="s">
        <v>6275</v>
      </c>
      <c r="C115" s="28">
        <v>4170</v>
      </c>
      <c r="D115" s="28">
        <v>1</v>
      </c>
      <c r="E115" s="28">
        <v>218</v>
      </c>
      <c r="F115" s="28">
        <v>277.8</v>
      </c>
      <c r="G115" s="28">
        <v>140650</v>
      </c>
      <c r="H115" s="28">
        <v>1790</v>
      </c>
      <c r="I115" s="28">
        <v>461</v>
      </c>
      <c r="J115" s="28">
        <v>575</v>
      </c>
      <c r="K115" s="28">
        <v>20</v>
      </c>
      <c r="L115" s="28">
        <v>12</v>
      </c>
      <c r="M115" s="28">
        <f t="shared" si="18"/>
        <v>39.490459609630534</v>
      </c>
      <c r="N115" s="28">
        <f t="shared" si="19"/>
        <v>2387.6780297158525</v>
      </c>
      <c r="O115" s="28">
        <f t="shared" si="20"/>
        <v>1429.3575418994412</v>
      </c>
      <c r="P115" s="28">
        <f t="shared" si="15"/>
        <v>4481.7757009345796</v>
      </c>
      <c r="Q115" s="28">
        <f t="shared" si="13"/>
        <v>65.967051650348836</v>
      </c>
      <c r="R115" s="29">
        <f t="shared" si="21"/>
        <v>87918.452048417137</v>
      </c>
      <c r="S115" s="32" t="s">
        <v>6261</v>
      </c>
      <c r="T115" s="32">
        <v>90</v>
      </c>
      <c r="U115" s="28">
        <v>11</v>
      </c>
      <c r="V115" s="28" t="s">
        <v>8822</v>
      </c>
      <c r="W115" s="28"/>
      <c r="X115" s="28"/>
    </row>
    <row r="116" spans="1:24" x14ac:dyDescent="0.2">
      <c r="A116" s="19">
        <f t="shared" si="16"/>
        <v>111</v>
      </c>
      <c r="B116" s="32" t="s">
        <v>6276</v>
      </c>
      <c r="C116" s="28">
        <v>4770</v>
      </c>
      <c r="D116" s="28">
        <v>1</v>
      </c>
      <c r="E116" s="28">
        <v>214</v>
      </c>
      <c r="F116" s="28">
        <v>273</v>
      </c>
      <c r="G116" s="28">
        <v>210260</v>
      </c>
      <c r="H116" s="28">
        <v>1790</v>
      </c>
      <c r="I116" s="28">
        <v>460</v>
      </c>
      <c r="J116" s="28">
        <v>775</v>
      </c>
      <c r="K116" s="28">
        <v>17</v>
      </c>
      <c r="L116" s="28">
        <v>12.5</v>
      </c>
      <c r="M116" s="28">
        <f t="shared" si="18"/>
        <v>46.13345354172683</v>
      </c>
      <c r="N116" s="28">
        <f t="shared" si="19"/>
        <v>3182.7144439932922</v>
      </c>
      <c r="O116" s="28">
        <f t="shared" si="20"/>
        <v>1655.7430167597765</v>
      </c>
      <c r="P116" s="28">
        <f t="shared" si="15"/>
        <v>4988.8663967611337</v>
      </c>
      <c r="Q116" s="28">
        <f t="shared" si="13"/>
        <v>88.678984270087525</v>
      </c>
      <c r="R116" s="29">
        <f t="shared" si="21"/>
        <v>149203.5642574488</v>
      </c>
      <c r="S116" s="32" t="s">
        <v>6261</v>
      </c>
      <c r="T116" s="32">
        <v>90</v>
      </c>
      <c r="U116" s="28">
        <v>11</v>
      </c>
      <c r="V116" s="28" t="s">
        <v>8822</v>
      </c>
      <c r="W116" s="28"/>
      <c r="X116" s="28"/>
    </row>
    <row r="117" spans="1:24" x14ac:dyDescent="0.2">
      <c r="A117" s="19">
        <f t="shared" si="16"/>
        <v>112</v>
      </c>
      <c r="B117" s="32" t="s">
        <v>6277</v>
      </c>
      <c r="C117" s="28">
        <v>5145</v>
      </c>
      <c r="D117" s="28">
        <v>1</v>
      </c>
      <c r="E117" s="28">
        <v>222</v>
      </c>
      <c r="F117" s="28">
        <v>283.3</v>
      </c>
      <c r="G117" s="28">
        <v>226410</v>
      </c>
      <c r="H117" s="28">
        <v>1790</v>
      </c>
      <c r="I117" s="28">
        <v>460</v>
      </c>
      <c r="J117" s="28">
        <v>775</v>
      </c>
      <c r="K117" s="28">
        <v>19</v>
      </c>
      <c r="L117" s="28">
        <v>12.5</v>
      </c>
      <c r="M117" s="28">
        <f t="shared" si="18"/>
        <v>46.959892140370918</v>
      </c>
      <c r="N117" s="28">
        <f t="shared" si="19"/>
        <v>3366.8633954020088</v>
      </c>
      <c r="O117" s="28">
        <f t="shared" si="20"/>
        <v>1845.6536312849162</v>
      </c>
      <c r="P117" s="28">
        <f t="shared" si="15"/>
        <v>5410.2781546811393</v>
      </c>
      <c r="Q117" s="28">
        <f t="shared" si="13"/>
        <v>85.664796048091233</v>
      </c>
      <c r="R117" s="29">
        <f t="shared" si="21"/>
        <v>162856.62259078212</v>
      </c>
      <c r="S117" s="32" t="s">
        <v>6261</v>
      </c>
      <c r="T117" s="32">
        <v>90</v>
      </c>
      <c r="U117" s="28">
        <v>11</v>
      </c>
      <c r="V117" s="28" t="s">
        <v>8822</v>
      </c>
      <c r="W117" s="28"/>
      <c r="X117" s="28"/>
    </row>
    <row r="118" spans="1:24" x14ac:dyDescent="0.2">
      <c r="A118" s="19">
        <f t="shared" si="16"/>
        <v>113</v>
      </c>
      <c r="B118" s="32" t="s">
        <v>6278</v>
      </c>
      <c r="C118" s="28">
        <v>5640</v>
      </c>
      <c r="D118" s="28">
        <v>1</v>
      </c>
      <c r="E118" s="28">
        <v>238</v>
      </c>
      <c r="F118" s="28">
        <v>302.89999999999998</v>
      </c>
      <c r="G118" s="28">
        <v>249400</v>
      </c>
      <c r="H118" s="28">
        <v>1790</v>
      </c>
      <c r="I118" s="28">
        <v>461.5</v>
      </c>
      <c r="J118" s="28">
        <v>775</v>
      </c>
      <c r="K118" s="28">
        <v>21</v>
      </c>
      <c r="L118" s="28">
        <v>14</v>
      </c>
      <c r="M118" s="28">
        <f t="shared" si="18"/>
        <v>52.223249025330212</v>
      </c>
      <c r="N118" s="28">
        <f t="shared" si="19"/>
        <v>3735.1458623218646</v>
      </c>
      <c r="O118" s="28">
        <f t="shared" si="20"/>
        <v>2041.1706703910615</v>
      </c>
      <c r="P118" s="28">
        <f t="shared" si="15"/>
        <v>5963.1650750341068</v>
      </c>
      <c r="Q118" s="28">
        <f t="shared" si="13"/>
        <v>95.563519182154067</v>
      </c>
      <c r="R118" s="29">
        <f t="shared" si="21"/>
        <v>179612.87013500932</v>
      </c>
      <c r="S118" s="32" t="s">
        <v>6261</v>
      </c>
      <c r="T118" s="32">
        <v>90</v>
      </c>
      <c r="U118" s="28">
        <v>11</v>
      </c>
      <c r="V118" s="28" t="s">
        <v>8822</v>
      </c>
      <c r="W118" s="28"/>
      <c r="X118" s="28"/>
    </row>
    <row r="119" spans="1:24" x14ac:dyDescent="0.2">
      <c r="A119" s="19">
        <f t="shared" si="16"/>
        <v>114</v>
      </c>
      <c r="B119" s="32" t="s">
        <v>6279</v>
      </c>
      <c r="C119" s="28">
        <v>6020</v>
      </c>
      <c r="D119" s="28">
        <v>1</v>
      </c>
      <c r="E119" s="28">
        <v>246</v>
      </c>
      <c r="F119" s="28">
        <v>313.2</v>
      </c>
      <c r="G119" s="28">
        <v>265950</v>
      </c>
      <c r="H119" s="28">
        <v>1790</v>
      </c>
      <c r="I119" s="28">
        <v>461.5</v>
      </c>
      <c r="J119" s="28">
        <v>775</v>
      </c>
      <c r="K119" s="28">
        <v>23</v>
      </c>
      <c r="L119" s="28">
        <v>14</v>
      </c>
      <c r="M119" s="28">
        <f t="shared" si="18"/>
        <v>53.100693423634894</v>
      </c>
      <c r="N119" s="28">
        <f t="shared" si="19"/>
        <v>3917.1915314310445</v>
      </c>
      <c r="O119" s="28">
        <f t="shared" si="20"/>
        <v>2229.6379888268157</v>
      </c>
      <c r="P119" s="28">
        <f t="shared" si="15"/>
        <v>6399.8628257887522</v>
      </c>
      <c r="Q119" s="28">
        <f t="shared" si="13"/>
        <v>93.291192397392962</v>
      </c>
      <c r="R119" s="29">
        <f t="shared" si="21"/>
        <v>192971.92846834267</v>
      </c>
      <c r="S119" s="32" t="s">
        <v>6261</v>
      </c>
      <c r="T119" s="32">
        <v>90</v>
      </c>
      <c r="U119" s="28">
        <v>11</v>
      </c>
      <c r="V119" s="28" t="s">
        <v>8822</v>
      </c>
      <c r="W119" s="28"/>
      <c r="X119" s="28"/>
    </row>
    <row r="120" spans="1:24" x14ac:dyDescent="0.2">
      <c r="A120" s="19">
        <f t="shared" si="16"/>
        <v>115</v>
      </c>
      <c r="B120" s="32" t="s">
        <v>7820</v>
      </c>
      <c r="C120" s="28">
        <v>6185</v>
      </c>
      <c r="D120" s="28">
        <v>1</v>
      </c>
      <c r="E120" s="28">
        <v>231</v>
      </c>
      <c r="F120" s="28">
        <v>294.89999999999998</v>
      </c>
      <c r="G120" s="28">
        <v>338290</v>
      </c>
      <c r="H120" s="28">
        <v>1790</v>
      </c>
      <c r="I120" s="28">
        <v>460</v>
      </c>
      <c r="J120" s="28">
        <v>975</v>
      </c>
      <c r="K120" s="28">
        <v>17</v>
      </c>
      <c r="L120" s="28">
        <v>14</v>
      </c>
      <c r="M120" s="28">
        <f t="shared" si="18"/>
        <v>58.57938828241128</v>
      </c>
      <c r="N120" s="28">
        <f t="shared" si="19"/>
        <v>4516.68010369685</v>
      </c>
      <c r="O120" s="28">
        <f t="shared" si="20"/>
        <v>2092.6145251396647</v>
      </c>
      <c r="P120" s="28">
        <f t="shared" si="15"/>
        <v>6408.4750265674811</v>
      </c>
      <c r="Q120" s="28">
        <f t="shared" si="13"/>
        <v>126.43721734858961</v>
      </c>
      <c r="R120" s="29">
        <f t="shared" si="21"/>
        <v>254801.36654562387</v>
      </c>
      <c r="S120" s="32" t="s">
        <v>6261</v>
      </c>
      <c r="T120" s="32">
        <v>90</v>
      </c>
      <c r="U120" s="28">
        <v>11</v>
      </c>
      <c r="V120" s="28" t="s">
        <v>8822</v>
      </c>
      <c r="W120" s="28"/>
      <c r="X120" s="28"/>
    </row>
    <row r="121" spans="1:24" x14ac:dyDescent="0.2">
      <c r="A121" s="19">
        <f t="shared" si="16"/>
        <v>116</v>
      </c>
      <c r="B121" s="32" t="s">
        <v>7821</v>
      </c>
      <c r="C121" s="28">
        <v>6660</v>
      </c>
      <c r="D121" s="28">
        <v>1</v>
      </c>
      <c r="E121" s="28">
        <v>240</v>
      </c>
      <c r="F121" s="28">
        <v>305.10000000000002</v>
      </c>
      <c r="G121" s="28">
        <v>363620</v>
      </c>
      <c r="H121" s="28">
        <v>1790</v>
      </c>
      <c r="I121" s="28">
        <v>460</v>
      </c>
      <c r="J121" s="28">
        <v>975</v>
      </c>
      <c r="K121" s="28">
        <v>19</v>
      </c>
      <c r="L121" s="28">
        <v>14</v>
      </c>
      <c r="M121" s="28">
        <f t="shared" si="18"/>
        <v>59.870721749592107</v>
      </c>
      <c r="N121" s="28">
        <f t="shared" si="19"/>
        <v>4750.1603858349108</v>
      </c>
      <c r="O121" s="28">
        <f t="shared" si="20"/>
        <v>2333.921787709497</v>
      </c>
      <c r="P121" s="28">
        <f t="shared" si="15"/>
        <v>6930.0960512273214</v>
      </c>
      <c r="Q121" s="28">
        <f t="shared" si="13"/>
        <v>121.85306818073018</v>
      </c>
      <c r="R121" s="29">
        <f t="shared" si="21"/>
        <v>276770.53753258841</v>
      </c>
      <c r="S121" s="32" t="s">
        <v>6261</v>
      </c>
      <c r="T121" s="32">
        <v>90</v>
      </c>
      <c r="U121" s="28">
        <v>11</v>
      </c>
      <c r="V121" s="28" t="s">
        <v>8822</v>
      </c>
      <c r="W121" s="28"/>
      <c r="X121" s="28"/>
    </row>
    <row r="122" spans="1:24" x14ac:dyDescent="0.2">
      <c r="A122" s="19">
        <f t="shared" si="16"/>
        <v>117</v>
      </c>
      <c r="B122" s="32" t="s">
        <v>8521</v>
      </c>
      <c r="C122" s="28">
        <v>7370</v>
      </c>
      <c r="D122" s="28">
        <v>1</v>
      </c>
      <c r="E122" s="28">
        <v>258</v>
      </c>
      <c r="F122" s="28">
        <v>329.2</v>
      </c>
      <c r="G122" s="28">
        <v>403710</v>
      </c>
      <c r="H122" s="28">
        <v>1790</v>
      </c>
      <c r="I122" s="28">
        <v>462</v>
      </c>
      <c r="J122" s="28">
        <v>975</v>
      </c>
      <c r="K122" s="28">
        <v>21</v>
      </c>
      <c r="L122" s="28">
        <v>16</v>
      </c>
      <c r="M122" s="28">
        <f t="shared" si="18"/>
        <v>67.676021496036356</v>
      </c>
      <c r="N122" s="28">
        <f t="shared" si="19"/>
        <v>5332.1411717412193</v>
      </c>
      <c r="O122" s="28">
        <f t="shared" si="20"/>
        <v>2585.3932960893853</v>
      </c>
      <c r="P122" s="28">
        <f t="shared" si="15"/>
        <v>7701.7684887459809</v>
      </c>
      <c r="Q122" s="28">
        <f t="shared" si="13"/>
        <v>139.57570830886198</v>
      </c>
      <c r="R122" s="29">
        <f t="shared" si="21"/>
        <v>307182.91223463684</v>
      </c>
      <c r="S122" s="32" t="s">
        <v>6261</v>
      </c>
      <c r="T122" s="32">
        <v>90</v>
      </c>
      <c r="U122" s="28">
        <v>11</v>
      </c>
      <c r="V122" s="28" t="s">
        <v>8822</v>
      </c>
      <c r="W122" s="28"/>
      <c r="X122" s="28"/>
    </row>
    <row r="123" spans="1:24" x14ac:dyDescent="0.2">
      <c r="A123" s="19">
        <f t="shared" si="16"/>
        <v>118</v>
      </c>
      <c r="B123" s="32" t="s">
        <v>6498</v>
      </c>
      <c r="C123" s="28">
        <v>7850</v>
      </c>
      <c r="D123" s="28">
        <v>1</v>
      </c>
      <c r="E123" s="28">
        <v>267</v>
      </c>
      <c r="F123" s="28">
        <v>339.6</v>
      </c>
      <c r="G123" s="28">
        <v>429580</v>
      </c>
      <c r="H123" s="28">
        <v>1790</v>
      </c>
      <c r="I123" s="28">
        <v>462</v>
      </c>
      <c r="J123" s="28">
        <v>975</v>
      </c>
      <c r="K123" s="28">
        <v>23</v>
      </c>
      <c r="L123" s="28">
        <v>16</v>
      </c>
      <c r="M123" s="28">
        <f t="shared" si="18"/>
        <v>69.017769250090879</v>
      </c>
      <c r="N123" s="28">
        <f t="shared" si="19"/>
        <v>5563.5255540300204</v>
      </c>
      <c r="O123" s="28">
        <f t="shared" si="20"/>
        <v>2825.6849162011172</v>
      </c>
      <c r="P123" s="28">
        <f t="shared" si="15"/>
        <v>8238.6975242195913</v>
      </c>
      <c r="Q123" s="28">
        <f t="shared" si="13"/>
        <v>135.88992909416734</v>
      </c>
      <c r="R123" s="29">
        <f t="shared" si="21"/>
        <v>328779.33685288642</v>
      </c>
      <c r="S123" s="32" t="s">
        <v>6261</v>
      </c>
      <c r="T123" s="32">
        <v>90</v>
      </c>
      <c r="U123" s="28">
        <v>11</v>
      </c>
      <c r="V123" s="28" t="s">
        <v>8822</v>
      </c>
      <c r="W123" s="28"/>
      <c r="X123" s="28"/>
    </row>
    <row r="124" spans="1:24" x14ac:dyDescent="0.2">
      <c r="A124" s="19">
        <f t="shared" si="16"/>
        <v>119</v>
      </c>
      <c r="B124" s="32" t="s">
        <v>6499</v>
      </c>
      <c r="C124" s="28">
        <v>5100</v>
      </c>
      <c r="D124" s="28">
        <v>1</v>
      </c>
      <c r="E124" s="28">
        <v>233</v>
      </c>
      <c r="F124" s="28">
        <v>296.3</v>
      </c>
      <c r="G124" s="28">
        <v>159170</v>
      </c>
      <c r="H124" s="28">
        <v>2270</v>
      </c>
      <c r="I124" s="28">
        <v>460</v>
      </c>
      <c r="J124" s="28">
        <v>575</v>
      </c>
      <c r="K124" s="28">
        <v>14</v>
      </c>
      <c r="L124" s="28">
        <v>11</v>
      </c>
      <c r="M124" s="28">
        <f t="shared" ref="M124:M153" si="22">+G124*2*L124/H124/N124*100</f>
        <v>86.211471586161565</v>
      </c>
      <c r="N124" s="28">
        <f t="shared" si="19"/>
        <v>1789.3404574893282</v>
      </c>
      <c r="O124" s="28">
        <f t="shared" ref="O124:O135" si="23">2*(I124*K124*(J124-K124)/2)/H124</f>
        <v>1591.5594713656387</v>
      </c>
      <c r="P124" s="28">
        <f t="shared" si="15"/>
        <v>5361.0603290676418</v>
      </c>
      <c r="Q124" s="28">
        <f t="shared" si="13"/>
        <v>96.924856899281437</v>
      </c>
      <c r="R124" s="29">
        <f t="shared" ref="R124:R135" si="24">2*(J124^3*I124-(J124-2*K124)^3*(I124-L124))/12/H124/10</f>
        <v>102523.38085903085</v>
      </c>
      <c r="S124" s="32" t="s">
        <v>6261</v>
      </c>
      <c r="T124" s="32">
        <v>90</v>
      </c>
      <c r="U124" s="28">
        <v>11</v>
      </c>
      <c r="V124" s="28" t="s">
        <v>8822</v>
      </c>
      <c r="W124" s="28"/>
      <c r="X124" s="28"/>
    </row>
    <row r="125" spans="1:24" x14ac:dyDescent="0.2">
      <c r="A125" s="19">
        <f t="shared" si="16"/>
        <v>120</v>
      </c>
      <c r="B125" s="32" t="s">
        <v>6500</v>
      </c>
      <c r="C125" s="28">
        <v>5540</v>
      </c>
      <c r="D125" s="28">
        <v>1</v>
      </c>
      <c r="E125" s="28">
        <v>245</v>
      </c>
      <c r="F125" s="28">
        <v>312.5</v>
      </c>
      <c r="G125" s="28">
        <v>173250</v>
      </c>
      <c r="H125" s="28">
        <v>2270</v>
      </c>
      <c r="I125" s="28">
        <v>460</v>
      </c>
      <c r="J125" s="28">
        <v>575</v>
      </c>
      <c r="K125" s="28">
        <v>16</v>
      </c>
      <c r="L125" s="28">
        <v>11</v>
      </c>
      <c r="M125" s="28">
        <f t="shared" si="22"/>
        <v>88.571885722228487</v>
      </c>
      <c r="N125" s="28">
        <f t="shared" si="19"/>
        <v>1895.7199298359881</v>
      </c>
      <c r="O125" s="28">
        <f t="shared" si="23"/>
        <v>1812.4405286343613</v>
      </c>
      <c r="P125" s="28">
        <f t="shared" si="15"/>
        <v>5866.4825046040514</v>
      </c>
      <c r="Q125" s="28">
        <f t="shared" si="13"/>
        <v>92.641654351715005</v>
      </c>
      <c r="R125" s="29">
        <f t="shared" si="24"/>
        <v>114273.58558737152</v>
      </c>
      <c r="S125" s="32" t="s">
        <v>6261</v>
      </c>
      <c r="T125" s="32">
        <v>90</v>
      </c>
      <c r="U125" s="28">
        <v>11</v>
      </c>
      <c r="V125" s="28" t="s">
        <v>8822</v>
      </c>
      <c r="W125" s="28"/>
      <c r="X125" s="28"/>
    </row>
    <row r="126" spans="1:24" x14ac:dyDescent="0.2">
      <c r="A126" s="19">
        <f t="shared" si="16"/>
        <v>121</v>
      </c>
      <c r="B126" s="32" t="s">
        <v>6501</v>
      </c>
      <c r="C126" s="28">
        <v>6050</v>
      </c>
      <c r="D126" s="28">
        <v>1</v>
      </c>
      <c r="E126" s="28">
        <v>262</v>
      </c>
      <c r="F126" s="28">
        <v>334.1</v>
      </c>
      <c r="G126" s="28">
        <v>189230</v>
      </c>
      <c r="H126" s="28">
        <v>2270</v>
      </c>
      <c r="I126" s="28">
        <v>461</v>
      </c>
      <c r="J126" s="28">
        <v>575</v>
      </c>
      <c r="K126" s="28">
        <v>18</v>
      </c>
      <c r="L126" s="28">
        <v>12</v>
      </c>
      <c r="M126" s="28">
        <f t="shared" si="22"/>
        <v>95.646761566703532</v>
      </c>
      <c r="N126" s="28">
        <f t="shared" si="19"/>
        <v>2091.7274884722292</v>
      </c>
      <c r="O126" s="28">
        <f t="shared" si="23"/>
        <v>2036.1171806167401</v>
      </c>
      <c r="P126" s="28">
        <f t="shared" si="15"/>
        <v>6454.0816326530612</v>
      </c>
      <c r="Q126" s="28">
        <f t="shared" si="13"/>
        <v>98.259060066387036</v>
      </c>
      <c r="R126" s="29">
        <f t="shared" si="24"/>
        <v>127247.75436123348</v>
      </c>
      <c r="S126" s="32" t="s">
        <v>6261</v>
      </c>
      <c r="T126" s="32">
        <v>90</v>
      </c>
      <c r="U126" s="28">
        <v>11</v>
      </c>
      <c r="V126" s="28" t="s">
        <v>8822</v>
      </c>
      <c r="W126" s="28"/>
      <c r="X126" s="28"/>
    </row>
    <row r="127" spans="1:24" x14ac:dyDescent="0.2">
      <c r="A127" s="19">
        <f t="shared" si="16"/>
        <v>122</v>
      </c>
      <c r="B127" s="32" t="s">
        <v>6502</v>
      </c>
      <c r="C127" s="28">
        <v>6630</v>
      </c>
      <c r="D127" s="28">
        <v>1</v>
      </c>
      <c r="E127" s="28">
        <v>280</v>
      </c>
      <c r="F127" s="28">
        <v>356.9</v>
      </c>
      <c r="G127" s="28">
        <v>209050</v>
      </c>
      <c r="H127" s="28">
        <v>2270</v>
      </c>
      <c r="I127" s="28">
        <v>461</v>
      </c>
      <c r="J127" s="28">
        <v>575</v>
      </c>
      <c r="K127" s="28">
        <v>20</v>
      </c>
      <c r="L127" s="28">
        <v>12</v>
      </c>
      <c r="M127" s="28">
        <f t="shared" si="22"/>
        <v>100.63064850022987</v>
      </c>
      <c r="N127" s="28">
        <f t="shared" si="19"/>
        <v>2196.3688968099332</v>
      </c>
      <c r="O127" s="28">
        <f t="shared" si="23"/>
        <v>2254.2290748898677</v>
      </c>
      <c r="P127" s="28">
        <f t="shared" si="15"/>
        <v>7125.7009345794395</v>
      </c>
      <c r="Q127" s="28">
        <f t="shared" si="13"/>
        <v>98.047722342733181</v>
      </c>
      <c r="R127" s="29">
        <f t="shared" si="24"/>
        <v>138655.53230543318</v>
      </c>
      <c r="S127" s="32" t="s">
        <v>6261</v>
      </c>
      <c r="T127" s="32">
        <v>90</v>
      </c>
      <c r="U127" s="28">
        <v>11</v>
      </c>
      <c r="V127" s="28" t="s">
        <v>8822</v>
      </c>
      <c r="W127" s="28"/>
      <c r="X127" s="28"/>
    </row>
    <row r="128" spans="1:24" x14ac:dyDescent="0.2">
      <c r="A128" s="19">
        <f t="shared" si="16"/>
        <v>123</v>
      </c>
      <c r="B128" s="32" t="s">
        <v>6503</v>
      </c>
      <c r="C128" s="28">
        <v>7685</v>
      </c>
      <c r="D128" s="28">
        <v>1</v>
      </c>
      <c r="E128" s="28">
        <v>272</v>
      </c>
      <c r="F128" s="28">
        <v>346.9</v>
      </c>
      <c r="G128" s="28">
        <v>318260</v>
      </c>
      <c r="H128" s="28">
        <v>2270</v>
      </c>
      <c r="I128" s="28">
        <v>460</v>
      </c>
      <c r="J128" s="28">
        <v>775</v>
      </c>
      <c r="K128" s="28">
        <v>17</v>
      </c>
      <c r="L128" s="28">
        <v>12.5</v>
      </c>
      <c r="M128" s="28">
        <f t="shared" si="22"/>
        <v>119.98607012469154</v>
      </c>
      <c r="N128" s="28">
        <f t="shared" si="19"/>
        <v>2921.2275022030731</v>
      </c>
      <c r="O128" s="28">
        <f t="shared" si="23"/>
        <v>2611.259911894273</v>
      </c>
      <c r="P128" s="28">
        <f t="shared" si="15"/>
        <v>8037.6180836707154</v>
      </c>
      <c r="Q128" s="28">
        <f t="shared" si="13"/>
        <v>134.22892387424167</v>
      </c>
      <c r="R128" s="29">
        <f t="shared" si="24"/>
        <v>235307.82380690164</v>
      </c>
      <c r="S128" s="32" t="s">
        <v>6261</v>
      </c>
      <c r="T128" s="32">
        <v>90</v>
      </c>
      <c r="U128" s="28">
        <v>11</v>
      </c>
      <c r="V128" s="28" t="s">
        <v>8822</v>
      </c>
      <c r="W128" s="28"/>
      <c r="X128" s="28"/>
    </row>
    <row r="129" spans="1:24" x14ac:dyDescent="0.2">
      <c r="A129" s="19">
        <f t="shared" si="16"/>
        <v>124</v>
      </c>
      <c r="B129" s="32" t="s">
        <v>6504</v>
      </c>
      <c r="C129" s="28">
        <v>8280</v>
      </c>
      <c r="D129" s="28">
        <v>1</v>
      </c>
      <c r="E129" s="28">
        <v>285</v>
      </c>
      <c r="F129" s="28">
        <v>363.1</v>
      </c>
      <c r="G129" s="28">
        <v>343460</v>
      </c>
      <c r="H129" s="28">
        <v>2270</v>
      </c>
      <c r="I129" s="28">
        <v>460</v>
      </c>
      <c r="J129" s="28">
        <v>775</v>
      </c>
      <c r="K129" s="28">
        <v>19</v>
      </c>
      <c r="L129" s="28">
        <v>12.5</v>
      </c>
      <c r="M129" s="28">
        <f t="shared" si="22"/>
        <v>123.38451777740951</v>
      </c>
      <c r="N129" s="28">
        <f t="shared" si="19"/>
        <v>3065.6999655067648</v>
      </c>
      <c r="O129" s="28">
        <f t="shared" si="23"/>
        <v>2910.7665198237887</v>
      </c>
      <c r="P129" s="28">
        <f t="shared" si="15"/>
        <v>8706.9199457259165</v>
      </c>
      <c r="Q129" s="28">
        <f t="shared" si="13"/>
        <v>129.95199351034591</v>
      </c>
      <c r="R129" s="29">
        <f t="shared" si="24"/>
        <v>256839.95985682821</v>
      </c>
      <c r="S129" s="32" t="s">
        <v>6261</v>
      </c>
      <c r="T129" s="32">
        <v>90</v>
      </c>
      <c r="U129" s="28">
        <v>11</v>
      </c>
      <c r="V129" s="28" t="s">
        <v>8822</v>
      </c>
      <c r="W129" s="28"/>
      <c r="X129" s="28"/>
    </row>
    <row r="130" spans="1:24" x14ac:dyDescent="0.2">
      <c r="A130" s="19">
        <f t="shared" si="16"/>
        <v>125</v>
      </c>
      <c r="B130" s="32" t="s">
        <v>6505</v>
      </c>
      <c r="C130" s="28">
        <v>9220</v>
      </c>
      <c r="D130" s="28">
        <v>1</v>
      </c>
      <c r="E130" s="28">
        <v>311</v>
      </c>
      <c r="F130" s="28">
        <v>396.5</v>
      </c>
      <c r="G130" s="28">
        <v>384190</v>
      </c>
      <c r="H130" s="28">
        <v>2270</v>
      </c>
      <c r="I130" s="28">
        <v>461.5</v>
      </c>
      <c r="J130" s="28">
        <v>775</v>
      </c>
      <c r="K130" s="28">
        <v>21</v>
      </c>
      <c r="L130" s="28">
        <v>14</v>
      </c>
      <c r="M130" s="28">
        <f t="shared" si="22"/>
        <v>139.20922951847288</v>
      </c>
      <c r="N130" s="28">
        <f t="shared" si="19"/>
        <v>3404.1618543387872</v>
      </c>
      <c r="O130" s="28">
        <f t="shared" si="23"/>
        <v>3219.1149779735683</v>
      </c>
      <c r="P130" s="28">
        <f t="shared" si="15"/>
        <v>9748.2946793997271</v>
      </c>
      <c r="Q130" s="28">
        <f t="shared" si="13"/>
        <v>147.21150134158691</v>
      </c>
      <c r="R130" s="29">
        <f t="shared" si="24"/>
        <v>283266.11237151246</v>
      </c>
      <c r="S130" s="32" t="s">
        <v>6261</v>
      </c>
      <c r="T130" s="32">
        <v>90</v>
      </c>
      <c r="U130" s="28">
        <v>11</v>
      </c>
      <c r="V130" s="28" t="s">
        <v>8822</v>
      </c>
      <c r="W130" s="28"/>
      <c r="X130" s="28"/>
    </row>
    <row r="131" spans="1:24" x14ac:dyDescent="0.2">
      <c r="A131" s="19">
        <f t="shared" si="16"/>
        <v>126</v>
      </c>
      <c r="B131" s="32" t="s">
        <v>1473</v>
      </c>
      <c r="C131" s="28">
        <v>9820</v>
      </c>
      <c r="D131" s="28">
        <v>1</v>
      </c>
      <c r="E131" s="28">
        <v>324</v>
      </c>
      <c r="F131" s="28">
        <v>412.8</v>
      </c>
      <c r="G131" s="28">
        <v>410080</v>
      </c>
      <c r="H131" s="28">
        <v>2270</v>
      </c>
      <c r="I131" s="28">
        <v>461.5</v>
      </c>
      <c r="J131" s="28">
        <v>775</v>
      </c>
      <c r="K131" s="28">
        <v>23</v>
      </c>
      <c r="L131" s="28">
        <v>14</v>
      </c>
      <c r="M131" s="28">
        <f t="shared" si="22"/>
        <v>142.6111950164989</v>
      </c>
      <c r="N131" s="28">
        <f t="shared" si="19"/>
        <v>3546.8852960826339</v>
      </c>
      <c r="O131" s="28">
        <f t="shared" si="23"/>
        <v>3516.345374449339</v>
      </c>
      <c r="P131" s="28">
        <f t="shared" si="15"/>
        <v>10439.643347050755</v>
      </c>
      <c r="Q131" s="28">
        <f t="shared" ref="Q131:Q150" si="25">+M131*N131/O131</f>
        <v>143.84979198466971</v>
      </c>
      <c r="R131" s="29">
        <f t="shared" si="24"/>
        <v>304334.58322320122</v>
      </c>
      <c r="S131" s="32" t="s">
        <v>6261</v>
      </c>
      <c r="T131" s="32">
        <v>90</v>
      </c>
      <c r="U131" s="28">
        <v>11</v>
      </c>
      <c r="V131" s="28" t="s">
        <v>8822</v>
      </c>
      <c r="W131" s="28"/>
      <c r="X131" s="28"/>
    </row>
    <row r="132" spans="1:24" x14ac:dyDescent="0.2">
      <c r="A132" s="19">
        <f t="shared" si="16"/>
        <v>127</v>
      </c>
      <c r="B132" s="32" t="s">
        <v>1474</v>
      </c>
      <c r="C132" s="28">
        <v>10100</v>
      </c>
      <c r="D132" s="28">
        <v>1</v>
      </c>
      <c r="E132" s="28">
        <v>299</v>
      </c>
      <c r="F132" s="28">
        <v>381.3</v>
      </c>
      <c r="G132" s="28">
        <v>522350</v>
      </c>
      <c r="H132" s="28">
        <v>2270</v>
      </c>
      <c r="I132" s="28">
        <v>460</v>
      </c>
      <c r="J132" s="28">
        <v>975</v>
      </c>
      <c r="K132" s="28">
        <v>17</v>
      </c>
      <c r="L132" s="28">
        <v>14</v>
      </c>
      <c r="M132" s="28">
        <f t="shared" si="22"/>
        <v>157.33010700639196</v>
      </c>
      <c r="N132" s="28">
        <f t="shared" si="19"/>
        <v>4095.2642968575369</v>
      </c>
      <c r="O132" s="28">
        <f t="shared" si="23"/>
        <v>3300.2466960352422</v>
      </c>
      <c r="P132" s="28">
        <f t="shared" ref="P132:P150" si="26">+C132*J132/(J132-2*K132)</f>
        <v>10464.930924548353</v>
      </c>
      <c r="Q132" s="28">
        <f t="shared" si="25"/>
        <v>195.23036590509852</v>
      </c>
      <c r="R132" s="29">
        <f t="shared" si="24"/>
        <v>401845.32697503676</v>
      </c>
      <c r="S132" s="32" t="s">
        <v>6261</v>
      </c>
      <c r="T132" s="32">
        <v>90</v>
      </c>
      <c r="U132" s="28">
        <v>11</v>
      </c>
      <c r="V132" s="28" t="s">
        <v>8822</v>
      </c>
      <c r="W132" s="28"/>
      <c r="X132" s="28"/>
    </row>
    <row r="133" spans="1:24" x14ac:dyDescent="0.2">
      <c r="A133" s="19">
        <f t="shared" si="16"/>
        <v>128</v>
      </c>
      <c r="B133" s="32" t="s">
        <v>1475</v>
      </c>
      <c r="C133" s="28">
        <v>10855</v>
      </c>
      <c r="D133" s="28">
        <v>1</v>
      </c>
      <c r="E133" s="28">
        <v>312</v>
      </c>
      <c r="F133" s="28">
        <v>397.5</v>
      </c>
      <c r="G133" s="28">
        <v>561950</v>
      </c>
      <c r="H133" s="28">
        <v>2270</v>
      </c>
      <c r="I133" s="28">
        <v>460</v>
      </c>
      <c r="J133" s="28">
        <v>975</v>
      </c>
      <c r="K133" s="28">
        <v>19</v>
      </c>
      <c r="L133" s="28">
        <v>14</v>
      </c>
      <c r="M133" s="28">
        <f t="shared" si="22"/>
        <v>161.99973023888617</v>
      </c>
      <c r="N133" s="28">
        <f t="shared" si="19"/>
        <v>4278.7366620913217</v>
      </c>
      <c r="O133" s="28">
        <f t="shared" si="23"/>
        <v>3680.8105726872245</v>
      </c>
      <c r="P133" s="28">
        <f t="shared" si="26"/>
        <v>11295.224119530416</v>
      </c>
      <c r="Q133" s="28">
        <f t="shared" si="25"/>
        <v>188.31563628007621</v>
      </c>
      <c r="R133" s="29">
        <f t="shared" si="24"/>
        <v>436492.74201174744</v>
      </c>
      <c r="S133" s="32" t="s">
        <v>6261</v>
      </c>
      <c r="T133" s="32">
        <v>90</v>
      </c>
      <c r="U133" s="28">
        <v>11</v>
      </c>
      <c r="V133" s="28" t="s">
        <v>8822</v>
      </c>
      <c r="W133" s="28"/>
      <c r="X133" s="28"/>
    </row>
    <row r="134" spans="1:24" x14ac:dyDescent="0.2">
      <c r="A134" s="19">
        <f t="shared" si="16"/>
        <v>129</v>
      </c>
      <c r="B134" s="32" t="s">
        <v>1476</v>
      </c>
      <c r="C134" s="28">
        <v>12170</v>
      </c>
      <c r="D134" s="28">
        <v>1</v>
      </c>
      <c r="E134" s="28">
        <v>344</v>
      </c>
      <c r="F134" s="28">
        <v>438</v>
      </c>
      <c r="G134" s="28">
        <v>632000</v>
      </c>
      <c r="H134" s="28">
        <v>2270</v>
      </c>
      <c r="I134" s="28">
        <v>462</v>
      </c>
      <c r="J134" s="28">
        <v>975</v>
      </c>
      <c r="K134" s="28">
        <v>21</v>
      </c>
      <c r="L134" s="28">
        <v>16</v>
      </c>
      <c r="M134" s="28">
        <f t="shared" si="22"/>
        <v>185.14243830456505</v>
      </c>
      <c r="N134" s="28">
        <f t="shared" si="19"/>
        <v>4812.1063884151681</v>
      </c>
      <c r="O134" s="28">
        <f t="shared" si="23"/>
        <v>4077.4044052863437</v>
      </c>
      <c r="P134" s="28">
        <f t="shared" si="26"/>
        <v>12717.845659163988</v>
      </c>
      <c r="Q134" s="28">
        <f t="shared" si="25"/>
        <v>218.50300376805319</v>
      </c>
      <c r="R134" s="29">
        <f t="shared" si="24"/>
        <v>484455.87039647577</v>
      </c>
      <c r="S134" s="32" t="s">
        <v>6261</v>
      </c>
      <c r="T134" s="32">
        <v>90</v>
      </c>
      <c r="U134" s="28">
        <v>11</v>
      </c>
      <c r="V134" s="28" t="s">
        <v>8822</v>
      </c>
      <c r="W134" s="28"/>
      <c r="X134" s="28"/>
    </row>
    <row r="135" spans="1:24" x14ac:dyDescent="0.2">
      <c r="A135" s="19">
        <f t="shared" ref="A135:A189" si="27">+A134+1</f>
        <v>130</v>
      </c>
      <c r="B135" s="32" t="s">
        <v>1477</v>
      </c>
      <c r="C135" s="28">
        <v>12925</v>
      </c>
      <c r="D135" s="28">
        <v>1</v>
      </c>
      <c r="E135" s="28">
        <v>357</v>
      </c>
      <c r="F135" s="28">
        <v>454.3</v>
      </c>
      <c r="G135" s="28">
        <v>672540</v>
      </c>
      <c r="H135" s="28">
        <v>2270</v>
      </c>
      <c r="I135" s="28">
        <v>462</v>
      </c>
      <c r="J135" s="28">
        <v>975</v>
      </c>
      <c r="K135" s="28">
        <v>23</v>
      </c>
      <c r="L135" s="28">
        <v>16</v>
      </c>
      <c r="M135" s="28">
        <f t="shared" si="22"/>
        <v>189.84890598628959</v>
      </c>
      <c r="N135" s="28">
        <f t="shared" si="19"/>
        <v>4993.8344594887485</v>
      </c>
      <c r="O135" s="28">
        <f t="shared" si="23"/>
        <v>4456.3665198237886</v>
      </c>
      <c r="P135" s="28">
        <f t="shared" si="26"/>
        <v>13564.989235737352</v>
      </c>
      <c r="Q135" s="28">
        <f t="shared" si="25"/>
        <v>212.74596795239833</v>
      </c>
      <c r="R135" s="29">
        <f t="shared" si="24"/>
        <v>518515.4299265786</v>
      </c>
      <c r="S135" s="32" t="s">
        <v>6261</v>
      </c>
      <c r="T135" s="32">
        <v>90</v>
      </c>
      <c r="U135" s="28">
        <v>11</v>
      </c>
      <c r="V135" s="28" t="s">
        <v>8822</v>
      </c>
      <c r="W135" s="28"/>
      <c r="X135" s="28"/>
    </row>
    <row r="136" spans="1:24" x14ac:dyDescent="0.2">
      <c r="A136" s="19">
        <f t="shared" si="27"/>
        <v>131</v>
      </c>
      <c r="B136" s="32" t="s">
        <v>1478</v>
      </c>
      <c r="C136" s="28">
        <v>1200</v>
      </c>
      <c r="D136" s="28">
        <v>805</v>
      </c>
      <c r="E136" s="28">
        <v>99</v>
      </c>
      <c r="F136" s="28">
        <v>126</v>
      </c>
      <c r="G136" s="28">
        <v>18140</v>
      </c>
      <c r="H136" s="28">
        <v>1340</v>
      </c>
      <c r="I136" s="28">
        <v>360</v>
      </c>
      <c r="J136" s="28">
        <v>302</v>
      </c>
      <c r="K136" s="28">
        <v>8.5</v>
      </c>
      <c r="L136" s="28">
        <v>8.5</v>
      </c>
      <c r="M136" s="28">
        <f t="shared" si="22"/>
        <v>32.643167143008363</v>
      </c>
      <c r="N136" s="28">
        <v>705</v>
      </c>
      <c r="O136" s="28">
        <f t="shared" ref="O136:O150" si="28">+(I136*K136*(J136-K136)/2/1200)</f>
        <v>374.21249999999998</v>
      </c>
      <c r="P136" s="28">
        <f t="shared" si="26"/>
        <v>1271.578947368421</v>
      </c>
      <c r="Q136" s="28">
        <f t="shared" si="25"/>
        <v>61.498300660242229</v>
      </c>
      <c r="R136" s="28"/>
      <c r="S136" s="32" t="s">
        <v>6261</v>
      </c>
      <c r="T136" s="28">
        <v>45.4</v>
      </c>
      <c r="U136" s="28">
        <v>12</v>
      </c>
      <c r="V136" s="28" t="s">
        <v>8822</v>
      </c>
      <c r="W136" s="28"/>
      <c r="X136" s="28"/>
    </row>
    <row r="137" spans="1:24" x14ac:dyDescent="0.2">
      <c r="A137" s="19">
        <f t="shared" si="27"/>
        <v>132</v>
      </c>
      <c r="B137" s="28" t="s">
        <v>2088</v>
      </c>
      <c r="C137" s="28">
        <v>1300</v>
      </c>
      <c r="D137" s="28">
        <v>870</v>
      </c>
      <c r="E137" s="28">
        <v>107</v>
      </c>
      <c r="F137" s="28">
        <v>137</v>
      </c>
      <c r="G137" s="28">
        <v>19700</v>
      </c>
      <c r="H137" s="28">
        <v>1340</v>
      </c>
      <c r="I137" s="28">
        <v>360</v>
      </c>
      <c r="J137" s="28">
        <v>303</v>
      </c>
      <c r="K137" s="28">
        <v>9.5</v>
      </c>
      <c r="L137" s="28">
        <v>9.5</v>
      </c>
      <c r="M137" s="28">
        <f t="shared" si="22"/>
        <v>36.513510876987617</v>
      </c>
      <c r="N137" s="28">
        <v>765</v>
      </c>
      <c r="O137" s="28">
        <f t="shared" si="28"/>
        <v>418.23750000000001</v>
      </c>
      <c r="P137" s="28">
        <f t="shared" si="26"/>
        <v>1386.9718309859154</v>
      </c>
      <c r="Q137" s="28">
        <f t="shared" si="25"/>
        <v>66.787018908862848</v>
      </c>
      <c r="R137" s="28"/>
      <c r="S137" s="32" t="s">
        <v>6261</v>
      </c>
      <c r="T137" s="28">
        <v>45.4</v>
      </c>
      <c r="U137" s="28">
        <v>12</v>
      </c>
      <c r="V137" s="28" t="s">
        <v>8822</v>
      </c>
      <c r="W137" s="28"/>
      <c r="X137" s="28"/>
    </row>
    <row r="138" spans="1:24" x14ac:dyDescent="0.2">
      <c r="A138" s="19">
        <f t="shared" si="27"/>
        <v>133</v>
      </c>
      <c r="B138" s="32" t="s">
        <v>2089</v>
      </c>
      <c r="C138" s="28">
        <v>1400</v>
      </c>
      <c r="D138" s="28">
        <v>939</v>
      </c>
      <c r="E138" s="28">
        <v>117</v>
      </c>
      <c r="F138" s="28">
        <v>149</v>
      </c>
      <c r="G138" s="28">
        <v>21300</v>
      </c>
      <c r="H138" s="28">
        <v>1340</v>
      </c>
      <c r="I138" s="28">
        <v>360</v>
      </c>
      <c r="J138" s="28">
        <v>304</v>
      </c>
      <c r="K138" s="28">
        <v>10.5</v>
      </c>
      <c r="L138" s="28">
        <v>10.5</v>
      </c>
      <c r="M138" s="28">
        <f t="shared" si="22"/>
        <v>40.461329715061055</v>
      </c>
      <c r="N138" s="28">
        <v>825</v>
      </c>
      <c r="O138" s="28">
        <f t="shared" si="28"/>
        <v>462.26249999999999</v>
      </c>
      <c r="P138" s="28">
        <f t="shared" si="26"/>
        <v>1503.886925795053</v>
      </c>
      <c r="Q138" s="28">
        <f t="shared" si="25"/>
        <v>72.211345317704485</v>
      </c>
      <c r="R138" s="28"/>
      <c r="S138" s="32" t="s">
        <v>6261</v>
      </c>
      <c r="T138" s="28">
        <v>45.4</v>
      </c>
      <c r="U138" s="28">
        <v>12</v>
      </c>
      <c r="V138" s="28" t="s">
        <v>8822</v>
      </c>
      <c r="W138" s="28"/>
      <c r="X138" s="28"/>
    </row>
    <row r="139" spans="1:24" x14ac:dyDescent="0.2">
      <c r="A139" s="19">
        <f t="shared" si="27"/>
        <v>134</v>
      </c>
      <c r="B139" s="32" t="s">
        <v>2090</v>
      </c>
      <c r="C139" s="28">
        <v>1665</v>
      </c>
      <c r="D139" s="28">
        <v>1050</v>
      </c>
      <c r="E139" s="28">
        <v>109</v>
      </c>
      <c r="F139" s="28">
        <v>138</v>
      </c>
      <c r="G139" s="28">
        <v>31580</v>
      </c>
      <c r="H139" s="28">
        <v>1260</v>
      </c>
      <c r="I139" s="28">
        <v>348</v>
      </c>
      <c r="J139" s="28">
        <v>39</v>
      </c>
      <c r="K139" s="28">
        <v>8.5</v>
      </c>
      <c r="L139" s="28">
        <v>8.5</v>
      </c>
      <c r="M139" s="28">
        <f t="shared" si="22"/>
        <v>43.92570774014073</v>
      </c>
      <c r="N139" s="28">
        <v>970</v>
      </c>
      <c r="O139" s="28">
        <f t="shared" si="28"/>
        <v>37.591250000000002</v>
      </c>
      <c r="P139" s="28">
        <f t="shared" si="26"/>
        <v>2951.590909090909</v>
      </c>
      <c r="Q139" s="28">
        <f t="shared" si="25"/>
        <v>1133.4535698583184</v>
      </c>
      <c r="R139" s="28"/>
      <c r="S139" s="32" t="s">
        <v>6261</v>
      </c>
      <c r="T139" s="28">
        <v>55.4</v>
      </c>
      <c r="U139" s="28">
        <v>12</v>
      </c>
      <c r="V139" s="28" t="s">
        <v>8822</v>
      </c>
      <c r="W139" s="28"/>
      <c r="X139" s="28"/>
    </row>
    <row r="140" spans="1:24" x14ac:dyDescent="0.2">
      <c r="A140" s="19">
        <f t="shared" si="27"/>
        <v>135</v>
      </c>
      <c r="B140" s="28" t="s">
        <v>2091</v>
      </c>
      <c r="C140" s="28">
        <v>1800</v>
      </c>
      <c r="D140" s="28">
        <v>1135</v>
      </c>
      <c r="E140" s="28">
        <v>118</v>
      </c>
      <c r="F140" s="28">
        <v>150</v>
      </c>
      <c r="G140" s="28">
        <v>34200</v>
      </c>
      <c r="H140" s="28">
        <v>1260</v>
      </c>
      <c r="I140" s="28">
        <v>348</v>
      </c>
      <c r="J140" s="28">
        <v>380</v>
      </c>
      <c r="K140" s="28">
        <v>9.5</v>
      </c>
      <c r="L140" s="28">
        <v>9.5</v>
      </c>
      <c r="M140" s="28">
        <f t="shared" si="22"/>
        <v>49.115646258503396</v>
      </c>
      <c r="N140" s="28">
        <v>1050</v>
      </c>
      <c r="O140" s="28">
        <f t="shared" si="28"/>
        <v>510.36374999999998</v>
      </c>
      <c r="P140" s="28">
        <f t="shared" si="26"/>
        <v>1894.7368421052631</v>
      </c>
      <c r="Q140" s="28">
        <f t="shared" si="25"/>
        <v>101.04837691044587</v>
      </c>
      <c r="R140" s="28"/>
      <c r="S140" s="32" t="s">
        <v>6261</v>
      </c>
      <c r="T140" s="28">
        <v>55.4</v>
      </c>
      <c r="U140" s="28">
        <v>12</v>
      </c>
      <c r="V140" s="28" t="s">
        <v>8822</v>
      </c>
      <c r="W140" s="28"/>
      <c r="X140" s="28"/>
    </row>
    <row r="141" spans="1:24" x14ac:dyDescent="0.2">
      <c r="A141" s="19">
        <f t="shared" si="27"/>
        <v>136</v>
      </c>
      <c r="B141" s="32" t="s">
        <v>2092</v>
      </c>
      <c r="C141" s="28">
        <v>1940</v>
      </c>
      <c r="D141" s="28">
        <v>1223</v>
      </c>
      <c r="E141" s="28">
        <v>129</v>
      </c>
      <c r="F141" s="28">
        <v>164</v>
      </c>
      <c r="G141" s="28">
        <v>36980</v>
      </c>
      <c r="H141" s="28">
        <v>1260</v>
      </c>
      <c r="I141" s="28">
        <v>348</v>
      </c>
      <c r="J141" s="28">
        <v>381</v>
      </c>
      <c r="K141" s="28">
        <v>10.5</v>
      </c>
      <c r="L141" s="28">
        <v>10.5</v>
      </c>
      <c r="M141" s="28">
        <f t="shared" si="22"/>
        <v>54.064327485380112</v>
      </c>
      <c r="N141" s="28">
        <v>1140</v>
      </c>
      <c r="O141" s="28">
        <f t="shared" si="28"/>
        <v>564.08624999999995</v>
      </c>
      <c r="P141" s="28">
        <f t="shared" si="26"/>
        <v>2053.1666666666665</v>
      </c>
      <c r="Q141" s="28">
        <f t="shared" si="25"/>
        <v>109.26225082304937</v>
      </c>
      <c r="R141" s="28"/>
      <c r="S141" s="32" t="s">
        <v>6261</v>
      </c>
      <c r="T141" s="28">
        <v>55.4</v>
      </c>
      <c r="U141" s="28">
        <v>12</v>
      </c>
      <c r="V141" s="28" t="s">
        <v>8822</v>
      </c>
      <c r="W141" s="28"/>
      <c r="X141" s="28"/>
    </row>
    <row r="142" spans="1:24" x14ac:dyDescent="0.2">
      <c r="A142" s="19">
        <f t="shared" si="27"/>
        <v>137</v>
      </c>
      <c r="B142" s="32" t="s">
        <v>2093</v>
      </c>
      <c r="C142" s="28">
        <v>2455</v>
      </c>
      <c r="D142" s="28">
        <v>1545</v>
      </c>
      <c r="E142" s="28">
        <v>145</v>
      </c>
      <c r="F142" s="28">
        <v>185</v>
      </c>
      <c r="G142" s="28">
        <v>52250</v>
      </c>
      <c r="H142" s="28">
        <v>1260</v>
      </c>
      <c r="I142" s="28">
        <v>347</v>
      </c>
      <c r="J142" s="28">
        <v>426</v>
      </c>
      <c r="K142" s="28">
        <v>12</v>
      </c>
      <c r="L142" s="28">
        <v>11.2</v>
      </c>
      <c r="M142" s="28">
        <f t="shared" si="22"/>
        <v>64.730933023615961</v>
      </c>
      <c r="N142" s="28">
        <v>1435</v>
      </c>
      <c r="O142" s="28">
        <f t="shared" si="28"/>
        <v>718.29</v>
      </c>
      <c r="P142" s="28">
        <f t="shared" si="26"/>
        <v>2601.5671641791046</v>
      </c>
      <c r="Q142" s="28">
        <f t="shared" si="25"/>
        <v>129.31947944268876</v>
      </c>
      <c r="R142" s="28"/>
      <c r="S142" s="32" t="s">
        <v>6261</v>
      </c>
      <c r="T142" s="28">
        <v>58.5</v>
      </c>
      <c r="U142" s="28">
        <v>12</v>
      </c>
      <c r="V142" s="28" t="s">
        <v>8822</v>
      </c>
      <c r="W142" s="28"/>
      <c r="X142" s="28"/>
    </row>
    <row r="143" spans="1:24" x14ac:dyDescent="0.2">
      <c r="A143" s="19">
        <f t="shared" si="27"/>
        <v>138</v>
      </c>
      <c r="B143" s="28" t="s">
        <v>2094</v>
      </c>
      <c r="C143" s="28">
        <v>2600</v>
      </c>
      <c r="D143" s="28">
        <v>1640</v>
      </c>
      <c r="E143" s="28">
        <v>155</v>
      </c>
      <c r="F143" s="28">
        <v>198</v>
      </c>
      <c r="G143" s="28">
        <v>55510</v>
      </c>
      <c r="H143" s="28">
        <v>1260</v>
      </c>
      <c r="I143" s="28">
        <v>347</v>
      </c>
      <c r="J143" s="28">
        <v>427</v>
      </c>
      <c r="K143" s="28">
        <v>13</v>
      </c>
      <c r="L143" s="28">
        <v>12.2</v>
      </c>
      <c r="M143" s="28">
        <f t="shared" si="22"/>
        <v>70.258533042846778</v>
      </c>
      <c r="N143" s="28">
        <v>1530</v>
      </c>
      <c r="O143" s="28">
        <f t="shared" si="28"/>
        <v>778.14750000000004</v>
      </c>
      <c r="P143" s="28">
        <f t="shared" si="26"/>
        <v>2768.5785536159601</v>
      </c>
      <c r="Q143" s="28">
        <f t="shared" si="25"/>
        <v>138.14290421231908</v>
      </c>
      <c r="R143" s="28"/>
      <c r="S143" s="32" t="s">
        <v>6261</v>
      </c>
      <c r="T143" s="28">
        <v>58.5</v>
      </c>
      <c r="U143" s="28">
        <v>12</v>
      </c>
      <c r="V143" s="28" t="s">
        <v>8822</v>
      </c>
      <c r="W143" s="28"/>
      <c r="X143" s="28"/>
    </row>
    <row r="144" spans="1:24" x14ac:dyDescent="0.2">
      <c r="A144" s="19">
        <f t="shared" si="27"/>
        <v>139</v>
      </c>
      <c r="B144" s="32" t="s">
        <v>2095</v>
      </c>
      <c r="C144" s="28">
        <v>2755</v>
      </c>
      <c r="D144" s="28">
        <v>1735</v>
      </c>
      <c r="E144" s="28">
        <v>166</v>
      </c>
      <c r="F144" s="28">
        <v>211</v>
      </c>
      <c r="G144" s="28">
        <v>58940</v>
      </c>
      <c r="H144" s="28">
        <v>1260</v>
      </c>
      <c r="I144" s="28">
        <v>347</v>
      </c>
      <c r="J144" s="28">
        <v>428</v>
      </c>
      <c r="K144" s="28">
        <v>14</v>
      </c>
      <c r="L144" s="28">
        <v>13.2</v>
      </c>
      <c r="M144" s="28">
        <f t="shared" si="22"/>
        <v>75.995897435897447</v>
      </c>
      <c r="N144" s="28">
        <v>1625</v>
      </c>
      <c r="O144" s="28">
        <f t="shared" si="28"/>
        <v>838.005</v>
      </c>
      <c r="P144" s="28">
        <f t="shared" si="26"/>
        <v>2947.85</v>
      </c>
      <c r="Q144" s="28">
        <f t="shared" si="25"/>
        <v>147.36586694987901</v>
      </c>
      <c r="R144" s="28"/>
      <c r="S144" s="32" t="s">
        <v>6261</v>
      </c>
      <c r="T144" s="28">
        <v>58.5</v>
      </c>
      <c r="U144" s="28">
        <v>12</v>
      </c>
      <c r="V144" s="28" t="s">
        <v>8822</v>
      </c>
      <c r="W144" s="28"/>
      <c r="X144" s="28"/>
    </row>
    <row r="145" spans="1:25" x14ac:dyDescent="0.2">
      <c r="A145" s="19">
        <f t="shared" si="27"/>
        <v>140</v>
      </c>
      <c r="B145" s="32" t="s">
        <v>5183</v>
      </c>
      <c r="C145" s="28">
        <v>3430</v>
      </c>
      <c r="D145" s="28">
        <v>2160</v>
      </c>
      <c r="E145" s="28">
        <v>183</v>
      </c>
      <c r="F145" s="28">
        <v>234</v>
      </c>
      <c r="G145" s="28">
        <v>78700</v>
      </c>
      <c r="H145" s="28">
        <v>1260</v>
      </c>
      <c r="I145" s="28">
        <v>378</v>
      </c>
      <c r="J145" s="28">
        <v>459</v>
      </c>
      <c r="K145" s="28">
        <v>17</v>
      </c>
      <c r="L145" s="28">
        <v>13</v>
      </c>
      <c r="M145" s="28">
        <f t="shared" si="22"/>
        <v>81.606444923027837</v>
      </c>
      <c r="N145" s="28">
        <v>1990</v>
      </c>
      <c r="O145" s="28">
        <f t="shared" si="28"/>
        <v>1183.4549999999999</v>
      </c>
      <c r="P145" s="28">
        <f t="shared" si="26"/>
        <v>3704.4</v>
      </c>
      <c r="Q145" s="28">
        <f t="shared" si="25"/>
        <v>137.22264504930513</v>
      </c>
      <c r="R145" s="28"/>
      <c r="S145" s="32" t="s">
        <v>6261</v>
      </c>
      <c r="T145" s="28">
        <v>63.4</v>
      </c>
      <c r="U145" s="28">
        <v>12</v>
      </c>
      <c r="V145" s="28" t="s">
        <v>8822</v>
      </c>
      <c r="W145" s="28"/>
      <c r="X145" s="28"/>
    </row>
    <row r="146" spans="1:25" x14ac:dyDescent="0.2">
      <c r="A146" s="19">
        <f t="shared" si="27"/>
        <v>141</v>
      </c>
      <c r="B146" s="32" t="s">
        <v>5184</v>
      </c>
      <c r="C146" s="28">
        <v>3600</v>
      </c>
      <c r="D146" s="28">
        <v>2270</v>
      </c>
      <c r="E146" s="28">
        <v>194</v>
      </c>
      <c r="F146" s="28">
        <v>247</v>
      </c>
      <c r="G146" s="28">
        <v>82800</v>
      </c>
      <c r="H146" s="28">
        <v>1260</v>
      </c>
      <c r="I146" s="28">
        <v>378</v>
      </c>
      <c r="J146" s="28">
        <v>460</v>
      </c>
      <c r="K146" s="28">
        <v>18</v>
      </c>
      <c r="L146" s="28">
        <v>14</v>
      </c>
      <c r="M146" s="28">
        <f t="shared" si="22"/>
        <v>87.61904761904762</v>
      </c>
      <c r="N146" s="28">
        <v>2100</v>
      </c>
      <c r="O146" s="28">
        <f t="shared" si="28"/>
        <v>1253.07</v>
      </c>
      <c r="P146" s="28">
        <f t="shared" si="26"/>
        <v>3905.6603773584907</v>
      </c>
      <c r="Q146" s="28">
        <f t="shared" si="25"/>
        <v>146.83936252563706</v>
      </c>
      <c r="R146" s="28"/>
      <c r="S146" s="32" t="s">
        <v>6261</v>
      </c>
      <c r="T146" s="28">
        <v>63.4</v>
      </c>
      <c r="U146" s="28">
        <v>12</v>
      </c>
      <c r="V146" s="28" t="s">
        <v>8822</v>
      </c>
      <c r="W146" s="28"/>
      <c r="X146" s="28"/>
    </row>
    <row r="147" spans="1:25" x14ac:dyDescent="0.2">
      <c r="A147" s="19">
        <f t="shared" si="27"/>
        <v>142</v>
      </c>
      <c r="B147" s="32" t="s">
        <v>5185</v>
      </c>
      <c r="C147" s="28">
        <v>3780</v>
      </c>
      <c r="D147" s="28">
        <v>2380</v>
      </c>
      <c r="E147" s="28">
        <v>205</v>
      </c>
      <c r="F147" s="28">
        <v>261</v>
      </c>
      <c r="G147" s="28">
        <v>87080</v>
      </c>
      <c r="H147" s="28">
        <v>1260</v>
      </c>
      <c r="I147" s="28">
        <v>378</v>
      </c>
      <c r="J147" s="28">
        <v>461</v>
      </c>
      <c r="K147" s="28">
        <v>19</v>
      </c>
      <c r="L147" s="28">
        <v>15</v>
      </c>
      <c r="M147" s="28">
        <f t="shared" si="22"/>
        <v>93.815987933635</v>
      </c>
      <c r="N147" s="28">
        <v>2210</v>
      </c>
      <c r="O147" s="28">
        <f t="shared" si="28"/>
        <v>1322.6849999999999</v>
      </c>
      <c r="P147" s="28">
        <f t="shared" si="26"/>
        <v>4119.5744680851067</v>
      </c>
      <c r="Q147" s="28">
        <f t="shared" si="25"/>
        <v>156.75185953823726</v>
      </c>
      <c r="R147" s="28"/>
      <c r="S147" s="32" t="s">
        <v>6261</v>
      </c>
      <c r="T147" s="28">
        <v>63.4</v>
      </c>
      <c r="U147" s="28">
        <v>12</v>
      </c>
      <c r="V147" s="28" t="s">
        <v>8822</v>
      </c>
      <c r="W147" s="28"/>
      <c r="X147" s="28"/>
    </row>
    <row r="148" spans="1:25" x14ac:dyDescent="0.2">
      <c r="A148" s="19">
        <f t="shared" si="27"/>
        <v>143</v>
      </c>
      <c r="B148" s="32" t="s">
        <v>7244</v>
      </c>
      <c r="C148" s="28">
        <v>4595</v>
      </c>
      <c r="D148" s="28">
        <v>2665</v>
      </c>
      <c r="E148" s="28">
        <v>229</v>
      </c>
      <c r="F148" s="28">
        <v>291</v>
      </c>
      <c r="G148" s="28">
        <v>110450</v>
      </c>
      <c r="H148" s="28">
        <v>1160</v>
      </c>
      <c r="I148" s="28">
        <v>387</v>
      </c>
      <c r="J148" s="28">
        <v>481</v>
      </c>
      <c r="K148" s="28">
        <v>18</v>
      </c>
      <c r="L148" s="28">
        <v>14</v>
      </c>
      <c r="M148" s="28">
        <f t="shared" si="22"/>
        <v>100.60507482108001</v>
      </c>
      <c r="N148" s="28">
        <v>2650</v>
      </c>
      <c r="O148" s="28">
        <f t="shared" si="28"/>
        <v>1343.8575000000001</v>
      </c>
      <c r="P148" s="28">
        <f t="shared" si="26"/>
        <v>4966.7303370786512</v>
      </c>
      <c r="Q148" s="28">
        <f t="shared" si="25"/>
        <v>198.38669522316317</v>
      </c>
      <c r="R148" s="28"/>
      <c r="S148" s="32" t="s">
        <v>6261</v>
      </c>
      <c r="T148" s="28">
        <v>71.5</v>
      </c>
      <c r="U148" s="28">
        <v>12</v>
      </c>
      <c r="V148" s="28" t="s">
        <v>8822</v>
      </c>
      <c r="W148" s="28"/>
      <c r="X148" s="28"/>
    </row>
    <row r="149" spans="1:25" x14ac:dyDescent="0.2">
      <c r="A149" s="19">
        <f t="shared" si="27"/>
        <v>144</v>
      </c>
      <c r="B149" s="32" t="s">
        <v>7245</v>
      </c>
      <c r="C149" s="28">
        <v>4800</v>
      </c>
      <c r="D149" s="28">
        <v>2885</v>
      </c>
      <c r="E149" s="28">
        <v>241</v>
      </c>
      <c r="F149" s="28">
        <v>307</v>
      </c>
      <c r="G149" s="28">
        <v>115670</v>
      </c>
      <c r="H149" s="28">
        <v>1160</v>
      </c>
      <c r="I149" s="28">
        <v>387</v>
      </c>
      <c r="J149" s="28">
        <v>482</v>
      </c>
      <c r="K149" s="28">
        <v>19</v>
      </c>
      <c r="L149" s="28">
        <v>15</v>
      </c>
      <c r="M149" s="28">
        <f t="shared" si="22"/>
        <v>107.80055917986952</v>
      </c>
      <c r="N149" s="28">
        <v>2775</v>
      </c>
      <c r="O149" s="28">
        <f t="shared" si="28"/>
        <v>1418.5162499999999</v>
      </c>
      <c r="P149" s="28">
        <f t="shared" si="26"/>
        <v>5210.8108108108108</v>
      </c>
      <c r="Q149" s="28">
        <f t="shared" si="25"/>
        <v>210.88694029704484</v>
      </c>
      <c r="R149" s="28"/>
      <c r="S149" s="32" t="s">
        <v>6261</v>
      </c>
      <c r="T149" s="28">
        <v>71.5</v>
      </c>
      <c r="U149" s="28">
        <v>12</v>
      </c>
      <c r="V149" s="28" t="s">
        <v>8822</v>
      </c>
      <c r="W149" s="28"/>
      <c r="X149" s="28"/>
    </row>
    <row r="150" spans="1:25" x14ac:dyDescent="0.2">
      <c r="A150" s="19">
        <f t="shared" si="27"/>
        <v>145</v>
      </c>
      <c r="B150" s="32" t="s">
        <v>7246</v>
      </c>
      <c r="C150" s="28">
        <v>5015</v>
      </c>
      <c r="D150" s="28">
        <v>2910</v>
      </c>
      <c r="E150" s="28">
        <v>253</v>
      </c>
      <c r="F150" s="28">
        <v>322</v>
      </c>
      <c r="G150" s="28">
        <v>121060</v>
      </c>
      <c r="H150" s="28">
        <v>1160</v>
      </c>
      <c r="I150" s="28">
        <v>387</v>
      </c>
      <c r="J150" s="28">
        <v>483</v>
      </c>
      <c r="K150" s="28">
        <v>20</v>
      </c>
      <c r="L150" s="28">
        <v>16</v>
      </c>
      <c r="M150" s="28">
        <f t="shared" si="22"/>
        <v>114.76241260812891</v>
      </c>
      <c r="N150" s="28">
        <v>2910</v>
      </c>
      <c r="O150" s="28">
        <f t="shared" si="28"/>
        <v>1493.175</v>
      </c>
      <c r="P150" s="28">
        <f t="shared" si="26"/>
        <v>5467.8216704288943</v>
      </c>
      <c r="Q150" s="28">
        <f t="shared" si="25"/>
        <v>223.65671852907741</v>
      </c>
      <c r="R150" s="28"/>
      <c r="S150" s="32" t="s">
        <v>6261</v>
      </c>
      <c r="T150" s="28">
        <v>71.5</v>
      </c>
      <c r="U150" s="28">
        <v>12</v>
      </c>
      <c r="V150" s="28" t="s">
        <v>8822</v>
      </c>
      <c r="W150" s="28"/>
      <c r="X150" s="28"/>
    </row>
    <row r="151" spans="1:25" x14ac:dyDescent="0.2">
      <c r="A151" s="19">
        <f t="shared" si="27"/>
        <v>146</v>
      </c>
      <c r="B151" s="32" t="s">
        <v>1436</v>
      </c>
      <c r="C151" s="28">
        <v>3600</v>
      </c>
      <c r="D151" s="28">
        <v>2520</v>
      </c>
      <c r="E151" s="28">
        <v>169.3</v>
      </c>
      <c r="F151" s="28">
        <v>215.7</v>
      </c>
      <c r="G151" s="28">
        <v>89740</v>
      </c>
      <c r="H151" s="28">
        <v>1400</v>
      </c>
      <c r="I151" s="28">
        <v>427</v>
      </c>
      <c r="J151" s="28">
        <v>499</v>
      </c>
      <c r="K151" s="28">
        <v>17</v>
      </c>
      <c r="L151" s="28">
        <v>11.2</v>
      </c>
      <c r="M151" s="28">
        <f t="shared" si="22"/>
        <v>69.870559610705598</v>
      </c>
      <c r="N151" s="28">
        <v>2055</v>
      </c>
      <c r="O151" s="28">
        <f>+(I151*K151*(J151-K151)/2/1200)</f>
        <v>1457.8491666666666</v>
      </c>
      <c r="P151" s="28">
        <f>+C151*J151/(J151-2*K151)</f>
        <v>3863.2258064516127</v>
      </c>
      <c r="Q151" s="28">
        <f>+M151*N151/O151</f>
        <v>98.490298779194688</v>
      </c>
      <c r="R151" s="28"/>
      <c r="S151" s="32" t="s">
        <v>6261</v>
      </c>
      <c r="T151" s="28">
        <v>63.4</v>
      </c>
      <c r="U151" s="28">
        <v>12</v>
      </c>
      <c r="V151" s="28" t="s">
        <v>8822</v>
      </c>
      <c r="W151" s="28"/>
      <c r="X151" s="28"/>
    </row>
    <row r="152" spans="1:25" x14ac:dyDescent="0.2">
      <c r="A152" s="19">
        <f t="shared" si="27"/>
        <v>147</v>
      </c>
      <c r="B152" s="32" t="s">
        <v>1437</v>
      </c>
      <c r="C152" s="28">
        <v>3800</v>
      </c>
      <c r="D152" s="28">
        <v>2660</v>
      </c>
      <c r="E152" s="28">
        <v>180.3</v>
      </c>
      <c r="F152" s="28">
        <v>229.7</v>
      </c>
      <c r="G152" s="28">
        <v>94840</v>
      </c>
      <c r="H152" s="28">
        <v>1400</v>
      </c>
      <c r="I152" s="28">
        <v>427</v>
      </c>
      <c r="J152" s="28">
        <v>500</v>
      </c>
      <c r="K152" s="28">
        <v>18</v>
      </c>
      <c r="L152" s="28">
        <v>12.2</v>
      </c>
      <c r="M152" s="28">
        <f t="shared" si="22"/>
        <v>75.996584564860427</v>
      </c>
      <c r="N152" s="28">
        <v>2175</v>
      </c>
      <c r="O152" s="28">
        <f>+(I152*K152*(J152-K152)/2/1200)</f>
        <v>1543.605</v>
      </c>
      <c r="P152" s="28">
        <f>+C152*J152/(J152-2*K152)</f>
        <v>4094.8275862068967</v>
      </c>
      <c r="Q152" s="28">
        <f>+M152*N152/O152</f>
        <v>107.08216896717192</v>
      </c>
      <c r="R152" s="28"/>
      <c r="S152" s="32" t="s">
        <v>6261</v>
      </c>
      <c r="T152" s="28">
        <v>63.4</v>
      </c>
      <c r="U152" s="28">
        <v>12</v>
      </c>
      <c r="V152" s="28" t="s">
        <v>8822</v>
      </c>
      <c r="W152" s="28"/>
      <c r="X152" s="28"/>
    </row>
    <row r="153" spans="1:25" x14ac:dyDescent="0.2">
      <c r="A153" s="19">
        <f t="shared" si="27"/>
        <v>148</v>
      </c>
      <c r="B153" s="32" t="s">
        <v>1438</v>
      </c>
      <c r="C153" s="28">
        <v>4000</v>
      </c>
      <c r="D153" s="28">
        <v>2800</v>
      </c>
      <c r="E153" s="28">
        <v>191.1</v>
      </c>
      <c r="F153" s="28">
        <v>243.5</v>
      </c>
      <c r="G153" s="28">
        <v>99930</v>
      </c>
      <c r="H153" s="28">
        <v>1400</v>
      </c>
      <c r="I153" s="28">
        <v>427</v>
      </c>
      <c r="J153" s="28">
        <v>501</v>
      </c>
      <c r="K153" s="28">
        <v>19</v>
      </c>
      <c r="L153" s="28">
        <v>13.2</v>
      </c>
      <c r="M153" s="28">
        <f t="shared" si="22"/>
        <v>81.930186335403718</v>
      </c>
      <c r="N153" s="28">
        <v>2300</v>
      </c>
      <c r="O153" s="28">
        <f>+(I153*K153*(J153-K153)/2/1200)</f>
        <v>1629.3608333333334</v>
      </c>
      <c r="P153" s="28">
        <f>+C153*J153/(J153-2*K153)</f>
        <v>4328.2937365010803</v>
      </c>
      <c r="Q153" s="28">
        <f>+M153*N153/O153</f>
        <v>115.65236178282294</v>
      </c>
      <c r="R153" s="28"/>
      <c r="S153" s="32" t="s">
        <v>6261</v>
      </c>
      <c r="T153" s="28">
        <v>63.4</v>
      </c>
      <c r="U153" s="28">
        <v>12</v>
      </c>
      <c r="V153" s="28" t="s">
        <v>8822</v>
      </c>
      <c r="W153" s="28"/>
      <c r="X153" s="28"/>
    </row>
    <row r="154" spans="1:25" x14ac:dyDescent="0.2">
      <c r="A154" s="19">
        <f t="shared" si="27"/>
        <v>149</v>
      </c>
      <c r="B154" s="32" t="s">
        <v>1442</v>
      </c>
      <c r="C154" s="28">
        <v>1600</v>
      </c>
      <c r="D154" s="28">
        <v>410</v>
      </c>
      <c r="E154" s="28">
        <v>124.5</v>
      </c>
      <c r="F154" s="28">
        <v>159</v>
      </c>
      <c r="G154" s="28">
        <v>30400</v>
      </c>
      <c r="H154" s="28">
        <v>1200</v>
      </c>
      <c r="I154" s="28">
        <v>302</v>
      </c>
      <c r="J154" s="28">
        <v>380</v>
      </c>
      <c r="K154" s="28">
        <v>12</v>
      </c>
      <c r="L154" s="28">
        <v>9</v>
      </c>
      <c r="M154" s="28">
        <v>35.840000000000003</v>
      </c>
      <c r="N154" s="28">
        <f t="shared" ref="N154:N168" si="29">+(I154*K154*(J154-K154)/2+SQRT((J154-K154)^2+((H154-2*I154)/2)^2)*L154*(J154-K154)/4)/H154</f>
        <v>882.41376134094253</v>
      </c>
      <c r="O154" s="28">
        <f>+(I154*K154*(J154-K154)/2/H154)</f>
        <v>555.67999999999995</v>
      </c>
      <c r="P154" s="28">
        <f>+C154*J154/(J154-2*K154)</f>
        <v>1707.8651685393259</v>
      </c>
      <c r="Q154" s="28">
        <v>76.45</v>
      </c>
      <c r="R154" s="28"/>
      <c r="S154" s="32" t="s">
        <v>1434</v>
      </c>
      <c r="T154" s="28">
        <v>57.5</v>
      </c>
      <c r="U154" s="28">
        <v>13</v>
      </c>
      <c r="V154" s="28">
        <v>5600</v>
      </c>
      <c r="W154" s="28">
        <f>J154/2-115.3</f>
        <v>74.7</v>
      </c>
      <c r="X154" s="28">
        <f>ROUND(V154/D154*10,0)</f>
        <v>137</v>
      </c>
      <c r="Y154" s="172"/>
    </row>
    <row r="155" spans="1:25" x14ac:dyDescent="0.2">
      <c r="A155" s="19">
        <f t="shared" si="27"/>
        <v>150</v>
      </c>
      <c r="B155" s="32" t="s">
        <v>1443</v>
      </c>
      <c r="C155" s="28">
        <v>2000</v>
      </c>
      <c r="D155" s="28">
        <v>529</v>
      </c>
      <c r="E155" s="28">
        <v>140.5</v>
      </c>
      <c r="F155" s="28">
        <v>179</v>
      </c>
      <c r="G155" s="28">
        <v>43000</v>
      </c>
      <c r="H155" s="28">
        <v>1200</v>
      </c>
      <c r="I155" s="28">
        <v>307</v>
      </c>
      <c r="J155" s="28">
        <v>430</v>
      </c>
      <c r="K155" s="28">
        <v>12.4</v>
      </c>
      <c r="L155" s="28">
        <v>10</v>
      </c>
      <c r="M155" s="28">
        <v>44.7</v>
      </c>
      <c r="N155" s="28">
        <f t="shared" si="29"/>
        <v>1106.201538336757</v>
      </c>
      <c r="O155" s="28">
        <f>+(I155*K155*(J155-K155)/2/H155)</f>
        <v>662.3832000000001</v>
      </c>
      <c r="P155" s="28">
        <f>+C155*J155/(J155-2*K155)</f>
        <v>2122.4086870681144</v>
      </c>
      <c r="Q155" s="28">
        <v>91.93</v>
      </c>
      <c r="R155" s="28"/>
      <c r="S155" s="32" t="s">
        <v>1434</v>
      </c>
      <c r="T155" s="28">
        <v>62.4</v>
      </c>
      <c r="U155" s="28">
        <v>13</v>
      </c>
      <c r="V155" s="28">
        <v>8000</v>
      </c>
      <c r="W155" s="28">
        <f>J155/2-128.8</f>
        <v>86.199999999999989</v>
      </c>
      <c r="X155" s="28">
        <f>ROUND(V155/D155*10,0)</f>
        <v>151</v>
      </c>
      <c r="Y155" s="172"/>
    </row>
    <row r="156" spans="1:25" x14ac:dyDescent="0.2">
      <c r="A156" s="19">
        <f t="shared" si="27"/>
        <v>151</v>
      </c>
      <c r="B156" s="32" t="s">
        <v>7247</v>
      </c>
      <c r="C156" s="28">
        <v>692</v>
      </c>
      <c r="D156" s="28">
        <v>1</v>
      </c>
      <c r="E156" s="28">
        <v>133.19999999999999</v>
      </c>
      <c r="F156" s="28">
        <v>170</v>
      </c>
      <c r="G156" s="28">
        <v>4947</v>
      </c>
      <c r="H156" s="28">
        <v>476</v>
      </c>
      <c r="I156" s="28">
        <v>199</v>
      </c>
      <c r="J156" s="28">
        <v>476</v>
      </c>
      <c r="K156" s="28">
        <v>12.7</v>
      </c>
      <c r="L156" s="28">
        <v>12.7</v>
      </c>
      <c r="M156" s="28">
        <f t="shared" ref="M156:M168" si="30">+G156*1.5*L156/12/N156</f>
        <v>2.9449415383536417</v>
      </c>
      <c r="N156" s="28">
        <f t="shared" si="29"/>
        <v>2666.7295081145794</v>
      </c>
      <c r="O156" s="28">
        <f t="shared" ref="O156:O171" si="31">+(I156*K156*(J156-K156)/2/1200)</f>
        <v>487.87420416666663</v>
      </c>
      <c r="P156" s="28">
        <f t="shared" ref="P156:P171" si="32">+C156*J156/(J156-2*K156)</f>
        <v>731.00754549489568</v>
      </c>
      <c r="Q156" s="28">
        <f t="shared" ref="Q156:Q165" si="33">+M156*N156/O156</f>
        <v>16.097105427851538</v>
      </c>
      <c r="R156" s="28"/>
      <c r="S156" s="32" t="s">
        <v>6261</v>
      </c>
      <c r="T156" s="28"/>
      <c r="U156" s="28">
        <v>8</v>
      </c>
      <c r="V156" s="28" t="s">
        <v>8822</v>
      </c>
      <c r="W156" s="28"/>
      <c r="X156" s="28"/>
    </row>
    <row r="157" spans="1:25" x14ac:dyDescent="0.2">
      <c r="A157" s="19">
        <f t="shared" si="27"/>
        <v>152</v>
      </c>
      <c r="B157" s="32" t="s">
        <v>5850</v>
      </c>
      <c r="C157" s="28">
        <v>714</v>
      </c>
      <c r="D157" s="28">
        <v>1</v>
      </c>
      <c r="E157" s="28">
        <v>99.4</v>
      </c>
      <c r="F157" s="28">
        <v>126</v>
      </c>
      <c r="G157" s="28">
        <v>6072</v>
      </c>
      <c r="H157" s="28">
        <v>483</v>
      </c>
      <c r="I157" s="28">
        <v>249</v>
      </c>
      <c r="J157" s="28">
        <v>483</v>
      </c>
      <c r="K157" s="28">
        <v>9</v>
      </c>
      <c r="L157" s="28">
        <v>9</v>
      </c>
      <c r="M157" s="28">
        <f t="shared" si="30"/>
        <v>3.1825686649346774</v>
      </c>
      <c r="N157" s="28">
        <f t="shared" si="29"/>
        <v>2146.3794560863644</v>
      </c>
      <c r="O157" s="28">
        <f t="shared" si="31"/>
        <v>442.59750000000003</v>
      </c>
      <c r="P157" s="28">
        <f t="shared" si="32"/>
        <v>741.63870967741934</v>
      </c>
      <c r="Q157" s="28">
        <f t="shared" si="33"/>
        <v>15.433887448528289</v>
      </c>
      <c r="R157" s="28"/>
      <c r="S157" s="32" t="s">
        <v>6261</v>
      </c>
      <c r="T157" s="28"/>
      <c r="U157" s="28">
        <v>8</v>
      </c>
      <c r="V157" s="28" t="s">
        <v>8822</v>
      </c>
      <c r="W157" s="28"/>
      <c r="X157" s="28"/>
    </row>
    <row r="158" spans="1:25" x14ac:dyDescent="0.2">
      <c r="A158" s="19">
        <f t="shared" si="27"/>
        <v>153</v>
      </c>
      <c r="B158" s="32" t="s">
        <v>5851</v>
      </c>
      <c r="C158" s="28">
        <v>1161</v>
      </c>
      <c r="D158" s="28">
        <v>1</v>
      </c>
      <c r="E158" s="28">
        <v>113.5</v>
      </c>
      <c r="F158" s="28">
        <v>145</v>
      </c>
      <c r="G158" s="28">
        <v>13641</v>
      </c>
      <c r="H158" s="28">
        <v>483</v>
      </c>
      <c r="I158" s="28">
        <v>237</v>
      </c>
      <c r="J158" s="28">
        <v>483</v>
      </c>
      <c r="K158" s="28">
        <v>9.6999999999999993</v>
      </c>
      <c r="L158" s="28">
        <v>8.4</v>
      </c>
      <c r="M158" s="28">
        <f t="shared" si="30"/>
        <v>6.8192695597251616</v>
      </c>
      <c r="N158" s="28">
        <f t="shared" si="29"/>
        <v>2100.3789151542596</v>
      </c>
      <c r="O158" s="28">
        <f t="shared" si="31"/>
        <v>453.36223749999994</v>
      </c>
      <c r="P158" s="28">
        <f t="shared" si="32"/>
        <v>1209.5836928386539</v>
      </c>
      <c r="Q158" s="28">
        <f t="shared" si="33"/>
        <v>31.592948894425735</v>
      </c>
      <c r="R158" s="28"/>
      <c r="S158" s="32" t="s">
        <v>6261</v>
      </c>
      <c r="T158" s="28"/>
      <c r="U158" s="28">
        <v>8</v>
      </c>
      <c r="V158" s="28" t="s">
        <v>8822</v>
      </c>
      <c r="W158" s="28"/>
      <c r="X158" s="28"/>
    </row>
    <row r="159" spans="1:25" x14ac:dyDescent="0.2">
      <c r="A159" s="19">
        <f t="shared" si="27"/>
        <v>154</v>
      </c>
      <c r="B159" s="32" t="s">
        <v>5852</v>
      </c>
      <c r="C159" s="28">
        <v>1687</v>
      </c>
      <c r="D159" s="28">
        <v>1</v>
      </c>
      <c r="E159" s="28">
        <v>129.80000000000001</v>
      </c>
      <c r="F159" s="28">
        <v>166</v>
      </c>
      <c r="G159" s="28">
        <v>2571</v>
      </c>
      <c r="H159" s="28">
        <v>483</v>
      </c>
      <c r="I159" s="28">
        <v>238</v>
      </c>
      <c r="J159" s="28">
        <v>483</v>
      </c>
      <c r="K159" s="28">
        <v>9.6999999999999993</v>
      </c>
      <c r="L159" s="28">
        <v>9.5</v>
      </c>
      <c r="M159" s="28">
        <f t="shared" si="30"/>
        <v>1.3674544646419093</v>
      </c>
      <c r="N159" s="28">
        <f t="shared" si="29"/>
        <v>2232.6611810064878</v>
      </c>
      <c r="O159" s="28">
        <f t="shared" si="31"/>
        <v>455.27515833333331</v>
      </c>
      <c r="P159" s="28">
        <f t="shared" si="32"/>
        <v>1757.5949094046591</v>
      </c>
      <c r="Q159" s="28">
        <f t="shared" si="33"/>
        <v>6.7059720788997588</v>
      </c>
      <c r="R159" s="28"/>
      <c r="S159" s="32" t="s">
        <v>6261</v>
      </c>
      <c r="T159" s="28"/>
      <c r="U159" s="28">
        <v>8</v>
      </c>
      <c r="V159" s="28" t="s">
        <v>8822</v>
      </c>
      <c r="W159" s="28"/>
      <c r="X159" s="28"/>
    </row>
    <row r="160" spans="1:25" x14ac:dyDescent="0.2">
      <c r="A160" s="19">
        <f t="shared" si="27"/>
        <v>155</v>
      </c>
      <c r="B160" s="32" t="s">
        <v>5853</v>
      </c>
      <c r="C160" s="28">
        <v>2415</v>
      </c>
      <c r="D160" s="28">
        <v>1</v>
      </c>
      <c r="E160" s="28">
        <v>171.2</v>
      </c>
      <c r="F160" s="28">
        <v>218</v>
      </c>
      <c r="G160" s="28">
        <v>39869</v>
      </c>
      <c r="H160" s="28">
        <v>483</v>
      </c>
      <c r="I160" s="28">
        <v>203</v>
      </c>
      <c r="J160" s="28">
        <v>483</v>
      </c>
      <c r="K160" s="28">
        <v>14</v>
      </c>
      <c r="L160" s="28">
        <v>10.4</v>
      </c>
      <c r="M160" s="28">
        <f t="shared" si="30"/>
        <v>20.184088198173317</v>
      </c>
      <c r="N160" s="28">
        <f t="shared" si="29"/>
        <v>2567.8494609774175</v>
      </c>
      <c r="O160" s="28">
        <f t="shared" si="31"/>
        <v>555.37416666666661</v>
      </c>
      <c r="P160" s="28">
        <f t="shared" si="32"/>
        <v>2563.6153846153848</v>
      </c>
      <c r="Q160" s="28">
        <f t="shared" si="33"/>
        <v>93.323930263230963</v>
      </c>
      <c r="R160" s="28"/>
      <c r="S160" s="32" t="s">
        <v>6261</v>
      </c>
      <c r="T160" s="28"/>
      <c r="U160" s="28">
        <v>8</v>
      </c>
      <c r="V160" s="28" t="s">
        <v>8822</v>
      </c>
      <c r="W160" s="28"/>
      <c r="X160" s="28"/>
    </row>
    <row r="161" spans="1:24" x14ac:dyDescent="0.2">
      <c r="A161" s="19">
        <f t="shared" si="27"/>
        <v>156</v>
      </c>
      <c r="B161" s="32" t="s">
        <v>5854</v>
      </c>
      <c r="C161" s="28">
        <v>3171</v>
      </c>
      <c r="D161" s="28">
        <v>1</v>
      </c>
      <c r="E161" s="28">
        <v>237.1</v>
      </c>
      <c r="F161" s="28">
        <v>302</v>
      </c>
      <c r="G161" s="28">
        <v>49329</v>
      </c>
      <c r="H161" s="28">
        <v>426</v>
      </c>
      <c r="I161" s="28">
        <v>206</v>
      </c>
      <c r="J161" s="28">
        <v>426</v>
      </c>
      <c r="K161" s="28">
        <v>17.100000000000001</v>
      </c>
      <c r="L161" s="28">
        <v>11.9</v>
      </c>
      <c r="M161" s="28">
        <f t="shared" si="30"/>
        <v>25.670453186542627</v>
      </c>
      <c r="N161" s="28">
        <f t="shared" si="29"/>
        <v>2858.4180796023811</v>
      </c>
      <c r="O161" s="28">
        <f t="shared" si="31"/>
        <v>600.16297500000007</v>
      </c>
      <c r="P161" s="28">
        <f t="shared" si="32"/>
        <v>3447.7947932618681</v>
      </c>
      <c r="Q161" s="28">
        <f t="shared" si="33"/>
        <v>122.26160319203295</v>
      </c>
      <c r="R161" s="28"/>
      <c r="S161" s="32" t="s">
        <v>6261</v>
      </c>
      <c r="T161" s="28"/>
      <c r="U161" s="28">
        <v>8</v>
      </c>
      <c r="V161" s="28" t="s">
        <v>8822</v>
      </c>
      <c r="W161" s="28"/>
      <c r="X161" s="28"/>
    </row>
    <row r="162" spans="1:24" x14ac:dyDescent="0.2">
      <c r="A162" s="19">
        <f t="shared" si="27"/>
        <v>157</v>
      </c>
      <c r="B162" s="32" t="s">
        <v>4691</v>
      </c>
      <c r="C162" s="28">
        <v>140</v>
      </c>
      <c r="D162" s="28">
        <v>63</v>
      </c>
      <c r="E162" s="28">
        <v>45</v>
      </c>
      <c r="F162" s="28">
        <v>57.3</v>
      </c>
      <c r="G162" s="28">
        <v>560</v>
      </c>
      <c r="H162" s="28">
        <v>450</v>
      </c>
      <c r="I162" s="28">
        <v>165</v>
      </c>
      <c r="J162" s="28">
        <v>80</v>
      </c>
      <c r="K162" s="28">
        <v>4.5</v>
      </c>
      <c r="L162" s="28">
        <v>4.5</v>
      </c>
      <c r="M162" s="28">
        <f t="shared" si="30"/>
        <v>3.9135230445094273</v>
      </c>
      <c r="N162" s="28">
        <f t="shared" si="29"/>
        <v>80.490135465520495</v>
      </c>
      <c r="O162" s="28">
        <f t="shared" si="31"/>
        <v>23.357812500000001</v>
      </c>
      <c r="P162" s="28">
        <f t="shared" si="32"/>
        <v>157.74647887323943</v>
      </c>
      <c r="Q162" s="28">
        <f t="shared" si="33"/>
        <v>13.485851896447922</v>
      </c>
      <c r="R162" s="28"/>
      <c r="S162" s="32" t="s">
        <v>1434</v>
      </c>
      <c r="T162" s="28">
        <v>45</v>
      </c>
      <c r="U162" s="28">
        <v>14</v>
      </c>
      <c r="V162" s="28">
        <v>252</v>
      </c>
      <c r="W162" s="28">
        <v>40</v>
      </c>
      <c r="X162" s="28">
        <v>40</v>
      </c>
    </row>
    <row r="163" spans="1:24" x14ac:dyDescent="0.2">
      <c r="A163" s="19">
        <f t="shared" si="27"/>
        <v>158</v>
      </c>
      <c r="B163" s="32" t="s">
        <v>4692</v>
      </c>
      <c r="C163" s="28">
        <v>338</v>
      </c>
      <c r="D163" s="28">
        <v>203</v>
      </c>
      <c r="E163" s="28">
        <v>63</v>
      </c>
      <c r="F163" s="28">
        <v>80.3</v>
      </c>
      <c r="G163" s="28">
        <v>2200</v>
      </c>
      <c r="H163" s="28">
        <v>600</v>
      </c>
      <c r="I163" s="28">
        <v>215</v>
      </c>
      <c r="J163" s="28">
        <v>130</v>
      </c>
      <c r="K163" s="28">
        <v>6</v>
      </c>
      <c r="L163" s="28">
        <v>6</v>
      </c>
      <c r="M163" s="28">
        <f t="shared" si="30"/>
        <v>9.1715454291786713</v>
      </c>
      <c r="N163" s="28">
        <f t="shared" si="29"/>
        <v>179.90424980621401</v>
      </c>
      <c r="O163" s="28">
        <f t="shared" si="31"/>
        <v>66.650000000000006</v>
      </c>
      <c r="P163" s="28">
        <f t="shared" si="32"/>
        <v>372.37288135593218</v>
      </c>
      <c r="Q163" s="28">
        <f t="shared" si="33"/>
        <v>24.756189047261813</v>
      </c>
      <c r="R163" s="28"/>
      <c r="S163" s="32" t="s">
        <v>1434</v>
      </c>
      <c r="T163" s="28">
        <v>50</v>
      </c>
      <c r="U163" s="28">
        <v>14</v>
      </c>
      <c r="V163" s="28">
        <v>1320</v>
      </c>
      <c r="W163" s="28">
        <v>65</v>
      </c>
      <c r="X163" s="28">
        <v>65</v>
      </c>
    </row>
    <row r="164" spans="1:24" x14ac:dyDescent="0.2">
      <c r="A164" s="19">
        <f t="shared" si="27"/>
        <v>159</v>
      </c>
      <c r="B164" s="32" t="s">
        <v>4693</v>
      </c>
      <c r="C164" s="28">
        <v>388</v>
      </c>
      <c r="D164" s="28">
        <v>233</v>
      </c>
      <c r="E164" s="28">
        <v>75</v>
      </c>
      <c r="F164" s="28">
        <v>95.5</v>
      </c>
      <c r="G164" s="28">
        <v>2560</v>
      </c>
      <c r="H164" s="28">
        <v>600</v>
      </c>
      <c r="I164" s="28">
        <v>210</v>
      </c>
      <c r="J164" s="28">
        <v>131</v>
      </c>
      <c r="K164" s="28">
        <v>7</v>
      </c>
      <c r="L164" s="28">
        <v>7</v>
      </c>
      <c r="M164" s="28">
        <f t="shared" si="30"/>
        <v>10.804859175662036</v>
      </c>
      <c r="N164" s="28">
        <f t="shared" si="29"/>
        <v>207.31413187185296</v>
      </c>
      <c r="O164" s="28">
        <f t="shared" si="31"/>
        <v>75.95</v>
      </c>
      <c r="P164" s="28">
        <f t="shared" si="32"/>
        <v>434.4273504273504</v>
      </c>
      <c r="Q164" s="28">
        <f t="shared" si="33"/>
        <v>29.493087557603687</v>
      </c>
      <c r="R164" s="28"/>
      <c r="S164" s="32" t="s">
        <v>1434</v>
      </c>
      <c r="T164" s="28">
        <v>50</v>
      </c>
      <c r="U164" s="28">
        <v>14</v>
      </c>
      <c r="V164" s="28">
        <v>1536</v>
      </c>
      <c r="W164" s="28">
        <f>J164/2</f>
        <v>65.5</v>
      </c>
      <c r="X164" s="28">
        <f>J164/2</f>
        <v>65.5</v>
      </c>
    </row>
    <row r="165" spans="1:24" x14ac:dyDescent="0.2">
      <c r="A165" s="19">
        <f t="shared" si="27"/>
        <v>160</v>
      </c>
      <c r="B165" s="32" t="s">
        <v>4694</v>
      </c>
      <c r="C165" s="28">
        <v>540</v>
      </c>
      <c r="D165" s="28">
        <v>378</v>
      </c>
      <c r="E165" s="28">
        <v>88</v>
      </c>
      <c r="F165" s="28">
        <v>111.9</v>
      </c>
      <c r="G165" s="28">
        <v>4050</v>
      </c>
      <c r="H165" s="28">
        <v>700</v>
      </c>
      <c r="I165" s="28">
        <v>295</v>
      </c>
      <c r="J165" s="28">
        <v>150</v>
      </c>
      <c r="K165" s="28">
        <v>8</v>
      </c>
      <c r="L165" s="28">
        <v>8</v>
      </c>
      <c r="M165" s="28">
        <f t="shared" si="30"/>
        <v>13.44829865665554</v>
      </c>
      <c r="N165" s="28">
        <f t="shared" si="29"/>
        <v>301.15333570433921</v>
      </c>
      <c r="O165" s="28">
        <f t="shared" si="31"/>
        <v>139.63333333333333</v>
      </c>
      <c r="P165" s="28">
        <f t="shared" si="32"/>
        <v>604.47761194029852</v>
      </c>
      <c r="Q165" s="28">
        <f t="shared" si="33"/>
        <v>29.004535688708525</v>
      </c>
      <c r="R165" s="28"/>
      <c r="S165" s="32" t="s">
        <v>1434</v>
      </c>
      <c r="T165" s="28">
        <v>60</v>
      </c>
      <c r="U165" s="28">
        <v>14</v>
      </c>
      <c r="V165" s="28">
        <v>2835</v>
      </c>
      <c r="W165" s="28">
        <v>75</v>
      </c>
      <c r="X165" s="28">
        <v>75</v>
      </c>
    </row>
    <row r="166" spans="1:24" x14ac:dyDescent="0.2">
      <c r="A166" s="19">
        <f t="shared" si="27"/>
        <v>161</v>
      </c>
      <c r="B166" s="28" t="s">
        <v>4695</v>
      </c>
      <c r="C166" s="28">
        <v>80</v>
      </c>
      <c r="D166" s="28">
        <v>1</v>
      </c>
      <c r="E166" s="28">
        <v>62</v>
      </c>
      <c r="F166" s="28">
        <v>79</v>
      </c>
      <c r="G166" s="28">
        <v>150</v>
      </c>
      <c r="H166" s="28">
        <v>375</v>
      </c>
      <c r="I166" s="28"/>
      <c r="J166" s="28">
        <v>40</v>
      </c>
      <c r="K166" s="28">
        <v>6.5</v>
      </c>
      <c r="L166" s="28">
        <v>6.5</v>
      </c>
      <c r="M166" s="28">
        <f t="shared" si="30"/>
        <v>4.4078120014196136</v>
      </c>
      <c r="N166" s="28">
        <f t="shared" si="29"/>
        <v>27.649772712799006</v>
      </c>
      <c r="O166" s="28">
        <f t="shared" si="31"/>
        <v>0</v>
      </c>
      <c r="P166" s="28">
        <f t="shared" si="32"/>
        <v>118.51851851851852</v>
      </c>
      <c r="Q166" s="28">
        <f>+M166</f>
        <v>4.4078120014196136</v>
      </c>
      <c r="R166" s="28"/>
      <c r="S166" s="32" t="s">
        <v>1434</v>
      </c>
      <c r="T166" s="28">
        <v>60</v>
      </c>
      <c r="U166" s="28">
        <v>14</v>
      </c>
      <c r="V166" s="28" t="s">
        <v>8808</v>
      </c>
      <c r="W166" s="28"/>
      <c r="X166" s="28"/>
    </row>
    <row r="167" spans="1:24" x14ac:dyDescent="0.2">
      <c r="A167" s="19">
        <f t="shared" si="27"/>
        <v>162</v>
      </c>
      <c r="B167" s="148" t="s">
        <v>8807</v>
      </c>
      <c r="C167" s="28">
        <v>242</v>
      </c>
      <c r="D167" s="28">
        <v>145</v>
      </c>
      <c r="E167" s="28">
        <v>83.2</v>
      </c>
      <c r="F167" s="28">
        <v>106</v>
      </c>
      <c r="G167" s="28">
        <v>968</v>
      </c>
      <c r="H167" s="28">
        <v>600</v>
      </c>
      <c r="I167" s="28">
        <v>124</v>
      </c>
      <c r="J167" s="28">
        <v>80</v>
      </c>
      <c r="K167" s="28">
        <v>8</v>
      </c>
      <c r="L167" s="28">
        <v>8</v>
      </c>
      <c r="M167" s="28">
        <f t="shared" si="30"/>
        <v>9.205206582395407</v>
      </c>
      <c r="N167" s="28">
        <f t="shared" si="29"/>
        <v>105.1578790041781</v>
      </c>
      <c r="O167" s="28">
        <f t="shared" si="31"/>
        <v>29.76</v>
      </c>
      <c r="P167" s="28">
        <f t="shared" si="32"/>
        <v>302.5</v>
      </c>
      <c r="Q167" s="28">
        <f>+M167</f>
        <v>9.205206582395407</v>
      </c>
      <c r="R167" s="28"/>
      <c r="S167" s="32" t="s">
        <v>1434</v>
      </c>
      <c r="T167" s="28">
        <v>60</v>
      </c>
      <c r="U167" s="28">
        <v>14</v>
      </c>
      <c r="V167" s="28">
        <v>580</v>
      </c>
      <c r="W167" s="28"/>
      <c r="X167" s="28"/>
    </row>
    <row r="168" spans="1:24" x14ac:dyDescent="0.2">
      <c r="A168" s="19">
        <f t="shared" si="27"/>
        <v>163</v>
      </c>
      <c r="B168" s="28" t="s">
        <v>4696</v>
      </c>
      <c r="C168" s="28">
        <v>273</v>
      </c>
      <c r="D168" s="28">
        <v>1</v>
      </c>
      <c r="E168" s="28">
        <v>73</v>
      </c>
      <c r="F168" s="28">
        <v>93</v>
      </c>
      <c r="G168" s="28">
        <v>1364</v>
      </c>
      <c r="H168" s="28">
        <v>800</v>
      </c>
      <c r="I168" s="28"/>
      <c r="J168" s="28">
        <v>100</v>
      </c>
      <c r="K168" s="28">
        <v>8</v>
      </c>
      <c r="L168" s="28">
        <v>8</v>
      </c>
      <c r="M168" s="28">
        <f t="shared" si="30"/>
        <v>14.44883994068177</v>
      </c>
      <c r="N168" s="28">
        <f t="shared" si="29"/>
        <v>94.402042350788165</v>
      </c>
      <c r="O168" s="28">
        <f t="shared" si="31"/>
        <v>0</v>
      </c>
      <c r="P168" s="28">
        <f t="shared" si="32"/>
        <v>325</v>
      </c>
      <c r="Q168" s="28">
        <f>+M168</f>
        <v>14.44883994068177</v>
      </c>
      <c r="R168" s="28"/>
      <c r="S168" s="32" t="s">
        <v>1434</v>
      </c>
      <c r="T168" s="28">
        <v>60</v>
      </c>
      <c r="U168" s="28">
        <v>14</v>
      </c>
      <c r="V168" s="28" t="s">
        <v>8808</v>
      </c>
      <c r="W168" s="28"/>
      <c r="X168" s="28"/>
    </row>
    <row r="169" spans="1:24" x14ac:dyDescent="0.2">
      <c r="A169" s="19">
        <f>+A168+1</f>
        <v>164</v>
      </c>
      <c r="B169" s="32" t="s">
        <v>1935</v>
      </c>
      <c r="C169" s="28">
        <v>182</v>
      </c>
      <c r="D169" s="28">
        <v>1</v>
      </c>
      <c r="E169" s="28">
        <v>62</v>
      </c>
      <c r="F169" s="28">
        <v>80</v>
      </c>
      <c r="G169" s="28">
        <v>726</v>
      </c>
      <c r="H169" s="28">
        <v>600</v>
      </c>
      <c r="I169" s="28">
        <v>124</v>
      </c>
      <c r="J169" s="28">
        <v>78</v>
      </c>
      <c r="K169" s="28">
        <v>6</v>
      </c>
      <c r="L169" s="28">
        <v>6</v>
      </c>
      <c r="M169" s="28">
        <f>+G169*1.5*L169/12/N169</f>
        <v>6.9039049367965548</v>
      </c>
      <c r="N169" s="28">
        <f>+(I169*K169*(J169-K169)/2+SQRT((J169-K169)^2+((H169-2*I169)/2)^2)*L169*(J169-K169)/4)/H169</f>
        <v>78.868409253133578</v>
      </c>
      <c r="O169" s="28">
        <f>+(I169*K169*(J169-K169)/2/1200)</f>
        <v>22.32</v>
      </c>
      <c r="P169" s="28">
        <f>+C169*J169/(J169-2*K169)</f>
        <v>215.09090909090909</v>
      </c>
      <c r="Q169" s="28">
        <f>+M169</f>
        <v>6.9039049367965548</v>
      </c>
      <c r="R169" s="28"/>
      <c r="S169" s="32" t="s">
        <v>1434</v>
      </c>
      <c r="T169" s="28">
        <v>60</v>
      </c>
      <c r="U169" s="28">
        <v>14</v>
      </c>
      <c r="V169" s="28" t="s">
        <v>8808</v>
      </c>
      <c r="W169" s="28"/>
      <c r="X169" s="28"/>
    </row>
    <row r="170" spans="1:24" x14ac:dyDescent="0.2">
      <c r="A170" s="19">
        <f>+A169+1</f>
        <v>165</v>
      </c>
      <c r="B170" s="32" t="s">
        <v>1936</v>
      </c>
      <c r="C170" s="28">
        <v>242</v>
      </c>
      <c r="D170" s="28">
        <v>1</v>
      </c>
      <c r="E170" s="28">
        <v>83</v>
      </c>
      <c r="F170" s="28">
        <v>106</v>
      </c>
      <c r="G170" s="28">
        <v>968</v>
      </c>
      <c r="H170" s="28">
        <v>600</v>
      </c>
      <c r="I170" s="28">
        <v>124</v>
      </c>
      <c r="J170" s="28">
        <v>80</v>
      </c>
      <c r="K170" s="28">
        <v>8</v>
      </c>
      <c r="L170" s="28">
        <v>8</v>
      </c>
      <c r="M170" s="28">
        <f>+G170*1.5*L170/12/N170</f>
        <v>9.205206582395407</v>
      </c>
      <c r="N170" s="28">
        <f>+(I170*K170*(J170-K170)/2+SQRT((J170-K170)^2+((H170-2*I170)/2)^2)*L170*(J170-K170)/4)/H170</f>
        <v>105.1578790041781</v>
      </c>
      <c r="O170" s="28">
        <f>+(I170*K170*(J170-K170)/2/1200)</f>
        <v>29.76</v>
      </c>
      <c r="P170" s="28">
        <f>+C170*J170/(J170-2*K170)</f>
        <v>302.5</v>
      </c>
      <c r="Q170" s="28">
        <f>+M170</f>
        <v>9.205206582395407</v>
      </c>
      <c r="R170" s="28"/>
      <c r="S170" s="32" t="s">
        <v>1434</v>
      </c>
      <c r="T170" s="28">
        <v>60</v>
      </c>
      <c r="U170" s="28">
        <v>14</v>
      </c>
      <c r="V170" s="28" t="s">
        <v>8808</v>
      </c>
      <c r="W170" s="28"/>
      <c r="X170" s="28"/>
    </row>
    <row r="171" spans="1:24" x14ac:dyDescent="0.2">
      <c r="A171" s="19">
        <f>+A170+1</f>
        <v>166</v>
      </c>
      <c r="B171" s="32" t="s">
        <v>7063</v>
      </c>
      <c r="C171" s="28">
        <v>1300</v>
      </c>
      <c r="D171" s="28">
        <v>1</v>
      </c>
      <c r="E171" s="28">
        <v>106</v>
      </c>
      <c r="F171" s="28">
        <v>135</v>
      </c>
      <c r="G171" s="28">
        <v>20755</v>
      </c>
      <c r="H171" s="28">
        <v>1416</v>
      </c>
      <c r="I171" s="28">
        <v>300</v>
      </c>
      <c r="J171" s="28">
        <v>319</v>
      </c>
      <c r="K171" s="28">
        <v>9.5</v>
      </c>
      <c r="L171" s="28">
        <v>9.5</v>
      </c>
      <c r="M171" s="28">
        <f>+G171*2*L171/H171/N171*100</f>
        <v>26.523069679849343</v>
      </c>
      <c r="N171" s="28">
        <v>1050</v>
      </c>
      <c r="O171" s="28">
        <f t="shared" si="31"/>
        <v>367.53125</v>
      </c>
      <c r="P171" s="28">
        <f t="shared" si="32"/>
        <v>1382.3333333333333</v>
      </c>
      <c r="Q171" s="28">
        <f>+M171*N171/O171</f>
        <v>75.773755738707408</v>
      </c>
      <c r="R171" s="28"/>
      <c r="S171" s="32" t="s">
        <v>6261</v>
      </c>
      <c r="T171" s="28">
        <v>41.9</v>
      </c>
      <c r="U171" s="28">
        <v>11</v>
      </c>
      <c r="V171" s="28" t="s">
        <v>8822</v>
      </c>
      <c r="W171" s="28"/>
      <c r="X171" s="28"/>
    </row>
    <row r="172" spans="1:24" x14ac:dyDescent="0.2">
      <c r="A172" s="19">
        <f t="shared" si="27"/>
        <v>167</v>
      </c>
      <c r="B172" s="32" t="s">
        <v>7064</v>
      </c>
      <c r="C172" s="28">
        <v>1800</v>
      </c>
      <c r="D172" s="28">
        <v>1</v>
      </c>
      <c r="E172" s="28">
        <v>118.2</v>
      </c>
      <c r="F172" s="28">
        <v>150</v>
      </c>
      <c r="G172" s="28">
        <v>34980</v>
      </c>
      <c r="H172" s="28">
        <v>1270</v>
      </c>
      <c r="I172" s="28">
        <v>305</v>
      </c>
      <c r="J172" s="28">
        <v>387</v>
      </c>
      <c r="K172" s="28">
        <v>9.5</v>
      </c>
      <c r="L172" s="28">
        <v>9.5</v>
      </c>
      <c r="M172" s="28">
        <f>+G172*2*L172/H172/N172*100</f>
        <v>49.840269966254226</v>
      </c>
      <c r="N172" s="28">
        <v>1050</v>
      </c>
      <c r="O172" s="28">
        <f>+(I172*K172*(J172-K172)/2/1200)</f>
        <v>455.75260416666669</v>
      </c>
      <c r="P172" s="28">
        <f>+C172*J172/(J172-2*K172)</f>
        <v>1892.9347826086957</v>
      </c>
      <c r="Q172" s="28">
        <f>+M172*N172/O172</f>
        <v>114.82607666116429</v>
      </c>
      <c r="R172" s="28"/>
      <c r="S172" s="32" t="s">
        <v>6261</v>
      </c>
      <c r="T172" s="28">
        <v>54.4</v>
      </c>
      <c r="U172" s="28">
        <v>11</v>
      </c>
      <c r="V172" s="28" t="s">
        <v>8822</v>
      </c>
      <c r="W172" s="28"/>
      <c r="X172" s="28"/>
    </row>
    <row r="173" spans="1:24" x14ac:dyDescent="0.2">
      <c r="A173" s="19">
        <v>166</v>
      </c>
      <c r="B173" s="148" t="s">
        <v>8809</v>
      </c>
      <c r="C173" s="28">
        <v>1400</v>
      </c>
      <c r="D173" s="28">
        <v>410</v>
      </c>
      <c r="E173" s="28">
        <v>107.1</v>
      </c>
      <c r="F173" s="28">
        <v>136.5</v>
      </c>
      <c r="G173" s="28">
        <v>29410</v>
      </c>
      <c r="H173" s="28">
        <v>1200</v>
      </c>
      <c r="I173" s="28">
        <v>250</v>
      </c>
      <c r="J173" s="28">
        <v>420</v>
      </c>
      <c r="K173" s="28">
        <v>10</v>
      </c>
      <c r="L173" s="28">
        <v>8</v>
      </c>
      <c r="M173" s="28">
        <f>+G173*1.5*L173/H173/N173*100</f>
        <v>35.433734939759034</v>
      </c>
      <c r="N173" s="28">
        <v>830</v>
      </c>
      <c r="O173" s="28">
        <f t="shared" ref="O173:O174" si="34">+(I173*K173*(J173-K173)/2/H173)</f>
        <v>427.08333333333331</v>
      </c>
      <c r="P173" s="28">
        <f t="shared" ref="P173:P174" si="35">+C173*J173/(J173-2*K173)</f>
        <v>1470</v>
      </c>
      <c r="Q173" s="28">
        <f t="shared" ref="Q173:Q174" si="36">+M173*N173/O173</f>
        <v>68.862439024390241</v>
      </c>
      <c r="R173" s="28"/>
      <c r="S173" s="32" t="s">
        <v>1434</v>
      </c>
      <c r="T173" s="28">
        <v>54.3</v>
      </c>
      <c r="U173" s="28">
        <v>2</v>
      </c>
      <c r="V173" s="28">
        <v>5750</v>
      </c>
      <c r="W173" s="28">
        <f>J173/2-120.5</f>
        <v>89.5</v>
      </c>
      <c r="X173" s="28">
        <f>ROUND(V173/D173*10,0)</f>
        <v>140</v>
      </c>
    </row>
    <row r="174" spans="1:24" x14ac:dyDescent="0.2">
      <c r="A174" s="19">
        <v>167</v>
      </c>
      <c r="B174" s="148" t="s">
        <v>8810</v>
      </c>
      <c r="C174" s="28">
        <v>1530</v>
      </c>
      <c r="D174" s="28">
        <v>425</v>
      </c>
      <c r="E174" s="28">
        <v>114.5</v>
      </c>
      <c r="F174" s="28">
        <v>145.9</v>
      </c>
      <c r="G174" s="28">
        <v>32260</v>
      </c>
      <c r="H174" s="28">
        <v>1200</v>
      </c>
      <c r="I174" s="28">
        <v>250</v>
      </c>
      <c r="J174" s="28">
        <v>422</v>
      </c>
      <c r="K174" s="28">
        <v>11</v>
      </c>
      <c r="L174" s="28">
        <v>8.6</v>
      </c>
      <c r="M174" s="28">
        <f t="shared" ref="M174" si="37">+G174*1.5*L174/H174/N174*100</f>
        <v>38.10934065934066</v>
      </c>
      <c r="N174" s="28">
        <v>910</v>
      </c>
      <c r="O174" s="28">
        <f t="shared" si="34"/>
        <v>470.9375</v>
      </c>
      <c r="P174" s="28">
        <f t="shared" si="35"/>
        <v>1614.15</v>
      </c>
      <c r="Q174" s="28">
        <f t="shared" si="36"/>
        <v>73.639283344392837</v>
      </c>
      <c r="R174" s="28"/>
      <c r="S174" s="32" t="s">
        <v>1434</v>
      </c>
      <c r="T174" s="28">
        <v>54.3</v>
      </c>
      <c r="U174" s="28">
        <v>2</v>
      </c>
      <c r="V174" s="28">
        <v>6070</v>
      </c>
      <c r="W174" s="28">
        <f>J174/2-123.2</f>
        <v>87.8</v>
      </c>
      <c r="X174" s="28">
        <f>ROUND(V174/D174*10,0)</f>
        <v>143</v>
      </c>
    </row>
    <row r="175" spans="1:24" x14ac:dyDescent="0.2">
      <c r="A175" s="19">
        <f t="shared" si="27"/>
        <v>168</v>
      </c>
      <c r="B175" s="32" t="s">
        <v>7437</v>
      </c>
      <c r="C175" s="28">
        <v>1600</v>
      </c>
      <c r="D175" s="28">
        <v>415</v>
      </c>
      <c r="E175" s="28">
        <v>123</v>
      </c>
      <c r="F175" s="28">
        <v>156.69999999999999</v>
      </c>
      <c r="G175" s="28">
        <v>30400</v>
      </c>
      <c r="H175" s="28">
        <v>1200</v>
      </c>
      <c r="I175" s="28">
        <v>354</v>
      </c>
      <c r="J175" s="28">
        <v>380</v>
      </c>
      <c r="K175" s="28">
        <v>10</v>
      </c>
      <c r="L175" s="28">
        <v>9</v>
      </c>
      <c r="M175" s="28">
        <v>34.270000000000003</v>
      </c>
      <c r="N175" s="28">
        <v>931</v>
      </c>
      <c r="O175" s="28">
        <f t="shared" ref="O175:O186" si="38">+(I175*K175*(J175-K175)/2/H175)</f>
        <v>545.75</v>
      </c>
      <c r="P175" s="28">
        <f t="shared" ref="P175:P186" si="39">+C175*J175/(J175-2*K175)</f>
        <v>1688.8888888888889</v>
      </c>
      <c r="Q175" s="28">
        <v>73.23</v>
      </c>
      <c r="R175" s="28"/>
      <c r="S175" s="32" t="s">
        <v>1434</v>
      </c>
      <c r="T175" s="28">
        <v>66</v>
      </c>
      <c r="U175" s="28">
        <v>1</v>
      </c>
      <c r="V175" s="28">
        <v>5700</v>
      </c>
      <c r="W175" s="28">
        <v>74.5</v>
      </c>
      <c r="X175" s="28">
        <v>137.5</v>
      </c>
    </row>
    <row r="176" spans="1:24" x14ac:dyDescent="0.2">
      <c r="A176" s="19">
        <f t="shared" si="27"/>
        <v>169</v>
      </c>
      <c r="B176" s="32" t="s">
        <v>7438</v>
      </c>
      <c r="C176" s="28">
        <v>2500</v>
      </c>
      <c r="D176" s="28">
        <v>605</v>
      </c>
      <c r="E176" s="28">
        <v>157</v>
      </c>
      <c r="F176" s="28">
        <v>200</v>
      </c>
      <c r="G176" s="28">
        <v>54375</v>
      </c>
      <c r="H176" s="28">
        <v>1200</v>
      </c>
      <c r="I176" s="28">
        <v>301</v>
      </c>
      <c r="J176" s="28">
        <v>435</v>
      </c>
      <c r="K176" s="28">
        <v>14.4</v>
      </c>
      <c r="L176" s="28">
        <v>9.1999999999999993</v>
      </c>
      <c r="M176" s="28">
        <v>34.270000000000003</v>
      </c>
      <c r="N176" s="28">
        <v>1410</v>
      </c>
      <c r="O176" s="28">
        <f t="shared" si="38"/>
        <v>759.60360000000014</v>
      </c>
      <c r="P176" s="28">
        <f t="shared" si="39"/>
        <v>2677.2525849335302</v>
      </c>
      <c r="Q176" s="28">
        <v>73.23</v>
      </c>
      <c r="R176" s="28"/>
      <c r="S176" s="32" t="s">
        <v>1434</v>
      </c>
      <c r="T176" s="28">
        <v>66</v>
      </c>
      <c r="U176" s="28">
        <v>1</v>
      </c>
      <c r="V176" s="28">
        <v>9870</v>
      </c>
      <c r="W176" s="28">
        <v>79.8</v>
      </c>
      <c r="X176" s="28">
        <v>162.80000000000001</v>
      </c>
    </row>
    <row r="177" spans="1:25" x14ac:dyDescent="0.2">
      <c r="A177" s="19">
        <f t="shared" si="27"/>
        <v>170</v>
      </c>
      <c r="B177" s="32" t="s">
        <v>7439</v>
      </c>
      <c r="C177" s="28">
        <v>1300</v>
      </c>
      <c r="D177" s="28">
        <v>369</v>
      </c>
      <c r="E177" s="28">
        <v>130</v>
      </c>
      <c r="F177" s="28">
        <v>165.6</v>
      </c>
      <c r="G177" s="28">
        <v>22100</v>
      </c>
      <c r="H177" s="28">
        <v>1000</v>
      </c>
      <c r="I177" s="28">
        <v>259</v>
      </c>
      <c r="J177" s="28">
        <v>340</v>
      </c>
      <c r="K177" s="28">
        <v>10</v>
      </c>
      <c r="L177" s="28">
        <v>10</v>
      </c>
      <c r="M177" s="28">
        <f t="shared" ref="M177:M188" si="40">+G177*1.5*L177/H177/N177*100</f>
        <v>44.082446808510639</v>
      </c>
      <c r="N177" s="28">
        <v>752</v>
      </c>
      <c r="O177" s="28">
        <f t="shared" si="38"/>
        <v>427.35</v>
      </c>
      <c r="P177" s="28">
        <f t="shared" si="39"/>
        <v>1381.25</v>
      </c>
      <c r="Q177" s="28">
        <f>+M177*N177/O177</f>
        <v>77.571077571077566</v>
      </c>
      <c r="R177" s="28"/>
      <c r="S177" s="32" t="s">
        <v>1434</v>
      </c>
      <c r="T177" s="28">
        <v>60</v>
      </c>
      <c r="U177" s="28">
        <v>3</v>
      </c>
      <c r="V177" s="28">
        <v>4180</v>
      </c>
      <c r="W177" s="28">
        <v>79</v>
      </c>
      <c r="X177" s="28">
        <v>113</v>
      </c>
    </row>
    <row r="178" spans="1:25" x14ac:dyDescent="0.2">
      <c r="A178" s="19">
        <f t="shared" si="27"/>
        <v>171</v>
      </c>
      <c r="B178" s="32" t="s">
        <v>7440</v>
      </c>
      <c r="C178" s="28">
        <v>1660</v>
      </c>
      <c r="D178" s="28">
        <v>483</v>
      </c>
      <c r="E178" s="28">
        <v>166</v>
      </c>
      <c r="F178" s="28">
        <v>212</v>
      </c>
      <c r="G178" s="28">
        <v>34900</v>
      </c>
      <c r="H178" s="28">
        <v>1000</v>
      </c>
      <c r="I178" s="28">
        <v>120</v>
      </c>
      <c r="J178" s="28">
        <v>420</v>
      </c>
      <c r="K178" s="28">
        <v>12</v>
      </c>
      <c r="L178" s="28">
        <v>11.5</v>
      </c>
      <c r="M178" s="28">
        <f t="shared" si="40"/>
        <v>54.729545454545445</v>
      </c>
      <c r="N178" s="28">
        <v>1100</v>
      </c>
      <c r="O178" s="28">
        <f t="shared" si="38"/>
        <v>293.76</v>
      </c>
      <c r="P178" s="28">
        <f t="shared" si="39"/>
        <v>1760.6060606060605</v>
      </c>
      <c r="Q178" s="28">
        <f>+M178*N178/O178</f>
        <v>204.937704248366</v>
      </c>
      <c r="R178" s="28"/>
      <c r="S178" s="32" t="s">
        <v>1434</v>
      </c>
      <c r="T178" s="28">
        <v>45</v>
      </c>
      <c r="U178" s="28">
        <v>3</v>
      </c>
      <c r="V178" s="28">
        <v>6230</v>
      </c>
      <c r="W178" s="28">
        <v>107</v>
      </c>
      <c r="X178" s="28">
        <v>129</v>
      </c>
    </row>
    <row r="179" spans="1:25" x14ac:dyDescent="0.2">
      <c r="A179" s="19">
        <f t="shared" si="27"/>
        <v>172</v>
      </c>
      <c r="B179" s="32" t="s">
        <v>7441</v>
      </c>
      <c r="C179" s="28">
        <v>1200</v>
      </c>
      <c r="D179" s="28">
        <v>370</v>
      </c>
      <c r="E179" s="28">
        <v>110.1</v>
      </c>
      <c r="F179" s="28">
        <v>140</v>
      </c>
      <c r="G179" s="28">
        <v>21600</v>
      </c>
      <c r="H179" s="28">
        <v>1200</v>
      </c>
      <c r="I179" s="28">
        <v>258</v>
      </c>
      <c r="J179" s="28">
        <v>360</v>
      </c>
      <c r="K179" s="28">
        <v>9.8000000000000007</v>
      </c>
      <c r="L179" s="28">
        <v>9</v>
      </c>
      <c r="M179" s="28">
        <f t="shared" si="40"/>
        <v>33.986013986013987</v>
      </c>
      <c r="N179" s="28">
        <v>715</v>
      </c>
      <c r="O179" s="28">
        <f t="shared" si="38"/>
        <v>368.9357</v>
      </c>
      <c r="P179" s="28">
        <f t="shared" si="39"/>
        <v>1269.0951821386604</v>
      </c>
      <c r="Q179" s="28">
        <v>76.45</v>
      </c>
      <c r="R179" s="28"/>
      <c r="S179" s="32" t="s">
        <v>1434</v>
      </c>
      <c r="T179" s="28">
        <v>50.4</v>
      </c>
      <c r="U179" s="28">
        <v>2</v>
      </c>
      <c r="V179" s="28">
        <v>4500</v>
      </c>
      <c r="W179" s="28">
        <f>J179/2-100.2</f>
        <v>79.8</v>
      </c>
      <c r="X179" s="28">
        <f t="shared" ref="X179:X185" si="41">ROUND(V179/D179*10,0)</f>
        <v>122</v>
      </c>
    </row>
    <row r="180" spans="1:25" x14ac:dyDescent="0.2">
      <c r="A180" s="19">
        <f t="shared" si="27"/>
        <v>173</v>
      </c>
      <c r="B180" s="32" t="s">
        <v>7442</v>
      </c>
      <c r="C180" s="28">
        <v>1670</v>
      </c>
      <c r="D180" s="28">
        <v>473</v>
      </c>
      <c r="E180" s="28">
        <v>121</v>
      </c>
      <c r="F180" s="28">
        <v>154.19999999999999</v>
      </c>
      <c r="G180" s="28">
        <v>35950</v>
      </c>
      <c r="H180" s="28">
        <v>1200</v>
      </c>
      <c r="I180" s="28">
        <v>269</v>
      </c>
      <c r="J180" s="28">
        <v>430</v>
      </c>
      <c r="K180" s="28">
        <v>10.199999999999999</v>
      </c>
      <c r="L180" s="28">
        <v>8.4</v>
      </c>
      <c r="M180" s="28">
        <f t="shared" si="40"/>
        <v>38.517857142857146</v>
      </c>
      <c r="N180" s="28">
        <v>980</v>
      </c>
      <c r="O180" s="28">
        <f t="shared" si="38"/>
        <v>479.93635</v>
      </c>
      <c r="P180" s="28">
        <f t="shared" si="39"/>
        <v>1753.173828125</v>
      </c>
      <c r="Q180" s="28">
        <v>76.45</v>
      </c>
      <c r="R180" s="28"/>
      <c r="S180" s="32" t="s">
        <v>1434</v>
      </c>
      <c r="T180" s="28">
        <v>57.5</v>
      </c>
      <c r="U180" s="28">
        <v>2</v>
      </c>
      <c r="V180" s="28">
        <v>6960</v>
      </c>
      <c r="W180" s="28">
        <f>J180/2-125.6</f>
        <v>89.4</v>
      </c>
      <c r="X180" s="28">
        <f t="shared" si="41"/>
        <v>147</v>
      </c>
    </row>
    <row r="181" spans="1:25" x14ac:dyDescent="0.2">
      <c r="A181" s="19">
        <f t="shared" si="27"/>
        <v>174</v>
      </c>
      <c r="B181" s="32" t="s">
        <v>7443</v>
      </c>
      <c r="C181" s="28">
        <v>2060</v>
      </c>
      <c r="D181" s="28">
        <v>535</v>
      </c>
      <c r="E181" s="28">
        <v>136.5</v>
      </c>
      <c r="F181" s="28">
        <v>173.9</v>
      </c>
      <c r="G181" s="28">
        <v>46380</v>
      </c>
      <c r="H181" s="28">
        <v>1200</v>
      </c>
      <c r="I181" s="28">
        <v>297</v>
      </c>
      <c r="J181" s="28">
        <v>450</v>
      </c>
      <c r="K181" s="28">
        <v>11.1</v>
      </c>
      <c r="L181" s="28">
        <v>9</v>
      </c>
      <c r="M181" s="28">
        <f t="shared" si="40"/>
        <v>43.663179916317993</v>
      </c>
      <c r="N181" s="28">
        <v>1195</v>
      </c>
      <c r="O181" s="28">
        <f t="shared" si="38"/>
        <v>602.88401249999993</v>
      </c>
      <c r="P181" s="28">
        <f t="shared" si="39"/>
        <v>2166.900420757363</v>
      </c>
      <c r="Q181" s="28">
        <v>76.45</v>
      </c>
      <c r="R181" s="28"/>
      <c r="S181" s="32" t="s">
        <v>1434</v>
      </c>
      <c r="T181" s="28">
        <v>62.4</v>
      </c>
      <c r="U181" s="28">
        <v>2</v>
      </c>
      <c r="V181" s="28">
        <v>8460</v>
      </c>
      <c r="W181" s="28">
        <f>J181/2-136.2</f>
        <v>88.800000000000011</v>
      </c>
      <c r="X181" s="28">
        <f t="shared" si="41"/>
        <v>158</v>
      </c>
    </row>
    <row r="182" spans="1:25" x14ac:dyDescent="0.2">
      <c r="A182" s="19">
        <f t="shared" si="27"/>
        <v>175</v>
      </c>
      <c r="B182" s="32" t="s">
        <v>7444</v>
      </c>
      <c r="C182" s="28">
        <v>2680</v>
      </c>
      <c r="D182" s="28">
        <v>576</v>
      </c>
      <c r="E182" s="28">
        <v>162.30000000000001</v>
      </c>
      <c r="F182" s="28">
        <v>206.8</v>
      </c>
      <c r="G182" s="28">
        <v>60580</v>
      </c>
      <c r="H182" s="28">
        <v>1200</v>
      </c>
      <c r="I182" s="28">
        <v>339</v>
      </c>
      <c r="J182" s="28">
        <v>452</v>
      </c>
      <c r="K182" s="28">
        <v>14.2</v>
      </c>
      <c r="L182" s="28">
        <v>9.6999999999999993</v>
      </c>
      <c r="M182" s="28">
        <f t="shared" si="40"/>
        <v>48.166065573770481</v>
      </c>
      <c r="N182" s="28">
        <v>1525</v>
      </c>
      <c r="O182" s="28">
        <f t="shared" si="38"/>
        <v>878.1173500000001</v>
      </c>
      <c r="P182" s="28">
        <f t="shared" si="39"/>
        <v>2859.6789423984892</v>
      </c>
      <c r="Q182" s="28">
        <f t="shared" ref="Q182:Q201" si="42">+M182*N182/O182</f>
        <v>83.648557906298038</v>
      </c>
      <c r="R182" s="28"/>
      <c r="S182" s="32" t="s">
        <v>1434</v>
      </c>
      <c r="T182" s="28">
        <v>68</v>
      </c>
      <c r="U182" s="28">
        <v>2</v>
      </c>
      <c r="V182" s="28">
        <v>9740</v>
      </c>
      <c r="W182" s="28">
        <f>J182/2-146.4</f>
        <v>79.599999999999994</v>
      </c>
      <c r="X182" s="28">
        <f t="shared" si="41"/>
        <v>169</v>
      </c>
    </row>
    <row r="183" spans="1:25" x14ac:dyDescent="0.2">
      <c r="A183" s="19">
        <f t="shared" si="27"/>
        <v>176</v>
      </c>
      <c r="B183" s="148" t="s">
        <v>8620</v>
      </c>
      <c r="C183" s="28">
        <v>1270</v>
      </c>
      <c r="D183" s="28">
        <v>395</v>
      </c>
      <c r="E183" s="28">
        <v>99.8</v>
      </c>
      <c r="F183" s="28">
        <v>127.2</v>
      </c>
      <c r="G183" s="28">
        <v>26590</v>
      </c>
      <c r="H183" s="28">
        <v>1200</v>
      </c>
      <c r="I183" s="28">
        <v>250</v>
      </c>
      <c r="J183" s="28">
        <v>418</v>
      </c>
      <c r="K183" s="28">
        <v>9</v>
      </c>
      <c r="L183" s="28">
        <v>7.4</v>
      </c>
      <c r="M183" s="28">
        <f t="shared" si="40"/>
        <v>32.577152317880795</v>
      </c>
      <c r="N183" s="28">
        <v>755</v>
      </c>
      <c r="O183" s="28">
        <f t="shared" si="38"/>
        <v>383.4375</v>
      </c>
      <c r="P183" s="28">
        <f t="shared" si="39"/>
        <v>1327.15</v>
      </c>
      <c r="Q183" s="28">
        <f t="shared" si="42"/>
        <v>64.145395273023638</v>
      </c>
      <c r="R183" s="28"/>
      <c r="S183" s="32" t="s">
        <v>1434</v>
      </c>
      <c r="T183" s="28">
        <v>54.3</v>
      </c>
      <c r="U183" s="28">
        <v>2</v>
      </c>
      <c r="V183" s="28">
        <v>5440</v>
      </c>
      <c r="W183" s="28">
        <f t="shared" ref="W183" si="43">J183/2-117.4</f>
        <v>91.6</v>
      </c>
      <c r="X183" s="28">
        <f t="shared" si="41"/>
        <v>138</v>
      </c>
    </row>
    <row r="184" spans="1:25" x14ac:dyDescent="0.2">
      <c r="A184" s="19">
        <f t="shared" si="27"/>
        <v>177</v>
      </c>
      <c r="B184" s="148" t="s">
        <v>8621</v>
      </c>
      <c r="C184" s="28">
        <v>2060</v>
      </c>
      <c r="D184" s="28">
        <v>535</v>
      </c>
      <c r="E184" s="28">
        <v>136.5</v>
      </c>
      <c r="F184" s="28">
        <v>173.9</v>
      </c>
      <c r="G184" s="28">
        <v>46380</v>
      </c>
      <c r="H184" s="28">
        <v>1200</v>
      </c>
      <c r="I184" s="28">
        <v>297</v>
      </c>
      <c r="J184" s="28">
        <v>450</v>
      </c>
      <c r="K184" s="28">
        <v>11.1</v>
      </c>
      <c r="L184" s="28">
        <v>9</v>
      </c>
      <c r="M184" s="28">
        <f t="shared" si="40"/>
        <v>43.663179916317993</v>
      </c>
      <c r="N184" s="28">
        <v>1195</v>
      </c>
      <c r="O184" s="28">
        <f t="shared" si="38"/>
        <v>602.88401249999993</v>
      </c>
      <c r="P184" s="28">
        <f t="shared" si="39"/>
        <v>2166.900420757363</v>
      </c>
      <c r="Q184" s="28">
        <f t="shared" si="42"/>
        <v>86.546498029751632</v>
      </c>
      <c r="R184" s="28"/>
      <c r="S184" s="32" t="s">
        <v>1434</v>
      </c>
      <c r="T184" s="28">
        <v>62.4</v>
      </c>
      <c r="U184" s="28">
        <v>2</v>
      </c>
      <c r="V184" s="28">
        <v>8460</v>
      </c>
      <c r="W184" s="28">
        <f>J184/2-136.2</f>
        <v>88.800000000000011</v>
      </c>
      <c r="X184" s="28">
        <f t="shared" si="41"/>
        <v>158</v>
      </c>
      <c r="Y184" s="171"/>
    </row>
    <row r="185" spans="1:25" x14ac:dyDescent="0.2">
      <c r="A185" s="19">
        <f t="shared" si="27"/>
        <v>178</v>
      </c>
      <c r="B185" s="148" t="s">
        <v>8796</v>
      </c>
      <c r="C185" s="28">
        <v>2335</v>
      </c>
      <c r="D185" s="28">
        <v>555</v>
      </c>
      <c r="E185" s="28">
        <v>150.69999999999999</v>
      </c>
      <c r="F185" s="28">
        <v>192</v>
      </c>
      <c r="G185" s="28">
        <v>52510</v>
      </c>
      <c r="H185" s="28">
        <v>1200</v>
      </c>
      <c r="I185" s="28">
        <v>297</v>
      </c>
      <c r="J185" s="28">
        <v>450</v>
      </c>
      <c r="K185" s="28">
        <v>13.1</v>
      </c>
      <c r="L185" s="28">
        <v>10</v>
      </c>
      <c r="M185" s="28">
        <f t="shared" si="40"/>
        <v>48.4409594095941</v>
      </c>
      <c r="N185" s="28">
        <v>1355</v>
      </c>
      <c r="O185" s="28">
        <f t="shared" si="38"/>
        <v>708.26951249999991</v>
      </c>
      <c r="P185" s="28">
        <f t="shared" si="39"/>
        <v>2479.353468617272</v>
      </c>
      <c r="Q185" s="28">
        <f t="shared" si="42"/>
        <v>92.673055724673745</v>
      </c>
      <c r="R185" s="28"/>
      <c r="S185" s="32" t="s">
        <v>1434</v>
      </c>
      <c r="T185" s="28">
        <v>62.4</v>
      </c>
      <c r="U185" s="28">
        <v>2</v>
      </c>
      <c r="V185" s="28">
        <v>9020</v>
      </c>
      <c r="W185" s="28">
        <f>J185/2-139.7</f>
        <v>85.300000000000011</v>
      </c>
      <c r="X185" s="28">
        <f t="shared" si="41"/>
        <v>163</v>
      </c>
    </row>
    <row r="186" spans="1:25" x14ac:dyDescent="0.2">
      <c r="A186" s="19">
        <f t="shared" si="27"/>
        <v>179</v>
      </c>
      <c r="B186" s="32" t="s">
        <v>6016</v>
      </c>
      <c r="C186" s="28">
        <v>1808</v>
      </c>
      <c r="D186" s="28">
        <v>462</v>
      </c>
      <c r="E186" s="28">
        <v>128.1</v>
      </c>
      <c r="F186" s="28">
        <v>163.19999999999999</v>
      </c>
      <c r="G186" s="28">
        <v>37065</v>
      </c>
      <c r="H186" s="28">
        <v>1200</v>
      </c>
      <c r="I186" s="28">
        <v>349.5</v>
      </c>
      <c r="J186" s="28">
        <v>410</v>
      </c>
      <c r="K186" s="28">
        <v>11</v>
      </c>
      <c r="L186" s="28">
        <v>9</v>
      </c>
      <c r="M186" s="28">
        <f t="shared" si="40"/>
        <v>40.7208251953125</v>
      </c>
      <c r="N186" s="28">
        <v>1024</v>
      </c>
      <c r="O186" s="28">
        <f t="shared" si="38"/>
        <v>639.14812500000005</v>
      </c>
      <c r="P186" s="28">
        <f t="shared" si="39"/>
        <v>1910.5154639175257</v>
      </c>
      <c r="Q186" s="28">
        <f t="shared" si="42"/>
        <v>65.240158531326358</v>
      </c>
      <c r="R186" s="28"/>
      <c r="S186" s="32" t="s">
        <v>1434</v>
      </c>
      <c r="T186" s="28">
        <v>66.5</v>
      </c>
      <c r="U186" s="28">
        <v>6</v>
      </c>
      <c r="V186" s="28" t="s">
        <v>8808</v>
      </c>
      <c r="W186" s="28"/>
      <c r="X186" s="28"/>
    </row>
    <row r="187" spans="1:25" x14ac:dyDescent="0.2">
      <c r="A187" s="19">
        <f t="shared" si="27"/>
        <v>180</v>
      </c>
      <c r="B187" s="32" t="s">
        <v>6017</v>
      </c>
      <c r="C187" s="28">
        <v>2000</v>
      </c>
      <c r="D187" s="28">
        <v>493</v>
      </c>
      <c r="E187" s="28">
        <v>140.9</v>
      </c>
      <c r="F187" s="28">
        <v>179.5</v>
      </c>
      <c r="G187" s="28">
        <v>41008</v>
      </c>
      <c r="H187" s="28">
        <v>1200</v>
      </c>
      <c r="I187" s="28">
        <v>357.1</v>
      </c>
      <c r="J187" s="28">
        <v>410</v>
      </c>
      <c r="K187" s="28">
        <v>12.2</v>
      </c>
      <c r="L187" s="28">
        <v>10</v>
      </c>
      <c r="M187" s="28">
        <f t="shared" si="40"/>
        <v>45.162995594713657</v>
      </c>
      <c r="N187" s="28">
        <v>1135</v>
      </c>
      <c r="O187" s="28">
        <f>+(I187*K187*(J187-K187)/2/H187)</f>
        <v>722.10976500000004</v>
      </c>
      <c r="P187" s="28">
        <f>+C187*J187/(J187-2*K187)</f>
        <v>2126.5560165975103</v>
      </c>
      <c r="Q187" s="28">
        <f t="shared" si="42"/>
        <v>70.986437913632145</v>
      </c>
      <c r="R187" s="28"/>
      <c r="S187" s="32" t="s">
        <v>1434</v>
      </c>
      <c r="T187" s="28">
        <v>66.5</v>
      </c>
      <c r="U187" s="28">
        <v>6</v>
      </c>
      <c r="V187" s="28" t="s">
        <v>8808</v>
      </c>
      <c r="W187" s="28"/>
      <c r="X187" s="28"/>
    </row>
    <row r="188" spans="1:25" x14ac:dyDescent="0.2">
      <c r="A188" s="19">
        <f t="shared" si="27"/>
        <v>181</v>
      </c>
      <c r="B188" s="32" t="s">
        <v>6018</v>
      </c>
      <c r="C188" s="28">
        <v>2200</v>
      </c>
      <c r="D188" s="28">
        <v>467</v>
      </c>
      <c r="E188" s="28">
        <v>143.69999999999999</v>
      </c>
      <c r="F188" s="28">
        <v>183.1</v>
      </c>
      <c r="G188" s="28">
        <v>46217</v>
      </c>
      <c r="H188" s="28">
        <v>1200</v>
      </c>
      <c r="I188" s="28">
        <v>347.7</v>
      </c>
      <c r="J188" s="28">
        <v>420</v>
      </c>
      <c r="K188" s="28">
        <v>14.9</v>
      </c>
      <c r="L188" s="28">
        <v>9</v>
      </c>
      <c r="M188" s="28">
        <f t="shared" si="40"/>
        <v>41.998485460420035</v>
      </c>
      <c r="N188" s="28">
        <v>1238</v>
      </c>
      <c r="O188" s="28">
        <f>+(I188*K188*(J188-K188)/2/H188)</f>
        <v>874.4640512499999</v>
      </c>
      <c r="P188" s="28">
        <f>+C188*J188/(J188-2*K188)</f>
        <v>2368.0164018452078</v>
      </c>
      <c r="Q188" s="28">
        <f t="shared" si="42"/>
        <v>59.45827610143283</v>
      </c>
      <c r="R188" s="28"/>
      <c r="S188" s="32" t="s">
        <v>1434</v>
      </c>
      <c r="T188" s="28">
        <v>66.5</v>
      </c>
      <c r="U188" s="28">
        <v>6</v>
      </c>
      <c r="V188" s="28" t="s">
        <v>8808</v>
      </c>
      <c r="W188" s="28"/>
      <c r="X188" s="28"/>
    </row>
    <row r="189" spans="1:25" x14ac:dyDescent="0.2">
      <c r="A189" s="19">
        <f t="shared" si="27"/>
        <v>182</v>
      </c>
      <c r="B189" s="32" t="s">
        <v>6019</v>
      </c>
      <c r="C189" s="28">
        <v>2200</v>
      </c>
      <c r="D189" s="28">
        <v>500</v>
      </c>
      <c r="E189" s="28">
        <v>158</v>
      </c>
      <c r="F189" s="28">
        <v>201.3</v>
      </c>
      <c r="G189" s="28">
        <v>52631</v>
      </c>
      <c r="H189" s="28">
        <v>1200</v>
      </c>
      <c r="I189" s="28">
        <v>347.6</v>
      </c>
      <c r="J189" s="28">
        <v>420</v>
      </c>
      <c r="K189" s="28">
        <v>16.5</v>
      </c>
      <c r="L189" s="28">
        <v>9.1999999999999993</v>
      </c>
      <c r="M189" s="28">
        <f>+G189*1.5*L189/H189/N189*100</f>
        <v>43.140163934426226</v>
      </c>
      <c r="N189" s="28">
        <v>1403</v>
      </c>
      <c r="O189" s="28">
        <f>+(I189*K189*(J189-K189)/2/H189)</f>
        <v>964.26412500000015</v>
      </c>
      <c r="P189" s="28">
        <f>+C189*J189/(J189-2*K189)</f>
        <v>2387.5968992248063</v>
      </c>
      <c r="Q189" s="28">
        <f t="shared" si="42"/>
        <v>62.768746063222032</v>
      </c>
      <c r="R189" s="28"/>
      <c r="S189" s="32" t="s">
        <v>1434</v>
      </c>
      <c r="T189" s="28">
        <v>66.5</v>
      </c>
      <c r="U189" s="28">
        <v>6</v>
      </c>
      <c r="V189" s="28" t="s">
        <v>8808</v>
      </c>
      <c r="W189" s="28"/>
      <c r="X189" s="28"/>
    </row>
    <row r="190" spans="1:25" x14ac:dyDescent="0.2">
      <c r="A190" s="19">
        <f t="shared" ref="A190:A201" si="44">+A189+1</f>
        <v>183</v>
      </c>
      <c r="B190" s="148" t="s">
        <v>8623</v>
      </c>
      <c r="C190" s="28">
        <v>1233</v>
      </c>
      <c r="D190" s="29">
        <v>600</v>
      </c>
      <c r="E190" s="31">
        <v>72.5</v>
      </c>
      <c r="F190" s="31">
        <v>92.4</v>
      </c>
      <c r="G190" s="29">
        <v>25074</v>
      </c>
      <c r="H190" s="29">
        <f>743*2</f>
        <v>1486</v>
      </c>
      <c r="I190" s="29">
        <v>438</v>
      </c>
      <c r="J190" s="29">
        <v>407</v>
      </c>
      <c r="K190" s="31">
        <v>6</v>
      </c>
      <c r="L190" s="31">
        <v>6</v>
      </c>
      <c r="M190" s="31">
        <f>+G190*1.5*L190/H190/N190*100</f>
        <v>21.388925748298675</v>
      </c>
      <c r="N190" s="31">
        <v>710</v>
      </c>
      <c r="O190" s="31">
        <f>+(I190*K190*(J190-K190)/2/H190)</f>
        <v>354.58546433378194</v>
      </c>
      <c r="P190" s="29">
        <f>+C190*J190/(J190-2*K190)</f>
        <v>1270.4582278481012</v>
      </c>
      <c r="Q190" s="31">
        <f t="shared" si="42"/>
        <v>42.827861852218774</v>
      </c>
      <c r="R190" s="31"/>
      <c r="S190" s="150" t="s">
        <v>6261</v>
      </c>
      <c r="T190" s="31">
        <v>55</v>
      </c>
      <c r="U190" s="31">
        <v>12</v>
      </c>
      <c r="V190" s="31" t="s">
        <v>8822</v>
      </c>
      <c r="W190" s="31"/>
      <c r="X190" s="31"/>
    </row>
    <row r="191" spans="1:25" x14ac:dyDescent="0.2">
      <c r="A191" s="19">
        <f t="shared" si="44"/>
        <v>184</v>
      </c>
      <c r="B191" s="148" t="s">
        <v>8811</v>
      </c>
      <c r="C191" s="28">
        <v>625</v>
      </c>
      <c r="D191" s="29">
        <v>215</v>
      </c>
      <c r="E191" s="31">
        <v>69.900000000000006</v>
      </c>
      <c r="F191" s="31">
        <v>89</v>
      </c>
      <c r="G191" s="29">
        <v>9670</v>
      </c>
      <c r="H191" s="29">
        <v>1200</v>
      </c>
      <c r="I191" s="29">
        <v>248</v>
      </c>
      <c r="J191" s="29">
        <v>309</v>
      </c>
      <c r="K191" s="31">
        <v>6</v>
      </c>
      <c r="L191" s="31">
        <v>6</v>
      </c>
      <c r="M191" s="31">
        <f t="shared" ref="M191:M201" si="45">+G191*1.5*L191/H191/N191*100</f>
        <v>19.340000000000003</v>
      </c>
      <c r="N191" s="31">
        <v>375</v>
      </c>
      <c r="O191" s="31">
        <f t="shared" ref="O191:O201" si="46">+(I191*K191*(J191-K191)/2/H191)</f>
        <v>187.86</v>
      </c>
      <c r="P191" s="29">
        <f t="shared" ref="P191:P201" si="47">+C191*J191/(J191-2*K191)</f>
        <v>650.25252525252529</v>
      </c>
      <c r="Q191" s="31">
        <f t="shared" si="42"/>
        <v>38.605876716703932</v>
      </c>
      <c r="R191" s="31"/>
      <c r="S191" s="150" t="s">
        <v>1434</v>
      </c>
      <c r="T191" s="31">
        <v>42.5</v>
      </c>
      <c r="U191" s="31">
        <v>2</v>
      </c>
      <c r="V191" s="31">
        <v>2160</v>
      </c>
      <c r="W191" s="31">
        <f>J191/2-82.7</f>
        <v>71.8</v>
      </c>
      <c r="X191" s="31">
        <f t="shared" ref="X191:X201" si="48">ROUND(V191/D191*10,0)</f>
        <v>100</v>
      </c>
    </row>
    <row r="192" spans="1:25" x14ac:dyDescent="0.2">
      <c r="A192" s="19">
        <f t="shared" si="44"/>
        <v>185</v>
      </c>
      <c r="B192" s="148" t="s">
        <v>8812</v>
      </c>
      <c r="C192" s="28">
        <v>675</v>
      </c>
      <c r="D192" s="29">
        <v>220</v>
      </c>
      <c r="E192" s="31">
        <v>73.5</v>
      </c>
      <c r="F192" s="31">
        <v>93.7</v>
      </c>
      <c r="G192" s="29">
        <v>10450</v>
      </c>
      <c r="H192" s="29">
        <v>1200</v>
      </c>
      <c r="I192" s="29">
        <v>248</v>
      </c>
      <c r="J192" s="29">
        <v>310</v>
      </c>
      <c r="K192" s="31">
        <v>6.5</v>
      </c>
      <c r="L192" s="31">
        <v>6.4</v>
      </c>
      <c r="M192" s="31">
        <f t="shared" si="45"/>
        <v>20.9</v>
      </c>
      <c r="N192" s="31">
        <v>400</v>
      </c>
      <c r="O192" s="31">
        <f t="shared" si="46"/>
        <v>203.85083333333333</v>
      </c>
      <c r="P192" s="29">
        <f t="shared" si="47"/>
        <v>704.5454545454545</v>
      </c>
      <c r="Q192" s="31">
        <f t="shared" si="42"/>
        <v>41.010379321480983</v>
      </c>
      <c r="R192" s="31"/>
      <c r="S192" s="150" t="s">
        <v>1434</v>
      </c>
      <c r="T192" s="31">
        <v>42.5</v>
      </c>
      <c r="U192" s="31">
        <v>2</v>
      </c>
      <c r="V192" s="31">
        <v>2250</v>
      </c>
      <c r="W192" s="31">
        <f>J192/2-84.6</f>
        <v>70.400000000000006</v>
      </c>
      <c r="X192" s="31">
        <f t="shared" si="48"/>
        <v>102</v>
      </c>
    </row>
    <row r="193" spans="1:25" x14ac:dyDescent="0.2">
      <c r="A193" s="19">
        <f t="shared" si="44"/>
        <v>186</v>
      </c>
      <c r="B193" s="148" t="s">
        <v>8813</v>
      </c>
      <c r="C193" s="28">
        <v>740</v>
      </c>
      <c r="D193" s="29">
        <v>225</v>
      </c>
      <c r="E193" s="31">
        <v>77.099999999999994</v>
      </c>
      <c r="F193" s="31">
        <v>100.3</v>
      </c>
      <c r="G193" s="29">
        <v>11540</v>
      </c>
      <c r="H193" s="29">
        <v>1200</v>
      </c>
      <c r="I193" s="29">
        <v>248</v>
      </c>
      <c r="J193" s="29">
        <v>311</v>
      </c>
      <c r="K193" s="31">
        <v>7.2</v>
      </c>
      <c r="L193" s="31">
        <v>6.9</v>
      </c>
      <c r="M193" s="31">
        <f t="shared" si="45"/>
        <v>22.621022727272727</v>
      </c>
      <c r="N193" s="31">
        <v>440</v>
      </c>
      <c r="O193" s="31">
        <f t="shared" si="46"/>
        <v>226.02720000000002</v>
      </c>
      <c r="P193" s="29">
        <f t="shared" si="47"/>
        <v>775.92717464598775</v>
      </c>
      <c r="Q193" s="31">
        <f t="shared" si="42"/>
        <v>44.035629340185601</v>
      </c>
      <c r="R193" s="31"/>
      <c r="S193" s="150" t="s">
        <v>1434</v>
      </c>
      <c r="T193" s="31">
        <v>42.5</v>
      </c>
      <c r="U193" s="31">
        <v>2</v>
      </c>
      <c r="V193" s="31">
        <v>2370</v>
      </c>
      <c r="W193" s="31">
        <f>J193/2-87</f>
        <v>68.5</v>
      </c>
      <c r="X193" s="31">
        <f t="shared" si="48"/>
        <v>105</v>
      </c>
      <c r="Y193" s="172"/>
    </row>
    <row r="194" spans="1:25" x14ac:dyDescent="0.2">
      <c r="A194" s="19">
        <f t="shared" si="44"/>
        <v>187</v>
      </c>
      <c r="B194" s="148" t="s">
        <v>8814</v>
      </c>
      <c r="C194" s="28">
        <v>770</v>
      </c>
      <c r="D194" s="29">
        <v>225</v>
      </c>
      <c r="E194" s="31">
        <v>80.900000000000006</v>
      </c>
      <c r="F194" s="31">
        <v>103.1</v>
      </c>
      <c r="G194" s="29">
        <v>12010</v>
      </c>
      <c r="H194" s="29">
        <v>1200</v>
      </c>
      <c r="I194" s="29">
        <v>248</v>
      </c>
      <c r="J194" s="29">
        <v>312</v>
      </c>
      <c r="K194" s="31">
        <v>7.5</v>
      </c>
      <c r="L194" s="31">
        <v>7.1</v>
      </c>
      <c r="M194" s="31">
        <f t="shared" si="45"/>
        <v>23.171467391304347</v>
      </c>
      <c r="N194" s="31">
        <v>460</v>
      </c>
      <c r="O194" s="31">
        <f t="shared" si="46"/>
        <v>235.98750000000001</v>
      </c>
      <c r="P194" s="29">
        <f t="shared" si="47"/>
        <v>808.88888888888891</v>
      </c>
      <c r="Q194" s="31">
        <f t="shared" si="42"/>
        <v>45.167116902378304</v>
      </c>
      <c r="R194" s="31"/>
      <c r="S194" s="150" t="s">
        <v>1434</v>
      </c>
      <c r="T194" s="31">
        <v>42.5</v>
      </c>
      <c r="U194" s="31">
        <v>2</v>
      </c>
      <c r="V194" s="31">
        <v>2420</v>
      </c>
      <c r="W194" s="31">
        <f>J194/2-87.9</f>
        <v>68.099999999999994</v>
      </c>
      <c r="X194" s="31">
        <f t="shared" si="48"/>
        <v>108</v>
      </c>
      <c r="Y194" s="172"/>
    </row>
    <row r="195" spans="1:25" x14ac:dyDescent="0.2">
      <c r="A195" s="19">
        <f t="shared" si="44"/>
        <v>188</v>
      </c>
      <c r="B195" s="148" t="s">
        <v>8815</v>
      </c>
      <c r="C195" s="28">
        <v>820</v>
      </c>
      <c r="D195" s="29">
        <v>230</v>
      </c>
      <c r="E195" s="31">
        <v>84.6</v>
      </c>
      <c r="F195" s="31">
        <v>107.8</v>
      </c>
      <c r="G195" s="29">
        <v>12800</v>
      </c>
      <c r="H195" s="29">
        <v>1200</v>
      </c>
      <c r="I195" s="29">
        <v>248</v>
      </c>
      <c r="J195" s="29">
        <v>313</v>
      </c>
      <c r="K195" s="31">
        <v>8</v>
      </c>
      <c r="L195" s="31">
        <v>7.5</v>
      </c>
      <c r="M195" s="31">
        <f t="shared" si="45"/>
        <v>24.489795918367346</v>
      </c>
      <c r="N195" s="31">
        <v>490</v>
      </c>
      <c r="O195" s="31">
        <f t="shared" si="46"/>
        <v>252.13333333333333</v>
      </c>
      <c r="P195" s="29">
        <f t="shared" si="47"/>
        <v>864.17508417508418</v>
      </c>
      <c r="Q195" s="31">
        <f t="shared" si="42"/>
        <v>47.593865679534638</v>
      </c>
      <c r="R195" s="31"/>
      <c r="S195" s="150" t="s">
        <v>1434</v>
      </c>
      <c r="T195" s="31">
        <v>42.5</v>
      </c>
      <c r="U195" s="31">
        <v>2</v>
      </c>
      <c r="V195" s="31">
        <v>2510</v>
      </c>
      <c r="W195" s="31">
        <f>J195/2-89.4</f>
        <v>67.099999999999994</v>
      </c>
      <c r="X195" s="31">
        <f t="shared" si="48"/>
        <v>109</v>
      </c>
      <c r="Y195" s="172"/>
    </row>
    <row r="196" spans="1:25" x14ac:dyDescent="0.2">
      <c r="A196" s="19">
        <f t="shared" si="44"/>
        <v>189</v>
      </c>
      <c r="B196" s="148" t="s">
        <v>8816</v>
      </c>
      <c r="C196" s="28">
        <v>1670</v>
      </c>
      <c r="D196" s="29">
        <v>475</v>
      </c>
      <c r="E196" s="31">
        <v>121</v>
      </c>
      <c r="F196" s="31">
        <v>154.19999999999999</v>
      </c>
      <c r="G196" s="29">
        <v>35950</v>
      </c>
      <c r="H196" s="29">
        <v>1200</v>
      </c>
      <c r="I196" s="29">
        <v>269</v>
      </c>
      <c r="J196" s="29">
        <v>430</v>
      </c>
      <c r="K196" s="31">
        <v>10.199999999999999</v>
      </c>
      <c r="L196" s="31">
        <v>8.4</v>
      </c>
      <c r="M196" s="31">
        <f t="shared" si="45"/>
        <v>38.517857142857146</v>
      </c>
      <c r="N196" s="31">
        <v>980</v>
      </c>
      <c r="O196" s="31">
        <f t="shared" si="46"/>
        <v>479.93635</v>
      </c>
      <c r="P196" s="29">
        <f t="shared" si="47"/>
        <v>1753.173828125</v>
      </c>
      <c r="Q196" s="31">
        <f t="shared" si="42"/>
        <v>78.651054457533789</v>
      </c>
      <c r="R196" s="31"/>
      <c r="S196" s="150" t="s">
        <v>1434</v>
      </c>
      <c r="T196" s="31">
        <v>57.5</v>
      </c>
      <c r="U196" s="31">
        <v>2</v>
      </c>
      <c r="V196" s="31">
        <v>6960</v>
      </c>
      <c r="W196" s="31">
        <f>J196/2-125.6</f>
        <v>89.4</v>
      </c>
      <c r="X196" s="31">
        <f t="shared" si="48"/>
        <v>147</v>
      </c>
    </row>
    <row r="197" spans="1:25" x14ac:dyDescent="0.2">
      <c r="A197" s="19">
        <f t="shared" si="44"/>
        <v>190</v>
      </c>
      <c r="B197" s="148" t="s">
        <v>8817</v>
      </c>
      <c r="C197" s="28">
        <v>1800</v>
      </c>
      <c r="D197" s="29">
        <v>485</v>
      </c>
      <c r="E197" s="31">
        <v>128.19999999999999</v>
      </c>
      <c r="F197" s="31">
        <v>163.30000000000001</v>
      </c>
      <c r="G197" s="29">
        <v>38650</v>
      </c>
      <c r="H197" s="29">
        <v>1200</v>
      </c>
      <c r="I197" s="29">
        <v>269</v>
      </c>
      <c r="J197" s="29">
        <v>430</v>
      </c>
      <c r="K197" s="31">
        <v>11.2</v>
      </c>
      <c r="L197" s="31">
        <v>9</v>
      </c>
      <c r="M197" s="31">
        <f t="shared" si="45"/>
        <v>41.214454976303315</v>
      </c>
      <c r="N197" s="31">
        <v>1055</v>
      </c>
      <c r="O197" s="31">
        <f t="shared" si="46"/>
        <v>525.73359999999991</v>
      </c>
      <c r="P197" s="29">
        <f t="shared" si="47"/>
        <v>1898.9205103042198</v>
      </c>
      <c r="Q197" s="31">
        <f t="shared" si="42"/>
        <v>82.705860915109866</v>
      </c>
      <c r="R197" s="31"/>
      <c r="S197" s="150" t="s">
        <v>1434</v>
      </c>
      <c r="T197" s="31">
        <v>57.5</v>
      </c>
      <c r="U197" s="31">
        <v>2</v>
      </c>
      <c r="V197" s="31">
        <v>7220</v>
      </c>
      <c r="W197" s="31">
        <f>J197/2-127.6</f>
        <v>87.4</v>
      </c>
      <c r="X197" s="31">
        <f t="shared" si="48"/>
        <v>149</v>
      </c>
    </row>
    <row r="198" spans="1:25" x14ac:dyDescent="0.2">
      <c r="A198" s="19">
        <f t="shared" si="44"/>
        <v>191</v>
      </c>
      <c r="B198" s="148" t="s">
        <v>8818</v>
      </c>
      <c r="C198" s="28">
        <v>1920</v>
      </c>
      <c r="D198" s="29">
        <v>495</v>
      </c>
      <c r="E198" s="31">
        <v>135.19999999999999</v>
      </c>
      <c r="F198" s="31">
        <v>172.3</v>
      </c>
      <c r="G198" s="29">
        <v>41320</v>
      </c>
      <c r="H198" s="29">
        <v>1200</v>
      </c>
      <c r="I198" s="29">
        <v>269</v>
      </c>
      <c r="J198" s="29">
        <v>430</v>
      </c>
      <c r="K198" s="31">
        <v>12.2</v>
      </c>
      <c r="L198" s="31">
        <v>9.5</v>
      </c>
      <c r="M198" s="31">
        <f t="shared" si="45"/>
        <v>43.615555555555559</v>
      </c>
      <c r="N198" s="31">
        <v>1125</v>
      </c>
      <c r="O198" s="31">
        <f t="shared" si="46"/>
        <v>571.30668333333335</v>
      </c>
      <c r="P198" s="29">
        <f t="shared" si="47"/>
        <v>2035.5029585798816</v>
      </c>
      <c r="Q198" s="31">
        <f t="shared" si="42"/>
        <v>85.886444936565169</v>
      </c>
      <c r="R198" s="31"/>
      <c r="S198" s="150" t="s">
        <v>1434</v>
      </c>
      <c r="T198" s="31">
        <v>57.5</v>
      </c>
      <c r="U198" s="31">
        <v>2</v>
      </c>
      <c r="V198" s="31">
        <v>7480</v>
      </c>
      <c r="W198" s="31">
        <f>J198/2-129.3</f>
        <v>85.699999999999989</v>
      </c>
      <c r="X198" s="31">
        <f t="shared" si="48"/>
        <v>151</v>
      </c>
    </row>
    <row r="199" spans="1:25" x14ac:dyDescent="0.2">
      <c r="A199" s="19">
        <f t="shared" si="44"/>
        <v>192</v>
      </c>
      <c r="B199" s="148" t="s">
        <v>8819</v>
      </c>
      <c r="C199" s="28">
        <v>2200</v>
      </c>
      <c r="D199" s="29">
        <v>546</v>
      </c>
      <c r="E199" s="31">
        <v>143.6</v>
      </c>
      <c r="F199" s="31">
        <v>182.9</v>
      </c>
      <c r="G199" s="29">
        <v>49460</v>
      </c>
      <c r="H199" s="29">
        <v>1200</v>
      </c>
      <c r="I199" s="29">
        <v>297</v>
      </c>
      <c r="J199" s="29">
        <v>450</v>
      </c>
      <c r="K199" s="31">
        <v>12.1</v>
      </c>
      <c r="L199" s="31">
        <v>9.5</v>
      </c>
      <c r="M199" s="31">
        <f t="shared" si="45"/>
        <v>46.065686274509801</v>
      </c>
      <c r="N199" s="31">
        <v>1275</v>
      </c>
      <c r="O199" s="31">
        <f t="shared" si="46"/>
        <v>655.70051249999995</v>
      </c>
      <c r="P199" s="29">
        <f t="shared" si="47"/>
        <v>2325.035227806482</v>
      </c>
      <c r="Q199" s="31">
        <f t="shared" si="42"/>
        <v>89.574049250114015</v>
      </c>
      <c r="R199" s="31"/>
      <c r="S199" s="150" t="s">
        <v>1434</v>
      </c>
      <c r="T199" s="31">
        <v>62.4</v>
      </c>
      <c r="U199" s="31">
        <v>2</v>
      </c>
      <c r="V199" s="31">
        <v>8740</v>
      </c>
      <c r="W199" s="31">
        <f>J199/2-138.1</f>
        <v>86.9</v>
      </c>
      <c r="X199" s="31">
        <f t="shared" si="48"/>
        <v>160</v>
      </c>
    </row>
    <row r="200" spans="1:25" x14ac:dyDescent="0.2">
      <c r="A200" s="19">
        <f t="shared" si="44"/>
        <v>193</v>
      </c>
      <c r="B200" s="148" t="s">
        <v>8820</v>
      </c>
      <c r="C200" s="28">
        <v>1560</v>
      </c>
      <c r="D200" s="29">
        <v>265</v>
      </c>
      <c r="E200" s="31">
        <v>154.9</v>
      </c>
      <c r="F200" s="31">
        <v>197.3</v>
      </c>
      <c r="G200" s="29">
        <v>22580</v>
      </c>
      <c r="H200" s="29">
        <v>800</v>
      </c>
      <c r="I200" s="29">
        <v>252</v>
      </c>
      <c r="J200" s="29">
        <v>290</v>
      </c>
      <c r="K200" s="31">
        <v>12.7</v>
      </c>
      <c r="L200" s="31">
        <v>9.4</v>
      </c>
      <c r="M200" s="31">
        <f t="shared" si="45"/>
        <v>44.968644067796617</v>
      </c>
      <c r="N200" s="31">
        <v>885</v>
      </c>
      <c r="O200" s="31">
        <f t="shared" si="46"/>
        <v>554.66932499999996</v>
      </c>
      <c r="P200" s="29">
        <f t="shared" si="47"/>
        <v>1709.7505668934239</v>
      </c>
      <c r="Q200" s="31">
        <f t="shared" si="42"/>
        <v>71.749505888035202</v>
      </c>
      <c r="R200" s="31"/>
      <c r="S200" s="150" t="s">
        <v>1434</v>
      </c>
      <c r="T200" s="31">
        <v>82.1</v>
      </c>
      <c r="U200" s="31">
        <v>2</v>
      </c>
      <c r="V200" s="31">
        <v>2950</v>
      </c>
      <c r="W200" s="31">
        <f>J200/2-87.8</f>
        <v>57.2</v>
      </c>
      <c r="X200" s="31">
        <f t="shared" si="48"/>
        <v>111</v>
      </c>
      <c r="Y200" s="172"/>
    </row>
    <row r="201" spans="1:25" x14ac:dyDescent="0.2">
      <c r="A201" s="19">
        <f t="shared" si="44"/>
        <v>194</v>
      </c>
      <c r="B201" s="148" t="s">
        <v>8821</v>
      </c>
      <c r="C201" s="28">
        <v>1785</v>
      </c>
      <c r="D201" s="29">
        <v>290</v>
      </c>
      <c r="E201" s="31">
        <v>173.3</v>
      </c>
      <c r="F201" s="31">
        <v>220.8</v>
      </c>
      <c r="G201" s="29">
        <v>26090</v>
      </c>
      <c r="H201" s="29">
        <v>800</v>
      </c>
      <c r="I201" s="29">
        <v>252</v>
      </c>
      <c r="J201" s="29">
        <v>292</v>
      </c>
      <c r="K201" s="31">
        <v>15</v>
      </c>
      <c r="L201" s="31">
        <v>9.6999999999999993</v>
      </c>
      <c r="M201" s="31">
        <f t="shared" si="45"/>
        <v>46.749938423645318</v>
      </c>
      <c r="N201" s="31">
        <v>1015</v>
      </c>
      <c r="O201" s="31">
        <f t="shared" si="46"/>
        <v>654.41250000000002</v>
      </c>
      <c r="P201" s="29">
        <f t="shared" si="47"/>
        <v>1989.3893129770993</v>
      </c>
      <c r="Q201" s="31">
        <f t="shared" si="42"/>
        <v>72.509598303822131</v>
      </c>
      <c r="R201" s="31"/>
      <c r="S201" s="150" t="s">
        <v>1434</v>
      </c>
      <c r="T201" s="31">
        <v>82.1</v>
      </c>
      <c r="U201" s="31">
        <v>2</v>
      </c>
      <c r="V201" s="31">
        <v>3290</v>
      </c>
      <c r="W201" s="31">
        <f>J201/2-90</f>
        <v>56</v>
      </c>
      <c r="X201" s="31">
        <f t="shared" si="48"/>
        <v>113</v>
      </c>
      <c r="Y201" s="172"/>
    </row>
  </sheetData>
  <phoneticPr fontId="4" type="noConversion"/>
  <pageMargins left="0.78740157499999996" right="0.25" top="1.03" bottom="0.33" header="0.4921259845" footer="0.25"/>
  <pageSetup paperSize="9" scale="80" fitToHeight="2" orientation="portrait" r:id="rId1"/>
  <headerFooter alignWithMargins="0">
    <oddHeader xml:space="preserve">&amp;L&amp;"Arial,Fett"&amp;36BK&amp;C&amp;"Arial,Fett"&amp;18WallMann
Profilliste Spundwände&amp;RSeite &amp;P/&amp;N
&amp;D
&amp;F/&amp;A </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2]!SichtenProfileEnde">
                <anchor moveWithCells="1" sizeWithCells="1">
                  <from>
                    <xdr:col>0</xdr:col>
                    <xdr:colOff>38100</xdr:colOff>
                    <xdr:row>0</xdr:row>
                    <xdr:rowOff>47625</xdr:rowOff>
                  </from>
                  <to>
                    <xdr:col>1</xdr:col>
                    <xdr:colOff>590550</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1"/>
  <dimension ref="A1:AF230"/>
  <sheetViews>
    <sheetView tabSelected="1" topLeftCell="J1" zoomScaleNormal="100" workbookViewId="0">
      <pane ySplit="3" topLeftCell="A4" activePane="bottomLeft" state="frozen"/>
      <selection pane="bottomLeft" activeCell="A192" sqref="A192:XFD192"/>
    </sheetView>
  </sheetViews>
  <sheetFormatPr baseColWidth="10" defaultRowHeight="12.75" x14ac:dyDescent="0.2"/>
  <cols>
    <col min="1" max="1" width="8" customWidth="1"/>
    <col min="2" max="2" width="15.7109375" customWidth="1"/>
  </cols>
  <sheetData>
    <row r="1" spans="1:32" x14ac:dyDescent="0.2">
      <c r="A1" s="11"/>
      <c r="B1" s="12">
        <v>1</v>
      </c>
      <c r="C1" s="13">
        <f t="shared" ref="C1:V1" si="0">+B1+1</f>
        <v>2</v>
      </c>
      <c r="D1" s="14">
        <f t="shared" si="0"/>
        <v>3</v>
      </c>
      <c r="E1" s="14">
        <f t="shared" si="0"/>
        <v>4</v>
      </c>
      <c r="F1" s="14">
        <f t="shared" si="0"/>
        <v>5</v>
      </c>
      <c r="G1" s="14">
        <f t="shared" si="0"/>
        <v>6</v>
      </c>
      <c r="H1" s="14">
        <f t="shared" si="0"/>
        <v>7</v>
      </c>
      <c r="I1" s="14">
        <f t="shared" si="0"/>
        <v>8</v>
      </c>
      <c r="J1" s="14">
        <f t="shared" si="0"/>
        <v>9</v>
      </c>
      <c r="K1" s="14">
        <f t="shared" si="0"/>
        <v>10</v>
      </c>
      <c r="L1" s="14">
        <f t="shared" si="0"/>
        <v>11</v>
      </c>
      <c r="M1" s="14">
        <f t="shared" si="0"/>
        <v>12</v>
      </c>
      <c r="N1" s="14">
        <f t="shared" si="0"/>
        <v>13</v>
      </c>
      <c r="O1" s="14">
        <f t="shared" si="0"/>
        <v>14</v>
      </c>
      <c r="P1" s="14">
        <f t="shared" si="0"/>
        <v>15</v>
      </c>
      <c r="Q1" s="14">
        <f t="shared" si="0"/>
        <v>16</v>
      </c>
      <c r="R1" s="14">
        <f t="shared" si="0"/>
        <v>17</v>
      </c>
      <c r="S1" s="14">
        <f t="shared" si="0"/>
        <v>18</v>
      </c>
      <c r="T1" s="14">
        <f t="shared" si="0"/>
        <v>19</v>
      </c>
      <c r="U1" s="14">
        <f t="shared" si="0"/>
        <v>20</v>
      </c>
      <c r="V1" s="14">
        <f t="shared" si="0"/>
        <v>21</v>
      </c>
      <c r="W1" s="14">
        <v>22</v>
      </c>
      <c r="X1" s="14">
        <v>23</v>
      </c>
      <c r="Y1" s="14">
        <v>24</v>
      </c>
      <c r="Z1" s="14">
        <v>25</v>
      </c>
      <c r="AA1" s="14">
        <v>26</v>
      </c>
      <c r="AB1" s="14">
        <v>27</v>
      </c>
      <c r="AC1" s="14">
        <v>28</v>
      </c>
      <c r="AD1" s="15"/>
      <c r="AE1" s="15"/>
      <c r="AF1" s="15"/>
    </row>
    <row r="2" spans="1:32" ht="15.75" x14ac:dyDescent="0.3">
      <c r="A2" s="16"/>
      <c r="B2" s="17" t="s">
        <v>2613</v>
      </c>
      <c r="C2" s="18" t="s">
        <v>2614</v>
      </c>
      <c r="D2" s="19" t="s">
        <v>2615</v>
      </c>
      <c r="E2" s="19" t="s">
        <v>2616</v>
      </c>
      <c r="F2" s="19" t="s">
        <v>3906</v>
      </c>
      <c r="G2" s="19" t="s">
        <v>2111</v>
      </c>
      <c r="H2" s="19" t="s">
        <v>3907</v>
      </c>
      <c r="I2" s="19" t="s">
        <v>3908</v>
      </c>
      <c r="J2" s="14" t="s">
        <v>3909</v>
      </c>
      <c r="K2" s="19" t="s">
        <v>3910</v>
      </c>
      <c r="L2" s="14" t="s">
        <v>1738</v>
      </c>
      <c r="M2" s="14" t="s">
        <v>1739</v>
      </c>
      <c r="N2" s="19" t="s">
        <v>1740</v>
      </c>
      <c r="O2" s="19" t="s">
        <v>1741</v>
      </c>
      <c r="P2" s="19" t="s">
        <v>1742</v>
      </c>
      <c r="Q2" s="14" t="s">
        <v>1743</v>
      </c>
      <c r="R2" s="20" t="s">
        <v>1744</v>
      </c>
      <c r="S2" s="20" t="s">
        <v>1745</v>
      </c>
      <c r="T2" s="21" t="s">
        <v>4775</v>
      </c>
      <c r="U2" s="19" t="s">
        <v>1445</v>
      </c>
      <c r="V2" s="19" t="s">
        <v>1446</v>
      </c>
      <c r="W2" s="22" t="s">
        <v>6726</v>
      </c>
      <c r="X2" s="22" t="s">
        <v>6727</v>
      </c>
      <c r="Y2" s="20" t="s">
        <v>6741</v>
      </c>
      <c r="Z2" s="20" t="s">
        <v>3740</v>
      </c>
      <c r="AA2" s="20" t="s">
        <v>7827</v>
      </c>
      <c r="AB2" s="20" t="s">
        <v>8782</v>
      </c>
      <c r="AC2" s="160" t="s">
        <v>8793</v>
      </c>
      <c r="AD2" s="15"/>
      <c r="AE2" s="15"/>
      <c r="AF2" s="15"/>
    </row>
    <row r="3" spans="1:32" ht="14.25" x14ac:dyDescent="0.2">
      <c r="A3" s="23"/>
      <c r="B3" s="24"/>
      <c r="C3" s="18" t="s">
        <v>1447</v>
      </c>
      <c r="D3" s="19" t="s">
        <v>1447</v>
      </c>
      <c r="E3" s="19" t="s">
        <v>1447</v>
      </c>
      <c r="F3" s="19" t="s">
        <v>1447</v>
      </c>
      <c r="G3" s="21" t="s">
        <v>1448</v>
      </c>
      <c r="H3" s="19" t="s">
        <v>1449</v>
      </c>
      <c r="I3" s="19" t="s">
        <v>1450</v>
      </c>
      <c r="J3" s="14" t="s">
        <v>1451</v>
      </c>
      <c r="K3" s="19" t="s">
        <v>1452</v>
      </c>
      <c r="L3" s="14" t="s">
        <v>1450</v>
      </c>
      <c r="M3" s="14" t="s">
        <v>1451</v>
      </c>
      <c r="N3" s="19" t="s">
        <v>1452</v>
      </c>
      <c r="O3" s="19" t="s">
        <v>1453</v>
      </c>
      <c r="P3" s="19" t="s">
        <v>1447</v>
      </c>
      <c r="Q3" s="14" t="s">
        <v>1452</v>
      </c>
      <c r="R3" s="20" t="s">
        <v>1451</v>
      </c>
      <c r="S3" s="25" t="s">
        <v>1453</v>
      </c>
      <c r="T3" s="19" t="s">
        <v>1449</v>
      </c>
      <c r="U3" s="19" t="s">
        <v>1454</v>
      </c>
      <c r="V3" s="19" t="s">
        <v>1455</v>
      </c>
      <c r="W3" s="22" t="s">
        <v>6728</v>
      </c>
      <c r="X3" s="22" t="s">
        <v>6729</v>
      </c>
      <c r="Y3" s="25" t="s">
        <v>1431</v>
      </c>
      <c r="Z3" s="25" t="s">
        <v>1431</v>
      </c>
      <c r="AA3" s="25" t="s">
        <v>1431</v>
      </c>
      <c r="AB3" s="25" t="s">
        <v>1452</v>
      </c>
      <c r="AC3" s="161" t="s">
        <v>1454</v>
      </c>
      <c r="AD3" s="15"/>
      <c r="AE3" s="15"/>
      <c r="AF3" s="15"/>
    </row>
    <row r="4" spans="1:32" x14ac:dyDescent="0.2">
      <c r="A4" s="26">
        <v>1</v>
      </c>
      <c r="B4" s="27" t="s">
        <v>4776</v>
      </c>
      <c r="C4" s="28">
        <v>100</v>
      </c>
      <c r="D4" s="28">
        <v>100</v>
      </c>
      <c r="E4" s="28">
        <v>6</v>
      </c>
      <c r="F4" s="28">
        <v>10</v>
      </c>
      <c r="G4" s="28">
        <v>26</v>
      </c>
      <c r="H4" s="28">
        <v>20.399999999999999</v>
      </c>
      <c r="I4" s="28">
        <v>450</v>
      </c>
      <c r="J4" s="29">
        <v>89.9</v>
      </c>
      <c r="K4" s="28">
        <v>4.16</v>
      </c>
      <c r="L4" s="29">
        <v>167</v>
      </c>
      <c r="M4" s="29">
        <v>33.5</v>
      </c>
      <c r="N4" s="28">
        <v>2.5299999999999998</v>
      </c>
      <c r="O4" s="31">
        <f>MAX(G4-2*D4*F4/100+(E4+2*P4)*F4/100,(C4-2*F4)*E4/100)</f>
        <v>9</v>
      </c>
      <c r="P4" s="28">
        <v>12</v>
      </c>
      <c r="Q4" s="29">
        <v>49.8</v>
      </c>
      <c r="R4" s="29">
        <f t="shared" ref="R4:R67" si="1">+J4*C4/(C4-2*(F4+P4))</f>
        <v>160.53571428571428</v>
      </c>
      <c r="S4" s="30">
        <f>+I4*E4/Q4/10</f>
        <v>5.4216867469879526</v>
      </c>
      <c r="T4" s="28">
        <v>20.9</v>
      </c>
      <c r="U4" s="28" t="str">
        <f>IF(AA4="H",IF(C4/D4&gt;1.2,IF(F4&lt;=40,"a/b","b/c"),IF(F4&lt;=100,"b/c","d/d")),IF(AA4="U","c/c","Scheiss"))</f>
        <v>b/c</v>
      </c>
      <c r="V4" s="28">
        <v>52.1</v>
      </c>
      <c r="W4" s="31">
        <v>9.25</v>
      </c>
      <c r="X4" s="31">
        <v>3.375</v>
      </c>
      <c r="Y4" s="29">
        <v>1</v>
      </c>
      <c r="Z4" s="29">
        <v>1</v>
      </c>
      <c r="AA4" s="30" t="s">
        <v>241</v>
      </c>
      <c r="AB4" s="30">
        <v>0</v>
      </c>
      <c r="AC4" s="149" t="str">
        <f>IF(AA4="H",IF(U4="a/b","a0",IF(U4="b/c","a","c")),IF(AA4="U","c","Scheiss"))</f>
        <v>a</v>
      </c>
      <c r="AD4" s="15"/>
      <c r="AE4" s="15"/>
      <c r="AF4" s="15"/>
    </row>
    <row r="5" spans="1:32" x14ac:dyDescent="0.2">
      <c r="A5" s="19">
        <f t="shared" ref="A5:A68" si="2">+A4+1</f>
        <v>2</v>
      </c>
      <c r="B5" s="28" t="s">
        <v>4777</v>
      </c>
      <c r="C5" s="28">
        <v>120</v>
      </c>
      <c r="D5" s="28">
        <v>120</v>
      </c>
      <c r="E5" s="28">
        <v>6.5</v>
      </c>
      <c r="F5" s="28">
        <v>11</v>
      </c>
      <c r="G5" s="28">
        <v>34</v>
      </c>
      <c r="H5" s="28">
        <v>26.7</v>
      </c>
      <c r="I5" s="28">
        <v>864</v>
      </c>
      <c r="J5" s="29">
        <v>144</v>
      </c>
      <c r="K5" s="28">
        <v>5.04</v>
      </c>
      <c r="L5" s="29">
        <v>218</v>
      </c>
      <c r="M5" s="29">
        <v>52.9</v>
      </c>
      <c r="N5" s="28">
        <v>3.06</v>
      </c>
      <c r="O5" s="31">
        <f>MAX(G5-2*D5*F5/100+(E5+2*P5)*F5/100,(C5-2*F5)*E5/100)</f>
        <v>10.955000000000002</v>
      </c>
      <c r="P5" s="28">
        <v>12</v>
      </c>
      <c r="Q5" s="29">
        <v>78.2</v>
      </c>
      <c r="R5" s="29">
        <f t="shared" si="1"/>
        <v>233.51351351351352</v>
      </c>
      <c r="S5" s="30">
        <f t="shared" ref="S5:S67" si="3">+I5*E5/Q5/10</f>
        <v>7.1815856777493607</v>
      </c>
      <c r="T5" s="28">
        <v>27.4</v>
      </c>
      <c r="U5" s="28" t="str">
        <f t="shared" ref="U5:U68" si="4">IF(AA5="H",IF(C5/D5&gt;1.2,IF(F5&lt;=40,"a/b","b/c"),IF(F5&lt;=100,"b/c","d/d")),IF(AA5="U","c/c","Scheiss"))</f>
        <v>b/c</v>
      </c>
      <c r="V5" s="28">
        <v>82.6</v>
      </c>
      <c r="W5" s="31">
        <v>13.8</v>
      </c>
      <c r="X5" s="31">
        <v>9.41</v>
      </c>
      <c r="Y5" s="29">
        <v>1</v>
      </c>
      <c r="Z5" s="29">
        <v>1</v>
      </c>
      <c r="AA5" s="30" t="s">
        <v>241</v>
      </c>
      <c r="AB5" s="30">
        <v>0</v>
      </c>
      <c r="AC5" s="149" t="str">
        <f t="shared" ref="AC5:AC68" si="5">IF(AA5="H",IF(U5="a/b","a0",IF(U5="b/c","a","c")),IF(AA5="U","c","Scheiss"))</f>
        <v>a</v>
      </c>
      <c r="AD5" s="15"/>
      <c r="AE5" s="15"/>
      <c r="AF5" s="15"/>
    </row>
    <row r="6" spans="1:32" x14ac:dyDescent="0.2">
      <c r="A6" s="19">
        <f t="shared" si="2"/>
        <v>3</v>
      </c>
      <c r="B6" s="28" t="s">
        <v>4778</v>
      </c>
      <c r="C6" s="28">
        <v>140</v>
      </c>
      <c r="D6" s="28">
        <v>140</v>
      </c>
      <c r="E6" s="28">
        <v>7</v>
      </c>
      <c r="F6" s="28">
        <v>12</v>
      </c>
      <c r="G6" s="28">
        <v>43</v>
      </c>
      <c r="H6" s="28">
        <v>33.700000000000003</v>
      </c>
      <c r="I6" s="28">
        <v>1510</v>
      </c>
      <c r="J6" s="29">
        <v>216</v>
      </c>
      <c r="K6" s="28">
        <v>5.93</v>
      </c>
      <c r="L6" s="29">
        <v>550</v>
      </c>
      <c r="M6" s="29">
        <v>78.5</v>
      </c>
      <c r="N6" s="28">
        <v>3.58</v>
      </c>
      <c r="O6" s="31">
        <f t="shared" ref="O6:O69" si="6">MAX(G6-2*D6*F6/100+(E6+2*P6)*F6/100,(C6-2*F6)*E6/100)</f>
        <v>13.12</v>
      </c>
      <c r="P6" s="28">
        <v>12</v>
      </c>
      <c r="Q6" s="29">
        <v>115</v>
      </c>
      <c r="R6" s="29">
        <f t="shared" si="1"/>
        <v>328.69565217391306</v>
      </c>
      <c r="S6" s="30">
        <f t="shared" si="3"/>
        <v>9.1913043478260867</v>
      </c>
      <c r="T6" s="28">
        <v>34.5</v>
      </c>
      <c r="U6" s="28" t="str">
        <f t="shared" si="4"/>
        <v>b/c</v>
      </c>
      <c r="V6" s="28">
        <v>123</v>
      </c>
      <c r="W6" s="31">
        <v>20.100000000000001</v>
      </c>
      <c r="X6" s="31">
        <v>22.48</v>
      </c>
      <c r="Y6" s="29">
        <v>1</v>
      </c>
      <c r="Z6" s="29">
        <v>1</v>
      </c>
      <c r="AA6" s="30" t="s">
        <v>241</v>
      </c>
      <c r="AB6" s="30">
        <v>0</v>
      </c>
      <c r="AC6" s="149" t="str">
        <f t="shared" si="5"/>
        <v>a</v>
      </c>
      <c r="AD6" s="15"/>
      <c r="AE6" s="15"/>
      <c r="AF6" s="15"/>
    </row>
    <row r="7" spans="1:32" x14ac:dyDescent="0.2">
      <c r="A7" s="19">
        <f t="shared" si="2"/>
        <v>4</v>
      </c>
      <c r="B7" s="28" t="s">
        <v>4779</v>
      </c>
      <c r="C7" s="28">
        <v>160</v>
      </c>
      <c r="D7" s="28">
        <v>160</v>
      </c>
      <c r="E7" s="28">
        <v>8</v>
      </c>
      <c r="F7" s="28">
        <v>13</v>
      </c>
      <c r="G7" s="28">
        <v>54.3</v>
      </c>
      <c r="H7" s="28">
        <v>42.6</v>
      </c>
      <c r="I7" s="28">
        <v>2490</v>
      </c>
      <c r="J7" s="29">
        <v>311</v>
      </c>
      <c r="K7" s="28">
        <v>6.78</v>
      </c>
      <c r="L7" s="29">
        <v>889</v>
      </c>
      <c r="M7" s="29">
        <v>111</v>
      </c>
      <c r="N7" s="28">
        <v>4.05</v>
      </c>
      <c r="O7" s="31">
        <f t="shared" si="6"/>
        <v>17.639999999999997</v>
      </c>
      <c r="P7" s="28">
        <v>15</v>
      </c>
      <c r="Q7" s="29">
        <v>166</v>
      </c>
      <c r="R7" s="29">
        <f t="shared" si="1"/>
        <v>478.46153846153845</v>
      </c>
      <c r="S7" s="30">
        <f t="shared" si="3"/>
        <v>12</v>
      </c>
      <c r="T7" s="28">
        <v>43.7</v>
      </c>
      <c r="U7" s="28" t="str">
        <f t="shared" si="4"/>
        <v>b/c</v>
      </c>
      <c r="V7" s="28">
        <v>177</v>
      </c>
      <c r="W7" s="31">
        <v>31.2</v>
      </c>
      <c r="X7" s="31">
        <v>47.94</v>
      </c>
      <c r="Y7" s="29">
        <v>1</v>
      </c>
      <c r="Z7" s="29">
        <v>1</v>
      </c>
      <c r="AA7" s="30" t="s">
        <v>241</v>
      </c>
      <c r="AB7" s="30">
        <v>0</v>
      </c>
      <c r="AC7" s="149" t="str">
        <f t="shared" si="5"/>
        <v>a</v>
      </c>
      <c r="AD7" s="15"/>
      <c r="AE7" s="15"/>
      <c r="AF7" s="15"/>
    </row>
    <row r="8" spans="1:32" x14ac:dyDescent="0.2">
      <c r="A8" s="19">
        <f t="shared" si="2"/>
        <v>5</v>
      </c>
      <c r="B8" s="28" t="s">
        <v>4780</v>
      </c>
      <c r="C8" s="28">
        <v>180</v>
      </c>
      <c r="D8" s="28">
        <v>180</v>
      </c>
      <c r="E8" s="28">
        <v>8.5</v>
      </c>
      <c r="F8" s="28">
        <v>14</v>
      </c>
      <c r="G8" s="28">
        <v>65.3</v>
      </c>
      <c r="H8" s="28">
        <v>51.2</v>
      </c>
      <c r="I8" s="28">
        <v>3830</v>
      </c>
      <c r="J8" s="29">
        <v>426</v>
      </c>
      <c r="K8" s="28">
        <v>7.66</v>
      </c>
      <c r="L8" s="29">
        <v>1360</v>
      </c>
      <c r="M8" s="29">
        <v>151</v>
      </c>
      <c r="N8" s="28">
        <v>4.57</v>
      </c>
      <c r="O8" s="31">
        <f t="shared" si="6"/>
        <v>20.29</v>
      </c>
      <c r="P8" s="28">
        <v>15</v>
      </c>
      <c r="Q8" s="29">
        <v>225</v>
      </c>
      <c r="R8" s="29">
        <f t="shared" si="1"/>
        <v>628.52459016393448</v>
      </c>
      <c r="S8" s="30">
        <f t="shared" si="3"/>
        <v>14.468888888888889</v>
      </c>
      <c r="T8" s="28">
        <v>52.5</v>
      </c>
      <c r="U8" s="28" t="str">
        <f t="shared" si="4"/>
        <v>b/c</v>
      </c>
      <c r="V8" s="28">
        <v>241</v>
      </c>
      <c r="W8" s="31">
        <v>42.2</v>
      </c>
      <c r="X8" s="31">
        <v>93.75</v>
      </c>
      <c r="Y8" s="29">
        <v>1</v>
      </c>
      <c r="Z8" s="29">
        <v>1</v>
      </c>
      <c r="AA8" s="30" t="s">
        <v>241</v>
      </c>
      <c r="AB8" s="30">
        <v>0</v>
      </c>
      <c r="AC8" s="149" t="str">
        <f t="shared" si="5"/>
        <v>a</v>
      </c>
      <c r="AD8" s="15"/>
      <c r="AE8" s="15"/>
      <c r="AF8" s="15"/>
    </row>
    <row r="9" spans="1:32" x14ac:dyDescent="0.2">
      <c r="A9" s="19">
        <f t="shared" si="2"/>
        <v>6</v>
      </c>
      <c r="B9" s="28" t="s">
        <v>4781</v>
      </c>
      <c r="C9" s="28">
        <v>200</v>
      </c>
      <c r="D9" s="28">
        <v>200</v>
      </c>
      <c r="E9" s="28">
        <v>9</v>
      </c>
      <c r="F9" s="28">
        <v>15</v>
      </c>
      <c r="G9" s="28">
        <v>78.099999999999994</v>
      </c>
      <c r="H9" s="28">
        <v>61.3</v>
      </c>
      <c r="I9" s="28">
        <v>5700</v>
      </c>
      <c r="J9" s="29">
        <v>570</v>
      </c>
      <c r="K9" s="28">
        <v>8.5399999999999991</v>
      </c>
      <c r="L9" s="29">
        <v>2000</v>
      </c>
      <c r="M9" s="29">
        <v>200</v>
      </c>
      <c r="N9" s="28">
        <v>5.07</v>
      </c>
      <c r="O9" s="31">
        <f t="shared" si="6"/>
        <v>24.849999999999994</v>
      </c>
      <c r="P9" s="28">
        <v>18</v>
      </c>
      <c r="Q9" s="29">
        <v>301</v>
      </c>
      <c r="R9" s="29">
        <f t="shared" si="1"/>
        <v>850.74626865671644</v>
      </c>
      <c r="S9" s="30">
        <f t="shared" si="3"/>
        <v>17.043189368770761</v>
      </c>
      <c r="T9" s="28">
        <v>63</v>
      </c>
      <c r="U9" s="28" t="str">
        <f t="shared" si="4"/>
        <v>b/c</v>
      </c>
      <c r="V9" s="28">
        <v>321</v>
      </c>
      <c r="W9" s="31">
        <v>59.3</v>
      </c>
      <c r="X9" s="31">
        <v>171.1</v>
      </c>
      <c r="Y9" s="29">
        <v>1</v>
      </c>
      <c r="Z9" s="29">
        <v>1</v>
      </c>
      <c r="AA9" s="30" t="s">
        <v>241</v>
      </c>
      <c r="AB9" s="30">
        <v>0</v>
      </c>
      <c r="AC9" s="149" t="str">
        <f t="shared" si="5"/>
        <v>a</v>
      </c>
      <c r="AD9" s="15"/>
      <c r="AE9" s="15"/>
      <c r="AF9" s="15"/>
    </row>
    <row r="10" spans="1:32" x14ac:dyDescent="0.2">
      <c r="A10" s="19">
        <f t="shared" si="2"/>
        <v>7</v>
      </c>
      <c r="B10" s="28" t="s">
        <v>4782</v>
      </c>
      <c r="C10" s="28">
        <v>220</v>
      </c>
      <c r="D10" s="28">
        <v>220</v>
      </c>
      <c r="E10" s="28">
        <v>9.5</v>
      </c>
      <c r="F10" s="28">
        <v>16</v>
      </c>
      <c r="G10" s="28">
        <v>91</v>
      </c>
      <c r="H10" s="28">
        <v>71.5</v>
      </c>
      <c r="I10" s="28">
        <v>8090</v>
      </c>
      <c r="J10" s="29">
        <v>736</v>
      </c>
      <c r="K10" s="28">
        <v>9.43</v>
      </c>
      <c r="L10" s="29">
        <v>2840</v>
      </c>
      <c r="M10" s="29">
        <v>258</v>
      </c>
      <c r="N10" s="28">
        <v>5.59</v>
      </c>
      <c r="O10" s="31">
        <f t="shared" si="6"/>
        <v>27.879999999999995</v>
      </c>
      <c r="P10" s="28">
        <v>18</v>
      </c>
      <c r="Q10" s="29">
        <v>386</v>
      </c>
      <c r="R10" s="29">
        <f t="shared" si="1"/>
        <v>1065.2631578947369</v>
      </c>
      <c r="S10" s="30">
        <f t="shared" si="3"/>
        <v>19.910621761658032</v>
      </c>
      <c r="T10" s="28">
        <v>73</v>
      </c>
      <c r="U10" s="28" t="str">
        <f t="shared" si="4"/>
        <v>b/c</v>
      </c>
      <c r="V10" s="28">
        <v>414</v>
      </c>
      <c r="W10" s="31">
        <v>76.599999999999994</v>
      </c>
      <c r="X10" s="31">
        <v>295.39999999999998</v>
      </c>
      <c r="Y10" s="29">
        <v>1</v>
      </c>
      <c r="Z10" s="29">
        <v>1</v>
      </c>
      <c r="AA10" s="30" t="s">
        <v>241</v>
      </c>
      <c r="AB10" s="30">
        <v>0</v>
      </c>
      <c r="AC10" s="149" t="str">
        <f t="shared" si="5"/>
        <v>a</v>
      </c>
      <c r="AD10" s="15"/>
      <c r="AE10" s="15"/>
      <c r="AF10" s="15"/>
    </row>
    <row r="11" spans="1:32" x14ac:dyDescent="0.2">
      <c r="A11" s="19">
        <f t="shared" si="2"/>
        <v>8</v>
      </c>
      <c r="B11" s="28" t="s">
        <v>4783</v>
      </c>
      <c r="C11" s="28">
        <v>240</v>
      </c>
      <c r="D11" s="28">
        <v>240</v>
      </c>
      <c r="E11" s="28">
        <v>10</v>
      </c>
      <c r="F11" s="28">
        <v>17</v>
      </c>
      <c r="G11" s="28">
        <v>106</v>
      </c>
      <c r="H11" s="28">
        <v>83.2</v>
      </c>
      <c r="I11" s="28">
        <v>11260</v>
      </c>
      <c r="J11" s="29">
        <v>938</v>
      </c>
      <c r="K11" s="28">
        <v>10.3</v>
      </c>
      <c r="L11" s="29">
        <v>3920</v>
      </c>
      <c r="M11" s="29">
        <v>327</v>
      </c>
      <c r="N11" s="28">
        <v>6.08</v>
      </c>
      <c r="O11" s="31">
        <f t="shared" si="6"/>
        <v>33.240000000000009</v>
      </c>
      <c r="P11" s="28">
        <v>21</v>
      </c>
      <c r="Q11" s="29">
        <v>493</v>
      </c>
      <c r="R11" s="29">
        <f t="shared" si="1"/>
        <v>1372.6829268292684</v>
      </c>
      <c r="S11" s="30">
        <f t="shared" si="3"/>
        <v>22.83975659229209</v>
      </c>
      <c r="T11" s="28">
        <v>85</v>
      </c>
      <c r="U11" s="28" t="str">
        <f t="shared" si="4"/>
        <v>b/c</v>
      </c>
      <c r="V11" s="28">
        <v>527</v>
      </c>
      <c r="W11" s="31">
        <v>103</v>
      </c>
      <c r="X11" s="31">
        <v>486.9</v>
      </c>
      <c r="Y11" s="29">
        <v>1</v>
      </c>
      <c r="Z11" s="29">
        <v>1</v>
      </c>
      <c r="AA11" s="30" t="s">
        <v>241</v>
      </c>
      <c r="AB11" s="30">
        <v>0</v>
      </c>
      <c r="AC11" s="149" t="str">
        <f t="shared" si="5"/>
        <v>a</v>
      </c>
      <c r="AD11" s="15"/>
      <c r="AE11" s="15"/>
      <c r="AF11" s="15"/>
    </row>
    <row r="12" spans="1:32" x14ac:dyDescent="0.2">
      <c r="A12" s="19">
        <f t="shared" si="2"/>
        <v>9</v>
      </c>
      <c r="B12" s="28" t="s">
        <v>4784</v>
      </c>
      <c r="C12" s="28">
        <v>260</v>
      </c>
      <c r="D12" s="28">
        <v>260</v>
      </c>
      <c r="E12" s="28">
        <v>10</v>
      </c>
      <c r="F12" s="28">
        <v>17.5</v>
      </c>
      <c r="G12" s="28">
        <v>118</v>
      </c>
      <c r="H12" s="28">
        <v>93</v>
      </c>
      <c r="I12" s="28">
        <v>14920</v>
      </c>
      <c r="J12" s="29">
        <v>1150</v>
      </c>
      <c r="K12" s="28">
        <v>11.2</v>
      </c>
      <c r="L12" s="29">
        <v>5130</v>
      </c>
      <c r="M12" s="29">
        <v>395</v>
      </c>
      <c r="N12" s="28">
        <v>6.58</v>
      </c>
      <c r="O12" s="31">
        <f t="shared" si="6"/>
        <v>37.15</v>
      </c>
      <c r="P12" s="28">
        <v>24</v>
      </c>
      <c r="Q12" s="29">
        <v>602</v>
      </c>
      <c r="R12" s="29">
        <f t="shared" si="1"/>
        <v>1689.2655367231639</v>
      </c>
      <c r="S12" s="30">
        <f t="shared" si="3"/>
        <v>24.784053156146179</v>
      </c>
      <c r="T12" s="28">
        <v>95</v>
      </c>
      <c r="U12" s="28" t="str">
        <f t="shared" si="4"/>
        <v>b/c</v>
      </c>
      <c r="V12" s="28">
        <v>641</v>
      </c>
      <c r="W12" s="31">
        <v>124</v>
      </c>
      <c r="X12" s="31">
        <v>753.7</v>
      </c>
      <c r="Y12" s="29">
        <v>1</v>
      </c>
      <c r="Z12" s="29">
        <v>1</v>
      </c>
      <c r="AA12" s="30" t="s">
        <v>241</v>
      </c>
      <c r="AB12" s="30">
        <v>0</v>
      </c>
      <c r="AC12" s="149" t="str">
        <f t="shared" si="5"/>
        <v>a</v>
      </c>
      <c r="AD12" s="15"/>
      <c r="AE12" s="15"/>
      <c r="AF12" s="15"/>
    </row>
    <row r="13" spans="1:32" x14ac:dyDescent="0.2">
      <c r="A13" s="19">
        <f t="shared" si="2"/>
        <v>10</v>
      </c>
      <c r="B13" s="28" t="s">
        <v>4785</v>
      </c>
      <c r="C13" s="28">
        <v>280</v>
      </c>
      <c r="D13" s="28">
        <v>280</v>
      </c>
      <c r="E13" s="28">
        <v>10.5</v>
      </c>
      <c r="F13" s="28">
        <v>18</v>
      </c>
      <c r="G13" s="28">
        <v>131</v>
      </c>
      <c r="H13" s="28">
        <v>103</v>
      </c>
      <c r="I13" s="28">
        <v>19270</v>
      </c>
      <c r="J13" s="29">
        <v>1380</v>
      </c>
      <c r="K13" s="28">
        <v>12.1</v>
      </c>
      <c r="L13" s="29">
        <v>6590</v>
      </c>
      <c r="M13" s="29">
        <v>471</v>
      </c>
      <c r="N13" s="28">
        <v>7.09</v>
      </c>
      <c r="O13" s="31">
        <f t="shared" si="6"/>
        <v>40.730000000000004</v>
      </c>
      <c r="P13" s="28">
        <v>24</v>
      </c>
      <c r="Q13" s="29">
        <v>717</v>
      </c>
      <c r="R13" s="29">
        <f t="shared" si="1"/>
        <v>1971.4285714285713</v>
      </c>
      <c r="S13" s="30">
        <f t="shared" si="3"/>
        <v>28.219665271966527</v>
      </c>
      <c r="T13" s="28">
        <v>106</v>
      </c>
      <c r="U13" s="28" t="str">
        <f t="shared" si="4"/>
        <v>b/c</v>
      </c>
      <c r="V13" s="28">
        <v>767</v>
      </c>
      <c r="W13" s="31">
        <v>144</v>
      </c>
      <c r="X13" s="31">
        <v>1130</v>
      </c>
      <c r="Y13" s="29">
        <v>1</v>
      </c>
      <c r="Z13" s="29">
        <v>1</v>
      </c>
      <c r="AA13" s="30" t="s">
        <v>241</v>
      </c>
      <c r="AB13" s="30">
        <v>0</v>
      </c>
      <c r="AC13" s="149" t="str">
        <f t="shared" si="5"/>
        <v>a</v>
      </c>
      <c r="AD13" s="15"/>
      <c r="AE13" s="15"/>
      <c r="AF13" s="15"/>
    </row>
    <row r="14" spans="1:32" x14ac:dyDescent="0.2">
      <c r="A14" s="19">
        <f t="shared" si="2"/>
        <v>11</v>
      </c>
      <c r="B14" s="28" t="s">
        <v>4786</v>
      </c>
      <c r="C14" s="28">
        <v>300</v>
      </c>
      <c r="D14" s="28">
        <v>300</v>
      </c>
      <c r="E14" s="28">
        <v>11</v>
      </c>
      <c r="F14" s="28">
        <v>19</v>
      </c>
      <c r="G14" s="28">
        <v>149</v>
      </c>
      <c r="H14" s="28">
        <v>117</v>
      </c>
      <c r="I14" s="28">
        <v>25170</v>
      </c>
      <c r="J14" s="29">
        <v>1680</v>
      </c>
      <c r="K14" s="28">
        <v>13</v>
      </c>
      <c r="L14" s="29">
        <v>8560</v>
      </c>
      <c r="M14" s="29">
        <v>571</v>
      </c>
      <c r="N14" s="28">
        <v>7.58</v>
      </c>
      <c r="O14" s="31">
        <f t="shared" si="6"/>
        <v>47.35</v>
      </c>
      <c r="P14" s="28">
        <v>27</v>
      </c>
      <c r="Q14" s="29">
        <v>875</v>
      </c>
      <c r="R14" s="29">
        <f t="shared" si="1"/>
        <v>2423.0769230769229</v>
      </c>
      <c r="S14" s="30">
        <f t="shared" si="3"/>
        <v>31.642285714285713</v>
      </c>
      <c r="T14" s="28">
        <v>120</v>
      </c>
      <c r="U14" s="28" t="str">
        <f t="shared" si="4"/>
        <v>b/c</v>
      </c>
      <c r="V14" s="28">
        <v>934</v>
      </c>
      <c r="W14" s="31">
        <v>185</v>
      </c>
      <c r="X14" s="31">
        <v>1688</v>
      </c>
      <c r="Y14" s="29">
        <v>1</v>
      </c>
      <c r="Z14" s="29">
        <v>1</v>
      </c>
      <c r="AA14" s="30" t="s">
        <v>241</v>
      </c>
      <c r="AB14" s="30">
        <v>0</v>
      </c>
      <c r="AC14" s="149" t="str">
        <f t="shared" si="5"/>
        <v>a</v>
      </c>
      <c r="AD14" s="15"/>
      <c r="AE14" s="15"/>
      <c r="AF14" s="15"/>
    </row>
    <row r="15" spans="1:32" x14ac:dyDescent="0.2">
      <c r="A15" s="19">
        <f t="shared" si="2"/>
        <v>12</v>
      </c>
      <c r="B15" s="28" t="s">
        <v>4787</v>
      </c>
      <c r="C15" s="28">
        <v>320</v>
      </c>
      <c r="D15" s="28">
        <v>300</v>
      </c>
      <c r="E15" s="28">
        <v>11.5</v>
      </c>
      <c r="F15" s="28">
        <v>20.5</v>
      </c>
      <c r="G15" s="28">
        <v>161</v>
      </c>
      <c r="H15" s="28">
        <v>127</v>
      </c>
      <c r="I15" s="28">
        <v>30820</v>
      </c>
      <c r="J15" s="29">
        <v>1930</v>
      </c>
      <c r="K15" s="28">
        <v>13.8</v>
      </c>
      <c r="L15" s="29">
        <v>9240</v>
      </c>
      <c r="M15" s="29">
        <v>616</v>
      </c>
      <c r="N15" s="28">
        <v>7.57</v>
      </c>
      <c r="O15" s="31">
        <f t="shared" si="6"/>
        <v>51.427500000000002</v>
      </c>
      <c r="P15" s="28">
        <v>27</v>
      </c>
      <c r="Q15" s="29">
        <v>1000</v>
      </c>
      <c r="R15" s="29">
        <f t="shared" si="1"/>
        <v>2744.8888888888887</v>
      </c>
      <c r="S15" s="30">
        <f t="shared" si="3"/>
        <v>35.442999999999998</v>
      </c>
      <c r="T15" s="28">
        <v>130</v>
      </c>
      <c r="U15" s="28" t="str">
        <f t="shared" si="4"/>
        <v>b/c</v>
      </c>
      <c r="V15" s="28">
        <v>1070</v>
      </c>
      <c r="W15" s="31">
        <v>225</v>
      </c>
      <c r="X15" s="31">
        <v>2069</v>
      </c>
      <c r="Y15" s="29">
        <v>1</v>
      </c>
      <c r="Z15" s="29">
        <v>1</v>
      </c>
      <c r="AA15" s="30" t="s">
        <v>241</v>
      </c>
      <c r="AB15" s="30">
        <v>0</v>
      </c>
      <c r="AC15" s="149" t="str">
        <f t="shared" si="5"/>
        <v>a</v>
      </c>
      <c r="AD15" s="15"/>
      <c r="AE15" s="15"/>
      <c r="AF15" s="15"/>
    </row>
    <row r="16" spans="1:32" x14ac:dyDescent="0.2">
      <c r="A16" s="19">
        <f t="shared" si="2"/>
        <v>13</v>
      </c>
      <c r="B16" s="28" t="s">
        <v>4788</v>
      </c>
      <c r="C16" s="28">
        <v>340</v>
      </c>
      <c r="D16" s="28">
        <v>300</v>
      </c>
      <c r="E16" s="28">
        <v>12</v>
      </c>
      <c r="F16" s="28">
        <v>21.5</v>
      </c>
      <c r="G16" s="28">
        <v>171</v>
      </c>
      <c r="H16" s="28">
        <v>134</v>
      </c>
      <c r="I16" s="28">
        <v>36660</v>
      </c>
      <c r="J16" s="29">
        <v>2160</v>
      </c>
      <c r="K16" s="28">
        <v>14.6</v>
      </c>
      <c r="L16" s="29">
        <v>9690</v>
      </c>
      <c r="M16" s="29">
        <v>646</v>
      </c>
      <c r="N16" s="28">
        <v>7.53</v>
      </c>
      <c r="O16" s="31">
        <f t="shared" si="6"/>
        <v>56.19</v>
      </c>
      <c r="P16" s="28">
        <v>27</v>
      </c>
      <c r="Q16" s="29">
        <v>1120</v>
      </c>
      <c r="R16" s="29">
        <f t="shared" si="1"/>
        <v>3022.2222222222222</v>
      </c>
      <c r="S16" s="30">
        <f t="shared" si="3"/>
        <v>39.278571428571425</v>
      </c>
      <c r="T16" s="28">
        <v>137</v>
      </c>
      <c r="U16" s="28" t="str">
        <f t="shared" si="4"/>
        <v>b/c</v>
      </c>
      <c r="V16" s="28">
        <v>1200</v>
      </c>
      <c r="W16" s="31">
        <v>257</v>
      </c>
      <c r="X16" s="31">
        <v>2454</v>
      </c>
      <c r="Y16" s="29">
        <v>1</v>
      </c>
      <c r="Z16" s="29">
        <v>1</v>
      </c>
      <c r="AA16" s="30" t="s">
        <v>241</v>
      </c>
      <c r="AB16" s="30">
        <v>0</v>
      </c>
      <c r="AC16" s="149" t="str">
        <f t="shared" si="5"/>
        <v>a</v>
      </c>
      <c r="AD16" s="15"/>
      <c r="AE16" s="15"/>
      <c r="AF16" s="15"/>
    </row>
    <row r="17" spans="1:32" x14ac:dyDescent="0.2">
      <c r="A17" s="19">
        <f t="shared" si="2"/>
        <v>14</v>
      </c>
      <c r="B17" s="32" t="s">
        <v>4789</v>
      </c>
      <c r="C17" s="28">
        <v>360</v>
      </c>
      <c r="D17" s="28">
        <v>300</v>
      </c>
      <c r="E17" s="28">
        <v>12.5</v>
      </c>
      <c r="F17" s="28">
        <v>22.5</v>
      </c>
      <c r="G17" s="28">
        <v>181</v>
      </c>
      <c r="H17" s="28">
        <v>142</v>
      </c>
      <c r="I17" s="28">
        <v>43190</v>
      </c>
      <c r="J17" s="29">
        <v>2400</v>
      </c>
      <c r="K17" s="28">
        <v>15.5</v>
      </c>
      <c r="L17" s="29">
        <v>10140</v>
      </c>
      <c r="M17" s="29">
        <v>676</v>
      </c>
      <c r="N17" s="28">
        <v>7.49</v>
      </c>
      <c r="O17" s="31">
        <f t="shared" si="6"/>
        <v>60.962499999999999</v>
      </c>
      <c r="P17" s="28">
        <v>27</v>
      </c>
      <c r="Q17" s="29">
        <v>1240</v>
      </c>
      <c r="R17" s="29">
        <f t="shared" si="1"/>
        <v>3310.344827586207</v>
      </c>
      <c r="S17" s="30">
        <f t="shared" si="3"/>
        <v>43.538306451612904</v>
      </c>
      <c r="T17" s="28">
        <v>146</v>
      </c>
      <c r="U17" s="28" t="str">
        <f t="shared" si="4"/>
        <v>b/c</v>
      </c>
      <c r="V17" s="28">
        <v>1340</v>
      </c>
      <c r="W17" s="31">
        <v>292</v>
      </c>
      <c r="X17" s="31">
        <v>2883</v>
      </c>
      <c r="Y17" s="29">
        <v>1</v>
      </c>
      <c r="Z17" s="29">
        <v>1</v>
      </c>
      <c r="AA17" s="30" t="s">
        <v>241</v>
      </c>
      <c r="AB17" s="30">
        <v>0</v>
      </c>
      <c r="AC17" s="149" t="str">
        <f t="shared" si="5"/>
        <v>a</v>
      </c>
      <c r="AD17" s="15"/>
      <c r="AE17" s="15"/>
      <c r="AF17" s="15"/>
    </row>
    <row r="18" spans="1:32" x14ac:dyDescent="0.2">
      <c r="A18" s="19">
        <f t="shared" si="2"/>
        <v>15</v>
      </c>
      <c r="B18" s="32" t="s">
        <v>4790</v>
      </c>
      <c r="C18" s="28">
        <v>400</v>
      </c>
      <c r="D18" s="28">
        <v>300</v>
      </c>
      <c r="E18" s="28">
        <v>13.5</v>
      </c>
      <c r="F18" s="28">
        <v>24</v>
      </c>
      <c r="G18" s="28">
        <v>198</v>
      </c>
      <c r="H18" s="28">
        <v>155</v>
      </c>
      <c r="I18" s="28">
        <v>57680</v>
      </c>
      <c r="J18" s="29">
        <v>2880</v>
      </c>
      <c r="K18" s="28">
        <v>17.100000000000001</v>
      </c>
      <c r="L18" s="29">
        <v>10820</v>
      </c>
      <c r="M18" s="29">
        <v>721</v>
      </c>
      <c r="N18" s="28">
        <v>7.4</v>
      </c>
      <c r="O18" s="31">
        <f t="shared" si="6"/>
        <v>70.2</v>
      </c>
      <c r="P18" s="28">
        <v>27</v>
      </c>
      <c r="Q18" s="29">
        <v>1470</v>
      </c>
      <c r="R18" s="29">
        <f t="shared" si="1"/>
        <v>3865.7718120805371</v>
      </c>
      <c r="S18" s="30">
        <f t="shared" si="3"/>
        <v>52.971428571428568</v>
      </c>
      <c r="T18" s="28">
        <v>159</v>
      </c>
      <c r="U18" s="28" t="str">
        <f t="shared" si="4"/>
        <v>a/b</v>
      </c>
      <c r="V18" s="28">
        <v>1620</v>
      </c>
      <c r="W18" s="31">
        <v>356</v>
      </c>
      <c r="X18" s="31">
        <v>3817</v>
      </c>
      <c r="Y18" s="29">
        <v>1</v>
      </c>
      <c r="Z18" s="29">
        <v>1</v>
      </c>
      <c r="AA18" s="30" t="s">
        <v>241</v>
      </c>
      <c r="AB18" s="30">
        <v>0</v>
      </c>
      <c r="AC18" s="149" t="str">
        <f t="shared" si="5"/>
        <v>a0</v>
      </c>
      <c r="AD18" s="15"/>
      <c r="AE18" s="15"/>
      <c r="AF18" s="15"/>
    </row>
    <row r="19" spans="1:32" x14ac:dyDescent="0.2">
      <c r="A19" s="19">
        <f t="shared" si="2"/>
        <v>16</v>
      </c>
      <c r="B19" s="32" t="s">
        <v>4791</v>
      </c>
      <c r="C19" s="28">
        <v>450</v>
      </c>
      <c r="D19" s="28">
        <v>300</v>
      </c>
      <c r="E19" s="28">
        <v>14</v>
      </c>
      <c r="F19" s="28">
        <v>26</v>
      </c>
      <c r="G19" s="28">
        <v>218</v>
      </c>
      <c r="H19" s="28">
        <v>171</v>
      </c>
      <c r="I19" s="28">
        <v>79890</v>
      </c>
      <c r="J19" s="29">
        <v>3550</v>
      </c>
      <c r="K19" s="28">
        <v>19.100000000000001</v>
      </c>
      <c r="L19" s="29">
        <v>11720</v>
      </c>
      <c r="M19" s="29">
        <v>781</v>
      </c>
      <c r="N19" s="28">
        <v>7.33</v>
      </c>
      <c r="O19" s="31">
        <f t="shared" si="6"/>
        <v>79.680000000000007</v>
      </c>
      <c r="P19" s="28">
        <v>27</v>
      </c>
      <c r="Q19" s="29">
        <v>1780</v>
      </c>
      <c r="R19" s="29">
        <f t="shared" si="1"/>
        <v>4643.895348837209</v>
      </c>
      <c r="S19" s="30">
        <f t="shared" si="3"/>
        <v>62.83483146067416</v>
      </c>
      <c r="T19" s="28">
        <v>175</v>
      </c>
      <c r="U19" s="28" t="str">
        <f t="shared" si="4"/>
        <v>a/b</v>
      </c>
      <c r="V19" s="28">
        <v>1990</v>
      </c>
      <c r="W19" s="31">
        <v>440</v>
      </c>
      <c r="X19" s="31">
        <v>5258</v>
      </c>
      <c r="Y19" s="29">
        <v>1</v>
      </c>
      <c r="Z19" s="29">
        <v>1</v>
      </c>
      <c r="AA19" s="30" t="s">
        <v>241</v>
      </c>
      <c r="AB19" s="30">
        <v>0</v>
      </c>
      <c r="AC19" s="149" t="str">
        <f t="shared" si="5"/>
        <v>a0</v>
      </c>
      <c r="AD19" s="15"/>
      <c r="AE19" s="15"/>
      <c r="AF19" s="15"/>
    </row>
    <row r="20" spans="1:32" x14ac:dyDescent="0.2">
      <c r="A20" s="19">
        <f t="shared" si="2"/>
        <v>17</v>
      </c>
      <c r="B20" s="32" t="s">
        <v>4792</v>
      </c>
      <c r="C20" s="28">
        <v>500</v>
      </c>
      <c r="D20" s="28">
        <v>300</v>
      </c>
      <c r="E20" s="28">
        <v>14.5</v>
      </c>
      <c r="F20" s="28">
        <v>28</v>
      </c>
      <c r="G20" s="28">
        <v>239</v>
      </c>
      <c r="H20" s="28">
        <v>187</v>
      </c>
      <c r="I20" s="28">
        <v>107200</v>
      </c>
      <c r="J20" s="29">
        <v>4290</v>
      </c>
      <c r="K20" s="28">
        <v>21.2</v>
      </c>
      <c r="L20" s="29">
        <v>12620</v>
      </c>
      <c r="M20" s="29">
        <v>842</v>
      </c>
      <c r="N20" s="28">
        <v>7.27</v>
      </c>
      <c r="O20" s="31">
        <f t="shared" si="6"/>
        <v>90.18</v>
      </c>
      <c r="P20" s="28">
        <v>27</v>
      </c>
      <c r="Q20" s="29">
        <v>2130</v>
      </c>
      <c r="R20" s="29">
        <f t="shared" si="1"/>
        <v>5500</v>
      </c>
      <c r="S20" s="30">
        <f t="shared" si="3"/>
        <v>72.976525821596255</v>
      </c>
      <c r="T20" s="28">
        <v>192</v>
      </c>
      <c r="U20" s="28" t="str">
        <f t="shared" si="4"/>
        <v>a/b</v>
      </c>
      <c r="V20" s="28">
        <v>2410</v>
      </c>
      <c r="W20" s="31">
        <v>538</v>
      </c>
      <c r="X20" s="31">
        <v>7018</v>
      </c>
      <c r="Y20" s="29">
        <v>1</v>
      </c>
      <c r="Z20" s="29">
        <v>1</v>
      </c>
      <c r="AA20" s="30" t="s">
        <v>241</v>
      </c>
      <c r="AB20" s="30">
        <v>0</v>
      </c>
      <c r="AC20" s="149" t="str">
        <f t="shared" si="5"/>
        <v>a0</v>
      </c>
      <c r="AD20" s="15"/>
      <c r="AE20" s="15"/>
      <c r="AF20" s="15"/>
    </row>
    <row r="21" spans="1:32" x14ac:dyDescent="0.2">
      <c r="A21" s="19">
        <f t="shared" si="2"/>
        <v>18</v>
      </c>
      <c r="B21" s="32" t="s">
        <v>4793</v>
      </c>
      <c r="C21" s="28">
        <v>550</v>
      </c>
      <c r="D21" s="28">
        <v>300</v>
      </c>
      <c r="E21" s="28">
        <v>15</v>
      </c>
      <c r="F21" s="28">
        <v>29</v>
      </c>
      <c r="G21" s="28">
        <v>254</v>
      </c>
      <c r="H21" s="28">
        <v>199</v>
      </c>
      <c r="I21" s="28">
        <v>136700</v>
      </c>
      <c r="J21" s="29">
        <v>4970</v>
      </c>
      <c r="K21" s="28">
        <v>23.2</v>
      </c>
      <c r="L21" s="29">
        <v>13080</v>
      </c>
      <c r="M21" s="29">
        <v>872</v>
      </c>
      <c r="N21" s="28">
        <v>7.17</v>
      </c>
      <c r="O21" s="31">
        <f t="shared" si="6"/>
        <v>100.01</v>
      </c>
      <c r="P21" s="28">
        <v>27</v>
      </c>
      <c r="Q21" s="29">
        <v>2440</v>
      </c>
      <c r="R21" s="29">
        <f t="shared" si="1"/>
        <v>6240.8675799086759</v>
      </c>
      <c r="S21" s="30">
        <f t="shared" si="3"/>
        <v>84.03688524590163</v>
      </c>
      <c r="T21" s="28">
        <v>204</v>
      </c>
      <c r="U21" s="28" t="str">
        <f t="shared" si="4"/>
        <v>a/b</v>
      </c>
      <c r="V21" s="28">
        <v>2800</v>
      </c>
      <c r="W21" s="31">
        <v>600</v>
      </c>
      <c r="X21" s="31">
        <v>8856</v>
      </c>
      <c r="Y21" s="29">
        <v>1</v>
      </c>
      <c r="Z21" s="29">
        <v>1</v>
      </c>
      <c r="AA21" s="30" t="s">
        <v>241</v>
      </c>
      <c r="AB21" s="30">
        <v>0</v>
      </c>
      <c r="AC21" s="149" t="str">
        <f t="shared" si="5"/>
        <v>a0</v>
      </c>
      <c r="AD21" s="15"/>
      <c r="AE21" s="15"/>
      <c r="AF21" s="15"/>
    </row>
    <row r="22" spans="1:32" x14ac:dyDescent="0.2">
      <c r="A22" s="19">
        <f t="shared" si="2"/>
        <v>19</v>
      </c>
      <c r="B22" s="32" t="s">
        <v>4794</v>
      </c>
      <c r="C22" s="28">
        <v>600</v>
      </c>
      <c r="D22" s="28">
        <v>300</v>
      </c>
      <c r="E22" s="28">
        <v>15.5</v>
      </c>
      <c r="F22" s="28">
        <v>30</v>
      </c>
      <c r="G22" s="28">
        <v>270</v>
      </c>
      <c r="H22" s="28">
        <v>212</v>
      </c>
      <c r="I22" s="28">
        <v>171000</v>
      </c>
      <c r="J22" s="29">
        <v>5700</v>
      </c>
      <c r="K22" s="28">
        <v>25.2</v>
      </c>
      <c r="L22" s="29">
        <v>13530</v>
      </c>
      <c r="M22" s="29">
        <v>902</v>
      </c>
      <c r="N22" s="28">
        <v>7.08</v>
      </c>
      <c r="O22" s="31">
        <f t="shared" si="6"/>
        <v>110.85</v>
      </c>
      <c r="P22" s="28">
        <v>27</v>
      </c>
      <c r="Q22" s="29">
        <v>2750</v>
      </c>
      <c r="R22" s="29">
        <f t="shared" si="1"/>
        <v>7037.0370370370374</v>
      </c>
      <c r="S22" s="30">
        <f t="shared" si="3"/>
        <v>96.38181818181819</v>
      </c>
      <c r="T22" s="28">
        <v>217</v>
      </c>
      <c r="U22" s="28" t="str">
        <f t="shared" si="4"/>
        <v>a/b</v>
      </c>
      <c r="V22" s="28">
        <v>3210</v>
      </c>
      <c r="W22" s="31">
        <v>667</v>
      </c>
      <c r="X22" s="31">
        <v>10970</v>
      </c>
      <c r="Y22" s="29">
        <v>1</v>
      </c>
      <c r="Z22" s="29">
        <v>1</v>
      </c>
      <c r="AA22" s="30" t="s">
        <v>241</v>
      </c>
      <c r="AB22" s="30">
        <v>0</v>
      </c>
      <c r="AC22" s="149" t="str">
        <f t="shared" si="5"/>
        <v>a0</v>
      </c>
      <c r="AD22" s="15"/>
      <c r="AE22" s="15"/>
      <c r="AF22" s="15"/>
    </row>
    <row r="23" spans="1:32" x14ac:dyDescent="0.2">
      <c r="A23" s="19">
        <f t="shared" si="2"/>
        <v>20</v>
      </c>
      <c r="B23" s="32" t="s">
        <v>4795</v>
      </c>
      <c r="C23" s="28">
        <v>650</v>
      </c>
      <c r="D23" s="28">
        <v>300</v>
      </c>
      <c r="E23" s="28">
        <v>16</v>
      </c>
      <c r="F23" s="28">
        <v>31</v>
      </c>
      <c r="G23" s="28">
        <v>286</v>
      </c>
      <c r="H23" s="28">
        <v>225</v>
      </c>
      <c r="I23" s="28">
        <v>210600</v>
      </c>
      <c r="J23" s="29">
        <v>6480</v>
      </c>
      <c r="K23" s="28">
        <v>27.1</v>
      </c>
      <c r="L23" s="29">
        <v>13980</v>
      </c>
      <c r="M23" s="29">
        <v>932</v>
      </c>
      <c r="N23" s="28">
        <v>6.99</v>
      </c>
      <c r="O23" s="31">
        <f t="shared" si="6"/>
        <v>121.7</v>
      </c>
      <c r="P23" s="28">
        <v>27</v>
      </c>
      <c r="Q23" s="29">
        <v>3090</v>
      </c>
      <c r="R23" s="29">
        <f t="shared" si="1"/>
        <v>7887.6404494382023</v>
      </c>
      <c r="S23" s="30">
        <f t="shared" si="3"/>
        <v>109.0485436893204</v>
      </c>
      <c r="T23" s="28">
        <v>231</v>
      </c>
      <c r="U23" s="28" t="str">
        <f t="shared" si="4"/>
        <v>a/b</v>
      </c>
      <c r="V23" s="28">
        <v>3660</v>
      </c>
      <c r="W23" s="31">
        <v>739</v>
      </c>
      <c r="X23" s="31">
        <v>13360</v>
      </c>
      <c r="Y23" s="29">
        <v>1</v>
      </c>
      <c r="Z23" s="29">
        <v>1</v>
      </c>
      <c r="AA23" s="30" t="s">
        <v>241</v>
      </c>
      <c r="AB23" s="30">
        <v>0</v>
      </c>
      <c r="AC23" s="149" t="str">
        <f t="shared" si="5"/>
        <v>a0</v>
      </c>
      <c r="AD23" s="15"/>
      <c r="AE23" s="15"/>
      <c r="AF23" s="15"/>
    </row>
    <row r="24" spans="1:32" x14ac:dyDescent="0.2">
      <c r="A24" s="19">
        <f t="shared" si="2"/>
        <v>21</v>
      </c>
      <c r="B24" s="28" t="s">
        <v>4796</v>
      </c>
      <c r="C24" s="28">
        <v>700</v>
      </c>
      <c r="D24" s="28">
        <v>300</v>
      </c>
      <c r="E24" s="28">
        <v>17</v>
      </c>
      <c r="F24" s="28">
        <v>32</v>
      </c>
      <c r="G24" s="28">
        <v>306</v>
      </c>
      <c r="H24" s="28">
        <v>241</v>
      </c>
      <c r="I24" s="28">
        <v>256900</v>
      </c>
      <c r="J24" s="29">
        <v>7340</v>
      </c>
      <c r="K24" s="28">
        <v>29</v>
      </c>
      <c r="L24" s="29">
        <v>14440</v>
      </c>
      <c r="M24" s="29">
        <v>963</v>
      </c>
      <c r="N24" s="28">
        <v>6.87</v>
      </c>
      <c r="O24" s="31">
        <f t="shared" si="6"/>
        <v>136.72</v>
      </c>
      <c r="P24" s="28">
        <v>27</v>
      </c>
      <c r="Q24" s="29">
        <v>3440</v>
      </c>
      <c r="R24" s="29">
        <f t="shared" si="1"/>
        <v>8828.1786941580758</v>
      </c>
      <c r="S24" s="30">
        <f t="shared" si="3"/>
        <v>126.95639534883722</v>
      </c>
      <c r="T24" s="28">
        <v>247</v>
      </c>
      <c r="U24" s="28" t="str">
        <f t="shared" si="4"/>
        <v>a/b</v>
      </c>
      <c r="V24" s="28">
        <v>4160</v>
      </c>
      <c r="W24" s="31">
        <v>831</v>
      </c>
      <c r="X24" s="31">
        <v>16060</v>
      </c>
      <c r="Y24" s="29">
        <v>1</v>
      </c>
      <c r="Z24" s="29">
        <v>1</v>
      </c>
      <c r="AA24" s="30" t="s">
        <v>241</v>
      </c>
      <c r="AB24" s="30">
        <v>0</v>
      </c>
      <c r="AC24" s="149" t="str">
        <f t="shared" si="5"/>
        <v>a0</v>
      </c>
      <c r="AD24" s="15"/>
      <c r="AE24" s="15"/>
      <c r="AF24" s="15"/>
    </row>
    <row r="25" spans="1:32" x14ac:dyDescent="0.2">
      <c r="A25" s="19">
        <f t="shared" si="2"/>
        <v>22</v>
      </c>
      <c r="B25" s="28" t="s">
        <v>4797</v>
      </c>
      <c r="C25" s="28">
        <v>800</v>
      </c>
      <c r="D25" s="28">
        <v>300</v>
      </c>
      <c r="E25" s="28">
        <v>17.5</v>
      </c>
      <c r="F25" s="28">
        <v>33</v>
      </c>
      <c r="G25" s="28">
        <v>334</v>
      </c>
      <c r="H25" s="28">
        <v>262</v>
      </c>
      <c r="I25" s="28">
        <v>359100</v>
      </c>
      <c r="J25" s="29">
        <v>8980</v>
      </c>
      <c r="K25" s="28">
        <v>32.799999999999997</v>
      </c>
      <c r="L25" s="29">
        <v>14900</v>
      </c>
      <c r="M25" s="29">
        <v>994</v>
      </c>
      <c r="N25" s="28">
        <v>6.68</v>
      </c>
      <c r="O25" s="31">
        <f t="shared" si="6"/>
        <v>161.57499999999999</v>
      </c>
      <c r="P25" s="28">
        <v>30</v>
      </c>
      <c r="Q25" s="29">
        <v>4120</v>
      </c>
      <c r="R25" s="29">
        <f t="shared" si="1"/>
        <v>10658.753709198812</v>
      </c>
      <c r="S25" s="30">
        <f t="shared" si="3"/>
        <v>152.53033980582524</v>
      </c>
      <c r="T25" s="28">
        <v>269</v>
      </c>
      <c r="U25" s="28" t="str">
        <f t="shared" si="4"/>
        <v>a/b</v>
      </c>
      <c r="V25" s="28">
        <v>5110</v>
      </c>
      <c r="W25" s="31">
        <v>946</v>
      </c>
      <c r="X25" s="31">
        <v>21840</v>
      </c>
      <c r="Y25" s="29">
        <v>1</v>
      </c>
      <c r="Z25" s="29">
        <v>1</v>
      </c>
      <c r="AA25" s="30" t="s">
        <v>241</v>
      </c>
      <c r="AB25" s="30">
        <v>0</v>
      </c>
      <c r="AC25" s="149" t="str">
        <f t="shared" si="5"/>
        <v>a0</v>
      </c>
      <c r="AD25" s="15"/>
      <c r="AE25" s="15"/>
      <c r="AF25" s="15"/>
    </row>
    <row r="26" spans="1:32" x14ac:dyDescent="0.2">
      <c r="A26" s="19">
        <f t="shared" si="2"/>
        <v>23</v>
      </c>
      <c r="B26" s="32" t="s">
        <v>7249</v>
      </c>
      <c r="C26" s="28">
        <v>190</v>
      </c>
      <c r="D26" s="31">
        <v>200</v>
      </c>
      <c r="E26" s="31">
        <v>6.5</v>
      </c>
      <c r="F26" s="31">
        <v>10</v>
      </c>
      <c r="G26" s="28">
        <v>53.8</v>
      </c>
      <c r="H26" s="31">
        <v>42.3</v>
      </c>
      <c r="I26" s="31">
        <v>3690</v>
      </c>
      <c r="J26" s="29">
        <v>389</v>
      </c>
      <c r="K26" s="31">
        <v>8.2799999999999994</v>
      </c>
      <c r="L26" s="29">
        <v>1340</v>
      </c>
      <c r="M26" s="29">
        <v>134</v>
      </c>
      <c r="N26" s="31">
        <v>4.97</v>
      </c>
      <c r="O26" s="31">
        <f t="shared" si="6"/>
        <v>18.049999999999997</v>
      </c>
      <c r="P26" s="31">
        <v>18</v>
      </c>
      <c r="Q26" s="29">
        <v>192</v>
      </c>
      <c r="R26" s="29">
        <v>552</v>
      </c>
      <c r="S26" s="29">
        <v>12</v>
      </c>
      <c r="T26" s="28">
        <v>44</v>
      </c>
      <c r="U26" s="28" t="str">
        <f t="shared" si="4"/>
        <v>b/c</v>
      </c>
      <c r="V26" s="28">
        <v>215</v>
      </c>
      <c r="W26" s="31">
        <v>21</v>
      </c>
      <c r="X26" s="31">
        <v>108</v>
      </c>
      <c r="Y26" s="29">
        <v>2</v>
      </c>
      <c r="Z26" s="29">
        <v>1</v>
      </c>
      <c r="AA26" s="30" t="s">
        <v>241</v>
      </c>
      <c r="AB26" s="30">
        <v>0</v>
      </c>
      <c r="AC26" s="149" t="str">
        <f t="shared" si="5"/>
        <v>a</v>
      </c>
      <c r="AD26" s="15"/>
      <c r="AE26" s="15"/>
      <c r="AF26" s="15"/>
    </row>
    <row r="27" spans="1:32" x14ac:dyDescent="0.2">
      <c r="A27" s="19">
        <f t="shared" si="2"/>
        <v>24</v>
      </c>
      <c r="B27" s="32" t="s">
        <v>7250</v>
      </c>
      <c r="C27" s="28">
        <v>210</v>
      </c>
      <c r="D27" s="31">
        <v>220</v>
      </c>
      <c r="E27" s="31">
        <v>7</v>
      </c>
      <c r="F27" s="31">
        <v>11</v>
      </c>
      <c r="G27" s="28">
        <v>64.3</v>
      </c>
      <c r="H27" s="31">
        <v>50.5</v>
      </c>
      <c r="I27" s="31">
        <v>5410</v>
      </c>
      <c r="J27" s="29">
        <v>515</v>
      </c>
      <c r="K27" s="31">
        <v>9</v>
      </c>
      <c r="L27" s="29">
        <v>1950</v>
      </c>
      <c r="M27" s="29">
        <v>178</v>
      </c>
      <c r="N27" s="31">
        <v>6</v>
      </c>
      <c r="O27" s="31">
        <f t="shared" si="6"/>
        <v>20.63</v>
      </c>
      <c r="P27" s="31">
        <v>18</v>
      </c>
      <c r="Q27" s="29">
        <v>256</v>
      </c>
      <c r="R27" s="29">
        <v>712</v>
      </c>
      <c r="S27" s="29">
        <v>15</v>
      </c>
      <c r="T27" s="28">
        <v>53</v>
      </c>
      <c r="U27" s="28" t="str">
        <f t="shared" si="4"/>
        <v>b/c</v>
      </c>
      <c r="V27" s="28">
        <v>284</v>
      </c>
      <c r="W27" s="31">
        <v>108</v>
      </c>
      <c r="X27" s="31">
        <v>193.3</v>
      </c>
      <c r="Y27" s="29">
        <v>2</v>
      </c>
      <c r="Z27" s="29">
        <v>1</v>
      </c>
      <c r="AA27" s="30" t="s">
        <v>241</v>
      </c>
      <c r="AB27" s="30">
        <v>0</v>
      </c>
      <c r="AC27" s="149" t="str">
        <f t="shared" si="5"/>
        <v>a</v>
      </c>
      <c r="AD27" s="15"/>
      <c r="AE27" s="15"/>
      <c r="AF27" s="15"/>
    </row>
    <row r="28" spans="1:32" x14ac:dyDescent="0.2">
      <c r="A28" s="19">
        <f t="shared" si="2"/>
        <v>25</v>
      </c>
      <c r="B28" s="28" t="s">
        <v>4800</v>
      </c>
      <c r="C28" s="28">
        <v>230</v>
      </c>
      <c r="D28" s="28">
        <v>240</v>
      </c>
      <c r="E28" s="28">
        <v>7.5</v>
      </c>
      <c r="F28" s="28">
        <v>12</v>
      </c>
      <c r="G28" s="28">
        <v>76.8</v>
      </c>
      <c r="H28" s="28">
        <v>60.3</v>
      </c>
      <c r="I28" s="28">
        <v>7760</v>
      </c>
      <c r="J28" s="29">
        <v>675</v>
      </c>
      <c r="K28" s="28">
        <v>10.1</v>
      </c>
      <c r="L28" s="29">
        <v>2770</v>
      </c>
      <c r="M28" s="29">
        <v>231</v>
      </c>
      <c r="N28" s="28">
        <v>6</v>
      </c>
      <c r="O28" s="31">
        <f t="shared" si="6"/>
        <v>25.139999999999997</v>
      </c>
      <c r="P28" s="28">
        <v>21</v>
      </c>
      <c r="Q28" s="29">
        <v>347</v>
      </c>
      <c r="R28" s="29">
        <f t="shared" si="1"/>
        <v>946.64634146341461</v>
      </c>
      <c r="S28" s="30">
        <f t="shared" si="3"/>
        <v>16.772334293948127</v>
      </c>
      <c r="T28" s="28">
        <v>62</v>
      </c>
      <c r="U28" s="28" t="str">
        <f t="shared" si="4"/>
        <v>b/c</v>
      </c>
      <c r="V28" s="28">
        <v>372</v>
      </c>
      <c r="W28" s="31">
        <v>41.6</v>
      </c>
      <c r="X28" s="31">
        <v>328.5</v>
      </c>
      <c r="Y28" s="29">
        <v>2</v>
      </c>
      <c r="Z28" s="29">
        <v>1</v>
      </c>
      <c r="AA28" s="30" t="s">
        <v>241</v>
      </c>
      <c r="AB28" s="30">
        <v>0</v>
      </c>
      <c r="AC28" s="149" t="str">
        <f t="shared" si="5"/>
        <v>a</v>
      </c>
      <c r="AD28" s="15"/>
      <c r="AE28" s="15"/>
      <c r="AF28" s="15"/>
    </row>
    <row r="29" spans="1:32" x14ac:dyDescent="0.2">
      <c r="A29" s="19">
        <f t="shared" si="2"/>
        <v>26</v>
      </c>
      <c r="B29" s="32" t="s">
        <v>5803</v>
      </c>
      <c r="C29" s="28">
        <v>250</v>
      </c>
      <c r="D29" s="28">
        <v>260</v>
      </c>
      <c r="E29" s="28">
        <v>7.5</v>
      </c>
      <c r="F29" s="28">
        <v>12.5</v>
      </c>
      <c r="G29" s="28">
        <v>86.8</v>
      </c>
      <c r="H29" s="28">
        <v>68.2</v>
      </c>
      <c r="I29" s="28">
        <v>10450</v>
      </c>
      <c r="J29" s="29">
        <v>836</v>
      </c>
      <c r="K29" s="28">
        <v>11</v>
      </c>
      <c r="L29" s="29">
        <v>3670</v>
      </c>
      <c r="M29" s="29">
        <v>282</v>
      </c>
      <c r="N29" s="28">
        <v>6.5</v>
      </c>
      <c r="O29" s="31">
        <f t="shared" si="6"/>
        <v>28.737499999999997</v>
      </c>
      <c r="P29" s="28">
        <v>24</v>
      </c>
      <c r="Q29" s="29">
        <v>431</v>
      </c>
      <c r="R29" s="29">
        <f t="shared" si="1"/>
        <v>1180.7909604519773</v>
      </c>
      <c r="S29" s="30">
        <f t="shared" si="3"/>
        <v>18.184454756380511</v>
      </c>
      <c r="T29" s="28">
        <v>70</v>
      </c>
      <c r="U29" s="28" t="str">
        <f t="shared" si="4"/>
        <v>b/c</v>
      </c>
      <c r="V29" s="28">
        <v>460</v>
      </c>
      <c r="W29" s="31">
        <v>52.4</v>
      </c>
      <c r="X29" s="31">
        <v>516.4</v>
      </c>
      <c r="Y29" s="29">
        <v>2</v>
      </c>
      <c r="Z29" s="29">
        <v>1</v>
      </c>
      <c r="AA29" s="30" t="s">
        <v>241</v>
      </c>
      <c r="AB29" s="30">
        <v>0</v>
      </c>
      <c r="AC29" s="149" t="str">
        <f t="shared" si="5"/>
        <v>a</v>
      </c>
      <c r="AD29" s="15"/>
      <c r="AE29" s="15"/>
      <c r="AF29" s="15"/>
    </row>
    <row r="30" spans="1:32" x14ac:dyDescent="0.2">
      <c r="A30" s="19">
        <f t="shared" si="2"/>
        <v>27</v>
      </c>
      <c r="B30" s="32" t="s">
        <v>5804</v>
      </c>
      <c r="C30" s="28">
        <v>270</v>
      </c>
      <c r="D30" s="28">
        <v>280</v>
      </c>
      <c r="E30" s="28">
        <v>8</v>
      </c>
      <c r="F30" s="28">
        <v>13</v>
      </c>
      <c r="G30" s="28">
        <v>97.3</v>
      </c>
      <c r="H30" s="28">
        <v>76.400000000000006</v>
      </c>
      <c r="I30" s="28">
        <v>13670</v>
      </c>
      <c r="J30" s="29">
        <v>1010</v>
      </c>
      <c r="K30" s="28">
        <v>11.9</v>
      </c>
      <c r="L30" s="29">
        <v>4760</v>
      </c>
      <c r="M30" s="29">
        <v>340</v>
      </c>
      <c r="N30" s="28">
        <v>7</v>
      </c>
      <c r="O30" s="31">
        <f t="shared" si="6"/>
        <v>31.78</v>
      </c>
      <c r="P30" s="28">
        <v>24</v>
      </c>
      <c r="Q30" s="29">
        <v>518</v>
      </c>
      <c r="R30" s="29">
        <f t="shared" si="1"/>
        <v>1391.3265306122448</v>
      </c>
      <c r="S30" s="30">
        <f t="shared" si="3"/>
        <v>21.11196911196911</v>
      </c>
      <c r="T30" s="28">
        <v>78</v>
      </c>
      <c r="U30" s="28" t="str">
        <f t="shared" si="4"/>
        <v>b/c</v>
      </c>
      <c r="V30" s="28">
        <v>556</v>
      </c>
      <c r="W30" s="31">
        <v>62.1</v>
      </c>
      <c r="X30" s="31">
        <v>785.4</v>
      </c>
      <c r="Y30" s="29">
        <v>2</v>
      </c>
      <c r="Z30" s="29">
        <v>1</v>
      </c>
      <c r="AA30" s="30" t="s">
        <v>241</v>
      </c>
      <c r="AB30" s="30">
        <v>0</v>
      </c>
      <c r="AC30" s="149" t="str">
        <f t="shared" si="5"/>
        <v>a</v>
      </c>
      <c r="AD30" s="15"/>
      <c r="AE30" s="15"/>
      <c r="AF30" s="15"/>
    </row>
    <row r="31" spans="1:32" x14ac:dyDescent="0.2">
      <c r="A31" s="19">
        <f t="shared" si="2"/>
        <v>28</v>
      </c>
      <c r="B31" s="32" t="s">
        <v>5805</v>
      </c>
      <c r="C31" s="28">
        <v>290</v>
      </c>
      <c r="D31" s="28">
        <v>300</v>
      </c>
      <c r="E31" s="28">
        <v>8.5</v>
      </c>
      <c r="F31" s="28">
        <v>14</v>
      </c>
      <c r="G31" s="28">
        <v>112</v>
      </c>
      <c r="H31" s="28">
        <v>88.3</v>
      </c>
      <c r="I31" s="28">
        <v>18260</v>
      </c>
      <c r="J31" s="29">
        <v>1260</v>
      </c>
      <c r="K31" s="28">
        <v>12.7</v>
      </c>
      <c r="L31" s="29">
        <v>6310</v>
      </c>
      <c r="M31" s="29">
        <v>421</v>
      </c>
      <c r="N31" s="28">
        <v>7.49</v>
      </c>
      <c r="O31" s="31">
        <f t="shared" si="6"/>
        <v>36.75</v>
      </c>
      <c r="P31" s="28">
        <v>27</v>
      </c>
      <c r="Q31" s="29">
        <v>646</v>
      </c>
      <c r="R31" s="29">
        <f t="shared" si="1"/>
        <v>1756.7307692307693</v>
      </c>
      <c r="S31" s="30">
        <f t="shared" si="3"/>
        <v>24.026315789473685</v>
      </c>
      <c r="T31" s="28">
        <v>90</v>
      </c>
      <c r="U31" s="28" t="str">
        <f t="shared" si="4"/>
        <v>b/c</v>
      </c>
      <c r="V31" s="28">
        <v>692</v>
      </c>
      <c r="W31" s="31">
        <v>85.2</v>
      </c>
      <c r="X31" s="31">
        <v>1200</v>
      </c>
      <c r="Y31" s="29">
        <v>2</v>
      </c>
      <c r="Z31" s="29">
        <v>1</v>
      </c>
      <c r="AA31" s="30" t="s">
        <v>241</v>
      </c>
      <c r="AB31" s="30">
        <v>0</v>
      </c>
      <c r="AC31" s="149" t="str">
        <f t="shared" si="5"/>
        <v>a</v>
      </c>
      <c r="AD31" s="15"/>
      <c r="AE31" s="15"/>
      <c r="AF31" s="15"/>
    </row>
    <row r="32" spans="1:32" x14ac:dyDescent="0.2">
      <c r="A32" s="19">
        <f t="shared" si="2"/>
        <v>29</v>
      </c>
      <c r="B32" s="32" t="s">
        <v>5806</v>
      </c>
      <c r="C32" s="28">
        <v>310</v>
      </c>
      <c r="D32" s="28">
        <v>300</v>
      </c>
      <c r="E32" s="28">
        <v>9</v>
      </c>
      <c r="F32" s="28">
        <v>15.5</v>
      </c>
      <c r="G32" s="28">
        <v>124</v>
      </c>
      <c r="H32" s="28">
        <v>97.6</v>
      </c>
      <c r="I32" s="28">
        <v>22930</v>
      </c>
      <c r="J32" s="29">
        <v>1480</v>
      </c>
      <c r="K32" s="28">
        <v>13.6</v>
      </c>
      <c r="L32" s="29">
        <v>6990</v>
      </c>
      <c r="M32" s="29">
        <v>466</v>
      </c>
      <c r="N32" s="28">
        <v>7.49</v>
      </c>
      <c r="O32" s="31">
        <f t="shared" si="6"/>
        <v>40.765000000000001</v>
      </c>
      <c r="P32" s="28">
        <v>27</v>
      </c>
      <c r="Q32" s="29">
        <v>757</v>
      </c>
      <c r="R32" s="29">
        <f t="shared" si="1"/>
        <v>2039.1111111111111</v>
      </c>
      <c r="S32" s="30">
        <f t="shared" si="3"/>
        <v>27.261558784676357</v>
      </c>
      <c r="T32" s="28">
        <v>100</v>
      </c>
      <c r="U32" s="28" t="str">
        <f t="shared" si="4"/>
        <v>b/c</v>
      </c>
      <c r="V32" s="28">
        <v>814</v>
      </c>
      <c r="W32" s="31">
        <v>108</v>
      </c>
      <c r="X32" s="31">
        <v>1512</v>
      </c>
      <c r="Y32" s="29">
        <v>2</v>
      </c>
      <c r="Z32" s="29">
        <v>1</v>
      </c>
      <c r="AA32" s="30" t="s">
        <v>241</v>
      </c>
      <c r="AB32" s="30">
        <v>0</v>
      </c>
      <c r="AC32" s="149" t="str">
        <f t="shared" si="5"/>
        <v>a</v>
      </c>
      <c r="AD32" s="15"/>
      <c r="AE32" s="15"/>
      <c r="AF32" s="15"/>
    </row>
    <row r="33" spans="1:32" x14ac:dyDescent="0.2">
      <c r="A33" s="19">
        <f t="shared" si="2"/>
        <v>30</v>
      </c>
      <c r="B33" s="32" t="s">
        <v>5807</v>
      </c>
      <c r="C33" s="28">
        <v>330</v>
      </c>
      <c r="D33" s="28">
        <v>300</v>
      </c>
      <c r="E33" s="28">
        <v>9.5</v>
      </c>
      <c r="F33" s="28">
        <v>16.5</v>
      </c>
      <c r="G33" s="28">
        <v>133</v>
      </c>
      <c r="H33" s="28">
        <v>105</v>
      </c>
      <c r="I33" s="28">
        <v>27690</v>
      </c>
      <c r="J33" s="29">
        <v>1680</v>
      </c>
      <c r="K33" s="28">
        <v>14.4</v>
      </c>
      <c r="L33" s="29">
        <v>7440</v>
      </c>
      <c r="M33" s="29">
        <v>496</v>
      </c>
      <c r="N33" s="28">
        <v>7.46</v>
      </c>
      <c r="O33" s="31">
        <f t="shared" si="6"/>
        <v>44.477499999999999</v>
      </c>
      <c r="P33" s="28">
        <v>27</v>
      </c>
      <c r="Q33" s="29">
        <v>855</v>
      </c>
      <c r="R33" s="29">
        <f t="shared" si="1"/>
        <v>2281.4814814814813</v>
      </c>
      <c r="S33" s="30">
        <f t="shared" si="3"/>
        <v>30.766666666666669</v>
      </c>
      <c r="T33" s="28">
        <v>108</v>
      </c>
      <c r="U33" s="28" t="str">
        <f t="shared" si="4"/>
        <v>b/c</v>
      </c>
      <c r="V33" s="28">
        <v>925</v>
      </c>
      <c r="W33" s="31">
        <v>127</v>
      </c>
      <c r="X33" s="31">
        <v>1824</v>
      </c>
      <c r="Y33" s="29">
        <v>2</v>
      </c>
      <c r="Z33" s="29">
        <v>1</v>
      </c>
      <c r="AA33" s="30" t="s">
        <v>241</v>
      </c>
      <c r="AB33" s="30">
        <v>0</v>
      </c>
      <c r="AC33" s="149" t="str">
        <f t="shared" si="5"/>
        <v>a</v>
      </c>
      <c r="AD33" s="15"/>
      <c r="AE33" s="15"/>
      <c r="AF33" s="15"/>
    </row>
    <row r="34" spans="1:32" x14ac:dyDescent="0.2">
      <c r="A34" s="19">
        <f t="shared" si="2"/>
        <v>31</v>
      </c>
      <c r="B34" s="32" t="s">
        <v>5808</v>
      </c>
      <c r="C34" s="28">
        <v>350</v>
      </c>
      <c r="D34" s="28">
        <v>300</v>
      </c>
      <c r="E34" s="28">
        <v>10</v>
      </c>
      <c r="F34" s="28">
        <v>17.5</v>
      </c>
      <c r="G34" s="28">
        <v>143</v>
      </c>
      <c r="H34" s="28">
        <v>112</v>
      </c>
      <c r="I34" s="28">
        <v>33090</v>
      </c>
      <c r="J34" s="29">
        <v>1890</v>
      </c>
      <c r="K34" s="28">
        <v>15.2</v>
      </c>
      <c r="L34" s="29">
        <v>7890</v>
      </c>
      <c r="M34" s="29">
        <v>526</v>
      </c>
      <c r="N34" s="28">
        <v>7.43</v>
      </c>
      <c r="O34" s="31">
        <f t="shared" si="6"/>
        <v>49.2</v>
      </c>
      <c r="P34" s="28">
        <v>27</v>
      </c>
      <c r="Q34" s="29">
        <v>959</v>
      </c>
      <c r="R34" s="29">
        <f t="shared" si="1"/>
        <v>2534.4827586206898</v>
      </c>
      <c r="S34" s="30">
        <f t="shared" si="3"/>
        <v>34.504692387904065</v>
      </c>
      <c r="T34" s="28">
        <v>115</v>
      </c>
      <c r="U34" s="28" t="str">
        <f t="shared" si="4"/>
        <v>b/c</v>
      </c>
      <c r="V34" s="28">
        <v>1040</v>
      </c>
      <c r="W34" s="31">
        <v>149</v>
      </c>
      <c r="X34" s="31">
        <v>2177</v>
      </c>
      <c r="Y34" s="29">
        <v>2</v>
      </c>
      <c r="Z34" s="29">
        <v>1</v>
      </c>
      <c r="AA34" s="30" t="s">
        <v>241</v>
      </c>
      <c r="AB34" s="30">
        <v>0</v>
      </c>
      <c r="AC34" s="149" t="str">
        <f t="shared" si="5"/>
        <v>a</v>
      </c>
      <c r="AD34" s="15"/>
      <c r="AE34" s="15"/>
      <c r="AF34" s="15"/>
    </row>
    <row r="35" spans="1:32" x14ac:dyDescent="0.2">
      <c r="A35" s="19">
        <f t="shared" si="2"/>
        <v>32</v>
      </c>
      <c r="B35" s="32" t="s">
        <v>5809</v>
      </c>
      <c r="C35" s="28">
        <v>390</v>
      </c>
      <c r="D35" s="28">
        <v>300</v>
      </c>
      <c r="E35" s="28">
        <v>11</v>
      </c>
      <c r="F35" s="28">
        <v>19</v>
      </c>
      <c r="G35" s="28">
        <v>159</v>
      </c>
      <c r="H35" s="28">
        <v>125</v>
      </c>
      <c r="I35" s="28">
        <v>45070</v>
      </c>
      <c r="J35" s="29">
        <v>2310</v>
      </c>
      <c r="K35" s="28">
        <v>16.8</v>
      </c>
      <c r="L35" s="29">
        <v>8560</v>
      </c>
      <c r="M35" s="29">
        <v>571</v>
      </c>
      <c r="N35" s="28">
        <v>7.43</v>
      </c>
      <c r="O35" s="31">
        <f t="shared" si="6"/>
        <v>57.35</v>
      </c>
      <c r="P35" s="28">
        <v>27</v>
      </c>
      <c r="Q35" s="29">
        <v>1160</v>
      </c>
      <c r="R35" s="29">
        <f t="shared" si="1"/>
        <v>3023.1543624161072</v>
      </c>
      <c r="S35" s="30">
        <f t="shared" si="3"/>
        <v>42.738793103448273</v>
      </c>
      <c r="T35" s="28">
        <v>128</v>
      </c>
      <c r="U35" s="28" t="str">
        <f t="shared" si="4"/>
        <v>a/b</v>
      </c>
      <c r="V35" s="28">
        <v>1280</v>
      </c>
      <c r="W35" s="31">
        <v>189</v>
      </c>
      <c r="X35" s="31">
        <v>2942</v>
      </c>
      <c r="Y35" s="29">
        <v>2</v>
      </c>
      <c r="Z35" s="29">
        <v>1</v>
      </c>
      <c r="AA35" s="30" t="s">
        <v>241</v>
      </c>
      <c r="AB35" s="30">
        <v>0</v>
      </c>
      <c r="AC35" s="149" t="str">
        <f t="shared" si="5"/>
        <v>a0</v>
      </c>
      <c r="AD35" s="15"/>
      <c r="AE35" s="15"/>
      <c r="AF35" s="15"/>
    </row>
    <row r="36" spans="1:32" x14ac:dyDescent="0.2">
      <c r="A36" s="19">
        <f t="shared" si="2"/>
        <v>33</v>
      </c>
      <c r="B36" s="32" t="s">
        <v>5810</v>
      </c>
      <c r="C36" s="28">
        <v>440</v>
      </c>
      <c r="D36" s="28">
        <v>300</v>
      </c>
      <c r="E36" s="28">
        <v>11.5</v>
      </c>
      <c r="F36" s="28">
        <v>21</v>
      </c>
      <c r="G36" s="28">
        <v>178</v>
      </c>
      <c r="H36" s="28">
        <v>140</v>
      </c>
      <c r="I36" s="28">
        <v>63720</v>
      </c>
      <c r="J36" s="29">
        <v>2900</v>
      </c>
      <c r="K36" s="28">
        <v>18.899999999999999</v>
      </c>
      <c r="L36" s="29">
        <v>9470</v>
      </c>
      <c r="M36" s="29">
        <v>631</v>
      </c>
      <c r="N36" s="28">
        <v>7.29</v>
      </c>
      <c r="O36" s="31">
        <f t="shared" si="6"/>
        <v>65.754999999999995</v>
      </c>
      <c r="P36" s="28">
        <v>27</v>
      </c>
      <c r="Q36" s="29">
        <v>1440</v>
      </c>
      <c r="R36" s="29">
        <f t="shared" si="1"/>
        <v>3709.3023255813955</v>
      </c>
      <c r="S36" s="30">
        <f t="shared" si="3"/>
        <v>50.887500000000003</v>
      </c>
      <c r="T36" s="28">
        <v>143</v>
      </c>
      <c r="U36" s="28" t="str">
        <f t="shared" si="4"/>
        <v>a/b</v>
      </c>
      <c r="V36" s="28">
        <v>1610</v>
      </c>
      <c r="W36" s="31">
        <v>244</v>
      </c>
      <c r="X36" s="31">
        <v>4148</v>
      </c>
      <c r="Y36" s="29">
        <v>2</v>
      </c>
      <c r="Z36" s="29">
        <v>1</v>
      </c>
      <c r="AA36" s="30" t="s">
        <v>241</v>
      </c>
      <c r="AB36" s="30">
        <v>0</v>
      </c>
      <c r="AC36" s="149" t="str">
        <f t="shared" si="5"/>
        <v>a0</v>
      </c>
      <c r="AD36" s="15"/>
      <c r="AE36" s="15"/>
      <c r="AF36" s="15"/>
    </row>
    <row r="37" spans="1:32" x14ac:dyDescent="0.2">
      <c r="A37" s="19">
        <f t="shared" si="2"/>
        <v>34</v>
      </c>
      <c r="B37" s="32" t="s">
        <v>5811</v>
      </c>
      <c r="C37" s="28">
        <v>490</v>
      </c>
      <c r="D37" s="28">
        <v>300</v>
      </c>
      <c r="E37" s="28">
        <v>12</v>
      </c>
      <c r="F37" s="28">
        <v>23</v>
      </c>
      <c r="G37" s="28">
        <v>198</v>
      </c>
      <c r="H37" s="28">
        <v>155</v>
      </c>
      <c r="I37" s="28">
        <v>86970</v>
      </c>
      <c r="J37" s="29">
        <v>3550</v>
      </c>
      <c r="K37" s="28">
        <v>21</v>
      </c>
      <c r="L37" s="29">
        <v>10370</v>
      </c>
      <c r="M37" s="29">
        <v>691</v>
      </c>
      <c r="N37" s="28">
        <v>7.24</v>
      </c>
      <c r="O37" s="31">
        <f t="shared" si="6"/>
        <v>75.180000000000007</v>
      </c>
      <c r="P37" s="28">
        <v>27</v>
      </c>
      <c r="Q37" s="29">
        <v>1750</v>
      </c>
      <c r="R37" s="29">
        <f t="shared" si="1"/>
        <v>4460.2564102564102</v>
      </c>
      <c r="S37" s="30">
        <f t="shared" si="3"/>
        <v>59.636571428571429</v>
      </c>
      <c r="T37" s="28">
        <v>159</v>
      </c>
      <c r="U37" s="28" t="str">
        <f t="shared" si="4"/>
        <v>a/b</v>
      </c>
      <c r="V37" s="28">
        <v>1970</v>
      </c>
      <c r="W37" s="31">
        <v>309</v>
      </c>
      <c r="X37" s="31">
        <v>5643</v>
      </c>
      <c r="Y37" s="29">
        <v>2</v>
      </c>
      <c r="Z37" s="29">
        <v>1</v>
      </c>
      <c r="AA37" s="30" t="s">
        <v>241</v>
      </c>
      <c r="AB37" s="30">
        <v>0</v>
      </c>
      <c r="AC37" s="149" t="str">
        <f t="shared" si="5"/>
        <v>a0</v>
      </c>
      <c r="AD37" s="15"/>
      <c r="AE37" s="15"/>
      <c r="AF37" s="15"/>
    </row>
    <row r="38" spans="1:32" x14ac:dyDescent="0.2">
      <c r="A38" s="19">
        <f t="shared" si="2"/>
        <v>35</v>
      </c>
      <c r="B38" s="32" t="s">
        <v>5812</v>
      </c>
      <c r="C38" s="28">
        <v>540</v>
      </c>
      <c r="D38" s="28">
        <v>300</v>
      </c>
      <c r="E38" s="28">
        <v>12.5</v>
      </c>
      <c r="F38" s="28">
        <v>24</v>
      </c>
      <c r="G38" s="28">
        <v>212</v>
      </c>
      <c r="H38" s="28">
        <v>166</v>
      </c>
      <c r="I38" s="28">
        <v>111900</v>
      </c>
      <c r="J38" s="29">
        <v>4150</v>
      </c>
      <c r="K38" s="28">
        <v>23</v>
      </c>
      <c r="L38" s="29">
        <v>10820</v>
      </c>
      <c r="M38" s="29">
        <v>721</v>
      </c>
      <c r="N38" s="28">
        <v>7.15</v>
      </c>
      <c r="O38" s="31">
        <f t="shared" si="6"/>
        <v>83.960000000000008</v>
      </c>
      <c r="P38" s="28">
        <v>27</v>
      </c>
      <c r="Q38" s="29">
        <v>2010</v>
      </c>
      <c r="R38" s="29">
        <f t="shared" si="1"/>
        <v>5116.4383561643835</v>
      </c>
      <c r="S38" s="30">
        <f t="shared" si="3"/>
        <v>69.589552238805965</v>
      </c>
      <c r="T38" s="28">
        <v>170</v>
      </c>
      <c r="U38" s="28" t="str">
        <f t="shared" si="4"/>
        <v>a/b</v>
      </c>
      <c r="V38" s="28">
        <v>2310</v>
      </c>
      <c r="W38" s="31">
        <v>352</v>
      </c>
      <c r="X38" s="31">
        <v>7189</v>
      </c>
      <c r="Y38" s="29">
        <v>2</v>
      </c>
      <c r="Z38" s="29">
        <v>1</v>
      </c>
      <c r="AA38" s="30" t="s">
        <v>241</v>
      </c>
      <c r="AB38" s="30">
        <v>0</v>
      </c>
      <c r="AC38" s="149" t="str">
        <f t="shared" si="5"/>
        <v>a0</v>
      </c>
      <c r="AD38" s="15"/>
      <c r="AE38" s="15"/>
      <c r="AF38" s="15"/>
    </row>
    <row r="39" spans="1:32" x14ac:dyDescent="0.2">
      <c r="A39" s="19">
        <f t="shared" si="2"/>
        <v>36</v>
      </c>
      <c r="B39" s="32" t="s">
        <v>5813</v>
      </c>
      <c r="C39" s="28">
        <v>590</v>
      </c>
      <c r="D39" s="28">
        <v>300</v>
      </c>
      <c r="E39" s="28">
        <v>13</v>
      </c>
      <c r="F39" s="28">
        <v>25</v>
      </c>
      <c r="G39" s="28">
        <v>226</v>
      </c>
      <c r="H39" s="28">
        <v>178</v>
      </c>
      <c r="I39" s="28">
        <v>141200</v>
      </c>
      <c r="J39" s="29">
        <v>4790</v>
      </c>
      <c r="K39" s="28">
        <v>25</v>
      </c>
      <c r="L39" s="29">
        <v>11270</v>
      </c>
      <c r="M39" s="29">
        <v>751</v>
      </c>
      <c r="N39" s="28">
        <v>7.05</v>
      </c>
      <c r="O39" s="31">
        <f t="shared" si="6"/>
        <v>92.75</v>
      </c>
      <c r="P39" s="28">
        <v>27</v>
      </c>
      <c r="Q39" s="29">
        <v>2290</v>
      </c>
      <c r="R39" s="29">
        <f t="shared" si="1"/>
        <v>5815.0205761316874</v>
      </c>
      <c r="S39" s="30">
        <f t="shared" si="3"/>
        <v>80.157205240174676</v>
      </c>
      <c r="T39" s="28">
        <v>182</v>
      </c>
      <c r="U39" s="28" t="str">
        <f t="shared" si="4"/>
        <v>a/b</v>
      </c>
      <c r="V39" s="28">
        <v>2680</v>
      </c>
      <c r="W39" s="31">
        <v>398</v>
      </c>
      <c r="X39" s="31">
        <v>8978</v>
      </c>
      <c r="Y39" s="29">
        <v>2</v>
      </c>
      <c r="Z39" s="29">
        <v>1</v>
      </c>
      <c r="AA39" s="30" t="s">
        <v>241</v>
      </c>
      <c r="AB39" s="30">
        <v>0</v>
      </c>
      <c r="AC39" s="149" t="str">
        <f t="shared" si="5"/>
        <v>a0</v>
      </c>
      <c r="AD39" s="15"/>
      <c r="AE39" s="15"/>
      <c r="AF39" s="15"/>
    </row>
    <row r="40" spans="1:32" x14ac:dyDescent="0.2">
      <c r="A40" s="19">
        <f t="shared" si="2"/>
        <v>37</v>
      </c>
      <c r="B40" s="32" t="s">
        <v>5814</v>
      </c>
      <c r="C40" s="28">
        <v>640</v>
      </c>
      <c r="D40" s="28">
        <v>300</v>
      </c>
      <c r="E40" s="28">
        <v>13.5</v>
      </c>
      <c r="F40" s="28">
        <v>26</v>
      </c>
      <c r="G40" s="28">
        <v>242</v>
      </c>
      <c r="H40" s="28">
        <v>190</v>
      </c>
      <c r="I40" s="28">
        <v>175200</v>
      </c>
      <c r="J40" s="29">
        <v>5470</v>
      </c>
      <c r="K40" s="28">
        <v>26.9</v>
      </c>
      <c r="L40" s="29">
        <v>11720</v>
      </c>
      <c r="M40" s="29">
        <v>782</v>
      </c>
      <c r="N40" s="28">
        <v>6.97</v>
      </c>
      <c r="O40" s="31">
        <f t="shared" si="6"/>
        <v>103.55</v>
      </c>
      <c r="P40" s="28">
        <v>27</v>
      </c>
      <c r="Q40" s="29">
        <v>2590</v>
      </c>
      <c r="R40" s="29">
        <f t="shared" si="1"/>
        <v>6555.8052434456931</v>
      </c>
      <c r="S40" s="30">
        <f t="shared" si="3"/>
        <v>91.320463320463318</v>
      </c>
      <c r="T40" s="28">
        <v>195</v>
      </c>
      <c r="U40" s="28" t="str">
        <f t="shared" si="4"/>
        <v>a/b</v>
      </c>
      <c r="V40" s="28">
        <v>3070</v>
      </c>
      <c r="W40" s="31">
        <v>448</v>
      </c>
      <c r="X40" s="31">
        <v>11030</v>
      </c>
      <c r="Y40" s="29">
        <v>2</v>
      </c>
      <c r="Z40" s="29">
        <v>1</v>
      </c>
      <c r="AA40" s="30" t="s">
        <v>241</v>
      </c>
      <c r="AB40" s="30">
        <v>0</v>
      </c>
      <c r="AC40" s="149" t="str">
        <f t="shared" si="5"/>
        <v>a0</v>
      </c>
      <c r="AD40" s="15"/>
      <c r="AE40" s="15"/>
      <c r="AF40" s="15"/>
    </row>
    <row r="41" spans="1:32" x14ac:dyDescent="0.2">
      <c r="A41" s="19">
        <f t="shared" si="2"/>
        <v>38</v>
      </c>
      <c r="B41" s="32" t="s">
        <v>5815</v>
      </c>
      <c r="C41" s="28">
        <v>690</v>
      </c>
      <c r="D41" s="28">
        <v>300</v>
      </c>
      <c r="E41" s="28">
        <v>14.5</v>
      </c>
      <c r="F41" s="28">
        <v>27</v>
      </c>
      <c r="G41" s="28">
        <v>260</v>
      </c>
      <c r="H41" s="28">
        <v>204</v>
      </c>
      <c r="I41" s="28">
        <v>215300</v>
      </c>
      <c r="J41" s="29">
        <v>6240</v>
      </c>
      <c r="K41" s="28">
        <v>28.8</v>
      </c>
      <c r="L41" s="29">
        <v>12180</v>
      </c>
      <c r="M41" s="29">
        <v>812</v>
      </c>
      <c r="N41" s="28">
        <v>6.84</v>
      </c>
      <c r="O41" s="31">
        <f t="shared" si="6"/>
        <v>116.495</v>
      </c>
      <c r="P41" s="28">
        <v>27</v>
      </c>
      <c r="Q41" s="29">
        <v>2900</v>
      </c>
      <c r="R41" s="29">
        <f t="shared" si="1"/>
        <v>7397.9381443298971</v>
      </c>
      <c r="S41" s="30">
        <f t="shared" si="3"/>
        <v>107.65</v>
      </c>
      <c r="T41" s="28">
        <v>209</v>
      </c>
      <c r="U41" s="28" t="str">
        <f t="shared" si="4"/>
        <v>a/b</v>
      </c>
      <c r="V41" s="28">
        <v>3520</v>
      </c>
      <c r="W41" s="31">
        <v>514</v>
      </c>
      <c r="X41" s="31">
        <v>13350</v>
      </c>
      <c r="Y41" s="29">
        <v>2</v>
      </c>
      <c r="Z41" s="29">
        <v>1</v>
      </c>
      <c r="AA41" s="30" t="s">
        <v>241</v>
      </c>
      <c r="AB41" s="30">
        <v>0</v>
      </c>
      <c r="AC41" s="149" t="str">
        <f t="shared" si="5"/>
        <v>a0</v>
      </c>
      <c r="AD41" s="15"/>
      <c r="AE41" s="15"/>
      <c r="AF41" s="15"/>
    </row>
    <row r="42" spans="1:32" x14ac:dyDescent="0.2">
      <c r="A42" s="19">
        <f t="shared" si="2"/>
        <v>39</v>
      </c>
      <c r="B42" s="32" t="s">
        <v>5816</v>
      </c>
      <c r="C42" s="28">
        <v>790</v>
      </c>
      <c r="D42" s="28">
        <v>300</v>
      </c>
      <c r="E42" s="28">
        <v>15</v>
      </c>
      <c r="F42" s="28">
        <v>28</v>
      </c>
      <c r="G42" s="28">
        <v>286</v>
      </c>
      <c r="H42" s="28">
        <v>224</v>
      </c>
      <c r="I42" s="28">
        <v>303400</v>
      </c>
      <c r="J42" s="29">
        <v>7680</v>
      </c>
      <c r="K42" s="28">
        <v>32.6</v>
      </c>
      <c r="L42" s="29">
        <v>12640</v>
      </c>
      <c r="M42" s="29">
        <v>843</v>
      </c>
      <c r="N42" s="28">
        <v>6.65</v>
      </c>
      <c r="O42" s="31">
        <f t="shared" si="6"/>
        <v>139</v>
      </c>
      <c r="P42" s="28">
        <v>30</v>
      </c>
      <c r="Q42" s="29">
        <v>3500</v>
      </c>
      <c r="R42" s="29">
        <f t="shared" si="1"/>
        <v>9001.7804154302667</v>
      </c>
      <c r="S42" s="30">
        <f t="shared" si="3"/>
        <v>130.02857142857141</v>
      </c>
      <c r="T42" s="28">
        <v>230</v>
      </c>
      <c r="U42" s="28" t="str">
        <f t="shared" si="4"/>
        <v>a/b</v>
      </c>
      <c r="V42" s="28">
        <v>4350</v>
      </c>
      <c r="W42" s="31">
        <v>597</v>
      </c>
      <c r="X42" s="31">
        <v>18290</v>
      </c>
      <c r="Y42" s="29">
        <v>2</v>
      </c>
      <c r="Z42" s="29">
        <v>1</v>
      </c>
      <c r="AA42" s="30" t="s">
        <v>241</v>
      </c>
      <c r="AB42" s="30">
        <v>0</v>
      </c>
      <c r="AC42" s="149" t="str">
        <f t="shared" si="5"/>
        <v>a0</v>
      </c>
      <c r="AD42" s="15"/>
      <c r="AE42" s="15"/>
      <c r="AF42" s="15"/>
    </row>
    <row r="43" spans="1:32" x14ac:dyDescent="0.2">
      <c r="A43" s="19">
        <f t="shared" si="2"/>
        <v>40</v>
      </c>
      <c r="B43" s="32" t="s">
        <v>5817</v>
      </c>
      <c r="C43" s="28">
        <v>890</v>
      </c>
      <c r="D43" s="28">
        <v>300</v>
      </c>
      <c r="E43" s="28">
        <v>16</v>
      </c>
      <c r="F43" s="28">
        <v>30</v>
      </c>
      <c r="G43" s="28">
        <v>320</v>
      </c>
      <c r="H43" s="28">
        <v>252</v>
      </c>
      <c r="I43" s="28">
        <v>422100</v>
      </c>
      <c r="J43" s="29">
        <v>9480</v>
      </c>
      <c r="K43" s="28">
        <v>36.299999999999997</v>
      </c>
      <c r="L43" s="29">
        <v>13550</v>
      </c>
      <c r="M43" s="29">
        <v>903</v>
      </c>
      <c r="N43" s="28">
        <v>6.5</v>
      </c>
      <c r="O43" s="31">
        <f t="shared" si="6"/>
        <v>162.80000000000001</v>
      </c>
      <c r="P43" s="28">
        <v>30</v>
      </c>
      <c r="Q43" s="29">
        <v>4220</v>
      </c>
      <c r="R43" s="29">
        <f t="shared" si="1"/>
        <v>10957.402597402597</v>
      </c>
      <c r="S43" s="30">
        <f t="shared" si="3"/>
        <v>160.03791469194314</v>
      </c>
      <c r="T43" s="28">
        <v>258</v>
      </c>
      <c r="U43" s="28" t="str">
        <f t="shared" si="4"/>
        <v>a/b</v>
      </c>
      <c r="V43" s="28">
        <v>5410</v>
      </c>
      <c r="W43" s="31">
        <v>737</v>
      </c>
      <c r="X43" s="31">
        <v>24960</v>
      </c>
      <c r="Y43" s="29">
        <v>2</v>
      </c>
      <c r="Z43" s="29">
        <v>1</v>
      </c>
      <c r="AA43" s="30" t="s">
        <v>241</v>
      </c>
      <c r="AB43" s="30">
        <v>0</v>
      </c>
      <c r="AC43" s="149" t="str">
        <f t="shared" si="5"/>
        <v>a0</v>
      </c>
      <c r="AD43" s="15"/>
      <c r="AE43" s="15"/>
      <c r="AF43" s="15"/>
    </row>
    <row r="44" spans="1:32" x14ac:dyDescent="0.2">
      <c r="A44" s="19">
        <f t="shared" si="2"/>
        <v>41</v>
      </c>
      <c r="B44" s="32" t="s">
        <v>5818</v>
      </c>
      <c r="C44" s="28">
        <v>990</v>
      </c>
      <c r="D44" s="28">
        <v>300</v>
      </c>
      <c r="E44" s="28">
        <v>16.5</v>
      </c>
      <c r="F44" s="28">
        <v>31</v>
      </c>
      <c r="G44" s="28">
        <v>347</v>
      </c>
      <c r="H44" s="28">
        <v>272</v>
      </c>
      <c r="I44" s="28">
        <v>553800</v>
      </c>
      <c r="J44" s="29">
        <v>11190</v>
      </c>
      <c r="K44" s="28">
        <v>40</v>
      </c>
      <c r="L44" s="29">
        <v>14000</v>
      </c>
      <c r="M44" s="29">
        <v>934</v>
      </c>
      <c r="N44" s="28">
        <v>6.35</v>
      </c>
      <c r="O44" s="31">
        <f t="shared" si="6"/>
        <v>184.715</v>
      </c>
      <c r="P44" s="28">
        <v>30</v>
      </c>
      <c r="Q44" s="29">
        <v>4860</v>
      </c>
      <c r="R44" s="29">
        <f t="shared" si="1"/>
        <v>12762.788018433179</v>
      </c>
      <c r="S44" s="30">
        <f t="shared" si="3"/>
        <v>188.01851851851853</v>
      </c>
      <c r="T44" s="28">
        <v>279</v>
      </c>
      <c r="U44" s="28" t="str">
        <f t="shared" si="4"/>
        <v>a/b</v>
      </c>
      <c r="V44" s="28">
        <v>6410</v>
      </c>
      <c r="W44" s="31">
        <v>822</v>
      </c>
      <c r="X44" s="31">
        <v>32070</v>
      </c>
      <c r="Y44" s="29">
        <v>2</v>
      </c>
      <c r="Z44" s="29">
        <v>1</v>
      </c>
      <c r="AA44" s="30" t="s">
        <v>241</v>
      </c>
      <c r="AB44" s="30">
        <v>0</v>
      </c>
      <c r="AC44" s="149" t="str">
        <f t="shared" si="5"/>
        <v>a0</v>
      </c>
      <c r="AD44" s="15"/>
      <c r="AE44" s="15"/>
      <c r="AF44" s="15"/>
    </row>
    <row r="45" spans="1:32" x14ac:dyDescent="0.2">
      <c r="A45" s="19">
        <f t="shared" si="2"/>
        <v>42</v>
      </c>
      <c r="B45" s="32" t="s">
        <v>5819</v>
      </c>
      <c r="C45" s="28">
        <v>270</v>
      </c>
      <c r="D45" s="28">
        <v>248</v>
      </c>
      <c r="E45" s="28">
        <v>18</v>
      </c>
      <c r="F45" s="28">
        <v>32</v>
      </c>
      <c r="G45" s="28">
        <v>200</v>
      </c>
      <c r="H45" s="28">
        <v>157</v>
      </c>
      <c r="I45" s="28">
        <v>24290</v>
      </c>
      <c r="J45" s="29">
        <v>1800</v>
      </c>
      <c r="K45" s="28">
        <v>11</v>
      </c>
      <c r="L45" s="29">
        <v>8150</v>
      </c>
      <c r="M45" s="29">
        <v>657</v>
      </c>
      <c r="N45" s="28">
        <v>6.39</v>
      </c>
      <c r="O45" s="31">
        <f t="shared" si="6"/>
        <v>60.480000000000004</v>
      </c>
      <c r="P45" s="28">
        <v>21</v>
      </c>
      <c r="Q45" s="29">
        <v>998</v>
      </c>
      <c r="R45" s="29">
        <f t="shared" si="1"/>
        <v>2963.4146341463415</v>
      </c>
      <c r="S45" s="30">
        <f t="shared" si="3"/>
        <v>43.809619238476955</v>
      </c>
      <c r="T45" s="28">
        <v>161</v>
      </c>
      <c r="U45" s="28" t="str">
        <f t="shared" si="4"/>
        <v>b/c</v>
      </c>
      <c r="V45" s="28">
        <v>1060</v>
      </c>
      <c r="W45" s="31">
        <v>628</v>
      </c>
      <c r="X45" s="31">
        <v>1152</v>
      </c>
      <c r="Y45" s="29">
        <v>3</v>
      </c>
      <c r="Z45" s="29">
        <v>1</v>
      </c>
      <c r="AA45" s="30" t="s">
        <v>241</v>
      </c>
      <c r="AB45" s="30">
        <v>0</v>
      </c>
      <c r="AC45" s="149" t="str">
        <f t="shared" si="5"/>
        <v>a</v>
      </c>
      <c r="AD45" s="15"/>
      <c r="AE45" s="15"/>
      <c r="AF45" s="15"/>
    </row>
    <row r="46" spans="1:32" x14ac:dyDescent="0.2">
      <c r="A46" s="19">
        <f t="shared" si="2"/>
        <v>43</v>
      </c>
      <c r="B46" s="32" t="s">
        <v>5820</v>
      </c>
      <c r="C46" s="28">
        <v>290</v>
      </c>
      <c r="D46" s="28">
        <v>268</v>
      </c>
      <c r="E46" s="28">
        <v>18</v>
      </c>
      <c r="F46" s="28">
        <v>32.5</v>
      </c>
      <c r="G46" s="28">
        <v>220</v>
      </c>
      <c r="H46" s="28">
        <v>172</v>
      </c>
      <c r="I46" s="28">
        <v>31310</v>
      </c>
      <c r="J46" s="29">
        <v>2160</v>
      </c>
      <c r="K46" s="28">
        <v>11.9</v>
      </c>
      <c r="L46" s="29">
        <v>10450</v>
      </c>
      <c r="M46" s="29">
        <v>780</v>
      </c>
      <c r="N46" s="28">
        <v>6.9</v>
      </c>
      <c r="O46" s="31">
        <f t="shared" si="6"/>
        <v>67.250000000000014</v>
      </c>
      <c r="P46" s="28">
        <v>24</v>
      </c>
      <c r="Q46" s="29">
        <v>1190</v>
      </c>
      <c r="R46" s="29">
        <f t="shared" si="1"/>
        <v>3538.9830508474574</v>
      </c>
      <c r="S46" s="30">
        <f t="shared" si="3"/>
        <v>47.359663865546217</v>
      </c>
      <c r="T46" s="28">
        <v>176</v>
      </c>
      <c r="U46" s="28" t="str">
        <f t="shared" si="4"/>
        <v>b/c</v>
      </c>
      <c r="V46" s="28">
        <v>1260</v>
      </c>
      <c r="W46" s="31">
        <v>719</v>
      </c>
      <c r="X46" s="31">
        <v>1728</v>
      </c>
      <c r="Y46" s="29">
        <v>3</v>
      </c>
      <c r="Z46" s="29">
        <v>1</v>
      </c>
      <c r="AA46" s="30" t="s">
        <v>241</v>
      </c>
      <c r="AB46" s="30">
        <v>0</v>
      </c>
      <c r="AC46" s="149" t="str">
        <f t="shared" si="5"/>
        <v>a</v>
      </c>
      <c r="AD46" s="15"/>
      <c r="AE46" s="15"/>
      <c r="AF46" s="15"/>
    </row>
    <row r="47" spans="1:32" x14ac:dyDescent="0.2">
      <c r="A47" s="19">
        <f t="shared" si="2"/>
        <v>44</v>
      </c>
      <c r="B47" s="32" t="s">
        <v>5821</v>
      </c>
      <c r="C47" s="28">
        <v>310</v>
      </c>
      <c r="D47" s="28">
        <v>288</v>
      </c>
      <c r="E47" s="28">
        <v>18.5</v>
      </c>
      <c r="F47" s="28">
        <v>33</v>
      </c>
      <c r="G47" s="28">
        <v>240</v>
      </c>
      <c r="H47" s="28">
        <v>183</v>
      </c>
      <c r="I47" s="28">
        <v>39550</v>
      </c>
      <c r="J47" s="29">
        <v>2550</v>
      </c>
      <c r="K47" s="28">
        <v>12.8</v>
      </c>
      <c r="L47" s="29">
        <v>13160</v>
      </c>
      <c r="M47" s="29">
        <v>914</v>
      </c>
      <c r="N47" s="28">
        <v>7.4</v>
      </c>
      <c r="O47" s="31">
        <f t="shared" si="6"/>
        <v>71.864999999999981</v>
      </c>
      <c r="P47" s="28">
        <v>24</v>
      </c>
      <c r="Q47" s="29">
        <v>1390</v>
      </c>
      <c r="R47" s="29">
        <f t="shared" si="1"/>
        <v>4033.1632653061224</v>
      </c>
      <c r="S47" s="30">
        <f t="shared" si="3"/>
        <v>52.638489208633096</v>
      </c>
      <c r="T47" s="28">
        <v>194</v>
      </c>
      <c r="U47" s="28" t="str">
        <f t="shared" si="4"/>
        <v>b/c</v>
      </c>
      <c r="V47" s="28">
        <v>1480</v>
      </c>
      <c r="W47" s="31">
        <v>807</v>
      </c>
      <c r="X47" s="31">
        <v>2520</v>
      </c>
      <c r="Y47" s="29">
        <v>3</v>
      </c>
      <c r="Z47" s="29">
        <v>1</v>
      </c>
      <c r="AA47" s="30" t="s">
        <v>241</v>
      </c>
      <c r="AB47" s="30">
        <v>0</v>
      </c>
      <c r="AC47" s="149" t="str">
        <f t="shared" si="5"/>
        <v>a</v>
      </c>
      <c r="AD47" s="15"/>
      <c r="AE47" s="15"/>
      <c r="AF47" s="15"/>
    </row>
    <row r="48" spans="1:32" x14ac:dyDescent="0.2">
      <c r="A48" s="19">
        <f t="shared" si="2"/>
        <v>45</v>
      </c>
      <c r="B48" s="32" t="s">
        <v>5822</v>
      </c>
      <c r="C48" s="28">
        <v>340</v>
      </c>
      <c r="D48" s="28">
        <v>310</v>
      </c>
      <c r="E48" s="28">
        <v>21</v>
      </c>
      <c r="F48" s="28">
        <v>39</v>
      </c>
      <c r="G48" s="28">
        <v>303</v>
      </c>
      <c r="H48" s="28">
        <v>238</v>
      </c>
      <c r="I48" s="28">
        <v>59200</v>
      </c>
      <c r="J48" s="29">
        <v>3480</v>
      </c>
      <c r="K48" s="28">
        <v>14</v>
      </c>
      <c r="L48" s="29">
        <v>19400</v>
      </c>
      <c r="M48" s="29">
        <v>1250</v>
      </c>
      <c r="N48" s="28">
        <v>8</v>
      </c>
      <c r="O48" s="31">
        <f t="shared" si="6"/>
        <v>90.449999999999989</v>
      </c>
      <c r="P48" s="28">
        <v>27</v>
      </c>
      <c r="Q48" s="29">
        <v>1930</v>
      </c>
      <c r="R48" s="29">
        <f t="shared" si="1"/>
        <v>5688.4615384615381</v>
      </c>
      <c r="S48" s="30">
        <f t="shared" si="3"/>
        <v>64.414507772020727</v>
      </c>
      <c r="T48" s="28">
        <v>244</v>
      </c>
      <c r="U48" s="28" t="str">
        <f t="shared" si="4"/>
        <v>b/c</v>
      </c>
      <c r="V48" s="28">
        <v>2040</v>
      </c>
      <c r="W48" s="31">
        <v>1410</v>
      </c>
      <c r="X48" s="31">
        <v>4386</v>
      </c>
      <c r="Y48" s="29">
        <v>3</v>
      </c>
      <c r="Z48" s="29">
        <v>1</v>
      </c>
      <c r="AA48" s="30" t="s">
        <v>241</v>
      </c>
      <c r="AB48" s="30">
        <v>0</v>
      </c>
      <c r="AC48" s="149" t="str">
        <f t="shared" si="5"/>
        <v>a</v>
      </c>
      <c r="AD48" s="15"/>
      <c r="AE48" s="15"/>
      <c r="AF48" s="15"/>
    </row>
    <row r="49" spans="1:32" x14ac:dyDescent="0.2">
      <c r="A49" s="19">
        <f t="shared" si="2"/>
        <v>46</v>
      </c>
      <c r="B49" s="32" t="s">
        <v>5823</v>
      </c>
      <c r="C49" s="28">
        <v>359</v>
      </c>
      <c r="D49" s="28">
        <v>309</v>
      </c>
      <c r="E49" s="28">
        <v>21</v>
      </c>
      <c r="F49" s="28">
        <v>40</v>
      </c>
      <c r="G49" s="28">
        <v>312</v>
      </c>
      <c r="H49" s="28">
        <v>245</v>
      </c>
      <c r="I49" s="28">
        <v>68130</v>
      </c>
      <c r="J49" s="29">
        <v>3800</v>
      </c>
      <c r="K49" s="28">
        <v>1408</v>
      </c>
      <c r="L49" s="29">
        <v>19710</v>
      </c>
      <c r="M49" s="29">
        <v>1280</v>
      </c>
      <c r="N49" s="28">
        <v>7.95</v>
      </c>
      <c r="O49" s="31">
        <f t="shared" si="6"/>
        <v>94.800000000000011</v>
      </c>
      <c r="P49" s="28">
        <v>27</v>
      </c>
      <c r="Q49" s="29">
        <v>2080</v>
      </c>
      <c r="R49" s="29">
        <f t="shared" si="1"/>
        <v>6063.1111111111113</v>
      </c>
      <c r="S49" s="30">
        <f t="shared" si="3"/>
        <v>68.785096153846155</v>
      </c>
      <c r="T49" s="28">
        <v>251</v>
      </c>
      <c r="U49" s="28" t="str">
        <f t="shared" si="4"/>
        <v>b/c</v>
      </c>
      <c r="V49" s="28">
        <v>2220</v>
      </c>
      <c r="W49" s="31">
        <v>1500</v>
      </c>
      <c r="X49" s="31">
        <v>5004</v>
      </c>
      <c r="Y49" s="29">
        <v>3</v>
      </c>
      <c r="Z49" s="29">
        <v>1</v>
      </c>
      <c r="AA49" s="30" t="s">
        <v>241</v>
      </c>
      <c r="AB49" s="30">
        <v>0</v>
      </c>
      <c r="AC49" s="149" t="str">
        <f t="shared" si="5"/>
        <v>a</v>
      </c>
      <c r="AD49" s="15"/>
      <c r="AE49" s="15"/>
      <c r="AF49" s="15"/>
    </row>
    <row r="50" spans="1:32" x14ac:dyDescent="0.2">
      <c r="A50" s="19">
        <f t="shared" si="2"/>
        <v>47</v>
      </c>
      <c r="B50" s="32" t="s">
        <v>5824</v>
      </c>
      <c r="C50" s="28">
        <v>377</v>
      </c>
      <c r="D50" s="28">
        <v>309</v>
      </c>
      <c r="E50" s="28">
        <v>21</v>
      </c>
      <c r="F50" s="28">
        <v>40</v>
      </c>
      <c r="G50" s="28">
        <v>316</v>
      </c>
      <c r="H50" s="28">
        <v>248</v>
      </c>
      <c r="I50" s="28">
        <v>76370</v>
      </c>
      <c r="J50" s="29">
        <v>4050</v>
      </c>
      <c r="K50" s="28">
        <v>15.6</v>
      </c>
      <c r="L50" s="29">
        <v>19710</v>
      </c>
      <c r="M50" s="29">
        <v>1280</v>
      </c>
      <c r="N50" s="28">
        <v>7.9</v>
      </c>
      <c r="O50" s="31">
        <f t="shared" si="6"/>
        <v>98.800000000000011</v>
      </c>
      <c r="P50" s="28">
        <v>27</v>
      </c>
      <c r="Q50" s="29">
        <v>2200</v>
      </c>
      <c r="R50" s="29">
        <f t="shared" si="1"/>
        <v>6283.333333333333</v>
      </c>
      <c r="S50" s="30">
        <f t="shared" si="3"/>
        <v>72.898636363636371</v>
      </c>
      <c r="T50" s="28">
        <v>254</v>
      </c>
      <c r="U50" s="28" t="str">
        <f t="shared" si="4"/>
        <v>a/b</v>
      </c>
      <c r="V50" s="28">
        <v>2360</v>
      </c>
      <c r="W50" s="31">
        <v>1510</v>
      </c>
      <c r="X50" s="31">
        <v>5584</v>
      </c>
      <c r="Y50" s="29">
        <v>3</v>
      </c>
      <c r="Z50" s="29">
        <v>1</v>
      </c>
      <c r="AA50" s="30" t="s">
        <v>241</v>
      </c>
      <c r="AB50" s="30">
        <v>0</v>
      </c>
      <c r="AC50" s="149" t="str">
        <f t="shared" si="5"/>
        <v>a0</v>
      </c>
      <c r="AD50" s="15"/>
      <c r="AE50" s="15"/>
      <c r="AF50" s="15"/>
    </row>
    <row r="51" spans="1:32" x14ac:dyDescent="0.2">
      <c r="A51" s="19">
        <f t="shared" si="2"/>
        <v>48</v>
      </c>
      <c r="B51" s="32" t="s">
        <v>5825</v>
      </c>
      <c r="C51" s="28">
        <v>395</v>
      </c>
      <c r="D51" s="28">
        <v>308</v>
      </c>
      <c r="E51" s="28">
        <v>21</v>
      </c>
      <c r="F51" s="28">
        <v>40</v>
      </c>
      <c r="G51" s="28">
        <v>319</v>
      </c>
      <c r="H51" s="28">
        <v>250</v>
      </c>
      <c r="I51" s="28">
        <v>84870</v>
      </c>
      <c r="J51" s="29">
        <v>4300</v>
      </c>
      <c r="K51" s="28">
        <v>16.3</v>
      </c>
      <c r="L51" s="29">
        <v>19520</v>
      </c>
      <c r="M51" s="29">
        <v>1270</v>
      </c>
      <c r="N51" s="28">
        <v>7.83</v>
      </c>
      <c r="O51" s="31">
        <f t="shared" si="6"/>
        <v>102.6</v>
      </c>
      <c r="P51" s="28">
        <v>27</v>
      </c>
      <c r="Q51" s="29">
        <v>2320</v>
      </c>
      <c r="R51" s="29">
        <f t="shared" si="1"/>
        <v>6507.6628352490425</v>
      </c>
      <c r="S51" s="30">
        <f t="shared" si="3"/>
        <v>76.821982758620692</v>
      </c>
      <c r="T51" s="28">
        <v>256</v>
      </c>
      <c r="U51" s="28" t="str">
        <f t="shared" si="4"/>
        <v>a/b</v>
      </c>
      <c r="V51" s="28">
        <v>2490</v>
      </c>
      <c r="W51" s="31">
        <v>1510</v>
      </c>
      <c r="X51" s="31">
        <v>6137</v>
      </c>
      <c r="Y51" s="29">
        <v>3</v>
      </c>
      <c r="Z51" s="29">
        <v>1</v>
      </c>
      <c r="AA51" s="30" t="s">
        <v>241</v>
      </c>
      <c r="AB51" s="30">
        <v>0</v>
      </c>
      <c r="AC51" s="149" t="str">
        <f t="shared" si="5"/>
        <v>a0</v>
      </c>
      <c r="AD51" s="15"/>
      <c r="AE51" s="15"/>
      <c r="AF51" s="15"/>
    </row>
    <row r="52" spans="1:32" x14ac:dyDescent="0.2">
      <c r="A52" s="19">
        <f t="shared" si="2"/>
        <v>49</v>
      </c>
      <c r="B52" s="32" t="s">
        <v>5826</v>
      </c>
      <c r="C52" s="28">
        <v>432</v>
      </c>
      <c r="D52" s="28">
        <v>307</v>
      </c>
      <c r="E52" s="28">
        <v>21</v>
      </c>
      <c r="F52" s="28">
        <v>40</v>
      </c>
      <c r="G52" s="28">
        <v>326</v>
      </c>
      <c r="H52" s="28">
        <v>256</v>
      </c>
      <c r="I52" s="28">
        <v>104100</v>
      </c>
      <c r="J52" s="29">
        <v>4820</v>
      </c>
      <c r="K52" s="28">
        <v>17.899999999999999</v>
      </c>
      <c r="L52" s="29">
        <v>19330</v>
      </c>
      <c r="M52" s="29">
        <v>1260</v>
      </c>
      <c r="N52" s="28">
        <v>7.7</v>
      </c>
      <c r="O52" s="31">
        <f t="shared" si="6"/>
        <v>110.4</v>
      </c>
      <c r="P52" s="28">
        <v>27</v>
      </c>
      <c r="Q52" s="29">
        <v>2550</v>
      </c>
      <c r="R52" s="29">
        <f t="shared" si="1"/>
        <v>6987.3825503355702</v>
      </c>
      <c r="S52" s="30">
        <f t="shared" si="3"/>
        <v>85.729411764705873</v>
      </c>
      <c r="T52" s="28">
        <v>262</v>
      </c>
      <c r="U52" s="28" t="str">
        <f t="shared" si="4"/>
        <v>a/b</v>
      </c>
      <c r="V52" s="28">
        <v>2790</v>
      </c>
      <c r="W52" s="31">
        <v>1510</v>
      </c>
      <c r="X52" s="31">
        <v>7410</v>
      </c>
      <c r="Y52" s="29">
        <v>3</v>
      </c>
      <c r="Z52" s="29">
        <v>1</v>
      </c>
      <c r="AA52" s="30" t="s">
        <v>241</v>
      </c>
      <c r="AB52" s="30">
        <v>0</v>
      </c>
      <c r="AC52" s="149" t="str">
        <f t="shared" si="5"/>
        <v>a0</v>
      </c>
      <c r="AD52" s="15"/>
      <c r="AE52" s="15"/>
      <c r="AF52" s="15"/>
    </row>
    <row r="53" spans="1:32" x14ac:dyDescent="0.2">
      <c r="A53" s="19">
        <f t="shared" si="2"/>
        <v>50</v>
      </c>
      <c r="B53" s="32" t="s">
        <v>5827</v>
      </c>
      <c r="C53" s="28">
        <v>478</v>
      </c>
      <c r="D53" s="28">
        <v>307</v>
      </c>
      <c r="E53" s="28">
        <v>21</v>
      </c>
      <c r="F53" s="28">
        <v>40</v>
      </c>
      <c r="G53" s="28">
        <v>335</v>
      </c>
      <c r="H53" s="28">
        <v>263</v>
      </c>
      <c r="I53" s="28">
        <v>131500</v>
      </c>
      <c r="J53" s="29">
        <v>5500</v>
      </c>
      <c r="K53" s="28">
        <v>19.8</v>
      </c>
      <c r="L53" s="29">
        <v>19340</v>
      </c>
      <c r="M53" s="29">
        <v>1260</v>
      </c>
      <c r="N53" s="28">
        <v>7.59</v>
      </c>
      <c r="O53" s="31">
        <f t="shared" si="6"/>
        <v>119.4</v>
      </c>
      <c r="P53" s="28">
        <v>27</v>
      </c>
      <c r="Q53" s="29">
        <v>2850</v>
      </c>
      <c r="R53" s="29">
        <f t="shared" si="1"/>
        <v>7642.4418604651164</v>
      </c>
      <c r="S53" s="30">
        <f t="shared" si="3"/>
        <v>96.89473684210526</v>
      </c>
      <c r="T53" s="28">
        <v>270</v>
      </c>
      <c r="U53" s="28" t="str">
        <f t="shared" si="4"/>
        <v>a/b</v>
      </c>
      <c r="V53" s="28">
        <v>3170</v>
      </c>
      <c r="W53" s="31">
        <v>1530</v>
      </c>
      <c r="X53" s="31">
        <v>9251</v>
      </c>
      <c r="Y53" s="29">
        <v>3</v>
      </c>
      <c r="Z53" s="29">
        <v>1</v>
      </c>
      <c r="AA53" s="30" t="s">
        <v>241</v>
      </c>
      <c r="AB53" s="30">
        <v>0</v>
      </c>
      <c r="AC53" s="149" t="str">
        <f t="shared" si="5"/>
        <v>a0</v>
      </c>
      <c r="AD53" s="15"/>
      <c r="AE53" s="15"/>
      <c r="AF53" s="15"/>
    </row>
    <row r="54" spans="1:32" x14ac:dyDescent="0.2">
      <c r="A54" s="19">
        <f t="shared" si="2"/>
        <v>51</v>
      </c>
      <c r="B54" s="32" t="s">
        <v>5828</v>
      </c>
      <c r="C54" s="28">
        <v>524</v>
      </c>
      <c r="D54" s="28">
        <v>306</v>
      </c>
      <c r="E54" s="28">
        <v>21</v>
      </c>
      <c r="F54" s="28">
        <v>40</v>
      </c>
      <c r="G54" s="28">
        <v>344</v>
      </c>
      <c r="H54" s="28">
        <v>270</v>
      </c>
      <c r="I54" s="28">
        <v>161900</v>
      </c>
      <c r="J54" s="29">
        <v>6180</v>
      </c>
      <c r="K54" s="28">
        <v>21.7</v>
      </c>
      <c r="L54" s="29">
        <v>19150</v>
      </c>
      <c r="M54" s="29">
        <v>1250</v>
      </c>
      <c r="N54" s="28">
        <v>7.46</v>
      </c>
      <c r="O54" s="31">
        <f t="shared" si="6"/>
        <v>129.19999999999999</v>
      </c>
      <c r="P54" s="28">
        <v>27</v>
      </c>
      <c r="Q54" s="29">
        <v>3150</v>
      </c>
      <c r="R54" s="29">
        <f t="shared" si="1"/>
        <v>8303.3846153846152</v>
      </c>
      <c r="S54" s="30">
        <f t="shared" si="3"/>
        <v>107.93333333333332</v>
      </c>
      <c r="T54" s="28">
        <v>277</v>
      </c>
      <c r="U54" s="28" t="str">
        <f t="shared" si="4"/>
        <v>a/b</v>
      </c>
      <c r="V54" s="28">
        <v>3550</v>
      </c>
      <c r="W54" s="31">
        <v>1540</v>
      </c>
      <c r="X54" s="31">
        <v>11190</v>
      </c>
      <c r="Y54" s="29">
        <v>3</v>
      </c>
      <c r="Z54" s="29">
        <v>1</v>
      </c>
      <c r="AA54" s="30" t="s">
        <v>241</v>
      </c>
      <c r="AB54" s="30">
        <v>0</v>
      </c>
      <c r="AC54" s="149" t="str">
        <f t="shared" si="5"/>
        <v>a0</v>
      </c>
      <c r="AD54" s="15"/>
      <c r="AE54" s="15"/>
      <c r="AF54" s="15"/>
    </row>
    <row r="55" spans="1:32" x14ac:dyDescent="0.2">
      <c r="A55" s="19">
        <f t="shared" si="2"/>
        <v>52</v>
      </c>
      <c r="B55" s="32" t="s">
        <v>5829</v>
      </c>
      <c r="C55" s="28">
        <v>572</v>
      </c>
      <c r="D55" s="28">
        <v>306</v>
      </c>
      <c r="E55" s="28">
        <v>21</v>
      </c>
      <c r="F55" s="28">
        <v>40</v>
      </c>
      <c r="G55" s="28">
        <v>354</v>
      </c>
      <c r="H55" s="28">
        <v>278</v>
      </c>
      <c r="I55" s="28">
        <v>198000</v>
      </c>
      <c r="J55" s="29">
        <v>6920</v>
      </c>
      <c r="K55" s="28">
        <v>23.6</v>
      </c>
      <c r="L55" s="29">
        <v>19160</v>
      </c>
      <c r="M55" s="29">
        <v>1250</v>
      </c>
      <c r="N55" s="28">
        <v>7.35</v>
      </c>
      <c r="O55" s="31">
        <f t="shared" si="6"/>
        <v>139.19999999999999</v>
      </c>
      <c r="P55" s="28">
        <v>27</v>
      </c>
      <c r="Q55" s="29">
        <v>3460</v>
      </c>
      <c r="R55" s="29">
        <f t="shared" si="1"/>
        <v>9037.0776255707769</v>
      </c>
      <c r="S55" s="30">
        <f t="shared" si="3"/>
        <v>120.17341040462426</v>
      </c>
      <c r="T55" s="28">
        <v>285</v>
      </c>
      <c r="U55" s="28" t="str">
        <f t="shared" si="4"/>
        <v>a/b</v>
      </c>
      <c r="V55" s="28">
        <v>3970</v>
      </c>
      <c r="W55" s="31">
        <v>1550</v>
      </c>
      <c r="X55" s="31">
        <v>13520</v>
      </c>
      <c r="Y55" s="29">
        <v>3</v>
      </c>
      <c r="Z55" s="29">
        <v>1</v>
      </c>
      <c r="AA55" s="30" t="s">
        <v>241</v>
      </c>
      <c r="AB55" s="30">
        <v>0</v>
      </c>
      <c r="AC55" s="149" t="str">
        <f t="shared" si="5"/>
        <v>a0</v>
      </c>
      <c r="AD55" s="15"/>
      <c r="AE55" s="15"/>
      <c r="AF55" s="15"/>
    </row>
    <row r="56" spans="1:32" x14ac:dyDescent="0.2">
      <c r="A56" s="19">
        <f t="shared" si="2"/>
        <v>53</v>
      </c>
      <c r="B56" s="32" t="s">
        <v>5830</v>
      </c>
      <c r="C56" s="28">
        <v>620</v>
      </c>
      <c r="D56" s="28">
        <v>305</v>
      </c>
      <c r="E56" s="28">
        <v>21</v>
      </c>
      <c r="F56" s="28">
        <v>40</v>
      </c>
      <c r="G56" s="28">
        <v>364</v>
      </c>
      <c r="H56" s="28">
        <v>285</v>
      </c>
      <c r="I56" s="28">
        <v>237400</v>
      </c>
      <c r="J56" s="29">
        <v>7660</v>
      </c>
      <c r="K56" s="28">
        <v>25.6</v>
      </c>
      <c r="L56" s="29">
        <v>18970</v>
      </c>
      <c r="M56" s="29">
        <v>1240</v>
      </c>
      <c r="N56" s="28">
        <v>7.22</v>
      </c>
      <c r="O56" s="31">
        <f t="shared" si="6"/>
        <v>150</v>
      </c>
      <c r="P56" s="28">
        <v>27</v>
      </c>
      <c r="Q56" s="29">
        <v>3770</v>
      </c>
      <c r="R56" s="29">
        <f t="shared" si="1"/>
        <v>9772.01646090535</v>
      </c>
      <c r="S56" s="30">
        <f t="shared" si="3"/>
        <v>132.23872679045093</v>
      </c>
      <c r="T56" s="28">
        <v>292</v>
      </c>
      <c r="U56" s="28" t="str">
        <f t="shared" si="4"/>
        <v>a/b</v>
      </c>
      <c r="V56" s="28">
        <v>4390</v>
      </c>
      <c r="W56" s="31">
        <v>1560</v>
      </c>
      <c r="X56" s="31">
        <v>15910</v>
      </c>
      <c r="Y56" s="29">
        <v>3</v>
      </c>
      <c r="Z56" s="29">
        <v>1</v>
      </c>
      <c r="AA56" s="30" t="s">
        <v>241</v>
      </c>
      <c r="AB56" s="30">
        <v>0</v>
      </c>
      <c r="AC56" s="149" t="str">
        <f t="shared" si="5"/>
        <v>a0</v>
      </c>
      <c r="AD56" s="15"/>
      <c r="AE56" s="15"/>
      <c r="AF56" s="15"/>
    </row>
    <row r="57" spans="1:32" x14ac:dyDescent="0.2">
      <c r="A57" s="19">
        <f t="shared" si="2"/>
        <v>54</v>
      </c>
      <c r="B57" s="32" t="s">
        <v>5831</v>
      </c>
      <c r="C57" s="28">
        <v>668</v>
      </c>
      <c r="D57" s="28">
        <v>305</v>
      </c>
      <c r="E57" s="28">
        <v>21</v>
      </c>
      <c r="F57" s="28">
        <v>40</v>
      </c>
      <c r="G57" s="28">
        <v>374</v>
      </c>
      <c r="H57" s="28">
        <v>293</v>
      </c>
      <c r="I57" s="28">
        <v>281700</v>
      </c>
      <c r="J57" s="29">
        <v>8430</v>
      </c>
      <c r="K57" s="28">
        <v>27.5</v>
      </c>
      <c r="L57" s="29">
        <v>18980</v>
      </c>
      <c r="M57" s="29">
        <v>1240</v>
      </c>
      <c r="N57" s="28">
        <v>7.13</v>
      </c>
      <c r="O57" s="31">
        <f t="shared" si="6"/>
        <v>160</v>
      </c>
      <c r="P57" s="28">
        <v>27</v>
      </c>
      <c r="Q57" s="29">
        <v>4080</v>
      </c>
      <c r="R57" s="29">
        <f t="shared" si="1"/>
        <v>10545.393258426966</v>
      </c>
      <c r="S57" s="30">
        <f t="shared" si="3"/>
        <v>144.99264705882354</v>
      </c>
      <c r="T57" s="28">
        <v>300</v>
      </c>
      <c r="U57" s="28" t="str">
        <f t="shared" si="4"/>
        <v>a/b</v>
      </c>
      <c r="V57" s="28">
        <v>4930</v>
      </c>
      <c r="W57" s="31">
        <v>1580</v>
      </c>
      <c r="X57" s="31">
        <v>18650</v>
      </c>
      <c r="Y57" s="29">
        <v>3</v>
      </c>
      <c r="Z57" s="29">
        <v>1</v>
      </c>
      <c r="AA57" s="30" t="s">
        <v>241</v>
      </c>
      <c r="AB57" s="30">
        <v>0</v>
      </c>
      <c r="AC57" s="149" t="str">
        <f t="shared" si="5"/>
        <v>a0</v>
      </c>
      <c r="AD57" s="15"/>
      <c r="AE57" s="15"/>
      <c r="AF57" s="15"/>
    </row>
    <row r="58" spans="1:32" x14ac:dyDescent="0.2">
      <c r="A58" s="19">
        <f t="shared" si="2"/>
        <v>55</v>
      </c>
      <c r="B58" s="32" t="s">
        <v>5832</v>
      </c>
      <c r="C58" s="28">
        <v>716</v>
      </c>
      <c r="D58" s="28">
        <v>304</v>
      </c>
      <c r="E58" s="28">
        <v>21</v>
      </c>
      <c r="F58" s="28">
        <v>40</v>
      </c>
      <c r="G58" s="28">
        <v>383</v>
      </c>
      <c r="H58" s="28">
        <v>301</v>
      </c>
      <c r="I58" s="28">
        <v>329300</v>
      </c>
      <c r="J58" s="29">
        <v>9200</v>
      </c>
      <c r="K58" s="28">
        <v>29.3</v>
      </c>
      <c r="L58" s="29">
        <v>18800</v>
      </c>
      <c r="M58" s="29">
        <v>1240</v>
      </c>
      <c r="N58" s="28">
        <v>7.01</v>
      </c>
      <c r="O58" s="31">
        <f t="shared" si="6"/>
        <v>169.8</v>
      </c>
      <c r="P58" s="28">
        <v>27</v>
      </c>
      <c r="Q58" s="29">
        <v>4380</v>
      </c>
      <c r="R58" s="29">
        <f t="shared" si="1"/>
        <v>11318.213058419244</v>
      </c>
      <c r="S58" s="30">
        <f t="shared" si="3"/>
        <v>157.88356164383561</v>
      </c>
      <c r="T58" s="28">
        <v>309</v>
      </c>
      <c r="U58" s="28" t="str">
        <f t="shared" si="4"/>
        <v>a/b</v>
      </c>
      <c r="V58" s="28">
        <v>5270</v>
      </c>
      <c r="W58" s="31">
        <v>1590</v>
      </c>
      <c r="X58" s="31">
        <v>21400</v>
      </c>
      <c r="Y58" s="29">
        <v>3</v>
      </c>
      <c r="Z58" s="29">
        <v>1</v>
      </c>
      <c r="AA58" s="30" t="s">
        <v>241</v>
      </c>
      <c r="AB58" s="30">
        <v>0</v>
      </c>
      <c r="AC58" s="149" t="str">
        <f t="shared" si="5"/>
        <v>a0</v>
      </c>
      <c r="AD58" s="15"/>
      <c r="AE58" s="15"/>
      <c r="AF58" s="15"/>
    </row>
    <row r="59" spans="1:32" x14ac:dyDescent="0.2">
      <c r="A59" s="19">
        <f t="shared" si="2"/>
        <v>56</v>
      </c>
      <c r="B59" s="32" t="s">
        <v>5833</v>
      </c>
      <c r="C59" s="28">
        <v>814</v>
      </c>
      <c r="D59" s="28">
        <v>303</v>
      </c>
      <c r="E59" s="28">
        <v>21</v>
      </c>
      <c r="F59" s="28">
        <v>40</v>
      </c>
      <c r="G59" s="28">
        <v>404</v>
      </c>
      <c r="H59" s="28">
        <v>317</v>
      </c>
      <c r="I59" s="28">
        <v>442600</v>
      </c>
      <c r="J59" s="29">
        <v>10870</v>
      </c>
      <c r="K59" s="28">
        <v>33.1</v>
      </c>
      <c r="L59" s="29">
        <v>18630</v>
      </c>
      <c r="M59" s="29">
        <v>1230</v>
      </c>
      <c r="N59" s="28">
        <v>6.79</v>
      </c>
      <c r="O59" s="31">
        <f t="shared" si="6"/>
        <v>194</v>
      </c>
      <c r="P59" s="28">
        <v>30</v>
      </c>
      <c r="Q59" s="29">
        <v>5050</v>
      </c>
      <c r="R59" s="29">
        <f t="shared" si="1"/>
        <v>13127.86350148368</v>
      </c>
      <c r="S59" s="30">
        <f t="shared" si="3"/>
        <v>184.05148514851484</v>
      </c>
      <c r="T59" s="28">
        <v>325</v>
      </c>
      <c r="U59" s="28" t="str">
        <f t="shared" si="4"/>
        <v>a/b</v>
      </c>
      <c r="V59" s="28">
        <v>6240</v>
      </c>
      <c r="W59" s="31">
        <v>1650</v>
      </c>
      <c r="X59" s="31">
        <v>27780</v>
      </c>
      <c r="Y59" s="29">
        <v>3</v>
      </c>
      <c r="Z59" s="29">
        <v>1</v>
      </c>
      <c r="AA59" s="30" t="s">
        <v>241</v>
      </c>
      <c r="AB59" s="30">
        <v>0</v>
      </c>
      <c r="AC59" s="149" t="str">
        <f t="shared" si="5"/>
        <v>a0</v>
      </c>
      <c r="AD59" s="15"/>
      <c r="AE59" s="15"/>
      <c r="AF59" s="15"/>
    </row>
    <row r="60" spans="1:32" x14ac:dyDescent="0.2">
      <c r="A60" s="19">
        <f t="shared" si="2"/>
        <v>57</v>
      </c>
      <c r="B60" s="32" t="s">
        <v>3183</v>
      </c>
      <c r="C60" s="28">
        <v>200</v>
      </c>
      <c r="D60" s="28">
        <v>100</v>
      </c>
      <c r="E60" s="28">
        <v>5.8</v>
      </c>
      <c r="F60" s="28">
        <v>8.5</v>
      </c>
      <c r="G60" s="28">
        <v>28.5</v>
      </c>
      <c r="H60" s="28">
        <v>22.4</v>
      </c>
      <c r="I60" s="28">
        <v>1940</v>
      </c>
      <c r="J60" s="29">
        <v>194</v>
      </c>
      <c r="K60" s="28">
        <v>8.26</v>
      </c>
      <c r="L60" s="29">
        <v>142</v>
      </c>
      <c r="M60" s="29">
        <v>28.5</v>
      </c>
      <c r="N60" s="28">
        <v>2.2400000000000002</v>
      </c>
      <c r="O60" s="31">
        <f>MAX(G60-2*D60*F60/100+(E60+2*P60)*F60/100,(C60-2*F60)*E60/100)</f>
        <v>14.032999999999999</v>
      </c>
      <c r="P60" s="28">
        <v>12</v>
      </c>
      <c r="Q60" s="29">
        <f>+F60*D60*(C60-F60)/2/1000+P60*E60*(C60-2*F60-2*P60)/2/1000+(2*P60)^2*(1-PI()/4)/4*(C60-2*P60-2*F60)/2/1000</f>
        <v>89.37746182542601</v>
      </c>
      <c r="R60" s="29">
        <f t="shared" si="1"/>
        <v>244.0251572327044</v>
      </c>
      <c r="S60" s="30">
        <f t="shared" si="3"/>
        <v>12.589303578543827</v>
      </c>
      <c r="T60" s="28">
        <f>+ROUND(H60*1.025,0)</f>
        <v>23</v>
      </c>
      <c r="U60" s="28" t="str">
        <f t="shared" si="4"/>
        <v>a/b</v>
      </c>
      <c r="V60" s="28">
        <v>110</v>
      </c>
      <c r="W60" s="31">
        <v>7.02</v>
      </c>
      <c r="X60" s="31">
        <v>13</v>
      </c>
      <c r="Y60" s="29">
        <v>4</v>
      </c>
      <c r="Z60" s="29">
        <v>1</v>
      </c>
      <c r="AA60" s="30" t="s">
        <v>241</v>
      </c>
      <c r="AB60" s="30">
        <v>0</v>
      </c>
      <c r="AC60" s="149" t="str">
        <f t="shared" si="5"/>
        <v>a0</v>
      </c>
      <c r="AD60" s="15"/>
      <c r="AE60" s="15"/>
      <c r="AF60" s="15"/>
    </row>
    <row r="61" spans="1:32" x14ac:dyDescent="0.2">
      <c r="A61" s="19">
        <f t="shared" si="2"/>
        <v>58</v>
      </c>
      <c r="B61" s="32" t="s">
        <v>3184</v>
      </c>
      <c r="C61" s="28">
        <v>220</v>
      </c>
      <c r="D61" s="28">
        <v>110</v>
      </c>
      <c r="E61" s="28">
        <v>5.9</v>
      </c>
      <c r="F61" s="28">
        <v>9.1999999999999993</v>
      </c>
      <c r="G61" s="28">
        <v>33.4</v>
      </c>
      <c r="H61" s="28">
        <v>26.2</v>
      </c>
      <c r="I61" s="28">
        <v>2770</v>
      </c>
      <c r="J61" s="29">
        <v>252</v>
      </c>
      <c r="K61" s="28">
        <v>9.11</v>
      </c>
      <c r="L61" s="29">
        <v>205</v>
      </c>
      <c r="M61" s="29">
        <v>37.299999999999997</v>
      </c>
      <c r="N61" s="28">
        <v>2.48</v>
      </c>
      <c r="O61" s="31">
        <f t="shared" si="6"/>
        <v>15.9108</v>
      </c>
      <c r="P61" s="28">
        <v>12</v>
      </c>
      <c r="Q61" s="29">
        <f>+F61*D61*(C61-F61)/2/1000+P61*E61*(C61-2*F61-2*P61)/2/1000+(2*P61)^2*(1-PI()/4)/4*(C61-2*P61-2*F61)/2/1000</f>
        <v>115.69599660500414</v>
      </c>
      <c r="R61" s="29">
        <f t="shared" si="1"/>
        <v>312.16216216216219</v>
      </c>
      <c r="S61" s="30">
        <f t="shared" si="3"/>
        <v>14.12581288857935</v>
      </c>
      <c r="T61" s="28">
        <f>+ROUND(H61*1.025,0)</f>
        <v>27</v>
      </c>
      <c r="U61" s="28" t="str">
        <f t="shared" si="4"/>
        <v>a/b</v>
      </c>
      <c r="V61" s="28">
        <v>143</v>
      </c>
      <c r="W61" s="31">
        <v>9.1</v>
      </c>
      <c r="X61" s="31">
        <v>22.7</v>
      </c>
      <c r="Y61" s="29">
        <v>4</v>
      </c>
      <c r="Z61" s="29">
        <v>1</v>
      </c>
      <c r="AA61" s="30" t="s">
        <v>241</v>
      </c>
      <c r="AB61" s="30">
        <v>0</v>
      </c>
      <c r="AC61" s="149" t="str">
        <f t="shared" si="5"/>
        <v>a0</v>
      </c>
      <c r="AD61" s="15"/>
      <c r="AE61" s="15"/>
      <c r="AF61" s="15"/>
    </row>
    <row r="62" spans="1:32" x14ac:dyDescent="0.2">
      <c r="A62" s="19">
        <f t="shared" si="2"/>
        <v>59</v>
      </c>
      <c r="B62" s="32" t="s">
        <v>5836</v>
      </c>
      <c r="C62" s="28">
        <v>240</v>
      </c>
      <c r="D62" s="28">
        <v>120</v>
      </c>
      <c r="E62" s="28">
        <v>6.2</v>
      </c>
      <c r="F62" s="28">
        <v>9.8000000000000007</v>
      </c>
      <c r="G62" s="28">
        <v>39.1</v>
      </c>
      <c r="H62" s="28">
        <v>30.7</v>
      </c>
      <c r="I62" s="28">
        <v>3890</v>
      </c>
      <c r="J62" s="29">
        <v>324</v>
      </c>
      <c r="K62" s="28">
        <v>9.9700000000000006</v>
      </c>
      <c r="L62" s="29">
        <v>284</v>
      </c>
      <c r="M62" s="29">
        <v>47.3</v>
      </c>
      <c r="N62" s="28">
        <v>2.69</v>
      </c>
      <c r="O62" s="31">
        <f t="shared" si="6"/>
        <v>19.127600000000001</v>
      </c>
      <c r="P62" s="28">
        <v>15</v>
      </c>
      <c r="Q62" s="29">
        <v>155</v>
      </c>
      <c r="R62" s="29">
        <f t="shared" si="1"/>
        <v>408.40336134453781</v>
      </c>
      <c r="S62" s="30">
        <f t="shared" si="3"/>
        <v>15.559999999999999</v>
      </c>
      <c r="T62" s="28">
        <v>31.5</v>
      </c>
      <c r="U62" s="28" t="str">
        <f t="shared" si="4"/>
        <v>a/b</v>
      </c>
      <c r="V62" s="28">
        <v>183</v>
      </c>
      <c r="W62" s="31">
        <v>12.9</v>
      </c>
      <c r="X62" s="31">
        <v>37.39</v>
      </c>
      <c r="Y62" s="29">
        <v>4</v>
      </c>
      <c r="Z62" s="29">
        <v>1</v>
      </c>
      <c r="AA62" s="30" t="s">
        <v>241</v>
      </c>
      <c r="AB62" s="30">
        <v>0</v>
      </c>
      <c r="AC62" s="149" t="str">
        <f t="shared" si="5"/>
        <v>a0</v>
      </c>
      <c r="AD62" s="15"/>
      <c r="AE62" s="15"/>
      <c r="AF62" s="15"/>
    </row>
    <row r="63" spans="1:32" x14ac:dyDescent="0.2">
      <c r="A63" s="19">
        <f t="shared" si="2"/>
        <v>60</v>
      </c>
      <c r="B63" s="32" t="s">
        <v>5837</v>
      </c>
      <c r="C63" s="28">
        <v>270</v>
      </c>
      <c r="D63" s="28">
        <v>135</v>
      </c>
      <c r="E63" s="28">
        <v>6.6</v>
      </c>
      <c r="F63" s="28">
        <v>10.199999999999999</v>
      </c>
      <c r="G63" s="28">
        <v>45.9</v>
      </c>
      <c r="H63" s="28">
        <v>36.1</v>
      </c>
      <c r="I63" s="28">
        <v>5790</v>
      </c>
      <c r="J63" s="29">
        <v>429</v>
      </c>
      <c r="K63" s="28">
        <v>11.2</v>
      </c>
      <c r="L63" s="29">
        <v>420</v>
      </c>
      <c r="M63" s="29">
        <v>62.2</v>
      </c>
      <c r="N63" s="28">
        <v>3.02</v>
      </c>
      <c r="O63" s="31">
        <f t="shared" si="6"/>
        <v>22.0932</v>
      </c>
      <c r="P63" s="28">
        <v>15</v>
      </c>
      <c r="Q63" s="29">
        <v>202</v>
      </c>
      <c r="R63" s="29">
        <f t="shared" si="1"/>
        <v>527.45901639344265</v>
      </c>
      <c r="S63" s="30">
        <f t="shared" si="3"/>
        <v>18.917821782178216</v>
      </c>
      <c r="T63" s="28">
        <v>37</v>
      </c>
      <c r="U63" s="28" t="str">
        <f t="shared" si="4"/>
        <v>a/b</v>
      </c>
      <c r="V63" s="28">
        <v>242</v>
      </c>
      <c r="W63" s="31">
        <v>15.9</v>
      </c>
      <c r="X63" s="31">
        <v>70.58</v>
      </c>
      <c r="Y63" s="29">
        <v>4</v>
      </c>
      <c r="Z63" s="29">
        <v>1</v>
      </c>
      <c r="AA63" s="30" t="s">
        <v>241</v>
      </c>
      <c r="AB63" s="30">
        <v>0</v>
      </c>
      <c r="AC63" s="149" t="str">
        <f t="shared" si="5"/>
        <v>a0</v>
      </c>
      <c r="AD63" s="15"/>
      <c r="AE63" s="15"/>
      <c r="AF63" s="15"/>
    </row>
    <row r="64" spans="1:32" x14ac:dyDescent="0.2">
      <c r="A64" s="19">
        <f t="shared" si="2"/>
        <v>61</v>
      </c>
      <c r="B64" s="32" t="s">
        <v>5838</v>
      </c>
      <c r="C64" s="28">
        <v>300</v>
      </c>
      <c r="D64" s="28">
        <v>150</v>
      </c>
      <c r="E64" s="28">
        <v>7.1</v>
      </c>
      <c r="F64" s="28">
        <v>10.7</v>
      </c>
      <c r="G64" s="28">
        <v>53.8</v>
      </c>
      <c r="H64" s="28">
        <v>42.2</v>
      </c>
      <c r="I64" s="28">
        <v>8360</v>
      </c>
      <c r="J64" s="29">
        <v>557</v>
      </c>
      <c r="K64" s="28">
        <v>12.5</v>
      </c>
      <c r="L64" s="29">
        <v>604</v>
      </c>
      <c r="M64" s="29">
        <v>80.5</v>
      </c>
      <c r="N64" s="28">
        <v>3.35</v>
      </c>
      <c r="O64" s="31">
        <f t="shared" si="6"/>
        <v>25.669699999999995</v>
      </c>
      <c r="P64" s="28">
        <v>15</v>
      </c>
      <c r="Q64" s="29">
        <v>259</v>
      </c>
      <c r="R64" s="29">
        <f t="shared" si="1"/>
        <v>672.16411906677399</v>
      </c>
      <c r="S64" s="30">
        <f t="shared" si="3"/>
        <v>22.917374517374519</v>
      </c>
      <c r="T64" s="28">
        <v>43</v>
      </c>
      <c r="U64" s="28" t="str">
        <f t="shared" si="4"/>
        <v>a/b</v>
      </c>
      <c r="V64" s="28">
        <v>314</v>
      </c>
      <c r="W64" s="31">
        <v>20.100000000000001</v>
      </c>
      <c r="X64" s="31">
        <v>125.9</v>
      </c>
      <c r="Y64" s="29">
        <v>4</v>
      </c>
      <c r="Z64" s="29">
        <v>1</v>
      </c>
      <c r="AA64" s="30" t="s">
        <v>241</v>
      </c>
      <c r="AB64" s="30">
        <v>0</v>
      </c>
      <c r="AC64" s="149" t="str">
        <f t="shared" si="5"/>
        <v>a0</v>
      </c>
      <c r="AD64" s="15"/>
      <c r="AE64" s="15"/>
      <c r="AF64" s="15"/>
    </row>
    <row r="65" spans="1:32" x14ac:dyDescent="0.2">
      <c r="A65" s="19">
        <f t="shared" si="2"/>
        <v>62</v>
      </c>
      <c r="B65" s="32" t="s">
        <v>5839</v>
      </c>
      <c r="C65" s="28">
        <v>330</v>
      </c>
      <c r="D65" s="28">
        <v>160</v>
      </c>
      <c r="E65" s="28">
        <v>7.5</v>
      </c>
      <c r="F65" s="28">
        <v>11.5</v>
      </c>
      <c r="G65" s="28">
        <v>62.6</v>
      </c>
      <c r="H65" s="28">
        <v>49.1</v>
      </c>
      <c r="I65" s="28">
        <v>11770</v>
      </c>
      <c r="J65" s="29">
        <v>713</v>
      </c>
      <c r="K65" s="28">
        <v>13.7</v>
      </c>
      <c r="L65" s="29">
        <v>788</v>
      </c>
      <c r="M65" s="29">
        <v>98.5</v>
      </c>
      <c r="N65" s="28">
        <v>3.55</v>
      </c>
      <c r="O65" s="31">
        <f t="shared" si="6"/>
        <v>30.802500000000006</v>
      </c>
      <c r="P65" s="28">
        <v>18</v>
      </c>
      <c r="Q65" s="29">
        <v>333</v>
      </c>
      <c r="R65" s="29">
        <f t="shared" si="1"/>
        <v>868.22878228782292</v>
      </c>
      <c r="S65" s="30">
        <f t="shared" si="3"/>
        <v>26.509009009009009</v>
      </c>
      <c r="T65" s="28">
        <v>50.4</v>
      </c>
      <c r="U65" s="28" t="str">
        <f t="shared" si="4"/>
        <v>a/b</v>
      </c>
      <c r="V65" s="28">
        <v>402</v>
      </c>
      <c r="W65" s="31">
        <v>28.1</v>
      </c>
      <c r="X65" s="31">
        <v>199.1</v>
      </c>
      <c r="Y65" s="29">
        <v>4</v>
      </c>
      <c r="Z65" s="29">
        <v>1</v>
      </c>
      <c r="AA65" s="30" t="s">
        <v>241</v>
      </c>
      <c r="AB65" s="30">
        <v>0</v>
      </c>
      <c r="AC65" s="149" t="str">
        <f t="shared" si="5"/>
        <v>a0</v>
      </c>
      <c r="AD65" s="15"/>
      <c r="AE65" s="15"/>
      <c r="AF65" s="15"/>
    </row>
    <row r="66" spans="1:32" x14ac:dyDescent="0.2">
      <c r="A66" s="19">
        <f t="shared" si="2"/>
        <v>63</v>
      </c>
      <c r="B66" s="32" t="s">
        <v>5840</v>
      </c>
      <c r="C66" s="28">
        <v>360</v>
      </c>
      <c r="D66" s="28">
        <v>170</v>
      </c>
      <c r="E66" s="28">
        <v>8</v>
      </c>
      <c r="F66" s="28">
        <v>12.7</v>
      </c>
      <c r="G66" s="28">
        <v>72.7</v>
      </c>
      <c r="H66" s="28">
        <v>57.1</v>
      </c>
      <c r="I66" s="28">
        <v>16270</v>
      </c>
      <c r="J66" s="29">
        <v>904</v>
      </c>
      <c r="K66" s="28">
        <v>15</v>
      </c>
      <c r="L66" s="29">
        <v>1040</v>
      </c>
      <c r="M66" s="29">
        <v>123</v>
      </c>
      <c r="N66" s="28">
        <v>3.79</v>
      </c>
      <c r="O66" s="31">
        <f t="shared" si="6"/>
        <v>35.108000000000004</v>
      </c>
      <c r="P66" s="28">
        <v>18</v>
      </c>
      <c r="Q66" s="29">
        <v>420</v>
      </c>
      <c r="R66" s="29">
        <f t="shared" si="1"/>
        <v>1089.8861352980575</v>
      </c>
      <c r="S66" s="30">
        <f t="shared" si="3"/>
        <v>30.990476190476194</v>
      </c>
      <c r="T66" s="28">
        <v>58.6</v>
      </c>
      <c r="U66" s="28" t="str">
        <f t="shared" si="4"/>
        <v>a/b</v>
      </c>
      <c r="V66" s="28">
        <v>510</v>
      </c>
      <c r="W66" s="31">
        <v>37.299999999999997</v>
      </c>
      <c r="X66" s="31">
        <v>313.60000000000002</v>
      </c>
      <c r="Y66" s="29">
        <v>4</v>
      </c>
      <c r="Z66" s="29">
        <v>1</v>
      </c>
      <c r="AA66" s="30" t="s">
        <v>241</v>
      </c>
      <c r="AB66" s="30">
        <v>0</v>
      </c>
      <c r="AC66" s="149" t="str">
        <f t="shared" si="5"/>
        <v>a0</v>
      </c>
      <c r="AD66" s="15"/>
      <c r="AE66" s="15"/>
      <c r="AF66" s="15"/>
    </row>
    <row r="67" spans="1:32" x14ac:dyDescent="0.2">
      <c r="A67" s="19">
        <f t="shared" si="2"/>
        <v>64</v>
      </c>
      <c r="B67" s="32" t="s">
        <v>5841</v>
      </c>
      <c r="C67" s="28">
        <v>400</v>
      </c>
      <c r="D67" s="28">
        <v>180</v>
      </c>
      <c r="E67" s="28">
        <v>8.6</v>
      </c>
      <c r="F67" s="28">
        <v>13.5</v>
      </c>
      <c r="G67" s="28">
        <v>84.5</v>
      </c>
      <c r="H67" s="28">
        <v>66.3</v>
      </c>
      <c r="I67" s="28">
        <v>23130</v>
      </c>
      <c r="J67" s="29">
        <v>1160</v>
      </c>
      <c r="K67" s="28">
        <v>16.5</v>
      </c>
      <c r="L67" s="29">
        <v>1320</v>
      </c>
      <c r="M67" s="29">
        <v>146</v>
      </c>
      <c r="N67" s="28">
        <v>3.95</v>
      </c>
      <c r="O67" s="31">
        <f t="shared" si="6"/>
        <v>42.731000000000002</v>
      </c>
      <c r="P67" s="28">
        <v>21</v>
      </c>
      <c r="Q67" s="29">
        <v>536</v>
      </c>
      <c r="R67" s="29">
        <f t="shared" si="1"/>
        <v>1401.8126888217523</v>
      </c>
      <c r="S67" s="30">
        <f t="shared" si="3"/>
        <v>37.111567164179107</v>
      </c>
      <c r="T67" s="28">
        <v>68</v>
      </c>
      <c r="U67" s="28" t="str">
        <f t="shared" si="4"/>
        <v>a/b</v>
      </c>
      <c r="V67" s="28">
        <v>654</v>
      </c>
      <c r="W67" s="31">
        <v>51.1</v>
      </c>
      <c r="X67" s="31">
        <v>490</v>
      </c>
      <c r="Y67" s="29">
        <v>4</v>
      </c>
      <c r="Z67" s="29">
        <v>1</v>
      </c>
      <c r="AA67" s="30" t="s">
        <v>241</v>
      </c>
      <c r="AB67" s="30">
        <v>0</v>
      </c>
      <c r="AC67" s="149" t="str">
        <f t="shared" si="5"/>
        <v>a0</v>
      </c>
      <c r="AD67" s="15"/>
      <c r="AE67" s="15"/>
      <c r="AF67" s="15"/>
    </row>
    <row r="68" spans="1:32" x14ac:dyDescent="0.2">
      <c r="A68" s="19">
        <f t="shared" si="2"/>
        <v>65</v>
      </c>
      <c r="B68" s="32" t="s">
        <v>5842</v>
      </c>
      <c r="C68" s="28">
        <v>450</v>
      </c>
      <c r="D68" s="28">
        <v>190</v>
      </c>
      <c r="E68" s="28">
        <v>9.4</v>
      </c>
      <c r="F68" s="28">
        <v>14.6</v>
      </c>
      <c r="G68" s="28">
        <v>98.8</v>
      </c>
      <c r="H68" s="28">
        <v>77.599999999999994</v>
      </c>
      <c r="I68" s="28">
        <v>33740</v>
      </c>
      <c r="J68" s="29">
        <v>1500</v>
      </c>
      <c r="K68" s="28">
        <v>18.5</v>
      </c>
      <c r="L68" s="29">
        <v>1680</v>
      </c>
      <c r="M68" s="29">
        <v>176</v>
      </c>
      <c r="N68" s="28">
        <v>4.12</v>
      </c>
      <c r="O68" s="31">
        <f t="shared" si="6"/>
        <v>50.824399999999997</v>
      </c>
      <c r="P68" s="28">
        <v>21</v>
      </c>
      <c r="Q68" s="29">
        <v>682</v>
      </c>
      <c r="R68" s="29">
        <f t="shared" ref="R68:R131" si="7">+J68*C68/(C68-2*(F68+P68))</f>
        <v>1781.9429778247095</v>
      </c>
      <c r="S68" s="30">
        <f t="shared" ref="S68:S131" si="8">+I68*E68/Q68/10</f>
        <v>46.503812316715546</v>
      </c>
      <c r="T68" s="28">
        <v>80</v>
      </c>
      <c r="U68" s="28" t="str">
        <f t="shared" si="4"/>
        <v>a/b</v>
      </c>
      <c r="V68" s="28">
        <v>851</v>
      </c>
      <c r="W68" s="31">
        <v>66.900000000000006</v>
      </c>
      <c r="X68" s="31">
        <v>791</v>
      </c>
      <c r="Y68" s="29">
        <v>4</v>
      </c>
      <c r="Z68" s="29">
        <v>1</v>
      </c>
      <c r="AA68" s="30" t="s">
        <v>241</v>
      </c>
      <c r="AB68" s="30">
        <v>0</v>
      </c>
      <c r="AC68" s="149" t="str">
        <f t="shared" si="5"/>
        <v>a0</v>
      </c>
      <c r="AD68" s="15"/>
      <c r="AE68" s="15"/>
      <c r="AF68" s="15"/>
    </row>
    <row r="69" spans="1:32" x14ac:dyDescent="0.2">
      <c r="A69" s="19">
        <f t="shared" ref="A69:A132" si="9">+A68+1</f>
        <v>66</v>
      </c>
      <c r="B69" s="32" t="s">
        <v>5843</v>
      </c>
      <c r="C69" s="28">
        <v>500</v>
      </c>
      <c r="D69" s="28">
        <v>200</v>
      </c>
      <c r="E69" s="28">
        <v>10.199999999999999</v>
      </c>
      <c r="F69" s="28">
        <v>16</v>
      </c>
      <c r="G69" s="28">
        <v>116</v>
      </c>
      <c r="H69" s="28">
        <v>90.7</v>
      </c>
      <c r="I69" s="28">
        <v>48200</v>
      </c>
      <c r="J69" s="29">
        <v>1930</v>
      </c>
      <c r="K69" s="28">
        <v>20.399999999999999</v>
      </c>
      <c r="L69" s="29">
        <v>2140</v>
      </c>
      <c r="M69" s="29">
        <v>214</v>
      </c>
      <c r="N69" s="28">
        <v>4.3099999999999996</v>
      </c>
      <c r="O69" s="31">
        <f t="shared" si="6"/>
        <v>60.352000000000004</v>
      </c>
      <c r="P69" s="28">
        <v>21</v>
      </c>
      <c r="Q69" s="29">
        <v>866</v>
      </c>
      <c r="R69" s="29">
        <f t="shared" si="7"/>
        <v>2265.2582159624412</v>
      </c>
      <c r="S69" s="30">
        <f t="shared" si="8"/>
        <v>56.771362586605072</v>
      </c>
      <c r="T69" s="28">
        <v>93</v>
      </c>
      <c r="U69" s="28" t="str">
        <f t="shared" ref="U69:U132" si="10">IF(AA69="H",IF(C69/D69&gt;1.2,IF(F69&lt;=40,"a/b","b/c"),IF(F69&lt;=100,"b/c","d/d")),IF(AA69="U","c/c","Scheiss"))</f>
        <v>a/b</v>
      </c>
      <c r="V69" s="28">
        <v>1100</v>
      </c>
      <c r="W69" s="31">
        <v>89.3</v>
      </c>
      <c r="X69" s="31">
        <v>1249</v>
      </c>
      <c r="Y69" s="29">
        <v>4</v>
      </c>
      <c r="Z69" s="29">
        <v>1</v>
      </c>
      <c r="AA69" s="30" t="s">
        <v>241</v>
      </c>
      <c r="AB69" s="30">
        <v>0</v>
      </c>
      <c r="AC69" s="149" t="str">
        <f t="shared" ref="AC69:AC132" si="11">IF(AA69="H",IF(U69="a/b","a0",IF(U69="b/c","a","c")),IF(AA69="U","c","Scheiss"))</f>
        <v>a0</v>
      </c>
      <c r="AD69" s="15"/>
      <c r="AE69" s="15"/>
      <c r="AF69" s="15"/>
    </row>
    <row r="70" spans="1:32" x14ac:dyDescent="0.2">
      <c r="A70" s="19">
        <f t="shared" si="9"/>
        <v>67</v>
      </c>
      <c r="B70" s="32" t="s">
        <v>5844</v>
      </c>
      <c r="C70" s="28">
        <v>550</v>
      </c>
      <c r="D70" s="28">
        <v>210</v>
      </c>
      <c r="E70" s="28">
        <v>11.1</v>
      </c>
      <c r="F70" s="28">
        <v>17.2</v>
      </c>
      <c r="G70" s="28">
        <v>134</v>
      </c>
      <c r="H70" s="28">
        <v>106</v>
      </c>
      <c r="I70" s="28">
        <v>67120</v>
      </c>
      <c r="J70" s="29">
        <v>2440</v>
      </c>
      <c r="K70" s="28">
        <v>22.3</v>
      </c>
      <c r="L70" s="29">
        <v>2670</v>
      </c>
      <c r="M70" s="29">
        <v>254</v>
      </c>
      <c r="N70" s="28">
        <v>4.45</v>
      </c>
      <c r="O70" s="31">
        <f t="shared" ref="O70:O71" si="12">MAX(G70-2*D70*F70/100+(E70+2*P70)*F70/100,(C70-2*F70)*E70/100)</f>
        <v>71.925200000000004</v>
      </c>
      <c r="P70" s="28">
        <v>24</v>
      </c>
      <c r="Q70" s="29">
        <v>1090</v>
      </c>
      <c r="R70" s="29">
        <f t="shared" si="7"/>
        <v>2869.9743370402052</v>
      </c>
      <c r="S70" s="30">
        <f t="shared" si="8"/>
        <v>68.35155963302752</v>
      </c>
      <c r="T70" s="28">
        <v>109</v>
      </c>
      <c r="U70" s="28" t="str">
        <f t="shared" si="10"/>
        <v>a/b</v>
      </c>
      <c r="V70" s="28">
        <v>1390</v>
      </c>
      <c r="W70" s="31">
        <v>123</v>
      </c>
      <c r="X70" s="31">
        <v>1884</v>
      </c>
      <c r="Y70" s="29">
        <v>4</v>
      </c>
      <c r="Z70" s="29">
        <v>1</v>
      </c>
      <c r="AA70" s="30" t="s">
        <v>241</v>
      </c>
      <c r="AB70" s="30">
        <v>0</v>
      </c>
      <c r="AC70" s="149" t="str">
        <f t="shared" si="11"/>
        <v>a0</v>
      </c>
      <c r="AD70" s="15"/>
      <c r="AE70" s="15"/>
      <c r="AF70" s="15"/>
    </row>
    <row r="71" spans="1:32" x14ac:dyDescent="0.2">
      <c r="A71" s="19">
        <f t="shared" si="9"/>
        <v>68</v>
      </c>
      <c r="B71" s="32" t="s">
        <v>5845</v>
      </c>
      <c r="C71" s="28">
        <v>600</v>
      </c>
      <c r="D71" s="28">
        <v>220</v>
      </c>
      <c r="E71" s="28">
        <v>12</v>
      </c>
      <c r="F71" s="28">
        <v>19</v>
      </c>
      <c r="G71" s="28">
        <v>156</v>
      </c>
      <c r="H71" s="28">
        <v>122</v>
      </c>
      <c r="I71" s="28">
        <v>92080</v>
      </c>
      <c r="J71" s="29">
        <v>3070</v>
      </c>
      <c r="K71" s="28">
        <v>24.3</v>
      </c>
      <c r="L71" s="29">
        <v>3390</v>
      </c>
      <c r="M71" s="29">
        <v>308</v>
      </c>
      <c r="N71" s="28">
        <v>4.66</v>
      </c>
      <c r="O71" s="31">
        <f t="shared" si="12"/>
        <v>83.800000000000011</v>
      </c>
      <c r="P71" s="28">
        <v>24</v>
      </c>
      <c r="Q71" s="29">
        <v>1360</v>
      </c>
      <c r="R71" s="29">
        <f t="shared" si="7"/>
        <v>3583.6575875486383</v>
      </c>
      <c r="S71" s="30">
        <f t="shared" si="8"/>
        <v>81.247058823529414</v>
      </c>
      <c r="T71" s="28">
        <v>125</v>
      </c>
      <c r="U71" s="28" t="str">
        <f t="shared" si="10"/>
        <v>a/b</v>
      </c>
      <c r="V71" s="28">
        <v>1760</v>
      </c>
      <c r="W71" s="31">
        <v>165</v>
      </c>
      <c r="X71" s="31">
        <v>2846</v>
      </c>
      <c r="Y71" s="29">
        <v>4</v>
      </c>
      <c r="Z71" s="29">
        <v>1</v>
      </c>
      <c r="AA71" s="30" t="s">
        <v>241</v>
      </c>
      <c r="AB71" s="30">
        <v>0</v>
      </c>
      <c r="AC71" s="149" t="str">
        <f t="shared" si="11"/>
        <v>a0</v>
      </c>
      <c r="AD71" s="15"/>
      <c r="AE71" s="15"/>
      <c r="AF71" s="15"/>
    </row>
    <row r="72" spans="1:32" x14ac:dyDescent="0.2">
      <c r="A72" s="19">
        <f t="shared" si="9"/>
        <v>69</v>
      </c>
      <c r="B72" s="32" t="s">
        <v>5846</v>
      </c>
      <c r="C72" s="28">
        <v>240</v>
      </c>
      <c r="D72" s="28">
        <v>85</v>
      </c>
      <c r="E72" s="28">
        <v>9.5</v>
      </c>
      <c r="F72" s="28">
        <v>13</v>
      </c>
      <c r="G72" s="28">
        <v>42.3</v>
      </c>
      <c r="H72" s="28">
        <v>33.200000000000003</v>
      </c>
      <c r="I72" s="28">
        <v>3600</v>
      </c>
      <c r="J72" s="29">
        <v>300</v>
      </c>
      <c r="K72" s="28">
        <v>9.2200000000000006</v>
      </c>
      <c r="L72" s="29">
        <v>248</v>
      </c>
      <c r="M72" s="29">
        <v>39.6</v>
      </c>
      <c r="N72" s="28">
        <v>2.42</v>
      </c>
      <c r="O72" s="31">
        <f>G72-2*D72*F72/100+(E72+P72)/10</f>
        <v>22.449999999999996</v>
      </c>
      <c r="P72" s="28">
        <f t="shared" ref="P72:P85" si="13">+F72</f>
        <v>13</v>
      </c>
      <c r="Q72" s="29">
        <v>139</v>
      </c>
      <c r="R72" s="29">
        <f t="shared" si="7"/>
        <v>382.97872340425533</v>
      </c>
      <c r="S72" s="30">
        <f t="shared" si="8"/>
        <v>24.60431654676259</v>
      </c>
      <c r="T72" s="28">
        <v>34</v>
      </c>
      <c r="U72" s="28" t="str">
        <f t="shared" si="10"/>
        <v>c/c</v>
      </c>
      <c r="V72" s="28">
        <v>179</v>
      </c>
      <c r="W72" s="31">
        <v>19.7</v>
      </c>
      <c r="X72" s="31">
        <v>22.1</v>
      </c>
      <c r="Y72" s="29">
        <v>5</v>
      </c>
      <c r="Z72" s="29">
        <v>2</v>
      </c>
      <c r="AA72" s="30" t="s">
        <v>1434</v>
      </c>
      <c r="AB72" s="157">
        <v>2.23</v>
      </c>
      <c r="AC72" s="149" t="str">
        <f t="shared" si="11"/>
        <v>c</v>
      </c>
      <c r="AD72" s="15"/>
      <c r="AE72" s="15"/>
      <c r="AF72" s="15"/>
    </row>
    <row r="73" spans="1:32" x14ac:dyDescent="0.2">
      <c r="A73" s="19">
        <f t="shared" si="9"/>
        <v>70</v>
      </c>
      <c r="B73" s="32" t="s">
        <v>5847</v>
      </c>
      <c r="C73" s="28">
        <v>260</v>
      </c>
      <c r="D73" s="28">
        <v>90</v>
      </c>
      <c r="E73" s="28">
        <v>10</v>
      </c>
      <c r="F73" s="28">
        <v>14</v>
      </c>
      <c r="G73" s="28">
        <v>48.3</v>
      </c>
      <c r="H73" s="28">
        <v>37.9</v>
      </c>
      <c r="I73" s="28">
        <v>4820</v>
      </c>
      <c r="J73" s="29">
        <v>371</v>
      </c>
      <c r="K73" s="28">
        <v>9.99</v>
      </c>
      <c r="L73" s="29">
        <v>317</v>
      </c>
      <c r="M73" s="29">
        <v>47.7</v>
      </c>
      <c r="N73" s="28">
        <v>2.56</v>
      </c>
      <c r="O73" s="31">
        <f>G73-2*D73*F73/100+(E73+P73)/10</f>
        <v>25.499999999999996</v>
      </c>
      <c r="P73" s="28">
        <f t="shared" si="13"/>
        <v>14</v>
      </c>
      <c r="Q73" s="29">
        <v>171</v>
      </c>
      <c r="R73" s="29">
        <f t="shared" si="7"/>
        <v>472.84313725490193</v>
      </c>
      <c r="S73" s="30">
        <f t="shared" si="8"/>
        <v>28.187134502923975</v>
      </c>
      <c r="T73" s="28">
        <v>39</v>
      </c>
      <c r="U73" s="28" t="str">
        <f t="shared" si="10"/>
        <v>c/c</v>
      </c>
      <c r="V73" s="28">
        <v>221</v>
      </c>
      <c r="W73" s="31">
        <v>25.5</v>
      </c>
      <c r="X73" s="31">
        <v>33.299999999999997</v>
      </c>
      <c r="Y73" s="29">
        <v>5</v>
      </c>
      <c r="Z73" s="29">
        <v>2</v>
      </c>
      <c r="AA73" s="30" t="s">
        <v>1434</v>
      </c>
      <c r="AB73" s="157">
        <v>2.36</v>
      </c>
      <c r="AC73" s="149" t="str">
        <f t="shared" si="11"/>
        <v>c</v>
      </c>
      <c r="AD73" s="15"/>
      <c r="AE73" s="15"/>
      <c r="AF73" s="15"/>
    </row>
    <row r="74" spans="1:32" x14ac:dyDescent="0.2">
      <c r="A74" s="19">
        <f t="shared" si="9"/>
        <v>71</v>
      </c>
      <c r="B74" s="32" t="s">
        <v>5848</v>
      </c>
      <c r="C74" s="28">
        <v>280</v>
      </c>
      <c r="D74" s="28">
        <v>95</v>
      </c>
      <c r="E74" s="28">
        <v>10</v>
      </c>
      <c r="F74" s="28">
        <v>15</v>
      </c>
      <c r="G74" s="28">
        <v>53.3</v>
      </c>
      <c r="H74" s="28">
        <v>41.8</v>
      </c>
      <c r="I74" s="28">
        <v>6280</v>
      </c>
      <c r="J74" s="29">
        <v>448</v>
      </c>
      <c r="K74" s="28">
        <v>10.9</v>
      </c>
      <c r="L74" s="29">
        <v>399</v>
      </c>
      <c r="M74" s="29">
        <v>57.2</v>
      </c>
      <c r="N74" s="28">
        <v>2.74</v>
      </c>
      <c r="O74" s="31">
        <f t="shared" ref="O74:O85" si="14">G74-2*D74*F74/100+(E74+P74)/10</f>
        <v>27.299999999999997</v>
      </c>
      <c r="P74" s="28">
        <f t="shared" si="13"/>
        <v>15</v>
      </c>
      <c r="Q74" s="29">
        <v>208</v>
      </c>
      <c r="R74" s="29">
        <f t="shared" si="7"/>
        <v>570.18181818181813</v>
      </c>
      <c r="S74" s="30">
        <f t="shared" si="8"/>
        <v>30.19230769230769</v>
      </c>
      <c r="T74" s="28">
        <v>43</v>
      </c>
      <c r="U74" s="28" t="str">
        <f t="shared" si="10"/>
        <v>c/c</v>
      </c>
      <c r="V74" s="28">
        <v>266</v>
      </c>
      <c r="W74" s="31">
        <v>31</v>
      </c>
      <c r="X74" s="31">
        <v>48.5</v>
      </c>
      <c r="Y74" s="29">
        <v>5</v>
      </c>
      <c r="Z74" s="29">
        <v>2</v>
      </c>
      <c r="AA74" s="30" t="s">
        <v>1434</v>
      </c>
      <c r="AB74" s="157">
        <v>2.5299999999999998</v>
      </c>
      <c r="AC74" s="149" t="str">
        <f t="shared" si="11"/>
        <v>c</v>
      </c>
      <c r="AD74" s="15"/>
      <c r="AE74" s="15"/>
      <c r="AF74" s="15"/>
    </row>
    <row r="75" spans="1:32" x14ac:dyDescent="0.2">
      <c r="A75" s="19">
        <f t="shared" si="9"/>
        <v>72</v>
      </c>
      <c r="B75" s="32" t="s">
        <v>5849</v>
      </c>
      <c r="C75" s="28">
        <v>300</v>
      </c>
      <c r="D75" s="28">
        <v>100</v>
      </c>
      <c r="E75" s="28">
        <v>10</v>
      </c>
      <c r="F75" s="28">
        <v>16</v>
      </c>
      <c r="G75" s="28">
        <v>58.8</v>
      </c>
      <c r="H75" s="28">
        <v>46.2</v>
      </c>
      <c r="I75" s="28">
        <v>8030</v>
      </c>
      <c r="J75" s="29">
        <v>535</v>
      </c>
      <c r="K75" s="28">
        <v>11.7</v>
      </c>
      <c r="L75" s="29">
        <v>495</v>
      </c>
      <c r="M75" s="29">
        <v>67.8</v>
      </c>
      <c r="N75" s="28">
        <v>2.9</v>
      </c>
      <c r="O75" s="31">
        <f t="shared" si="14"/>
        <v>29.4</v>
      </c>
      <c r="P75" s="28">
        <f t="shared" si="13"/>
        <v>16</v>
      </c>
      <c r="Q75" s="29">
        <v>249</v>
      </c>
      <c r="R75" s="29">
        <f t="shared" si="7"/>
        <v>680.08474576271192</v>
      </c>
      <c r="S75" s="30">
        <f t="shared" si="8"/>
        <v>32.248995983935743</v>
      </c>
      <c r="T75" s="28">
        <v>48</v>
      </c>
      <c r="U75" s="28" t="str">
        <f t="shared" si="10"/>
        <v>c/c</v>
      </c>
      <c r="V75" s="28">
        <v>316</v>
      </c>
      <c r="W75" s="31">
        <v>37.4</v>
      </c>
      <c r="X75" s="31">
        <v>69.099999999999994</v>
      </c>
      <c r="Y75" s="29">
        <v>5</v>
      </c>
      <c r="Z75" s="29">
        <v>2</v>
      </c>
      <c r="AA75" s="30" t="s">
        <v>1434</v>
      </c>
      <c r="AB75" s="157">
        <v>2.7</v>
      </c>
      <c r="AC75" s="149" t="str">
        <f t="shared" si="11"/>
        <v>c</v>
      </c>
      <c r="AD75" s="15"/>
      <c r="AE75" s="15"/>
      <c r="AF75" s="15"/>
    </row>
    <row r="76" spans="1:32" x14ac:dyDescent="0.2">
      <c r="A76" s="19">
        <f t="shared" si="9"/>
        <v>73</v>
      </c>
      <c r="B76" s="32" t="s">
        <v>5113</v>
      </c>
      <c r="C76" s="28">
        <v>320</v>
      </c>
      <c r="D76" s="28">
        <v>100</v>
      </c>
      <c r="E76" s="28">
        <v>14</v>
      </c>
      <c r="F76" s="28">
        <v>17.5</v>
      </c>
      <c r="G76" s="28">
        <v>75.8</v>
      </c>
      <c r="H76" s="28">
        <v>59.5</v>
      </c>
      <c r="I76" s="28">
        <v>10870</v>
      </c>
      <c r="J76" s="29">
        <v>679</v>
      </c>
      <c r="K76" s="28">
        <v>12.1</v>
      </c>
      <c r="L76" s="29">
        <v>597</v>
      </c>
      <c r="M76" s="29">
        <v>80.599999999999994</v>
      </c>
      <c r="N76" s="28">
        <v>2.81</v>
      </c>
      <c r="O76" s="31">
        <f t="shared" si="14"/>
        <v>43.949999999999996</v>
      </c>
      <c r="P76" s="28">
        <f t="shared" si="13"/>
        <v>17.5</v>
      </c>
      <c r="Q76" s="29">
        <v>307</v>
      </c>
      <c r="R76" s="29">
        <f t="shared" si="7"/>
        <v>869.12</v>
      </c>
      <c r="S76" s="30">
        <f t="shared" si="8"/>
        <v>49.570032573289907</v>
      </c>
      <c r="T76" s="28">
        <v>61</v>
      </c>
      <c r="U76" s="28" t="str">
        <f t="shared" si="10"/>
        <v>c/c</v>
      </c>
      <c r="V76" s="28">
        <v>413</v>
      </c>
      <c r="W76" s="31">
        <v>66.7</v>
      </c>
      <c r="X76" s="31">
        <v>96.1</v>
      </c>
      <c r="Y76" s="29">
        <v>5</v>
      </c>
      <c r="Z76" s="29">
        <v>2</v>
      </c>
      <c r="AA76" s="30" t="s">
        <v>1434</v>
      </c>
      <c r="AB76" s="157">
        <v>2.6</v>
      </c>
      <c r="AC76" s="149" t="str">
        <f t="shared" si="11"/>
        <v>c</v>
      </c>
      <c r="AD76" s="15"/>
      <c r="AE76" s="15"/>
      <c r="AF76" s="15"/>
    </row>
    <row r="77" spans="1:32" x14ac:dyDescent="0.2">
      <c r="A77" s="19">
        <f t="shared" si="9"/>
        <v>74</v>
      </c>
      <c r="B77" s="32" t="s">
        <v>5114</v>
      </c>
      <c r="C77" s="28">
        <v>350</v>
      </c>
      <c r="D77" s="28">
        <v>100</v>
      </c>
      <c r="E77" s="28">
        <v>14</v>
      </c>
      <c r="F77" s="28">
        <v>16</v>
      </c>
      <c r="G77" s="28">
        <v>77.3</v>
      </c>
      <c r="H77" s="28">
        <v>60.6</v>
      </c>
      <c r="I77" s="28">
        <v>12840</v>
      </c>
      <c r="J77" s="29">
        <v>734</v>
      </c>
      <c r="K77" s="28">
        <v>12.9</v>
      </c>
      <c r="L77" s="29">
        <v>571</v>
      </c>
      <c r="M77" s="29">
        <v>75</v>
      </c>
      <c r="N77" s="28">
        <v>2.72</v>
      </c>
      <c r="O77" s="31">
        <f t="shared" si="14"/>
        <v>48.3</v>
      </c>
      <c r="P77" s="28">
        <f t="shared" si="13"/>
        <v>16</v>
      </c>
      <c r="Q77" s="29">
        <v>320</v>
      </c>
      <c r="R77" s="29">
        <f t="shared" si="7"/>
        <v>898.25174825174827</v>
      </c>
      <c r="S77" s="30">
        <f t="shared" si="8"/>
        <v>56.174999999999997</v>
      </c>
      <c r="T77" s="28">
        <v>62</v>
      </c>
      <c r="U77" s="28" t="str">
        <f t="shared" si="10"/>
        <v>c/c</v>
      </c>
      <c r="V77" s="28">
        <v>459</v>
      </c>
      <c r="W77" s="31">
        <v>61.2</v>
      </c>
      <c r="X77" s="31">
        <v>114</v>
      </c>
      <c r="Y77" s="29">
        <v>5</v>
      </c>
      <c r="Z77" s="29">
        <v>2</v>
      </c>
      <c r="AA77" s="30" t="s">
        <v>1434</v>
      </c>
      <c r="AB77" s="157">
        <v>2.4</v>
      </c>
      <c r="AC77" s="149" t="str">
        <f t="shared" si="11"/>
        <v>c</v>
      </c>
      <c r="AD77" s="15"/>
      <c r="AE77" s="15"/>
      <c r="AF77" s="15"/>
    </row>
    <row r="78" spans="1:32" x14ac:dyDescent="0.2">
      <c r="A78" s="19">
        <f t="shared" si="9"/>
        <v>75</v>
      </c>
      <c r="B78" s="32" t="s">
        <v>5115</v>
      </c>
      <c r="C78" s="28">
        <v>380</v>
      </c>
      <c r="D78" s="28">
        <v>102</v>
      </c>
      <c r="E78" s="28">
        <v>13.5</v>
      </c>
      <c r="F78" s="28">
        <v>16</v>
      </c>
      <c r="G78" s="28">
        <v>80.400000000000006</v>
      </c>
      <c r="H78" s="28">
        <v>63.1</v>
      </c>
      <c r="I78" s="28">
        <v>15760</v>
      </c>
      <c r="J78" s="29">
        <v>829</v>
      </c>
      <c r="K78" s="28">
        <v>14</v>
      </c>
      <c r="L78" s="29">
        <v>615</v>
      </c>
      <c r="M78" s="29">
        <v>78.7</v>
      </c>
      <c r="N78" s="28">
        <v>2.77</v>
      </c>
      <c r="O78" s="31">
        <f t="shared" si="14"/>
        <v>50.710000000000008</v>
      </c>
      <c r="P78" s="28">
        <f t="shared" si="13"/>
        <v>16</v>
      </c>
      <c r="Q78" s="29">
        <v>342</v>
      </c>
      <c r="R78" s="29">
        <f t="shared" si="7"/>
        <v>996.89873417721515</v>
      </c>
      <c r="S78" s="30">
        <f t="shared" si="8"/>
        <v>62.210526315789465</v>
      </c>
      <c r="T78" s="28">
        <v>65</v>
      </c>
      <c r="U78" s="28" t="str">
        <f t="shared" si="10"/>
        <v>c/c</v>
      </c>
      <c r="V78" s="28">
        <v>507</v>
      </c>
      <c r="W78" s="31">
        <v>59.1</v>
      </c>
      <c r="X78" s="31">
        <v>146</v>
      </c>
      <c r="Y78" s="29">
        <v>5</v>
      </c>
      <c r="Z78" s="29">
        <v>2</v>
      </c>
      <c r="AA78" s="30" t="s">
        <v>1434</v>
      </c>
      <c r="AB78" s="157">
        <v>2.38</v>
      </c>
      <c r="AC78" s="149" t="str">
        <f t="shared" si="11"/>
        <v>c</v>
      </c>
      <c r="AD78" s="15"/>
      <c r="AE78" s="15"/>
      <c r="AF78" s="15"/>
    </row>
    <row r="79" spans="1:32" x14ac:dyDescent="0.2">
      <c r="A79" s="19">
        <f t="shared" si="9"/>
        <v>76</v>
      </c>
      <c r="B79" s="32" t="s">
        <v>5116</v>
      </c>
      <c r="C79" s="28">
        <v>400</v>
      </c>
      <c r="D79" s="28">
        <v>110</v>
      </c>
      <c r="E79" s="28">
        <v>14</v>
      </c>
      <c r="F79" s="28">
        <v>18</v>
      </c>
      <c r="G79" s="28">
        <v>91.5</v>
      </c>
      <c r="H79" s="28">
        <v>71.8</v>
      </c>
      <c r="I79" s="28">
        <v>20350</v>
      </c>
      <c r="J79" s="29">
        <v>1020</v>
      </c>
      <c r="K79" s="28">
        <v>14.9</v>
      </c>
      <c r="L79" s="29">
        <v>846</v>
      </c>
      <c r="M79" s="29">
        <v>102</v>
      </c>
      <c r="N79" s="28">
        <v>3.04</v>
      </c>
      <c r="O79" s="31">
        <f t="shared" si="14"/>
        <v>55.1</v>
      </c>
      <c r="P79" s="28">
        <f t="shared" si="13"/>
        <v>18</v>
      </c>
      <c r="Q79" s="29">
        <v>434</v>
      </c>
      <c r="R79" s="29">
        <f t="shared" si="7"/>
        <v>1243.9024390243903</v>
      </c>
      <c r="S79" s="30">
        <f t="shared" si="8"/>
        <v>65.645161290322591</v>
      </c>
      <c r="T79" s="28">
        <v>74</v>
      </c>
      <c r="U79" s="28" t="str">
        <f t="shared" si="10"/>
        <v>c/c</v>
      </c>
      <c r="V79" s="28">
        <v>618</v>
      </c>
      <c r="W79" s="31">
        <v>81.599999999999994</v>
      </c>
      <c r="X79" s="31">
        <v>221</v>
      </c>
      <c r="Y79" s="29">
        <v>5</v>
      </c>
      <c r="Z79" s="29">
        <v>2</v>
      </c>
      <c r="AA79" s="30" t="s">
        <v>1434</v>
      </c>
      <c r="AB79" s="157">
        <v>2.65</v>
      </c>
      <c r="AC79" s="149" t="str">
        <f t="shared" si="11"/>
        <v>c</v>
      </c>
      <c r="AD79" s="15"/>
      <c r="AE79" s="15"/>
      <c r="AF79" s="15"/>
    </row>
    <row r="80" spans="1:32" x14ac:dyDescent="0.2">
      <c r="A80" s="19">
        <f t="shared" si="9"/>
        <v>77</v>
      </c>
      <c r="B80" s="148" t="s">
        <v>8542</v>
      </c>
      <c r="C80" s="28">
        <v>220</v>
      </c>
      <c r="D80" s="28">
        <v>80</v>
      </c>
      <c r="E80" s="28">
        <v>9</v>
      </c>
      <c r="F80" s="28">
        <v>12.5</v>
      </c>
      <c r="G80" s="28">
        <v>37.4</v>
      </c>
      <c r="H80" s="28">
        <v>29.4</v>
      </c>
      <c r="I80" s="28">
        <v>2690</v>
      </c>
      <c r="J80" s="29">
        <v>245</v>
      </c>
      <c r="K80" s="28">
        <v>8.48</v>
      </c>
      <c r="L80" s="29">
        <v>197</v>
      </c>
      <c r="M80" s="29">
        <v>33.6</v>
      </c>
      <c r="N80" s="28">
        <v>2.2999999999999998</v>
      </c>
      <c r="O80" s="31">
        <f t="shared" si="14"/>
        <v>19.549999999999997</v>
      </c>
      <c r="P80" s="28">
        <f t="shared" si="13"/>
        <v>12.5</v>
      </c>
      <c r="Q80" s="29">
        <v>115</v>
      </c>
      <c r="R80" s="29">
        <f t="shared" si="7"/>
        <v>317.05882352941177</v>
      </c>
      <c r="S80" s="30">
        <f t="shared" si="8"/>
        <v>21.052173913043479</v>
      </c>
      <c r="T80" s="28">
        <v>30</v>
      </c>
      <c r="U80" s="28" t="str">
        <f t="shared" si="10"/>
        <v>c/c</v>
      </c>
      <c r="V80" s="28">
        <v>146</v>
      </c>
      <c r="W80" s="31">
        <v>16</v>
      </c>
      <c r="X80" s="31">
        <v>146</v>
      </c>
      <c r="Y80" s="29">
        <v>5</v>
      </c>
      <c r="Z80" s="29">
        <v>2</v>
      </c>
      <c r="AA80" s="30" t="s">
        <v>1434</v>
      </c>
      <c r="AB80" s="157">
        <v>2.14</v>
      </c>
      <c r="AC80" s="149" t="str">
        <f t="shared" si="11"/>
        <v>c</v>
      </c>
      <c r="AD80" s="15"/>
      <c r="AE80" s="15"/>
      <c r="AF80" s="15"/>
    </row>
    <row r="81" spans="1:32" x14ac:dyDescent="0.2">
      <c r="A81" s="19">
        <f t="shared" si="9"/>
        <v>78</v>
      </c>
      <c r="B81" s="32" t="s">
        <v>5117</v>
      </c>
      <c r="C81" s="28">
        <v>270</v>
      </c>
      <c r="D81" s="28">
        <v>95</v>
      </c>
      <c r="E81" s="28">
        <v>7.5</v>
      </c>
      <c r="F81" s="28">
        <v>13</v>
      </c>
      <c r="G81" s="28">
        <v>49.3</v>
      </c>
      <c r="H81" s="28">
        <v>38.700000000000003</v>
      </c>
      <c r="I81" s="28">
        <v>5560</v>
      </c>
      <c r="J81" s="29">
        <v>389</v>
      </c>
      <c r="K81" s="28">
        <v>10.6</v>
      </c>
      <c r="L81" s="29">
        <v>425</v>
      </c>
      <c r="M81" s="29">
        <v>63.2</v>
      </c>
      <c r="N81" s="28">
        <v>2.94</v>
      </c>
      <c r="O81" s="31">
        <f t="shared" si="14"/>
        <v>26.65</v>
      </c>
      <c r="P81" s="28">
        <f t="shared" si="13"/>
        <v>13</v>
      </c>
      <c r="Q81" s="29">
        <f t="shared" ref="Q81:Q144" si="15">+F81*D81*(C81-F81)/2/1000+P81*E81*(C81-2*F81-2*P81)/2/1000+(2*P81)^2*(1-PI()/4)/4*(C81-2*P81-2*F81)/2/1000</f>
        <v>173.27818043205559</v>
      </c>
      <c r="R81" s="29">
        <f t="shared" si="7"/>
        <v>481.78899082568807</v>
      </c>
      <c r="S81" s="30">
        <f t="shared" si="8"/>
        <v>24.065349656849069</v>
      </c>
      <c r="T81" s="28">
        <v>38.700000000000003</v>
      </c>
      <c r="U81" s="28" t="str">
        <f t="shared" si="10"/>
        <v>c/c</v>
      </c>
      <c r="V81" s="28">
        <v>225.5</v>
      </c>
      <c r="W81" s="31">
        <v>24.9</v>
      </c>
      <c r="X81" s="31">
        <v>48.11</v>
      </c>
      <c r="Y81" s="29">
        <v>6</v>
      </c>
      <c r="Z81" s="29">
        <v>2</v>
      </c>
      <c r="AA81" s="30" t="s">
        <v>1434</v>
      </c>
      <c r="AB81" s="157">
        <v>2.89</v>
      </c>
      <c r="AC81" s="149" t="str">
        <f t="shared" si="11"/>
        <v>c</v>
      </c>
      <c r="AD81" s="15"/>
      <c r="AE81" s="15"/>
      <c r="AF81" s="15"/>
    </row>
    <row r="82" spans="1:32" x14ac:dyDescent="0.2">
      <c r="A82" s="19">
        <f t="shared" si="9"/>
        <v>79</v>
      </c>
      <c r="B82" s="32" t="s">
        <v>5118</v>
      </c>
      <c r="C82" s="28">
        <v>300</v>
      </c>
      <c r="D82" s="28">
        <v>100</v>
      </c>
      <c r="E82" s="28">
        <v>9.5</v>
      </c>
      <c r="F82" s="28">
        <v>15</v>
      </c>
      <c r="G82" s="28">
        <v>56.6</v>
      </c>
      <c r="H82" s="28">
        <v>44.4</v>
      </c>
      <c r="I82" s="28">
        <v>7820</v>
      </c>
      <c r="J82" s="29">
        <v>522</v>
      </c>
      <c r="K82" s="28">
        <v>11.8</v>
      </c>
      <c r="L82" s="29">
        <v>538</v>
      </c>
      <c r="M82" s="29">
        <v>75.400000000000006</v>
      </c>
      <c r="N82" s="28">
        <v>3.08</v>
      </c>
      <c r="O82" s="31">
        <f t="shared" si="14"/>
        <v>29.05</v>
      </c>
      <c r="P82" s="28">
        <f t="shared" si="13"/>
        <v>15</v>
      </c>
      <c r="Q82" s="29">
        <f t="shared" si="15"/>
        <v>236.64424958826888</v>
      </c>
      <c r="R82" s="29">
        <f t="shared" si="7"/>
        <v>652.5</v>
      </c>
      <c r="S82" s="30">
        <f t="shared" si="8"/>
        <v>31.393114402422718</v>
      </c>
      <c r="T82" s="28">
        <v>44.4</v>
      </c>
      <c r="U82" s="28" t="str">
        <f t="shared" si="10"/>
        <v>c/c</v>
      </c>
      <c r="V82" s="28">
        <v>306.7</v>
      </c>
      <c r="W82" s="31">
        <v>32</v>
      </c>
      <c r="X82" s="31">
        <v>75.459999999999994</v>
      </c>
      <c r="Y82" s="29">
        <v>6</v>
      </c>
      <c r="Z82" s="29">
        <v>2</v>
      </c>
      <c r="AA82" s="30" t="s">
        <v>1434</v>
      </c>
      <c r="AB82" s="157">
        <v>2.89</v>
      </c>
      <c r="AC82" s="149" t="str">
        <f t="shared" si="11"/>
        <v>c</v>
      </c>
      <c r="AD82" s="15"/>
      <c r="AE82" s="15"/>
      <c r="AF82" s="15"/>
    </row>
    <row r="83" spans="1:32" x14ac:dyDescent="0.2">
      <c r="A83" s="19">
        <f t="shared" si="9"/>
        <v>80</v>
      </c>
      <c r="B83" s="32" t="s">
        <v>5119</v>
      </c>
      <c r="C83" s="28">
        <v>330</v>
      </c>
      <c r="D83" s="28">
        <v>105</v>
      </c>
      <c r="E83" s="28">
        <v>11</v>
      </c>
      <c r="F83" s="28">
        <v>16</v>
      </c>
      <c r="G83" s="28">
        <v>67.8</v>
      </c>
      <c r="H83" s="28">
        <v>53.2</v>
      </c>
      <c r="I83" s="28">
        <v>11010</v>
      </c>
      <c r="J83" s="29">
        <v>667</v>
      </c>
      <c r="K83" s="28">
        <v>12.7</v>
      </c>
      <c r="L83" s="29">
        <v>682</v>
      </c>
      <c r="M83" s="29">
        <v>89.7</v>
      </c>
      <c r="N83" s="28">
        <v>3.17</v>
      </c>
      <c r="O83" s="31">
        <f t="shared" si="14"/>
        <v>36.9</v>
      </c>
      <c r="P83" s="28">
        <f t="shared" si="13"/>
        <v>16</v>
      </c>
      <c r="Q83" s="29">
        <f t="shared" si="15"/>
        <v>294.4747633326437</v>
      </c>
      <c r="R83" s="29">
        <f t="shared" si="7"/>
        <v>827.48120300751884</v>
      </c>
      <c r="S83" s="30">
        <f t="shared" si="8"/>
        <v>41.127463226175372</v>
      </c>
      <c r="T83" s="28">
        <v>53.2</v>
      </c>
      <c r="U83" s="28" t="str">
        <f t="shared" si="10"/>
        <v>c/c</v>
      </c>
      <c r="V83" s="28">
        <v>395.9</v>
      </c>
      <c r="W83" s="31">
        <v>45.7</v>
      </c>
      <c r="X83" s="31">
        <v>116.3</v>
      </c>
      <c r="Y83" s="29">
        <v>6</v>
      </c>
      <c r="Z83" s="29">
        <v>2</v>
      </c>
      <c r="AA83" s="30" t="s">
        <v>1434</v>
      </c>
      <c r="AB83" s="157">
        <v>2.9</v>
      </c>
      <c r="AC83" s="149" t="str">
        <f t="shared" si="11"/>
        <v>c</v>
      </c>
      <c r="AD83" s="15"/>
      <c r="AE83" s="15"/>
      <c r="AF83" s="15"/>
    </row>
    <row r="84" spans="1:32" x14ac:dyDescent="0.2">
      <c r="A84" s="19">
        <f t="shared" si="9"/>
        <v>81</v>
      </c>
      <c r="B84" s="32" t="s">
        <v>5120</v>
      </c>
      <c r="C84" s="28">
        <v>360</v>
      </c>
      <c r="D84" s="28">
        <v>110</v>
      </c>
      <c r="E84" s="28">
        <v>12</v>
      </c>
      <c r="F84" s="28">
        <v>17</v>
      </c>
      <c r="G84" s="28">
        <v>77.900000000000006</v>
      </c>
      <c r="H84" s="28">
        <v>61.2</v>
      </c>
      <c r="I84" s="28">
        <v>14830</v>
      </c>
      <c r="J84" s="29">
        <v>824</v>
      </c>
      <c r="K84" s="28">
        <v>13.8</v>
      </c>
      <c r="L84" s="29">
        <v>844</v>
      </c>
      <c r="M84" s="29">
        <v>105</v>
      </c>
      <c r="N84" s="28">
        <v>3.29</v>
      </c>
      <c r="O84" s="31">
        <f t="shared" si="14"/>
        <v>43.400000000000006</v>
      </c>
      <c r="P84" s="28">
        <f t="shared" si="13"/>
        <v>17</v>
      </c>
      <c r="Q84" s="29">
        <f t="shared" si="15"/>
        <v>359.54390989360803</v>
      </c>
      <c r="R84" s="29">
        <f t="shared" si="7"/>
        <v>1015.8904109589041</v>
      </c>
      <c r="S84" s="30">
        <f t="shared" si="8"/>
        <v>49.496040706866594</v>
      </c>
      <c r="T84" s="28">
        <v>61.2</v>
      </c>
      <c r="U84" s="28" t="str">
        <f t="shared" si="10"/>
        <v>c/c</v>
      </c>
      <c r="V84" s="28">
        <v>491.2</v>
      </c>
      <c r="W84" s="31">
        <v>59.3</v>
      </c>
      <c r="X84" s="31">
        <v>172.4</v>
      </c>
      <c r="Y84" s="29">
        <v>6</v>
      </c>
      <c r="Z84" s="29">
        <v>2</v>
      </c>
      <c r="AA84" s="30" t="s">
        <v>1434</v>
      </c>
      <c r="AB84" s="157">
        <v>2.97</v>
      </c>
      <c r="AC84" s="149" t="str">
        <f t="shared" si="11"/>
        <v>c</v>
      </c>
      <c r="AD84" s="15"/>
      <c r="AE84" s="15"/>
      <c r="AF84" s="15"/>
    </row>
    <row r="85" spans="1:32" x14ac:dyDescent="0.2">
      <c r="A85" s="19">
        <f t="shared" si="9"/>
        <v>82</v>
      </c>
      <c r="B85" s="32" t="s">
        <v>5121</v>
      </c>
      <c r="C85" s="28">
        <v>400</v>
      </c>
      <c r="D85" s="28">
        <v>115</v>
      </c>
      <c r="E85" s="28">
        <v>13.5</v>
      </c>
      <c r="F85" s="28">
        <v>18</v>
      </c>
      <c r="G85" s="28">
        <v>91.9</v>
      </c>
      <c r="H85" s="28">
        <v>72.2</v>
      </c>
      <c r="I85" s="28">
        <v>20980</v>
      </c>
      <c r="J85" s="29">
        <v>1050</v>
      </c>
      <c r="K85" s="28">
        <v>15.1</v>
      </c>
      <c r="L85" s="29">
        <v>1050</v>
      </c>
      <c r="M85" s="29">
        <v>123</v>
      </c>
      <c r="N85" s="28">
        <v>3.37</v>
      </c>
      <c r="O85" s="31">
        <f t="shared" si="14"/>
        <v>53.650000000000006</v>
      </c>
      <c r="P85" s="28">
        <f t="shared" si="13"/>
        <v>18</v>
      </c>
      <c r="Q85" s="29">
        <f t="shared" si="15"/>
        <v>446.62508318971317</v>
      </c>
      <c r="R85" s="29">
        <f t="shared" si="7"/>
        <v>1280.4878048780488</v>
      </c>
      <c r="S85" s="30">
        <f t="shared" si="8"/>
        <v>63.41560531648247</v>
      </c>
      <c r="T85" s="28">
        <v>72.2</v>
      </c>
      <c r="U85" s="28" t="str">
        <f t="shared" si="10"/>
        <v>c/c</v>
      </c>
      <c r="V85" s="28">
        <v>631.29999999999995</v>
      </c>
      <c r="W85" s="31">
        <v>80.5</v>
      </c>
      <c r="X85" s="31">
        <v>266.3</v>
      </c>
      <c r="Y85" s="29">
        <v>6</v>
      </c>
      <c r="Z85" s="29">
        <v>2</v>
      </c>
      <c r="AA85" s="30" t="s">
        <v>1434</v>
      </c>
      <c r="AB85" s="157">
        <v>2.98</v>
      </c>
      <c r="AC85" s="149" t="str">
        <f t="shared" si="11"/>
        <v>c</v>
      </c>
      <c r="AD85" s="15"/>
      <c r="AE85" s="15"/>
      <c r="AF85" s="15"/>
    </row>
    <row r="86" spans="1:32" x14ac:dyDescent="0.2">
      <c r="A86" s="19">
        <f t="shared" si="9"/>
        <v>83</v>
      </c>
      <c r="B86" s="32" t="s">
        <v>5122</v>
      </c>
      <c r="C86" s="28">
        <v>240</v>
      </c>
      <c r="D86" s="28">
        <v>106</v>
      </c>
      <c r="E86" s="28">
        <v>8.6999999999999993</v>
      </c>
      <c r="F86" s="28">
        <v>13.1</v>
      </c>
      <c r="G86" s="28">
        <v>46.1</v>
      </c>
      <c r="H86" s="28">
        <v>36.200000000000003</v>
      </c>
      <c r="I86" s="28">
        <v>4250</v>
      </c>
      <c r="J86" s="29">
        <v>354</v>
      </c>
      <c r="K86" s="28">
        <v>9.59</v>
      </c>
      <c r="L86" s="29">
        <v>221</v>
      </c>
      <c r="M86" s="29">
        <v>41.7</v>
      </c>
      <c r="N86" s="28">
        <v>2.2000000000000002</v>
      </c>
      <c r="O86" s="31">
        <f t="shared" ref="O86:O149" si="16">MAX(G86-2*D86*F86/100+(E86+2*P86)*F86/100,(C86-2*F86)*E86/100)</f>
        <v>19.810920000000003</v>
      </c>
      <c r="P86" s="28">
        <v>1.31</v>
      </c>
      <c r="Q86" s="29">
        <f t="shared" si="15"/>
        <v>158.77896572638329</v>
      </c>
      <c r="R86" s="29">
        <f t="shared" si="7"/>
        <v>402.3108248887205</v>
      </c>
      <c r="S86" s="30">
        <f t="shared" si="8"/>
        <v>23.287089590769451</v>
      </c>
      <c r="T86" s="28">
        <f t="shared" ref="T86:T149" si="17">+ROUND(H86*1.025,0)</f>
        <v>37</v>
      </c>
      <c r="U86" s="28" t="str">
        <f t="shared" si="10"/>
        <v>a/b</v>
      </c>
      <c r="V86" s="28">
        <v>206</v>
      </c>
      <c r="W86" s="31">
        <v>23.8</v>
      </c>
      <c r="X86" s="31">
        <v>27</v>
      </c>
      <c r="Y86" s="29">
        <v>7</v>
      </c>
      <c r="Z86" s="29">
        <v>5</v>
      </c>
      <c r="AA86" s="30" t="s">
        <v>241</v>
      </c>
      <c r="AB86" s="30">
        <v>0</v>
      </c>
      <c r="AC86" s="149" t="str">
        <f t="shared" si="11"/>
        <v>a0</v>
      </c>
      <c r="AD86" s="15"/>
      <c r="AE86" s="15"/>
      <c r="AF86" s="15"/>
    </row>
    <row r="87" spans="1:32" x14ac:dyDescent="0.2">
      <c r="A87" s="19">
        <f t="shared" si="9"/>
        <v>84</v>
      </c>
      <c r="B87" s="32" t="s">
        <v>5123</v>
      </c>
      <c r="C87" s="28">
        <v>260</v>
      </c>
      <c r="D87" s="28">
        <v>113</v>
      </c>
      <c r="E87" s="28">
        <v>9.4</v>
      </c>
      <c r="F87" s="28">
        <v>14.1</v>
      </c>
      <c r="G87" s="28">
        <v>53.3</v>
      </c>
      <c r="H87" s="28">
        <v>41.9</v>
      </c>
      <c r="I87" s="28">
        <v>5740</v>
      </c>
      <c r="J87" s="29">
        <v>442</v>
      </c>
      <c r="K87" s="28">
        <v>10.4</v>
      </c>
      <c r="L87" s="29">
        <v>232</v>
      </c>
      <c r="M87" s="29">
        <v>51</v>
      </c>
      <c r="N87" s="28">
        <v>2.3199999999999998</v>
      </c>
      <c r="O87" s="31">
        <f t="shared" si="16"/>
        <v>23.157019999999996</v>
      </c>
      <c r="P87" s="28">
        <v>1.41</v>
      </c>
      <c r="Q87" s="29">
        <f t="shared" si="15"/>
        <v>197.46253260835039</v>
      </c>
      <c r="R87" s="29">
        <f t="shared" si="7"/>
        <v>501.87789326578741</v>
      </c>
      <c r="S87" s="30">
        <f t="shared" si="8"/>
        <v>27.324677389313642</v>
      </c>
      <c r="T87" s="28">
        <f t="shared" si="17"/>
        <v>43</v>
      </c>
      <c r="U87" s="28" t="str">
        <f t="shared" si="10"/>
        <v>a/b</v>
      </c>
      <c r="V87" s="28">
        <v>257</v>
      </c>
      <c r="W87" s="31">
        <v>31.8</v>
      </c>
      <c r="X87" s="31">
        <v>41.5</v>
      </c>
      <c r="Y87" s="29">
        <v>7</v>
      </c>
      <c r="Z87" s="29">
        <v>5</v>
      </c>
      <c r="AA87" s="30" t="s">
        <v>241</v>
      </c>
      <c r="AB87" s="30">
        <v>0</v>
      </c>
      <c r="AC87" s="149" t="str">
        <f t="shared" si="11"/>
        <v>a0</v>
      </c>
      <c r="AD87" s="15"/>
      <c r="AE87" s="15"/>
      <c r="AF87" s="15"/>
    </row>
    <row r="88" spans="1:32" x14ac:dyDescent="0.2">
      <c r="A88" s="19">
        <f t="shared" si="9"/>
        <v>85</v>
      </c>
      <c r="B88" s="32" t="s">
        <v>5124</v>
      </c>
      <c r="C88" s="28">
        <v>280</v>
      </c>
      <c r="D88" s="28">
        <v>119</v>
      </c>
      <c r="E88" s="28">
        <v>10.1</v>
      </c>
      <c r="F88" s="28">
        <v>15.2</v>
      </c>
      <c r="G88" s="28">
        <v>61</v>
      </c>
      <c r="H88" s="28">
        <v>47.9</v>
      </c>
      <c r="I88" s="28">
        <v>7590</v>
      </c>
      <c r="J88" s="29">
        <v>542</v>
      </c>
      <c r="K88" s="28">
        <v>11.1</v>
      </c>
      <c r="L88" s="29">
        <v>245</v>
      </c>
      <c r="M88" s="29">
        <v>61.2</v>
      </c>
      <c r="N88" s="28">
        <v>2.4500000000000002</v>
      </c>
      <c r="O88" s="31">
        <f t="shared" si="16"/>
        <v>26.821279999999998</v>
      </c>
      <c r="P88" s="28">
        <v>1.52</v>
      </c>
      <c r="Q88" s="29">
        <f t="shared" si="15"/>
        <v>241.43883876674755</v>
      </c>
      <c r="R88" s="29">
        <f t="shared" si="7"/>
        <v>615.50940947436732</v>
      </c>
      <c r="S88" s="30">
        <f t="shared" si="8"/>
        <v>31.750898236409988</v>
      </c>
      <c r="T88" s="28">
        <f t="shared" si="17"/>
        <v>49</v>
      </c>
      <c r="U88" s="28" t="str">
        <f t="shared" si="10"/>
        <v>a/b</v>
      </c>
      <c r="V88" s="28">
        <v>316</v>
      </c>
      <c r="W88" s="31">
        <v>42</v>
      </c>
      <c r="X88" s="31">
        <v>60.8</v>
      </c>
      <c r="Y88" s="29">
        <v>7</v>
      </c>
      <c r="Z88" s="29">
        <v>5</v>
      </c>
      <c r="AA88" s="30" t="s">
        <v>241</v>
      </c>
      <c r="AB88" s="30">
        <v>0</v>
      </c>
      <c r="AC88" s="149" t="str">
        <f t="shared" si="11"/>
        <v>a0</v>
      </c>
      <c r="AD88" s="15"/>
      <c r="AE88" s="15"/>
      <c r="AF88" s="15"/>
    </row>
    <row r="89" spans="1:32" x14ac:dyDescent="0.2">
      <c r="A89" s="19">
        <f t="shared" si="9"/>
        <v>86</v>
      </c>
      <c r="B89" s="32" t="s">
        <v>5125</v>
      </c>
      <c r="C89" s="28">
        <v>300</v>
      </c>
      <c r="D89" s="28">
        <v>125</v>
      </c>
      <c r="E89" s="28">
        <v>10.8</v>
      </c>
      <c r="F89" s="28">
        <v>16.2</v>
      </c>
      <c r="G89" s="28">
        <v>69</v>
      </c>
      <c r="H89" s="28">
        <v>54.2</v>
      </c>
      <c r="I89" s="28">
        <v>9600</v>
      </c>
      <c r="J89" s="29">
        <v>653</v>
      </c>
      <c r="K89" s="28">
        <v>11.9</v>
      </c>
      <c r="L89" s="29">
        <v>256</v>
      </c>
      <c r="M89" s="29">
        <v>72.2</v>
      </c>
      <c r="N89" s="28">
        <v>2.56</v>
      </c>
      <c r="O89" s="31">
        <f t="shared" si="16"/>
        <v>30.774480000000001</v>
      </c>
      <c r="P89" s="28">
        <v>1.62</v>
      </c>
      <c r="Q89" s="29">
        <f t="shared" si="15"/>
        <v>289.73456519610812</v>
      </c>
      <c r="R89" s="29">
        <f t="shared" si="7"/>
        <v>741.03495233772128</v>
      </c>
      <c r="S89" s="30">
        <f t="shared" si="8"/>
        <v>35.784477399106223</v>
      </c>
      <c r="T89" s="28">
        <f t="shared" si="17"/>
        <v>56</v>
      </c>
      <c r="U89" s="28" t="str">
        <f t="shared" si="10"/>
        <v>a/b</v>
      </c>
      <c r="V89" s="28">
        <v>381</v>
      </c>
      <c r="W89" s="31">
        <v>53.7</v>
      </c>
      <c r="X89" s="31">
        <v>86.5</v>
      </c>
      <c r="Y89" s="29">
        <v>7</v>
      </c>
      <c r="Z89" s="29">
        <v>5</v>
      </c>
      <c r="AA89" s="30" t="s">
        <v>241</v>
      </c>
      <c r="AB89" s="30">
        <v>0</v>
      </c>
      <c r="AC89" s="149" t="str">
        <f t="shared" si="11"/>
        <v>a0</v>
      </c>
      <c r="AD89" s="15"/>
      <c r="AE89" s="15"/>
      <c r="AF89" s="15"/>
    </row>
    <row r="90" spans="1:32" x14ac:dyDescent="0.2">
      <c r="A90" s="19">
        <f t="shared" si="9"/>
        <v>87</v>
      </c>
      <c r="B90" s="32" t="s">
        <v>5126</v>
      </c>
      <c r="C90" s="28">
        <v>320</v>
      </c>
      <c r="D90" s="28">
        <v>131</v>
      </c>
      <c r="E90" s="28">
        <v>11.5</v>
      </c>
      <c r="F90" s="28">
        <v>17.3</v>
      </c>
      <c r="G90" s="28">
        <v>77.7</v>
      </c>
      <c r="H90" s="28">
        <v>61</v>
      </c>
      <c r="I90" s="28">
        <v>12610</v>
      </c>
      <c r="J90" s="29">
        <v>782</v>
      </c>
      <c r="K90" s="28">
        <v>12.7</v>
      </c>
      <c r="L90" s="29">
        <v>555</v>
      </c>
      <c r="M90" s="29">
        <v>84.7</v>
      </c>
      <c r="N90" s="28">
        <v>2.67</v>
      </c>
      <c r="O90" s="31">
        <f t="shared" si="16"/>
        <v>34.96208</v>
      </c>
      <c r="P90" s="28">
        <v>1.73</v>
      </c>
      <c r="Q90" s="29">
        <f t="shared" si="15"/>
        <v>345.89964562052916</v>
      </c>
      <c r="R90" s="29">
        <f t="shared" si="7"/>
        <v>887.56473008441515</v>
      </c>
      <c r="S90" s="30">
        <f t="shared" si="8"/>
        <v>41.924009416040107</v>
      </c>
      <c r="T90" s="28">
        <f t="shared" si="17"/>
        <v>63</v>
      </c>
      <c r="U90" s="28" t="str">
        <f t="shared" si="10"/>
        <v>a/b</v>
      </c>
      <c r="V90" s="28">
        <v>274</v>
      </c>
      <c r="W90" s="31">
        <v>68.5</v>
      </c>
      <c r="X90" s="31">
        <v>121.3</v>
      </c>
      <c r="Y90" s="29">
        <v>7</v>
      </c>
      <c r="Z90" s="29">
        <v>5</v>
      </c>
      <c r="AA90" s="30" t="s">
        <v>241</v>
      </c>
      <c r="AB90" s="30">
        <v>0</v>
      </c>
      <c r="AC90" s="149" t="str">
        <f t="shared" si="11"/>
        <v>a0</v>
      </c>
      <c r="AD90" s="15"/>
      <c r="AE90" s="15"/>
      <c r="AF90" s="15"/>
    </row>
    <row r="91" spans="1:32" x14ac:dyDescent="0.2">
      <c r="A91" s="19">
        <f t="shared" si="9"/>
        <v>88</v>
      </c>
      <c r="B91" s="32" t="s">
        <v>5127</v>
      </c>
      <c r="C91" s="28">
        <v>340</v>
      </c>
      <c r="D91" s="28">
        <v>137</v>
      </c>
      <c r="E91" s="28">
        <v>12.2</v>
      </c>
      <c r="F91" s="28">
        <v>18.3</v>
      </c>
      <c r="G91" s="28">
        <v>86.7</v>
      </c>
      <c r="H91" s="28">
        <v>68</v>
      </c>
      <c r="I91" s="28">
        <v>15700</v>
      </c>
      <c r="J91" s="29">
        <v>923</v>
      </c>
      <c r="K91" s="28">
        <v>13.5</v>
      </c>
      <c r="L91" s="29">
        <v>674</v>
      </c>
      <c r="M91" s="29">
        <v>98.4</v>
      </c>
      <c r="N91" s="28">
        <v>2.8</v>
      </c>
      <c r="O91" s="31">
        <f t="shared" si="16"/>
        <v>39.460380000000008</v>
      </c>
      <c r="P91" s="28">
        <v>1.83</v>
      </c>
      <c r="Q91" s="29">
        <f>+F91*D91*(C91-F91)/2/1000+P91*E91*(C91-2*F91-2*P91)/2/1000+(2*P91)^2*(1-PI()/4)/4*(C91-2*P91-2*F91)/2/1000</f>
        <v>406.72074120517794</v>
      </c>
      <c r="R91" s="29">
        <f t="shared" si="7"/>
        <v>1046.9740441716153</v>
      </c>
      <c r="S91" s="30">
        <f t="shared" si="8"/>
        <v>47.09373793734656</v>
      </c>
      <c r="T91" s="28">
        <f t="shared" si="17"/>
        <v>70</v>
      </c>
      <c r="U91" s="28" t="str">
        <f t="shared" si="10"/>
        <v>a/b</v>
      </c>
      <c r="V91" s="28">
        <v>540</v>
      </c>
      <c r="W91" s="31">
        <v>85.3</v>
      </c>
      <c r="X91" s="31">
        <v>166.1</v>
      </c>
      <c r="Y91" s="29">
        <v>7</v>
      </c>
      <c r="Z91" s="29">
        <v>5</v>
      </c>
      <c r="AA91" s="30" t="s">
        <v>241</v>
      </c>
      <c r="AB91" s="30">
        <v>0</v>
      </c>
      <c r="AC91" s="149" t="str">
        <f t="shared" si="11"/>
        <v>a0</v>
      </c>
      <c r="AD91" s="15"/>
      <c r="AE91" s="15"/>
      <c r="AF91" s="15"/>
    </row>
    <row r="92" spans="1:32" x14ac:dyDescent="0.2">
      <c r="A92" s="19">
        <f t="shared" si="9"/>
        <v>89</v>
      </c>
      <c r="B92" s="32" t="s">
        <v>5128</v>
      </c>
      <c r="C92" s="28">
        <v>360</v>
      </c>
      <c r="D92" s="28">
        <v>143</v>
      </c>
      <c r="E92" s="28">
        <v>13</v>
      </c>
      <c r="F92" s="28">
        <v>19.5</v>
      </c>
      <c r="G92" s="28">
        <v>97</v>
      </c>
      <c r="H92" s="28">
        <v>76.099999999999994</v>
      </c>
      <c r="I92" s="28">
        <v>19610</v>
      </c>
      <c r="J92" s="29">
        <v>1090</v>
      </c>
      <c r="K92" s="28">
        <v>14.2</v>
      </c>
      <c r="L92" s="29">
        <v>818</v>
      </c>
      <c r="M92" s="29">
        <v>114</v>
      </c>
      <c r="N92" s="28">
        <v>2.9</v>
      </c>
      <c r="O92" s="31">
        <f t="shared" si="16"/>
        <v>44.525499999999994</v>
      </c>
      <c r="P92" s="28">
        <v>1.95</v>
      </c>
      <c r="Q92" s="29">
        <f t="shared" si="15"/>
        <v>478.89074802333766</v>
      </c>
      <c r="R92" s="29">
        <f t="shared" si="7"/>
        <v>1237.464522232734</v>
      </c>
      <c r="S92" s="30">
        <f t="shared" si="8"/>
        <v>53.233436029458758</v>
      </c>
      <c r="T92" s="28">
        <f t="shared" si="17"/>
        <v>78</v>
      </c>
      <c r="U92" s="28" t="str">
        <f t="shared" si="10"/>
        <v>a/b</v>
      </c>
      <c r="V92" s="28">
        <v>638</v>
      </c>
      <c r="W92" s="31">
        <v>107.9</v>
      </c>
      <c r="X92" s="31">
        <v>226.2</v>
      </c>
      <c r="Y92" s="29">
        <v>7</v>
      </c>
      <c r="Z92" s="29">
        <v>5</v>
      </c>
      <c r="AA92" s="30" t="s">
        <v>241</v>
      </c>
      <c r="AB92" s="30">
        <v>0</v>
      </c>
      <c r="AC92" s="149" t="str">
        <f t="shared" si="11"/>
        <v>a0</v>
      </c>
      <c r="AD92" s="15"/>
      <c r="AE92" s="15"/>
      <c r="AF92" s="15"/>
    </row>
    <row r="93" spans="1:32" x14ac:dyDescent="0.2">
      <c r="A93" s="19">
        <f t="shared" si="9"/>
        <v>90</v>
      </c>
      <c r="B93" s="32" t="s">
        <v>5129</v>
      </c>
      <c r="C93" s="28">
        <v>380</v>
      </c>
      <c r="D93" s="28">
        <v>149</v>
      </c>
      <c r="E93" s="28">
        <v>13.7</v>
      </c>
      <c r="F93" s="28">
        <v>20.5</v>
      </c>
      <c r="G93" s="28">
        <v>107</v>
      </c>
      <c r="H93" s="28">
        <v>84</v>
      </c>
      <c r="I93" s="28">
        <v>24010</v>
      </c>
      <c r="J93" s="29">
        <v>1260</v>
      </c>
      <c r="K93" s="28">
        <v>15</v>
      </c>
      <c r="L93" s="29">
        <v>975</v>
      </c>
      <c r="M93" s="29">
        <v>131</v>
      </c>
      <c r="N93" s="28">
        <v>3.02</v>
      </c>
      <c r="O93" s="31">
        <f t="shared" si="16"/>
        <v>49.558999999999997</v>
      </c>
      <c r="P93" s="28">
        <v>2.0499999999999998</v>
      </c>
      <c r="Q93" s="29">
        <f t="shared" si="15"/>
        <v>553.90022541335804</v>
      </c>
      <c r="R93" s="29">
        <f t="shared" si="7"/>
        <v>1429.6805016422813</v>
      </c>
      <c r="S93" s="30">
        <f t="shared" si="8"/>
        <v>59.385605007566994</v>
      </c>
      <c r="T93" s="28">
        <f t="shared" si="17"/>
        <v>86</v>
      </c>
      <c r="U93" s="28" t="str">
        <f t="shared" si="10"/>
        <v>a/b</v>
      </c>
      <c r="V93" s="28">
        <v>784</v>
      </c>
      <c r="W93" s="31">
        <v>131.30000000000001</v>
      </c>
      <c r="X93" s="31">
        <v>300.3</v>
      </c>
      <c r="Y93" s="29">
        <v>7</v>
      </c>
      <c r="Z93" s="29">
        <v>5</v>
      </c>
      <c r="AA93" s="30" t="s">
        <v>241</v>
      </c>
      <c r="AB93" s="30">
        <v>0</v>
      </c>
      <c r="AC93" s="149" t="str">
        <f t="shared" si="11"/>
        <v>a0</v>
      </c>
      <c r="AD93" s="15"/>
      <c r="AE93" s="15"/>
      <c r="AF93" s="15"/>
    </row>
    <row r="94" spans="1:32" x14ac:dyDescent="0.2">
      <c r="A94" s="19">
        <f t="shared" si="9"/>
        <v>91</v>
      </c>
      <c r="B94" s="32" t="s">
        <v>5130</v>
      </c>
      <c r="C94" s="28">
        <v>400</v>
      </c>
      <c r="D94" s="28">
        <v>155</v>
      </c>
      <c r="E94" s="28">
        <v>14.4</v>
      </c>
      <c r="F94" s="28">
        <v>21.6</v>
      </c>
      <c r="G94" s="28">
        <v>118</v>
      </c>
      <c r="H94" s="28">
        <v>92.4</v>
      </c>
      <c r="I94" s="28">
        <v>29210</v>
      </c>
      <c r="J94" s="29">
        <v>1460</v>
      </c>
      <c r="K94" s="28">
        <v>15.7</v>
      </c>
      <c r="L94" s="29">
        <v>1160</v>
      </c>
      <c r="M94" s="29">
        <v>149</v>
      </c>
      <c r="N94" s="28">
        <v>3.13</v>
      </c>
      <c r="O94" s="31">
        <f t="shared" si="16"/>
        <v>55.083520000000007</v>
      </c>
      <c r="P94" s="28">
        <v>2.16</v>
      </c>
      <c r="Q94" s="29">
        <f t="shared" si="15"/>
        <v>639.09982861299693</v>
      </c>
      <c r="R94" s="29">
        <f t="shared" si="7"/>
        <v>1656.8315932818882</v>
      </c>
      <c r="S94" s="30">
        <f t="shared" si="8"/>
        <v>65.815070067043678</v>
      </c>
      <c r="T94" s="28">
        <f t="shared" si="17"/>
        <v>95</v>
      </c>
      <c r="U94" s="28" t="str">
        <f t="shared" si="10"/>
        <v>a/b</v>
      </c>
      <c r="V94" s="28">
        <v>857</v>
      </c>
      <c r="W94" s="31">
        <v>159.69999999999999</v>
      </c>
      <c r="X94" s="31">
        <v>395.4</v>
      </c>
      <c r="Y94" s="29">
        <v>7</v>
      </c>
      <c r="Z94" s="29">
        <v>5</v>
      </c>
      <c r="AA94" s="30" t="s">
        <v>241</v>
      </c>
      <c r="AB94" s="30">
        <v>0</v>
      </c>
      <c r="AC94" s="149" t="str">
        <f t="shared" si="11"/>
        <v>a0</v>
      </c>
      <c r="AD94" s="15"/>
      <c r="AE94" s="15"/>
      <c r="AF94" s="15"/>
    </row>
    <row r="95" spans="1:32" x14ac:dyDescent="0.2">
      <c r="A95" s="19">
        <f t="shared" si="9"/>
        <v>92</v>
      </c>
      <c r="B95" s="32" t="s">
        <v>5131</v>
      </c>
      <c r="C95" s="28">
        <v>425</v>
      </c>
      <c r="D95" s="28">
        <v>163</v>
      </c>
      <c r="E95" s="28">
        <v>15.3</v>
      </c>
      <c r="F95" s="28">
        <v>23</v>
      </c>
      <c r="G95" s="28">
        <v>132</v>
      </c>
      <c r="H95" s="28">
        <v>104</v>
      </c>
      <c r="I95" s="28">
        <v>36970</v>
      </c>
      <c r="J95" s="29">
        <v>1740</v>
      </c>
      <c r="K95" s="28">
        <v>16.7</v>
      </c>
      <c r="L95" s="29">
        <v>1440</v>
      </c>
      <c r="M95" s="29">
        <v>176</v>
      </c>
      <c r="N95" s="28">
        <v>3.3</v>
      </c>
      <c r="O95" s="31">
        <f t="shared" si="16"/>
        <v>61.596999999999994</v>
      </c>
      <c r="P95" s="28">
        <v>2.2999999999999998</v>
      </c>
      <c r="Q95" s="29">
        <f t="shared" si="15"/>
        <v>760.34908562356543</v>
      </c>
      <c r="R95" s="29">
        <f t="shared" si="7"/>
        <v>1975.1602564102566</v>
      </c>
      <c r="S95" s="30">
        <f t="shared" si="8"/>
        <v>74.392277270395539</v>
      </c>
      <c r="T95" s="28">
        <f t="shared" si="17"/>
        <v>107</v>
      </c>
      <c r="U95" s="28" t="str">
        <f t="shared" si="10"/>
        <v>a/b</v>
      </c>
      <c r="V95" s="28">
        <v>1200</v>
      </c>
      <c r="W95" s="31"/>
      <c r="X95" s="31"/>
      <c r="Y95" s="29">
        <v>7</v>
      </c>
      <c r="Z95" s="29">
        <v>5</v>
      </c>
      <c r="AA95" s="30" t="s">
        <v>241</v>
      </c>
      <c r="AB95" s="30">
        <v>0</v>
      </c>
      <c r="AC95" s="149" t="str">
        <f t="shared" si="11"/>
        <v>a0</v>
      </c>
      <c r="AD95" s="15"/>
      <c r="AE95" s="15"/>
      <c r="AF95" s="15"/>
    </row>
    <row r="96" spans="1:32" x14ac:dyDescent="0.2">
      <c r="A96" s="19">
        <f t="shared" si="9"/>
        <v>93</v>
      </c>
      <c r="B96" s="32" t="s">
        <v>5132</v>
      </c>
      <c r="C96" s="28">
        <v>450</v>
      </c>
      <c r="D96" s="28">
        <v>170</v>
      </c>
      <c r="E96" s="28">
        <v>16.2</v>
      </c>
      <c r="F96" s="28">
        <v>24.3</v>
      </c>
      <c r="G96" s="28">
        <v>147</v>
      </c>
      <c r="H96" s="28">
        <v>115</v>
      </c>
      <c r="I96" s="28">
        <v>45850</v>
      </c>
      <c r="J96" s="29">
        <v>2040</v>
      </c>
      <c r="K96" s="28">
        <v>17.7</v>
      </c>
      <c r="L96" s="29">
        <v>1730</v>
      </c>
      <c r="M96" s="29">
        <v>203</v>
      </c>
      <c r="N96" s="28">
        <v>3.43</v>
      </c>
      <c r="O96" s="31">
        <f t="shared" si="16"/>
        <v>69.497579999999999</v>
      </c>
      <c r="P96" s="28">
        <v>2.4300000000000002</v>
      </c>
      <c r="Q96" s="29">
        <f t="shared" si="15"/>
        <v>887.3396950368649</v>
      </c>
      <c r="R96" s="29">
        <f t="shared" si="7"/>
        <v>2315.0249659555152</v>
      </c>
      <c r="S96" s="30">
        <f t="shared" si="8"/>
        <v>83.707514061922069</v>
      </c>
      <c r="T96" s="28">
        <f t="shared" si="17"/>
        <v>118</v>
      </c>
      <c r="U96" s="28" t="str">
        <f t="shared" si="10"/>
        <v>a/b</v>
      </c>
      <c r="V96" s="28">
        <v>1200</v>
      </c>
      <c r="W96" s="31">
        <v>250.5</v>
      </c>
      <c r="X96" s="31">
        <v>745.5</v>
      </c>
      <c r="Y96" s="29">
        <v>7</v>
      </c>
      <c r="Z96" s="29">
        <v>5</v>
      </c>
      <c r="AA96" s="30" t="s">
        <v>241</v>
      </c>
      <c r="AB96" s="30">
        <v>0</v>
      </c>
      <c r="AC96" s="149" t="str">
        <f t="shared" si="11"/>
        <v>a0</v>
      </c>
      <c r="AD96" s="15"/>
      <c r="AE96" s="15"/>
      <c r="AF96" s="15"/>
    </row>
    <row r="97" spans="1:32" x14ac:dyDescent="0.2">
      <c r="A97" s="19">
        <f t="shared" si="9"/>
        <v>94</v>
      </c>
      <c r="B97" s="32" t="s">
        <v>5133</v>
      </c>
      <c r="C97" s="28">
        <v>475</v>
      </c>
      <c r="D97" s="28">
        <v>178</v>
      </c>
      <c r="E97" s="28">
        <v>17.100000000000001</v>
      </c>
      <c r="F97" s="28">
        <v>25.6</v>
      </c>
      <c r="G97" s="28">
        <v>163</v>
      </c>
      <c r="H97" s="28">
        <v>128</v>
      </c>
      <c r="I97" s="28">
        <v>56480</v>
      </c>
      <c r="J97" s="29">
        <v>2380</v>
      </c>
      <c r="K97" s="28">
        <v>18.600000000000001</v>
      </c>
      <c r="L97" s="29">
        <v>2090</v>
      </c>
      <c r="M97" s="29">
        <v>235</v>
      </c>
      <c r="N97" s="28">
        <v>3.6</v>
      </c>
      <c r="O97" s="31">
        <f t="shared" si="16"/>
        <v>77.552319999999995</v>
      </c>
      <c r="P97" s="28">
        <v>2.56</v>
      </c>
      <c r="Q97" s="29">
        <f t="shared" si="15"/>
        <v>1033.3714466716017</v>
      </c>
      <c r="R97" s="29">
        <f t="shared" si="7"/>
        <v>2700.1528613738415</v>
      </c>
      <c r="S97" s="30">
        <f t="shared" si="8"/>
        <v>93.461843087573442</v>
      </c>
      <c r="T97" s="28">
        <f t="shared" si="17"/>
        <v>131</v>
      </c>
      <c r="U97" s="28" t="str">
        <f t="shared" si="10"/>
        <v>a/b</v>
      </c>
      <c r="V97" s="28">
        <v>1480</v>
      </c>
      <c r="W97" s="31"/>
      <c r="X97" s="31"/>
      <c r="Y97" s="29">
        <v>7</v>
      </c>
      <c r="Z97" s="29">
        <v>5</v>
      </c>
      <c r="AA97" s="30" t="s">
        <v>241</v>
      </c>
      <c r="AB97" s="30">
        <v>0</v>
      </c>
      <c r="AC97" s="149" t="str">
        <f t="shared" si="11"/>
        <v>a0</v>
      </c>
      <c r="AD97" s="15"/>
      <c r="AE97" s="15"/>
      <c r="AF97" s="15"/>
    </row>
    <row r="98" spans="1:32" x14ac:dyDescent="0.2">
      <c r="A98" s="19">
        <f t="shared" si="9"/>
        <v>95</v>
      </c>
      <c r="B98" s="32" t="s">
        <v>5134</v>
      </c>
      <c r="C98" s="28">
        <v>500</v>
      </c>
      <c r="D98" s="28">
        <v>185</v>
      </c>
      <c r="E98" s="28">
        <v>18</v>
      </c>
      <c r="F98" s="28">
        <v>27</v>
      </c>
      <c r="G98" s="28">
        <v>179</v>
      </c>
      <c r="H98" s="28">
        <v>141</v>
      </c>
      <c r="I98" s="28">
        <v>68740</v>
      </c>
      <c r="J98" s="29">
        <v>2750</v>
      </c>
      <c r="K98" s="28">
        <v>19.600000000000001</v>
      </c>
      <c r="L98" s="29">
        <v>2480</v>
      </c>
      <c r="M98" s="29">
        <v>268</v>
      </c>
      <c r="N98" s="28">
        <v>3.72</v>
      </c>
      <c r="O98" s="31">
        <f t="shared" si="16"/>
        <v>85.417999999999992</v>
      </c>
      <c r="P98" s="28">
        <v>2.7</v>
      </c>
      <c r="Q98" s="29">
        <f t="shared" si="15"/>
        <v>1192.3687277597598</v>
      </c>
      <c r="R98" s="29">
        <f t="shared" si="7"/>
        <v>3120.7444394008171</v>
      </c>
      <c r="S98" s="30">
        <f t="shared" si="8"/>
        <v>103.76991371827532</v>
      </c>
      <c r="T98" s="28">
        <f t="shared" si="17"/>
        <v>145</v>
      </c>
      <c r="U98" s="28" t="str">
        <f t="shared" si="10"/>
        <v>a/b</v>
      </c>
      <c r="V98" s="28">
        <v>1620</v>
      </c>
      <c r="W98" s="31">
        <v>375.4</v>
      </c>
      <c r="X98" s="31">
        <v>1321.7</v>
      </c>
      <c r="Y98" s="29">
        <v>7</v>
      </c>
      <c r="Z98" s="29">
        <v>5</v>
      </c>
      <c r="AA98" s="30" t="s">
        <v>241</v>
      </c>
      <c r="AB98" s="30">
        <v>0</v>
      </c>
      <c r="AC98" s="149" t="str">
        <f t="shared" si="11"/>
        <v>a0</v>
      </c>
      <c r="AD98" s="15"/>
      <c r="AE98" s="15"/>
      <c r="AF98" s="15"/>
    </row>
    <row r="99" spans="1:32" x14ac:dyDescent="0.2">
      <c r="A99" s="19">
        <f t="shared" si="9"/>
        <v>96</v>
      </c>
      <c r="B99" s="32" t="s">
        <v>5135</v>
      </c>
      <c r="C99" s="28">
        <v>550</v>
      </c>
      <c r="D99" s="28">
        <v>200</v>
      </c>
      <c r="E99" s="28">
        <v>19</v>
      </c>
      <c r="F99" s="28">
        <v>30</v>
      </c>
      <c r="G99" s="28">
        <v>212</v>
      </c>
      <c r="H99" s="28">
        <v>166</v>
      </c>
      <c r="I99" s="28">
        <v>99180</v>
      </c>
      <c r="J99" s="29">
        <v>3610</v>
      </c>
      <c r="K99" s="28">
        <v>21.6</v>
      </c>
      <c r="L99" s="29">
        <v>3490</v>
      </c>
      <c r="M99" s="29">
        <v>349</v>
      </c>
      <c r="N99" s="28">
        <v>4.0199999999999996</v>
      </c>
      <c r="O99" s="31">
        <f t="shared" si="16"/>
        <v>99.5</v>
      </c>
      <c r="P99" s="28">
        <v>3</v>
      </c>
      <c r="Q99" s="29">
        <f t="shared" si="15"/>
        <v>1574.2614028001205</v>
      </c>
      <c r="R99" s="29">
        <f t="shared" si="7"/>
        <v>4102.272727272727</v>
      </c>
      <c r="S99" s="30">
        <f t="shared" si="8"/>
        <v>119.70184853977896</v>
      </c>
      <c r="T99" s="28">
        <f t="shared" si="17"/>
        <v>170</v>
      </c>
      <c r="U99" s="28" t="str">
        <f t="shared" si="10"/>
        <v>a/b</v>
      </c>
      <c r="V99" s="28">
        <v>2120</v>
      </c>
      <c r="W99" s="31">
        <v>531.4</v>
      </c>
      <c r="X99" s="31">
        <v>2252.9</v>
      </c>
      <c r="Y99" s="29">
        <v>7</v>
      </c>
      <c r="Z99" s="29">
        <v>5</v>
      </c>
      <c r="AA99" s="30" t="s">
        <v>241</v>
      </c>
      <c r="AB99" s="30">
        <v>0</v>
      </c>
      <c r="AC99" s="149" t="str">
        <f t="shared" si="11"/>
        <v>a0</v>
      </c>
      <c r="AD99" s="15"/>
      <c r="AE99" s="15"/>
      <c r="AF99" s="15"/>
    </row>
    <row r="100" spans="1:32" x14ac:dyDescent="0.2">
      <c r="A100" s="19">
        <f t="shared" si="9"/>
        <v>97</v>
      </c>
      <c r="B100" s="32" t="s">
        <v>5136</v>
      </c>
      <c r="C100" s="28">
        <v>600</v>
      </c>
      <c r="D100" s="28">
        <v>215</v>
      </c>
      <c r="E100" s="28">
        <v>21.6</v>
      </c>
      <c r="F100" s="28">
        <v>32.4</v>
      </c>
      <c r="G100" s="28">
        <v>254</v>
      </c>
      <c r="H100" s="28">
        <v>199</v>
      </c>
      <c r="I100" s="28">
        <v>139000</v>
      </c>
      <c r="J100" s="29">
        <v>4630</v>
      </c>
      <c r="K100" s="28">
        <v>23.4</v>
      </c>
      <c r="L100" s="29">
        <v>4670</v>
      </c>
      <c r="M100" s="29">
        <v>434</v>
      </c>
      <c r="N100" s="28">
        <v>4.3</v>
      </c>
      <c r="O100" s="31">
        <f t="shared" si="16"/>
        <v>123.77792000000001</v>
      </c>
      <c r="P100" s="28">
        <v>3.24</v>
      </c>
      <c r="Q100" s="29">
        <f t="shared" si="15"/>
        <v>1996.0473215688651</v>
      </c>
      <c r="R100" s="29">
        <f t="shared" si="7"/>
        <v>5254.1988197911933</v>
      </c>
      <c r="S100" s="30">
        <f t="shared" si="8"/>
        <v>150.41727556038882</v>
      </c>
      <c r="T100" s="28">
        <f t="shared" si="17"/>
        <v>204</v>
      </c>
      <c r="U100" s="28" t="str">
        <f t="shared" si="10"/>
        <v>a/b</v>
      </c>
      <c r="V100" s="28">
        <v>2730</v>
      </c>
      <c r="W100" s="31"/>
      <c r="X100" s="31"/>
      <c r="Y100" s="29">
        <v>4</v>
      </c>
      <c r="Z100" s="29">
        <v>5</v>
      </c>
      <c r="AA100" s="30" t="s">
        <v>241</v>
      </c>
      <c r="AB100" s="30">
        <v>0</v>
      </c>
      <c r="AC100" s="149" t="str">
        <f t="shared" si="11"/>
        <v>a0</v>
      </c>
      <c r="AD100" s="15"/>
      <c r="AE100" s="15"/>
      <c r="AF100" s="15"/>
    </row>
    <row r="101" spans="1:32" x14ac:dyDescent="0.2">
      <c r="A101" s="19">
        <f t="shared" si="9"/>
        <v>98</v>
      </c>
      <c r="B101" s="32" t="s">
        <v>5137</v>
      </c>
      <c r="C101" s="28">
        <v>242</v>
      </c>
      <c r="D101" s="28">
        <v>122</v>
      </c>
      <c r="E101" s="28">
        <v>7</v>
      </c>
      <c r="F101" s="28">
        <v>10.8</v>
      </c>
      <c r="G101" s="28">
        <v>43.7</v>
      </c>
      <c r="H101" s="28">
        <v>34.299999999999997</v>
      </c>
      <c r="I101" s="28">
        <v>4370</v>
      </c>
      <c r="J101" s="29">
        <v>361</v>
      </c>
      <c r="K101" s="28">
        <v>10</v>
      </c>
      <c r="L101" s="29">
        <v>329</v>
      </c>
      <c r="M101" s="29">
        <v>53.9</v>
      </c>
      <c r="N101" s="28">
        <v>2.74</v>
      </c>
      <c r="O101" s="31">
        <f t="shared" si="16"/>
        <v>21.344000000000001</v>
      </c>
      <c r="P101" s="28">
        <v>15</v>
      </c>
      <c r="Q101" s="29">
        <f t="shared" si="15"/>
        <v>166.90733134002667</v>
      </c>
      <c r="R101" s="29">
        <f t="shared" si="7"/>
        <v>458.83403361344534</v>
      </c>
      <c r="S101" s="30">
        <f t="shared" si="8"/>
        <v>18.327535258281429</v>
      </c>
      <c r="T101" s="28">
        <f t="shared" si="17"/>
        <v>35</v>
      </c>
      <c r="U101" s="28" t="str">
        <f t="shared" si="10"/>
        <v>a/b</v>
      </c>
      <c r="V101" s="28">
        <v>205</v>
      </c>
      <c r="W101" s="31"/>
      <c r="X101" s="31"/>
      <c r="Y101" s="29">
        <v>4</v>
      </c>
      <c r="Z101" s="29">
        <v>1</v>
      </c>
      <c r="AA101" s="30" t="s">
        <v>241</v>
      </c>
      <c r="AB101" s="30">
        <v>0</v>
      </c>
      <c r="AC101" s="149" t="str">
        <f t="shared" si="11"/>
        <v>a0</v>
      </c>
      <c r="AD101" s="15"/>
      <c r="AE101" s="15"/>
      <c r="AF101" s="15"/>
    </row>
    <row r="102" spans="1:32" x14ac:dyDescent="0.2">
      <c r="A102" s="19">
        <f t="shared" si="9"/>
        <v>99</v>
      </c>
      <c r="B102" s="32" t="s">
        <v>5138</v>
      </c>
      <c r="C102" s="28">
        <v>274</v>
      </c>
      <c r="D102" s="28">
        <v>136</v>
      </c>
      <c r="E102" s="28">
        <v>7.5</v>
      </c>
      <c r="F102" s="28">
        <v>12.2</v>
      </c>
      <c r="G102" s="28">
        <v>63.8</v>
      </c>
      <c r="H102" s="28">
        <v>42.3</v>
      </c>
      <c r="I102" s="28">
        <v>6950</v>
      </c>
      <c r="J102" s="29">
        <v>507</v>
      </c>
      <c r="K102" s="28">
        <v>11.4</v>
      </c>
      <c r="L102" s="29">
        <v>514</v>
      </c>
      <c r="M102" s="29">
        <v>75.5</v>
      </c>
      <c r="N102" s="28">
        <v>3.09</v>
      </c>
      <c r="O102" s="31">
        <f t="shared" si="16"/>
        <v>35.191000000000003</v>
      </c>
      <c r="P102" s="28">
        <v>15</v>
      </c>
      <c r="Q102" s="29">
        <f t="shared" si="15"/>
        <v>234.84351837326602</v>
      </c>
      <c r="R102" s="29">
        <f t="shared" si="7"/>
        <v>632.59562841530055</v>
      </c>
      <c r="S102" s="30">
        <f t="shared" si="8"/>
        <v>22.195630674018112</v>
      </c>
      <c r="T102" s="28">
        <f t="shared" si="17"/>
        <v>43</v>
      </c>
      <c r="U102" s="28" t="str">
        <f t="shared" si="10"/>
        <v>a/b</v>
      </c>
      <c r="V102" s="28">
        <v>287</v>
      </c>
      <c r="W102" s="31"/>
      <c r="X102" s="31"/>
      <c r="Y102" s="29">
        <v>4</v>
      </c>
      <c r="Z102" s="29">
        <v>1</v>
      </c>
      <c r="AA102" s="30" t="s">
        <v>241</v>
      </c>
      <c r="AB102" s="30">
        <v>0</v>
      </c>
      <c r="AC102" s="149" t="str">
        <f t="shared" si="11"/>
        <v>a0</v>
      </c>
      <c r="AD102" s="15"/>
      <c r="AE102" s="15"/>
      <c r="AF102" s="15"/>
    </row>
    <row r="103" spans="1:32" x14ac:dyDescent="0.2">
      <c r="A103" s="19">
        <f t="shared" si="9"/>
        <v>100</v>
      </c>
      <c r="B103" s="32" t="s">
        <v>5139</v>
      </c>
      <c r="C103" s="28">
        <v>304</v>
      </c>
      <c r="D103" s="28">
        <v>152</v>
      </c>
      <c r="E103" s="28">
        <v>8</v>
      </c>
      <c r="F103" s="28">
        <v>12.7</v>
      </c>
      <c r="G103" s="28">
        <v>62.8</v>
      </c>
      <c r="H103" s="28">
        <v>49.3</v>
      </c>
      <c r="I103" s="28">
        <v>9990</v>
      </c>
      <c r="J103" s="29">
        <v>658</v>
      </c>
      <c r="K103" s="28">
        <v>12.6</v>
      </c>
      <c r="L103" s="29">
        <v>746</v>
      </c>
      <c r="M103" s="29">
        <v>98.1</v>
      </c>
      <c r="N103" s="28">
        <v>3.45</v>
      </c>
      <c r="O103" s="31">
        <f t="shared" si="16"/>
        <v>29.018000000000001</v>
      </c>
      <c r="P103" s="28">
        <v>15</v>
      </c>
      <c r="Q103" s="29">
        <f t="shared" si="15"/>
        <v>302.08063686518187</v>
      </c>
      <c r="R103" s="29">
        <f t="shared" si="7"/>
        <v>804.63395012067576</v>
      </c>
      <c r="S103" s="30">
        <f t="shared" si="8"/>
        <v>26.456512019228882</v>
      </c>
      <c r="T103" s="28">
        <f t="shared" si="17"/>
        <v>51</v>
      </c>
      <c r="U103" s="28" t="str">
        <f t="shared" si="10"/>
        <v>a/b</v>
      </c>
      <c r="V103" s="28">
        <v>372</v>
      </c>
      <c r="W103" s="31"/>
      <c r="X103" s="31"/>
      <c r="Y103" s="29">
        <v>4</v>
      </c>
      <c r="Z103" s="29">
        <v>1</v>
      </c>
      <c r="AA103" s="30" t="s">
        <v>241</v>
      </c>
      <c r="AB103" s="30">
        <v>0</v>
      </c>
      <c r="AC103" s="149" t="str">
        <f t="shared" si="11"/>
        <v>a0</v>
      </c>
      <c r="AD103" s="15"/>
      <c r="AE103" s="15"/>
      <c r="AF103" s="15"/>
    </row>
    <row r="104" spans="1:32" x14ac:dyDescent="0.2">
      <c r="A104" s="19">
        <f t="shared" si="9"/>
        <v>101</v>
      </c>
      <c r="B104" s="32" t="s">
        <v>5140</v>
      </c>
      <c r="C104" s="28">
        <v>334</v>
      </c>
      <c r="D104" s="28">
        <v>182</v>
      </c>
      <c r="E104" s="28">
        <v>8.5</v>
      </c>
      <c r="F104" s="28">
        <v>13.5</v>
      </c>
      <c r="G104" s="28">
        <v>72.599999999999994</v>
      </c>
      <c r="H104" s="28">
        <v>57</v>
      </c>
      <c r="I104" s="28">
        <v>13910</v>
      </c>
      <c r="J104" s="29">
        <v>833</v>
      </c>
      <c r="K104" s="28">
        <v>13.8</v>
      </c>
      <c r="L104" s="29">
        <v>960</v>
      </c>
      <c r="M104" s="29">
        <v>119</v>
      </c>
      <c r="N104" s="28">
        <v>3.64</v>
      </c>
      <c r="O104" s="31">
        <f t="shared" si="16"/>
        <v>29.467499999999994</v>
      </c>
      <c r="P104" s="28">
        <v>18</v>
      </c>
      <c r="Q104" s="29">
        <f t="shared" si="15"/>
        <v>423.88719983052516</v>
      </c>
      <c r="R104" s="29">
        <f t="shared" si="7"/>
        <v>1026.6494464944649</v>
      </c>
      <c r="S104" s="30">
        <f t="shared" si="8"/>
        <v>27.89303381825912</v>
      </c>
      <c r="T104" s="28">
        <f t="shared" si="17"/>
        <v>58</v>
      </c>
      <c r="U104" s="28" t="str">
        <f t="shared" si="10"/>
        <v>a/b</v>
      </c>
      <c r="V104" s="28">
        <v>471</v>
      </c>
      <c r="W104" s="31"/>
      <c r="X104" s="31"/>
      <c r="Y104" s="29">
        <v>4</v>
      </c>
      <c r="Z104" s="29">
        <v>1</v>
      </c>
      <c r="AA104" s="30" t="s">
        <v>241</v>
      </c>
      <c r="AB104" s="30">
        <v>0</v>
      </c>
      <c r="AC104" s="149" t="str">
        <f t="shared" si="11"/>
        <v>a0</v>
      </c>
      <c r="AD104" s="15"/>
      <c r="AE104" s="15"/>
      <c r="AF104" s="15"/>
    </row>
    <row r="105" spans="1:32" x14ac:dyDescent="0.2">
      <c r="A105" s="19">
        <f t="shared" si="9"/>
        <v>102</v>
      </c>
      <c r="B105" s="32" t="s">
        <v>5141</v>
      </c>
      <c r="C105" s="28">
        <v>364</v>
      </c>
      <c r="D105" s="28">
        <v>172</v>
      </c>
      <c r="E105" s="28">
        <v>9.1999999999999993</v>
      </c>
      <c r="F105" s="28">
        <v>14.7</v>
      </c>
      <c r="G105" s="28">
        <v>84.1</v>
      </c>
      <c r="H105" s="28">
        <v>55</v>
      </c>
      <c r="I105" s="28">
        <v>19050</v>
      </c>
      <c r="J105" s="29">
        <v>1050</v>
      </c>
      <c r="K105" s="28">
        <v>15.1</v>
      </c>
      <c r="L105" s="29">
        <v>1250</v>
      </c>
      <c r="M105" s="29">
        <v>146</v>
      </c>
      <c r="N105" s="28">
        <v>3.86</v>
      </c>
      <c r="O105" s="31">
        <f t="shared" si="16"/>
        <v>42.234399999999994</v>
      </c>
      <c r="P105" s="28">
        <v>25</v>
      </c>
      <c r="Q105" s="29">
        <f t="shared" si="15"/>
        <v>493.4002108428395</v>
      </c>
      <c r="R105" s="29">
        <f t="shared" si="7"/>
        <v>1342.9374560787069</v>
      </c>
      <c r="S105" s="30">
        <f t="shared" si="8"/>
        <v>35.520860378356176</v>
      </c>
      <c r="T105" s="28">
        <f t="shared" si="17"/>
        <v>56</v>
      </c>
      <c r="U105" s="28" t="str">
        <f t="shared" si="10"/>
        <v>a/b</v>
      </c>
      <c r="V105" s="28">
        <v>593</v>
      </c>
      <c r="W105" s="31"/>
      <c r="X105" s="31"/>
      <c r="Y105" s="29">
        <v>4</v>
      </c>
      <c r="Z105" s="29">
        <v>1</v>
      </c>
      <c r="AA105" s="30" t="s">
        <v>241</v>
      </c>
      <c r="AB105" s="30">
        <v>0</v>
      </c>
      <c r="AC105" s="149" t="str">
        <f t="shared" si="11"/>
        <v>a0</v>
      </c>
      <c r="AD105" s="15"/>
      <c r="AE105" s="15"/>
      <c r="AF105" s="15"/>
    </row>
    <row r="106" spans="1:32" x14ac:dyDescent="0.2">
      <c r="A106" s="19">
        <f t="shared" si="9"/>
        <v>103</v>
      </c>
      <c r="B106" s="32" t="s">
        <v>5142</v>
      </c>
      <c r="C106" s="28">
        <v>404</v>
      </c>
      <c r="D106" s="28">
        <v>182</v>
      </c>
      <c r="E106" s="28">
        <v>9.6999999999999993</v>
      </c>
      <c r="F106" s="28">
        <v>15.5</v>
      </c>
      <c r="G106" s="28">
        <v>96.4</v>
      </c>
      <c r="H106" s="28">
        <v>75.7</v>
      </c>
      <c r="I106" s="28">
        <v>26750</v>
      </c>
      <c r="J106" s="29">
        <v>1320</v>
      </c>
      <c r="K106" s="28">
        <v>16.7</v>
      </c>
      <c r="L106" s="29">
        <v>1560</v>
      </c>
      <c r="M106" s="29">
        <v>172</v>
      </c>
      <c r="N106" s="28">
        <v>4.03</v>
      </c>
      <c r="O106" s="31">
        <f t="shared" si="16"/>
        <v>47.993500000000004</v>
      </c>
      <c r="P106" s="28">
        <v>21</v>
      </c>
      <c r="Q106" s="29">
        <f t="shared" si="15"/>
        <v>597.35442234535549</v>
      </c>
      <c r="R106" s="29">
        <f t="shared" si="7"/>
        <v>1611.117824773414</v>
      </c>
      <c r="S106" s="30">
        <f t="shared" si="8"/>
        <v>43.437361521697525</v>
      </c>
      <c r="T106" s="28">
        <f t="shared" si="17"/>
        <v>78</v>
      </c>
      <c r="U106" s="28" t="str">
        <f t="shared" si="10"/>
        <v>a/b</v>
      </c>
      <c r="V106" s="28">
        <v>751</v>
      </c>
      <c r="W106" s="31"/>
      <c r="X106" s="31"/>
      <c r="Y106" s="29">
        <v>4</v>
      </c>
      <c r="Z106" s="29">
        <v>1</v>
      </c>
      <c r="AA106" s="30" t="s">
        <v>241</v>
      </c>
      <c r="AB106" s="30">
        <v>0</v>
      </c>
      <c r="AC106" s="149" t="str">
        <f t="shared" si="11"/>
        <v>a0</v>
      </c>
      <c r="AD106" s="15"/>
      <c r="AE106" s="15"/>
      <c r="AF106" s="15"/>
    </row>
    <row r="107" spans="1:32" x14ac:dyDescent="0.2">
      <c r="A107" s="19">
        <f t="shared" si="9"/>
        <v>104</v>
      </c>
      <c r="B107" s="32" t="s">
        <v>5143</v>
      </c>
      <c r="C107" s="28">
        <v>408</v>
      </c>
      <c r="D107" s="28">
        <v>182</v>
      </c>
      <c r="E107" s="28">
        <v>10.6</v>
      </c>
      <c r="F107" s="28">
        <v>17.600000000000001</v>
      </c>
      <c r="G107" s="28">
        <v>107</v>
      </c>
      <c r="H107" s="28">
        <v>84</v>
      </c>
      <c r="I107" s="28">
        <v>30140</v>
      </c>
      <c r="J107" s="29">
        <v>1480</v>
      </c>
      <c r="K107" s="28">
        <v>16.8</v>
      </c>
      <c r="L107" s="29">
        <v>1770</v>
      </c>
      <c r="M107" s="29">
        <v>194</v>
      </c>
      <c r="N107" s="28">
        <v>4.0599999999999996</v>
      </c>
      <c r="O107" s="31">
        <f t="shared" si="16"/>
        <v>52.193599999999996</v>
      </c>
      <c r="P107" s="28">
        <v>21</v>
      </c>
      <c r="Q107" s="29">
        <f t="shared" si="15"/>
        <v>677.73603840436135</v>
      </c>
      <c r="R107" s="29">
        <f t="shared" si="7"/>
        <v>1825.3929866989117</v>
      </c>
      <c r="S107" s="30">
        <f t="shared" si="8"/>
        <v>47.139886607208055</v>
      </c>
      <c r="T107" s="28">
        <f t="shared" si="17"/>
        <v>86</v>
      </c>
      <c r="U107" s="28" t="str">
        <f t="shared" si="10"/>
        <v>a/b</v>
      </c>
      <c r="V107" s="28">
        <v>841</v>
      </c>
      <c r="W107" s="31"/>
      <c r="X107" s="31"/>
      <c r="Y107" s="29">
        <v>4</v>
      </c>
      <c r="Z107" s="29">
        <v>1</v>
      </c>
      <c r="AA107" s="30" t="s">
        <v>241</v>
      </c>
      <c r="AB107" s="30">
        <v>0</v>
      </c>
      <c r="AC107" s="149" t="str">
        <f t="shared" si="11"/>
        <v>a0</v>
      </c>
      <c r="AD107" s="15"/>
      <c r="AE107" s="15"/>
      <c r="AF107" s="15"/>
    </row>
    <row r="108" spans="1:32" x14ac:dyDescent="0.2">
      <c r="A108" s="19">
        <f t="shared" si="9"/>
        <v>105</v>
      </c>
      <c r="B108" s="28" t="s">
        <v>5144</v>
      </c>
      <c r="C108" s="28">
        <v>456</v>
      </c>
      <c r="D108" s="28">
        <v>192</v>
      </c>
      <c r="E108" s="28">
        <v>11</v>
      </c>
      <c r="F108" s="28">
        <v>17.600000000000001</v>
      </c>
      <c r="G108" s="28">
        <v>118</v>
      </c>
      <c r="H108" s="28">
        <v>92.4</v>
      </c>
      <c r="I108" s="28">
        <v>40920</v>
      </c>
      <c r="J108" s="29">
        <v>1790</v>
      </c>
      <c r="K108" s="28">
        <v>18.7</v>
      </c>
      <c r="L108" s="29">
        <v>2090</v>
      </c>
      <c r="M108" s="29">
        <v>217</v>
      </c>
      <c r="N108" s="28">
        <v>4.21</v>
      </c>
      <c r="O108" s="31">
        <f t="shared" si="16"/>
        <v>59.744</v>
      </c>
      <c r="P108" s="28">
        <v>21</v>
      </c>
      <c r="Q108" s="29">
        <f t="shared" si="15"/>
        <v>802.39674424296277</v>
      </c>
      <c r="R108" s="29">
        <f t="shared" si="7"/>
        <v>2154.8046462513198</v>
      </c>
      <c r="S108" s="30">
        <f t="shared" si="8"/>
        <v>56.096937485043597</v>
      </c>
      <c r="T108" s="28">
        <f t="shared" si="17"/>
        <v>95</v>
      </c>
      <c r="U108" s="28" t="str">
        <f t="shared" si="10"/>
        <v>a/b</v>
      </c>
      <c r="V108" s="28">
        <v>1020</v>
      </c>
      <c r="W108" s="31"/>
      <c r="X108" s="31"/>
      <c r="Y108" s="29">
        <v>4</v>
      </c>
      <c r="Z108" s="29">
        <v>1</v>
      </c>
      <c r="AA108" s="30" t="s">
        <v>241</v>
      </c>
      <c r="AB108" s="30">
        <v>0</v>
      </c>
      <c r="AC108" s="149" t="str">
        <f t="shared" si="11"/>
        <v>a0</v>
      </c>
      <c r="AD108" s="15"/>
      <c r="AE108" s="15"/>
      <c r="AF108" s="15"/>
    </row>
    <row r="109" spans="1:32" x14ac:dyDescent="0.2">
      <c r="A109" s="19">
        <f t="shared" si="9"/>
        <v>106</v>
      </c>
      <c r="B109" s="28" t="s">
        <v>5145</v>
      </c>
      <c r="C109" s="28">
        <v>460</v>
      </c>
      <c r="D109" s="28">
        <v>194</v>
      </c>
      <c r="E109" s="28">
        <v>12.4</v>
      </c>
      <c r="F109" s="28">
        <v>19.600000000000001</v>
      </c>
      <c r="G109" s="28">
        <v>132</v>
      </c>
      <c r="H109" s="28">
        <v>104</v>
      </c>
      <c r="I109" s="28">
        <v>46200</v>
      </c>
      <c r="J109" s="29">
        <v>2010</v>
      </c>
      <c r="K109" s="28">
        <v>18.7</v>
      </c>
      <c r="L109" s="29">
        <v>247</v>
      </c>
      <c r="M109" s="29">
        <v>426</v>
      </c>
      <c r="N109" s="28">
        <v>3.98</v>
      </c>
      <c r="O109" s="31">
        <f t="shared" si="16"/>
        <v>66.614400000000003</v>
      </c>
      <c r="P109" s="28">
        <v>21</v>
      </c>
      <c r="Q109" s="29">
        <f t="shared" si="15"/>
        <v>904.53294424296269</v>
      </c>
      <c r="R109" s="29">
        <f t="shared" si="7"/>
        <v>2440.8658922914465</v>
      </c>
      <c r="S109" s="30">
        <f t="shared" si="8"/>
        <v>63.334343281378722</v>
      </c>
      <c r="T109" s="28">
        <f t="shared" si="17"/>
        <v>107</v>
      </c>
      <c r="U109" s="28" t="str">
        <f t="shared" si="10"/>
        <v>a/b</v>
      </c>
      <c r="V109" s="28">
        <v>1150</v>
      </c>
      <c r="W109" s="31"/>
      <c r="X109" s="31"/>
      <c r="Y109" s="29">
        <v>4</v>
      </c>
      <c r="Z109" s="29">
        <v>1</v>
      </c>
      <c r="AA109" s="30" t="s">
        <v>241</v>
      </c>
      <c r="AB109" s="30">
        <v>0</v>
      </c>
      <c r="AC109" s="149" t="str">
        <f t="shared" si="11"/>
        <v>a0</v>
      </c>
      <c r="AD109" s="15"/>
      <c r="AE109" s="15"/>
      <c r="AF109" s="15"/>
    </row>
    <row r="110" spans="1:32" x14ac:dyDescent="0.2">
      <c r="A110" s="19">
        <f t="shared" si="9"/>
        <v>107</v>
      </c>
      <c r="B110" s="28" t="s">
        <v>5146</v>
      </c>
      <c r="C110" s="28">
        <v>506</v>
      </c>
      <c r="D110" s="28">
        <v>202</v>
      </c>
      <c r="E110" s="28">
        <v>12</v>
      </c>
      <c r="F110" s="28">
        <v>19</v>
      </c>
      <c r="G110" s="28">
        <v>137</v>
      </c>
      <c r="H110" s="28">
        <v>107</v>
      </c>
      <c r="I110" s="28">
        <v>57780</v>
      </c>
      <c r="J110" s="29">
        <v>2280</v>
      </c>
      <c r="K110" s="28">
        <v>20.6</v>
      </c>
      <c r="L110" s="29">
        <v>2620</v>
      </c>
      <c r="M110" s="29">
        <v>260</v>
      </c>
      <c r="N110" s="28">
        <v>4.38</v>
      </c>
      <c r="O110" s="31">
        <f t="shared" si="16"/>
        <v>70.5</v>
      </c>
      <c r="P110" s="28">
        <v>21</v>
      </c>
      <c r="Q110" s="29">
        <f t="shared" si="15"/>
        <v>1008.3871943175875</v>
      </c>
      <c r="R110" s="29">
        <f t="shared" si="7"/>
        <v>2708.1690140845071</v>
      </c>
      <c r="S110" s="30">
        <f t="shared" si="8"/>
        <v>68.75930236988205</v>
      </c>
      <c r="T110" s="28">
        <f t="shared" si="17"/>
        <v>110</v>
      </c>
      <c r="U110" s="28" t="str">
        <f t="shared" si="10"/>
        <v>a/b</v>
      </c>
      <c r="V110" s="28">
        <v>1310</v>
      </c>
      <c r="W110" s="31"/>
      <c r="X110" s="31"/>
      <c r="Y110" s="29">
        <v>4</v>
      </c>
      <c r="Z110" s="29">
        <v>1</v>
      </c>
      <c r="AA110" s="30" t="s">
        <v>241</v>
      </c>
      <c r="AB110" s="30">
        <v>0</v>
      </c>
      <c r="AC110" s="149" t="str">
        <f t="shared" si="11"/>
        <v>a0</v>
      </c>
      <c r="AD110" s="15"/>
      <c r="AE110" s="15"/>
      <c r="AF110" s="15"/>
    </row>
    <row r="111" spans="1:32" x14ac:dyDescent="0.2">
      <c r="A111" s="19">
        <f t="shared" si="9"/>
        <v>108</v>
      </c>
      <c r="B111" s="28" t="s">
        <v>5147</v>
      </c>
      <c r="C111" s="28">
        <v>514</v>
      </c>
      <c r="D111" s="28">
        <v>204</v>
      </c>
      <c r="E111" s="28">
        <v>14.2</v>
      </c>
      <c r="F111" s="28">
        <v>23</v>
      </c>
      <c r="G111" s="28">
        <v>164</v>
      </c>
      <c r="H111" s="28">
        <v>129</v>
      </c>
      <c r="I111" s="28">
        <v>70720</v>
      </c>
      <c r="J111" s="29">
        <v>2750</v>
      </c>
      <c r="K111" s="28">
        <v>29.8</v>
      </c>
      <c r="L111" s="29">
        <v>3270</v>
      </c>
      <c r="M111" s="29">
        <v>321</v>
      </c>
      <c r="N111" s="28">
        <v>4.46</v>
      </c>
      <c r="O111" s="31">
        <f t="shared" si="16"/>
        <v>83.085999999999999</v>
      </c>
      <c r="P111" s="28">
        <v>21</v>
      </c>
      <c r="Q111" s="29">
        <f t="shared" si="15"/>
        <v>1235.5607943175874</v>
      </c>
      <c r="R111" s="29">
        <f t="shared" si="7"/>
        <v>3318.0751173708918</v>
      </c>
      <c r="S111" s="30">
        <f t="shared" si="8"/>
        <v>81.276777688194869</v>
      </c>
      <c r="T111" s="28">
        <f t="shared" si="17"/>
        <v>132</v>
      </c>
      <c r="U111" s="28" t="str">
        <f t="shared" si="10"/>
        <v>a/b</v>
      </c>
      <c r="V111" s="28">
        <v>1580</v>
      </c>
      <c r="W111" s="31"/>
      <c r="X111" s="31"/>
      <c r="Y111" s="29">
        <v>4</v>
      </c>
      <c r="Z111" s="29">
        <v>1</v>
      </c>
      <c r="AA111" s="30" t="s">
        <v>241</v>
      </c>
      <c r="AB111" s="30">
        <v>0</v>
      </c>
      <c r="AC111" s="149" t="str">
        <f t="shared" si="11"/>
        <v>a0</v>
      </c>
      <c r="AD111" s="15"/>
      <c r="AE111" s="15"/>
      <c r="AF111" s="15"/>
    </row>
    <row r="112" spans="1:32" x14ac:dyDescent="0.2">
      <c r="A112" s="19">
        <f t="shared" si="9"/>
        <v>109</v>
      </c>
      <c r="B112" s="32" t="s">
        <v>5148</v>
      </c>
      <c r="C112" s="28">
        <v>556</v>
      </c>
      <c r="D112" s="28">
        <v>212</v>
      </c>
      <c r="E112" s="28">
        <v>12.7</v>
      </c>
      <c r="F112" s="28">
        <v>20.2</v>
      </c>
      <c r="G112" s="28">
        <v>156</v>
      </c>
      <c r="H112" s="28">
        <v>123</v>
      </c>
      <c r="I112" s="28">
        <v>79160</v>
      </c>
      <c r="J112" s="29">
        <v>2850</v>
      </c>
      <c r="K112" s="28">
        <v>22.5</v>
      </c>
      <c r="L112" s="29">
        <v>3220</v>
      </c>
      <c r="M112" s="29">
        <v>304</v>
      </c>
      <c r="N112" s="28">
        <v>4.55</v>
      </c>
      <c r="O112" s="31">
        <f t="shared" si="16"/>
        <v>82.613400000000013</v>
      </c>
      <c r="P112" s="28">
        <v>24</v>
      </c>
      <c r="Q112" s="29">
        <f t="shared" si="15"/>
        <v>1247.4173718130614</v>
      </c>
      <c r="R112" s="29">
        <f t="shared" si="7"/>
        <v>3388.7938408896489</v>
      </c>
      <c r="S112" s="30">
        <f t="shared" si="8"/>
        <v>80.593073554747605</v>
      </c>
      <c r="T112" s="28">
        <f t="shared" si="17"/>
        <v>126</v>
      </c>
      <c r="U112" s="28" t="str">
        <f t="shared" si="10"/>
        <v>a/b</v>
      </c>
      <c r="V112" s="28">
        <v>1630</v>
      </c>
      <c r="W112" s="31"/>
      <c r="X112" s="31"/>
      <c r="Y112" s="29">
        <v>4</v>
      </c>
      <c r="Z112" s="29">
        <v>1</v>
      </c>
      <c r="AA112" s="30" t="s">
        <v>241</v>
      </c>
      <c r="AB112" s="30">
        <v>0</v>
      </c>
      <c r="AC112" s="149" t="str">
        <f t="shared" si="11"/>
        <v>a0</v>
      </c>
      <c r="AD112" s="15"/>
      <c r="AE112" s="15"/>
      <c r="AF112" s="15"/>
    </row>
    <row r="113" spans="1:32" x14ac:dyDescent="0.2">
      <c r="A113" s="19">
        <f t="shared" si="9"/>
        <v>110</v>
      </c>
      <c r="B113" s="32" t="s">
        <v>5149</v>
      </c>
      <c r="C113" s="28">
        <v>566</v>
      </c>
      <c r="D113" s="28">
        <v>218</v>
      </c>
      <c r="E113" s="28">
        <v>17.100000000000001</v>
      </c>
      <c r="F113" s="28">
        <v>25.2</v>
      </c>
      <c r="G113" s="28">
        <v>202</v>
      </c>
      <c r="H113" s="28">
        <v>159</v>
      </c>
      <c r="I113" s="28">
        <v>102300</v>
      </c>
      <c r="J113" s="29">
        <v>3620</v>
      </c>
      <c r="K113" s="28">
        <v>22.5</v>
      </c>
      <c r="L113" s="29">
        <v>4260</v>
      </c>
      <c r="M113" s="29">
        <v>395</v>
      </c>
      <c r="N113" s="28">
        <v>4.59</v>
      </c>
      <c r="O113" s="31">
        <f t="shared" si="16"/>
        <v>108.53320000000001</v>
      </c>
      <c r="P113" s="28">
        <v>24</v>
      </c>
      <c r="Q113" s="29">
        <f t="shared" si="15"/>
        <v>1610.3211318130614</v>
      </c>
      <c r="R113" s="29">
        <f t="shared" si="7"/>
        <v>4381.7792985457654</v>
      </c>
      <c r="S113" s="30">
        <f t="shared" si="8"/>
        <v>108.63236937283614</v>
      </c>
      <c r="T113" s="28">
        <f t="shared" si="17"/>
        <v>163</v>
      </c>
      <c r="U113" s="28" t="str">
        <f t="shared" si="10"/>
        <v>a/b</v>
      </c>
      <c r="V113" s="28">
        <v>2100</v>
      </c>
      <c r="W113" s="31"/>
      <c r="X113" s="31"/>
      <c r="Y113" s="29">
        <v>4</v>
      </c>
      <c r="Z113" s="29">
        <v>1</v>
      </c>
      <c r="AA113" s="30" t="s">
        <v>241</v>
      </c>
      <c r="AB113" s="30">
        <v>0</v>
      </c>
      <c r="AC113" s="149" t="str">
        <f t="shared" si="11"/>
        <v>a0</v>
      </c>
      <c r="AD113" s="15"/>
      <c r="AE113" s="15"/>
      <c r="AF113" s="15"/>
    </row>
    <row r="114" spans="1:32" x14ac:dyDescent="0.2">
      <c r="A114" s="19">
        <f t="shared" si="9"/>
        <v>111</v>
      </c>
      <c r="B114" s="32" t="s">
        <v>5150</v>
      </c>
      <c r="C114" s="28">
        <v>610</v>
      </c>
      <c r="D114" s="28">
        <v>224</v>
      </c>
      <c r="E114" s="28">
        <v>15</v>
      </c>
      <c r="F114" s="28">
        <v>24</v>
      </c>
      <c r="G114" s="28">
        <v>197</v>
      </c>
      <c r="H114" s="28">
        <v>154</v>
      </c>
      <c r="I114" s="28">
        <v>118300</v>
      </c>
      <c r="J114" s="29">
        <v>3880</v>
      </c>
      <c r="K114" s="28">
        <v>24.5</v>
      </c>
      <c r="L114" s="29">
        <v>4520</v>
      </c>
      <c r="M114" s="29">
        <v>404</v>
      </c>
      <c r="N114" s="28">
        <v>4.79</v>
      </c>
      <c r="O114" s="31">
        <f t="shared" si="16"/>
        <v>104.60000000000001</v>
      </c>
      <c r="P114" s="28">
        <v>24</v>
      </c>
      <c r="Q114" s="29">
        <f t="shared" si="15"/>
        <v>1699.4559390759489</v>
      </c>
      <c r="R114" s="29">
        <f t="shared" si="7"/>
        <v>4604.6692607003888</v>
      </c>
      <c r="S114" s="30">
        <f t="shared" si="8"/>
        <v>104.41576972950857</v>
      </c>
      <c r="T114" s="28">
        <f t="shared" si="17"/>
        <v>158</v>
      </c>
      <c r="U114" s="28" t="str">
        <f t="shared" si="10"/>
        <v>a/b</v>
      </c>
      <c r="V114" s="28">
        <v>2240</v>
      </c>
      <c r="W114" s="31"/>
      <c r="X114" s="31"/>
      <c r="Y114" s="29">
        <v>4</v>
      </c>
      <c r="Z114" s="29">
        <v>1</v>
      </c>
      <c r="AA114" s="30" t="s">
        <v>241</v>
      </c>
      <c r="AB114" s="30">
        <v>0</v>
      </c>
      <c r="AC114" s="149" t="str">
        <f t="shared" si="11"/>
        <v>a0</v>
      </c>
      <c r="AD114" s="15"/>
      <c r="AE114" s="15"/>
      <c r="AF114" s="15"/>
    </row>
    <row r="115" spans="1:32" x14ac:dyDescent="0.2">
      <c r="A115" s="19">
        <f t="shared" si="9"/>
        <v>112</v>
      </c>
      <c r="B115" s="32" t="s">
        <v>5151</v>
      </c>
      <c r="C115" s="28">
        <v>618</v>
      </c>
      <c r="D115" s="28">
        <v>228</v>
      </c>
      <c r="E115" s="28">
        <v>18</v>
      </c>
      <c r="F115" s="28">
        <v>28</v>
      </c>
      <c r="G115" s="28">
        <v>234</v>
      </c>
      <c r="H115" s="28">
        <v>184</v>
      </c>
      <c r="I115" s="28">
        <v>141600</v>
      </c>
      <c r="J115" s="29">
        <v>4580</v>
      </c>
      <c r="K115" s="28">
        <v>24.6</v>
      </c>
      <c r="L115" s="29">
        <v>5570</v>
      </c>
      <c r="M115" s="29">
        <v>489</v>
      </c>
      <c r="N115" s="28">
        <v>4.88</v>
      </c>
      <c r="O115" s="31">
        <f t="shared" si="16"/>
        <v>124.8</v>
      </c>
      <c r="P115" s="28">
        <v>24</v>
      </c>
      <c r="Q115" s="29">
        <f t="shared" si="15"/>
        <v>2026.0719390759491</v>
      </c>
      <c r="R115" s="29">
        <f t="shared" si="7"/>
        <v>5506.6926070038908</v>
      </c>
      <c r="S115" s="30">
        <f t="shared" si="8"/>
        <v>125.80007406659294</v>
      </c>
      <c r="T115" s="28">
        <f t="shared" si="17"/>
        <v>189</v>
      </c>
      <c r="U115" s="28" t="str">
        <f t="shared" si="10"/>
        <v>a/b</v>
      </c>
      <c r="V115" s="28">
        <v>2660</v>
      </c>
      <c r="W115" s="31"/>
      <c r="X115" s="31"/>
      <c r="Y115" s="29">
        <v>4</v>
      </c>
      <c r="Z115" s="29">
        <v>1</v>
      </c>
      <c r="AA115" s="30" t="s">
        <v>241</v>
      </c>
      <c r="AB115" s="30">
        <v>0</v>
      </c>
      <c r="AC115" s="149" t="str">
        <f t="shared" si="11"/>
        <v>a0</v>
      </c>
      <c r="AD115" s="15"/>
      <c r="AE115" s="15"/>
      <c r="AF115" s="15"/>
    </row>
    <row r="116" spans="1:32" x14ac:dyDescent="0.2">
      <c r="A116" s="19">
        <f t="shared" si="9"/>
        <v>113</v>
      </c>
      <c r="B116" s="32" t="s">
        <v>2640</v>
      </c>
      <c r="C116" s="28">
        <v>157.6</v>
      </c>
      <c r="D116" s="28">
        <v>152.9</v>
      </c>
      <c r="E116" s="28">
        <v>6.5</v>
      </c>
      <c r="F116" s="28">
        <v>9.4</v>
      </c>
      <c r="G116" s="28">
        <v>38.299999999999997</v>
      </c>
      <c r="H116" s="28">
        <v>30</v>
      </c>
      <c r="I116" s="28">
        <v>1748</v>
      </c>
      <c r="J116" s="29">
        <v>222</v>
      </c>
      <c r="K116" s="28">
        <v>6.76</v>
      </c>
      <c r="L116" s="29">
        <v>540</v>
      </c>
      <c r="M116" s="29">
        <v>73.3</v>
      </c>
      <c r="N116" s="28">
        <v>3.83</v>
      </c>
      <c r="O116" s="31">
        <f t="shared" si="16"/>
        <v>11.594599999999993</v>
      </c>
      <c r="P116" s="28">
        <v>7.6</v>
      </c>
      <c r="Q116" s="29">
        <f>+F116*D116*(C116-F116)/2/1000+P116*E116*(C116-2*F116-2*P116)/2/1000+(2*P116)^2*(1-PI()/4)/4*(C116-2*P116-2*F116)/2/1000</f>
        <v>110.31992184867772</v>
      </c>
      <c r="R116" s="29">
        <f>+J116*C116/(C116-2*(F116+P116))</f>
        <v>283.06796116504853</v>
      </c>
      <c r="S116" s="30">
        <f>+I116*E116/Q116/10</f>
        <v>10.299137100173883</v>
      </c>
      <c r="T116" s="28">
        <f>+ROUND(H116*1.025,0)</f>
        <v>31</v>
      </c>
      <c r="U116" s="28" t="str">
        <f t="shared" si="10"/>
        <v>b/c</v>
      </c>
      <c r="V116" s="28">
        <f>248/2</f>
        <v>124</v>
      </c>
      <c r="W116" s="31">
        <v>10.5</v>
      </c>
      <c r="X116" s="31">
        <v>30.8</v>
      </c>
      <c r="Y116" s="29">
        <v>8</v>
      </c>
      <c r="Z116" s="29">
        <v>3</v>
      </c>
      <c r="AA116" s="30" t="s">
        <v>241</v>
      </c>
      <c r="AB116" s="30">
        <v>0</v>
      </c>
      <c r="AC116" s="149" t="str">
        <f t="shared" si="11"/>
        <v>a</v>
      </c>
      <c r="AD116" s="15"/>
      <c r="AE116" s="15"/>
      <c r="AF116" s="15"/>
    </row>
    <row r="117" spans="1:32" x14ac:dyDescent="0.2">
      <c r="A117" s="19">
        <f t="shared" si="9"/>
        <v>114</v>
      </c>
      <c r="B117" s="32" t="s">
        <v>2641</v>
      </c>
      <c r="C117" s="28">
        <v>206.2</v>
      </c>
      <c r="D117" s="28">
        <v>204.3</v>
      </c>
      <c r="E117" s="28">
        <v>7.9</v>
      </c>
      <c r="F117" s="28">
        <v>12.5</v>
      </c>
      <c r="G117" s="28">
        <v>66.3</v>
      </c>
      <c r="H117" s="28">
        <v>52</v>
      </c>
      <c r="I117" s="28">
        <v>5259</v>
      </c>
      <c r="J117" s="29">
        <v>510</v>
      </c>
      <c r="K117" s="28">
        <v>8.91</v>
      </c>
      <c r="L117" s="29">
        <v>1778</v>
      </c>
      <c r="M117" s="29">
        <v>174</v>
      </c>
      <c r="N117" s="28">
        <v>5.18</v>
      </c>
      <c r="O117" s="31">
        <f t="shared" si="16"/>
        <v>18.762499999999996</v>
      </c>
      <c r="P117" s="28">
        <v>10.199999999999999</v>
      </c>
      <c r="Q117" s="29">
        <f>+F117*D117*(C117-F117)/2/1000+P117*E117*(C117-2*F117-2*P117)/2/1000+(2*P117)^2*(1-PI()/4)/4*(C117-2*P117-2*F117)/2/1000</f>
        <v>255.60442437644244</v>
      </c>
      <c r="R117" s="29">
        <f>+J117*C117/(C117-2*(F117+P117))</f>
        <v>653.99253731343288</v>
      </c>
      <c r="S117" s="30">
        <f>+I117*E117/Q117/10</f>
        <v>16.25406136898977</v>
      </c>
      <c r="T117" s="28">
        <f>+ROUND(H117*1.025,0)</f>
        <v>53</v>
      </c>
      <c r="U117" s="28" t="str">
        <f t="shared" si="10"/>
        <v>b/c</v>
      </c>
      <c r="V117" s="28">
        <f>567/2</f>
        <v>283.5</v>
      </c>
      <c r="W117" s="31">
        <v>31.8</v>
      </c>
      <c r="X117" s="31">
        <v>167</v>
      </c>
      <c r="Y117" s="29">
        <v>8</v>
      </c>
      <c r="Z117" s="29">
        <v>3</v>
      </c>
      <c r="AA117" s="30" t="s">
        <v>241</v>
      </c>
      <c r="AB117" s="30">
        <v>0</v>
      </c>
      <c r="AC117" s="149" t="str">
        <f t="shared" si="11"/>
        <v>a</v>
      </c>
      <c r="AD117" s="15"/>
      <c r="AE117" s="15"/>
      <c r="AF117" s="15"/>
    </row>
    <row r="118" spans="1:32" x14ac:dyDescent="0.2">
      <c r="A118" s="19">
        <f t="shared" si="9"/>
        <v>115</v>
      </c>
      <c r="B118" s="32" t="s">
        <v>2642</v>
      </c>
      <c r="C118" s="28">
        <v>251.8</v>
      </c>
      <c r="D118" s="28">
        <v>206.4</v>
      </c>
      <c r="E118" s="28">
        <v>10</v>
      </c>
      <c r="F118" s="28">
        <v>17.3</v>
      </c>
      <c r="G118" s="28">
        <v>90.4</v>
      </c>
      <c r="H118" s="28">
        <v>71</v>
      </c>
      <c r="I118" s="28">
        <v>7618</v>
      </c>
      <c r="J118" s="29">
        <v>706</v>
      </c>
      <c r="K118" s="28">
        <v>9.18</v>
      </c>
      <c r="L118" s="29">
        <v>2537</v>
      </c>
      <c r="M118" s="29">
        <v>246</v>
      </c>
      <c r="N118" s="28">
        <v>5.3</v>
      </c>
      <c r="O118" s="31">
        <f t="shared" si="16"/>
        <v>24.244800000000005</v>
      </c>
      <c r="P118" s="28">
        <v>10.199999999999999</v>
      </c>
      <c r="Q118" s="29">
        <f>+F118*D118*(C118-F118)/2/1000+P118*E118*(C118-2*F118-2*P118)/2/1000+(2*P118)^2*(1-PI()/4)/4*(C118-2*P118-2*F118)/2/1000</f>
        <v>430.90071402788482</v>
      </c>
      <c r="R118" s="29">
        <f>+J118*C118/(C118-2*(F118+P118))</f>
        <v>903.30691056910575</v>
      </c>
      <c r="S118" s="30">
        <f>+I118*E118/Q118/10</f>
        <v>17.679246638489015</v>
      </c>
      <c r="T118" s="28">
        <f>+ROUND(H118*1.025,0)</f>
        <v>73</v>
      </c>
      <c r="U118" s="28" t="str">
        <f t="shared" si="10"/>
        <v>a/b</v>
      </c>
      <c r="V118" s="28">
        <f>799/2</f>
        <v>399.5</v>
      </c>
      <c r="W118" s="31">
        <v>80.2</v>
      </c>
      <c r="X118" s="31">
        <v>250</v>
      </c>
      <c r="Y118" s="29">
        <v>8</v>
      </c>
      <c r="Z118" s="29">
        <v>3</v>
      </c>
      <c r="AA118" s="30" t="s">
        <v>241</v>
      </c>
      <c r="AB118" s="30">
        <v>0</v>
      </c>
      <c r="AC118" s="149" t="str">
        <f t="shared" si="11"/>
        <v>a0</v>
      </c>
      <c r="AD118" s="15"/>
      <c r="AE118" s="15"/>
      <c r="AF118" s="15"/>
    </row>
    <row r="119" spans="1:32" x14ac:dyDescent="0.2">
      <c r="A119" s="19">
        <f t="shared" si="9"/>
        <v>116</v>
      </c>
      <c r="B119" s="32" t="s">
        <v>3234</v>
      </c>
      <c r="C119" s="28">
        <v>254.1</v>
      </c>
      <c r="D119" s="28">
        <v>254.6</v>
      </c>
      <c r="E119" s="28">
        <v>8.6</v>
      </c>
      <c r="F119" s="28">
        <v>14.2</v>
      </c>
      <c r="G119" s="28">
        <v>93.1</v>
      </c>
      <c r="H119" s="28">
        <v>73.099999999999994</v>
      </c>
      <c r="I119" s="28">
        <v>11409</v>
      </c>
      <c r="J119" s="29">
        <v>898</v>
      </c>
      <c r="K119" s="28">
        <v>11.1</v>
      </c>
      <c r="L119" s="29">
        <v>3908</v>
      </c>
      <c r="M119" s="29">
        <v>307</v>
      </c>
      <c r="N119" s="28">
        <v>6.48</v>
      </c>
      <c r="O119" s="31">
        <f t="shared" si="16"/>
        <v>25.621599999999997</v>
      </c>
      <c r="P119" s="28">
        <v>12.7</v>
      </c>
      <c r="Q119" s="29">
        <f t="shared" si="15"/>
        <v>448.06252199209638</v>
      </c>
      <c r="R119" s="29">
        <f t="shared" si="7"/>
        <v>1139.2001997004493</v>
      </c>
      <c r="S119" s="30">
        <f t="shared" si="8"/>
        <v>21.898149294827821</v>
      </c>
      <c r="T119" s="28">
        <f t="shared" si="17"/>
        <v>75</v>
      </c>
      <c r="U119" s="28" t="str">
        <f t="shared" si="10"/>
        <v>b/c</v>
      </c>
      <c r="V119" s="28">
        <v>496</v>
      </c>
      <c r="W119" s="31">
        <v>57.6</v>
      </c>
      <c r="X119" s="31">
        <v>562</v>
      </c>
      <c r="Y119" s="29">
        <v>8</v>
      </c>
      <c r="Z119" s="29">
        <v>3</v>
      </c>
      <c r="AA119" s="30" t="s">
        <v>241</v>
      </c>
      <c r="AB119" s="30">
        <v>0</v>
      </c>
      <c r="AC119" s="149" t="str">
        <f t="shared" si="11"/>
        <v>a</v>
      </c>
      <c r="AD119" s="15"/>
      <c r="AE119" s="15"/>
      <c r="AF119" s="15"/>
    </row>
    <row r="120" spans="1:32" x14ac:dyDescent="0.2">
      <c r="A120" s="19">
        <f t="shared" si="9"/>
        <v>117</v>
      </c>
      <c r="B120" s="32" t="s">
        <v>3235</v>
      </c>
      <c r="C120" s="28">
        <v>260.3</v>
      </c>
      <c r="D120" s="28">
        <v>256.3</v>
      </c>
      <c r="E120" s="28">
        <v>10.3</v>
      </c>
      <c r="F120" s="28">
        <v>17.3</v>
      </c>
      <c r="G120" s="28">
        <v>113</v>
      </c>
      <c r="H120" s="28">
        <v>88.9</v>
      </c>
      <c r="I120" s="28">
        <v>14264</v>
      </c>
      <c r="J120" s="29">
        <v>1096</v>
      </c>
      <c r="K120" s="28">
        <v>11.2</v>
      </c>
      <c r="L120" s="28">
        <v>4857</v>
      </c>
      <c r="M120" s="29">
        <v>379</v>
      </c>
      <c r="N120" s="28">
        <v>6.56</v>
      </c>
      <c r="O120" s="31">
        <f t="shared" si="16"/>
        <v>30.496299999999987</v>
      </c>
      <c r="P120" s="28">
        <v>12.7</v>
      </c>
      <c r="Q120" s="29">
        <f t="shared" si="15"/>
        <v>555.29691149209634</v>
      </c>
      <c r="R120" s="29">
        <f t="shared" si="7"/>
        <v>1424.307538691962</v>
      </c>
      <c r="S120" s="30">
        <f t="shared" si="8"/>
        <v>26.457773662962495</v>
      </c>
      <c r="T120" s="28">
        <f t="shared" si="17"/>
        <v>91</v>
      </c>
      <c r="U120" s="28" t="str">
        <f t="shared" si="10"/>
        <v>b/c</v>
      </c>
      <c r="V120" s="28">
        <v>612</v>
      </c>
      <c r="W120" s="31">
        <v>102</v>
      </c>
      <c r="X120" s="31">
        <v>717</v>
      </c>
      <c r="Y120" s="29">
        <v>8</v>
      </c>
      <c r="Z120" s="29">
        <v>3</v>
      </c>
      <c r="AA120" s="30" t="s">
        <v>241</v>
      </c>
      <c r="AB120" s="30">
        <v>0</v>
      </c>
      <c r="AC120" s="149" t="str">
        <f t="shared" si="11"/>
        <v>a</v>
      </c>
      <c r="AD120" s="15"/>
      <c r="AE120" s="15"/>
      <c r="AF120" s="15"/>
    </row>
    <row r="121" spans="1:32" x14ac:dyDescent="0.2">
      <c r="A121" s="19">
        <f t="shared" si="9"/>
        <v>118</v>
      </c>
      <c r="B121" s="32" t="s">
        <v>3236</v>
      </c>
      <c r="C121" s="28">
        <v>266.7</v>
      </c>
      <c r="D121" s="28">
        <v>258.8</v>
      </c>
      <c r="E121" s="28">
        <v>12.8</v>
      </c>
      <c r="F121" s="28">
        <v>20.5</v>
      </c>
      <c r="G121" s="28">
        <v>136</v>
      </c>
      <c r="H121" s="28">
        <v>107</v>
      </c>
      <c r="I121" s="28">
        <v>17509</v>
      </c>
      <c r="J121" s="29">
        <v>1313</v>
      </c>
      <c r="K121" s="28">
        <v>11.3</v>
      </c>
      <c r="L121" s="28">
        <v>5927</v>
      </c>
      <c r="M121" s="29">
        <v>458</v>
      </c>
      <c r="N121" s="28">
        <v>6.6</v>
      </c>
      <c r="O121" s="31">
        <f t="shared" si="16"/>
        <v>37.722999999999999</v>
      </c>
      <c r="P121" s="28">
        <v>12.7</v>
      </c>
      <c r="Q121" s="29">
        <f t="shared" si="15"/>
        <v>672.84162899209639</v>
      </c>
      <c r="R121" s="29">
        <f t="shared" si="7"/>
        <v>1748.2631053419871</v>
      </c>
      <c r="S121" s="30">
        <f t="shared" si="8"/>
        <v>33.308759497494265</v>
      </c>
      <c r="T121" s="28">
        <f t="shared" si="17"/>
        <v>110</v>
      </c>
      <c r="U121" s="28" t="str">
        <f t="shared" si="10"/>
        <v>b/c</v>
      </c>
      <c r="V121" s="28">
        <v>742</v>
      </c>
      <c r="W121" s="31">
        <v>172</v>
      </c>
      <c r="X121" s="31">
        <v>898</v>
      </c>
      <c r="Y121" s="29">
        <v>8</v>
      </c>
      <c r="Z121" s="29">
        <v>3</v>
      </c>
      <c r="AA121" s="30" t="s">
        <v>241</v>
      </c>
      <c r="AB121" s="30">
        <v>0</v>
      </c>
      <c r="AC121" s="149" t="str">
        <f t="shared" si="11"/>
        <v>a</v>
      </c>
      <c r="AD121" s="15"/>
      <c r="AE121" s="15"/>
      <c r="AF121" s="15"/>
    </row>
    <row r="122" spans="1:32" x14ac:dyDescent="0.2">
      <c r="A122" s="19">
        <f t="shared" si="9"/>
        <v>119</v>
      </c>
      <c r="B122" s="32" t="s">
        <v>3237</v>
      </c>
      <c r="C122" s="28">
        <v>307.89999999999998</v>
      </c>
      <c r="D122" s="28">
        <v>305.3</v>
      </c>
      <c r="E122" s="28">
        <v>9.9</v>
      </c>
      <c r="F122" s="28">
        <v>15.4</v>
      </c>
      <c r="G122" s="28">
        <v>123</v>
      </c>
      <c r="H122" s="28">
        <v>96.9</v>
      </c>
      <c r="I122" s="28">
        <v>22246</v>
      </c>
      <c r="J122" s="29">
        <v>1445</v>
      </c>
      <c r="K122" s="28">
        <v>13.4</v>
      </c>
      <c r="L122" s="28">
        <v>7312</v>
      </c>
      <c r="M122" s="29">
        <v>479</v>
      </c>
      <c r="N122" s="28">
        <v>7.71</v>
      </c>
      <c r="O122" s="31">
        <f t="shared" si="16"/>
        <v>35.173800000000007</v>
      </c>
      <c r="P122" s="28">
        <v>15.2</v>
      </c>
      <c r="Q122" s="29">
        <f t="shared" si="15"/>
        <v>712.28952438733927</v>
      </c>
      <c r="R122" s="29">
        <f t="shared" si="7"/>
        <v>1803.4677746250504</v>
      </c>
      <c r="S122" s="30">
        <f t="shared" si="8"/>
        <v>30.919365294531154</v>
      </c>
      <c r="T122" s="28">
        <f t="shared" si="17"/>
        <v>99</v>
      </c>
      <c r="U122" s="28" t="str">
        <f t="shared" si="10"/>
        <v>b/c</v>
      </c>
      <c r="V122" s="28">
        <v>796</v>
      </c>
      <c r="W122" s="31">
        <v>91.2</v>
      </c>
      <c r="X122" s="31">
        <v>1560</v>
      </c>
      <c r="Y122" s="29">
        <v>8</v>
      </c>
      <c r="Z122" s="29">
        <v>3</v>
      </c>
      <c r="AA122" s="30" t="s">
        <v>241</v>
      </c>
      <c r="AB122" s="30">
        <v>0</v>
      </c>
      <c r="AC122" s="149" t="str">
        <f t="shared" si="11"/>
        <v>a</v>
      </c>
      <c r="AD122" s="15"/>
      <c r="AE122" s="15"/>
      <c r="AF122" s="15"/>
    </row>
    <row r="123" spans="1:32" x14ac:dyDescent="0.2">
      <c r="A123" s="19">
        <f t="shared" si="9"/>
        <v>120</v>
      </c>
      <c r="B123" s="32" t="s">
        <v>3238</v>
      </c>
      <c r="C123" s="28">
        <v>314.5</v>
      </c>
      <c r="D123" s="28">
        <v>307.39999999999998</v>
      </c>
      <c r="E123" s="28">
        <v>12</v>
      </c>
      <c r="F123" s="28">
        <v>18.7</v>
      </c>
      <c r="G123" s="28">
        <v>150</v>
      </c>
      <c r="H123" s="28">
        <v>118</v>
      </c>
      <c r="I123" s="28">
        <v>27676</v>
      </c>
      <c r="J123" s="29">
        <v>1760</v>
      </c>
      <c r="K123" s="28">
        <v>13.6</v>
      </c>
      <c r="L123" s="28">
        <v>9053</v>
      </c>
      <c r="M123" s="29">
        <v>589</v>
      </c>
      <c r="N123" s="28">
        <v>7.77</v>
      </c>
      <c r="O123" s="31">
        <f t="shared" si="16"/>
        <v>42.961200000000012</v>
      </c>
      <c r="P123" s="28">
        <v>15.2</v>
      </c>
      <c r="Q123" s="29">
        <f t="shared" si="15"/>
        <v>878.80033338733926</v>
      </c>
      <c r="R123" s="29">
        <f t="shared" si="7"/>
        <v>2243.6967977300365</v>
      </c>
      <c r="S123" s="30">
        <f t="shared" si="8"/>
        <v>37.791519573038059</v>
      </c>
      <c r="T123" s="28">
        <f t="shared" si="17"/>
        <v>121</v>
      </c>
      <c r="U123" s="28" t="str">
        <f t="shared" si="10"/>
        <v>b/c</v>
      </c>
      <c r="V123" s="28">
        <v>979</v>
      </c>
      <c r="W123" s="31">
        <v>161</v>
      </c>
      <c r="X123" s="119">
        <v>1980</v>
      </c>
      <c r="Y123" s="29">
        <v>8</v>
      </c>
      <c r="Z123" s="29">
        <v>3</v>
      </c>
      <c r="AA123" s="30" t="s">
        <v>241</v>
      </c>
      <c r="AB123" s="30">
        <v>0</v>
      </c>
      <c r="AC123" s="149" t="str">
        <f t="shared" si="11"/>
        <v>a</v>
      </c>
      <c r="AD123" s="15"/>
      <c r="AE123" s="15"/>
      <c r="AF123" s="15"/>
    </row>
    <row r="124" spans="1:32" x14ac:dyDescent="0.2">
      <c r="A124" s="19">
        <f t="shared" si="9"/>
        <v>121</v>
      </c>
      <c r="B124" s="32" t="s">
        <v>3239</v>
      </c>
      <c r="C124" s="28">
        <v>320.5</v>
      </c>
      <c r="D124" s="28">
        <v>309.2</v>
      </c>
      <c r="E124" s="28">
        <v>13.8</v>
      </c>
      <c r="F124" s="28">
        <v>21.7</v>
      </c>
      <c r="G124" s="28">
        <v>174</v>
      </c>
      <c r="H124" s="28">
        <v>137</v>
      </c>
      <c r="I124" s="28">
        <v>32819</v>
      </c>
      <c r="J124" s="29">
        <v>2048</v>
      </c>
      <c r="K124" s="28">
        <v>13.7</v>
      </c>
      <c r="L124" s="28">
        <v>10698</v>
      </c>
      <c r="M124" s="29">
        <v>692</v>
      </c>
      <c r="N124" s="28">
        <v>7.84</v>
      </c>
      <c r="O124" s="31">
        <f t="shared" si="16"/>
        <v>49.398600000000023</v>
      </c>
      <c r="P124" s="28">
        <v>15.2</v>
      </c>
      <c r="Q124" s="29">
        <f t="shared" si="15"/>
        <v>1034.4100033873392</v>
      </c>
      <c r="R124" s="29">
        <f t="shared" si="7"/>
        <v>2660.6566680178357</v>
      </c>
      <c r="S124" s="30">
        <f t="shared" si="8"/>
        <v>43.783625304946796</v>
      </c>
      <c r="T124" s="28">
        <f t="shared" si="17"/>
        <v>140</v>
      </c>
      <c r="U124" s="28" t="str">
        <f t="shared" si="10"/>
        <v>b/c</v>
      </c>
      <c r="V124" s="28">
        <v>1148.5</v>
      </c>
      <c r="W124" s="31">
        <v>249</v>
      </c>
      <c r="X124" s="31">
        <v>2390</v>
      </c>
      <c r="Y124" s="29">
        <v>8</v>
      </c>
      <c r="Z124" s="29">
        <v>3</v>
      </c>
      <c r="AA124" s="30" t="s">
        <v>241</v>
      </c>
      <c r="AB124" s="30">
        <v>0</v>
      </c>
      <c r="AC124" s="149" t="str">
        <f t="shared" si="11"/>
        <v>a</v>
      </c>
      <c r="AD124" s="15"/>
      <c r="AE124" s="15"/>
      <c r="AF124" s="15"/>
    </row>
    <row r="125" spans="1:32" x14ac:dyDescent="0.2">
      <c r="A125" s="19">
        <f t="shared" si="9"/>
        <v>122</v>
      </c>
      <c r="B125" s="32" t="s">
        <v>3240</v>
      </c>
      <c r="C125" s="28">
        <v>355.6</v>
      </c>
      <c r="D125" s="28">
        <v>368.6</v>
      </c>
      <c r="E125" s="28">
        <v>10.4</v>
      </c>
      <c r="F125" s="28">
        <v>17.5</v>
      </c>
      <c r="G125" s="28">
        <v>164</v>
      </c>
      <c r="H125" s="28">
        <v>129</v>
      </c>
      <c r="I125" s="28">
        <v>40254</v>
      </c>
      <c r="J125" s="29">
        <v>2264</v>
      </c>
      <c r="K125" s="28">
        <v>15.7</v>
      </c>
      <c r="L125" s="28">
        <v>14615</v>
      </c>
      <c r="M125" s="29">
        <v>793</v>
      </c>
      <c r="N125" s="28">
        <v>9.44</v>
      </c>
      <c r="O125" s="31">
        <f t="shared" si="16"/>
        <v>42.13000000000001</v>
      </c>
      <c r="P125" s="28">
        <v>15.2</v>
      </c>
      <c r="Q125" s="29">
        <f t="shared" si="15"/>
        <v>1120.5887243684879</v>
      </c>
      <c r="R125" s="29">
        <f t="shared" si="7"/>
        <v>2774.2191592005511</v>
      </c>
      <c r="S125" s="30">
        <f t="shared" si="8"/>
        <v>37.359076608229046</v>
      </c>
      <c r="T125" s="28">
        <f t="shared" si="17"/>
        <v>132</v>
      </c>
      <c r="U125" s="28" t="str">
        <f t="shared" si="10"/>
        <v>b/c</v>
      </c>
      <c r="V125" s="28">
        <v>1239.5</v>
      </c>
      <c r="W125" s="31">
        <v>153</v>
      </c>
      <c r="X125" s="31">
        <v>4180</v>
      </c>
      <c r="Y125" s="29">
        <v>8</v>
      </c>
      <c r="Z125" s="29">
        <v>3</v>
      </c>
      <c r="AA125" s="30" t="s">
        <v>241</v>
      </c>
      <c r="AB125" s="30">
        <v>0</v>
      </c>
      <c r="AC125" s="149" t="str">
        <f t="shared" si="11"/>
        <v>a</v>
      </c>
      <c r="AD125" s="15"/>
      <c r="AE125" s="15"/>
      <c r="AF125" s="15"/>
    </row>
    <row r="126" spans="1:32" x14ac:dyDescent="0.2">
      <c r="A126" s="19">
        <f t="shared" si="9"/>
        <v>123</v>
      </c>
      <c r="B126" s="32" t="s">
        <v>3241</v>
      </c>
      <c r="C126" s="28">
        <v>362</v>
      </c>
      <c r="D126" s="28">
        <v>370.5</v>
      </c>
      <c r="E126" s="28">
        <v>12.3</v>
      </c>
      <c r="F126" s="28">
        <v>20.7</v>
      </c>
      <c r="G126" s="28">
        <v>195</v>
      </c>
      <c r="H126" s="28">
        <v>153</v>
      </c>
      <c r="I126" s="28">
        <v>48580</v>
      </c>
      <c r="J126" s="29">
        <v>2684</v>
      </c>
      <c r="K126" s="28">
        <v>15.8</v>
      </c>
      <c r="L126" s="28">
        <v>17562</v>
      </c>
      <c r="M126" s="29">
        <v>948</v>
      </c>
      <c r="N126" s="28">
        <v>9.49</v>
      </c>
      <c r="O126" s="31">
        <f t="shared" si="16"/>
        <v>50.451900000000002</v>
      </c>
      <c r="P126" s="28">
        <v>15.2</v>
      </c>
      <c r="Q126" s="29">
        <f t="shared" si="15"/>
        <v>1343.0967648684875</v>
      </c>
      <c r="R126" s="29">
        <f t="shared" si="7"/>
        <v>3348.0634045485872</v>
      </c>
      <c r="S126" s="30">
        <f t="shared" si="8"/>
        <v>44.489274014334249</v>
      </c>
      <c r="T126" s="28">
        <f t="shared" si="17"/>
        <v>157</v>
      </c>
      <c r="U126" s="28" t="str">
        <f t="shared" si="10"/>
        <v>b/c</v>
      </c>
      <c r="V126" s="28">
        <v>1482.5</v>
      </c>
      <c r="W126" s="31">
        <v>251</v>
      </c>
      <c r="X126" s="31">
        <v>5111</v>
      </c>
      <c r="Y126" s="29">
        <v>8</v>
      </c>
      <c r="Z126" s="29">
        <v>3</v>
      </c>
      <c r="AA126" s="30" t="s">
        <v>241</v>
      </c>
      <c r="AB126" s="30">
        <v>0</v>
      </c>
      <c r="AC126" s="149" t="str">
        <f t="shared" si="11"/>
        <v>a</v>
      </c>
      <c r="AD126" s="15"/>
      <c r="AE126" s="15"/>
      <c r="AF126" s="15"/>
    </row>
    <row r="127" spans="1:32" x14ac:dyDescent="0.2">
      <c r="A127" s="19">
        <f t="shared" si="9"/>
        <v>124</v>
      </c>
      <c r="B127" s="32" t="s">
        <v>3242</v>
      </c>
      <c r="C127" s="28">
        <v>368.2</v>
      </c>
      <c r="D127" s="28">
        <v>372.6</v>
      </c>
      <c r="E127" s="28">
        <v>14.4</v>
      </c>
      <c r="F127" s="28">
        <v>23.8</v>
      </c>
      <c r="G127" s="28">
        <v>226</v>
      </c>
      <c r="H127" s="28">
        <v>177</v>
      </c>
      <c r="I127" s="28">
        <v>57126</v>
      </c>
      <c r="J127" s="29">
        <v>3103</v>
      </c>
      <c r="K127" s="28">
        <v>15.9</v>
      </c>
      <c r="L127" s="28">
        <v>20530</v>
      </c>
      <c r="M127" s="29">
        <v>1102</v>
      </c>
      <c r="N127" s="28">
        <v>9.5299999999999994</v>
      </c>
      <c r="O127" s="31">
        <f t="shared" si="16"/>
        <v>59.304799999999979</v>
      </c>
      <c r="P127" s="28">
        <v>15.2</v>
      </c>
      <c r="Q127" s="29">
        <f t="shared" si="15"/>
        <v>1566.0027153684875</v>
      </c>
      <c r="R127" s="29">
        <f t="shared" si="7"/>
        <v>3937.0248104755337</v>
      </c>
      <c r="S127" s="30">
        <f t="shared" si="8"/>
        <v>52.52956408868264</v>
      </c>
      <c r="T127" s="28">
        <f t="shared" si="17"/>
        <v>181</v>
      </c>
      <c r="U127" s="28" t="str">
        <f t="shared" si="10"/>
        <v>b/c</v>
      </c>
      <c r="V127" s="28">
        <v>1727.5</v>
      </c>
      <c r="W127" s="31">
        <v>381</v>
      </c>
      <c r="X127" s="31">
        <v>6090</v>
      </c>
      <c r="Y127" s="29">
        <v>8</v>
      </c>
      <c r="Z127" s="29">
        <v>3</v>
      </c>
      <c r="AA127" s="30" t="s">
        <v>241</v>
      </c>
      <c r="AB127" s="30">
        <v>0</v>
      </c>
      <c r="AC127" s="149" t="str">
        <f t="shared" si="11"/>
        <v>a</v>
      </c>
      <c r="AD127" s="15"/>
      <c r="AE127" s="15"/>
      <c r="AF127" s="15"/>
    </row>
    <row r="128" spans="1:32" x14ac:dyDescent="0.2">
      <c r="A128" s="19">
        <f t="shared" si="9"/>
        <v>125</v>
      </c>
      <c r="B128" s="32" t="s">
        <v>3243</v>
      </c>
      <c r="C128" s="28">
        <v>374.6</v>
      </c>
      <c r="D128" s="28">
        <v>374.7</v>
      </c>
      <c r="E128" s="28">
        <v>16.5</v>
      </c>
      <c r="F128" s="28">
        <v>27</v>
      </c>
      <c r="G128" s="28">
        <v>257</v>
      </c>
      <c r="H128" s="28">
        <v>202</v>
      </c>
      <c r="I128" s="28">
        <v>66267</v>
      </c>
      <c r="J128" s="29">
        <v>3538</v>
      </c>
      <c r="K128" s="28">
        <v>16.100000000000001</v>
      </c>
      <c r="L128" s="28">
        <v>23681</v>
      </c>
      <c r="M128" s="29">
        <v>1264</v>
      </c>
      <c r="N128" s="28">
        <v>9.6</v>
      </c>
      <c r="O128" s="31">
        <f t="shared" si="16"/>
        <v>67.325000000000003</v>
      </c>
      <c r="P128" s="28">
        <v>15.2</v>
      </c>
      <c r="Q128" s="29">
        <f t="shared" si="15"/>
        <v>1801.9025913684877</v>
      </c>
      <c r="R128" s="29">
        <f t="shared" si="7"/>
        <v>4566.9703652653334</v>
      </c>
      <c r="S128" s="30">
        <f t="shared" si="8"/>
        <v>60.680610885275065</v>
      </c>
      <c r="T128" s="28">
        <f t="shared" si="17"/>
        <v>207</v>
      </c>
      <c r="U128" s="28" t="str">
        <f t="shared" si="10"/>
        <v>b/c</v>
      </c>
      <c r="V128" s="28">
        <v>1986</v>
      </c>
      <c r="W128" s="31">
        <v>558</v>
      </c>
      <c r="X128" s="31">
        <v>7160</v>
      </c>
      <c r="Y128" s="29">
        <v>8</v>
      </c>
      <c r="Z128" s="29">
        <v>3</v>
      </c>
      <c r="AA128" s="30" t="s">
        <v>241</v>
      </c>
      <c r="AB128" s="30">
        <v>0</v>
      </c>
      <c r="AC128" s="149" t="str">
        <f t="shared" si="11"/>
        <v>a</v>
      </c>
      <c r="AD128" s="15"/>
      <c r="AE128" s="15"/>
      <c r="AF128" s="15"/>
    </row>
    <row r="129" spans="1:32" x14ac:dyDescent="0.2">
      <c r="A129" s="19">
        <f t="shared" si="9"/>
        <v>126</v>
      </c>
      <c r="B129" s="32" t="s">
        <v>3244</v>
      </c>
      <c r="C129" s="28">
        <v>381</v>
      </c>
      <c r="D129" s="28">
        <v>394.8</v>
      </c>
      <c r="E129" s="28">
        <v>18.399999999999999</v>
      </c>
      <c r="F129" s="28">
        <v>30.2</v>
      </c>
      <c r="G129" s="28">
        <v>299</v>
      </c>
      <c r="H129" s="28">
        <v>235</v>
      </c>
      <c r="I129" s="28">
        <v>79077</v>
      </c>
      <c r="J129" s="29">
        <v>4151</v>
      </c>
      <c r="K129" s="28">
        <v>16.3</v>
      </c>
      <c r="L129" s="28">
        <v>30992</v>
      </c>
      <c r="M129" s="29">
        <v>1570</v>
      </c>
      <c r="N129" s="28">
        <v>10.18</v>
      </c>
      <c r="O129" s="31">
        <f t="shared" si="16"/>
        <v>75.278399999999991</v>
      </c>
      <c r="P129" s="28">
        <v>15.2</v>
      </c>
      <c r="Q129" s="29">
        <f t="shared" si="15"/>
        <v>2139.0630433684878</v>
      </c>
      <c r="R129" s="29">
        <f t="shared" si="7"/>
        <v>5449.7966919365954</v>
      </c>
      <c r="S129" s="29">
        <f t="shared" si="8"/>
        <v>68.021220997241542</v>
      </c>
      <c r="T129" s="28">
        <f t="shared" si="17"/>
        <v>241</v>
      </c>
      <c r="U129" s="28" t="str">
        <f t="shared" si="10"/>
        <v>b/c</v>
      </c>
      <c r="V129" s="28">
        <v>2343.5</v>
      </c>
      <c r="W129" s="31">
        <v>812</v>
      </c>
      <c r="X129" s="31">
        <v>9540</v>
      </c>
      <c r="Y129" s="29">
        <v>8</v>
      </c>
      <c r="Z129" s="29">
        <v>3</v>
      </c>
      <c r="AA129" s="30" t="s">
        <v>241</v>
      </c>
      <c r="AB129" s="30">
        <v>0</v>
      </c>
      <c r="AC129" s="149" t="str">
        <f t="shared" si="11"/>
        <v>a</v>
      </c>
      <c r="AD129" s="15"/>
      <c r="AE129" s="15"/>
      <c r="AF129" s="15"/>
    </row>
    <row r="130" spans="1:32" x14ac:dyDescent="0.2">
      <c r="A130" s="19">
        <f t="shared" si="9"/>
        <v>127</v>
      </c>
      <c r="B130" s="32" t="s">
        <v>3245</v>
      </c>
      <c r="C130" s="31">
        <v>393.6</v>
      </c>
      <c r="D130" s="28">
        <v>399</v>
      </c>
      <c r="E130" s="28">
        <v>22.6</v>
      </c>
      <c r="F130" s="28">
        <v>36.5</v>
      </c>
      <c r="G130" s="28">
        <v>366</v>
      </c>
      <c r="H130" s="28">
        <v>287</v>
      </c>
      <c r="I130" s="28">
        <v>99876</v>
      </c>
      <c r="J130" s="29">
        <v>5075</v>
      </c>
      <c r="K130" s="28">
        <v>16.5</v>
      </c>
      <c r="L130" s="28">
        <v>38683</v>
      </c>
      <c r="M130" s="29">
        <v>1939</v>
      </c>
      <c r="N130" s="28">
        <v>10.28</v>
      </c>
      <c r="O130" s="31">
        <f t="shared" si="16"/>
        <v>94.075000000000017</v>
      </c>
      <c r="P130" s="28">
        <v>15.2</v>
      </c>
      <c r="Q130" s="29">
        <f t="shared" si="15"/>
        <v>2657.3519683684876</v>
      </c>
      <c r="R130" s="29">
        <f t="shared" si="7"/>
        <v>6883.2529290144721</v>
      </c>
      <c r="S130" s="29">
        <f t="shared" si="8"/>
        <v>84.94161205848215</v>
      </c>
      <c r="T130" s="28">
        <f t="shared" si="17"/>
        <v>294</v>
      </c>
      <c r="U130" s="28" t="str">
        <f t="shared" si="10"/>
        <v>b/c</v>
      </c>
      <c r="V130" s="28">
        <v>2906</v>
      </c>
      <c r="W130" s="31">
        <v>1441</v>
      </c>
      <c r="X130" s="31">
        <v>12300</v>
      </c>
      <c r="Y130" s="29">
        <v>8</v>
      </c>
      <c r="Z130" s="29">
        <v>3</v>
      </c>
      <c r="AA130" s="30" t="s">
        <v>241</v>
      </c>
      <c r="AB130" s="30">
        <v>0</v>
      </c>
      <c r="AC130" s="149" t="str">
        <f t="shared" si="11"/>
        <v>a</v>
      </c>
      <c r="AD130" s="15"/>
      <c r="AE130" s="15"/>
      <c r="AF130" s="15"/>
    </row>
    <row r="131" spans="1:32" x14ac:dyDescent="0.2">
      <c r="A131" s="19">
        <f t="shared" si="9"/>
        <v>128</v>
      </c>
      <c r="B131" s="32" t="s">
        <v>3246</v>
      </c>
      <c r="C131" s="28">
        <v>406.4</v>
      </c>
      <c r="D131" s="28">
        <v>403</v>
      </c>
      <c r="E131" s="31">
        <v>26.6</v>
      </c>
      <c r="F131" s="31">
        <v>42.9</v>
      </c>
      <c r="G131" s="28">
        <v>433</v>
      </c>
      <c r="H131" s="28">
        <v>340</v>
      </c>
      <c r="I131" s="28">
        <v>122550</v>
      </c>
      <c r="J131" s="29">
        <v>6031</v>
      </c>
      <c r="K131" s="31">
        <v>16.8</v>
      </c>
      <c r="L131" s="28">
        <v>46849</v>
      </c>
      <c r="M131" s="29">
        <v>2325</v>
      </c>
      <c r="N131" s="28">
        <v>10.4</v>
      </c>
      <c r="O131" s="31">
        <f t="shared" si="16"/>
        <v>111.679</v>
      </c>
      <c r="P131" s="31">
        <v>15.2</v>
      </c>
      <c r="Q131" s="29">
        <f t="shared" si="15"/>
        <v>3208.0823483684876</v>
      </c>
      <c r="R131" s="29">
        <f t="shared" si="7"/>
        <v>8445.893866299104</v>
      </c>
      <c r="S131" s="29">
        <f t="shared" si="8"/>
        <v>101.61304000372152</v>
      </c>
      <c r="T131" s="28">
        <f t="shared" si="17"/>
        <v>349</v>
      </c>
      <c r="U131" s="28" t="str">
        <f t="shared" si="10"/>
        <v>b/c</v>
      </c>
      <c r="V131" s="28">
        <v>3499.5</v>
      </c>
      <c r="W131" s="31">
        <v>2343</v>
      </c>
      <c r="X131" s="31">
        <v>15500</v>
      </c>
      <c r="Y131" s="29">
        <v>8</v>
      </c>
      <c r="Z131" s="29">
        <v>3</v>
      </c>
      <c r="AA131" s="30" t="s">
        <v>241</v>
      </c>
      <c r="AB131" s="30">
        <v>0</v>
      </c>
      <c r="AC131" s="149" t="str">
        <f t="shared" si="11"/>
        <v>a</v>
      </c>
      <c r="AD131" s="15"/>
      <c r="AE131" s="15"/>
      <c r="AF131" s="15"/>
    </row>
    <row r="132" spans="1:32" x14ac:dyDescent="0.2">
      <c r="A132" s="19">
        <f t="shared" si="9"/>
        <v>129</v>
      </c>
      <c r="B132" s="32" t="s">
        <v>3247</v>
      </c>
      <c r="C132" s="28">
        <v>419</v>
      </c>
      <c r="D132" s="28">
        <v>407</v>
      </c>
      <c r="E132" s="31">
        <v>30.6</v>
      </c>
      <c r="F132" s="31">
        <v>49.2</v>
      </c>
      <c r="G132" s="28">
        <v>501</v>
      </c>
      <c r="H132" s="28">
        <v>393</v>
      </c>
      <c r="I132" s="28">
        <v>146608</v>
      </c>
      <c r="J132" s="29">
        <v>6998</v>
      </c>
      <c r="K132" s="31">
        <v>17.100000000000001</v>
      </c>
      <c r="L132" s="28">
        <v>55372</v>
      </c>
      <c r="M132" s="29">
        <v>2721</v>
      </c>
      <c r="N132" s="28">
        <v>10.51</v>
      </c>
      <c r="O132" s="31">
        <f t="shared" si="16"/>
        <v>130.52399999999994</v>
      </c>
      <c r="P132" s="31">
        <v>15.2</v>
      </c>
      <c r="Q132" s="29">
        <f t="shared" si="15"/>
        <v>3777.1947633684877</v>
      </c>
      <c r="R132" s="29">
        <f t="shared" ref="R132:R160" si="18">+J132*C132/(C132-2*(F132+P132))</f>
        <v>10103.935217091661</v>
      </c>
      <c r="S132" s="29">
        <f t="shared" ref="S132:S160" si="19">+I132*E132/Q132/10</f>
        <v>118.77080958354448</v>
      </c>
      <c r="T132" s="28">
        <f t="shared" si="17"/>
        <v>403</v>
      </c>
      <c r="U132" s="28" t="str">
        <f t="shared" si="10"/>
        <v>b/c</v>
      </c>
      <c r="V132" s="28">
        <v>4111</v>
      </c>
      <c r="W132" s="31">
        <v>3545</v>
      </c>
      <c r="X132" s="31">
        <v>18900</v>
      </c>
      <c r="Y132" s="29">
        <v>8</v>
      </c>
      <c r="Z132" s="29">
        <v>3</v>
      </c>
      <c r="AA132" s="30" t="s">
        <v>241</v>
      </c>
      <c r="AB132" s="30">
        <v>0</v>
      </c>
      <c r="AC132" s="149" t="str">
        <f t="shared" si="11"/>
        <v>a</v>
      </c>
      <c r="AD132" s="15"/>
      <c r="AE132" s="15"/>
      <c r="AF132" s="15"/>
    </row>
    <row r="133" spans="1:32" x14ac:dyDescent="0.2">
      <c r="A133" s="19">
        <f t="shared" ref="A133:A195" si="20">+A132+1</f>
        <v>130</v>
      </c>
      <c r="B133" s="32" t="s">
        <v>3248</v>
      </c>
      <c r="C133" s="28">
        <v>436.6</v>
      </c>
      <c r="D133" s="28">
        <v>412.2</v>
      </c>
      <c r="E133" s="31">
        <v>35.799999999999997</v>
      </c>
      <c r="F133" s="31">
        <v>58</v>
      </c>
      <c r="G133" s="28">
        <v>595</v>
      </c>
      <c r="H133" s="28">
        <v>467</v>
      </c>
      <c r="I133" s="28">
        <v>183001</v>
      </c>
      <c r="J133" s="29">
        <v>8383</v>
      </c>
      <c r="K133" s="31">
        <v>16.100000000000001</v>
      </c>
      <c r="L133" s="28">
        <v>67828</v>
      </c>
      <c r="M133" s="29">
        <v>3291</v>
      </c>
      <c r="N133" s="28">
        <v>10.676882275554528</v>
      </c>
      <c r="O133" s="31">
        <f t="shared" si="16"/>
        <v>155.244</v>
      </c>
      <c r="P133" s="31">
        <v>15.2</v>
      </c>
      <c r="Q133" s="29">
        <f t="shared" si="15"/>
        <v>4611.8605873684874</v>
      </c>
      <c r="R133" s="29">
        <f t="shared" si="18"/>
        <v>12612.053066850447</v>
      </c>
      <c r="S133" s="29">
        <f t="shared" si="19"/>
        <v>142.05624120433848</v>
      </c>
      <c r="T133" s="28">
        <f t="shared" si="17"/>
        <v>479</v>
      </c>
      <c r="U133" s="28" t="str">
        <f t="shared" ref="U133:U197" si="21">IF(AA133="H",IF(C133/D133&gt;1.2,IF(F133&lt;=40,"a/b","b/c"),IF(F133&lt;=100,"b/c","d/d")),IF(AA133="U","c/c","Scheiss"))</f>
        <v>b/c</v>
      </c>
      <c r="V133" s="28">
        <v>5000</v>
      </c>
      <c r="W133" s="31">
        <v>5809</v>
      </c>
      <c r="X133" s="31">
        <v>24300</v>
      </c>
      <c r="Y133" s="29">
        <v>8</v>
      </c>
      <c r="Z133" s="29">
        <v>3</v>
      </c>
      <c r="AA133" s="30" t="s">
        <v>241</v>
      </c>
      <c r="AB133" s="30">
        <v>0</v>
      </c>
      <c r="AC133" s="149" t="str">
        <f t="shared" ref="AC133:AC197" si="22">IF(AA133="H",IF(U133="a/b","a0",IF(U133="b/c","a","c")),IF(AA133="U","c","Scheiss"))</f>
        <v>a</v>
      </c>
      <c r="AD133" s="15"/>
      <c r="AE133" s="15"/>
      <c r="AF133" s="15"/>
    </row>
    <row r="134" spans="1:32" x14ac:dyDescent="0.2">
      <c r="A134" s="19">
        <f t="shared" si="20"/>
        <v>131</v>
      </c>
      <c r="B134" s="32" t="s">
        <v>3249</v>
      </c>
      <c r="C134" s="28">
        <v>455.6</v>
      </c>
      <c r="D134" s="28">
        <v>418.5</v>
      </c>
      <c r="E134" s="31">
        <v>42.1</v>
      </c>
      <c r="F134" s="31">
        <v>67.5</v>
      </c>
      <c r="G134" s="28">
        <v>702</v>
      </c>
      <c r="H134" s="28">
        <v>551</v>
      </c>
      <c r="I134" s="28">
        <v>226934</v>
      </c>
      <c r="J134" s="29">
        <v>9962</v>
      </c>
      <c r="K134" s="31">
        <v>18</v>
      </c>
      <c r="L134" s="28">
        <v>82675</v>
      </c>
      <c r="M134" s="29">
        <v>3951</v>
      </c>
      <c r="N134" s="28">
        <v>10.85</v>
      </c>
      <c r="O134" s="31">
        <f t="shared" si="16"/>
        <v>185.96249999999998</v>
      </c>
      <c r="P134" s="31">
        <v>15.2</v>
      </c>
      <c r="Q134" s="29">
        <f t="shared" si="15"/>
        <v>5581.7166208684876</v>
      </c>
      <c r="R134" s="29">
        <f t="shared" si="18"/>
        <v>15639.859407305305</v>
      </c>
      <c r="S134" s="29">
        <f t="shared" si="19"/>
        <v>171.16457263847008</v>
      </c>
      <c r="T134" s="28">
        <f t="shared" si="17"/>
        <v>565</v>
      </c>
      <c r="U134" s="28" t="str">
        <f t="shared" si="21"/>
        <v>b/c</v>
      </c>
      <c r="V134" s="28">
        <v>6040</v>
      </c>
      <c r="W134" s="31">
        <v>9240</v>
      </c>
      <c r="X134" s="31">
        <v>31100</v>
      </c>
      <c r="Y134" s="29">
        <v>8</v>
      </c>
      <c r="Z134" s="29">
        <v>3</v>
      </c>
      <c r="AA134" s="30" t="s">
        <v>241</v>
      </c>
      <c r="AB134" s="30">
        <v>0</v>
      </c>
      <c r="AC134" s="149" t="str">
        <f t="shared" si="22"/>
        <v>a</v>
      </c>
      <c r="AD134" s="15"/>
      <c r="AE134" s="15"/>
      <c r="AF134" s="15"/>
    </row>
    <row r="135" spans="1:32" x14ac:dyDescent="0.2">
      <c r="A135" s="19">
        <f t="shared" si="20"/>
        <v>132</v>
      </c>
      <c r="B135" s="32" t="s">
        <v>33</v>
      </c>
      <c r="C135" s="28">
        <v>474.7</v>
      </c>
      <c r="D135" s="28">
        <v>424.1</v>
      </c>
      <c r="E135" s="31">
        <v>47.6</v>
      </c>
      <c r="F135" s="31">
        <v>77</v>
      </c>
      <c r="G135" s="28">
        <v>808.1</v>
      </c>
      <c r="H135" s="28">
        <v>634</v>
      </c>
      <c r="I135" s="28">
        <v>275140</v>
      </c>
      <c r="J135" s="29">
        <v>11592</v>
      </c>
      <c r="K135" s="31">
        <v>18.5</v>
      </c>
      <c r="L135" s="28">
        <v>98211</v>
      </c>
      <c r="M135" s="29">
        <v>11592</v>
      </c>
      <c r="N135" s="28">
        <v>11</v>
      </c>
      <c r="O135" s="31">
        <f t="shared" si="16"/>
        <v>215.04599999999999</v>
      </c>
      <c r="P135" s="31">
        <v>15.2</v>
      </c>
      <c r="Q135" s="29">
        <f t="shared" si="15"/>
        <v>6605.8016434489055</v>
      </c>
      <c r="R135" s="29">
        <f t="shared" si="18"/>
        <v>18955.295900792284</v>
      </c>
      <c r="S135" s="29">
        <f t="shared" si="19"/>
        <v>198.26002515513318</v>
      </c>
      <c r="T135" s="28">
        <f t="shared" si="17"/>
        <v>650</v>
      </c>
      <c r="U135" s="28" t="str">
        <f t="shared" si="21"/>
        <v>b/c</v>
      </c>
      <c r="V135" s="28">
        <v>7120</v>
      </c>
      <c r="W135" s="31">
        <v>13720</v>
      </c>
      <c r="X135" s="31">
        <v>38800</v>
      </c>
      <c r="Y135" s="29">
        <v>8</v>
      </c>
      <c r="Z135" s="29">
        <v>3</v>
      </c>
      <c r="AA135" s="30" t="s">
        <v>241</v>
      </c>
      <c r="AB135" s="30">
        <v>0</v>
      </c>
      <c r="AC135" s="149" t="str">
        <f t="shared" si="22"/>
        <v>a</v>
      </c>
      <c r="AD135" s="15"/>
      <c r="AE135" s="15"/>
      <c r="AF135" s="15"/>
    </row>
    <row r="136" spans="1:32" x14ac:dyDescent="0.2">
      <c r="A136" s="19">
        <f t="shared" si="20"/>
        <v>133</v>
      </c>
      <c r="B136" s="32" t="s">
        <v>3250</v>
      </c>
      <c r="C136" s="28">
        <v>361.5</v>
      </c>
      <c r="D136" s="31">
        <v>378.1</v>
      </c>
      <c r="E136" s="31">
        <v>20.399999999999999</v>
      </c>
      <c r="F136" s="31">
        <v>20.399999999999999</v>
      </c>
      <c r="G136" s="28">
        <v>222.2</v>
      </c>
      <c r="H136" s="31">
        <v>174</v>
      </c>
      <c r="I136" s="31">
        <v>51134</v>
      </c>
      <c r="J136" s="29">
        <v>2829</v>
      </c>
      <c r="K136" s="31">
        <v>15.2</v>
      </c>
      <c r="L136" s="29">
        <v>18444</v>
      </c>
      <c r="M136" s="29">
        <v>2829</v>
      </c>
      <c r="N136" s="31">
        <v>9.11</v>
      </c>
      <c r="O136" s="31">
        <f t="shared" si="16"/>
        <v>78.298399999999987</v>
      </c>
      <c r="P136" s="31">
        <v>15.2</v>
      </c>
      <c r="Q136" s="29">
        <f t="shared" si="15"/>
        <v>1367.697964448904</v>
      </c>
      <c r="R136" s="29">
        <f t="shared" si="18"/>
        <v>3522.8504994832929</v>
      </c>
      <c r="S136" s="29">
        <f t="shared" si="19"/>
        <v>76.269295349892332</v>
      </c>
      <c r="T136" s="28">
        <f t="shared" si="17"/>
        <v>178</v>
      </c>
      <c r="U136" s="28" t="str">
        <f t="shared" si="21"/>
        <v>b/c</v>
      </c>
      <c r="V136" s="28">
        <v>1597</v>
      </c>
      <c r="W136" s="31"/>
      <c r="X136" s="31"/>
      <c r="Y136" s="29">
        <v>9</v>
      </c>
      <c r="Z136" s="29">
        <v>3</v>
      </c>
      <c r="AA136" s="30" t="s">
        <v>241</v>
      </c>
      <c r="AB136" s="30">
        <v>0</v>
      </c>
      <c r="AC136" s="149" t="str">
        <f t="shared" si="22"/>
        <v>a</v>
      </c>
      <c r="AD136" s="15"/>
      <c r="AE136" s="15"/>
      <c r="AF136" s="15"/>
    </row>
    <row r="137" spans="1:32" x14ac:dyDescent="0.2">
      <c r="A137" s="19">
        <f t="shared" si="20"/>
        <v>134</v>
      </c>
      <c r="B137" s="32" t="s">
        <v>3251</v>
      </c>
      <c r="C137" s="28">
        <v>356.4</v>
      </c>
      <c r="D137" s="31">
        <v>375.5</v>
      </c>
      <c r="E137" s="31">
        <v>17.899999999999999</v>
      </c>
      <c r="F137" s="31">
        <v>17.899999999999999</v>
      </c>
      <c r="G137" s="28">
        <v>193.6</v>
      </c>
      <c r="H137" s="31">
        <v>152</v>
      </c>
      <c r="I137" s="31">
        <v>43916</v>
      </c>
      <c r="J137" s="29">
        <v>2464</v>
      </c>
      <c r="K137" s="31">
        <v>15.1</v>
      </c>
      <c r="L137" s="29">
        <v>15799</v>
      </c>
      <c r="M137" s="29">
        <v>2464</v>
      </c>
      <c r="N137" s="31">
        <v>9.0299999999999994</v>
      </c>
      <c r="O137" s="31">
        <f t="shared" si="16"/>
        <v>67.816699999999997</v>
      </c>
      <c r="P137" s="31">
        <v>15.2</v>
      </c>
      <c r="Q137" s="29">
        <f t="shared" si="15"/>
        <v>1184.2785118684876</v>
      </c>
      <c r="R137" s="29">
        <f t="shared" si="18"/>
        <v>3026.0840799448656</v>
      </c>
      <c r="S137" s="29">
        <f t="shared" si="19"/>
        <v>66.377663034664153</v>
      </c>
      <c r="T137" s="28">
        <f t="shared" si="17"/>
        <v>156</v>
      </c>
      <c r="U137" s="28" t="str">
        <f t="shared" si="21"/>
        <v>b/c</v>
      </c>
      <c r="V137" s="28">
        <v>1382</v>
      </c>
      <c r="W137" s="31"/>
      <c r="X137" s="31"/>
      <c r="Y137" s="29">
        <v>9</v>
      </c>
      <c r="Z137" s="29">
        <v>3</v>
      </c>
      <c r="AA137" s="30" t="s">
        <v>241</v>
      </c>
      <c r="AB137" s="30">
        <v>0</v>
      </c>
      <c r="AC137" s="149" t="str">
        <f t="shared" si="22"/>
        <v>a</v>
      </c>
      <c r="AD137" s="15"/>
      <c r="AE137" s="15"/>
      <c r="AF137" s="15"/>
    </row>
    <row r="138" spans="1:32" x14ac:dyDescent="0.2">
      <c r="A138" s="19">
        <f t="shared" si="20"/>
        <v>135</v>
      </c>
      <c r="B138" s="32" t="s">
        <v>3252</v>
      </c>
      <c r="C138" s="28">
        <v>351.9</v>
      </c>
      <c r="D138" s="31">
        <v>373.3</v>
      </c>
      <c r="E138" s="31">
        <v>16.8</v>
      </c>
      <c r="F138" s="31">
        <v>15.6</v>
      </c>
      <c r="G138" s="28">
        <v>169</v>
      </c>
      <c r="H138" s="31">
        <v>133</v>
      </c>
      <c r="I138" s="31">
        <v>37840</v>
      </c>
      <c r="J138" s="29">
        <v>2150</v>
      </c>
      <c r="K138" s="31">
        <v>15</v>
      </c>
      <c r="L138" s="29">
        <v>13576</v>
      </c>
      <c r="M138" s="29">
        <v>2150</v>
      </c>
      <c r="N138" s="31">
        <v>8.9600000000000009</v>
      </c>
      <c r="O138" s="31">
        <f t="shared" si="16"/>
        <v>59.893599999999985</v>
      </c>
      <c r="P138" s="31">
        <v>15.2</v>
      </c>
      <c r="Q138" s="29">
        <f t="shared" si="15"/>
        <v>1023.480436448904</v>
      </c>
      <c r="R138" s="29">
        <f t="shared" si="18"/>
        <v>2606.2177058215643</v>
      </c>
      <c r="S138" s="29">
        <f t="shared" si="19"/>
        <v>62.112765164880329</v>
      </c>
      <c r="T138" s="28">
        <f t="shared" si="17"/>
        <v>136</v>
      </c>
      <c r="U138" s="28" t="str">
        <f t="shared" si="21"/>
        <v>b/c</v>
      </c>
      <c r="V138" s="28">
        <v>1199</v>
      </c>
      <c r="W138" s="31"/>
      <c r="X138" s="31"/>
      <c r="Y138" s="29">
        <v>9</v>
      </c>
      <c r="Z138" s="29">
        <v>3</v>
      </c>
      <c r="AA138" s="30" t="s">
        <v>241</v>
      </c>
      <c r="AB138" s="30">
        <v>0</v>
      </c>
      <c r="AC138" s="149" t="str">
        <f t="shared" si="22"/>
        <v>a</v>
      </c>
      <c r="AD138" s="15"/>
      <c r="AE138" s="15"/>
      <c r="AF138" s="15"/>
    </row>
    <row r="139" spans="1:32" x14ac:dyDescent="0.2">
      <c r="A139" s="19">
        <f t="shared" si="20"/>
        <v>136</v>
      </c>
      <c r="B139" s="32" t="s">
        <v>7788</v>
      </c>
      <c r="C139" s="28">
        <v>346.4</v>
      </c>
      <c r="D139" s="31">
        <v>370.5</v>
      </c>
      <c r="E139" s="31">
        <v>12.9</v>
      </c>
      <c r="F139" s="31">
        <v>12.9</v>
      </c>
      <c r="G139" s="28">
        <v>138.4</v>
      </c>
      <c r="H139" s="31">
        <v>109</v>
      </c>
      <c r="I139" s="31">
        <v>30515</v>
      </c>
      <c r="J139" s="29">
        <v>1762</v>
      </c>
      <c r="K139" s="31">
        <v>14.8</v>
      </c>
      <c r="L139" s="29">
        <v>10900</v>
      </c>
      <c r="M139" s="29">
        <v>1762</v>
      </c>
      <c r="N139" s="31">
        <v>8.8699999999999992</v>
      </c>
      <c r="O139" s="31">
        <f t="shared" si="16"/>
        <v>48.39670000000001</v>
      </c>
      <c r="P139" s="31">
        <v>15.2</v>
      </c>
      <c r="Q139" s="29">
        <f t="shared" si="15"/>
        <v>832.61878686848752</v>
      </c>
      <c r="R139" s="29">
        <f t="shared" si="18"/>
        <v>2103.2281185389384</v>
      </c>
      <c r="S139" s="29">
        <f t="shared" si="19"/>
        <v>47.277758586316423</v>
      </c>
      <c r="T139" s="28">
        <f t="shared" si="17"/>
        <v>112</v>
      </c>
      <c r="U139" s="28" t="str">
        <f t="shared" si="21"/>
        <v>b/c</v>
      </c>
      <c r="V139" s="28">
        <v>975</v>
      </c>
      <c r="W139" s="31"/>
      <c r="X139" s="31"/>
      <c r="Y139" s="29">
        <v>9</v>
      </c>
      <c r="Z139" s="29">
        <v>3</v>
      </c>
      <c r="AA139" s="30" t="s">
        <v>241</v>
      </c>
      <c r="AB139" s="30">
        <v>0</v>
      </c>
      <c r="AC139" s="149" t="str">
        <f t="shared" si="22"/>
        <v>a</v>
      </c>
      <c r="AD139" s="15"/>
      <c r="AE139" s="15"/>
      <c r="AF139" s="15"/>
    </row>
    <row r="140" spans="1:32" x14ac:dyDescent="0.2">
      <c r="A140" s="19">
        <f t="shared" si="20"/>
        <v>137</v>
      </c>
      <c r="B140" s="32" t="s">
        <v>7789</v>
      </c>
      <c r="C140" s="28">
        <v>338</v>
      </c>
      <c r="D140" s="31">
        <v>325.39999999999998</v>
      </c>
      <c r="E140" s="31">
        <v>30.5</v>
      </c>
      <c r="F140" s="31">
        <v>30.5</v>
      </c>
      <c r="G140" s="28">
        <v>284.8</v>
      </c>
      <c r="H140" s="31">
        <v>223</v>
      </c>
      <c r="I140" s="31">
        <v>52829</v>
      </c>
      <c r="J140" s="29">
        <v>3125</v>
      </c>
      <c r="K140" s="31">
        <v>13.6</v>
      </c>
      <c r="L140" s="29">
        <v>17572</v>
      </c>
      <c r="M140" s="29">
        <v>3125</v>
      </c>
      <c r="N140" s="31">
        <v>7.85</v>
      </c>
      <c r="O140" s="31">
        <f t="shared" si="16"/>
        <v>104.88050000000004</v>
      </c>
      <c r="P140" s="31">
        <v>15.2</v>
      </c>
      <c r="Q140" s="29">
        <f t="shared" si="15"/>
        <v>1589.1979173069228</v>
      </c>
      <c r="R140" s="29">
        <f t="shared" si="18"/>
        <v>4283.2522303325222</v>
      </c>
      <c r="S140" s="29">
        <f t="shared" si="19"/>
        <v>101.38979433917868</v>
      </c>
      <c r="T140" s="28">
        <f t="shared" si="17"/>
        <v>229</v>
      </c>
      <c r="U140" s="28" t="str">
        <f t="shared" si="21"/>
        <v>b/c</v>
      </c>
      <c r="V140" s="28">
        <v>1931</v>
      </c>
      <c r="W140" s="31"/>
      <c r="X140" s="31"/>
      <c r="Y140" s="29">
        <v>9</v>
      </c>
      <c r="Z140" s="29">
        <v>3</v>
      </c>
      <c r="AA140" s="30" t="s">
        <v>241</v>
      </c>
      <c r="AB140" s="30">
        <v>0</v>
      </c>
      <c r="AC140" s="149" t="str">
        <f t="shared" si="22"/>
        <v>a</v>
      </c>
      <c r="AD140" s="15"/>
      <c r="AE140" s="15"/>
      <c r="AF140" s="15"/>
    </row>
    <row r="141" spans="1:32" x14ac:dyDescent="0.2">
      <c r="A141" s="19">
        <f t="shared" si="20"/>
        <v>138</v>
      </c>
      <c r="B141" s="32" t="s">
        <v>7790</v>
      </c>
      <c r="C141" s="28">
        <v>328.4</v>
      </c>
      <c r="D141" s="31">
        <v>320.5</v>
      </c>
      <c r="E141" s="31">
        <v>25.7</v>
      </c>
      <c r="F141" s="31">
        <v>25.7</v>
      </c>
      <c r="G141" s="28">
        <v>237.3</v>
      </c>
      <c r="H141" s="31">
        <v>186</v>
      </c>
      <c r="I141" s="31">
        <v>42643</v>
      </c>
      <c r="J141" s="29">
        <v>2597</v>
      </c>
      <c r="K141" s="31">
        <v>13.4</v>
      </c>
      <c r="L141" s="29">
        <v>14118</v>
      </c>
      <c r="M141" s="29">
        <v>2597</v>
      </c>
      <c r="N141" s="31">
        <v>7.71</v>
      </c>
      <c r="O141" s="31">
        <f t="shared" si="16"/>
        <v>86.980700000000013</v>
      </c>
      <c r="P141" s="31">
        <v>15.2</v>
      </c>
      <c r="Q141" s="29">
        <f t="shared" si="15"/>
        <v>1300.926571806923</v>
      </c>
      <c r="R141" s="29">
        <f t="shared" si="18"/>
        <v>3458.4541768045419</v>
      </c>
      <c r="S141" s="29">
        <f t="shared" si="19"/>
        <v>84.241887570780719</v>
      </c>
      <c r="T141" s="28">
        <f t="shared" si="17"/>
        <v>191</v>
      </c>
      <c r="U141" s="28" t="str">
        <f t="shared" si="21"/>
        <v>b/c</v>
      </c>
      <c r="V141" s="28">
        <v>1502.5</v>
      </c>
      <c r="W141" s="31"/>
      <c r="X141" s="31"/>
      <c r="Y141" s="29">
        <v>9</v>
      </c>
      <c r="Z141" s="29">
        <v>3</v>
      </c>
      <c r="AA141" s="30" t="s">
        <v>241</v>
      </c>
      <c r="AB141" s="30">
        <v>0</v>
      </c>
      <c r="AC141" s="149" t="str">
        <f t="shared" si="22"/>
        <v>a</v>
      </c>
      <c r="AD141" s="15"/>
      <c r="AE141" s="15"/>
      <c r="AF141" s="15"/>
    </row>
    <row r="142" spans="1:32" x14ac:dyDescent="0.2">
      <c r="A142" s="19">
        <f t="shared" si="20"/>
        <v>139</v>
      </c>
      <c r="B142" s="32" t="s">
        <v>7791</v>
      </c>
      <c r="C142" s="28">
        <v>318.2</v>
      </c>
      <c r="D142" s="31">
        <v>315.60000000000002</v>
      </c>
      <c r="E142" s="31">
        <v>20.6</v>
      </c>
      <c r="F142" s="31">
        <v>20.6</v>
      </c>
      <c r="G142" s="28">
        <v>190</v>
      </c>
      <c r="H142" s="31">
        <v>149</v>
      </c>
      <c r="I142" s="31">
        <v>33013</v>
      </c>
      <c r="J142" s="29">
        <v>2075</v>
      </c>
      <c r="K142" s="31">
        <v>13.2</v>
      </c>
      <c r="L142" s="29">
        <v>10869</v>
      </c>
      <c r="M142" s="29">
        <v>2075</v>
      </c>
      <c r="N142" s="31">
        <v>7.56</v>
      </c>
      <c r="O142" s="31">
        <f t="shared" si="16"/>
        <v>70.478799999999978</v>
      </c>
      <c r="P142" s="31">
        <v>15.2</v>
      </c>
      <c r="Q142" s="29">
        <f t="shared" si="15"/>
        <v>1012.1234763069231</v>
      </c>
      <c r="R142" s="29">
        <f t="shared" si="18"/>
        <v>2677.4736415247366</v>
      </c>
      <c r="S142" s="29">
        <f t="shared" si="19"/>
        <v>67.192177231325459</v>
      </c>
      <c r="T142" s="28">
        <f t="shared" si="17"/>
        <v>153</v>
      </c>
      <c r="U142" s="28" t="str">
        <f t="shared" si="21"/>
        <v>b/c</v>
      </c>
      <c r="V142" s="28">
        <v>1185</v>
      </c>
      <c r="W142" s="31"/>
      <c r="X142" s="31"/>
      <c r="Y142" s="29">
        <v>9</v>
      </c>
      <c r="Z142" s="29">
        <v>3</v>
      </c>
      <c r="AA142" s="30" t="s">
        <v>241</v>
      </c>
      <c r="AB142" s="30">
        <v>0</v>
      </c>
      <c r="AC142" s="149" t="str">
        <f t="shared" si="22"/>
        <v>a</v>
      </c>
      <c r="AD142" s="15"/>
      <c r="AE142" s="15"/>
      <c r="AF142" s="15"/>
    </row>
    <row r="143" spans="1:32" x14ac:dyDescent="0.2">
      <c r="A143" s="19">
        <f t="shared" si="20"/>
        <v>140</v>
      </c>
      <c r="B143" s="32" t="s">
        <v>7792</v>
      </c>
      <c r="C143" s="28">
        <v>312.39999999999998</v>
      </c>
      <c r="D143" s="31">
        <v>312.5</v>
      </c>
      <c r="E143" s="31">
        <v>17.7</v>
      </c>
      <c r="F143" s="31">
        <v>17.7</v>
      </c>
      <c r="G143" s="28">
        <v>161.30000000000001</v>
      </c>
      <c r="H143" s="31">
        <v>126</v>
      </c>
      <c r="I143" s="31">
        <v>27484</v>
      </c>
      <c r="J143" s="29">
        <v>1760</v>
      </c>
      <c r="K143" s="31">
        <v>13.1</v>
      </c>
      <c r="L143" s="29">
        <v>8999</v>
      </c>
      <c r="M143" s="29">
        <v>1760</v>
      </c>
      <c r="N143" s="31">
        <v>7.47</v>
      </c>
      <c r="O143" s="31">
        <f t="shared" si="16"/>
        <v>59.188700000000011</v>
      </c>
      <c r="P143" s="31">
        <v>15.2</v>
      </c>
      <c r="Q143" s="29">
        <f t="shared" si="15"/>
        <v>854.31573180692305</v>
      </c>
      <c r="R143" s="29">
        <f t="shared" si="18"/>
        <v>2229.6188158961886</v>
      </c>
      <c r="S143" s="29">
        <f t="shared" si="19"/>
        <v>56.942273434564626</v>
      </c>
      <c r="T143" s="28">
        <f t="shared" si="17"/>
        <v>129</v>
      </c>
      <c r="U143" s="28" t="str">
        <f t="shared" si="21"/>
        <v>b/c</v>
      </c>
      <c r="V143" s="28">
        <v>996</v>
      </c>
      <c r="W143" s="31"/>
      <c r="X143" s="31"/>
      <c r="Y143" s="29">
        <v>9</v>
      </c>
      <c r="Z143" s="29">
        <v>3</v>
      </c>
      <c r="AA143" s="30" t="s">
        <v>241</v>
      </c>
      <c r="AB143" s="30">
        <v>0</v>
      </c>
      <c r="AC143" s="149" t="str">
        <f t="shared" si="22"/>
        <v>a</v>
      </c>
      <c r="AD143" s="15"/>
      <c r="AE143" s="15"/>
      <c r="AF143" s="15"/>
    </row>
    <row r="144" spans="1:32" x14ac:dyDescent="0.2">
      <c r="A144" s="19">
        <f t="shared" si="20"/>
        <v>141</v>
      </c>
      <c r="B144" s="32" t="s">
        <v>7793</v>
      </c>
      <c r="C144" s="28">
        <v>307.89999999999998</v>
      </c>
      <c r="D144" s="31">
        <v>310.3</v>
      </c>
      <c r="E144" s="31">
        <v>15.4</v>
      </c>
      <c r="F144" s="31">
        <v>15.4</v>
      </c>
      <c r="G144" s="28">
        <v>140.4</v>
      </c>
      <c r="H144" s="31">
        <v>110</v>
      </c>
      <c r="I144" s="31">
        <v>23580</v>
      </c>
      <c r="J144" s="29">
        <v>1532</v>
      </c>
      <c r="K144" s="31">
        <v>13</v>
      </c>
      <c r="L144" s="29">
        <v>7689</v>
      </c>
      <c r="M144" s="29">
        <v>1532</v>
      </c>
      <c r="N144" s="31">
        <v>7.4</v>
      </c>
      <c r="O144" s="31">
        <f t="shared" si="16"/>
        <v>51.880800000000001</v>
      </c>
      <c r="P144" s="31">
        <v>15.2</v>
      </c>
      <c r="Q144" s="29">
        <f t="shared" si="15"/>
        <v>733.86283438733938</v>
      </c>
      <c r="R144" s="29">
        <f t="shared" si="18"/>
        <v>1912.0502634779084</v>
      </c>
      <c r="S144" s="29">
        <f t="shared" si="19"/>
        <v>49.482271479677586</v>
      </c>
      <c r="T144" s="28">
        <f t="shared" si="17"/>
        <v>113</v>
      </c>
      <c r="U144" s="28" t="str">
        <f t="shared" si="21"/>
        <v>b/c</v>
      </c>
      <c r="V144" s="28">
        <v>861</v>
      </c>
      <c r="W144" s="31"/>
      <c r="X144" s="31"/>
      <c r="Y144" s="29">
        <v>9</v>
      </c>
      <c r="Z144" s="29">
        <v>3</v>
      </c>
      <c r="AA144" s="30" t="s">
        <v>241</v>
      </c>
      <c r="AB144" s="30">
        <v>0</v>
      </c>
      <c r="AC144" s="149" t="str">
        <f t="shared" si="22"/>
        <v>a</v>
      </c>
      <c r="AD144" s="15"/>
      <c r="AE144" s="15"/>
      <c r="AF144" s="15"/>
    </row>
    <row r="145" spans="1:32" x14ac:dyDescent="0.2">
      <c r="A145" s="19">
        <f t="shared" si="20"/>
        <v>142</v>
      </c>
      <c r="B145" s="32" t="s">
        <v>7794</v>
      </c>
      <c r="C145" s="28">
        <v>303.8</v>
      </c>
      <c r="D145" s="31">
        <v>308.3</v>
      </c>
      <c r="E145" s="31">
        <v>13.4</v>
      </c>
      <c r="F145" s="31">
        <v>13.4</v>
      </c>
      <c r="G145" s="28">
        <v>121.4</v>
      </c>
      <c r="H145" s="31">
        <v>95</v>
      </c>
      <c r="I145" s="31">
        <v>20112</v>
      </c>
      <c r="J145" s="29">
        <v>1324</v>
      </c>
      <c r="K145" s="31">
        <v>12.9</v>
      </c>
      <c r="L145" s="29">
        <v>6536</v>
      </c>
      <c r="M145" s="29">
        <v>1324</v>
      </c>
      <c r="N145" s="31">
        <v>7.33</v>
      </c>
      <c r="O145" s="31">
        <f t="shared" si="16"/>
        <v>44.644799999999996</v>
      </c>
      <c r="P145" s="31">
        <v>15.2</v>
      </c>
      <c r="Q145" s="29">
        <f t="shared" ref="Q145:Q160" si="23">+F145*D145*(C145-F145)/2/1000+P145*E145*(C145-2*F145-2*P145)/2/1000+(2*P145)^2*(1-PI()/4)/4*(C145-2*P145-2*F145)/2/1000</f>
        <v>631.08030030692305</v>
      </c>
      <c r="R145" s="29">
        <f t="shared" si="18"/>
        <v>1631.1078669910785</v>
      </c>
      <c r="S145" s="29">
        <f t="shared" si="19"/>
        <v>42.704676388873096</v>
      </c>
      <c r="T145" s="28">
        <f t="shared" si="17"/>
        <v>97</v>
      </c>
      <c r="U145" s="28" t="str">
        <f t="shared" si="21"/>
        <v>b/c</v>
      </c>
      <c r="V145" s="28">
        <v>739.5</v>
      </c>
      <c r="W145" s="31"/>
      <c r="X145" s="31"/>
      <c r="Y145" s="29">
        <v>9</v>
      </c>
      <c r="Z145" s="29">
        <v>3</v>
      </c>
      <c r="AA145" s="30" t="s">
        <v>241</v>
      </c>
      <c r="AB145" s="30">
        <v>0</v>
      </c>
      <c r="AC145" s="149" t="str">
        <f t="shared" si="22"/>
        <v>a</v>
      </c>
      <c r="AD145" s="15"/>
      <c r="AE145" s="15"/>
      <c r="AF145" s="15"/>
    </row>
    <row r="146" spans="1:32" x14ac:dyDescent="0.2">
      <c r="A146" s="19">
        <f t="shared" si="20"/>
        <v>143</v>
      </c>
      <c r="B146" s="32" t="s">
        <v>5532</v>
      </c>
      <c r="C146" s="28">
        <v>301.7</v>
      </c>
      <c r="D146" s="31">
        <v>307.2</v>
      </c>
      <c r="E146" s="31">
        <v>12.3</v>
      </c>
      <c r="F146" s="31">
        <v>12.3</v>
      </c>
      <c r="G146" s="28">
        <v>111.8</v>
      </c>
      <c r="H146" s="31">
        <v>88</v>
      </c>
      <c r="I146" s="31">
        <v>18404</v>
      </c>
      <c r="J146" s="29">
        <v>1220</v>
      </c>
      <c r="K146" s="31">
        <v>12.8</v>
      </c>
      <c r="L146" s="29">
        <v>5960</v>
      </c>
      <c r="M146" s="29">
        <v>1220</v>
      </c>
      <c r="N146" s="31">
        <v>7.3</v>
      </c>
      <c r="O146" s="31">
        <f t="shared" si="16"/>
        <v>41.480899999999991</v>
      </c>
      <c r="P146" s="31">
        <v>15.2</v>
      </c>
      <c r="Q146" s="29">
        <f t="shared" si="23"/>
        <v>575.93503938733932</v>
      </c>
      <c r="R146" s="29">
        <f t="shared" si="18"/>
        <v>1491.9902715849209</v>
      </c>
      <c r="S146" s="29">
        <f t="shared" si="19"/>
        <v>39.304641065215286</v>
      </c>
      <c r="T146" s="28">
        <f t="shared" si="17"/>
        <v>90</v>
      </c>
      <c r="U146" s="28" t="str">
        <f t="shared" si="21"/>
        <v>b/c</v>
      </c>
      <c r="V146" s="28">
        <v>679</v>
      </c>
      <c r="W146" s="31"/>
      <c r="X146" s="31"/>
      <c r="Y146" s="29">
        <v>9</v>
      </c>
      <c r="Z146" s="29">
        <v>3</v>
      </c>
      <c r="AA146" s="30" t="s">
        <v>241</v>
      </c>
      <c r="AB146" s="30">
        <v>0</v>
      </c>
      <c r="AC146" s="149" t="str">
        <f t="shared" si="22"/>
        <v>a</v>
      </c>
      <c r="AD146" s="15"/>
      <c r="AE146" s="15"/>
      <c r="AF146" s="15"/>
    </row>
    <row r="147" spans="1:32" x14ac:dyDescent="0.2">
      <c r="A147" s="19">
        <f t="shared" si="20"/>
        <v>144</v>
      </c>
      <c r="B147" s="32" t="s">
        <v>5533</v>
      </c>
      <c r="C147" s="28">
        <v>299.2</v>
      </c>
      <c r="D147" s="31">
        <v>306</v>
      </c>
      <c r="E147" s="31">
        <v>11.1</v>
      </c>
      <c r="F147" s="31">
        <v>11.1</v>
      </c>
      <c r="G147" s="28">
        <v>100.4</v>
      </c>
      <c r="H147" s="31">
        <v>79</v>
      </c>
      <c r="I147" s="31">
        <v>16400</v>
      </c>
      <c r="J147" s="29">
        <v>1096</v>
      </c>
      <c r="K147" s="31">
        <v>12.8</v>
      </c>
      <c r="L147" s="29">
        <v>5292</v>
      </c>
      <c r="M147" s="29">
        <v>1096</v>
      </c>
      <c r="N147" s="31">
        <v>7.26</v>
      </c>
      <c r="O147" s="31">
        <f t="shared" si="16"/>
        <v>37.0745</v>
      </c>
      <c r="P147" s="31">
        <v>15.2</v>
      </c>
      <c r="Q147" s="29">
        <f t="shared" si="23"/>
        <v>516.19681830692286</v>
      </c>
      <c r="R147" s="29">
        <f t="shared" si="18"/>
        <v>1329.7777777777778</v>
      </c>
      <c r="S147" s="29">
        <f t="shared" si="19"/>
        <v>35.265618373447964</v>
      </c>
      <c r="T147" s="28">
        <f t="shared" si="17"/>
        <v>81</v>
      </c>
      <c r="U147" s="28" t="str">
        <f t="shared" si="21"/>
        <v>b/c</v>
      </c>
      <c r="V147" s="28">
        <v>608</v>
      </c>
      <c r="W147" s="31"/>
      <c r="X147" s="31"/>
      <c r="Y147" s="29">
        <v>9</v>
      </c>
      <c r="Z147" s="29">
        <v>3</v>
      </c>
      <c r="AA147" s="30" t="s">
        <v>241</v>
      </c>
      <c r="AB147" s="30">
        <v>0</v>
      </c>
      <c r="AC147" s="149" t="str">
        <f t="shared" si="22"/>
        <v>a</v>
      </c>
      <c r="AD147" s="15"/>
      <c r="AE147" s="15"/>
      <c r="AF147" s="15"/>
    </row>
    <row r="148" spans="1:32" x14ac:dyDescent="0.2">
      <c r="A148" s="19">
        <f t="shared" si="20"/>
        <v>145</v>
      </c>
      <c r="B148" s="32" t="s">
        <v>5534</v>
      </c>
      <c r="C148" s="28">
        <v>254.3</v>
      </c>
      <c r="D148" s="31">
        <v>259.7</v>
      </c>
      <c r="E148" s="31">
        <v>14.3</v>
      </c>
      <c r="F148" s="31">
        <v>14.3</v>
      </c>
      <c r="G148" s="28">
        <v>108.1</v>
      </c>
      <c r="H148" s="31">
        <v>85</v>
      </c>
      <c r="I148" s="31">
        <v>12264</v>
      </c>
      <c r="J148" s="29">
        <v>964.5</v>
      </c>
      <c r="K148" s="31">
        <v>10.7</v>
      </c>
      <c r="L148" s="29">
        <v>4188</v>
      </c>
      <c r="M148" s="29">
        <v>964.5</v>
      </c>
      <c r="N148" s="31">
        <v>6.22</v>
      </c>
      <c r="O148" s="31">
        <f t="shared" si="16"/>
        <v>39.50289999999999</v>
      </c>
      <c r="P148" s="31">
        <v>12.7</v>
      </c>
      <c r="Q148" s="29">
        <f t="shared" si="23"/>
        <v>467.29994649209641</v>
      </c>
      <c r="R148" s="29">
        <f t="shared" si="18"/>
        <v>1224.5249625561657</v>
      </c>
      <c r="S148" s="29">
        <f t="shared" si="19"/>
        <v>37.529471449012071</v>
      </c>
      <c r="T148" s="28">
        <f t="shared" si="17"/>
        <v>87</v>
      </c>
      <c r="U148" s="28" t="str">
        <f t="shared" si="21"/>
        <v>b/c</v>
      </c>
      <c r="V148" s="28">
        <v>545</v>
      </c>
      <c r="W148" s="31"/>
      <c r="X148" s="31"/>
      <c r="Y148" s="29">
        <v>9</v>
      </c>
      <c r="Z148" s="29">
        <v>3</v>
      </c>
      <c r="AA148" s="30" t="s">
        <v>241</v>
      </c>
      <c r="AB148" s="30">
        <v>0</v>
      </c>
      <c r="AC148" s="149" t="str">
        <f t="shared" si="22"/>
        <v>a</v>
      </c>
      <c r="AD148" s="15"/>
      <c r="AE148" s="15"/>
      <c r="AF148" s="15"/>
    </row>
    <row r="149" spans="1:32" x14ac:dyDescent="0.2">
      <c r="A149" s="19">
        <f t="shared" si="20"/>
        <v>146</v>
      </c>
      <c r="B149" s="32" t="s">
        <v>5535</v>
      </c>
      <c r="C149" s="28">
        <v>249.9</v>
      </c>
      <c r="D149" s="31">
        <v>257.5</v>
      </c>
      <c r="E149" s="31">
        <v>12.1</v>
      </c>
      <c r="F149" s="31">
        <v>12.1</v>
      </c>
      <c r="G149" s="28">
        <v>91.1</v>
      </c>
      <c r="H149" s="31">
        <v>71</v>
      </c>
      <c r="I149" s="31">
        <v>10153</v>
      </c>
      <c r="J149" s="29">
        <v>812.7</v>
      </c>
      <c r="K149" s="31">
        <v>10.6</v>
      </c>
      <c r="L149" s="29">
        <v>3451</v>
      </c>
      <c r="M149" s="29">
        <v>812.7</v>
      </c>
      <c r="N149" s="31">
        <v>6.15</v>
      </c>
      <c r="O149" s="31">
        <f t="shared" si="16"/>
        <v>33.322499999999998</v>
      </c>
      <c r="P149" s="31">
        <v>12.7</v>
      </c>
      <c r="Q149" s="29">
        <f t="shared" si="23"/>
        <v>389.31923049209644</v>
      </c>
      <c r="R149" s="29">
        <f t="shared" si="18"/>
        <v>1013.9477284073889</v>
      </c>
      <c r="S149" s="29">
        <f t="shared" si="19"/>
        <v>31.555415293695336</v>
      </c>
      <c r="T149" s="28">
        <f t="shared" si="17"/>
        <v>73</v>
      </c>
      <c r="U149" s="28" t="str">
        <f t="shared" si="21"/>
        <v>b/c</v>
      </c>
      <c r="V149" s="28">
        <v>455.6</v>
      </c>
      <c r="W149" s="31"/>
      <c r="X149" s="31"/>
      <c r="Y149" s="29">
        <v>9</v>
      </c>
      <c r="Z149" s="29">
        <v>3</v>
      </c>
      <c r="AA149" s="30" t="s">
        <v>241</v>
      </c>
      <c r="AB149" s="30">
        <v>0</v>
      </c>
      <c r="AC149" s="149" t="str">
        <f t="shared" si="22"/>
        <v>a</v>
      </c>
      <c r="AD149" s="15"/>
      <c r="AE149" s="15"/>
      <c r="AF149" s="15"/>
    </row>
    <row r="150" spans="1:32" x14ac:dyDescent="0.2">
      <c r="A150" s="19">
        <f t="shared" si="20"/>
        <v>147</v>
      </c>
      <c r="B150" s="32" t="s">
        <v>5536</v>
      </c>
      <c r="C150" s="28">
        <v>246.9</v>
      </c>
      <c r="D150" s="31">
        <v>256</v>
      </c>
      <c r="E150" s="31">
        <v>10.6</v>
      </c>
      <c r="F150" s="31">
        <v>10.6</v>
      </c>
      <c r="G150" s="28">
        <v>79.7</v>
      </c>
      <c r="H150" s="31">
        <v>63</v>
      </c>
      <c r="I150" s="31">
        <v>8775</v>
      </c>
      <c r="J150" s="29">
        <v>710.9</v>
      </c>
      <c r="K150" s="31">
        <v>10.5</v>
      </c>
      <c r="L150" s="29">
        <v>2971</v>
      </c>
      <c r="M150" s="29">
        <v>710.9</v>
      </c>
      <c r="N150" s="31">
        <v>6.11</v>
      </c>
      <c r="O150" s="31">
        <f t="shared" ref="O150:O152" si="24">MAX(G150-2*D150*F150/100+(E150+2*P150)*F150/100,(C150-2*F150)*E150/100)</f>
        <v>29.244000000000003</v>
      </c>
      <c r="P150" s="31">
        <v>12.7</v>
      </c>
      <c r="Q150" s="29">
        <f t="shared" si="23"/>
        <v>337.56053799209644</v>
      </c>
      <c r="R150" s="29">
        <f t="shared" si="18"/>
        <v>876.29161258112822</v>
      </c>
      <c r="S150" s="29">
        <f t="shared" si="19"/>
        <v>27.555057398971748</v>
      </c>
      <c r="T150" s="28">
        <f t="shared" ref="T150:T171" si="25">+ROUND(H150*1.025,0)</f>
        <v>65</v>
      </c>
      <c r="U150" s="28" t="str">
        <f t="shared" si="21"/>
        <v>b/c</v>
      </c>
      <c r="V150" s="28">
        <v>391.25</v>
      </c>
      <c r="W150" s="31"/>
      <c r="X150" s="31"/>
      <c r="Y150" s="29">
        <v>9</v>
      </c>
      <c r="Z150" s="29">
        <v>3</v>
      </c>
      <c r="AA150" s="30" t="s">
        <v>241</v>
      </c>
      <c r="AB150" s="30">
        <v>0</v>
      </c>
      <c r="AC150" s="149" t="str">
        <f t="shared" si="22"/>
        <v>a</v>
      </c>
      <c r="AD150" s="15"/>
      <c r="AE150" s="15"/>
      <c r="AF150" s="15"/>
    </row>
    <row r="151" spans="1:32" x14ac:dyDescent="0.2">
      <c r="A151" s="19">
        <f t="shared" si="20"/>
        <v>148</v>
      </c>
      <c r="B151" s="32" t="s">
        <v>5537</v>
      </c>
      <c r="C151" s="28">
        <v>203.9</v>
      </c>
      <c r="D151" s="31">
        <v>207.2</v>
      </c>
      <c r="E151" s="31">
        <v>11.3</v>
      </c>
      <c r="F151" s="31">
        <v>11.3</v>
      </c>
      <c r="G151" s="28">
        <v>68.400000000000006</v>
      </c>
      <c r="H151" s="31">
        <v>54</v>
      </c>
      <c r="I151" s="31">
        <v>4987</v>
      </c>
      <c r="J151" s="29">
        <v>489.2</v>
      </c>
      <c r="K151" s="31">
        <v>8.64</v>
      </c>
      <c r="L151" s="29">
        <v>1683</v>
      </c>
      <c r="M151" s="29">
        <v>489.2</v>
      </c>
      <c r="N151" s="31">
        <v>4.96</v>
      </c>
      <c r="O151" s="31">
        <f t="shared" si="24"/>
        <v>25.154900000000001</v>
      </c>
      <c r="P151" s="31">
        <v>10.199999999999999</v>
      </c>
      <c r="Q151" s="29">
        <f t="shared" si="23"/>
        <v>236.54185623519641</v>
      </c>
      <c r="R151" s="29">
        <f t="shared" si="18"/>
        <v>619.93710379117465</v>
      </c>
      <c r="S151" s="29">
        <f t="shared" si="19"/>
        <v>23.823732888934227</v>
      </c>
      <c r="T151" s="28">
        <f t="shared" si="25"/>
        <v>55</v>
      </c>
      <c r="U151" s="28" t="str">
        <f t="shared" si="21"/>
        <v>b/c</v>
      </c>
      <c r="V151" s="28">
        <v>276.39999999999998</v>
      </c>
      <c r="W151" s="31"/>
      <c r="X151" s="31"/>
      <c r="Y151" s="29">
        <v>9</v>
      </c>
      <c r="Z151" s="29">
        <v>3</v>
      </c>
      <c r="AA151" s="30" t="s">
        <v>241</v>
      </c>
      <c r="AB151" s="30">
        <v>0</v>
      </c>
      <c r="AC151" s="149" t="str">
        <f t="shared" si="22"/>
        <v>a</v>
      </c>
      <c r="AD151" s="15"/>
      <c r="AE151" s="15"/>
      <c r="AF151" s="15"/>
    </row>
    <row r="152" spans="1:32" x14ac:dyDescent="0.2">
      <c r="A152" s="19">
        <f t="shared" si="20"/>
        <v>149</v>
      </c>
      <c r="B152" s="32" t="s">
        <v>5538</v>
      </c>
      <c r="C152" s="28">
        <v>200.2</v>
      </c>
      <c r="D152" s="31">
        <v>205.4</v>
      </c>
      <c r="E152" s="31">
        <v>9.5</v>
      </c>
      <c r="F152" s="31">
        <v>9.5</v>
      </c>
      <c r="G152" s="28">
        <v>57</v>
      </c>
      <c r="H152" s="31">
        <v>45</v>
      </c>
      <c r="I152" s="31">
        <v>4079</v>
      </c>
      <c r="J152" s="29">
        <v>407.6</v>
      </c>
      <c r="K152" s="31">
        <v>8.4600000000000009</v>
      </c>
      <c r="L152" s="29">
        <v>1369</v>
      </c>
      <c r="M152" s="29">
        <v>407.6</v>
      </c>
      <c r="N152" s="31">
        <v>4.9000000000000004</v>
      </c>
      <c r="O152" s="31">
        <f t="shared" si="24"/>
        <v>20.814500000000002</v>
      </c>
      <c r="P152" s="31">
        <v>10.199999999999999</v>
      </c>
      <c r="Q152" s="29">
        <f t="shared" si="23"/>
        <v>195.64231987644243</v>
      </c>
      <c r="R152" s="29">
        <f t="shared" si="18"/>
        <v>507.47213930348266</v>
      </c>
      <c r="S152" s="29">
        <f t="shared" si="19"/>
        <v>19.80680868253495</v>
      </c>
      <c r="T152" s="28">
        <f t="shared" si="25"/>
        <v>46</v>
      </c>
      <c r="U152" s="28" t="str">
        <f t="shared" si="21"/>
        <v>b/c</v>
      </c>
      <c r="V152" s="28">
        <v>228.3</v>
      </c>
      <c r="W152" s="31"/>
      <c r="X152" s="31"/>
      <c r="Y152" s="29">
        <v>9</v>
      </c>
      <c r="Z152" s="29">
        <v>3</v>
      </c>
      <c r="AA152" s="30" t="s">
        <v>241</v>
      </c>
      <c r="AB152" s="30">
        <v>0</v>
      </c>
      <c r="AC152" s="149" t="str">
        <f t="shared" si="22"/>
        <v>a</v>
      </c>
      <c r="AD152" s="15"/>
      <c r="AE152" s="15"/>
      <c r="AF152" s="15"/>
    </row>
    <row r="153" spans="1:32" x14ac:dyDescent="0.2">
      <c r="A153" s="19">
        <f t="shared" si="20"/>
        <v>150</v>
      </c>
      <c r="B153" s="28" t="s">
        <v>8783</v>
      </c>
      <c r="C153" s="28">
        <v>304.8</v>
      </c>
      <c r="D153" s="31">
        <v>101.6</v>
      </c>
      <c r="E153" s="31">
        <v>10.199999999999999</v>
      </c>
      <c r="F153" s="31">
        <v>14.8</v>
      </c>
      <c r="G153" s="28">
        <v>58.83</v>
      </c>
      <c r="H153" s="31">
        <v>46.18</v>
      </c>
      <c r="I153" s="31">
        <v>8214</v>
      </c>
      <c r="J153" s="29">
        <v>539</v>
      </c>
      <c r="K153" s="31">
        <v>11.8</v>
      </c>
      <c r="L153" s="29">
        <v>499.5</v>
      </c>
      <c r="M153" s="29">
        <v>66.59</v>
      </c>
      <c r="N153" s="31">
        <v>2.91</v>
      </c>
      <c r="O153" s="31">
        <f t="shared" ref="O153:O166" si="26">G153-2*D153*F153/100+(E153+P153)/10</f>
        <v>32.446399999999997</v>
      </c>
      <c r="P153" s="31">
        <v>26.7</v>
      </c>
      <c r="Q153" s="29">
        <f t="shared" si="23"/>
        <v>265.20242011548129</v>
      </c>
      <c r="R153" s="29">
        <f t="shared" si="18"/>
        <v>740.69972948602344</v>
      </c>
      <c r="S153" s="29">
        <f t="shared" si="19"/>
        <v>31.592019395417701</v>
      </c>
      <c r="T153" s="28">
        <f t="shared" si="25"/>
        <v>47</v>
      </c>
      <c r="U153" s="28" t="str">
        <f t="shared" si="21"/>
        <v>c/c</v>
      </c>
      <c r="V153" s="28">
        <v>319.14999999999998</v>
      </c>
      <c r="W153" s="31">
        <v>49.5</v>
      </c>
      <c r="X153" s="31">
        <v>86.3</v>
      </c>
      <c r="Y153" s="29">
        <v>10</v>
      </c>
      <c r="Z153" s="29">
        <v>3</v>
      </c>
      <c r="AA153" s="30" t="s">
        <v>1434</v>
      </c>
      <c r="AB153" s="157">
        <v>2.56</v>
      </c>
      <c r="AC153" s="149" t="str">
        <f t="shared" si="22"/>
        <v>c</v>
      </c>
      <c r="AD153" s="15"/>
      <c r="AE153" s="15"/>
      <c r="AF153" s="15"/>
    </row>
    <row r="154" spans="1:32" x14ac:dyDescent="0.2">
      <c r="A154" s="19">
        <f t="shared" si="20"/>
        <v>151</v>
      </c>
      <c r="B154" s="28" t="s">
        <v>8790</v>
      </c>
      <c r="C154" s="28">
        <v>304.8</v>
      </c>
      <c r="D154" s="31">
        <v>88.9</v>
      </c>
      <c r="E154" s="31">
        <v>10.199999999999999</v>
      </c>
      <c r="F154" s="31">
        <v>13.7</v>
      </c>
      <c r="G154" s="28">
        <v>53.11</v>
      </c>
      <c r="H154" s="31">
        <v>41.69</v>
      </c>
      <c r="I154" s="31">
        <v>7061</v>
      </c>
      <c r="J154" s="29">
        <v>463.3</v>
      </c>
      <c r="K154" s="31">
        <v>11.5</v>
      </c>
      <c r="L154" s="29">
        <v>325.39999999999998</v>
      </c>
      <c r="M154" s="29">
        <v>48.49</v>
      </c>
      <c r="N154" s="31">
        <v>2.48</v>
      </c>
      <c r="O154" s="31">
        <f t="shared" si="26"/>
        <v>32.341399999999993</v>
      </c>
      <c r="P154" s="31">
        <v>25.7</v>
      </c>
      <c r="Q154" s="29">
        <f t="shared" si="23"/>
        <v>222.90841897751102</v>
      </c>
      <c r="R154" s="29">
        <f t="shared" si="18"/>
        <v>624.84</v>
      </c>
      <c r="S154" s="29">
        <f t="shared" si="19"/>
        <v>32.310219744219822</v>
      </c>
      <c r="T154" s="28">
        <f t="shared" si="25"/>
        <v>43</v>
      </c>
      <c r="U154" s="28" t="str">
        <f t="shared" si="21"/>
        <v>c/c</v>
      </c>
      <c r="V154" s="28">
        <v>278.55</v>
      </c>
      <c r="W154" s="31">
        <v>39.9</v>
      </c>
      <c r="X154" s="31">
        <v>57.2</v>
      </c>
      <c r="Y154" s="29">
        <v>10</v>
      </c>
      <c r="Z154" s="29">
        <v>3</v>
      </c>
      <c r="AA154" s="30" t="s">
        <v>1434</v>
      </c>
      <c r="AB154" s="157">
        <v>2.1</v>
      </c>
      <c r="AC154" s="149" t="str">
        <f t="shared" si="22"/>
        <v>c</v>
      </c>
      <c r="AD154" s="15"/>
      <c r="AE154" s="15"/>
      <c r="AF154" s="15"/>
    </row>
    <row r="155" spans="1:32" x14ac:dyDescent="0.2">
      <c r="A155" s="19">
        <f t="shared" si="20"/>
        <v>152</v>
      </c>
      <c r="B155" s="28" t="s">
        <v>8784</v>
      </c>
      <c r="C155" s="28">
        <v>254</v>
      </c>
      <c r="D155" s="31">
        <v>88.9</v>
      </c>
      <c r="E155" s="31">
        <v>9.1</v>
      </c>
      <c r="F155" s="31">
        <v>13.6</v>
      </c>
      <c r="G155" s="28">
        <v>45.52</v>
      </c>
      <c r="H155" s="31">
        <v>35.74</v>
      </c>
      <c r="I155" s="31">
        <v>4448</v>
      </c>
      <c r="J155" s="29">
        <v>350.2</v>
      </c>
      <c r="K155" s="31">
        <v>9.8800000000000008</v>
      </c>
      <c r="L155" s="29">
        <v>302.39999999999998</v>
      </c>
      <c r="M155" s="29">
        <v>46.7</v>
      </c>
      <c r="N155" s="31">
        <v>2.58</v>
      </c>
      <c r="O155" s="31">
        <f t="shared" si="26"/>
        <v>24.289200000000005</v>
      </c>
      <c r="P155" s="31">
        <v>20.399999999999999</v>
      </c>
      <c r="Q155" s="29">
        <f t="shared" si="23"/>
        <v>170.8968371298082</v>
      </c>
      <c r="R155" s="29">
        <f t="shared" si="18"/>
        <v>478.23010752688174</v>
      </c>
      <c r="S155" s="29">
        <f t="shared" si="19"/>
        <v>23.68493219640748</v>
      </c>
      <c r="T155" s="28">
        <f t="shared" si="25"/>
        <v>37</v>
      </c>
      <c r="U155" s="28" t="str">
        <f t="shared" si="21"/>
        <v>c/c</v>
      </c>
      <c r="V155" s="28">
        <v>207.2</v>
      </c>
      <c r="W155" s="31">
        <v>25.6</v>
      </c>
      <c r="X155" s="31">
        <v>30</v>
      </c>
      <c r="Y155" s="29">
        <v>10</v>
      </c>
      <c r="Z155" s="29">
        <v>3</v>
      </c>
      <c r="AA155" s="30" t="s">
        <v>1434</v>
      </c>
      <c r="AB155" s="157">
        <v>2.27</v>
      </c>
      <c r="AC155" s="149" t="str">
        <f t="shared" si="22"/>
        <v>c</v>
      </c>
      <c r="AD155" s="15"/>
      <c r="AE155" s="15"/>
      <c r="AF155" s="15"/>
    </row>
    <row r="156" spans="1:32" x14ac:dyDescent="0.2">
      <c r="A156" s="19">
        <f t="shared" si="20"/>
        <v>153</v>
      </c>
      <c r="B156" s="28" t="s">
        <v>8785</v>
      </c>
      <c r="C156" s="28">
        <v>254</v>
      </c>
      <c r="D156" s="31">
        <v>76.2</v>
      </c>
      <c r="E156" s="31">
        <v>8.1</v>
      </c>
      <c r="F156" s="31">
        <v>10.9</v>
      </c>
      <c r="G156" s="28">
        <v>36.03</v>
      </c>
      <c r="H156" s="31">
        <v>28.29</v>
      </c>
      <c r="I156" s="31">
        <v>3367</v>
      </c>
      <c r="J156" s="29">
        <v>265.10000000000002</v>
      </c>
      <c r="K156" s="31">
        <v>9.67</v>
      </c>
      <c r="L156" s="29">
        <v>162.6</v>
      </c>
      <c r="M156" s="29">
        <v>28.21</v>
      </c>
      <c r="N156" s="31">
        <v>2.12</v>
      </c>
      <c r="O156" s="31">
        <f t="shared" si="26"/>
        <v>22.128400000000003</v>
      </c>
      <c r="P156" s="31">
        <v>19</v>
      </c>
      <c r="Q156" s="29">
        <f t="shared" si="23"/>
        <v>123.4231486386129</v>
      </c>
      <c r="R156" s="29">
        <f t="shared" si="18"/>
        <v>346.73223480947485</v>
      </c>
      <c r="S156" s="29">
        <f t="shared" si="19"/>
        <v>22.096908319731313</v>
      </c>
      <c r="T156" s="28">
        <f t="shared" si="25"/>
        <v>29</v>
      </c>
      <c r="U156" s="28" t="str">
        <f t="shared" si="21"/>
        <v>c/c</v>
      </c>
      <c r="V156" s="28">
        <v>158.69999999999999</v>
      </c>
      <c r="W156" s="31">
        <v>14.4</v>
      </c>
      <c r="X156" s="31">
        <v>16.899999999999999</v>
      </c>
      <c r="Y156" s="29">
        <v>10</v>
      </c>
      <c r="Z156" s="29">
        <v>3</v>
      </c>
      <c r="AA156" s="30" t="s">
        <v>1434</v>
      </c>
      <c r="AB156" s="157">
        <v>1.73</v>
      </c>
      <c r="AC156" s="149" t="str">
        <f t="shared" si="22"/>
        <v>c</v>
      </c>
      <c r="AD156" s="15"/>
      <c r="AE156" s="15"/>
      <c r="AF156" s="15"/>
    </row>
    <row r="157" spans="1:32" x14ac:dyDescent="0.2">
      <c r="A157" s="19">
        <f t="shared" si="20"/>
        <v>154</v>
      </c>
      <c r="B157" s="28" t="s">
        <v>8786</v>
      </c>
      <c r="C157" s="28">
        <v>228.6</v>
      </c>
      <c r="D157" s="31">
        <v>88.9</v>
      </c>
      <c r="E157" s="31">
        <v>8.6</v>
      </c>
      <c r="F157" s="31">
        <v>13.3</v>
      </c>
      <c r="G157" s="28">
        <v>41.73</v>
      </c>
      <c r="H157" s="31">
        <v>32.76</v>
      </c>
      <c r="I157" s="31">
        <v>3387</v>
      </c>
      <c r="J157" s="29">
        <v>296.39999999999998</v>
      </c>
      <c r="K157" s="31">
        <v>9.01</v>
      </c>
      <c r="L157" s="29">
        <v>285</v>
      </c>
      <c r="M157" s="29">
        <v>44.82</v>
      </c>
      <c r="N157" s="31">
        <v>2.61</v>
      </c>
      <c r="O157" s="31">
        <f t="shared" si="26"/>
        <v>20.842599999999997</v>
      </c>
      <c r="P157" s="31">
        <v>19</v>
      </c>
      <c r="Q157" s="29">
        <f t="shared" si="23"/>
        <v>147.03357406710873</v>
      </c>
      <c r="R157" s="29">
        <f t="shared" si="18"/>
        <v>413.15268292682924</v>
      </c>
      <c r="S157" s="29">
        <f t="shared" si="19"/>
        <v>19.81057740370602</v>
      </c>
      <c r="T157" s="28">
        <f t="shared" si="25"/>
        <v>34</v>
      </c>
      <c r="U157" s="28" t="str">
        <f t="shared" si="21"/>
        <v>c/c</v>
      </c>
      <c r="V157" s="28">
        <v>1742</v>
      </c>
      <c r="W157" s="31">
        <v>22</v>
      </c>
      <c r="X157" s="31">
        <v>22.4</v>
      </c>
      <c r="Y157" s="29">
        <v>10</v>
      </c>
      <c r="Z157" s="29">
        <v>3</v>
      </c>
      <c r="AA157" s="30" t="s">
        <v>1434</v>
      </c>
      <c r="AB157" s="157">
        <v>2.37</v>
      </c>
      <c r="AC157" s="149" t="str">
        <f t="shared" si="22"/>
        <v>c</v>
      </c>
      <c r="AD157" s="15"/>
      <c r="AE157" s="15"/>
      <c r="AF157" s="15"/>
    </row>
    <row r="158" spans="1:32" x14ac:dyDescent="0.2">
      <c r="A158" s="19">
        <f t="shared" si="20"/>
        <v>155</v>
      </c>
      <c r="B158" s="28" t="s">
        <v>8787</v>
      </c>
      <c r="C158" s="28">
        <v>228.6</v>
      </c>
      <c r="D158" s="31">
        <v>76.2</v>
      </c>
      <c r="E158" s="31">
        <v>7.6</v>
      </c>
      <c r="F158" s="31">
        <v>11.2</v>
      </c>
      <c r="G158" s="28">
        <v>33.200000000000003</v>
      </c>
      <c r="H158" s="31">
        <v>26.06</v>
      </c>
      <c r="I158" s="31">
        <v>2610</v>
      </c>
      <c r="J158" s="29">
        <v>228.3</v>
      </c>
      <c r="K158" s="31">
        <v>8.8699999999999992</v>
      </c>
      <c r="L158" s="29">
        <v>158.69999999999999</v>
      </c>
      <c r="M158" s="29">
        <v>28.22</v>
      </c>
      <c r="N158" s="31">
        <v>2.19</v>
      </c>
      <c r="O158" s="31">
        <f t="shared" si="26"/>
        <v>18.641200000000005</v>
      </c>
      <c r="P158" s="31">
        <v>17.5</v>
      </c>
      <c r="Q158" s="29">
        <f t="shared" si="23"/>
        <v>109.7795151465359</v>
      </c>
      <c r="R158" s="29">
        <f t="shared" si="18"/>
        <v>304.84450934579445</v>
      </c>
      <c r="S158" s="29">
        <f t="shared" si="19"/>
        <v>18.068944805888883</v>
      </c>
      <c r="T158" s="28">
        <f t="shared" si="25"/>
        <v>27</v>
      </c>
      <c r="U158" s="28" t="str">
        <f t="shared" si="21"/>
        <v>c/c</v>
      </c>
      <c r="V158" s="28">
        <v>135.15</v>
      </c>
      <c r="W158" s="31">
        <v>12.8</v>
      </c>
      <c r="X158" s="31">
        <v>13</v>
      </c>
      <c r="Y158" s="29">
        <v>10</v>
      </c>
      <c r="Z158" s="29">
        <v>3</v>
      </c>
      <c r="AA158" s="30" t="s">
        <v>1434</v>
      </c>
      <c r="AB158" s="157">
        <v>1.87</v>
      </c>
      <c r="AC158" s="149" t="str">
        <f t="shared" si="22"/>
        <v>c</v>
      </c>
      <c r="AD158" s="15"/>
      <c r="AE158" s="15"/>
      <c r="AF158" s="15"/>
    </row>
    <row r="159" spans="1:32" x14ac:dyDescent="0.2">
      <c r="A159" s="19">
        <f t="shared" si="20"/>
        <v>156</v>
      </c>
      <c r="B159" s="28" t="s">
        <v>8788</v>
      </c>
      <c r="C159" s="28">
        <v>203.2</v>
      </c>
      <c r="D159" s="31">
        <v>88.9</v>
      </c>
      <c r="E159" s="31">
        <v>8.1</v>
      </c>
      <c r="F159" s="31">
        <v>12.9</v>
      </c>
      <c r="G159" s="28">
        <v>37.94</v>
      </c>
      <c r="H159" s="31">
        <v>29.78</v>
      </c>
      <c r="I159" s="31">
        <v>2491</v>
      </c>
      <c r="J159" s="29">
        <v>245.2</v>
      </c>
      <c r="K159" s="31">
        <v>8.1</v>
      </c>
      <c r="L159" s="29">
        <v>264.39999999999998</v>
      </c>
      <c r="M159" s="29">
        <v>42.34</v>
      </c>
      <c r="N159" s="31">
        <v>2.64</v>
      </c>
      <c r="O159" s="31">
        <f t="shared" si="26"/>
        <v>17.563799999999993</v>
      </c>
      <c r="P159" s="31">
        <v>17.5</v>
      </c>
      <c r="Q159" s="29">
        <f t="shared" si="23"/>
        <v>123.89096454711864</v>
      </c>
      <c r="R159" s="29">
        <f t="shared" si="18"/>
        <v>349.89213483146068</v>
      </c>
      <c r="S159" s="29">
        <f t="shared" si="19"/>
        <v>16.286175568781026</v>
      </c>
      <c r="T159" s="28">
        <f t="shared" si="25"/>
        <v>31</v>
      </c>
      <c r="U159" s="28" t="str">
        <f t="shared" si="21"/>
        <v>c/c</v>
      </c>
      <c r="V159" s="28">
        <v>1428</v>
      </c>
      <c r="W159" s="31">
        <v>18.8</v>
      </c>
      <c r="X159" s="31">
        <v>16.100000000000001</v>
      </c>
      <c r="Y159" s="29">
        <v>10</v>
      </c>
      <c r="Z159" s="29">
        <v>3</v>
      </c>
      <c r="AA159" s="30" t="s">
        <v>1434</v>
      </c>
      <c r="AB159" s="157">
        <v>2.48</v>
      </c>
      <c r="AC159" s="149" t="str">
        <f t="shared" si="22"/>
        <v>c</v>
      </c>
      <c r="AD159" s="15"/>
      <c r="AE159" s="15"/>
      <c r="AF159" s="15"/>
    </row>
    <row r="160" spans="1:32" x14ac:dyDescent="0.2">
      <c r="A160" s="19">
        <f t="shared" si="20"/>
        <v>157</v>
      </c>
      <c r="B160" s="28" t="s">
        <v>8789</v>
      </c>
      <c r="C160" s="28">
        <v>203.2</v>
      </c>
      <c r="D160" s="31">
        <v>76.2</v>
      </c>
      <c r="E160" s="31">
        <v>7.1</v>
      </c>
      <c r="F160" s="31">
        <v>11.2</v>
      </c>
      <c r="G160" s="28">
        <v>30.34</v>
      </c>
      <c r="H160" s="31">
        <v>23.82</v>
      </c>
      <c r="I160" s="31">
        <v>1950</v>
      </c>
      <c r="J160" s="29">
        <v>192</v>
      </c>
      <c r="K160" s="31">
        <v>8.02</v>
      </c>
      <c r="L160" s="29">
        <v>151.30000000000001</v>
      </c>
      <c r="M160" s="29">
        <v>27.59</v>
      </c>
      <c r="N160" s="31">
        <v>2.23</v>
      </c>
      <c r="O160" s="31">
        <f t="shared" si="26"/>
        <v>15.6812</v>
      </c>
      <c r="P160" s="31">
        <v>17</v>
      </c>
      <c r="Q160" s="29">
        <f t="shared" si="23"/>
        <v>95.341882919115292</v>
      </c>
      <c r="R160" s="29">
        <f t="shared" si="18"/>
        <v>265.76566757493185</v>
      </c>
      <c r="S160" s="29">
        <f t="shared" si="19"/>
        <v>14.521424977253295</v>
      </c>
      <c r="T160" s="28">
        <f t="shared" si="25"/>
        <v>24</v>
      </c>
      <c r="U160" s="28" t="str">
        <f t="shared" si="21"/>
        <v>c/c</v>
      </c>
      <c r="V160" s="28">
        <v>112.6</v>
      </c>
      <c r="W160" s="31">
        <v>11.5</v>
      </c>
      <c r="X160" s="31">
        <v>9.5500000000000007</v>
      </c>
      <c r="Y160" s="29">
        <v>10</v>
      </c>
      <c r="Z160" s="29">
        <v>3</v>
      </c>
      <c r="AA160" s="30" t="s">
        <v>1434</v>
      </c>
      <c r="AB160" s="157">
        <v>2</v>
      </c>
      <c r="AC160" s="149" t="str">
        <f t="shared" si="22"/>
        <v>c</v>
      </c>
      <c r="AD160" s="15"/>
      <c r="AE160" s="15"/>
      <c r="AF160" s="15"/>
    </row>
    <row r="161" spans="1:32" x14ac:dyDescent="0.2">
      <c r="A161" s="19">
        <f t="shared" si="20"/>
        <v>158</v>
      </c>
      <c r="B161" s="32" t="s">
        <v>5157</v>
      </c>
      <c r="C161" s="28">
        <v>254</v>
      </c>
      <c r="D161" s="31">
        <v>76.2</v>
      </c>
      <c r="E161" s="31">
        <v>8.1</v>
      </c>
      <c r="F161" s="31">
        <v>10.9</v>
      </c>
      <c r="G161" s="28">
        <v>35.9</v>
      </c>
      <c r="H161" s="31">
        <v>28.2</v>
      </c>
      <c r="I161" s="31">
        <v>3355</v>
      </c>
      <c r="J161" s="29">
        <v>264</v>
      </c>
      <c r="K161" s="31">
        <v>9.67</v>
      </c>
      <c r="L161" s="29">
        <v>162</v>
      </c>
      <c r="M161" s="29">
        <v>28.1</v>
      </c>
      <c r="N161" s="31">
        <v>2.12</v>
      </c>
      <c r="O161" s="31">
        <f t="shared" si="26"/>
        <v>21.3184</v>
      </c>
      <c r="P161" s="31">
        <v>12.2</v>
      </c>
      <c r="Q161" s="29"/>
      <c r="R161" s="29"/>
      <c r="S161" s="30"/>
      <c r="T161" s="28">
        <f t="shared" si="25"/>
        <v>29</v>
      </c>
      <c r="U161" s="28" t="str">
        <f t="shared" si="21"/>
        <v>c/c</v>
      </c>
      <c r="V161" s="28">
        <v>158</v>
      </c>
      <c r="W161" s="119"/>
      <c r="X161" s="31"/>
      <c r="Y161" s="29">
        <v>11</v>
      </c>
      <c r="Z161" s="29">
        <v>3</v>
      </c>
      <c r="AA161" s="149" t="s">
        <v>1434</v>
      </c>
      <c r="AB161" s="30">
        <v>0</v>
      </c>
      <c r="AC161" s="149" t="str">
        <f t="shared" si="22"/>
        <v>c</v>
      </c>
      <c r="AD161" s="15"/>
      <c r="AE161" s="15"/>
      <c r="AF161" s="15"/>
    </row>
    <row r="162" spans="1:32" x14ac:dyDescent="0.2">
      <c r="A162" s="19">
        <f t="shared" si="20"/>
        <v>159</v>
      </c>
      <c r="B162" s="32" t="s">
        <v>5156</v>
      </c>
      <c r="C162" s="28">
        <v>254</v>
      </c>
      <c r="D162" s="31">
        <v>88.9</v>
      </c>
      <c r="E162" s="31">
        <v>9.1</v>
      </c>
      <c r="F162" s="31">
        <v>13.6</v>
      </c>
      <c r="G162" s="28">
        <v>45.4</v>
      </c>
      <c r="H162" s="31">
        <v>35.700000000000003</v>
      </c>
      <c r="I162" s="31">
        <v>4445</v>
      </c>
      <c r="J162" s="29">
        <v>350</v>
      </c>
      <c r="K162" s="119">
        <v>9.89</v>
      </c>
      <c r="L162" s="29">
        <v>302</v>
      </c>
      <c r="M162" s="29">
        <v>46.7</v>
      </c>
      <c r="N162" s="31">
        <v>2.58</v>
      </c>
      <c r="O162" s="31">
        <f t="shared" si="26"/>
        <v>23.499200000000002</v>
      </c>
      <c r="P162" s="31">
        <v>13.7</v>
      </c>
      <c r="Q162" s="29"/>
      <c r="R162" s="29"/>
      <c r="S162" s="30"/>
      <c r="T162" s="28">
        <f t="shared" si="25"/>
        <v>37</v>
      </c>
      <c r="U162" s="28" t="str">
        <f t="shared" si="21"/>
        <v>c/c</v>
      </c>
      <c r="V162" s="28">
        <v>207</v>
      </c>
      <c r="W162" s="119"/>
      <c r="X162" s="31"/>
      <c r="Y162" s="29">
        <v>11</v>
      </c>
      <c r="Z162" s="29">
        <v>3</v>
      </c>
      <c r="AA162" s="149" t="s">
        <v>1434</v>
      </c>
      <c r="AB162" s="30">
        <v>0</v>
      </c>
      <c r="AC162" s="149" t="str">
        <f t="shared" si="22"/>
        <v>c</v>
      </c>
      <c r="AD162" s="15"/>
      <c r="AE162" s="15"/>
      <c r="AF162" s="15"/>
    </row>
    <row r="163" spans="1:32" x14ac:dyDescent="0.2">
      <c r="A163" s="19">
        <f t="shared" si="20"/>
        <v>160</v>
      </c>
      <c r="B163" s="32" t="s">
        <v>5155</v>
      </c>
      <c r="C163" s="28">
        <v>304.8</v>
      </c>
      <c r="D163" s="31">
        <v>88.9</v>
      </c>
      <c r="E163" s="31">
        <v>10.199999999999999</v>
      </c>
      <c r="F163" s="31">
        <v>13.7</v>
      </c>
      <c r="G163" s="28">
        <v>53.3</v>
      </c>
      <c r="H163" s="31">
        <v>47.8</v>
      </c>
      <c r="I163" s="31">
        <v>7078</v>
      </c>
      <c r="J163" s="29">
        <v>464</v>
      </c>
      <c r="K163" s="31">
        <v>11.5</v>
      </c>
      <c r="L163" s="29">
        <v>326</v>
      </c>
      <c r="M163" s="29">
        <v>48.6</v>
      </c>
      <c r="N163" s="31">
        <v>2.4700000000000002</v>
      </c>
      <c r="O163" s="31">
        <f t="shared" si="26"/>
        <v>31.331399999999995</v>
      </c>
      <c r="P163" s="31">
        <v>13.7</v>
      </c>
      <c r="Q163" s="29"/>
      <c r="R163" s="29"/>
      <c r="S163" s="30"/>
      <c r="T163" s="28">
        <f t="shared" si="25"/>
        <v>49</v>
      </c>
      <c r="U163" s="28" t="str">
        <f t="shared" si="21"/>
        <v>c/c</v>
      </c>
      <c r="V163" s="28">
        <v>279.5</v>
      </c>
      <c r="W163" s="119"/>
      <c r="X163" s="31"/>
      <c r="Y163" s="29">
        <v>11</v>
      </c>
      <c r="Z163" s="29">
        <v>3</v>
      </c>
      <c r="AA163" s="149" t="s">
        <v>1434</v>
      </c>
      <c r="AB163" s="30">
        <v>0</v>
      </c>
      <c r="AC163" s="149" t="str">
        <f t="shared" si="22"/>
        <v>c</v>
      </c>
      <c r="AD163" s="15"/>
      <c r="AE163" s="15"/>
      <c r="AF163" s="15"/>
    </row>
    <row r="164" spans="1:32" x14ac:dyDescent="0.2">
      <c r="A164" s="19">
        <f t="shared" si="20"/>
        <v>161</v>
      </c>
      <c r="B164" s="32" t="s">
        <v>5154</v>
      </c>
      <c r="C164" s="28">
        <v>304.8</v>
      </c>
      <c r="D164" s="31">
        <v>101.6</v>
      </c>
      <c r="E164" s="31">
        <v>10.199999999999999</v>
      </c>
      <c r="F164" s="31">
        <v>14.8</v>
      </c>
      <c r="G164" s="28">
        <v>58.9</v>
      </c>
      <c r="H164" s="31">
        <v>46.2</v>
      </c>
      <c r="I164" s="31">
        <v>8208</v>
      </c>
      <c r="J164" s="29">
        <v>539</v>
      </c>
      <c r="K164" s="31">
        <v>11.8</v>
      </c>
      <c r="L164" s="29">
        <v>499</v>
      </c>
      <c r="M164" s="29">
        <v>66.5</v>
      </c>
      <c r="N164" s="31">
        <v>2.91</v>
      </c>
      <c r="O164" s="31">
        <f t="shared" si="26"/>
        <v>31.366399999999995</v>
      </c>
      <c r="P164" s="31">
        <v>15.2</v>
      </c>
      <c r="Q164" s="29"/>
      <c r="R164" s="29"/>
      <c r="S164" s="30"/>
      <c r="T164" s="28">
        <f t="shared" si="25"/>
        <v>47</v>
      </c>
      <c r="U164" s="28" t="str">
        <f t="shared" si="21"/>
        <v>c/c</v>
      </c>
      <c r="V164" s="28">
        <v>319</v>
      </c>
      <c r="W164" s="119"/>
      <c r="X164" s="31"/>
      <c r="Y164" s="29">
        <v>11</v>
      </c>
      <c r="Z164" s="29">
        <v>3</v>
      </c>
      <c r="AA164" s="149" t="s">
        <v>1434</v>
      </c>
      <c r="AB164" s="30">
        <v>0</v>
      </c>
      <c r="AC164" s="149" t="str">
        <f t="shared" si="22"/>
        <v>c</v>
      </c>
      <c r="AD164" s="15"/>
      <c r="AE164" s="15"/>
      <c r="AF164" s="15"/>
    </row>
    <row r="165" spans="1:32" x14ac:dyDescent="0.2">
      <c r="A165" s="19">
        <f t="shared" si="20"/>
        <v>162</v>
      </c>
      <c r="B165" s="32" t="s">
        <v>5153</v>
      </c>
      <c r="C165" s="28">
        <v>381</v>
      </c>
      <c r="D165" s="31">
        <v>101.6</v>
      </c>
      <c r="E165" s="31">
        <v>10.4</v>
      </c>
      <c r="F165" s="31">
        <v>16.3</v>
      </c>
      <c r="G165" s="28">
        <v>70.099999999999994</v>
      </c>
      <c r="H165" s="31">
        <v>55</v>
      </c>
      <c r="I165" s="31">
        <v>14870</v>
      </c>
      <c r="J165" s="29">
        <v>781</v>
      </c>
      <c r="K165" s="31">
        <v>14.6</v>
      </c>
      <c r="L165" s="29">
        <v>579</v>
      </c>
      <c r="M165" s="29">
        <v>75.7</v>
      </c>
      <c r="N165" s="31">
        <v>2.87</v>
      </c>
      <c r="O165" s="31">
        <f t="shared" si="26"/>
        <v>39.538399999999996</v>
      </c>
      <c r="P165" s="31">
        <v>15.2</v>
      </c>
      <c r="Q165" s="29"/>
      <c r="R165" s="29"/>
      <c r="S165" s="30"/>
      <c r="T165" s="28">
        <f t="shared" si="25"/>
        <v>56</v>
      </c>
      <c r="U165" s="28" t="str">
        <f t="shared" si="21"/>
        <v>c/c</v>
      </c>
      <c r="V165" s="28">
        <v>465.5</v>
      </c>
      <c r="W165" s="119"/>
      <c r="X165" s="31"/>
      <c r="Y165" s="29">
        <v>11</v>
      </c>
      <c r="Z165" s="29">
        <v>3</v>
      </c>
      <c r="AA165" s="149" t="s">
        <v>1434</v>
      </c>
      <c r="AB165" s="30">
        <v>0</v>
      </c>
      <c r="AC165" s="149" t="str">
        <f t="shared" si="22"/>
        <v>c</v>
      </c>
      <c r="AD165" s="15"/>
      <c r="AE165" s="15"/>
      <c r="AF165" s="15"/>
    </row>
    <row r="166" spans="1:32" x14ac:dyDescent="0.2">
      <c r="A166" s="19">
        <f t="shared" si="20"/>
        <v>163</v>
      </c>
      <c r="B166" s="32" t="s">
        <v>5152</v>
      </c>
      <c r="C166" s="28">
        <v>431.8</v>
      </c>
      <c r="D166" s="31">
        <v>101.6</v>
      </c>
      <c r="E166" s="31">
        <v>12.2</v>
      </c>
      <c r="F166" s="31">
        <v>16.8</v>
      </c>
      <c r="G166" s="28">
        <v>83.4</v>
      </c>
      <c r="H166" s="31">
        <v>65.5</v>
      </c>
      <c r="I166" s="31">
        <v>21370</v>
      </c>
      <c r="J166" s="29">
        <v>990</v>
      </c>
      <c r="K166" s="31">
        <v>16</v>
      </c>
      <c r="L166" s="29">
        <v>627</v>
      </c>
      <c r="M166" s="29">
        <v>79.900000000000006</v>
      </c>
      <c r="N166" s="31">
        <v>2.74</v>
      </c>
      <c r="O166" s="31">
        <f t="shared" si="26"/>
        <v>52.002400000000009</v>
      </c>
      <c r="P166" s="31">
        <v>15.2</v>
      </c>
      <c r="Q166" s="29"/>
      <c r="R166" s="29"/>
      <c r="S166" s="30"/>
      <c r="T166" s="28">
        <f t="shared" si="25"/>
        <v>67</v>
      </c>
      <c r="U166" s="28" t="str">
        <f t="shared" si="21"/>
        <v>c/c</v>
      </c>
      <c r="V166" s="28">
        <v>602.5</v>
      </c>
      <c r="W166" s="119"/>
      <c r="X166" s="31"/>
      <c r="Y166" s="29">
        <v>11</v>
      </c>
      <c r="Z166" s="29">
        <v>3</v>
      </c>
      <c r="AA166" s="149" t="s">
        <v>1434</v>
      </c>
      <c r="AB166" s="30">
        <v>0</v>
      </c>
      <c r="AC166" s="149" t="str">
        <f t="shared" si="22"/>
        <v>c</v>
      </c>
      <c r="AD166" s="15"/>
      <c r="AE166" s="15"/>
      <c r="AF166" s="15"/>
    </row>
    <row r="167" spans="1:32" x14ac:dyDescent="0.2">
      <c r="A167" s="19">
        <f t="shared" si="20"/>
        <v>164</v>
      </c>
      <c r="B167" s="32" t="s">
        <v>5543</v>
      </c>
      <c r="C167" s="32">
        <v>449.8</v>
      </c>
      <c r="D167" s="31">
        <v>152.4</v>
      </c>
      <c r="E167" s="31">
        <v>7.6</v>
      </c>
      <c r="F167" s="31">
        <v>10.8</v>
      </c>
      <c r="G167" s="28">
        <v>66.599999999999994</v>
      </c>
      <c r="H167" s="31">
        <v>52.3</v>
      </c>
      <c r="I167" s="31">
        <v>21370</v>
      </c>
      <c r="J167" s="29">
        <v>950</v>
      </c>
      <c r="K167" s="31">
        <v>17.899999999999999</v>
      </c>
      <c r="L167" s="29">
        <v>645</v>
      </c>
      <c r="M167" s="29">
        <v>84.6</v>
      </c>
      <c r="N167" s="31">
        <v>3.11</v>
      </c>
      <c r="O167" s="31">
        <f t="shared" ref="O167:O171" si="27">MAX(G167-2*D167*F167/100+(E167+2*P167)*F167/100,(C167-2*F167)*E167/100)</f>
        <v>36.705599999999997</v>
      </c>
      <c r="P167" s="31">
        <v>10.199999999999999</v>
      </c>
      <c r="Q167" s="29">
        <f>+F167*D167*(C167-F167)/2/1000+P167*E167*(C167-2*F167-2*P167)/2/1000+(2*P167)^2*(1-PI()/4)/4*(C167-2*P167-2*F167)/2/1000</f>
        <v>381.63827899883842</v>
      </c>
      <c r="R167" s="29">
        <f>+J167*C167/(C167-2*(F167+P167))</f>
        <v>1047.842079450711</v>
      </c>
      <c r="S167" s="29">
        <f>+I167*E167/Q167/10</f>
        <v>42.556527722025052</v>
      </c>
      <c r="T167" s="28">
        <f t="shared" si="25"/>
        <v>54</v>
      </c>
      <c r="U167" s="28" t="str">
        <f t="shared" si="21"/>
        <v>a/b</v>
      </c>
      <c r="V167" s="32">
        <f>1/2*1096</f>
        <v>548</v>
      </c>
      <c r="W167" s="31"/>
      <c r="X167" s="31"/>
      <c r="Y167" s="29">
        <v>12</v>
      </c>
      <c r="Z167" s="29">
        <v>3</v>
      </c>
      <c r="AA167" s="30" t="s">
        <v>241</v>
      </c>
      <c r="AB167" s="30">
        <v>0</v>
      </c>
      <c r="AC167" s="149" t="str">
        <f t="shared" si="22"/>
        <v>a0</v>
      </c>
      <c r="AD167" s="15"/>
      <c r="AE167" s="15"/>
      <c r="AF167" s="15"/>
    </row>
    <row r="168" spans="1:32" x14ac:dyDescent="0.2">
      <c r="A168" s="19">
        <f t="shared" si="20"/>
        <v>165</v>
      </c>
      <c r="B168" s="32" t="s">
        <v>5542</v>
      </c>
      <c r="C168" s="32">
        <v>454.6</v>
      </c>
      <c r="D168" s="31">
        <v>152.9</v>
      </c>
      <c r="E168" s="31">
        <v>8.1</v>
      </c>
      <c r="F168" s="119">
        <v>13.3</v>
      </c>
      <c r="G168" s="28">
        <v>76.2</v>
      </c>
      <c r="H168" s="31">
        <v>59.8</v>
      </c>
      <c r="I168" s="31">
        <v>25500</v>
      </c>
      <c r="J168" s="29">
        <v>1122</v>
      </c>
      <c r="K168" s="31">
        <v>18.3</v>
      </c>
      <c r="L168" s="29">
        <v>795</v>
      </c>
      <c r="M168" s="29">
        <v>104</v>
      </c>
      <c r="N168" s="31">
        <v>3.23</v>
      </c>
      <c r="O168" s="31">
        <f t="shared" si="27"/>
        <v>39.319099999999999</v>
      </c>
      <c r="P168" s="31">
        <v>10.199999999999999</v>
      </c>
      <c r="Q168" s="29">
        <f>+F168*D168*(C168-F168)/2/1000+P168*E168*(C168-2*F168-2*P168)/2/1000+(2*P168)^2*(1-PI()/4)/4*(C168-2*P168-2*F168)/2/1000</f>
        <v>470.09545478133049</v>
      </c>
      <c r="R168" s="29">
        <f>+J168*C168/(C168-2*(F168+P168))</f>
        <v>1251.3768400392541</v>
      </c>
      <c r="S168" s="29">
        <f>+I168*E168/Q168/10</f>
        <v>43.937884933620289</v>
      </c>
      <c r="T168" s="28">
        <f t="shared" si="25"/>
        <v>61</v>
      </c>
      <c r="U168" s="28" t="str">
        <f t="shared" si="21"/>
        <v>a/b</v>
      </c>
      <c r="V168" s="32">
        <f>1/2*1287</f>
        <v>643.5</v>
      </c>
      <c r="W168" s="31"/>
      <c r="X168" s="31"/>
      <c r="Y168" s="29">
        <v>12</v>
      </c>
      <c r="Z168" s="29">
        <v>3</v>
      </c>
      <c r="AA168" s="30" t="s">
        <v>241</v>
      </c>
      <c r="AB168" s="30">
        <v>0</v>
      </c>
      <c r="AC168" s="149" t="str">
        <f t="shared" si="22"/>
        <v>a0</v>
      </c>
      <c r="AD168" s="15"/>
      <c r="AE168" s="15"/>
      <c r="AF168" s="15"/>
    </row>
    <row r="169" spans="1:32" x14ac:dyDescent="0.2">
      <c r="A169" s="19">
        <f t="shared" si="20"/>
        <v>166</v>
      </c>
      <c r="B169" s="32" t="s">
        <v>5541</v>
      </c>
      <c r="C169" s="28">
        <v>458</v>
      </c>
      <c r="D169" s="31">
        <v>153.80000000000001</v>
      </c>
      <c r="E169" s="31">
        <v>9</v>
      </c>
      <c r="F169" s="31">
        <v>15</v>
      </c>
      <c r="G169" s="28">
        <v>85.6</v>
      </c>
      <c r="H169" s="31">
        <v>76.2</v>
      </c>
      <c r="I169" s="31">
        <v>28930</v>
      </c>
      <c r="J169" s="29">
        <v>1263</v>
      </c>
      <c r="K169" s="31">
        <v>18.399999999999999</v>
      </c>
      <c r="L169" s="29">
        <v>913</v>
      </c>
      <c r="M169" s="29">
        <v>119</v>
      </c>
      <c r="N169" s="31">
        <v>3.27</v>
      </c>
      <c r="O169" s="31">
        <f t="shared" si="27"/>
        <v>43.86999999999999</v>
      </c>
      <c r="P169" s="31">
        <v>10.199999999999999</v>
      </c>
      <c r="Q169" s="29">
        <f>+F169*D169*(C169-F169)/2/1000+P169*E169*(C169-2*F169-2*P169)/2/1000+(2*P169)^2*(1-PI()/4)/4*(C169-2*P169-2*F169)/2/1000</f>
        <v>534.2596182813304</v>
      </c>
      <c r="R169" s="29">
        <f>+J169*C169/(C169-2*(F169+P169))</f>
        <v>1419.1707556427871</v>
      </c>
      <c r="S169" s="29">
        <f>+I169*E169/Q169/10</f>
        <v>48.734733281468856</v>
      </c>
      <c r="T169" s="28">
        <f t="shared" si="25"/>
        <v>78</v>
      </c>
      <c r="U169" s="28" t="str">
        <f t="shared" si="21"/>
        <v>a/b</v>
      </c>
      <c r="V169" s="32">
        <f>1/2*1453</f>
        <v>726.5</v>
      </c>
      <c r="W169" s="31"/>
      <c r="X169" s="31"/>
      <c r="Y169" s="29">
        <v>12</v>
      </c>
      <c r="Z169" s="29">
        <v>3</v>
      </c>
      <c r="AA169" s="30" t="s">
        <v>241</v>
      </c>
      <c r="AB169" s="30">
        <v>0</v>
      </c>
      <c r="AC169" s="149" t="str">
        <f t="shared" si="22"/>
        <v>a0</v>
      </c>
      <c r="AD169" s="15"/>
      <c r="AE169" s="15"/>
      <c r="AF169" s="15"/>
    </row>
    <row r="170" spans="1:32" x14ac:dyDescent="0.2">
      <c r="A170" s="19">
        <f t="shared" si="20"/>
        <v>167</v>
      </c>
      <c r="B170" s="32" t="s">
        <v>5540</v>
      </c>
      <c r="C170" s="28">
        <v>462</v>
      </c>
      <c r="D170" s="31">
        <v>154.4</v>
      </c>
      <c r="E170" s="31">
        <v>9.6</v>
      </c>
      <c r="F170" s="31">
        <v>17</v>
      </c>
      <c r="G170" s="28">
        <v>94.5</v>
      </c>
      <c r="H170" s="31">
        <v>74.2</v>
      </c>
      <c r="I170" s="31">
        <v>32670</v>
      </c>
      <c r="J170" s="29">
        <v>1414</v>
      </c>
      <c r="K170" s="31">
        <v>18.600000000000001</v>
      </c>
      <c r="L170" s="29">
        <v>1047</v>
      </c>
      <c r="M170" s="29">
        <v>136</v>
      </c>
      <c r="N170" s="31">
        <v>3.33</v>
      </c>
      <c r="O170" s="31">
        <f t="shared" si="27"/>
        <v>47.103999999999999</v>
      </c>
      <c r="P170" s="31">
        <v>10.199999999999999</v>
      </c>
      <c r="Q170" s="29">
        <f>+F170*D170*(C170-F170)/2/1000+P170*E170*(C170-2*F170-2*P170)/2/1000+(2*P170)^2*(1-PI()/4)/4*(C170-2*P170-2*F170)/2/1000</f>
        <v>608.52437428133044</v>
      </c>
      <c r="R170" s="29">
        <f>+J170*C170/(C170-2*(F170+P170))</f>
        <v>1602.7183513248281</v>
      </c>
      <c r="S170" s="29">
        <f>+I170*E170/Q170/10</f>
        <v>51.539759663760478</v>
      </c>
      <c r="T170" s="28">
        <f t="shared" si="25"/>
        <v>76</v>
      </c>
      <c r="U170" s="28" t="str">
        <f t="shared" si="21"/>
        <v>a/b</v>
      </c>
      <c r="V170" s="32">
        <f>1/2*1627</f>
        <v>813.5</v>
      </c>
      <c r="W170" s="31"/>
      <c r="X170" s="31"/>
      <c r="Y170" s="29">
        <v>12</v>
      </c>
      <c r="Z170" s="29">
        <v>3</v>
      </c>
      <c r="AA170" s="30" t="s">
        <v>241</v>
      </c>
      <c r="AB170" s="30">
        <v>0</v>
      </c>
      <c r="AC170" s="149" t="str">
        <f t="shared" si="22"/>
        <v>a0</v>
      </c>
      <c r="AD170" s="15"/>
      <c r="AE170" s="15"/>
      <c r="AF170" s="15"/>
    </row>
    <row r="171" spans="1:32" x14ac:dyDescent="0.2">
      <c r="A171" s="19">
        <f t="shared" si="20"/>
        <v>168</v>
      </c>
      <c r="B171" s="32" t="s">
        <v>5539</v>
      </c>
      <c r="C171" s="28">
        <v>456.8</v>
      </c>
      <c r="D171" s="31">
        <v>155.30000000000001</v>
      </c>
      <c r="E171" s="31">
        <v>10.5</v>
      </c>
      <c r="F171" s="31">
        <v>18.899999999999999</v>
      </c>
      <c r="G171" s="28">
        <v>105</v>
      </c>
      <c r="H171" s="31">
        <v>82.1</v>
      </c>
      <c r="I171" s="31">
        <v>36590</v>
      </c>
      <c r="J171" s="29">
        <v>1571</v>
      </c>
      <c r="K171" s="31">
        <v>18.7</v>
      </c>
      <c r="L171" s="29">
        <v>1185</v>
      </c>
      <c r="M171" s="29">
        <v>153</v>
      </c>
      <c r="N171" s="31">
        <v>3.37</v>
      </c>
      <c r="O171" s="31">
        <f t="shared" si="27"/>
        <v>52.136699999999998</v>
      </c>
      <c r="P171" s="31">
        <v>10.199999999999999</v>
      </c>
      <c r="Q171" s="29">
        <f>+F171*D171*(C171-F171)/2/1000+P171*E171*(C171-2*F171-2*P171)/2/1000+(2*P171)^2*(1-PI()/4)/4*(C171-2*P171-2*F171)/2/1000</f>
        <v>668.45030749346984</v>
      </c>
      <c r="R171" s="29">
        <f>+J171*C171/(C171-2*(F171+P171))</f>
        <v>1800.3833416959358</v>
      </c>
      <c r="S171" s="29">
        <f>+I171*E171/Q171/10</f>
        <v>57.475476590120834</v>
      </c>
      <c r="T171" s="28">
        <f t="shared" si="25"/>
        <v>84</v>
      </c>
      <c r="U171" s="28" t="str">
        <f t="shared" si="21"/>
        <v>a/b</v>
      </c>
      <c r="V171" s="32">
        <f>1/2*1811</f>
        <v>905.5</v>
      </c>
      <c r="W171" s="31"/>
      <c r="X171" s="31"/>
      <c r="Y171" s="29">
        <v>12</v>
      </c>
      <c r="Z171" s="29">
        <v>3</v>
      </c>
      <c r="AA171" s="30" t="s">
        <v>241</v>
      </c>
      <c r="AB171" s="30">
        <v>0</v>
      </c>
      <c r="AC171" s="149" t="str">
        <f t="shared" si="22"/>
        <v>a0</v>
      </c>
      <c r="AD171" s="15"/>
      <c r="AE171" s="15"/>
      <c r="AF171" s="15"/>
    </row>
    <row r="172" spans="1:32" x14ac:dyDescent="0.2">
      <c r="A172" s="19">
        <f t="shared" si="20"/>
        <v>169</v>
      </c>
      <c r="B172" s="32" t="s">
        <v>5393</v>
      </c>
      <c r="C172" s="32">
        <v>100</v>
      </c>
      <c r="D172" s="31">
        <v>55</v>
      </c>
      <c r="E172" s="31">
        <v>4.5</v>
      </c>
      <c r="F172" s="119">
        <v>7.2</v>
      </c>
      <c r="G172" s="28">
        <v>12</v>
      </c>
      <c r="H172" s="31">
        <v>9.4600000000000009</v>
      </c>
      <c r="I172" s="31">
        <v>198</v>
      </c>
      <c r="J172" s="29">
        <v>39.700000000000003</v>
      </c>
      <c r="K172" s="31">
        <v>4.0599999999999996</v>
      </c>
      <c r="L172" s="29">
        <v>17.899999999999999</v>
      </c>
      <c r="M172" s="29">
        <v>6.49</v>
      </c>
      <c r="N172" s="31">
        <v>1.22</v>
      </c>
      <c r="O172" s="31">
        <v>4.1759999999999993</v>
      </c>
      <c r="P172" s="31"/>
      <c r="Q172" s="29">
        <v>18.374399999999998</v>
      </c>
      <c r="R172" s="29">
        <v>46.378504672897208</v>
      </c>
      <c r="S172" s="29">
        <v>4.8491379310344831</v>
      </c>
      <c r="T172" s="28">
        <v>10</v>
      </c>
      <c r="U172" s="28" t="str">
        <f t="shared" si="21"/>
        <v>a/b</v>
      </c>
      <c r="V172" s="32">
        <v>23</v>
      </c>
      <c r="W172" s="31"/>
      <c r="X172" s="31"/>
      <c r="Y172" s="29">
        <v>13</v>
      </c>
      <c r="Z172" s="29">
        <v>4</v>
      </c>
      <c r="AA172" s="30" t="s">
        <v>241</v>
      </c>
      <c r="AB172" s="30">
        <v>0</v>
      </c>
      <c r="AC172" s="149" t="str">
        <f t="shared" si="22"/>
        <v>a0</v>
      </c>
      <c r="AD172" s="15"/>
      <c r="AE172" s="15"/>
      <c r="AF172" s="15"/>
    </row>
    <row r="173" spans="1:32" x14ac:dyDescent="0.2">
      <c r="A173" s="19">
        <f t="shared" si="20"/>
        <v>170</v>
      </c>
      <c r="B173" s="32" t="s">
        <v>5394</v>
      </c>
      <c r="C173" s="28">
        <v>120</v>
      </c>
      <c r="D173" s="31">
        <v>64</v>
      </c>
      <c r="E173" s="31">
        <v>4.8</v>
      </c>
      <c r="F173" s="31">
        <v>7.3</v>
      </c>
      <c r="G173" s="28">
        <v>14.7</v>
      </c>
      <c r="H173" s="31">
        <v>11.5</v>
      </c>
      <c r="I173" s="31">
        <v>350</v>
      </c>
      <c r="J173" s="29">
        <v>58.4</v>
      </c>
      <c r="K173" s="31">
        <v>4.88</v>
      </c>
      <c r="L173" s="29">
        <v>27.9</v>
      </c>
      <c r="M173" s="29">
        <v>8.7200000000000006</v>
      </c>
      <c r="N173" s="31">
        <v>1.38</v>
      </c>
      <c r="O173" s="31">
        <v>5.4096000000000002</v>
      </c>
      <c r="P173" s="31"/>
      <c r="Q173" s="29">
        <v>26.326720000000002</v>
      </c>
      <c r="R173" s="29">
        <v>66.489563567362424</v>
      </c>
      <c r="S173" s="29">
        <v>6.3813494426954822</v>
      </c>
      <c r="T173" s="28">
        <v>12</v>
      </c>
      <c r="U173" s="28" t="str">
        <f t="shared" si="21"/>
        <v>a/b</v>
      </c>
      <c r="V173" s="32">
        <v>33.700000000000003</v>
      </c>
      <c r="W173" s="31"/>
      <c r="X173" s="31"/>
      <c r="Y173" s="29">
        <v>13</v>
      </c>
      <c r="Z173" s="29">
        <v>4</v>
      </c>
      <c r="AA173" s="30" t="s">
        <v>241</v>
      </c>
      <c r="AB173" s="30">
        <v>0</v>
      </c>
      <c r="AC173" s="149" t="str">
        <f t="shared" si="22"/>
        <v>a0</v>
      </c>
      <c r="AD173" s="15"/>
      <c r="AE173" s="15"/>
      <c r="AF173" s="15"/>
    </row>
    <row r="174" spans="1:32" x14ac:dyDescent="0.2">
      <c r="A174" s="19">
        <f t="shared" si="20"/>
        <v>171</v>
      </c>
      <c r="B174" s="32" t="s">
        <v>5395</v>
      </c>
      <c r="C174" s="28">
        <v>140</v>
      </c>
      <c r="D174" s="31">
        <v>73</v>
      </c>
      <c r="E174" s="31">
        <v>4.9000000000000004</v>
      </c>
      <c r="F174" s="31">
        <v>7.5</v>
      </c>
      <c r="G174" s="28">
        <v>17.399999999999999</v>
      </c>
      <c r="H174" s="31">
        <v>13.7</v>
      </c>
      <c r="I174" s="31">
        <v>572</v>
      </c>
      <c r="J174" s="29">
        <v>81.7</v>
      </c>
      <c r="K174" s="31">
        <v>5.73</v>
      </c>
      <c r="L174" s="29">
        <v>41.9</v>
      </c>
      <c r="M174" s="29">
        <v>11.5</v>
      </c>
      <c r="N174" s="31">
        <v>1.55</v>
      </c>
      <c r="O174" s="31">
        <v>6.4924999999999997</v>
      </c>
      <c r="P174" s="31"/>
      <c r="Q174" s="29">
        <v>36.271875000000001</v>
      </c>
      <c r="R174" s="29">
        <v>91.504000000000005</v>
      </c>
      <c r="S174" s="29">
        <v>7.7271991039889727</v>
      </c>
      <c r="T174" s="28">
        <v>14</v>
      </c>
      <c r="U174" s="28" t="str">
        <f t="shared" si="21"/>
        <v>a/b</v>
      </c>
      <c r="V174" s="32">
        <v>46.8</v>
      </c>
      <c r="W174" s="31"/>
      <c r="X174" s="31"/>
      <c r="Y174" s="29">
        <v>13</v>
      </c>
      <c r="Z174" s="29">
        <v>4</v>
      </c>
      <c r="AA174" s="30" t="s">
        <v>241</v>
      </c>
      <c r="AB174" s="30">
        <v>0</v>
      </c>
      <c r="AC174" s="149" t="str">
        <f t="shared" si="22"/>
        <v>a0</v>
      </c>
      <c r="AD174" s="15"/>
      <c r="AE174" s="15"/>
      <c r="AF174" s="15"/>
    </row>
    <row r="175" spans="1:32" x14ac:dyDescent="0.2">
      <c r="A175" s="19">
        <f t="shared" si="20"/>
        <v>172</v>
      </c>
      <c r="B175" s="32" t="s">
        <v>5396</v>
      </c>
      <c r="C175" s="28">
        <v>160</v>
      </c>
      <c r="D175" s="31">
        <v>81</v>
      </c>
      <c r="E175" s="31">
        <v>5</v>
      </c>
      <c r="F175" s="31">
        <v>7.8</v>
      </c>
      <c r="G175" s="28">
        <v>20.2</v>
      </c>
      <c r="H175" s="31">
        <v>15.9</v>
      </c>
      <c r="I175" s="31">
        <v>873</v>
      </c>
      <c r="J175" s="29">
        <v>109</v>
      </c>
      <c r="K175" s="31">
        <v>6.57</v>
      </c>
      <c r="L175" s="29">
        <v>58.6</v>
      </c>
      <c r="M175" s="29">
        <v>14.5</v>
      </c>
      <c r="N175" s="31">
        <v>1.7</v>
      </c>
      <c r="O175" s="31">
        <v>7.61</v>
      </c>
      <c r="P175" s="31"/>
      <c r="Q175" s="29">
        <v>48.079979999999999</v>
      </c>
      <c r="R175" s="29">
        <v>120.77562326869806</v>
      </c>
      <c r="S175" s="29">
        <v>9.0786227448513905</v>
      </c>
      <c r="T175" s="28">
        <v>16</v>
      </c>
      <c r="U175" s="28" t="str">
        <f t="shared" si="21"/>
        <v>a/b</v>
      </c>
      <c r="V175" s="32">
        <v>62.3</v>
      </c>
      <c r="W175" s="31"/>
      <c r="X175" s="31"/>
      <c r="Y175" s="29">
        <v>13</v>
      </c>
      <c r="Z175" s="29">
        <v>4</v>
      </c>
      <c r="AA175" s="30" t="s">
        <v>241</v>
      </c>
      <c r="AB175" s="30">
        <v>0</v>
      </c>
      <c r="AC175" s="149" t="str">
        <f t="shared" si="22"/>
        <v>a0</v>
      </c>
      <c r="AD175" s="15"/>
      <c r="AE175" s="15"/>
      <c r="AF175" s="15"/>
    </row>
    <row r="176" spans="1:32" x14ac:dyDescent="0.2">
      <c r="A176" s="19">
        <f t="shared" si="20"/>
        <v>173</v>
      </c>
      <c r="B176" s="32" t="s">
        <v>5397</v>
      </c>
      <c r="C176" s="28">
        <v>180</v>
      </c>
      <c r="D176" s="31">
        <v>90</v>
      </c>
      <c r="E176" s="31">
        <v>5.0999999999999996</v>
      </c>
      <c r="F176" s="31">
        <v>8.1</v>
      </c>
      <c r="G176" s="28">
        <v>23.4</v>
      </c>
      <c r="H176" s="31">
        <v>18.399999999999999</v>
      </c>
      <c r="I176" s="31">
        <v>1290</v>
      </c>
      <c r="J176" s="29">
        <v>143</v>
      </c>
      <c r="K176" s="31">
        <v>7.42</v>
      </c>
      <c r="L176" s="29">
        <v>82.6</v>
      </c>
      <c r="M176" s="29">
        <v>18.399999999999999</v>
      </c>
      <c r="N176" s="31">
        <v>1.88</v>
      </c>
      <c r="O176" s="31">
        <v>8.7668999999999997</v>
      </c>
      <c r="P176" s="31"/>
      <c r="Q176" s="29">
        <v>62.657550000000001</v>
      </c>
      <c r="R176" s="29">
        <v>157.14285714285714</v>
      </c>
      <c r="S176" s="29">
        <v>10.499931771989168</v>
      </c>
      <c r="T176" s="28">
        <v>19</v>
      </c>
      <c r="U176" s="28" t="str">
        <f t="shared" si="21"/>
        <v>a/b</v>
      </c>
      <c r="V176" s="28">
        <v>81.400000000000006</v>
      </c>
      <c r="W176" s="31"/>
      <c r="X176" s="31"/>
      <c r="Y176" s="29">
        <v>13</v>
      </c>
      <c r="Z176" s="29">
        <v>4</v>
      </c>
      <c r="AA176" s="30" t="s">
        <v>241</v>
      </c>
      <c r="AB176" s="30">
        <v>0</v>
      </c>
      <c r="AC176" s="149" t="str">
        <f t="shared" si="22"/>
        <v>a0</v>
      </c>
      <c r="AD176" s="15"/>
      <c r="AE176" s="15"/>
      <c r="AF176" s="15"/>
    </row>
    <row r="177" spans="1:32" x14ac:dyDescent="0.2">
      <c r="A177" s="19">
        <f t="shared" si="20"/>
        <v>174</v>
      </c>
      <c r="B177" s="32" t="s">
        <v>5398</v>
      </c>
      <c r="C177" s="28">
        <v>200</v>
      </c>
      <c r="D177" s="31">
        <v>100</v>
      </c>
      <c r="E177" s="31">
        <v>5.2</v>
      </c>
      <c r="F177" s="31">
        <v>8.4</v>
      </c>
      <c r="G177" s="28">
        <v>26.8</v>
      </c>
      <c r="H177" s="31">
        <v>21</v>
      </c>
      <c r="I177" s="31">
        <v>1840</v>
      </c>
      <c r="J177" s="29">
        <v>184</v>
      </c>
      <c r="K177" s="31">
        <v>8.2799999999999994</v>
      </c>
      <c r="L177" s="29">
        <v>115</v>
      </c>
      <c r="M177" s="29">
        <v>23.1</v>
      </c>
      <c r="N177" s="31">
        <v>2.0699999999999998</v>
      </c>
      <c r="O177" s="31">
        <v>9.9632000000000005</v>
      </c>
      <c r="P177" s="31"/>
      <c r="Q177" s="29">
        <v>80.471999999999994</v>
      </c>
      <c r="R177" s="29">
        <v>200.87336244541487</v>
      </c>
      <c r="S177" s="29">
        <v>11.88984988567452</v>
      </c>
      <c r="T177" s="28">
        <v>22</v>
      </c>
      <c r="U177" s="28" t="str">
        <f t="shared" si="21"/>
        <v>a/b</v>
      </c>
      <c r="V177" s="28">
        <v>104</v>
      </c>
      <c r="W177" s="31"/>
      <c r="X177" s="31"/>
      <c r="Y177" s="29">
        <v>13</v>
      </c>
      <c r="Z177" s="29">
        <v>4</v>
      </c>
      <c r="AA177" s="30" t="s">
        <v>241</v>
      </c>
      <c r="AB177" s="30">
        <v>0</v>
      </c>
      <c r="AC177" s="149" t="str">
        <f t="shared" si="22"/>
        <v>a0</v>
      </c>
      <c r="AD177" s="15"/>
      <c r="AE177" s="15"/>
      <c r="AF177" s="15"/>
    </row>
    <row r="178" spans="1:32" x14ac:dyDescent="0.2">
      <c r="A178" s="19">
        <f t="shared" si="20"/>
        <v>175</v>
      </c>
      <c r="B178" s="32" t="s">
        <v>5399</v>
      </c>
      <c r="C178" s="28">
        <v>240</v>
      </c>
      <c r="D178" s="31">
        <v>110</v>
      </c>
      <c r="E178" s="31">
        <v>8</v>
      </c>
      <c r="F178" s="31">
        <v>14</v>
      </c>
      <c r="G178" s="28">
        <v>48.7</v>
      </c>
      <c r="H178" s="31">
        <v>38.299999999999997</v>
      </c>
      <c r="I178" s="31">
        <v>4640</v>
      </c>
      <c r="J178" s="29">
        <v>387</v>
      </c>
      <c r="K178" s="31">
        <v>9.8000000000000007</v>
      </c>
      <c r="L178" s="29">
        <v>276</v>
      </c>
      <c r="M178" s="29">
        <v>50.2</v>
      </c>
      <c r="N178" s="31">
        <v>2.4</v>
      </c>
      <c r="O178" s="31">
        <v>18.079999999999998</v>
      </c>
      <c r="P178" s="31"/>
      <c r="Q178" s="29">
        <v>174.02</v>
      </c>
      <c r="R178" s="29">
        <v>438.11320754716979</v>
      </c>
      <c r="S178" s="29">
        <v>21.330881507872657</v>
      </c>
      <c r="T178" s="28">
        <v>39</v>
      </c>
      <c r="U178" s="28" t="str">
        <f t="shared" si="21"/>
        <v>a/b</v>
      </c>
      <c r="V178" s="28">
        <v>223</v>
      </c>
      <c r="W178" s="31"/>
      <c r="X178" s="31"/>
      <c r="Y178" s="29">
        <v>13</v>
      </c>
      <c r="Z178" s="29">
        <v>4</v>
      </c>
      <c r="AA178" s="30" t="s">
        <v>241</v>
      </c>
      <c r="AB178" s="30">
        <v>0</v>
      </c>
      <c r="AC178" s="149" t="str">
        <f t="shared" si="22"/>
        <v>a0</v>
      </c>
      <c r="AD178" s="15"/>
      <c r="AE178" s="15"/>
      <c r="AF178" s="15"/>
    </row>
    <row r="179" spans="1:32" x14ac:dyDescent="0.2">
      <c r="A179" s="19">
        <f t="shared" si="20"/>
        <v>176</v>
      </c>
      <c r="B179" s="32" t="s">
        <v>5400</v>
      </c>
      <c r="C179" s="28">
        <v>270</v>
      </c>
      <c r="D179" s="31">
        <v>124</v>
      </c>
      <c r="E179" s="31">
        <v>10</v>
      </c>
      <c r="F179" s="31">
        <v>14</v>
      </c>
      <c r="G179" s="28">
        <v>59.9</v>
      </c>
      <c r="H179" s="31">
        <v>47</v>
      </c>
      <c r="I179" s="31">
        <v>6870</v>
      </c>
      <c r="J179" s="29">
        <v>507</v>
      </c>
      <c r="K179" s="31">
        <v>10.7</v>
      </c>
      <c r="L179" s="29">
        <v>366</v>
      </c>
      <c r="M179" s="29">
        <v>59</v>
      </c>
      <c r="N179" s="31">
        <v>2.5</v>
      </c>
      <c r="O179" s="31">
        <v>25.6</v>
      </c>
      <c r="P179" s="31"/>
      <c r="Q179" s="29">
        <v>222.208</v>
      </c>
      <c r="R179" s="29">
        <v>565.6611570247934</v>
      </c>
      <c r="S179" s="29">
        <v>30.916978686635947</v>
      </c>
      <c r="T179" s="28">
        <v>48</v>
      </c>
      <c r="U179" s="28" t="str">
        <f t="shared" si="21"/>
        <v>a/b</v>
      </c>
      <c r="V179" s="28">
        <v>297</v>
      </c>
      <c r="W179" s="31"/>
      <c r="X179" s="31"/>
      <c r="Y179" s="29">
        <v>13</v>
      </c>
      <c r="Z179" s="29">
        <v>4</v>
      </c>
      <c r="AA179" s="30" t="s">
        <v>241</v>
      </c>
      <c r="AB179" s="30">
        <v>0</v>
      </c>
      <c r="AC179" s="149" t="str">
        <f t="shared" si="22"/>
        <v>a0</v>
      </c>
      <c r="AD179" s="15"/>
      <c r="AE179" s="15"/>
      <c r="AF179" s="15"/>
    </row>
    <row r="180" spans="1:32" x14ac:dyDescent="0.2">
      <c r="A180" s="19">
        <f t="shared" si="20"/>
        <v>177</v>
      </c>
      <c r="B180" s="32" t="s">
        <v>5401</v>
      </c>
      <c r="C180" s="28">
        <v>300</v>
      </c>
      <c r="D180" s="31">
        <v>135</v>
      </c>
      <c r="E180" s="31">
        <v>6.5</v>
      </c>
      <c r="F180" s="31">
        <v>10.199999999999999</v>
      </c>
      <c r="G180" s="28">
        <v>46.5</v>
      </c>
      <c r="H180" s="31">
        <v>36.5</v>
      </c>
      <c r="I180" s="31">
        <v>7080</v>
      </c>
      <c r="J180" s="29">
        <v>472</v>
      </c>
      <c r="K180" s="31">
        <v>12.3</v>
      </c>
      <c r="L180" s="29">
        <v>337</v>
      </c>
      <c r="M180" s="29">
        <v>49.9</v>
      </c>
      <c r="N180" s="31">
        <v>2.69</v>
      </c>
      <c r="O180" s="31">
        <v>18.837</v>
      </c>
      <c r="P180" s="31"/>
      <c r="Q180" s="29">
        <v>199.52730000000003</v>
      </c>
      <c r="R180" s="29">
        <v>506.4377682403433</v>
      </c>
      <c r="S180" s="29">
        <v>23.064512976419767</v>
      </c>
      <c r="T180" s="28">
        <v>37</v>
      </c>
      <c r="U180" s="28" t="str">
        <f t="shared" si="21"/>
        <v>a/b</v>
      </c>
      <c r="V180" s="28">
        <v>268</v>
      </c>
      <c r="W180" s="31"/>
      <c r="X180" s="31"/>
      <c r="Y180" s="29">
        <v>13</v>
      </c>
      <c r="Z180" s="29">
        <v>4</v>
      </c>
      <c r="AA180" s="30" t="s">
        <v>241</v>
      </c>
      <c r="AB180" s="30">
        <v>0</v>
      </c>
      <c r="AC180" s="149" t="str">
        <f t="shared" si="22"/>
        <v>a0</v>
      </c>
      <c r="AD180" s="15"/>
      <c r="AE180" s="15"/>
      <c r="AF180" s="15"/>
    </row>
    <row r="181" spans="1:32" x14ac:dyDescent="0.2">
      <c r="A181" s="19">
        <f t="shared" si="20"/>
        <v>178</v>
      </c>
      <c r="B181" s="32" t="s">
        <v>5402</v>
      </c>
      <c r="C181" s="28">
        <v>360</v>
      </c>
      <c r="D181" s="31">
        <v>145</v>
      </c>
      <c r="E181" s="31">
        <v>7.5</v>
      </c>
      <c r="F181" s="31">
        <v>12.3</v>
      </c>
      <c r="G181" s="28">
        <v>61.9</v>
      </c>
      <c r="H181" s="31">
        <v>48.6</v>
      </c>
      <c r="I181" s="31">
        <v>13380</v>
      </c>
      <c r="J181" s="29">
        <v>743</v>
      </c>
      <c r="K181" s="31">
        <v>14.7</v>
      </c>
      <c r="L181" s="29">
        <v>516</v>
      </c>
      <c r="M181" s="29">
        <v>71.099999999999994</v>
      </c>
      <c r="N181" s="31">
        <v>2.89</v>
      </c>
      <c r="O181" s="31">
        <v>26.077500000000001</v>
      </c>
      <c r="P181" s="31"/>
      <c r="Q181" s="29">
        <v>310.06147499999997</v>
      </c>
      <c r="R181" s="29">
        <v>797.4955277280859</v>
      </c>
      <c r="S181" s="29">
        <v>32.364549642937746</v>
      </c>
      <c r="T181" s="28">
        <v>50</v>
      </c>
      <c r="U181" s="28" t="str">
        <f t="shared" si="21"/>
        <v>a/b</v>
      </c>
      <c r="V181" s="28">
        <v>423</v>
      </c>
      <c r="W181" s="31"/>
      <c r="X181" s="31"/>
      <c r="Y181" s="29">
        <v>13</v>
      </c>
      <c r="Z181" s="29">
        <v>4</v>
      </c>
      <c r="AA181" s="30" t="s">
        <v>241</v>
      </c>
      <c r="AB181" s="30">
        <v>0</v>
      </c>
      <c r="AC181" s="149" t="str">
        <f t="shared" si="22"/>
        <v>a0</v>
      </c>
      <c r="AD181" s="15"/>
      <c r="AE181" s="15"/>
      <c r="AF181" s="15"/>
    </row>
    <row r="182" spans="1:32" x14ac:dyDescent="0.2">
      <c r="A182" s="19">
        <f t="shared" si="20"/>
        <v>179</v>
      </c>
      <c r="B182" s="32" t="s">
        <v>5403</v>
      </c>
      <c r="C182" s="28">
        <v>360</v>
      </c>
      <c r="D182" s="31">
        <v>130</v>
      </c>
      <c r="E182" s="31">
        <v>9</v>
      </c>
      <c r="F182" s="31">
        <v>16</v>
      </c>
      <c r="G182" s="28">
        <v>73.8</v>
      </c>
      <c r="H182" s="31">
        <v>57.9</v>
      </c>
      <c r="I182" s="31">
        <v>15340</v>
      </c>
      <c r="J182" s="29">
        <v>852</v>
      </c>
      <c r="K182" s="31">
        <v>14.4</v>
      </c>
      <c r="L182" s="29">
        <v>518</v>
      </c>
      <c r="M182" s="29">
        <v>79.7</v>
      </c>
      <c r="N182" s="31">
        <v>2.7</v>
      </c>
      <c r="O182" s="31">
        <v>30.96</v>
      </c>
      <c r="P182" s="31"/>
      <c r="Q182" s="29">
        <v>357.76</v>
      </c>
      <c r="R182" s="29">
        <v>935.1219512195122</v>
      </c>
      <c r="S182" s="29">
        <v>38.590116279069768</v>
      </c>
      <c r="T182" s="28">
        <v>59</v>
      </c>
      <c r="U182" s="28" t="str">
        <f t="shared" si="21"/>
        <v>a/b</v>
      </c>
      <c r="V182" s="28">
        <v>493</v>
      </c>
      <c r="W182" s="31"/>
      <c r="X182" s="31"/>
      <c r="Y182" s="29">
        <v>13</v>
      </c>
      <c r="Z182" s="29">
        <v>4</v>
      </c>
      <c r="AA182" s="30" t="s">
        <v>241</v>
      </c>
      <c r="AB182" s="30">
        <v>0</v>
      </c>
      <c r="AC182" s="149" t="str">
        <f t="shared" si="22"/>
        <v>a0</v>
      </c>
      <c r="AD182" s="15"/>
      <c r="AE182" s="15"/>
      <c r="AF182" s="15"/>
    </row>
    <row r="183" spans="1:32" x14ac:dyDescent="0.2">
      <c r="A183" s="19">
        <f t="shared" si="20"/>
        <v>180</v>
      </c>
      <c r="B183" s="32" t="s">
        <v>5404</v>
      </c>
      <c r="C183" s="28">
        <v>450</v>
      </c>
      <c r="D183" s="31">
        <v>160</v>
      </c>
      <c r="E183" s="31">
        <v>9</v>
      </c>
      <c r="F183" s="31">
        <v>14.2</v>
      </c>
      <c r="G183" s="28">
        <v>84.7</v>
      </c>
      <c r="H183" s="31">
        <v>66.5</v>
      </c>
      <c r="I183" s="31">
        <v>27696</v>
      </c>
      <c r="J183" s="29">
        <v>1231</v>
      </c>
      <c r="K183" s="31">
        <v>18.100000000000001</v>
      </c>
      <c r="L183" s="29">
        <v>808</v>
      </c>
      <c r="M183" s="29">
        <v>101</v>
      </c>
      <c r="N183" s="31">
        <v>3.09</v>
      </c>
      <c r="O183" s="31">
        <v>39.222000000000001</v>
      </c>
      <c r="P183" s="31"/>
      <c r="Q183" s="29">
        <v>495.06880000000001</v>
      </c>
      <c r="R183" s="29">
        <v>1313.9231499051232</v>
      </c>
      <c r="S183" s="29">
        <v>50.349365583127032</v>
      </c>
      <c r="T183" s="28">
        <v>68</v>
      </c>
      <c r="U183" s="28" t="str">
        <f t="shared" si="21"/>
        <v>a/b</v>
      </c>
      <c r="V183" s="28">
        <v>708</v>
      </c>
      <c r="W183" s="31"/>
      <c r="X183" s="31"/>
      <c r="Y183" s="29">
        <v>13</v>
      </c>
      <c r="Z183" s="29">
        <v>4</v>
      </c>
      <c r="AA183" s="30" t="s">
        <v>241</v>
      </c>
      <c r="AB183" s="30">
        <v>0</v>
      </c>
      <c r="AC183" s="149" t="str">
        <f t="shared" si="22"/>
        <v>a0</v>
      </c>
      <c r="AD183" s="15"/>
      <c r="AE183" s="15"/>
      <c r="AF183" s="15"/>
    </row>
    <row r="184" spans="1:32" x14ac:dyDescent="0.2">
      <c r="A184" s="19">
        <f t="shared" si="20"/>
        <v>181</v>
      </c>
      <c r="B184" s="32" t="s">
        <v>5405</v>
      </c>
      <c r="C184" s="28">
        <v>450</v>
      </c>
      <c r="D184" s="31">
        <v>150</v>
      </c>
      <c r="E184" s="31">
        <v>10</v>
      </c>
      <c r="F184" s="31">
        <v>18</v>
      </c>
      <c r="G184" s="28">
        <v>98.8</v>
      </c>
      <c r="H184" s="31">
        <v>77.599999999999994</v>
      </c>
      <c r="I184" s="31">
        <v>31900</v>
      </c>
      <c r="J184" s="29">
        <v>1420</v>
      </c>
      <c r="K184" s="31">
        <v>18</v>
      </c>
      <c r="L184" s="29">
        <v>821</v>
      </c>
      <c r="M184" s="29">
        <v>119</v>
      </c>
      <c r="N184" s="31">
        <v>3</v>
      </c>
      <c r="O184" s="31">
        <v>43.2</v>
      </c>
      <c r="P184" s="31"/>
      <c r="Q184" s="29">
        <v>583.20000000000005</v>
      </c>
      <c r="R184" s="29">
        <v>1543.4782608695652</v>
      </c>
      <c r="S184" s="29">
        <v>54.698216735253766</v>
      </c>
      <c r="T184" s="28">
        <v>80</v>
      </c>
      <c r="U184" s="28" t="str">
        <f t="shared" si="21"/>
        <v>a/b</v>
      </c>
      <c r="V184" s="28">
        <v>821</v>
      </c>
      <c r="W184" s="31"/>
      <c r="X184" s="31"/>
      <c r="Y184" s="29">
        <v>13</v>
      </c>
      <c r="Z184" s="29">
        <v>4</v>
      </c>
      <c r="AA184" s="30" t="s">
        <v>241</v>
      </c>
      <c r="AB184" s="30">
        <v>0</v>
      </c>
      <c r="AC184" s="149" t="str">
        <f t="shared" si="22"/>
        <v>a0</v>
      </c>
      <c r="AD184" s="15"/>
      <c r="AE184" s="15"/>
      <c r="AF184" s="15"/>
    </row>
    <row r="185" spans="1:32" x14ac:dyDescent="0.2">
      <c r="A185" s="19">
        <f t="shared" si="20"/>
        <v>182</v>
      </c>
      <c r="B185" s="148" t="s">
        <v>8791</v>
      </c>
      <c r="C185" s="28">
        <v>200</v>
      </c>
      <c r="D185" s="31">
        <v>76</v>
      </c>
      <c r="E185" s="31">
        <v>5.2</v>
      </c>
      <c r="F185" s="31">
        <v>9</v>
      </c>
      <c r="G185" s="28">
        <v>23.4</v>
      </c>
      <c r="H185" s="31">
        <v>18.399999999999999</v>
      </c>
      <c r="I185" s="31">
        <v>1520</v>
      </c>
      <c r="J185" s="29">
        <v>152</v>
      </c>
      <c r="K185" s="31">
        <v>8.07</v>
      </c>
      <c r="L185" s="29">
        <v>113</v>
      </c>
      <c r="M185" s="29">
        <v>20.5</v>
      </c>
      <c r="N185" s="31">
        <v>2.2000000000000002</v>
      </c>
      <c r="O185" s="31">
        <f t="shared" ref="O185:O189" si="28">G185-2*D185*F185/100+(E185+P185)/10</f>
        <v>11.19</v>
      </c>
      <c r="P185" s="31">
        <v>9.5</v>
      </c>
      <c r="Q185" s="29">
        <v>90</v>
      </c>
      <c r="R185" s="29">
        <v>175</v>
      </c>
      <c r="S185" s="29">
        <v>18</v>
      </c>
      <c r="T185" s="28">
        <v>26</v>
      </c>
      <c r="U185" s="28" t="str">
        <f t="shared" si="21"/>
        <v>c/c</v>
      </c>
      <c r="V185" s="28">
        <v>114</v>
      </c>
      <c r="W185" s="31">
        <v>5.04</v>
      </c>
      <c r="X185" s="31">
        <v>7.11</v>
      </c>
      <c r="Y185" s="29">
        <v>14</v>
      </c>
      <c r="Z185" s="29">
        <v>4</v>
      </c>
      <c r="AA185" s="30" t="s">
        <v>1434</v>
      </c>
      <c r="AB185" s="157">
        <v>2.0699999999999998</v>
      </c>
      <c r="AC185" s="149" t="str">
        <f t="shared" si="22"/>
        <v>c</v>
      </c>
      <c r="AD185" s="15"/>
      <c r="AE185" s="15"/>
      <c r="AF185" s="15"/>
    </row>
    <row r="186" spans="1:32" x14ac:dyDescent="0.2">
      <c r="A186" s="19">
        <f t="shared" si="20"/>
        <v>183</v>
      </c>
      <c r="B186" s="32" t="s">
        <v>5406</v>
      </c>
      <c r="C186" s="28">
        <v>80</v>
      </c>
      <c r="D186" s="31">
        <v>40</v>
      </c>
      <c r="E186" s="31">
        <v>4.5</v>
      </c>
      <c r="F186" s="31">
        <v>7.4</v>
      </c>
      <c r="G186" s="28">
        <v>8.98</v>
      </c>
      <c r="H186" s="31">
        <v>7.05</v>
      </c>
      <c r="I186" s="31">
        <v>89.4</v>
      </c>
      <c r="J186" s="29">
        <v>22.4</v>
      </c>
      <c r="K186" s="31">
        <v>3.16</v>
      </c>
      <c r="L186" s="29">
        <v>12.8</v>
      </c>
      <c r="M186" s="29">
        <v>4.75</v>
      </c>
      <c r="N186" s="31">
        <v>1.19</v>
      </c>
      <c r="O186" s="31">
        <f t="shared" si="28"/>
        <v>4.16</v>
      </c>
      <c r="P186" s="31">
        <v>6.5</v>
      </c>
      <c r="Q186" s="29">
        <v>10.7448</v>
      </c>
      <c r="R186" s="29">
        <v>27.484662576687114</v>
      </c>
      <c r="S186" s="29">
        <v>3.7441366986821536</v>
      </c>
      <c r="T186" s="28">
        <v>7</v>
      </c>
      <c r="U186" s="28" t="str">
        <f t="shared" si="21"/>
        <v>c/c</v>
      </c>
      <c r="V186" s="28">
        <v>23.3</v>
      </c>
      <c r="W186" s="31">
        <v>1.33</v>
      </c>
      <c r="X186" s="31">
        <v>0.14399999999999999</v>
      </c>
      <c r="Y186" s="29">
        <v>14</v>
      </c>
      <c r="Z186" s="29">
        <v>4</v>
      </c>
      <c r="AA186" s="30" t="s">
        <v>1434</v>
      </c>
      <c r="AB186" s="157">
        <v>1.31</v>
      </c>
      <c r="AC186" s="149" t="str">
        <f t="shared" si="22"/>
        <v>c</v>
      </c>
      <c r="AD186" s="15"/>
      <c r="AE186" s="15"/>
      <c r="AF186" s="15"/>
    </row>
    <row r="187" spans="1:32" x14ac:dyDescent="0.2">
      <c r="A187" s="19">
        <f t="shared" si="20"/>
        <v>184</v>
      </c>
      <c r="B187" s="32" t="s">
        <v>5407</v>
      </c>
      <c r="C187" s="28">
        <v>100</v>
      </c>
      <c r="D187" s="31">
        <v>46</v>
      </c>
      <c r="E187" s="31">
        <v>4.5</v>
      </c>
      <c r="F187" s="31">
        <v>7.6</v>
      </c>
      <c r="G187" s="28">
        <v>10.9</v>
      </c>
      <c r="H187" s="31">
        <v>8.59</v>
      </c>
      <c r="I187" s="31">
        <v>174</v>
      </c>
      <c r="J187" s="29">
        <v>34.799999999999997</v>
      </c>
      <c r="K187" s="31">
        <v>3.99</v>
      </c>
      <c r="L187" s="29">
        <v>20.399999999999999</v>
      </c>
      <c r="M187" s="29">
        <v>6.46</v>
      </c>
      <c r="N187" s="31">
        <v>1.37</v>
      </c>
      <c r="O187" s="31">
        <f t="shared" si="28"/>
        <v>5.0580000000000016</v>
      </c>
      <c r="P187" s="31">
        <v>7</v>
      </c>
      <c r="Q187" s="29">
        <v>16.151519999999998</v>
      </c>
      <c r="R187" s="29">
        <v>41.037735849056602</v>
      </c>
      <c r="S187" s="29">
        <v>4.8478409462391161</v>
      </c>
      <c r="T187" s="28">
        <v>9</v>
      </c>
      <c r="U187" s="28" t="str">
        <f t="shared" si="21"/>
        <v>c/c</v>
      </c>
      <c r="V187" s="28">
        <v>26.4</v>
      </c>
      <c r="W187" s="31">
        <v>1.69</v>
      </c>
      <c r="X187" s="31">
        <v>0.29599999999999999</v>
      </c>
      <c r="Y187" s="29">
        <v>14</v>
      </c>
      <c r="Z187" s="29">
        <v>4</v>
      </c>
      <c r="AA187" s="30" t="s">
        <v>1434</v>
      </c>
      <c r="AB187" s="157">
        <v>1.44</v>
      </c>
      <c r="AC187" s="149" t="str">
        <f t="shared" si="22"/>
        <v>c</v>
      </c>
      <c r="AD187" s="15"/>
      <c r="AE187" s="15"/>
      <c r="AF187" s="15"/>
    </row>
    <row r="188" spans="1:32" x14ac:dyDescent="0.2">
      <c r="A188" s="19">
        <f t="shared" si="20"/>
        <v>185</v>
      </c>
      <c r="B188" s="32" t="s">
        <v>5408</v>
      </c>
      <c r="C188" s="28">
        <v>120</v>
      </c>
      <c r="D188" s="31">
        <v>52</v>
      </c>
      <c r="E188" s="31">
        <v>4.8</v>
      </c>
      <c r="F188" s="31">
        <v>7.8</v>
      </c>
      <c r="G188" s="28">
        <v>13.3</v>
      </c>
      <c r="H188" s="31">
        <v>10.4</v>
      </c>
      <c r="I188" s="31">
        <v>305</v>
      </c>
      <c r="J188" s="29">
        <v>50.8</v>
      </c>
      <c r="K188" s="31">
        <v>4.79</v>
      </c>
      <c r="L188" s="29">
        <v>34.9</v>
      </c>
      <c r="M188" s="29">
        <v>9.84</v>
      </c>
      <c r="N188" s="31">
        <v>1.62</v>
      </c>
      <c r="O188" s="31">
        <f t="shared" si="28"/>
        <v>6.418000000000001</v>
      </c>
      <c r="P188" s="31">
        <v>7.5</v>
      </c>
      <c r="Q188" s="29">
        <v>22.754159999999999</v>
      </c>
      <c r="R188" s="29">
        <v>58.390804597701148</v>
      </c>
      <c r="S188" s="29">
        <v>6.4339883344408237</v>
      </c>
      <c r="T188" s="28">
        <v>11</v>
      </c>
      <c r="U188" s="28" t="str">
        <f t="shared" si="21"/>
        <v>c/c</v>
      </c>
      <c r="V188" s="28">
        <v>29.7</v>
      </c>
      <c r="W188" s="31">
        <v>2.17</v>
      </c>
      <c r="X188" s="31">
        <v>0.66600000000000004</v>
      </c>
      <c r="Y188" s="29">
        <v>14</v>
      </c>
      <c r="Z188" s="29">
        <v>4</v>
      </c>
      <c r="AA188" s="30" t="s">
        <v>1434</v>
      </c>
      <c r="AB188" s="157">
        <v>1.54</v>
      </c>
      <c r="AC188" s="149" t="str">
        <f t="shared" si="22"/>
        <v>c</v>
      </c>
      <c r="AD188" s="15"/>
      <c r="AE188" s="15"/>
      <c r="AF188" s="15"/>
    </row>
    <row r="189" spans="1:32" x14ac:dyDescent="0.2">
      <c r="A189" s="19">
        <f t="shared" si="20"/>
        <v>186</v>
      </c>
      <c r="B189" s="32" t="s">
        <v>5409</v>
      </c>
      <c r="C189" s="28">
        <v>140</v>
      </c>
      <c r="D189" s="31">
        <v>58</v>
      </c>
      <c r="E189" s="31">
        <v>4.9000000000000004</v>
      </c>
      <c r="F189" s="31">
        <v>8.1</v>
      </c>
      <c r="G189" s="28">
        <v>15.6</v>
      </c>
      <c r="H189" s="31">
        <v>12.3</v>
      </c>
      <c r="I189" s="31">
        <v>493</v>
      </c>
      <c r="J189" s="29">
        <v>70.400000000000006</v>
      </c>
      <c r="K189" s="31">
        <v>5.61</v>
      </c>
      <c r="L189" s="29">
        <v>51.5</v>
      </c>
      <c r="M189" s="29">
        <v>12.9</v>
      </c>
      <c r="N189" s="31">
        <v>1.81</v>
      </c>
      <c r="O189" s="31">
        <f t="shared" si="28"/>
        <v>7.4940000000000007</v>
      </c>
      <c r="P189" s="31">
        <v>8</v>
      </c>
      <c r="Q189" s="29">
        <v>30.983309999999996</v>
      </c>
      <c r="R189" s="29">
        <v>79.612277867528277</v>
      </c>
      <c r="S189" s="29">
        <v>7.7967783300105777</v>
      </c>
      <c r="T189" s="28">
        <v>13</v>
      </c>
      <c r="U189" s="28" t="str">
        <f t="shared" si="21"/>
        <v>c/c</v>
      </c>
      <c r="V189" s="28">
        <v>40.9</v>
      </c>
      <c r="W189" s="31">
        <v>2.74</v>
      </c>
      <c r="X189" s="31">
        <v>1.34</v>
      </c>
      <c r="Y189" s="29">
        <v>14</v>
      </c>
      <c r="Z189" s="29">
        <v>4</v>
      </c>
      <c r="AA189" s="30" t="s">
        <v>1434</v>
      </c>
      <c r="AB189" s="157">
        <v>1.67</v>
      </c>
      <c r="AC189" s="149" t="str">
        <f t="shared" si="22"/>
        <v>c</v>
      </c>
      <c r="AD189" s="15"/>
      <c r="AE189" s="15"/>
      <c r="AF189" s="15"/>
    </row>
    <row r="190" spans="1:32" x14ac:dyDescent="0.2">
      <c r="A190" s="19">
        <f t="shared" si="20"/>
        <v>187</v>
      </c>
      <c r="B190" s="148" t="s">
        <v>8543</v>
      </c>
      <c r="C190" s="148">
        <v>354</v>
      </c>
      <c r="D190" s="150">
        <v>205</v>
      </c>
      <c r="E190" s="150">
        <v>9.4</v>
      </c>
      <c r="F190" s="150">
        <v>16.8</v>
      </c>
      <c r="G190" s="148">
        <v>101</v>
      </c>
      <c r="H190" s="150">
        <v>79</v>
      </c>
      <c r="I190" s="150">
        <v>22600</v>
      </c>
      <c r="J190" s="149">
        <v>1280</v>
      </c>
      <c r="K190" s="150">
        <v>15</v>
      </c>
      <c r="L190" s="149">
        <v>2420</v>
      </c>
      <c r="M190" s="149">
        <v>236</v>
      </c>
      <c r="N190" s="150">
        <v>4.8899999999999997</v>
      </c>
      <c r="O190" s="150">
        <f t="shared" ref="O190:O223" si="29">MAX(G190-2*D190*F190/100+(E190+2*P190)*F190/100,(C190-2*F190)*E190/100)</f>
        <v>41.427200000000006</v>
      </c>
      <c r="P190" s="150">
        <v>23</v>
      </c>
      <c r="Q190" s="149">
        <v>648</v>
      </c>
      <c r="R190" s="149">
        <f t="shared" ref="R190:R225" si="30">+J190*C190/(C190-2*(F190+P190))</f>
        <v>1651.3119533527697</v>
      </c>
      <c r="S190" s="149">
        <f t="shared" ref="S190:S225" si="31">+I190*E190/Q190/10</f>
        <v>32.783950617283949</v>
      </c>
      <c r="T190" s="150">
        <v>79</v>
      </c>
      <c r="U190" s="28" t="str">
        <f t="shared" si="21"/>
        <v>a/b</v>
      </c>
      <c r="V190" s="148">
        <v>736</v>
      </c>
      <c r="W190" s="150">
        <v>79</v>
      </c>
      <c r="X190" s="150">
        <v>689</v>
      </c>
      <c r="Y190" s="149">
        <v>3</v>
      </c>
      <c r="Z190" s="149">
        <v>1</v>
      </c>
      <c r="AA190" s="149" t="s">
        <v>241</v>
      </c>
      <c r="AB190" s="30">
        <v>0</v>
      </c>
      <c r="AC190" s="149" t="str">
        <f t="shared" si="22"/>
        <v>a0</v>
      </c>
      <c r="AD190" s="15"/>
      <c r="AE190" s="15"/>
      <c r="AF190" s="15"/>
    </row>
    <row r="191" spans="1:32" x14ac:dyDescent="0.2">
      <c r="A191" s="19">
        <f t="shared" si="20"/>
        <v>188</v>
      </c>
      <c r="B191" s="148" t="s">
        <v>8543</v>
      </c>
      <c r="C191" s="148">
        <v>354</v>
      </c>
      <c r="D191" s="150">
        <v>205</v>
      </c>
      <c r="E191" s="150">
        <v>9.4</v>
      </c>
      <c r="F191" s="150">
        <v>16.8</v>
      </c>
      <c r="G191" s="148">
        <v>101</v>
      </c>
      <c r="H191" s="150">
        <v>79</v>
      </c>
      <c r="I191" s="150">
        <v>22600</v>
      </c>
      <c r="J191" s="149">
        <v>1280</v>
      </c>
      <c r="K191" s="150">
        <v>15</v>
      </c>
      <c r="L191" s="149">
        <v>2420</v>
      </c>
      <c r="M191" s="149">
        <v>236</v>
      </c>
      <c r="N191" s="150">
        <v>4.8899999999999997</v>
      </c>
      <c r="O191" s="150">
        <f t="shared" si="29"/>
        <v>41.427200000000006</v>
      </c>
      <c r="P191" s="150">
        <v>23</v>
      </c>
      <c r="Q191" s="149">
        <v>648</v>
      </c>
      <c r="R191" s="149">
        <f t="shared" si="30"/>
        <v>1651.3119533527697</v>
      </c>
      <c r="S191" s="149">
        <f t="shared" si="31"/>
        <v>32.783950617283949</v>
      </c>
      <c r="T191" s="150">
        <v>79</v>
      </c>
      <c r="U191" s="28" t="str">
        <f t="shared" si="21"/>
        <v>a/b</v>
      </c>
      <c r="V191" s="148">
        <v>736</v>
      </c>
      <c r="W191" s="150">
        <v>79</v>
      </c>
      <c r="X191" s="150">
        <v>689</v>
      </c>
      <c r="Y191" s="149">
        <v>3</v>
      </c>
      <c r="Z191" s="149">
        <v>1</v>
      </c>
      <c r="AA191" s="149" t="s">
        <v>241</v>
      </c>
      <c r="AB191" s="30">
        <v>0</v>
      </c>
      <c r="AC191" s="149" t="str">
        <f t="shared" si="22"/>
        <v>a0</v>
      </c>
      <c r="AD191" s="15"/>
      <c r="AE191" s="15"/>
      <c r="AF191" s="15"/>
    </row>
    <row r="192" spans="1:32" x14ac:dyDescent="0.2">
      <c r="A192" s="19">
        <f t="shared" si="20"/>
        <v>189</v>
      </c>
      <c r="B192" s="148" t="s">
        <v>8549</v>
      </c>
      <c r="C192" s="28">
        <v>603</v>
      </c>
      <c r="D192" s="31">
        <v>228</v>
      </c>
      <c r="E192" s="31">
        <v>10.5</v>
      </c>
      <c r="F192" s="31">
        <v>14.9</v>
      </c>
      <c r="G192" s="28">
        <v>133</v>
      </c>
      <c r="H192" s="31">
        <v>101</v>
      </c>
      <c r="I192" s="31">
        <v>76400</v>
      </c>
      <c r="J192" s="29">
        <v>2530</v>
      </c>
      <c r="K192" s="31">
        <v>24.3</v>
      </c>
      <c r="L192" s="29">
        <v>2950</v>
      </c>
      <c r="M192" s="29">
        <v>259</v>
      </c>
      <c r="N192" s="31">
        <v>4.7699999999999996</v>
      </c>
      <c r="O192" s="31">
        <f t="shared" si="29"/>
        <v>74.070499999999996</v>
      </c>
      <c r="P192" s="31">
        <v>25</v>
      </c>
      <c r="Q192" s="29">
        <v>1146</v>
      </c>
      <c r="R192" s="149">
        <f t="shared" si="30"/>
        <v>2915.8830275229357</v>
      </c>
      <c r="S192" s="149">
        <f t="shared" si="31"/>
        <v>70</v>
      </c>
      <c r="T192" s="28">
        <v>101</v>
      </c>
      <c r="U192" s="28" t="str">
        <f t="shared" si="21"/>
        <v>a/b</v>
      </c>
      <c r="V192" s="28">
        <v>1505</v>
      </c>
      <c r="W192" s="31">
        <v>78</v>
      </c>
      <c r="X192" s="31">
        <v>2550</v>
      </c>
      <c r="Y192" s="29">
        <v>3</v>
      </c>
      <c r="Z192" s="29">
        <v>1</v>
      </c>
      <c r="AA192" s="149" t="s">
        <v>241</v>
      </c>
      <c r="AB192" s="30">
        <v>0</v>
      </c>
      <c r="AC192" s="149" t="str">
        <f t="shared" si="22"/>
        <v>a0</v>
      </c>
      <c r="AD192" s="15"/>
      <c r="AE192" s="15"/>
      <c r="AF192" s="15"/>
    </row>
    <row r="193" spans="1:32" x14ac:dyDescent="0.2">
      <c r="A193" s="19">
        <f t="shared" si="20"/>
        <v>190</v>
      </c>
      <c r="B193" s="148" t="s">
        <v>8548</v>
      </c>
      <c r="C193" s="28">
        <v>689</v>
      </c>
      <c r="D193" s="31">
        <v>340</v>
      </c>
      <c r="E193" s="31">
        <v>32</v>
      </c>
      <c r="F193" s="31">
        <v>57.9</v>
      </c>
      <c r="G193" s="28">
        <v>579</v>
      </c>
      <c r="H193" s="31">
        <v>455</v>
      </c>
      <c r="I193" s="152">
        <v>445000</v>
      </c>
      <c r="J193" s="153">
        <v>12900</v>
      </c>
      <c r="K193" s="152">
        <v>27.7</v>
      </c>
      <c r="L193" s="153">
        <v>38100</v>
      </c>
      <c r="M193" s="153">
        <v>2240</v>
      </c>
      <c r="N193" s="152">
        <v>8.11</v>
      </c>
      <c r="O193" s="152">
        <f t="shared" si="29"/>
        <v>245.49599999999998</v>
      </c>
      <c r="P193" s="152">
        <v>36</v>
      </c>
      <c r="Q193" s="153">
        <v>6676</v>
      </c>
      <c r="R193" s="153">
        <f t="shared" si="30"/>
        <v>17733.639265762173</v>
      </c>
      <c r="S193" s="153">
        <f t="shared" si="31"/>
        <v>213.30137807070099</v>
      </c>
      <c r="T193" s="152">
        <v>455</v>
      </c>
      <c r="U193" s="28" t="str">
        <f t="shared" si="21"/>
        <v>b/c</v>
      </c>
      <c r="V193" s="151">
        <v>7681</v>
      </c>
      <c r="W193" s="152">
        <v>4880</v>
      </c>
      <c r="X193" s="152">
        <v>37900</v>
      </c>
      <c r="Y193" s="153">
        <v>3</v>
      </c>
      <c r="Z193" s="153">
        <v>1</v>
      </c>
      <c r="AA193" s="153" t="s">
        <v>241</v>
      </c>
      <c r="AB193" s="30">
        <v>0</v>
      </c>
      <c r="AC193" s="149" t="str">
        <f t="shared" si="22"/>
        <v>a</v>
      </c>
      <c r="AD193" s="15"/>
      <c r="AE193" s="15"/>
      <c r="AF193" s="15"/>
    </row>
    <row r="194" spans="1:32" x14ac:dyDescent="0.2">
      <c r="A194" s="19">
        <f t="shared" si="20"/>
        <v>191</v>
      </c>
      <c r="B194" s="148" t="s">
        <v>8547</v>
      </c>
      <c r="C194" s="28">
        <v>669</v>
      </c>
      <c r="D194" s="31">
        <v>335</v>
      </c>
      <c r="E194" s="31">
        <v>26.4</v>
      </c>
      <c r="F194" s="31">
        <v>48</v>
      </c>
      <c r="G194" s="28">
        <v>474</v>
      </c>
      <c r="H194" s="31">
        <v>372</v>
      </c>
      <c r="I194" s="152">
        <v>35300</v>
      </c>
      <c r="J194" s="153">
        <v>10600</v>
      </c>
      <c r="K194" s="152">
        <v>27.3</v>
      </c>
      <c r="L194" s="153">
        <v>30200</v>
      </c>
      <c r="M194" s="153">
        <v>1800</v>
      </c>
      <c r="N194" s="152">
        <v>7.98</v>
      </c>
      <c r="O194" s="152">
        <f t="shared" si="29"/>
        <v>196.75199999999998</v>
      </c>
      <c r="P194" s="152">
        <v>33</v>
      </c>
      <c r="Q194" s="153">
        <v>5358</v>
      </c>
      <c r="R194" s="153">
        <f t="shared" si="30"/>
        <v>13986.98224852071</v>
      </c>
      <c r="S194" s="153">
        <f t="shared" si="31"/>
        <v>17.393057110862262</v>
      </c>
      <c r="T194" s="152">
        <v>372</v>
      </c>
      <c r="U194" s="28" t="str">
        <f t="shared" si="21"/>
        <v>b/c</v>
      </c>
      <c r="V194" s="151">
        <v>6206</v>
      </c>
      <c r="W194" s="152">
        <v>2713</v>
      </c>
      <c r="X194" s="152">
        <v>49900</v>
      </c>
      <c r="Y194" s="153">
        <v>3</v>
      </c>
      <c r="Z194" s="153">
        <v>1</v>
      </c>
      <c r="AA194" s="153" t="s">
        <v>241</v>
      </c>
      <c r="AB194" s="30">
        <v>0</v>
      </c>
      <c r="AC194" s="149" t="str">
        <f t="shared" si="22"/>
        <v>a</v>
      </c>
      <c r="AD194" s="15"/>
      <c r="AE194" s="15"/>
      <c r="AF194" s="15"/>
    </row>
    <row r="195" spans="1:32" x14ac:dyDescent="0.2">
      <c r="A195" s="19">
        <f t="shared" si="20"/>
        <v>192</v>
      </c>
      <c r="B195" s="151" t="s">
        <v>8546</v>
      </c>
      <c r="C195" s="151">
        <v>711</v>
      </c>
      <c r="D195" s="152">
        <v>347</v>
      </c>
      <c r="E195" s="152">
        <v>38.6</v>
      </c>
      <c r="F195" s="152">
        <v>69.099999999999994</v>
      </c>
      <c r="G195" s="151">
        <v>702</v>
      </c>
      <c r="H195" s="152">
        <v>551</v>
      </c>
      <c r="I195" s="152">
        <v>558000</v>
      </c>
      <c r="J195" s="153">
        <v>15700</v>
      </c>
      <c r="K195" s="152">
        <v>28.2</v>
      </c>
      <c r="L195" s="153">
        <v>48400</v>
      </c>
      <c r="M195" s="153">
        <v>2790</v>
      </c>
      <c r="N195" s="152">
        <v>8.3000000000000007</v>
      </c>
      <c r="O195" s="152">
        <f t="shared" si="29"/>
        <v>303.01660000000004</v>
      </c>
      <c r="P195" s="152">
        <v>39</v>
      </c>
      <c r="Q195" s="153">
        <v>8278</v>
      </c>
      <c r="R195" s="153">
        <f t="shared" si="30"/>
        <v>22560.02425222312</v>
      </c>
      <c r="S195" s="153">
        <f t="shared" si="31"/>
        <v>260.19328340178788</v>
      </c>
      <c r="T195" s="152">
        <v>551</v>
      </c>
      <c r="U195" s="28" t="str">
        <f t="shared" si="21"/>
        <v>b/c</v>
      </c>
      <c r="V195" s="151">
        <v>9459</v>
      </c>
      <c r="W195" s="152">
        <v>8122</v>
      </c>
      <c r="X195" s="152">
        <v>29154</v>
      </c>
      <c r="Y195" s="153">
        <v>3</v>
      </c>
      <c r="Z195" s="153">
        <v>1</v>
      </c>
      <c r="AA195" s="153" t="s">
        <v>241</v>
      </c>
      <c r="AB195" s="30">
        <v>0</v>
      </c>
      <c r="AC195" s="149" t="str">
        <f t="shared" si="22"/>
        <v>a</v>
      </c>
      <c r="AD195" s="15"/>
      <c r="AE195" s="15"/>
      <c r="AF195" s="15"/>
    </row>
    <row r="196" spans="1:32" x14ac:dyDescent="0.2">
      <c r="A196" s="19">
        <v>193</v>
      </c>
      <c r="B196" s="151" t="s">
        <v>9223</v>
      </c>
      <c r="C196" s="151">
        <v>622</v>
      </c>
      <c r="D196" s="152">
        <v>327</v>
      </c>
      <c r="E196" s="152">
        <v>15.4</v>
      </c>
      <c r="F196" s="152">
        <v>24.4</v>
      </c>
      <c r="G196" s="151">
        <v>248</v>
      </c>
      <c r="H196" s="152">
        <v>194.7</v>
      </c>
      <c r="I196" s="152">
        <v>168000</v>
      </c>
      <c r="J196" s="153">
        <v>5400</v>
      </c>
      <c r="K196" s="152">
        <v>26</v>
      </c>
      <c r="L196" s="153">
        <v>14200</v>
      </c>
      <c r="M196" s="153">
        <v>871</v>
      </c>
      <c r="N196" s="152">
        <v>75.599999999999994</v>
      </c>
      <c r="O196" s="152">
        <f t="shared" si="29"/>
        <v>92.181600000000003</v>
      </c>
      <c r="P196" s="152"/>
      <c r="Q196" s="153"/>
      <c r="R196" s="153">
        <f t="shared" si="30"/>
        <v>5859.7348220516396</v>
      </c>
      <c r="S196" s="153"/>
      <c r="T196" s="152"/>
      <c r="U196" s="28" t="str">
        <f t="shared" si="21"/>
        <v>a/b</v>
      </c>
      <c r="V196" s="151">
        <v>3112</v>
      </c>
      <c r="W196" s="152">
        <v>397</v>
      </c>
      <c r="X196" s="152">
        <v>1270</v>
      </c>
      <c r="Y196" s="153">
        <v>3</v>
      </c>
      <c r="Z196" s="153">
        <v>1</v>
      </c>
      <c r="AA196" s="153" t="s">
        <v>241</v>
      </c>
      <c r="AB196" s="30">
        <v>0</v>
      </c>
      <c r="AC196" s="149" t="str">
        <f t="shared" si="22"/>
        <v>a0</v>
      </c>
      <c r="AD196" s="15"/>
      <c r="AE196" s="15"/>
      <c r="AF196" s="15"/>
    </row>
    <row r="197" spans="1:32" x14ac:dyDescent="0.2">
      <c r="A197" s="19">
        <v>194</v>
      </c>
      <c r="B197" s="148" t="s">
        <v>8545</v>
      </c>
      <c r="C197" s="28">
        <v>420</v>
      </c>
      <c r="D197" s="31">
        <v>261</v>
      </c>
      <c r="E197" s="31">
        <v>11.6</v>
      </c>
      <c r="F197" s="31">
        <v>19.3</v>
      </c>
      <c r="G197" s="28">
        <v>146</v>
      </c>
      <c r="H197" s="31">
        <v>114</v>
      </c>
      <c r="I197" s="31">
        <v>46200</v>
      </c>
      <c r="J197" s="29">
        <v>2200</v>
      </c>
      <c r="K197" s="31">
        <v>17.8</v>
      </c>
      <c r="L197" s="29">
        <v>5720</v>
      </c>
      <c r="M197" s="29">
        <v>439</v>
      </c>
      <c r="N197" s="31">
        <v>6.26</v>
      </c>
      <c r="O197" s="31">
        <f t="shared" si="29"/>
        <v>55.59879999999999</v>
      </c>
      <c r="P197" s="31">
        <v>21</v>
      </c>
      <c r="Q197" s="29">
        <v>1267</v>
      </c>
      <c r="R197" s="149">
        <f t="shared" si="30"/>
        <v>2722.4513847967</v>
      </c>
      <c r="S197" s="149">
        <f t="shared" si="31"/>
        <v>42.298342541436469</v>
      </c>
      <c r="T197" s="28">
        <v>114</v>
      </c>
      <c r="U197" s="28" t="str">
        <f t="shared" si="21"/>
        <v>a/b</v>
      </c>
      <c r="V197" s="28">
        <v>1455</v>
      </c>
      <c r="W197" s="31">
        <v>225</v>
      </c>
      <c r="X197" s="31">
        <v>2738</v>
      </c>
      <c r="Y197" s="29">
        <v>3</v>
      </c>
      <c r="Z197" s="29">
        <v>1</v>
      </c>
      <c r="AA197" s="149" t="s">
        <v>241</v>
      </c>
      <c r="AB197" s="30">
        <v>0</v>
      </c>
      <c r="AC197" s="149" t="str">
        <f t="shared" si="22"/>
        <v>a0</v>
      </c>
      <c r="AD197" s="15"/>
      <c r="AE197" s="15"/>
      <c r="AF197" s="15"/>
    </row>
    <row r="198" spans="1:32" x14ac:dyDescent="0.2">
      <c r="A198" s="19">
        <v>195</v>
      </c>
      <c r="B198" s="148" t="s">
        <v>8544</v>
      </c>
      <c r="C198" s="148">
        <v>431</v>
      </c>
      <c r="D198" s="150">
        <v>265</v>
      </c>
      <c r="E198" s="150">
        <v>10</v>
      </c>
      <c r="F198" s="150">
        <v>16.899999999999999</v>
      </c>
      <c r="G198" s="148">
        <v>127</v>
      </c>
      <c r="H198" s="150">
        <v>100</v>
      </c>
      <c r="I198" s="150">
        <v>39800</v>
      </c>
      <c r="J198" s="149">
        <v>1920</v>
      </c>
      <c r="K198" s="150">
        <v>17.7</v>
      </c>
      <c r="L198" s="149">
        <v>4950</v>
      </c>
      <c r="M198" s="149">
        <v>381</v>
      </c>
      <c r="N198" s="150">
        <v>6.25</v>
      </c>
      <c r="O198" s="150">
        <f t="shared" si="29"/>
        <v>45.88000000000001</v>
      </c>
      <c r="P198" s="150">
        <v>20</v>
      </c>
      <c r="Q198" s="149">
        <v>943</v>
      </c>
      <c r="R198" s="149">
        <f t="shared" si="30"/>
        <v>2316.6853303471444</v>
      </c>
      <c r="S198" s="149">
        <f t="shared" si="31"/>
        <v>42.20572640509014</v>
      </c>
      <c r="T198" s="148">
        <v>100</v>
      </c>
      <c r="U198" s="28" t="str">
        <f t="shared" ref="U198:U227" si="32">IF(AA198="H",IF(C198/D198&gt;1.2,IF(F198&lt;=40,"a/b","b/c"),IF(F198&lt;=100,"b/c","d/d")),IF(AA198="U","c/c","Scheiss"))</f>
        <v>a/b</v>
      </c>
      <c r="V198" s="148">
        <v>1088</v>
      </c>
      <c r="W198" s="150">
        <v>100</v>
      </c>
      <c r="X198" s="150">
        <v>1965</v>
      </c>
      <c r="Y198" s="149">
        <v>3</v>
      </c>
      <c r="Z198" s="149">
        <v>1</v>
      </c>
      <c r="AA198" s="149" t="s">
        <v>241</v>
      </c>
      <c r="AB198" s="30">
        <v>0</v>
      </c>
      <c r="AC198" s="149" t="str">
        <f t="shared" ref="AC198:AC227" si="33">IF(AA198="H",IF(U198="a/b","a0",IF(U198="b/c","a","c")),IF(AA198="U","c","Scheiss"))</f>
        <v>a0</v>
      </c>
      <c r="AD198" s="15"/>
      <c r="AE198" s="15"/>
      <c r="AF198" s="15"/>
    </row>
    <row r="199" spans="1:32" x14ac:dyDescent="0.2">
      <c r="A199" s="19">
        <v>196</v>
      </c>
      <c r="B199" s="148" t="s">
        <v>8543</v>
      </c>
      <c r="C199" s="148">
        <v>354</v>
      </c>
      <c r="D199" s="150">
        <v>205</v>
      </c>
      <c r="E199" s="150">
        <v>9.4</v>
      </c>
      <c r="F199" s="150">
        <v>16.8</v>
      </c>
      <c r="G199" s="148">
        <v>101</v>
      </c>
      <c r="H199" s="150">
        <v>79</v>
      </c>
      <c r="I199" s="150">
        <v>22600</v>
      </c>
      <c r="J199" s="149">
        <v>1280</v>
      </c>
      <c r="K199" s="150">
        <v>15</v>
      </c>
      <c r="L199" s="149">
        <v>2420</v>
      </c>
      <c r="M199" s="149">
        <v>236</v>
      </c>
      <c r="N199" s="150">
        <v>4.8899999999999997</v>
      </c>
      <c r="O199" s="150">
        <f t="shared" si="29"/>
        <v>41.427200000000006</v>
      </c>
      <c r="P199" s="150">
        <v>23</v>
      </c>
      <c r="Q199" s="149">
        <v>648</v>
      </c>
      <c r="R199" s="149">
        <f t="shared" si="30"/>
        <v>1651.3119533527697</v>
      </c>
      <c r="S199" s="149">
        <f t="shared" si="31"/>
        <v>32.783950617283949</v>
      </c>
      <c r="T199" s="150">
        <v>79</v>
      </c>
      <c r="U199" s="28" t="str">
        <f t="shared" si="32"/>
        <v>a/b</v>
      </c>
      <c r="V199" s="148">
        <v>736</v>
      </c>
      <c r="W199" s="150">
        <v>79</v>
      </c>
      <c r="X199" s="150">
        <v>689</v>
      </c>
      <c r="Y199" s="149">
        <v>3</v>
      </c>
      <c r="Z199" s="149">
        <v>1</v>
      </c>
      <c r="AA199" s="149" t="s">
        <v>241</v>
      </c>
      <c r="AB199" s="30">
        <v>0</v>
      </c>
      <c r="AC199" s="149" t="str">
        <f t="shared" si="33"/>
        <v>a0</v>
      </c>
      <c r="AD199" s="15"/>
      <c r="AE199" s="15"/>
      <c r="AF199" s="15"/>
    </row>
    <row r="200" spans="1:32" x14ac:dyDescent="0.2">
      <c r="A200" s="19">
        <v>197</v>
      </c>
      <c r="B200" s="28" t="s">
        <v>4798</v>
      </c>
      <c r="C200" s="28">
        <v>900</v>
      </c>
      <c r="D200" s="28">
        <v>300</v>
      </c>
      <c r="E200" s="28">
        <v>18.5</v>
      </c>
      <c r="F200" s="28">
        <v>35</v>
      </c>
      <c r="G200" s="28">
        <v>371</v>
      </c>
      <c r="H200" s="28">
        <v>291</v>
      </c>
      <c r="I200" s="28">
        <v>494100</v>
      </c>
      <c r="J200" s="29">
        <v>10980</v>
      </c>
      <c r="K200" s="28">
        <v>36.5</v>
      </c>
      <c r="L200" s="29">
        <v>15820</v>
      </c>
      <c r="M200" s="29">
        <v>1050</v>
      </c>
      <c r="N200" s="28">
        <v>6.53</v>
      </c>
      <c r="O200" s="31">
        <f t="shared" si="29"/>
        <v>188.47499999999999</v>
      </c>
      <c r="P200" s="28">
        <v>30</v>
      </c>
      <c r="Q200" s="29">
        <v>4920</v>
      </c>
      <c r="R200" s="29">
        <f t="shared" si="30"/>
        <v>12833.766233766233</v>
      </c>
      <c r="S200" s="30">
        <f t="shared" si="31"/>
        <v>185.78963414634148</v>
      </c>
      <c r="T200" s="28">
        <v>298</v>
      </c>
      <c r="U200" s="28" t="str">
        <f t="shared" si="32"/>
        <v>a/b</v>
      </c>
      <c r="V200" s="28">
        <v>6290</v>
      </c>
      <c r="W200" s="31">
        <v>1140</v>
      </c>
      <c r="X200" s="31">
        <v>29460</v>
      </c>
      <c r="Y200" s="29">
        <v>1</v>
      </c>
      <c r="Z200" s="29">
        <v>1</v>
      </c>
      <c r="AA200" s="30" t="s">
        <v>241</v>
      </c>
      <c r="AB200" s="30">
        <v>0</v>
      </c>
      <c r="AC200" s="149" t="str">
        <f t="shared" si="33"/>
        <v>a0</v>
      </c>
      <c r="AD200" s="15"/>
      <c r="AE200" s="15"/>
      <c r="AF200" s="15"/>
    </row>
    <row r="201" spans="1:32" x14ac:dyDescent="0.2">
      <c r="A201" s="19">
        <v>198</v>
      </c>
      <c r="B201" s="28" t="s">
        <v>4799</v>
      </c>
      <c r="C201" s="28">
        <v>1000</v>
      </c>
      <c r="D201" s="28">
        <v>300</v>
      </c>
      <c r="E201" s="28">
        <v>19</v>
      </c>
      <c r="F201" s="28">
        <v>36</v>
      </c>
      <c r="G201" s="28">
        <v>400</v>
      </c>
      <c r="H201" s="28">
        <v>314</v>
      </c>
      <c r="I201" s="28">
        <v>644700</v>
      </c>
      <c r="J201" s="29">
        <v>12890</v>
      </c>
      <c r="K201" s="28">
        <v>40.1</v>
      </c>
      <c r="L201" s="29">
        <v>16280</v>
      </c>
      <c r="M201" s="29">
        <v>1090</v>
      </c>
      <c r="N201" s="28">
        <v>6.38</v>
      </c>
      <c r="O201" s="31">
        <f t="shared" si="29"/>
        <v>212.44</v>
      </c>
      <c r="P201" s="28">
        <v>30</v>
      </c>
      <c r="Q201" s="29">
        <v>5640</v>
      </c>
      <c r="R201" s="29">
        <f t="shared" si="30"/>
        <v>14850.230414746544</v>
      </c>
      <c r="S201" s="30">
        <f t="shared" si="31"/>
        <v>217.18617021276594</v>
      </c>
      <c r="T201" s="28">
        <v>322</v>
      </c>
      <c r="U201" s="28" t="str">
        <f t="shared" si="32"/>
        <v>a/b</v>
      </c>
      <c r="V201" s="28">
        <v>7430</v>
      </c>
      <c r="W201" s="31">
        <v>1250</v>
      </c>
      <c r="X201" s="31">
        <v>37640</v>
      </c>
      <c r="Y201" s="29">
        <v>1</v>
      </c>
      <c r="Z201" s="29">
        <v>1</v>
      </c>
      <c r="AA201" s="30" t="s">
        <v>241</v>
      </c>
      <c r="AB201" s="30">
        <v>0</v>
      </c>
      <c r="AC201" s="149" t="str">
        <f t="shared" si="33"/>
        <v>a0</v>
      </c>
      <c r="AD201" s="15"/>
      <c r="AE201" s="15"/>
      <c r="AF201" s="15"/>
    </row>
    <row r="202" spans="1:32" x14ac:dyDescent="0.2">
      <c r="A202" s="19">
        <v>199</v>
      </c>
      <c r="B202" s="32" t="s">
        <v>5834</v>
      </c>
      <c r="C202" s="28">
        <v>910</v>
      </c>
      <c r="D202" s="28">
        <v>302</v>
      </c>
      <c r="E202" s="28">
        <v>21</v>
      </c>
      <c r="F202" s="28">
        <v>40</v>
      </c>
      <c r="G202" s="28">
        <v>424</v>
      </c>
      <c r="H202" s="28">
        <v>333</v>
      </c>
      <c r="I202" s="28">
        <v>570400</v>
      </c>
      <c r="J202" s="29">
        <v>12540</v>
      </c>
      <c r="K202" s="28">
        <v>36.700000000000003</v>
      </c>
      <c r="L202" s="29">
        <v>18450</v>
      </c>
      <c r="M202" s="29">
        <v>1220</v>
      </c>
      <c r="N202" s="28">
        <v>6.6</v>
      </c>
      <c r="O202" s="31">
        <f t="shared" si="29"/>
        <v>214.8</v>
      </c>
      <c r="P202" s="28">
        <v>30</v>
      </c>
      <c r="Q202" s="29">
        <v>5660</v>
      </c>
      <c r="R202" s="29">
        <f t="shared" si="30"/>
        <v>14820</v>
      </c>
      <c r="S202" s="30">
        <f t="shared" si="31"/>
        <v>211.63250883392226</v>
      </c>
      <c r="T202" s="28">
        <v>341</v>
      </c>
      <c r="U202" s="28" t="str">
        <f t="shared" si="32"/>
        <v>a/b</v>
      </c>
      <c r="V202" s="28">
        <v>7220</v>
      </c>
      <c r="W202" s="31">
        <v>1670</v>
      </c>
      <c r="X202" s="31">
        <v>34750</v>
      </c>
      <c r="Y202" s="29">
        <v>3</v>
      </c>
      <c r="Z202" s="29">
        <v>1</v>
      </c>
      <c r="AA202" s="30" t="s">
        <v>241</v>
      </c>
      <c r="AB202" s="30">
        <v>0</v>
      </c>
      <c r="AC202" s="149" t="str">
        <f t="shared" si="33"/>
        <v>a0</v>
      </c>
      <c r="AD202" s="15"/>
      <c r="AE202" s="15"/>
      <c r="AF202" s="15"/>
    </row>
    <row r="203" spans="1:32" x14ac:dyDescent="0.2">
      <c r="A203" s="19">
        <v>200</v>
      </c>
      <c r="B203" s="32" t="s">
        <v>5835</v>
      </c>
      <c r="C203" s="28">
        <v>1008</v>
      </c>
      <c r="D203" s="28">
        <v>302</v>
      </c>
      <c r="E203" s="28">
        <v>21</v>
      </c>
      <c r="F203" s="28">
        <v>40</v>
      </c>
      <c r="G203" s="28">
        <v>444</v>
      </c>
      <c r="H203" s="28">
        <v>349</v>
      </c>
      <c r="I203" s="28">
        <v>722300</v>
      </c>
      <c r="J203" s="29">
        <v>14330</v>
      </c>
      <c r="K203" s="28">
        <v>40.299999999999997</v>
      </c>
      <c r="L203" s="29">
        <v>18460</v>
      </c>
      <c r="M203" s="29">
        <v>1220</v>
      </c>
      <c r="N203" s="28">
        <v>6.45</v>
      </c>
      <c r="O203" s="31">
        <f t="shared" si="29"/>
        <v>234.8</v>
      </c>
      <c r="P203" s="28">
        <v>30</v>
      </c>
      <c r="Q203" s="29">
        <v>6310</v>
      </c>
      <c r="R203" s="29">
        <f t="shared" si="30"/>
        <v>16641.290322580644</v>
      </c>
      <c r="S203" s="30">
        <f t="shared" si="31"/>
        <v>240.38510301109349</v>
      </c>
      <c r="T203" s="28">
        <v>358</v>
      </c>
      <c r="U203" s="28" t="str">
        <f t="shared" si="32"/>
        <v>a/b</v>
      </c>
      <c r="V203" s="28">
        <v>8280</v>
      </c>
      <c r="W203" s="31">
        <v>1700</v>
      </c>
      <c r="X203" s="31">
        <v>43020</v>
      </c>
      <c r="Y203" s="29">
        <v>3</v>
      </c>
      <c r="Z203" s="29">
        <v>1</v>
      </c>
      <c r="AA203" s="30" t="s">
        <v>241</v>
      </c>
      <c r="AB203" s="30">
        <v>0</v>
      </c>
      <c r="AC203" s="149" t="str">
        <f t="shared" si="33"/>
        <v>a0</v>
      </c>
      <c r="AD203" s="15"/>
      <c r="AE203" s="15"/>
      <c r="AF203" s="15"/>
    </row>
    <row r="204" spans="1:32" x14ac:dyDescent="0.2">
      <c r="A204" s="19">
        <v>201</v>
      </c>
      <c r="B204" s="148" t="s">
        <v>8525</v>
      </c>
      <c r="C204" s="28">
        <v>554</v>
      </c>
      <c r="D204" s="31">
        <v>316</v>
      </c>
      <c r="E204" s="31">
        <v>16.5</v>
      </c>
      <c r="F204" s="31">
        <v>26.3</v>
      </c>
      <c r="G204" s="28">
        <v>254</v>
      </c>
      <c r="H204" s="31">
        <v>196</v>
      </c>
      <c r="I204" s="31">
        <v>134000</v>
      </c>
      <c r="J204" s="29">
        <v>4840</v>
      </c>
      <c r="K204" s="31">
        <v>23.1</v>
      </c>
      <c r="L204" s="29">
        <v>13900</v>
      </c>
      <c r="M204" s="29">
        <v>877</v>
      </c>
      <c r="N204" s="31">
        <v>7.44</v>
      </c>
      <c r="O204" s="31">
        <f t="shared" si="29"/>
        <v>105.27349999999998</v>
      </c>
      <c r="P204" s="31">
        <v>25</v>
      </c>
      <c r="Q204" s="29">
        <v>2357</v>
      </c>
      <c r="R204" s="29">
        <f t="shared" si="30"/>
        <v>5940.0974745237045</v>
      </c>
      <c r="S204" s="29">
        <f t="shared" si="31"/>
        <v>93.805685193042009</v>
      </c>
      <c r="T204" s="28">
        <v>196</v>
      </c>
      <c r="U204" s="28" t="str">
        <f t="shared" si="32"/>
        <v>a/b</v>
      </c>
      <c r="V204" s="28">
        <v>2777</v>
      </c>
      <c r="W204" s="31">
        <v>470</v>
      </c>
      <c r="X204" s="31">
        <v>9640</v>
      </c>
      <c r="Y204" s="29">
        <v>3</v>
      </c>
      <c r="Z204" s="29">
        <v>1</v>
      </c>
      <c r="AA204" s="149" t="s">
        <v>241</v>
      </c>
      <c r="AB204" s="30">
        <v>0</v>
      </c>
      <c r="AC204" s="149" t="str">
        <f t="shared" si="33"/>
        <v>a0</v>
      </c>
      <c r="AD204" s="15"/>
      <c r="AE204" s="15"/>
      <c r="AF204" s="15"/>
    </row>
    <row r="205" spans="1:32" x14ac:dyDescent="0.2">
      <c r="A205" s="19">
        <v>202</v>
      </c>
      <c r="B205" s="148" t="s">
        <v>8528</v>
      </c>
      <c r="C205" s="28">
        <v>551</v>
      </c>
      <c r="D205" s="31">
        <v>315</v>
      </c>
      <c r="E205" s="31">
        <v>15.2</v>
      </c>
      <c r="F205" s="31">
        <v>24.4</v>
      </c>
      <c r="G205" s="28">
        <v>231</v>
      </c>
      <c r="H205" s="31">
        <v>182</v>
      </c>
      <c r="I205" s="31">
        <v>124000</v>
      </c>
      <c r="J205" s="29">
        <v>4480</v>
      </c>
      <c r="K205" s="31">
        <v>23.1</v>
      </c>
      <c r="L205" s="29">
        <v>12700</v>
      </c>
      <c r="M205" s="29">
        <v>808</v>
      </c>
      <c r="N205" s="31">
        <v>7.42</v>
      </c>
      <c r="O205" s="31">
        <f t="shared" si="29"/>
        <v>92.700800000000001</v>
      </c>
      <c r="P205" s="31">
        <v>24</v>
      </c>
      <c r="Q205" s="29">
        <v>2172</v>
      </c>
      <c r="R205" s="29">
        <f t="shared" si="30"/>
        <v>5434.7864376926464</v>
      </c>
      <c r="S205" s="29">
        <f t="shared" si="31"/>
        <v>86.777163904235721</v>
      </c>
      <c r="T205" s="28">
        <v>182</v>
      </c>
      <c r="U205" s="28" t="str">
        <f t="shared" si="32"/>
        <v>a/b</v>
      </c>
      <c r="V205" s="28">
        <v>2564</v>
      </c>
      <c r="W205" s="31">
        <v>374</v>
      </c>
      <c r="X205" s="31">
        <v>8820</v>
      </c>
      <c r="Y205" s="29">
        <v>3</v>
      </c>
      <c r="Z205" s="29">
        <v>1</v>
      </c>
      <c r="AA205" s="149" t="s">
        <v>241</v>
      </c>
      <c r="AB205" s="30">
        <v>0</v>
      </c>
      <c r="AC205" s="149" t="str">
        <f t="shared" si="33"/>
        <v>a0</v>
      </c>
      <c r="AD205" s="15"/>
      <c r="AE205" s="15"/>
      <c r="AF205" s="15"/>
    </row>
    <row r="206" spans="1:32" x14ac:dyDescent="0.2">
      <c r="A206" s="19">
        <v>203</v>
      </c>
      <c r="B206" s="148" t="s">
        <v>8529</v>
      </c>
      <c r="C206" s="28">
        <v>482</v>
      </c>
      <c r="D206" s="31">
        <v>286</v>
      </c>
      <c r="E206" s="31">
        <v>16.600000000000001</v>
      </c>
      <c r="F206" s="31">
        <v>26.9</v>
      </c>
      <c r="G206" s="28">
        <v>226</v>
      </c>
      <c r="H206" s="31">
        <v>177</v>
      </c>
      <c r="I206" s="31">
        <v>91000</v>
      </c>
      <c r="J206" s="29">
        <v>3780</v>
      </c>
      <c r="K206" s="31">
        <v>20.100000000000001</v>
      </c>
      <c r="L206" s="29">
        <v>10500</v>
      </c>
      <c r="M206" s="29">
        <v>735</v>
      </c>
      <c r="N206" s="31">
        <v>6.82</v>
      </c>
      <c r="O206" s="31">
        <f t="shared" si="29"/>
        <v>90.585400000000007</v>
      </c>
      <c r="P206" s="31">
        <v>26</v>
      </c>
      <c r="Q206" s="29">
        <v>1898</v>
      </c>
      <c r="R206" s="29">
        <f t="shared" si="30"/>
        <v>4843.0622009569379</v>
      </c>
      <c r="S206" s="29">
        <f t="shared" si="31"/>
        <v>79.589041095890423</v>
      </c>
      <c r="T206" s="28">
        <v>177</v>
      </c>
      <c r="U206" s="28" t="str">
        <f t="shared" si="32"/>
        <v>a/b</v>
      </c>
      <c r="V206" s="28">
        <v>2191</v>
      </c>
      <c r="W206" s="31">
        <v>440</v>
      </c>
      <c r="X206" s="31">
        <v>5440</v>
      </c>
      <c r="Y206" s="29">
        <v>3</v>
      </c>
      <c r="Z206" s="29">
        <v>1</v>
      </c>
      <c r="AA206" s="149" t="s">
        <v>241</v>
      </c>
      <c r="AB206" s="30">
        <v>0</v>
      </c>
      <c r="AC206" s="149" t="str">
        <f t="shared" si="33"/>
        <v>a0</v>
      </c>
      <c r="AD206" s="15"/>
      <c r="AE206" s="15"/>
      <c r="AF206" s="15"/>
    </row>
    <row r="207" spans="1:32" x14ac:dyDescent="0.2">
      <c r="A207" s="19">
        <v>204</v>
      </c>
      <c r="B207" s="148" t="s">
        <v>8530</v>
      </c>
      <c r="C207" s="28">
        <v>476</v>
      </c>
      <c r="D207" s="31">
        <v>284</v>
      </c>
      <c r="E207" s="31">
        <v>15</v>
      </c>
      <c r="F207" s="31">
        <v>23.9</v>
      </c>
      <c r="G207" s="28">
        <v>201</v>
      </c>
      <c r="H207" s="31">
        <v>158</v>
      </c>
      <c r="I207" s="31">
        <v>79600</v>
      </c>
      <c r="J207" s="29">
        <v>3350</v>
      </c>
      <c r="K207" s="31">
        <v>19.899999999999999</v>
      </c>
      <c r="L207" s="29">
        <v>9140</v>
      </c>
      <c r="M207" s="29">
        <v>643</v>
      </c>
      <c r="N207" s="31">
        <v>6.74</v>
      </c>
      <c r="O207" s="31">
        <f t="shared" si="29"/>
        <v>81.261000000000024</v>
      </c>
      <c r="P207" s="31">
        <v>26</v>
      </c>
      <c r="Q207" s="29">
        <v>1673</v>
      </c>
      <c r="R207" s="29">
        <f t="shared" si="30"/>
        <v>4238.7028176501863</v>
      </c>
      <c r="S207" s="29">
        <f t="shared" si="31"/>
        <v>71.368798565451286</v>
      </c>
      <c r="T207" s="28">
        <v>158</v>
      </c>
      <c r="U207" s="28" t="str">
        <f t="shared" si="32"/>
        <v>a/b</v>
      </c>
      <c r="V207" s="28">
        <v>1938</v>
      </c>
      <c r="W207" s="31">
        <v>311</v>
      </c>
      <c r="X207" s="31">
        <v>4670</v>
      </c>
      <c r="Y207" s="29">
        <v>3</v>
      </c>
      <c r="Z207" s="29">
        <v>1</v>
      </c>
      <c r="AA207" s="149" t="s">
        <v>241</v>
      </c>
      <c r="AB207" s="30">
        <v>0</v>
      </c>
      <c r="AC207" s="149" t="str">
        <f t="shared" si="33"/>
        <v>a0</v>
      </c>
      <c r="AD207" s="15"/>
      <c r="AE207" s="15"/>
      <c r="AF207" s="15"/>
    </row>
    <row r="208" spans="1:32" x14ac:dyDescent="0.2">
      <c r="A208" s="19">
        <v>205</v>
      </c>
      <c r="B208" s="148" t="s">
        <v>8526</v>
      </c>
      <c r="C208" s="148">
        <v>431</v>
      </c>
      <c r="D208" s="150">
        <v>265</v>
      </c>
      <c r="E208" s="150">
        <v>14.9</v>
      </c>
      <c r="F208" s="150">
        <v>25</v>
      </c>
      <c r="G208" s="148">
        <v>190</v>
      </c>
      <c r="H208" s="150">
        <v>149</v>
      </c>
      <c r="I208" s="150">
        <v>61900</v>
      </c>
      <c r="J208" s="149">
        <v>2870</v>
      </c>
      <c r="K208" s="150">
        <v>18</v>
      </c>
      <c r="L208" s="149">
        <v>7770</v>
      </c>
      <c r="M208" s="149">
        <v>586</v>
      </c>
      <c r="N208" s="150">
        <v>6.39</v>
      </c>
      <c r="O208" s="150">
        <f t="shared" si="29"/>
        <v>72.724999999999994</v>
      </c>
      <c r="P208" s="150">
        <v>23</v>
      </c>
      <c r="Q208" s="149">
        <v>1448</v>
      </c>
      <c r="R208" s="149">
        <f t="shared" si="30"/>
        <v>3692.4477611940297</v>
      </c>
      <c r="S208" s="149">
        <f t="shared" si="31"/>
        <v>63.695441988950279</v>
      </c>
      <c r="T208" s="148">
        <v>149</v>
      </c>
      <c r="U208" s="28" t="str">
        <f t="shared" si="32"/>
        <v>a/b</v>
      </c>
      <c r="V208" s="148">
        <v>1657</v>
      </c>
      <c r="W208" s="150">
        <v>322</v>
      </c>
      <c r="X208" s="150">
        <v>3200</v>
      </c>
      <c r="Y208" s="149">
        <v>3</v>
      </c>
      <c r="Z208" s="149">
        <v>1</v>
      </c>
      <c r="AA208" s="149" t="s">
        <v>241</v>
      </c>
      <c r="AB208" s="30">
        <v>0</v>
      </c>
      <c r="AC208" s="149" t="str">
        <f t="shared" si="33"/>
        <v>a0</v>
      </c>
      <c r="AD208" s="15"/>
      <c r="AE208" s="15"/>
      <c r="AF208" s="15"/>
    </row>
    <row r="209" spans="1:32" x14ac:dyDescent="0.2">
      <c r="A209" s="19">
        <v>206</v>
      </c>
      <c r="B209" s="148" t="s">
        <v>8531</v>
      </c>
      <c r="C209" s="28">
        <v>360</v>
      </c>
      <c r="D209" s="31">
        <v>370</v>
      </c>
      <c r="E209" s="31">
        <v>12.3</v>
      </c>
      <c r="F209" s="31">
        <v>19.8</v>
      </c>
      <c r="G209" s="28">
        <v>188</v>
      </c>
      <c r="H209" s="31">
        <v>147</v>
      </c>
      <c r="I209" s="31">
        <v>46300</v>
      </c>
      <c r="J209" s="29">
        <v>2570</v>
      </c>
      <c r="K209" s="31">
        <v>15.7</v>
      </c>
      <c r="L209" s="29">
        <v>16700</v>
      </c>
      <c r="M209" s="29">
        <v>904</v>
      </c>
      <c r="N209" s="31">
        <v>9.43</v>
      </c>
      <c r="O209" s="31">
        <f t="shared" si="29"/>
        <v>54.21139999999999</v>
      </c>
      <c r="P209" s="31">
        <v>26</v>
      </c>
      <c r="Q209" s="29">
        <v>1338</v>
      </c>
      <c r="R209" s="29">
        <f t="shared" si="30"/>
        <v>3447.0938897168407</v>
      </c>
      <c r="S209" s="29">
        <f t="shared" si="31"/>
        <v>42.562780269058294</v>
      </c>
      <c r="T209" s="28">
        <v>147</v>
      </c>
      <c r="U209" s="28" t="str">
        <f t="shared" si="32"/>
        <v>b/c</v>
      </c>
      <c r="V209" s="28">
        <v>1449</v>
      </c>
      <c r="W209" s="31">
        <v>223</v>
      </c>
      <c r="X209" s="31">
        <v>4840</v>
      </c>
      <c r="Y209" s="29">
        <v>3</v>
      </c>
      <c r="Z209" s="29">
        <v>1</v>
      </c>
      <c r="AA209" s="149" t="s">
        <v>241</v>
      </c>
      <c r="AB209" s="30">
        <v>0</v>
      </c>
      <c r="AC209" s="149" t="str">
        <f t="shared" si="33"/>
        <v>a</v>
      </c>
      <c r="AD209" s="15"/>
      <c r="AE209" s="15"/>
      <c r="AF209" s="15"/>
    </row>
    <row r="210" spans="1:32" x14ac:dyDescent="0.2">
      <c r="A210" s="19">
        <v>207</v>
      </c>
      <c r="B210" s="32" t="s">
        <v>8527</v>
      </c>
      <c r="C210" s="28">
        <v>356</v>
      </c>
      <c r="D210" s="31">
        <v>369</v>
      </c>
      <c r="E210" s="31">
        <v>11.2</v>
      </c>
      <c r="F210" s="31">
        <v>18</v>
      </c>
      <c r="G210" s="28">
        <v>171</v>
      </c>
      <c r="H210" s="31">
        <v>134</v>
      </c>
      <c r="I210" s="31">
        <v>41500</v>
      </c>
      <c r="J210" s="29">
        <v>2330</v>
      </c>
      <c r="K210" s="31">
        <v>15.8</v>
      </c>
      <c r="L210" s="29">
        <v>15100</v>
      </c>
      <c r="M210" s="29">
        <v>818</v>
      </c>
      <c r="N210" s="31">
        <v>9.4</v>
      </c>
      <c r="O210" s="31">
        <f t="shared" si="29"/>
        <v>49.536000000000001</v>
      </c>
      <c r="P210" s="31">
        <v>26</v>
      </c>
      <c r="Q210" s="29">
        <v>1210</v>
      </c>
      <c r="R210" s="29">
        <f t="shared" si="30"/>
        <v>3095.0746268656717</v>
      </c>
      <c r="S210" s="29">
        <f t="shared" si="31"/>
        <v>38.413223140495866</v>
      </c>
      <c r="T210" s="28">
        <v>134</v>
      </c>
      <c r="U210" s="28" t="str">
        <f t="shared" si="32"/>
        <v>b/c</v>
      </c>
      <c r="V210" s="28">
        <v>1310</v>
      </c>
      <c r="W210" s="31">
        <v>168</v>
      </c>
      <c r="X210" s="31">
        <v>4310</v>
      </c>
      <c r="Y210" s="29">
        <v>3</v>
      </c>
      <c r="Z210" s="29">
        <v>1</v>
      </c>
      <c r="AA210" s="30" t="s">
        <v>241</v>
      </c>
      <c r="AB210" s="30">
        <v>0</v>
      </c>
      <c r="AC210" s="149" t="str">
        <f t="shared" si="33"/>
        <v>a</v>
      </c>
      <c r="AD210" s="15"/>
      <c r="AE210" s="15"/>
      <c r="AF210" s="15"/>
    </row>
    <row r="211" spans="1:32" x14ac:dyDescent="0.2">
      <c r="A211" s="19">
        <v>208</v>
      </c>
      <c r="B211" s="32" t="s">
        <v>8532</v>
      </c>
      <c r="C211" s="28">
        <v>363</v>
      </c>
      <c r="D211" s="31">
        <v>257</v>
      </c>
      <c r="E211" s="31">
        <v>13</v>
      </c>
      <c r="F211" s="31">
        <v>21.7</v>
      </c>
      <c r="G211" s="28">
        <v>155</v>
      </c>
      <c r="H211" s="31">
        <v>122</v>
      </c>
      <c r="I211" s="31">
        <v>36500</v>
      </c>
      <c r="J211" s="29">
        <v>2010</v>
      </c>
      <c r="K211" s="31">
        <v>15.4</v>
      </c>
      <c r="L211" s="29">
        <v>6150</v>
      </c>
      <c r="M211" s="29">
        <v>478</v>
      </c>
      <c r="N211" s="31">
        <v>6.3</v>
      </c>
      <c r="O211" s="31">
        <f t="shared" si="29"/>
        <v>56.699000000000005</v>
      </c>
      <c r="P211" s="31">
        <v>24</v>
      </c>
      <c r="Q211" s="29">
        <v>1036</v>
      </c>
      <c r="R211" s="29">
        <f t="shared" si="30"/>
        <v>2686.4138438880705</v>
      </c>
      <c r="S211" s="29">
        <f t="shared" si="31"/>
        <v>45.801158301158303</v>
      </c>
      <c r="T211" s="28">
        <v>122</v>
      </c>
      <c r="U211" s="28" t="str">
        <f t="shared" si="32"/>
        <v>a/b</v>
      </c>
      <c r="V211" s="28">
        <v>1156</v>
      </c>
      <c r="W211" s="31">
        <v>211</v>
      </c>
      <c r="X211" s="31">
        <v>1970</v>
      </c>
      <c r="Y211" s="29">
        <v>3</v>
      </c>
      <c r="Z211" s="29">
        <v>1</v>
      </c>
      <c r="AA211" s="30" t="s">
        <v>241</v>
      </c>
      <c r="AB211" s="30">
        <v>0</v>
      </c>
      <c r="AC211" s="149" t="str">
        <f t="shared" si="33"/>
        <v>a0</v>
      </c>
      <c r="AD211" s="15"/>
      <c r="AE211" s="15"/>
      <c r="AF211" s="15"/>
    </row>
    <row r="212" spans="1:32" x14ac:dyDescent="0.2">
      <c r="A212" s="19">
        <v>209</v>
      </c>
      <c r="B212" s="148" t="s">
        <v>8533</v>
      </c>
      <c r="C212" s="148">
        <v>357</v>
      </c>
      <c r="D212" s="150">
        <v>255</v>
      </c>
      <c r="E212" s="150">
        <v>10.5</v>
      </c>
      <c r="F212" s="150">
        <v>18.3</v>
      </c>
      <c r="G212" s="148">
        <v>129</v>
      </c>
      <c r="H212" s="150">
        <v>101</v>
      </c>
      <c r="I212" s="150">
        <v>30100</v>
      </c>
      <c r="J212" s="149">
        <v>1690</v>
      </c>
      <c r="K212" s="150">
        <v>15.3</v>
      </c>
      <c r="L212" s="149">
        <v>5060</v>
      </c>
      <c r="M212" s="149">
        <v>397</v>
      </c>
      <c r="N212" s="150">
        <v>6.23</v>
      </c>
      <c r="O212" s="150">
        <f t="shared" si="29"/>
        <v>46.009500000000003</v>
      </c>
      <c r="P212" s="150">
        <v>23</v>
      </c>
      <c r="Q212" s="149">
        <v>861</v>
      </c>
      <c r="R212" s="149">
        <f t="shared" si="30"/>
        <v>2198.7244897959185</v>
      </c>
      <c r="S212" s="149">
        <f t="shared" si="31"/>
        <v>36.707317073170728</v>
      </c>
      <c r="T212" s="148">
        <v>101</v>
      </c>
      <c r="U212" s="28" t="str">
        <f t="shared" si="32"/>
        <v>a/b</v>
      </c>
      <c r="V212" s="148">
        <v>960</v>
      </c>
      <c r="W212" s="150">
        <v>125</v>
      </c>
      <c r="X212" s="150">
        <v>1450</v>
      </c>
      <c r="Y212" s="149">
        <v>3</v>
      </c>
      <c r="Z212" s="149">
        <v>1</v>
      </c>
      <c r="AA212" s="149" t="s">
        <v>241</v>
      </c>
      <c r="AB212" s="30">
        <v>0</v>
      </c>
      <c r="AC212" s="149" t="str">
        <f t="shared" si="33"/>
        <v>a0</v>
      </c>
      <c r="AD212" s="15"/>
      <c r="AE212" s="15"/>
      <c r="AF212" s="15"/>
    </row>
    <row r="213" spans="1:32" x14ac:dyDescent="0.2">
      <c r="A213" s="19">
        <v>210</v>
      </c>
      <c r="B213" s="32" t="s">
        <v>8534</v>
      </c>
      <c r="C213" s="28">
        <v>310</v>
      </c>
      <c r="D213" s="31">
        <v>254</v>
      </c>
      <c r="E213" s="31">
        <v>9.1</v>
      </c>
      <c r="F213" s="31">
        <v>16.3</v>
      </c>
      <c r="G213" s="28">
        <v>110</v>
      </c>
      <c r="H213" s="31">
        <v>86</v>
      </c>
      <c r="I213" s="31">
        <v>19800</v>
      </c>
      <c r="J213" s="29">
        <v>1280</v>
      </c>
      <c r="K213" s="31">
        <v>13.4</v>
      </c>
      <c r="L213" s="29">
        <v>3990</v>
      </c>
      <c r="M213" s="29">
        <v>351</v>
      </c>
      <c r="N213" s="31">
        <v>6.36</v>
      </c>
      <c r="O213" s="31">
        <f t="shared" si="29"/>
        <v>35.199300000000001</v>
      </c>
      <c r="P213" s="31">
        <v>20</v>
      </c>
      <c r="Q213" s="29">
        <v>654</v>
      </c>
      <c r="R213" s="29">
        <f t="shared" si="30"/>
        <v>1671.4406065711878</v>
      </c>
      <c r="S213" s="29">
        <f t="shared" si="31"/>
        <v>27.550458715596328</v>
      </c>
      <c r="T213" s="28">
        <v>86</v>
      </c>
      <c r="U213" s="28" t="str">
        <f t="shared" si="32"/>
        <v>a/b</v>
      </c>
      <c r="V213" s="28">
        <v>718</v>
      </c>
      <c r="W213" s="31">
        <v>87.4</v>
      </c>
      <c r="X213" s="31">
        <v>961</v>
      </c>
      <c r="Y213" s="29">
        <v>3</v>
      </c>
      <c r="Z213" s="29">
        <v>1</v>
      </c>
      <c r="AA213" s="30" t="s">
        <v>241</v>
      </c>
      <c r="AB213" s="30">
        <v>0</v>
      </c>
      <c r="AC213" s="149" t="str">
        <f t="shared" si="33"/>
        <v>a0</v>
      </c>
      <c r="AD213" s="15"/>
      <c r="AE213" s="15"/>
      <c r="AF213" s="15"/>
    </row>
    <row r="214" spans="1:32" x14ac:dyDescent="0.2">
      <c r="A214" s="19">
        <v>211</v>
      </c>
      <c r="B214" s="32" t="s">
        <v>8535</v>
      </c>
      <c r="C214" s="28">
        <v>256</v>
      </c>
      <c r="D214" s="31">
        <v>255</v>
      </c>
      <c r="E214" s="31">
        <v>9.4</v>
      </c>
      <c r="F214" s="31">
        <v>15.6</v>
      </c>
      <c r="G214" s="28">
        <v>102</v>
      </c>
      <c r="H214" s="31">
        <v>80</v>
      </c>
      <c r="I214" s="31">
        <v>12600</v>
      </c>
      <c r="J214" s="29">
        <v>982</v>
      </c>
      <c r="K214" s="31">
        <v>11.1</v>
      </c>
      <c r="L214" s="29">
        <v>4310</v>
      </c>
      <c r="M214" s="29">
        <v>338</v>
      </c>
      <c r="N214" s="31">
        <v>6.5</v>
      </c>
      <c r="O214" s="31">
        <f t="shared" si="29"/>
        <v>30.458399999999997</v>
      </c>
      <c r="P214" s="31">
        <v>21</v>
      </c>
      <c r="Q214" s="29">
        <v>519</v>
      </c>
      <c r="R214" s="29">
        <f t="shared" si="30"/>
        <v>1375.2297592997811</v>
      </c>
      <c r="S214" s="29">
        <f t="shared" si="31"/>
        <v>22.820809248554916</v>
      </c>
      <c r="T214" s="28">
        <v>80</v>
      </c>
      <c r="U214" s="28" t="str">
        <f t="shared" si="32"/>
        <v>b/c</v>
      </c>
      <c r="V214" s="28">
        <v>558</v>
      </c>
      <c r="W214" s="31">
        <v>75.7</v>
      </c>
      <c r="X214" s="31">
        <v>623</v>
      </c>
      <c r="Y214" s="29">
        <v>3</v>
      </c>
      <c r="Z214" s="29">
        <v>1</v>
      </c>
      <c r="AA214" s="30" t="s">
        <v>241</v>
      </c>
      <c r="AB214" s="30">
        <v>0</v>
      </c>
      <c r="AC214" s="149" t="str">
        <f t="shared" si="33"/>
        <v>a</v>
      </c>
      <c r="AD214" s="15"/>
      <c r="AE214" s="15"/>
      <c r="AF214" s="15"/>
    </row>
    <row r="215" spans="1:32" x14ac:dyDescent="0.2">
      <c r="A215" s="19">
        <v>212</v>
      </c>
      <c r="B215" s="32" t="s">
        <v>8536</v>
      </c>
      <c r="C215" s="28">
        <v>253</v>
      </c>
      <c r="D215" s="31">
        <v>254</v>
      </c>
      <c r="E215" s="31">
        <v>8.6</v>
      </c>
      <c r="F215" s="31">
        <v>14.2</v>
      </c>
      <c r="G215" s="28">
        <v>92.8</v>
      </c>
      <c r="H215" s="31">
        <v>73</v>
      </c>
      <c r="I215" s="31">
        <v>11300</v>
      </c>
      <c r="J215" s="29">
        <v>891</v>
      </c>
      <c r="K215" s="31">
        <v>11</v>
      </c>
      <c r="L215" s="29">
        <v>3880</v>
      </c>
      <c r="M215" s="29">
        <v>306</v>
      </c>
      <c r="N215" s="31">
        <v>6.46</v>
      </c>
      <c r="O215" s="31">
        <f t="shared" si="29"/>
        <v>27.565200000000001</v>
      </c>
      <c r="P215" s="31">
        <v>20</v>
      </c>
      <c r="Q215" s="29">
        <v>467</v>
      </c>
      <c r="R215" s="29">
        <f t="shared" si="30"/>
        <v>1221.1430119176598</v>
      </c>
      <c r="S215" s="29">
        <f t="shared" si="31"/>
        <v>20.809421841541756</v>
      </c>
      <c r="T215" s="28">
        <v>73</v>
      </c>
      <c r="U215" s="28" t="str">
        <f t="shared" si="32"/>
        <v>b/c</v>
      </c>
      <c r="V215" s="28">
        <v>503</v>
      </c>
      <c r="W215" s="31">
        <v>57.5</v>
      </c>
      <c r="X215" s="31">
        <v>553</v>
      </c>
      <c r="Y215" s="29">
        <v>3</v>
      </c>
      <c r="Z215" s="29">
        <v>1</v>
      </c>
      <c r="AA215" s="30" t="s">
        <v>241</v>
      </c>
      <c r="AB215" s="30">
        <v>0</v>
      </c>
      <c r="AC215" s="149" t="str">
        <f t="shared" si="33"/>
        <v>a</v>
      </c>
      <c r="AD215" s="15"/>
      <c r="AE215" s="15"/>
      <c r="AF215" s="15"/>
    </row>
    <row r="216" spans="1:32" x14ac:dyDescent="0.2">
      <c r="A216" s="19">
        <v>213</v>
      </c>
      <c r="B216" s="32" t="s">
        <v>8537</v>
      </c>
      <c r="C216" s="28">
        <v>252</v>
      </c>
      <c r="D216" s="31">
        <v>203</v>
      </c>
      <c r="E216" s="31">
        <v>8</v>
      </c>
      <c r="F216" s="31">
        <v>13.5</v>
      </c>
      <c r="G216" s="28">
        <v>74.2</v>
      </c>
      <c r="H216" s="31">
        <v>58</v>
      </c>
      <c r="I216" s="31">
        <v>87830</v>
      </c>
      <c r="J216" s="29">
        <v>693</v>
      </c>
      <c r="K216" s="31">
        <v>10.8</v>
      </c>
      <c r="L216" s="29">
        <v>1880</v>
      </c>
      <c r="M216" s="29">
        <v>186</v>
      </c>
      <c r="N216" s="31">
        <v>5.04</v>
      </c>
      <c r="O216" s="31">
        <f t="shared" si="29"/>
        <v>25.87</v>
      </c>
      <c r="P216" s="31">
        <v>20</v>
      </c>
      <c r="Q216" s="29">
        <v>362</v>
      </c>
      <c r="R216" s="29">
        <f t="shared" si="30"/>
        <v>943.97837837837835</v>
      </c>
      <c r="S216" s="29">
        <f t="shared" si="31"/>
        <v>194.09944751381215</v>
      </c>
      <c r="T216" s="28">
        <v>58</v>
      </c>
      <c r="U216" s="28" t="str">
        <f t="shared" si="32"/>
        <v>a/b</v>
      </c>
      <c r="V216" s="28">
        <v>396</v>
      </c>
      <c r="W216" s="31">
        <v>40.9</v>
      </c>
      <c r="X216" s="31">
        <v>268</v>
      </c>
      <c r="Y216" s="29">
        <v>3</v>
      </c>
      <c r="Z216" s="29">
        <v>1</v>
      </c>
      <c r="AA216" s="30" t="s">
        <v>241</v>
      </c>
      <c r="AB216" s="30">
        <v>0</v>
      </c>
      <c r="AC216" s="149" t="str">
        <f t="shared" si="33"/>
        <v>a0</v>
      </c>
      <c r="AD216" s="15"/>
      <c r="AE216" s="15"/>
      <c r="AF216" s="15"/>
    </row>
    <row r="217" spans="1:32" x14ac:dyDescent="0.2">
      <c r="A217" s="19">
        <v>214</v>
      </c>
      <c r="B217" s="32" t="s">
        <v>8538</v>
      </c>
      <c r="C217" s="28">
        <v>206</v>
      </c>
      <c r="D217" s="31">
        <v>204</v>
      </c>
      <c r="E217" s="31">
        <v>7.9</v>
      </c>
      <c r="F217" s="31">
        <v>12.6</v>
      </c>
      <c r="G217" s="28">
        <v>66.2</v>
      </c>
      <c r="H217" s="31">
        <v>52</v>
      </c>
      <c r="I217" s="31">
        <v>5250</v>
      </c>
      <c r="J217" s="29">
        <v>509</v>
      </c>
      <c r="K217" s="31">
        <v>8.9</v>
      </c>
      <c r="L217" s="29">
        <v>1780</v>
      </c>
      <c r="M217" s="29">
        <v>178</v>
      </c>
      <c r="N217" s="31">
        <v>5.19</v>
      </c>
      <c r="O217" s="31">
        <f t="shared" si="29"/>
        <v>19.3154</v>
      </c>
      <c r="P217" s="31">
        <v>14</v>
      </c>
      <c r="Q217" s="29">
        <v>265</v>
      </c>
      <c r="R217" s="29">
        <f t="shared" si="30"/>
        <v>686.21727748691092</v>
      </c>
      <c r="S217" s="29">
        <f t="shared" si="31"/>
        <v>15.650943396226415</v>
      </c>
      <c r="T217" s="28">
        <v>52</v>
      </c>
      <c r="U217" s="28" t="str">
        <f t="shared" si="32"/>
        <v>b/c</v>
      </c>
      <c r="V217" s="28">
        <v>288</v>
      </c>
      <c r="W217" s="31">
        <v>31.4</v>
      </c>
      <c r="X217" s="31">
        <v>167</v>
      </c>
      <c r="Y217" s="29">
        <v>3</v>
      </c>
      <c r="Z217" s="29">
        <v>1</v>
      </c>
      <c r="AA217" s="30" t="s">
        <v>241</v>
      </c>
      <c r="AB217" s="30">
        <v>0</v>
      </c>
      <c r="AC217" s="149" t="str">
        <f t="shared" si="33"/>
        <v>a</v>
      </c>
      <c r="AD217" s="15"/>
      <c r="AE217" s="15"/>
      <c r="AF217" s="15"/>
    </row>
    <row r="218" spans="1:32" x14ac:dyDescent="0.2">
      <c r="A218" s="19">
        <v>215</v>
      </c>
      <c r="B218" s="148" t="s">
        <v>8539</v>
      </c>
      <c r="C218" s="28">
        <v>560</v>
      </c>
      <c r="D218" s="31">
        <v>318</v>
      </c>
      <c r="E218" s="31">
        <v>18.3</v>
      </c>
      <c r="F218" s="31">
        <v>29.2</v>
      </c>
      <c r="G218" s="28">
        <v>283</v>
      </c>
      <c r="H218" s="31">
        <v>222</v>
      </c>
      <c r="I218" s="31">
        <v>153364</v>
      </c>
      <c r="J218" s="29">
        <v>5477</v>
      </c>
      <c r="K218" s="31">
        <v>23.3</v>
      </c>
      <c r="L218" s="29">
        <v>15702</v>
      </c>
      <c r="M218" s="29">
        <v>988</v>
      </c>
      <c r="N218" s="31">
        <v>7.44</v>
      </c>
      <c r="O218" s="31">
        <f t="shared" si="29"/>
        <v>117.81559999999998</v>
      </c>
      <c r="P218" s="31">
        <v>26</v>
      </c>
      <c r="Q218" s="29">
        <v>2648</v>
      </c>
      <c r="R218" s="29">
        <f t="shared" si="30"/>
        <v>6821.8861209964407</v>
      </c>
      <c r="S218" s="29">
        <f t="shared" si="31"/>
        <v>105.98796072507552</v>
      </c>
      <c r="T218" s="31">
        <v>222</v>
      </c>
      <c r="U218" s="28" t="str">
        <f t="shared" si="32"/>
        <v>a/b</v>
      </c>
      <c r="V218" s="28">
        <v>3111</v>
      </c>
      <c r="W218" s="31">
        <v>633</v>
      </c>
      <c r="X218" s="31">
        <v>11059</v>
      </c>
      <c r="Y218" s="29">
        <v>3</v>
      </c>
      <c r="Z218" s="29">
        <v>1</v>
      </c>
      <c r="AA218" s="149" t="s">
        <v>241</v>
      </c>
      <c r="AB218" s="30">
        <v>0</v>
      </c>
      <c r="AC218" s="149" t="str">
        <f t="shared" si="33"/>
        <v>a0</v>
      </c>
      <c r="AD218" s="15"/>
      <c r="AE218" s="15"/>
      <c r="AF218" s="15"/>
    </row>
    <row r="219" spans="1:32" x14ac:dyDescent="0.2">
      <c r="A219" s="19">
        <v>216</v>
      </c>
      <c r="B219" s="148" t="s">
        <v>8540</v>
      </c>
      <c r="C219" s="28">
        <v>571</v>
      </c>
      <c r="D219" s="31">
        <v>315</v>
      </c>
      <c r="E219" s="31">
        <v>19</v>
      </c>
      <c r="F219" s="31">
        <v>34.5</v>
      </c>
      <c r="G219" s="28">
        <v>319</v>
      </c>
      <c r="H219" s="31">
        <v>250</v>
      </c>
      <c r="I219" s="31">
        <v>179744</v>
      </c>
      <c r="J219" s="29">
        <v>6296</v>
      </c>
      <c r="K219" s="31">
        <v>23.8</v>
      </c>
      <c r="L219" s="29">
        <v>18028</v>
      </c>
      <c r="M219" s="29">
        <v>1145</v>
      </c>
      <c r="N219" s="31">
        <v>7.52</v>
      </c>
      <c r="O219" s="31">
        <f t="shared" si="29"/>
        <v>126.14500000000001</v>
      </c>
      <c r="P219" s="31">
        <v>26</v>
      </c>
      <c r="Q219" s="29">
        <v>3104</v>
      </c>
      <c r="R219" s="29">
        <f t="shared" si="30"/>
        <v>7988.9244444444448</v>
      </c>
      <c r="S219" s="29">
        <f t="shared" si="31"/>
        <v>110.02371134020618</v>
      </c>
      <c r="T219" s="31">
        <v>250</v>
      </c>
      <c r="U219" s="28" t="str">
        <f t="shared" si="32"/>
        <v>a/b</v>
      </c>
      <c r="V219" s="28">
        <v>3585</v>
      </c>
      <c r="W219" s="31">
        <v>954</v>
      </c>
      <c r="X219" s="31">
        <v>12972</v>
      </c>
      <c r="Y219" s="29">
        <v>3</v>
      </c>
      <c r="Z219" s="29">
        <v>1</v>
      </c>
      <c r="AA219" s="149" t="s">
        <v>241</v>
      </c>
      <c r="AB219" s="30">
        <v>0</v>
      </c>
      <c r="AC219" s="149" t="str">
        <f t="shared" si="33"/>
        <v>a0</v>
      </c>
      <c r="AD219" s="15"/>
      <c r="AE219" s="15"/>
      <c r="AF219" s="15"/>
    </row>
    <row r="220" spans="1:32" x14ac:dyDescent="0.2">
      <c r="A220" s="19">
        <v>217</v>
      </c>
      <c r="B220" s="148" t="s">
        <v>8541</v>
      </c>
      <c r="C220" s="28">
        <v>577</v>
      </c>
      <c r="D220" s="31">
        <v>318</v>
      </c>
      <c r="E220" s="31">
        <v>21.1</v>
      </c>
      <c r="F220" s="31">
        <v>37.6</v>
      </c>
      <c r="G220" s="28">
        <v>351</v>
      </c>
      <c r="H220" s="31">
        <v>276</v>
      </c>
      <c r="I220" s="31">
        <v>199717</v>
      </c>
      <c r="J220" s="29">
        <v>6923</v>
      </c>
      <c r="K220" s="31">
        <v>23.8</v>
      </c>
      <c r="L220" s="29">
        <v>20225</v>
      </c>
      <c r="M220" s="29">
        <v>1272</v>
      </c>
      <c r="N220" s="31">
        <v>7.59</v>
      </c>
      <c r="O220" s="31">
        <f t="shared" si="29"/>
        <v>140.10159999999996</v>
      </c>
      <c r="P220" s="31">
        <v>27</v>
      </c>
      <c r="Q220" s="29">
        <v>3436</v>
      </c>
      <c r="R220" s="29">
        <f t="shared" si="30"/>
        <v>8920.4354622599367</v>
      </c>
      <c r="S220" s="29">
        <f t="shared" si="31"/>
        <v>122.64344295692668</v>
      </c>
      <c r="T220" s="31">
        <v>276</v>
      </c>
      <c r="U220" s="28" t="str">
        <f t="shared" si="32"/>
        <v>a/b</v>
      </c>
      <c r="V220" s="28">
        <v>3965</v>
      </c>
      <c r="W220" s="31">
        <v>1249</v>
      </c>
      <c r="X220" s="31">
        <v>14711</v>
      </c>
      <c r="Y220" s="29">
        <v>3</v>
      </c>
      <c r="Z220" s="29">
        <v>1</v>
      </c>
      <c r="AA220" s="149" t="s">
        <v>241</v>
      </c>
      <c r="AB220" s="30">
        <v>0</v>
      </c>
      <c r="AC220" s="149" t="str">
        <f t="shared" si="33"/>
        <v>a0</v>
      </c>
      <c r="AD220" s="15"/>
      <c r="AE220" s="15"/>
      <c r="AF220" s="15"/>
    </row>
    <row r="221" spans="1:32" x14ac:dyDescent="0.2">
      <c r="A221" s="19">
        <v>218</v>
      </c>
      <c r="B221" s="151" t="s">
        <v>9222</v>
      </c>
      <c r="C221" s="151">
        <v>525</v>
      </c>
      <c r="D221" s="152">
        <v>165</v>
      </c>
      <c r="E221" s="152">
        <v>8.9</v>
      </c>
      <c r="F221" s="152">
        <v>11.4</v>
      </c>
      <c r="G221" s="151">
        <v>83.9</v>
      </c>
      <c r="H221" s="152">
        <v>65.900000000000006</v>
      </c>
      <c r="I221" s="152">
        <v>35100</v>
      </c>
      <c r="J221" s="153">
        <v>1340</v>
      </c>
      <c r="K221" s="152">
        <v>20.5</v>
      </c>
      <c r="L221" s="153">
        <v>857</v>
      </c>
      <c r="M221" s="153">
        <v>104</v>
      </c>
      <c r="N221" s="152">
        <v>3.2</v>
      </c>
      <c r="O221" s="152">
        <f t="shared" si="29"/>
        <v>47.29460000000001</v>
      </c>
      <c r="P221" s="152"/>
      <c r="Q221" s="153"/>
      <c r="R221" s="153">
        <f t="shared" si="30"/>
        <v>1400.8363201911588</v>
      </c>
      <c r="S221" s="29"/>
      <c r="T221" s="152"/>
      <c r="U221" s="151" t="str">
        <f t="shared" si="32"/>
        <v>a/b</v>
      </c>
      <c r="V221" s="151">
        <v>802</v>
      </c>
      <c r="W221" s="152">
        <v>32</v>
      </c>
      <c r="X221" s="152">
        <v>565</v>
      </c>
      <c r="Y221" s="153">
        <v>3</v>
      </c>
      <c r="Z221" s="153">
        <v>1</v>
      </c>
      <c r="AA221" s="153" t="s">
        <v>241</v>
      </c>
      <c r="AB221" s="153">
        <v>0</v>
      </c>
      <c r="AC221" s="153" t="str">
        <f t="shared" ref="AC221" si="34">IF(AA221="H",IF(U221="a/b","a0",IF(U221="b/c","a","c")),IF(AA221="U","c","Scheiss"))</f>
        <v>a0</v>
      </c>
      <c r="AD221" s="15"/>
      <c r="AE221" s="15"/>
      <c r="AF221" s="15"/>
    </row>
    <row r="222" spans="1:32" x14ac:dyDescent="0.2">
      <c r="A222" s="19">
        <v>219</v>
      </c>
      <c r="B222" s="151" t="s">
        <v>8622</v>
      </c>
      <c r="C222" s="151">
        <v>200</v>
      </c>
      <c r="D222" s="152">
        <v>75</v>
      </c>
      <c r="E222" s="152">
        <v>8.5</v>
      </c>
      <c r="F222" s="152">
        <v>11.5</v>
      </c>
      <c r="G222" s="151">
        <v>32.200000000000003</v>
      </c>
      <c r="H222" s="152">
        <v>25.3</v>
      </c>
      <c r="I222" s="152">
        <v>1910</v>
      </c>
      <c r="J222" s="153">
        <v>191</v>
      </c>
      <c r="K222" s="152">
        <v>7.7</v>
      </c>
      <c r="L222" s="153">
        <v>148</v>
      </c>
      <c r="M222" s="153">
        <v>27</v>
      </c>
      <c r="N222" s="152">
        <v>2.14</v>
      </c>
      <c r="O222" s="152">
        <f t="shared" ref="O222" si="35">G222-2*D222*F222/100+(E222+P222)/10</f>
        <v>16.950000000000003</v>
      </c>
      <c r="P222" s="152">
        <v>11.5</v>
      </c>
      <c r="Q222" s="153">
        <v>89.8</v>
      </c>
      <c r="R222" s="153">
        <f t="shared" si="30"/>
        <v>248.05194805194805</v>
      </c>
      <c r="S222" s="153">
        <f t="shared" si="31"/>
        <v>18.079064587973274</v>
      </c>
      <c r="T222" s="152">
        <v>26</v>
      </c>
      <c r="U222" s="28" t="str">
        <f t="shared" si="32"/>
        <v>c/c</v>
      </c>
      <c r="V222" s="151">
        <v>114</v>
      </c>
      <c r="W222" s="152">
        <v>11.9</v>
      </c>
      <c r="X222" s="152">
        <v>9.07</v>
      </c>
      <c r="Y222" s="153">
        <v>5</v>
      </c>
      <c r="Z222" s="153">
        <v>2</v>
      </c>
      <c r="AA222" s="153" t="s">
        <v>1434</v>
      </c>
      <c r="AB222" s="158">
        <v>2.0099999999999998</v>
      </c>
      <c r="AC222" s="149" t="str">
        <f t="shared" si="33"/>
        <v>c</v>
      </c>
      <c r="AD222" s="15"/>
      <c r="AE222" s="15"/>
      <c r="AF222" s="15"/>
    </row>
    <row r="223" spans="1:32" x14ac:dyDescent="0.2">
      <c r="A223" s="19">
        <v>220</v>
      </c>
      <c r="B223" s="148" t="s">
        <v>8543</v>
      </c>
      <c r="C223" s="148">
        <v>354</v>
      </c>
      <c r="D223" s="150">
        <v>205</v>
      </c>
      <c r="E223" s="150">
        <v>9.4</v>
      </c>
      <c r="F223" s="150">
        <v>16.8</v>
      </c>
      <c r="G223" s="148">
        <v>101</v>
      </c>
      <c r="H223" s="150">
        <v>79</v>
      </c>
      <c r="I223" s="150">
        <v>22600</v>
      </c>
      <c r="J223" s="149">
        <v>1280</v>
      </c>
      <c r="K223" s="150">
        <v>15</v>
      </c>
      <c r="L223" s="149">
        <v>2420</v>
      </c>
      <c r="M223" s="149">
        <v>236</v>
      </c>
      <c r="N223" s="150">
        <v>4.8899999999999997</v>
      </c>
      <c r="O223" s="150">
        <f t="shared" si="29"/>
        <v>41.427200000000006</v>
      </c>
      <c r="P223" s="150">
        <v>23</v>
      </c>
      <c r="Q223" s="149">
        <v>648</v>
      </c>
      <c r="R223" s="149">
        <f t="shared" si="30"/>
        <v>1651.3119533527697</v>
      </c>
      <c r="S223" s="149">
        <f t="shared" si="31"/>
        <v>32.783950617283949</v>
      </c>
      <c r="T223" s="150">
        <v>79</v>
      </c>
      <c r="U223" s="28" t="str">
        <f t="shared" si="32"/>
        <v>a/b</v>
      </c>
      <c r="V223" s="148">
        <v>736</v>
      </c>
      <c r="W223" s="150">
        <v>79</v>
      </c>
      <c r="X223" s="150">
        <v>689</v>
      </c>
      <c r="Y223" s="149">
        <v>3</v>
      </c>
      <c r="Z223" s="149">
        <v>1</v>
      </c>
      <c r="AA223" s="149" t="s">
        <v>241</v>
      </c>
      <c r="AB223" s="30">
        <v>0</v>
      </c>
      <c r="AC223" s="149" t="str">
        <f t="shared" si="33"/>
        <v>a0</v>
      </c>
      <c r="AD223" s="15"/>
      <c r="AE223" s="15"/>
      <c r="AF223" s="15"/>
    </row>
    <row r="224" spans="1:32" x14ac:dyDescent="0.2">
      <c r="A224" s="19">
        <v>221</v>
      </c>
      <c r="B224" s="148" t="s">
        <v>8792</v>
      </c>
      <c r="C224" s="28">
        <v>300</v>
      </c>
      <c r="D224" s="28">
        <v>100</v>
      </c>
      <c r="E224" s="28">
        <v>5.2</v>
      </c>
      <c r="F224" s="28">
        <v>11</v>
      </c>
      <c r="G224" s="28">
        <v>40.5</v>
      </c>
      <c r="H224" s="28">
        <v>31.08</v>
      </c>
      <c r="I224" s="28">
        <v>5823</v>
      </c>
      <c r="J224" s="29">
        <v>388</v>
      </c>
      <c r="K224" s="28">
        <v>12</v>
      </c>
      <c r="L224" s="29">
        <v>342</v>
      </c>
      <c r="M224" s="29">
        <v>46.1</v>
      </c>
      <c r="N224" s="28">
        <v>2.91</v>
      </c>
      <c r="O224" s="28">
        <f t="shared" ref="O224:O225" si="36">G224-2*D224*F224/100+(E224+P224)/10</f>
        <v>20.22</v>
      </c>
      <c r="P224" s="28">
        <v>12</v>
      </c>
      <c r="Q224" s="29">
        <v>249</v>
      </c>
      <c r="R224" s="29">
        <v>477</v>
      </c>
      <c r="S224" s="30">
        <v>32</v>
      </c>
      <c r="T224" s="28">
        <v>48</v>
      </c>
      <c r="U224" s="28" t="str">
        <f t="shared" si="32"/>
        <v>c/c</v>
      </c>
      <c r="V224" s="28">
        <v>316</v>
      </c>
      <c r="W224" s="31">
        <v>13.4</v>
      </c>
      <c r="X224" s="31">
        <v>48.2</v>
      </c>
      <c r="Y224" s="29">
        <v>14</v>
      </c>
      <c r="Z224" s="29">
        <v>4</v>
      </c>
      <c r="AA224" s="30" t="s">
        <v>1434</v>
      </c>
      <c r="AB224" s="157">
        <v>2.38</v>
      </c>
      <c r="AC224" s="149" t="str">
        <f t="shared" si="33"/>
        <v>c</v>
      </c>
      <c r="AD224" s="15"/>
      <c r="AE224" s="15"/>
      <c r="AF224" s="15"/>
    </row>
    <row r="225" spans="1:32" x14ac:dyDescent="0.2">
      <c r="A225" s="19">
        <v>222</v>
      </c>
      <c r="B225" s="148" t="s">
        <v>9142</v>
      </c>
      <c r="C225" s="28">
        <v>180</v>
      </c>
      <c r="D225" s="28">
        <v>70</v>
      </c>
      <c r="E225" s="31">
        <v>8</v>
      </c>
      <c r="F225" s="28">
        <v>11</v>
      </c>
      <c r="G225" s="31">
        <v>28</v>
      </c>
      <c r="H225" s="28">
        <v>22</v>
      </c>
      <c r="I225" s="31">
        <v>1350</v>
      </c>
      <c r="J225" s="31">
        <v>150</v>
      </c>
      <c r="K225" s="29">
        <v>6.96</v>
      </c>
      <c r="L225" s="31">
        <v>114</v>
      </c>
      <c r="M225" s="29">
        <v>22.4</v>
      </c>
      <c r="N225" s="29">
        <v>2.02</v>
      </c>
      <c r="O225" s="31">
        <f t="shared" si="36"/>
        <v>14.5</v>
      </c>
      <c r="P225" s="31">
        <v>11</v>
      </c>
      <c r="Q225" s="29">
        <v>71.900000000000006</v>
      </c>
      <c r="R225" s="29">
        <f t="shared" si="30"/>
        <v>198.52941176470588</v>
      </c>
      <c r="S225" s="29">
        <f t="shared" si="31"/>
        <v>15.020862308762167</v>
      </c>
      <c r="T225" s="29">
        <v>22.5</v>
      </c>
      <c r="U225" s="28" t="str">
        <f t="shared" si="32"/>
        <v>c/c</v>
      </c>
      <c r="V225" s="31">
        <v>89.6</v>
      </c>
      <c r="W225" s="28">
        <v>9.5500000000000007</v>
      </c>
      <c r="X225" s="31">
        <v>5.57</v>
      </c>
      <c r="Y225" s="29">
        <v>5</v>
      </c>
      <c r="Z225" s="29">
        <v>2</v>
      </c>
      <c r="AA225" s="149" t="s">
        <v>1434</v>
      </c>
      <c r="AB225" s="159">
        <v>1.92</v>
      </c>
      <c r="AC225" s="149" t="str">
        <f t="shared" si="33"/>
        <v>c</v>
      </c>
      <c r="AD225" s="15"/>
      <c r="AE225" s="15"/>
      <c r="AF225" s="15"/>
    </row>
    <row r="226" spans="1:32" x14ac:dyDescent="0.2">
      <c r="A226" s="19">
        <v>223</v>
      </c>
      <c r="B226" s="148" t="s">
        <v>8797</v>
      </c>
      <c r="C226" s="28">
        <v>133</v>
      </c>
      <c r="D226" s="31">
        <v>140</v>
      </c>
      <c r="E226" s="31">
        <v>5.5</v>
      </c>
      <c r="F226" s="31">
        <v>8.5</v>
      </c>
      <c r="G226" s="28">
        <v>31.4</v>
      </c>
      <c r="H226" s="31">
        <v>24.7</v>
      </c>
      <c r="I226" s="31">
        <v>1030</v>
      </c>
      <c r="J226" s="29">
        <v>155</v>
      </c>
      <c r="K226" s="31">
        <v>5.73</v>
      </c>
      <c r="L226" s="29">
        <v>389</v>
      </c>
      <c r="M226" s="29">
        <v>55.6</v>
      </c>
      <c r="N226" s="31">
        <v>3.52</v>
      </c>
      <c r="O226" s="31">
        <f t="shared" ref="O226" si="37">MAX(G226-2*D226*F226/100+(E226+2*P226)*F226/100,(C226-2*F226)*E226/100)</f>
        <v>10.107499999999998</v>
      </c>
      <c r="P226" s="31">
        <v>12</v>
      </c>
      <c r="Q226" s="29">
        <v>80.900000000000006</v>
      </c>
      <c r="R226" s="29">
        <v>173.5</v>
      </c>
      <c r="S226" s="29">
        <v>23.8</v>
      </c>
      <c r="T226" s="28">
        <v>25</v>
      </c>
      <c r="U226" s="28" t="str">
        <f t="shared" si="32"/>
        <v>b/c</v>
      </c>
      <c r="V226" s="28">
        <v>86.7</v>
      </c>
      <c r="W226" s="31">
        <v>8.1300000000000008</v>
      </c>
      <c r="X226" s="31">
        <v>15.06</v>
      </c>
      <c r="Y226" s="29">
        <v>2</v>
      </c>
      <c r="Z226" s="29">
        <v>1</v>
      </c>
      <c r="AA226" s="30" t="s">
        <v>241</v>
      </c>
      <c r="AB226" s="30">
        <v>0</v>
      </c>
      <c r="AC226" s="149" t="str">
        <f t="shared" si="33"/>
        <v>a</v>
      </c>
      <c r="AD226" s="15"/>
      <c r="AE226" s="15"/>
      <c r="AF226" s="15"/>
    </row>
    <row r="227" spans="1:32" x14ac:dyDescent="0.2">
      <c r="A227" s="19">
        <v>224</v>
      </c>
      <c r="B227" s="32" t="s">
        <v>9174</v>
      </c>
      <c r="C227" s="28">
        <v>550</v>
      </c>
      <c r="D227" s="28">
        <v>100</v>
      </c>
      <c r="E227" s="28">
        <v>10</v>
      </c>
      <c r="F227" s="28">
        <v>16</v>
      </c>
      <c r="G227" s="28">
        <v>58.8</v>
      </c>
      <c r="H227" s="28">
        <v>46.2</v>
      </c>
      <c r="I227" s="28">
        <v>8030</v>
      </c>
      <c r="J227" s="29">
        <v>535</v>
      </c>
      <c r="K227" s="28">
        <v>11.7</v>
      </c>
      <c r="L227" s="29">
        <v>495</v>
      </c>
      <c r="M227" s="29">
        <v>67.8</v>
      </c>
      <c r="N227" s="28">
        <v>2.9</v>
      </c>
      <c r="O227" s="31">
        <f>G227-2*D227*F227/100+(E227+P227)/10</f>
        <v>29.4</v>
      </c>
      <c r="P227" s="28">
        <f t="shared" ref="P227" si="38">+F227</f>
        <v>16</v>
      </c>
      <c r="Q227" s="29">
        <v>249</v>
      </c>
      <c r="R227" s="29">
        <v>535</v>
      </c>
      <c r="S227" s="30">
        <f>+I227*E227/Q227/10</f>
        <v>32.248995983935743</v>
      </c>
      <c r="T227" s="28">
        <v>48</v>
      </c>
      <c r="U227" s="28" t="str">
        <f t="shared" si="32"/>
        <v>c/c</v>
      </c>
      <c r="V227" s="28">
        <v>316</v>
      </c>
      <c r="W227" s="31">
        <v>37.4</v>
      </c>
      <c r="X227" s="31">
        <v>69.099999999999994</v>
      </c>
      <c r="Y227" s="29">
        <v>5</v>
      </c>
      <c r="Z227" s="29">
        <v>2</v>
      </c>
      <c r="AA227" s="30" t="s">
        <v>1434</v>
      </c>
      <c r="AB227" s="157">
        <v>2.7</v>
      </c>
      <c r="AC227" s="149" t="str">
        <f t="shared" si="33"/>
        <v>c</v>
      </c>
      <c r="AD227" s="15"/>
      <c r="AE227" s="15"/>
      <c r="AF227" s="15"/>
    </row>
    <row r="228" spans="1:32" x14ac:dyDescent="0.2">
      <c r="A228" s="19">
        <v>225</v>
      </c>
      <c r="B228" s="28"/>
      <c r="C228" s="28"/>
      <c r="D228" s="28"/>
      <c r="E228" s="31"/>
      <c r="F228" s="31"/>
      <c r="G228" s="31"/>
      <c r="H228" s="28"/>
      <c r="I228" s="31"/>
      <c r="J228" s="31"/>
      <c r="K228" s="29"/>
      <c r="L228" s="31"/>
      <c r="M228" s="29"/>
      <c r="N228" s="29"/>
      <c r="O228" s="31"/>
      <c r="P228" s="31"/>
      <c r="Q228" s="31"/>
      <c r="R228" s="29"/>
      <c r="S228" s="29"/>
      <c r="T228" s="29"/>
      <c r="U228" s="28"/>
      <c r="V228" s="31"/>
      <c r="W228" s="28"/>
      <c r="X228" s="31"/>
      <c r="Y228" s="31"/>
      <c r="Z228" s="29"/>
      <c r="AA228" s="29"/>
      <c r="AB228" s="29"/>
      <c r="AC228" s="30"/>
      <c r="AD228" s="15"/>
      <c r="AE228" s="15"/>
      <c r="AF228" s="15"/>
    </row>
    <row r="229" spans="1:32" x14ac:dyDescent="0.2">
      <c r="A229" s="19">
        <v>226</v>
      </c>
      <c r="B229" s="28"/>
      <c r="C229" s="28"/>
      <c r="D229" s="28"/>
      <c r="E229" s="31"/>
      <c r="F229" s="31"/>
      <c r="G229" s="31"/>
      <c r="H229" s="28"/>
      <c r="I229" s="31"/>
      <c r="J229" s="31"/>
      <c r="K229" s="29"/>
      <c r="L229" s="31"/>
      <c r="M229" s="29"/>
      <c r="N229" s="29"/>
      <c r="O229" s="31"/>
      <c r="P229" s="31"/>
      <c r="Q229" s="31"/>
      <c r="R229" s="29"/>
      <c r="S229" s="29"/>
      <c r="T229" s="29"/>
      <c r="U229" s="28"/>
      <c r="V229" s="31"/>
      <c r="W229" s="28"/>
      <c r="X229" s="31"/>
      <c r="Y229" s="31"/>
      <c r="Z229" s="29"/>
      <c r="AA229" s="29"/>
      <c r="AB229" s="29"/>
      <c r="AC229" s="30"/>
      <c r="AD229" s="15"/>
      <c r="AE229" s="15"/>
      <c r="AF229" s="15"/>
    </row>
    <row r="230" spans="1:32" x14ac:dyDescent="0.2">
      <c r="A230" s="19">
        <f t="shared" ref="A230" si="39">+A229+1</f>
        <v>227</v>
      </c>
      <c r="B230" s="162"/>
      <c r="C230" s="162"/>
      <c r="D230" s="162"/>
      <c r="E230" s="163"/>
      <c r="F230" s="163"/>
      <c r="G230" s="163"/>
      <c r="H230" s="162"/>
      <c r="I230" s="163"/>
      <c r="J230" s="163"/>
      <c r="K230" s="164"/>
      <c r="L230" s="163"/>
      <c r="M230" s="164"/>
      <c r="N230" s="164"/>
      <c r="O230" s="163"/>
      <c r="P230" s="163"/>
      <c r="Q230" s="163"/>
      <c r="R230" s="164"/>
      <c r="S230" s="164"/>
      <c r="T230" s="164"/>
      <c r="U230" s="162"/>
      <c r="V230" s="163"/>
      <c r="W230" s="162"/>
      <c r="X230" s="163"/>
      <c r="Y230" s="163"/>
      <c r="Z230" s="164"/>
      <c r="AA230" s="164"/>
      <c r="AB230" s="164"/>
      <c r="AC230" s="165"/>
      <c r="AD230" s="15"/>
      <c r="AE230" s="15"/>
      <c r="AF230" s="15"/>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2]!SichtenProfileEnde">
                <anchor moveWithCells="1" sizeWithCells="1">
                  <from>
                    <xdr:col>0</xdr:col>
                    <xdr:colOff>28575</xdr:colOff>
                    <xdr:row>0</xdr:row>
                    <xdr:rowOff>38100</xdr:rowOff>
                  </from>
                  <to>
                    <xdr:col>1</xdr:col>
                    <xdr:colOff>590550</xdr:colOff>
                    <xdr:row>2</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AG775"/>
  <sheetViews>
    <sheetView showGridLines="0" zoomScale="70" zoomScaleNormal="70" workbookViewId="0">
      <pane xSplit="2" ySplit="3" topLeftCell="C121" activePane="bottomRight" state="frozenSplit"/>
      <selection pane="topRight" activeCell="C1" sqref="C1"/>
      <selection pane="bottomLeft" activeCell="A4" sqref="A4"/>
      <selection pane="bottomRight" activeCell="U33" sqref="U33"/>
    </sheetView>
  </sheetViews>
  <sheetFormatPr baseColWidth="10" defaultRowHeight="12.75" x14ac:dyDescent="0.2"/>
  <cols>
    <col min="1" max="1" width="4.85546875" style="15" customWidth="1"/>
    <col min="2" max="2" width="10.7109375" style="15" customWidth="1"/>
    <col min="3" max="3" width="6.5703125" style="15" customWidth="1"/>
    <col min="4" max="4" width="6.42578125" style="15" customWidth="1"/>
    <col min="5" max="5" width="7.85546875" style="15" customWidth="1"/>
    <col min="6" max="6" width="4" style="15" customWidth="1"/>
    <col min="7" max="7" width="5" style="15" customWidth="1"/>
    <col min="8" max="8" width="5.42578125" style="15" customWidth="1"/>
    <col min="9" max="9" width="5" style="15" customWidth="1"/>
    <col min="10" max="10" width="5.140625" style="15" customWidth="1"/>
    <col min="11" max="11" width="4.5703125" style="33" customWidth="1"/>
    <col min="12" max="12" width="6.5703125" style="15" customWidth="1"/>
    <col min="13" max="13" width="6.7109375" style="33" customWidth="1"/>
    <col min="14" max="14" width="6.28515625" style="33" customWidth="1"/>
    <col min="15" max="15" width="6" style="15" customWidth="1"/>
    <col min="16" max="16" width="7.7109375" style="15" customWidth="1"/>
    <col min="17" max="17" width="6" style="15" customWidth="1"/>
    <col min="18" max="18" width="5.7109375" style="15" customWidth="1"/>
    <col min="19" max="19" width="4" style="15" customWidth="1"/>
    <col min="20" max="20" width="7.7109375" style="15" customWidth="1"/>
    <col min="21" max="21" width="7.28515625" style="15" customWidth="1"/>
    <col min="22" max="22" width="31.5703125" style="15" customWidth="1"/>
    <col min="23" max="23" width="19" style="15" customWidth="1"/>
    <col min="24" max="24" width="10" style="33" customWidth="1"/>
    <col min="25" max="25" width="9.7109375" style="33" customWidth="1"/>
    <col min="26" max="26" width="8.42578125" style="15" customWidth="1"/>
    <col min="27" max="27" width="6.85546875" style="15" customWidth="1"/>
    <col min="28" max="28" width="6.140625" style="15" customWidth="1"/>
    <col min="29" max="29" width="8.28515625" style="34" customWidth="1"/>
    <col min="30" max="30" width="7.5703125" style="34" customWidth="1"/>
    <col min="31" max="16384" width="11.42578125" style="15"/>
  </cols>
  <sheetData>
    <row r="1" spans="1:32" ht="15" customHeight="1" x14ac:dyDescent="0.2">
      <c r="A1" s="11"/>
      <c r="B1" s="12">
        <v>1</v>
      </c>
      <c r="C1" s="13">
        <f>+B1+1</f>
        <v>2</v>
      </c>
      <c r="D1" s="13">
        <f t="shared" ref="D1:AD1" si="0">+C1+1</f>
        <v>3</v>
      </c>
      <c r="E1" s="13">
        <f t="shared" si="0"/>
        <v>4</v>
      </c>
      <c r="F1" s="13">
        <f t="shared" si="0"/>
        <v>5</v>
      </c>
      <c r="G1" s="13">
        <f t="shared" si="0"/>
        <v>6</v>
      </c>
      <c r="H1" s="13">
        <f t="shared" si="0"/>
        <v>7</v>
      </c>
      <c r="I1" s="13">
        <f t="shared" si="0"/>
        <v>8</v>
      </c>
      <c r="J1" s="13">
        <f t="shared" si="0"/>
        <v>9</v>
      </c>
      <c r="K1" s="13">
        <f t="shared" si="0"/>
        <v>10</v>
      </c>
      <c r="L1" s="13">
        <f t="shared" si="0"/>
        <v>11</v>
      </c>
      <c r="M1" s="13">
        <f t="shared" si="0"/>
        <v>12</v>
      </c>
      <c r="N1" s="13">
        <f t="shared" si="0"/>
        <v>13</v>
      </c>
      <c r="O1" s="13">
        <f t="shared" si="0"/>
        <v>14</v>
      </c>
      <c r="P1" s="13">
        <f t="shared" si="0"/>
        <v>15</v>
      </c>
      <c r="Q1" s="13">
        <f t="shared" si="0"/>
        <v>16</v>
      </c>
      <c r="R1" s="13">
        <f t="shared" si="0"/>
        <v>17</v>
      </c>
      <c r="S1" s="13">
        <f t="shared" si="0"/>
        <v>18</v>
      </c>
      <c r="T1" s="13">
        <f t="shared" si="0"/>
        <v>19</v>
      </c>
      <c r="U1" s="13">
        <f t="shared" si="0"/>
        <v>20</v>
      </c>
      <c r="V1" s="13">
        <f t="shared" si="0"/>
        <v>21</v>
      </c>
      <c r="W1" s="13">
        <f t="shared" si="0"/>
        <v>22</v>
      </c>
      <c r="X1" s="13">
        <f t="shared" si="0"/>
        <v>23</v>
      </c>
      <c r="Y1" s="13">
        <f t="shared" si="0"/>
        <v>24</v>
      </c>
      <c r="Z1" s="13">
        <v>25</v>
      </c>
      <c r="AA1" s="13">
        <f t="shared" si="0"/>
        <v>26</v>
      </c>
      <c r="AB1" s="13">
        <f t="shared" si="0"/>
        <v>27</v>
      </c>
      <c r="AC1" s="13">
        <f t="shared" si="0"/>
        <v>28</v>
      </c>
      <c r="AD1" s="13">
        <f t="shared" si="0"/>
        <v>29</v>
      </c>
    </row>
    <row r="2" spans="1:32" ht="15" customHeight="1" x14ac:dyDescent="0.2">
      <c r="A2" s="16"/>
      <c r="B2" s="17" t="s">
        <v>6428</v>
      </c>
      <c r="C2" s="100" t="s">
        <v>6741</v>
      </c>
      <c r="D2" s="110" t="s">
        <v>6442</v>
      </c>
      <c r="E2" s="110" t="s">
        <v>6443</v>
      </c>
      <c r="F2" s="110" t="s">
        <v>4861</v>
      </c>
      <c r="G2" s="110" t="s">
        <v>4698</v>
      </c>
      <c r="H2" s="110" t="s">
        <v>2111</v>
      </c>
      <c r="I2" s="110" t="s">
        <v>5456</v>
      </c>
      <c r="J2" s="110" t="s">
        <v>6429</v>
      </c>
      <c r="K2" s="110" t="s">
        <v>6432</v>
      </c>
      <c r="L2" s="110" t="s">
        <v>6438</v>
      </c>
      <c r="M2" s="110" t="s">
        <v>6437</v>
      </c>
      <c r="N2" s="110" t="s">
        <v>6434</v>
      </c>
      <c r="O2" s="110" t="s">
        <v>6435</v>
      </c>
      <c r="P2" s="110" t="s">
        <v>1854</v>
      </c>
      <c r="Q2" s="110" t="s">
        <v>7387</v>
      </c>
      <c r="R2" s="110" t="s">
        <v>7390</v>
      </c>
      <c r="S2" s="110" t="s">
        <v>6431</v>
      </c>
      <c r="T2" s="110" t="s">
        <v>6439</v>
      </c>
      <c r="U2" s="110" t="s">
        <v>6440</v>
      </c>
      <c r="V2" s="110" t="s">
        <v>729</v>
      </c>
      <c r="W2" s="110" t="s">
        <v>730</v>
      </c>
      <c r="X2" s="20" t="s">
        <v>1855</v>
      </c>
      <c r="Y2" s="20" t="s">
        <v>6679</v>
      </c>
      <c r="Z2" s="21" t="s">
        <v>6677</v>
      </c>
      <c r="AA2" s="19"/>
      <c r="AB2" s="19"/>
      <c r="AC2" s="22"/>
      <c r="AD2" s="22"/>
    </row>
    <row r="3" spans="1:32" ht="15" customHeight="1" x14ac:dyDescent="0.2">
      <c r="A3" s="23"/>
      <c r="B3" s="24"/>
      <c r="C3" s="98" t="s">
        <v>1431</v>
      </c>
      <c r="D3" s="98" t="s">
        <v>1431</v>
      </c>
      <c r="E3" s="98" t="s">
        <v>1431</v>
      </c>
      <c r="F3" s="98" t="s">
        <v>1431</v>
      </c>
      <c r="G3" s="21" t="s">
        <v>1452</v>
      </c>
      <c r="H3" s="21" t="s">
        <v>1453</v>
      </c>
      <c r="I3" s="99" t="s">
        <v>6430</v>
      </c>
      <c r="J3" s="99" t="s">
        <v>6430</v>
      </c>
      <c r="K3" s="99" t="s">
        <v>6433</v>
      </c>
      <c r="L3" s="21" t="s">
        <v>6436</v>
      </c>
      <c r="M3" s="21" t="s">
        <v>6436</v>
      </c>
      <c r="N3" s="21" t="s">
        <v>6436</v>
      </c>
      <c r="O3" s="21" t="s">
        <v>6436</v>
      </c>
      <c r="P3" s="21" t="s">
        <v>1431</v>
      </c>
      <c r="Q3" s="110" t="s">
        <v>7388</v>
      </c>
      <c r="R3" s="21" t="s">
        <v>7389</v>
      </c>
      <c r="S3" s="21" t="s">
        <v>1431</v>
      </c>
      <c r="T3" s="41" t="s">
        <v>1431</v>
      </c>
      <c r="U3" s="41" t="s">
        <v>1431</v>
      </c>
      <c r="V3" s="41" t="s">
        <v>1431</v>
      </c>
      <c r="W3" s="41" t="s">
        <v>1431</v>
      </c>
      <c r="X3" s="41" t="s">
        <v>1431</v>
      </c>
      <c r="Y3" s="21" t="s">
        <v>3387</v>
      </c>
      <c r="Z3" s="21" t="s">
        <v>6678</v>
      </c>
      <c r="AA3" s="19"/>
      <c r="AB3" s="19"/>
      <c r="AC3" s="22"/>
      <c r="AD3" s="22"/>
    </row>
    <row r="4" spans="1:32" ht="15" customHeight="1" x14ac:dyDescent="0.2">
      <c r="A4" s="26">
        <v>1</v>
      </c>
      <c r="B4" s="42" t="s">
        <v>4913</v>
      </c>
      <c r="C4" s="102" t="s">
        <v>1431</v>
      </c>
      <c r="D4" s="102" t="s">
        <v>1431</v>
      </c>
      <c r="E4" s="102" t="s">
        <v>1431</v>
      </c>
      <c r="F4" s="28">
        <v>0</v>
      </c>
      <c r="G4" s="28">
        <v>0</v>
      </c>
      <c r="H4" s="28">
        <v>0</v>
      </c>
      <c r="I4" s="28">
        <v>0</v>
      </c>
      <c r="J4" s="28">
        <v>0</v>
      </c>
      <c r="K4" s="28">
        <v>0</v>
      </c>
      <c r="L4" s="28">
        <v>1</v>
      </c>
      <c r="M4" s="29">
        <v>0</v>
      </c>
      <c r="N4" s="29">
        <v>0</v>
      </c>
      <c r="O4" s="28">
        <v>1</v>
      </c>
      <c r="P4" s="28">
        <v>7</v>
      </c>
      <c r="Q4" s="28">
        <v>0</v>
      </c>
      <c r="R4" s="103">
        <v>0</v>
      </c>
      <c r="S4" s="28" t="s">
        <v>1431</v>
      </c>
      <c r="T4" s="42" t="s">
        <v>4913</v>
      </c>
      <c r="U4" s="42" t="s">
        <v>4913</v>
      </c>
      <c r="V4" s="104" t="str">
        <f>+IF(D4="-","",D4&amp;" "&amp;IF(F4&gt;1,F4&amp;"x","")&amp;G4&amp;S4&amp;IF(J4&gt;0,IF(K4=1," einf "," dopp ")&amp;"Korr",""))</f>
        <v/>
      </c>
      <c r="W4" s="103" t="str">
        <f>+IF(D4="-","",E4&amp;" "&amp;IF(F4&gt;1,F4&amp;"x","")&amp;G4&amp;S4&amp;IF(J4&gt;0,IF(K4=1," sing "," doub ")&amp;"corr",""))</f>
        <v/>
      </c>
      <c r="X4" s="42" t="s">
        <v>4913</v>
      </c>
      <c r="Y4" s="123">
        <v>210000000</v>
      </c>
      <c r="Z4" s="122">
        <f>+H4*0.000001*Y4</f>
        <v>0</v>
      </c>
      <c r="AA4" s="28"/>
      <c r="AB4" s="28"/>
      <c r="AC4" s="31"/>
      <c r="AD4" s="31"/>
      <c r="AF4" s="109" t="s">
        <v>736</v>
      </c>
    </row>
    <row r="5" spans="1:32" ht="15" customHeight="1" x14ac:dyDescent="0.2">
      <c r="A5" s="19">
        <f>+A4+1</f>
        <v>2</v>
      </c>
      <c r="B5" s="28" t="s">
        <v>7324</v>
      </c>
      <c r="C5" s="101" t="s">
        <v>6547</v>
      </c>
      <c r="D5" s="101" t="s">
        <v>6547</v>
      </c>
      <c r="E5" s="105" t="s">
        <v>6444</v>
      </c>
      <c r="F5" s="28">
        <v>2</v>
      </c>
      <c r="G5" s="28">
        <v>0.6</v>
      </c>
      <c r="H5" s="28">
        <f t="shared" ref="H5:H24" si="1">+F5*1.4</f>
        <v>2.8</v>
      </c>
      <c r="I5" s="28">
        <v>1</v>
      </c>
      <c r="J5" s="28">
        <v>0</v>
      </c>
      <c r="K5" s="28">
        <v>0</v>
      </c>
      <c r="L5" s="32">
        <v>1500</v>
      </c>
      <c r="M5" s="29">
        <v>1570</v>
      </c>
      <c r="N5" s="29">
        <v>1770</v>
      </c>
      <c r="O5" s="28">
        <f>+M5*0.9</f>
        <v>1413</v>
      </c>
      <c r="P5" s="28">
        <v>1</v>
      </c>
      <c r="Q5" s="29">
        <f>+H5*L5/10</f>
        <v>420</v>
      </c>
      <c r="R5" s="103">
        <v>1.2</v>
      </c>
      <c r="S5" s="32" t="s">
        <v>6441</v>
      </c>
      <c r="T5" s="104" t="str">
        <f t="shared" ref="T5:T37" si="2">+IF(D5="-","",IF(J5=0,"temporärer ","permanter ")&amp;D5&amp;"-Anker "&amp;IF(F5&gt;1,F5&amp;"x","")&amp;G5&amp;S5&amp;" S"&amp;M5&amp;"/"&amp;N5&amp;IF(J5&gt;0,IF(K5=1," einfacher "," doppelter ")&amp;"Korrosionschutz",""))</f>
        <v>temporärer Litzen-Anker 2x0,6" S1570/1770</v>
      </c>
      <c r="U5" s="103" t="str">
        <f t="shared" ref="U5:U37" si="3">+IF(D5="-","",IF(J5=0,"temporary ","permanent ")&amp;E5&amp;"-Anchor "&amp;IF(F5&gt;1,F5&amp;"x","")&amp;G5&amp;S5&amp;" S"&amp;M5&amp;"/"&amp;N5&amp;IF(J5&gt;0,IF(K5=1," single "," double ")&amp;"corrosion protection",""))</f>
        <v>temporary multiple strand-Anchor 2x0,6" S1570/1770</v>
      </c>
      <c r="V5" s="104" t="s">
        <v>5464</v>
      </c>
      <c r="W5" s="103" t="s">
        <v>5464</v>
      </c>
      <c r="X5" s="111" t="str">
        <f>+"St"&amp;M5&amp;"/"&amp;N5</f>
        <v>St1570/1770</v>
      </c>
      <c r="Y5" s="123">
        <v>192000000</v>
      </c>
      <c r="Z5" s="122">
        <f>+H5*Y5/100^2</f>
        <v>53760</v>
      </c>
      <c r="AA5" s="28"/>
      <c r="AB5" s="28"/>
      <c r="AC5" s="31"/>
      <c r="AD5" s="31"/>
      <c r="AF5" s="109" t="s">
        <v>737</v>
      </c>
    </row>
    <row r="6" spans="1:32" ht="15" customHeight="1" x14ac:dyDescent="0.2">
      <c r="A6" s="19">
        <f t="shared" ref="A6:A69" si="4">+A5+1</f>
        <v>3</v>
      </c>
      <c r="B6" s="28" t="s">
        <v>4080</v>
      </c>
      <c r="C6" s="101" t="s">
        <v>6547</v>
      </c>
      <c r="D6" s="101" t="s">
        <v>6547</v>
      </c>
      <c r="E6" s="105" t="s">
        <v>6444</v>
      </c>
      <c r="F6" s="28">
        <f t="shared" ref="F6:F14" si="5">+F5+1</f>
        <v>3</v>
      </c>
      <c r="G6" s="28">
        <v>0.6</v>
      </c>
      <c r="H6" s="28">
        <f t="shared" si="1"/>
        <v>4.1999999999999993</v>
      </c>
      <c r="I6" s="28">
        <v>1</v>
      </c>
      <c r="J6" s="28">
        <v>0</v>
      </c>
      <c r="K6" s="28">
        <v>0</v>
      </c>
      <c r="L6" s="32">
        <v>1500</v>
      </c>
      <c r="M6" s="29">
        <v>1570</v>
      </c>
      <c r="N6" s="29">
        <v>1770</v>
      </c>
      <c r="O6" s="28">
        <f t="shared" ref="O6:O31" si="6">+M6*0.9</f>
        <v>1413</v>
      </c>
      <c r="P6" s="28">
        <v>1</v>
      </c>
      <c r="Q6" s="29">
        <f t="shared" ref="Q6:Q38" si="7">+H6*L6/10</f>
        <v>629.99999999999989</v>
      </c>
      <c r="R6" s="103">
        <v>1.2</v>
      </c>
      <c r="S6" s="32" t="s">
        <v>6441</v>
      </c>
      <c r="T6" s="104" t="str">
        <f t="shared" si="2"/>
        <v>temporärer Litzen-Anker 3x0,6" S1570/1770</v>
      </c>
      <c r="U6" s="103" t="str">
        <f t="shared" si="3"/>
        <v>temporary multiple strand-Anchor 3x0,6" S1570/1770</v>
      </c>
      <c r="V6" s="104" t="s">
        <v>5465</v>
      </c>
      <c r="W6" s="103" t="s">
        <v>5465</v>
      </c>
      <c r="X6" s="111" t="str">
        <f t="shared" ref="X6:X24" si="8">+"St"&amp;M6&amp;"/"&amp;N6</f>
        <v>St1570/1770</v>
      </c>
      <c r="Y6" s="123">
        <v>192000000</v>
      </c>
      <c r="Z6" s="122">
        <f t="shared" ref="Z6:Z69" si="9">+H6*Y6/100^2</f>
        <v>80639.999999999985</v>
      </c>
      <c r="AA6" s="28"/>
      <c r="AB6" s="28"/>
      <c r="AC6" s="31"/>
      <c r="AD6" s="31"/>
      <c r="AF6" s="109" t="s">
        <v>738</v>
      </c>
    </row>
    <row r="7" spans="1:32" ht="15" customHeight="1" x14ac:dyDescent="0.2">
      <c r="A7" s="19">
        <f t="shared" si="4"/>
        <v>4</v>
      </c>
      <c r="B7" s="28" t="s">
        <v>4081</v>
      </c>
      <c r="C7" s="101" t="s">
        <v>6547</v>
      </c>
      <c r="D7" s="101" t="s">
        <v>6547</v>
      </c>
      <c r="E7" s="105" t="s">
        <v>6444</v>
      </c>
      <c r="F7" s="28">
        <f t="shared" si="5"/>
        <v>4</v>
      </c>
      <c r="G7" s="28">
        <v>0.6</v>
      </c>
      <c r="H7" s="28">
        <f t="shared" si="1"/>
        <v>5.6</v>
      </c>
      <c r="I7" s="28">
        <v>1</v>
      </c>
      <c r="J7" s="28">
        <v>0</v>
      </c>
      <c r="K7" s="28">
        <v>0</v>
      </c>
      <c r="L7" s="32">
        <v>1500</v>
      </c>
      <c r="M7" s="29">
        <v>1570</v>
      </c>
      <c r="N7" s="29">
        <v>1770</v>
      </c>
      <c r="O7" s="28">
        <f t="shared" si="6"/>
        <v>1413</v>
      </c>
      <c r="P7" s="28">
        <v>1</v>
      </c>
      <c r="Q7" s="29">
        <f t="shared" si="7"/>
        <v>840</v>
      </c>
      <c r="R7" s="103">
        <v>1.2</v>
      </c>
      <c r="S7" s="32" t="s">
        <v>6441</v>
      </c>
      <c r="T7" s="104" t="str">
        <f t="shared" si="2"/>
        <v>temporärer Litzen-Anker 4x0,6" S1570/1770</v>
      </c>
      <c r="U7" s="103" t="str">
        <f t="shared" si="3"/>
        <v>temporary multiple strand-Anchor 4x0,6" S1570/1770</v>
      </c>
      <c r="V7" s="104" t="s">
        <v>5466</v>
      </c>
      <c r="W7" s="103" t="s">
        <v>5466</v>
      </c>
      <c r="X7" s="111" t="str">
        <f t="shared" si="8"/>
        <v>St1570/1770</v>
      </c>
      <c r="Y7" s="123">
        <v>192000000</v>
      </c>
      <c r="Z7" s="122">
        <f t="shared" si="9"/>
        <v>107520</v>
      </c>
      <c r="AA7" s="28"/>
      <c r="AB7" s="28"/>
      <c r="AC7" s="31"/>
      <c r="AD7" s="31"/>
      <c r="AF7" s="109" t="s">
        <v>739</v>
      </c>
    </row>
    <row r="8" spans="1:32" ht="15" customHeight="1" x14ac:dyDescent="0.2">
      <c r="A8" s="19">
        <f t="shared" si="4"/>
        <v>5</v>
      </c>
      <c r="B8" s="28" t="s">
        <v>4082</v>
      </c>
      <c r="C8" s="101" t="s">
        <v>6547</v>
      </c>
      <c r="D8" s="101" t="s">
        <v>6547</v>
      </c>
      <c r="E8" s="105" t="s">
        <v>6444</v>
      </c>
      <c r="F8" s="28">
        <f>+F7+1</f>
        <v>5</v>
      </c>
      <c r="G8" s="28">
        <v>0.6</v>
      </c>
      <c r="H8" s="28">
        <f t="shared" si="1"/>
        <v>7</v>
      </c>
      <c r="I8" s="28">
        <v>1</v>
      </c>
      <c r="J8" s="28">
        <v>0</v>
      </c>
      <c r="K8" s="28">
        <v>0</v>
      </c>
      <c r="L8" s="32">
        <v>1500</v>
      </c>
      <c r="M8" s="29">
        <v>1570</v>
      </c>
      <c r="N8" s="29">
        <v>1770</v>
      </c>
      <c r="O8" s="28">
        <f t="shared" si="6"/>
        <v>1413</v>
      </c>
      <c r="P8" s="28">
        <v>1</v>
      </c>
      <c r="Q8" s="29">
        <f t="shared" si="7"/>
        <v>1050</v>
      </c>
      <c r="R8" s="103">
        <v>1.2</v>
      </c>
      <c r="S8" s="32" t="s">
        <v>6441</v>
      </c>
      <c r="T8" s="104" t="str">
        <f t="shared" si="2"/>
        <v>temporärer Litzen-Anker 5x0,6" S1570/1770</v>
      </c>
      <c r="U8" s="103" t="str">
        <f t="shared" si="3"/>
        <v>temporary multiple strand-Anchor 5x0,6" S1570/1770</v>
      </c>
      <c r="V8" s="104" t="s">
        <v>5467</v>
      </c>
      <c r="W8" s="103" t="s">
        <v>5467</v>
      </c>
      <c r="X8" s="111" t="str">
        <f t="shared" si="8"/>
        <v>St1570/1770</v>
      </c>
      <c r="Y8" s="123">
        <v>192000000</v>
      </c>
      <c r="Z8" s="122">
        <f t="shared" si="9"/>
        <v>134400</v>
      </c>
      <c r="AA8" s="28"/>
      <c r="AB8" s="28"/>
      <c r="AC8" s="31"/>
      <c r="AD8" s="31"/>
      <c r="AF8" s="109" t="s">
        <v>740</v>
      </c>
    </row>
    <row r="9" spans="1:32" ht="15" customHeight="1" x14ac:dyDescent="0.2">
      <c r="A9" s="19">
        <f t="shared" si="4"/>
        <v>6</v>
      </c>
      <c r="B9" s="28" t="s">
        <v>4083</v>
      </c>
      <c r="C9" s="101" t="s">
        <v>6547</v>
      </c>
      <c r="D9" s="101" t="s">
        <v>6547</v>
      </c>
      <c r="E9" s="105" t="s">
        <v>6444</v>
      </c>
      <c r="F9" s="28">
        <f t="shared" si="5"/>
        <v>6</v>
      </c>
      <c r="G9" s="28">
        <v>0.6</v>
      </c>
      <c r="H9" s="28">
        <f t="shared" si="1"/>
        <v>8.3999999999999986</v>
      </c>
      <c r="I9" s="28">
        <v>1</v>
      </c>
      <c r="J9" s="28">
        <v>0</v>
      </c>
      <c r="K9" s="28">
        <v>0</v>
      </c>
      <c r="L9" s="32">
        <v>1500</v>
      </c>
      <c r="M9" s="29">
        <v>1570</v>
      </c>
      <c r="N9" s="29">
        <v>1770</v>
      </c>
      <c r="O9" s="28">
        <f t="shared" si="6"/>
        <v>1413</v>
      </c>
      <c r="P9" s="28">
        <v>1</v>
      </c>
      <c r="Q9" s="29">
        <f t="shared" si="7"/>
        <v>1259.9999999999998</v>
      </c>
      <c r="R9" s="103">
        <v>1.8</v>
      </c>
      <c r="S9" s="32" t="s">
        <v>6441</v>
      </c>
      <c r="T9" s="104" t="str">
        <f t="shared" si="2"/>
        <v>temporärer Litzen-Anker 6x0,6" S1570/1770</v>
      </c>
      <c r="U9" s="103" t="str">
        <f t="shared" si="3"/>
        <v>temporary multiple strand-Anchor 6x0,6" S1570/1770</v>
      </c>
      <c r="V9" s="104" t="s">
        <v>5468</v>
      </c>
      <c r="W9" s="103" t="s">
        <v>5468</v>
      </c>
      <c r="X9" s="111" t="str">
        <f t="shared" si="8"/>
        <v>St1570/1770</v>
      </c>
      <c r="Y9" s="123">
        <v>192000000</v>
      </c>
      <c r="Z9" s="122">
        <f t="shared" si="9"/>
        <v>161279.99999999997</v>
      </c>
      <c r="AA9" s="28"/>
      <c r="AB9" s="28"/>
      <c r="AC9" s="31"/>
      <c r="AD9" s="31"/>
      <c r="AF9" s="109" t="s">
        <v>8442</v>
      </c>
    </row>
    <row r="10" spans="1:32" ht="15" customHeight="1" x14ac:dyDescent="0.2">
      <c r="A10" s="19">
        <f t="shared" si="4"/>
        <v>7</v>
      </c>
      <c r="B10" s="28" t="s">
        <v>4084</v>
      </c>
      <c r="C10" s="101" t="s">
        <v>6547</v>
      </c>
      <c r="D10" s="101" t="s">
        <v>6547</v>
      </c>
      <c r="E10" s="105" t="s">
        <v>6444</v>
      </c>
      <c r="F10" s="28">
        <f t="shared" si="5"/>
        <v>7</v>
      </c>
      <c r="G10" s="28">
        <v>0.6</v>
      </c>
      <c r="H10" s="28">
        <f t="shared" si="1"/>
        <v>9.7999999999999989</v>
      </c>
      <c r="I10" s="28">
        <v>1</v>
      </c>
      <c r="J10" s="28">
        <v>0</v>
      </c>
      <c r="K10" s="28">
        <v>0</v>
      </c>
      <c r="L10" s="32">
        <v>1500</v>
      </c>
      <c r="M10" s="29">
        <v>1570</v>
      </c>
      <c r="N10" s="29">
        <v>1770</v>
      </c>
      <c r="O10" s="28">
        <f>+M10*0.9</f>
        <v>1413</v>
      </c>
      <c r="P10" s="28">
        <v>1</v>
      </c>
      <c r="Q10" s="29">
        <f>+H10*L10/10</f>
        <v>1469.9999999999998</v>
      </c>
      <c r="R10" s="103">
        <v>1.8</v>
      </c>
      <c r="S10" s="32" t="s">
        <v>6441</v>
      </c>
      <c r="T10" s="104" t="str">
        <f t="shared" si="2"/>
        <v>temporärer Litzen-Anker 7x0,6" S1570/1770</v>
      </c>
      <c r="U10" s="103" t="str">
        <f t="shared" si="3"/>
        <v>temporary multiple strand-Anchor 7x0,6" S1570/1770</v>
      </c>
      <c r="V10" s="104" t="s">
        <v>5469</v>
      </c>
      <c r="W10" s="103" t="s">
        <v>5469</v>
      </c>
      <c r="X10" s="111" t="str">
        <f t="shared" si="8"/>
        <v>St1570/1770</v>
      </c>
      <c r="Y10" s="123">
        <v>192000000</v>
      </c>
      <c r="Z10" s="122">
        <f t="shared" si="9"/>
        <v>188159.99999999997</v>
      </c>
      <c r="AA10" s="28"/>
      <c r="AB10" s="28"/>
      <c r="AC10" s="31"/>
      <c r="AD10" s="31"/>
      <c r="AF10" s="109" t="s">
        <v>741</v>
      </c>
    </row>
    <row r="11" spans="1:32" ht="15" customHeight="1" x14ac:dyDescent="0.2">
      <c r="A11" s="19">
        <f t="shared" si="4"/>
        <v>8</v>
      </c>
      <c r="B11" s="28" t="s">
        <v>4085</v>
      </c>
      <c r="C11" s="101" t="s">
        <v>6547</v>
      </c>
      <c r="D11" s="101" t="s">
        <v>6547</v>
      </c>
      <c r="E11" s="105" t="s">
        <v>6444</v>
      </c>
      <c r="F11" s="28">
        <f t="shared" si="5"/>
        <v>8</v>
      </c>
      <c r="G11" s="28">
        <v>0.6</v>
      </c>
      <c r="H11" s="28">
        <f t="shared" si="1"/>
        <v>11.2</v>
      </c>
      <c r="I11" s="28">
        <v>1</v>
      </c>
      <c r="J11" s="28">
        <v>0</v>
      </c>
      <c r="K11" s="28">
        <v>0</v>
      </c>
      <c r="L11" s="32">
        <v>1500</v>
      </c>
      <c r="M11" s="29">
        <v>1570</v>
      </c>
      <c r="N11" s="29">
        <v>1770</v>
      </c>
      <c r="O11" s="28">
        <f t="shared" si="6"/>
        <v>1413</v>
      </c>
      <c r="P11" s="28">
        <v>1</v>
      </c>
      <c r="Q11" s="29">
        <f t="shared" si="7"/>
        <v>1680</v>
      </c>
      <c r="R11" s="103">
        <v>1.8</v>
      </c>
      <c r="S11" s="32" t="s">
        <v>6441</v>
      </c>
      <c r="T11" s="104" t="str">
        <f t="shared" si="2"/>
        <v>temporärer Litzen-Anker 8x0,6" S1570/1770</v>
      </c>
      <c r="U11" s="103" t="str">
        <f t="shared" si="3"/>
        <v>temporary multiple strand-Anchor 8x0,6" S1570/1770</v>
      </c>
      <c r="V11" s="104" t="s">
        <v>5460</v>
      </c>
      <c r="W11" s="103" t="s">
        <v>5460</v>
      </c>
      <c r="X11" s="111" t="str">
        <f t="shared" si="8"/>
        <v>St1570/1770</v>
      </c>
      <c r="Y11" s="123">
        <v>192000000</v>
      </c>
      <c r="Z11" s="122">
        <f t="shared" si="9"/>
        <v>215040</v>
      </c>
      <c r="AA11" s="28"/>
      <c r="AB11" s="28"/>
      <c r="AC11" s="31"/>
      <c r="AD11" s="31"/>
      <c r="AF11" s="109" t="s">
        <v>8418</v>
      </c>
    </row>
    <row r="12" spans="1:32" ht="15" customHeight="1" x14ac:dyDescent="0.2">
      <c r="A12" s="19">
        <f t="shared" si="4"/>
        <v>9</v>
      </c>
      <c r="B12" s="28" t="s">
        <v>4086</v>
      </c>
      <c r="C12" s="101" t="s">
        <v>6547</v>
      </c>
      <c r="D12" s="101" t="s">
        <v>6547</v>
      </c>
      <c r="E12" s="105" t="s">
        <v>6444</v>
      </c>
      <c r="F12" s="28">
        <f t="shared" si="5"/>
        <v>9</v>
      </c>
      <c r="G12" s="28">
        <v>0.6</v>
      </c>
      <c r="H12" s="28">
        <f t="shared" si="1"/>
        <v>12.6</v>
      </c>
      <c r="I12" s="28">
        <v>1</v>
      </c>
      <c r="J12" s="28">
        <v>0</v>
      </c>
      <c r="K12" s="28">
        <v>0</v>
      </c>
      <c r="L12" s="32">
        <v>1500</v>
      </c>
      <c r="M12" s="29">
        <v>1570</v>
      </c>
      <c r="N12" s="29">
        <v>1770</v>
      </c>
      <c r="O12" s="28">
        <f t="shared" si="6"/>
        <v>1413</v>
      </c>
      <c r="P12" s="28">
        <v>1</v>
      </c>
      <c r="Q12" s="29">
        <f t="shared" si="7"/>
        <v>1890</v>
      </c>
      <c r="R12" s="103">
        <v>1.8</v>
      </c>
      <c r="S12" s="32" t="s">
        <v>6441</v>
      </c>
      <c r="T12" s="104" t="str">
        <f t="shared" si="2"/>
        <v>temporärer Litzen-Anker 9x0,6" S1570/1770</v>
      </c>
      <c r="U12" s="103" t="str">
        <f t="shared" si="3"/>
        <v>temporary multiple strand-Anchor 9x0,6" S1570/1770</v>
      </c>
      <c r="V12" s="104" t="s">
        <v>5461</v>
      </c>
      <c r="W12" s="103" t="s">
        <v>5461</v>
      </c>
      <c r="X12" s="111" t="str">
        <f t="shared" si="8"/>
        <v>St1570/1770</v>
      </c>
      <c r="Y12" s="123">
        <v>192000000</v>
      </c>
      <c r="Z12" s="122">
        <f t="shared" si="9"/>
        <v>241920</v>
      </c>
      <c r="AA12" s="28"/>
      <c r="AB12" s="28"/>
      <c r="AC12" s="31"/>
      <c r="AD12" s="31"/>
      <c r="AF12" s="109" t="s">
        <v>8419</v>
      </c>
    </row>
    <row r="13" spans="1:32" ht="15" customHeight="1" x14ac:dyDescent="0.2">
      <c r="A13" s="19">
        <f t="shared" si="4"/>
        <v>10</v>
      </c>
      <c r="B13" s="28" t="s">
        <v>4087</v>
      </c>
      <c r="C13" s="101" t="s">
        <v>6547</v>
      </c>
      <c r="D13" s="101" t="s">
        <v>6547</v>
      </c>
      <c r="E13" s="105" t="s">
        <v>6444</v>
      </c>
      <c r="F13" s="28">
        <f t="shared" si="5"/>
        <v>10</v>
      </c>
      <c r="G13" s="28">
        <v>0.6</v>
      </c>
      <c r="H13" s="28">
        <f t="shared" si="1"/>
        <v>14</v>
      </c>
      <c r="I13" s="28">
        <v>1</v>
      </c>
      <c r="J13" s="28">
        <v>0</v>
      </c>
      <c r="K13" s="28">
        <v>0</v>
      </c>
      <c r="L13" s="32">
        <v>1500</v>
      </c>
      <c r="M13" s="29">
        <v>1570</v>
      </c>
      <c r="N13" s="29">
        <v>1770</v>
      </c>
      <c r="O13" s="28">
        <f t="shared" si="6"/>
        <v>1413</v>
      </c>
      <c r="P13" s="28">
        <v>1</v>
      </c>
      <c r="Q13" s="29">
        <f t="shared" si="7"/>
        <v>2100</v>
      </c>
      <c r="R13" s="103">
        <v>1.8</v>
      </c>
      <c r="S13" s="32" t="s">
        <v>6441</v>
      </c>
      <c r="T13" s="104" t="str">
        <f t="shared" si="2"/>
        <v>temporärer Litzen-Anker 10x0,6" S1570/1770</v>
      </c>
      <c r="U13" s="103" t="str">
        <f t="shared" si="3"/>
        <v>temporary multiple strand-Anchor 10x0,6" S1570/1770</v>
      </c>
      <c r="V13" s="104" t="s">
        <v>5462</v>
      </c>
      <c r="W13" s="103" t="s">
        <v>5462</v>
      </c>
      <c r="X13" s="111" t="str">
        <f t="shared" si="8"/>
        <v>St1570/1770</v>
      </c>
      <c r="Y13" s="123">
        <v>192000000</v>
      </c>
      <c r="Z13" s="122">
        <f t="shared" si="9"/>
        <v>268800</v>
      </c>
      <c r="AA13" s="28"/>
      <c r="AB13" s="28"/>
      <c r="AC13" s="31"/>
      <c r="AD13" s="31"/>
    </row>
    <row r="14" spans="1:32" ht="15" customHeight="1" x14ac:dyDescent="0.2">
      <c r="A14" s="19">
        <f t="shared" si="4"/>
        <v>11</v>
      </c>
      <c r="B14" s="28" t="s">
        <v>4088</v>
      </c>
      <c r="C14" s="101" t="s">
        <v>6547</v>
      </c>
      <c r="D14" s="101" t="s">
        <v>6547</v>
      </c>
      <c r="E14" s="105" t="s">
        <v>6444</v>
      </c>
      <c r="F14" s="28">
        <f t="shared" si="5"/>
        <v>11</v>
      </c>
      <c r="G14" s="28">
        <v>0.6</v>
      </c>
      <c r="H14" s="28">
        <f t="shared" si="1"/>
        <v>15.399999999999999</v>
      </c>
      <c r="I14" s="28">
        <v>1</v>
      </c>
      <c r="J14" s="28">
        <v>0</v>
      </c>
      <c r="K14" s="28">
        <v>0</v>
      </c>
      <c r="L14" s="32">
        <v>1500</v>
      </c>
      <c r="M14" s="29">
        <v>1570</v>
      </c>
      <c r="N14" s="29">
        <v>1770</v>
      </c>
      <c r="O14" s="28">
        <f t="shared" si="6"/>
        <v>1413</v>
      </c>
      <c r="P14" s="28">
        <v>1</v>
      </c>
      <c r="Q14" s="29">
        <f t="shared" si="7"/>
        <v>2309.9999999999995</v>
      </c>
      <c r="R14" s="103">
        <v>1.8</v>
      </c>
      <c r="S14" s="32" t="s">
        <v>6441</v>
      </c>
      <c r="T14" s="104" t="str">
        <f t="shared" si="2"/>
        <v>temporärer Litzen-Anker 11x0,6" S1570/1770</v>
      </c>
      <c r="U14" s="103" t="str">
        <f t="shared" si="3"/>
        <v>temporary multiple strand-Anchor 11x0,6" S1570/1770</v>
      </c>
      <c r="V14" s="104" t="s">
        <v>5463</v>
      </c>
      <c r="W14" s="103" t="s">
        <v>5463</v>
      </c>
      <c r="X14" s="111" t="str">
        <f t="shared" si="8"/>
        <v>St1570/1770</v>
      </c>
      <c r="Y14" s="123">
        <v>192000000</v>
      </c>
      <c r="Z14" s="122">
        <f t="shared" si="9"/>
        <v>295679.99999999994</v>
      </c>
      <c r="AA14" s="28"/>
      <c r="AB14" s="28"/>
      <c r="AC14" s="31"/>
      <c r="AD14" s="31"/>
    </row>
    <row r="15" spans="1:32" ht="15" customHeight="1" x14ac:dyDescent="0.2">
      <c r="A15" s="19">
        <f t="shared" si="4"/>
        <v>12</v>
      </c>
      <c r="B15" s="28" t="s">
        <v>4089</v>
      </c>
      <c r="C15" s="101" t="s">
        <v>6547</v>
      </c>
      <c r="D15" s="101" t="s">
        <v>6547</v>
      </c>
      <c r="E15" s="105" t="s">
        <v>6444</v>
      </c>
      <c r="F15" s="28">
        <v>2</v>
      </c>
      <c r="G15" s="28">
        <v>0.6</v>
      </c>
      <c r="H15" s="28">
        <f t="shared" si="1"/>
        <v>2.8</v>
      </c>
      <c r="I15" s="28">
        <v>1</v>
      </c>
      <c r="J15" s="28">
        <v>1</v>
      </c>
      <c r="K15" s="28">
        <v>2</v>
      </c>
      <c r="L15" s="32">
        <v>1500</v>
      </c>
      <c r="M15" s="29">
        <v>1570</v>
      </c>
      <c r="N15" s="29">
        <v>1770</v>
      </c>
      <c r="O15" s="28">
        <f t="shared" si="6"/>
        <v>1413</v>
      </c>
      <c r="P15" s="28">
        <v>2</v>
      </c>
      <c r="Q15" s="29">
        <f t="shared" si="7"/>
        <v>420</v>
      </c>
      <c r="R15" s="103">
        <v>1.2</v>
      </c>
      <c r="S15" s="32" t="s">
        <v>6441</v>
      </c>
      <c r="T15" s="104" t="str">
        <f t="shared" si="2"/>
        <v>permanter Litzen-Anker 2x0,6" S1570/1770 doppelter Korrosionschutz</v>
      </c>
      <c r="U15" s="103" t="str">
        <f t="shared" si="3"/>
        <v>permanent multiple strand-Anchor 2x0,6" S1570/1770 double corrosion protection</v>
      </c>
      <c r="V15" s="173" t="s">
        <v>4630</v>
      </c>
      <c r="W15" s="103" t="s">
        <v>5563</v>
      </c>
      <c r="X15" s="111" t="str">
        <f t="shared" si="8"/>
        <v>St1570/1770</v>
      </c>
      <c r="Y15" s="123">
        <v>192000000</v>
      </c>
      <c r="Z15" s="122">
        <f t="shared" si="9"/>
        <v>53760</v>
      </c>
      <c r="AA15" s="28"/>
      <c r="AB15" s="28"/>
      <c r="AC15" s="31"/>
      <c r="AD15" s="31"/>
    </row>
    <row r="16" spans="1:32" ht="15" customHeight="1" x14ac:dyDescent="0.2">
      <c r="A16" s="19">
        <f t="shared" si="4"/>
        <v>13</v>
      </c>
      <c r="B16" s="28" t="s">
        <v>4090</v>
      </c>
      <c r="C16" s="101" t="s">
        <v>6547</v>
      </c>
      <c r="D16" s="101" t="s">
        <v>6547</v>
      </c>
      <c r="E16" s="105" t="s">
        <v>6444</v>
      </c>
      <c r="F16" s="28">
        <v>3</v>
      </c>
      <c r="G16" s="28">
        <v>0.6</v>
      </c>
      <c r="H16" s="28">
        <f t="shared" si="1"/>
        <v>4.1999999999999993</v>
      </c>
      <c r="I16" s="28">
        <v>1</v>
      </c>
      <c r="J16" s="28">
        <v>1</v>
      </c>
      <c r="K16" s="28">
        <v>2</v>
      </c>
      <c r="L16" s="32">
        <v>1500</v>
      </c>
      <c r="M16" s="29">
        <v>1570</v>
      </c>
      <c r="N16" s="29">
        <v>1770</v>
      </c>
      <c r="O16" s="28">
        <f t="shared" si="6"/>
        <v>1413</v>
      </c>
      <c r="P16" s="28">
        <v>2</v>
      </c>
      <c r="Q16" s="29">
        <f t="shared" si="7"/>
        <v>629.99999999999989</v>
      </c>
      <c r="R16" s="103">
        <v>1.2</v>
      </c>
      <c r="S16" s="32" t="s">
        <v>6441</v>
      </c>
      <c r="T16" s="104" t="str">
        <f t="shared" si="2"/>
        <v>permanter Litzen-Anker 3x0,6" S1570/1770 doppelter Korrosionschutz</v>
      </c>
      <c r="U16" s="103" t="str">
        <f t="shared" si="3"/>
        <v>permanent multiple strand-Anchor 3x0,6" S1570/1770 double corrosion protection</v>
      </c>
      <c r="V16" s="104" t="s">
        <v>4631</v>
      </c>
      <c r="W16" s="103" t="s">
        <v>5564</v>
      </c>
      <c r="X16" s="111" t="str">
        <f t="shared" si="8"/>
        <v>St1570/1770</v>
      </c>
      <c r="Y16" s="123">
        <v>192000000</v>
      </c>
      <c r="Z16" s="122">
        <f t="shared" si="9"/>
        <v>80639.999999999985</v>
      </c>
      <c r="AA16" s="28"/>
      <c r="AB16" s="28"/>
      <c r="AC16" s="31"/>
      <c r="AD16" s="31"/>
    </row>
    <row r="17" spans="1:30" ht="15" customHeight="1" x14ac:dyDescent="0.2">
      <c r="A17" s="19">
        <f t="shared" si="4"/>
        <v>14</v>
      </c>
      <c r="B17" s="32" t="s">
        <v>4091</v>
      </c>
      <c r="C17" s="101" t="s">
        <v>6547</v>
      </c>
      <c r="D17" s="101" t="s">
        <v>6547</v>
      </c>
      <c r="E17" s="105" t="s">
        <v>6444</v>
      </c>
      <c r="F17" s="28">
        <v>4</v>
      </c>
      <c r="G17" s="28">
        <v>0.6</v>
      </c>
      <c r="H17" s="28">
        <f t="shared" si="1"/>
        <v>5.6</v>
      </c>
      <c r="I17" s="28">
        <v>1</v>
      </c>
      <c r="J17" s="28">
        <v>1</v>
      </c>
      <c r="K17" s="28">
        <v>2</v>
      </c>
      <c r="L17" s="32">
        <v>1500</v>
      </c>
      <c r="M17" s="29">
        <v>1570</v>
      </c>
      <c r="N17" s="29">
        <v>1770</v>
      </c>
      <c r="O17" s="28">
        <f t="shared" si="6"/>
        <v>1413</v>
      </c>
      <c r="P17" s="28">
        <v>2</v>
      </c>
      <c r="Q17" s="29">
        <f t="shared" si="7"/>
        <v>840</v>
      </c>
      <c r="R17" s="103">
        <v>1.2</v>
      </c>
      <c r="S17" s="32" t="s">
        <v>6441</v>
      </c>
      <c r="T17" s="104" t="str">
        <f t="shared" si="2"/>
        <v>permanter Litzen-Anker 4x0,6" S1570/1770 doppelter Korrosionschutz</v>
      </c>
      <c r="U17" s="103" t="str">
        <f t="shared" si="3"/>
        <v>permanent multiple strand-Anchor 4x0,6" S1570/1770 double corrosion protection</v>
      </c>
      <c r="V17" s="104" t="s">
        <v>4632</v>
      </c>
      <c r="W17" s="103" t="s">
        <v>5565</v>
      </c>
      <c r="X17" s="111" t="str">
        <f t="shared" si="8"/>
        <v>St1570/1770</v>
      </c>
      <c r="Y17" s="123">
        <v>192000000</v>
      </c>
      <c r="Z17" s="122">
        <f t="shared" si="9"/>
        <v>107520</v>
      </c>
      <c r="AA17" s="28"/>
      <c r="AB17" s="28"/>
      <c r="AC17" s="31"/>
      <c r="AD17" s="31"/>
    </row>
    <row r="18" spans="1:30" ht="15" customHeight="1" x14ac:dyDescent="0.2">
      <c r="A18" s="19">
        <f t="shared" si="4"/>
        <v>15</v>
      </c>
      <c r="B18" s="32" t="s">
        <v>4092</v>
      </c>
      <c r="C18" s="101" t="s">
        <v>6547</v>
      </c>
      <c r="D18" s="101" t="s">
        <v>6547</v>
      </c>
      <c r="E18" s="105" t="s">
        <v>6444</v>
      </c>
      <c r="F18" s="28">
        <v>5</v>
      </c>
      <c r="G18" s="28">
        <v>0.6</v>
      </c>
      <c r="H18" s="28">
        <f t="shared" si="1"/>
        <v>7</v>
      </c>
      <c r="I18" s="28">
        <v>1</v>
      </c>
      <c r="J18" s="28">
        <v>1</v>
      </c>
      <c r="K18" s="28">
        <v>2</v>
      </c>
      <c r="L18" s="32">
        <v>1500</v>
      </c>
      <c r="M18" s="29">
        <v>1570</v>
      </c>
      <c r="N18" s="29">
        <v>1770</v>
      </c>
      <c r="O18" s="28">
        <f t="shared" si="6"/>
        <v>1413</v>
      </c>
      <c r="P18" s="28">
        <v>2</v>
      </c>
      <c r="Q18" s="29">
        <f t="shared" si="7"/>
        <v>1050</v>
      </c>
      <c r="R18" s="103">
        <v>1.2</v>
      </c>
      <c r="S18" s="32" t="s">
        <v>6441</v>
      </c>
      <c r="T18" s="104" t="str">
        <f t="shared" si="2"/>
        <v>permanter Litzen-Anker 5x0,6" S1570/1770 doppelter Korrosionschutz</v>
      </c>
      <c r="U18" s="103" t="str">
        <f t="shared" si="3"/>
        <v>permanent multiple strand-Anchor 5x0,6" S1570/1770 double corrosion protection</v>
      </c>
      <c r="V18" s="104" t="s">
        <v>4633</v>
      </c>
      <c r="W18" s="103" t="s">
        <v>5566</v>
      </c>
      <c r="X18" s="111" t="str">
        <f t="shared" si="8"/>
        <v>St1570/1770</v>
      </c>
      <c r="Y18" s="123">
        <v>192000000</v>
      </c>
      <c r="Z18" s="122">
        <f t="shared" si="9"/>
        <v>134400</v>
      </c>
      <c r="AA18" s="28"/>
      <c r="AB18" s="28"/>
      <c r="AC18" s="31"/>
      <c r="AD18" s="31"/>
    </row>
    <row r="19" spans="1:30" ht="15" customHeight="1" x14ac:dyDescent="0.2">
      <c r="A19" s="19">
        <f t="shared" si="4"/>
        <v>16</v>
      </c>
      <c r="B19" s="32" t="s">
        <v>4093</v>
      </c>
      <c r="C19" s="101" t="s">
        <v>6547</v>
      </c>
      <c r="D19" s="101" t="s">
        <v>6547</v>
      </c>
      <c r="E19" s="105" t="s">
        <v>6444</v>
      </c>
      <c r="F19" s="28">
        <v>6</v>
      </c>
      <c r="G19" s="28">
        <v>0.6</v>
      </c>
      <c r="H19" s="28">
        <f t="shared" si="1"/>
        <v>8.3999999999999986</v>
      </c>
      <c r="I19" s="28">
        <v>1</v>
      </c>
      <c r="J19" s="28">
        <v>1</v>
      </c>
      <c r="K19" s="28">
        <v>2</v>
      </c>
      <c r="L19" s="32">
        <v>1500</v>
      </c>
      <c r="M19" s="29">
        <v>1570</v>
      </c>
      <c r="N19" s="29">
        <v>1770</v>
      </c>
      <c r="O19" s="28">
        <f t="shared" si="6"/>
        <v>1413</v>
      </c>
      <c r="P19" s="28">
        <v>2</v>
      </c>
      <c r="Q19" s="29">
        <f t="shared" si="7"/>
        <v>1259.9999999999998</v>
      </c>
      <c r="R19" s="103">
        <v>1.8</v>
      </c>
      <c r="S19" s="32" t="s">
        <v>6441</v>
      </c>
      <c r="T19" s="104" t="str">
        <f t="shared" si="2"/>
        <v>permanter Litzen-Anker 6x0,6" S1570/1770 doppelter Korrosionschutz</v>
      </c>
      <c r="U19" s="103" t="str">
        <f t="shared" si="3"/>
        <v>permanent multiple strand-Anchor 6x0,6" S1570/1770 double corrosion protection</v>
      </c>
      <c r="V19" s="104" t="s">
        <v>5097</v>
      </c>
      <c r="W19" s="103" t="s">
        <v>5567</v>
      </c>
      <c r="X19" s="111" t="str">
        <f t="shared" si="8"/>
        <v>St1570/1770</v>
      </c>
      <c r="Y19" s="123">
        <v>192000000</v>
      </c>
      <c r="Z19" s="122">
        <f t="shared" si="9"/>
        <v>161279.99999999997</v>
      </c>
      <c r="AA19" s="28"/>
      <c r="AB19" s="28"/>
      <c r="AC19" s="31"/>
      <c r="AD19" s="31"/>
    </row>
    <row r="20" spans="1:30" ht="15" customHeight="1" x14ac:dyDescent="0.2">
      <c r="A20" s="19">
        <f t="shared" si="4"/>
        <v>17</v>
      </c>
      <c r="B20" s="32" t="s">
        <v>4094</v>
      </c>
      <c r="C20" s="101" t="s">
        <v>6547</v>
      </c>
      <c r="D20" s="101" t="s">
        <v>6547</v>
      </c>
      <c r="E20" s="105" t="s">
        <v>6444</v>
      </c>
      <c r="F20" s="28">
        <v>7</v>
      </c>
      <c r="G20" s="28">
        <v>0.6</v>
      </c>
      <c r="H20" s="28">
        <f t="shared" si="1"/>
        <v>9.7999999999999989</v>
      </c>
      <c r="I20" s="28">
        <v>1</v>
      </c>
      <c r="J20" s="28">
        <v>1</v>
      </c>
      <c r="K20" s="28">
        <v>2</v>
      </c>
      <c r="L20" s="32">
        <v>1500</v>
      </c>
      <c r="M20" s="29">
        <v>1570</v>
      </c>
      <c r="N20" s="29">
        <v>1770</v>
      </c>
      <c r="O20" s="28">
        <f t="shared" si="6"/>
        <v>1413</v>
      </c>
      <c r="P20" s="28">
        <v>2</v>
      </c>
      <c r="Q20" s="29">
        <f t="shared" si="7"/>
        <v>1469.9999999999998</v>
      </c>
      <c r="R20" s="103">
        <v>1.8</v>
      </c>
      <c r="S20" s="32" t="s">
        <v>6441</v>
      </c>
      <c r="T20" s="104" t="str">
        <f t="shared" si="2"/>
        <v>permanter Litzen-Anker 7x0,6" S1570/1770 doppelter Korrosionschutz</v>
      </c>
      <c r="U20" s="103" t="str">
        <f t="shared" si="3"/>
        <v>permanent multiple strand-Anchor 7x0,6" S1570/1770 double corrosion protection</v>
      </c>
      <c r="V20" s="104" t="s">
        <v>5098</v>
      </c>
      <c r="W20" s="103" t="s">
        <v>5568</v>
      </c>
      <c r="X20" s="111" t="str">
        <f t="shared" si="8"/>
        <v>St1570/1770</v>
      </c>
      <c r="Y20" s="123">
        <v>192000000</v>
      </c>
      <c r="Z20" s="122">
        <f t="shared" si="9"/>
        <v>188159.99999999997</v>
      </c>
      <c r="AA20" s="28"/>
      <c r="AB20" s="28"/>
      <c r="AC20" s="31"/>
      <c r="AD20" s="31"/>
    </row>
    <row r="21" spans="1:30" ht="15" customHeight="1" x14ac:dyDescent="0.2">
      <c r="A21" s="19">
        <f t="shared" si="4"/>
        <v>18</v>
      </c>
      <c r="B21" s="32" t="s">
        <v>4095</v>
      </c>
      <c r="C21" s="101" t="s">
        <v>6547</v>
      </c>
      <c r="D21" s="101" t="s">
        <v>6547</v>
      </c>
      <c r="E21" s="105" t="s">
        <v>6444</v>
      </c>
      <c r="F21" s="28">
        <v>8</v>
      </c>
      <c r="G21" s="28">
        <v>0.6</v>
      </c>
      <c r="H21" s="28">
        <f t="shared" si="1"/>
        <v>11.2</v>
      </c>
      <c r="I21" s="28">
        <v>1</v>
      </c>
      <c r="J21" s="28">
        <v>1</v>
      </c>
      <c r="K21" s="28">
        <v>2</v>
      </c>
      <c r="L21" s="32">
        <v>1500</v>
      </c>
      <c r="M21" s="29">
        <v>1570</v>
      </c>
      <c r="N21" s="29">
        <v>1770</v>
      </c>
      <c r="O21" s="28">
        <f t="shared" si="6"/>
        <v>1413</v>
      </c>
      <c r="P21" s="28">
        <v>2</v>
      </c>
      <c r="Q21" s="29">
        <f t="shared" si="7"/>
        <v>1680</v>
      </c>
      <c r="R21" s="103">
        <v>1.8</v>
      </c>
      <c r="S21" s="32" t="s">
        <v>6441</v>
      </c>
      <c r="T21" s="104" t="str">
        <f t="shared" si="2"/>
        <v>permanter Litzen-Anker 8x0,6" S1570/1770 doppelter Korrosionschutz</v>
      </c>
      <c r="U21" s="103" t="str">
        <f t="shared" si="3"/>
        <v>permanent multiple strand-Anchor 8x0,6" S1570/1770 double corrosion protection</v>
      </c>
      <c r="V21" s="104" t="s">
        <v>5099</v>
      </c>
      <c r="W21" s="103" t="s">
        <v>5569</v>
      </c>
      <c r="X21" s="111" t="str">
        <f t="shared" si="8"/>
        <v>St1570/1770</v>
      </c>
      <c r="Y21" s="123">
        <v>192000000</v>
      </c>
      <c r="Z21" s="122">
        <f t="shared" si="9"/>
        <v>215040</v>
      </c>
      <c r="AA21" s="28"/>
      <c r="AB21" s="28"/>
      <c r="AC21" s="31"/>
      <c r="AD21" s="31"/>
    </row>
    <row r="22" spans="1:30" ht="15" customHeight="1" x14ac:dyDescent="0.2">
      <c r="A22" s="19">
        <f t="shared" si="4"/>
        <v>19</v>
      </c>
      <c r="B22" s="32" t="s">
        <v>4096</v>
      </c>
      <c r="C22" s="101" t="s">
        <v>6547</v>
      </c>
      <c r="D22" s="101" t="s">
        <v>6547</v>
      </c>
      <c r="E22" s="105" t="s">
        <v>6444</v>
      </c>
      <c r="F22" s="28">
        <v>9</v>
      </c>
      <c r="G22" s="28">
        <v>0.6</v>
      </c>
      <c r="H22" s="28">
        <f t="shared" si="1"/>
        <v>12.6</v>
      </c>
      <c r="I22" s="28">
        <v>1</v>
      </c>
      <c r="J22" s="28">
        <v>1</v>
      </c>
      <c r="K22" s="28">
        <v>2</v>
      </c>
      <c r="L22" s="32">
        <v>1500</v>
      </c>
      <c r="M22" s="29">
        <v>1570</v>
      </c>
      <c r="N22" s="29">
        <v>1770</v>
      </c>
      <c r="O22" s="28">
        <f t="shared" si="6"/>
        <v>1413</v>
      </c>
      <c r="P22" s="28">
        <v>2</v>
      </c>
      <c r="Q22" s="29">
        <f t="shared" si="7"/>
        <v>1890</v>
      </c>
      <c r="R22" s="103">
        <v>1.8</v>
      </c>
      <c r="S22" s="32" t="s">
        <v>6441</v>
      </c>
      <c r="T22" s="104" t="str">
        <f t="shared" si="2"/>
        <v>permanter Litzen-Anker 9x0,6" S1570/1770 doppelter Korrosionschutz</v>
      </c>
      <c r="U22" s="103" t="str">
        <f t="shared" si="3"/>
        <v>permanent multiple strand-Anchor 9x0,6" S1570/1770 double corrosion protection</v>
      </c>
      <c r="V22" s="104" t="s">
        <v>5100</v>
      </c>
      <c r="W22" s="103" t="s">
        <v>5570</v>
      </c>
      <c r="X22" s="111" t="str">
        <f t="shared" si="8"/>
        <v>St1570/1770</v>
      </c>
      <c r="Y22" s="123">
        <v>192000000</v>
      </c>
      <c r="Z22" s="122">
        <f t="shared" si="9"/>
        <v>241920</v>
      </c>
      <c r="AA22" s="28"/>
      <c r="AB22" s="28"/>
      <c r="AC22" s="31"/>
      <c r="AD22" s="31"/>
    </row>
    <row r="23" spans="1:30" ht="15" customHeight="1" x14ac:dyDescent="0.2">
      <c r="A23" s="19">
        <f t="shared" si="4"/>
        <v>20</v>
      </c>
      <c r="B23" s="32" t="s">
        <v>4097</v>
      </c>
      <c r="C23" s="101" t="s">
        <v>6547</v>
      </c>
      <c r="D23" s="101" t="s">
        <v>6547</v>
      </c>
      <c r="E23" s="105" t="s">
        <v>6444</v>
      </c>
      <c r="F23" s="28">
        <v>10</v>
      </c>
      <c r="G23" s="28">
        <v>0.6</v>
      </c>
      <c r="H23" s="28">
        <f t="shared" si="1"/>
        <v>14</v>
      </c>
      <c r="I23" s="28">
        <v>1</v>
      </c>
      <c r="J23" s="28">
        <v>1</v>
      </c>
      <c r="K23" s="28">
        <v>2</v>
      </c>
      <c r="L23" s="32">
        <v>1500</v>
      </c>
      <c r="M23" s="29">
        <v>1570</v>
      </c>
      <c r="N23" s="29">
        <v>1770</v>
      </c>
      <c r="O23" s="28">
        <f t="shared" si="6"/>
        <v>1413</v>
      </c>
      <c r="P23" s="28">
        <v>2</v>
      </c>
      <c r="Q23" s="29">
        <f t="shared" si="7"/>
        <v>2100</v>
      </c>
      <c r="R23" s="103">
        <v>1.8</v>
      </c>
      <c r="S23" s="32" t="s">
        <v>6441</v>
      </c>
      <c r="T23" s="104" t="str">
        <f t="shared" si="2"/>
        <v>permanter Litzen-Anker 10x0,6" S1570/1770 doppelter Korrosionschutz</v>
      </c>
      <c r="U23" s="103" t="str">
        <f t="shared" si="3"/>
        <v>permanent multiple strand-Anchor 10x0,6" S1570/1770 double corrosion protection</v>
      </c>
      <c r="V23" s="104" t="s">
        <v>5101</v>
      </c>
      <c r="W23" s="103" t="s">
        <v>5571</v>
      </c>
      <c r="X23" s="111" t="str">
        <f t="shared" si="8"/>
        <v>St1570/1770</v>
      </c>
      <c r="Y23" s="123">
        <v>192000000</v>
      </c>
      <c r="Z23" s="122">
        <f t="shared" si="9"/>
        <v>268800</v>
      </c>
      <c r="AA23" s="28"/>
      <c r="AB23" s="28"/>
      <c r="AC23" s="31"/>
      <c r="AD23" s="31"/>
    </row>
    <row r="24" spans="1:30" ht="15" customHeight="1" x14ac:dyDescent="0.2">
      <c r="A24" s="19">
        <f t="shared" si="4"/>
        <v>21</v>
      </c>
      <c r="B24" s="28" t="s">
        <v>4098</v>
      </c>
      <c r="C24" s="101" t="s">
        <v>6547</v>
      </c>
      <c r="D24" s="101" t="s">
        <v>6547</v>
      </c>
      <c r="E24" s="105" t="s">
        <v>6444</v>
      </c>
      <c r="F24" s="28">
        <v>11</v>
      </c>
      <c r="G24" s="28">
        <v>0.6</v>
      </c>
      <c r="H24" s="28">
        <f t="shared" si="1"/>
        <v>15.399999999999999</v>
      </c>
      <c r="I24" s="28">
        <v>1</v>
      </c>
      <c r="J24" s="28">
        <v>1</v>
      </c>
      <c r="K24" s="28">
        <v>2</v>
      </c>
      <c r="L24" s="32">
        <v>1500</v>
      </c>
      <c r="M24" s="29">
        <v>1570</v>
      </c>
      <c r="N24" s="29">
        <v>1770</v>
      </c>
      <c r="O24" s="28">
        <f t="shared" si="6"/>
        <v>1413</v>
      </c>
      <c r="P24" s="28">
        <v>2</v>
      </c>
      <c r="Q24" s="29">
        <f t="shared" si="7"/>
        <v>2309.9999999999995</v>
      </c>
      <c r="R24" s="103">
        <v>1.8</v>
      </c>
      <c r="S24" s="32" t="s">
        <v>6441</v>
      </c>
      <c r="T24" s="104" t="str">
        <f t="shared" si="2"/>
        <v>permanter Litzen-Anker 11x0,6" S1570/1770 doppelter Korrosionschutz</v>
      </c>
      <c r="U24" s="103" t="str">
        <f t="shared" si="3"/>
        <v>permanent multiple strand-Anchor 11x0,6" S1570/1770 double corrosion protection</v>
      </c>
      <c r="V24" s="104" t="s">
        <v>5102</v>
      </c>
      <c r="W24" s="103" t="s">
        <v>5572</v>
      </c>
      <c r="X24" s="111" t="str">
        <f t="shared" si="8"/>
        <v>St1570/1770</v>
      </c>
      <c r="Y24" s="123">
        <v>210000000</v>
      </c>
      <c r="Z24" s="122">
        <f t="shared" si="9"/>
        <v>323399.99999999994</v>
      </c>
      <c r="AA24" s="28"/>
      <c r="AB24" s="28"/>
      <c r="AC24" s="31"/>
      <c r="AD24" s="31"/>
    </row>
    <row r="25" spans="1:30" ht="15" customHeight="1" x14ac:dyDescent="0.2">
      <c r="A25" s="19">
        <f t="shared" si="4"/>
        <v>22</v>
      </c>
      <c r="B25" s="32" t="s">
        <v>4853</v>
      </c>
      <c r="C25" s="101" t="s">
        <v>1727</v>
      </c>
      <c r="D25" s="101" t="s">
        <v>1727</v>
      </c>
      <c r="E25" s="105" t="s">
        <v>1727</v>
      </c>
      <c r="F25" s="28">
        <v>1</v>
      </c>
      <c r="G25" s="28">
        <v>20</v>
      </c>
      <c r="H25" s="31">
        <f t="shared" ref="H25:H26" si="10">+G25^2*PI()/4/100</f>
        <v>3.1415926535897931</v>
      </c>
      <c r="I25" s="28">
        <v>0</v>
      </c>
      <c r="J25" s="28">
        <v>0</v>
      </c>
      <c r="K25" s="28">
        <v>0</v>
      </c>
      <c r="L25" s="32">
        <v>500</v>
      </c>
      <c r="M25" s="32">
        <v>500</v>
      </c>
      <c r="N25" s="29">
        <v>550</v>
      </c>
      <c r="O25" s="28">
        <f>+M25*0.9</f>
        <v>450</v>
      </c>
      <c r="P25" s="28">
        <v>3</v>
      </c>
      <c r="Q25" s="29">
        <f t="shared" si="7"/>
        <v>157.07963267948963</v>
      </c>
      <c r="R25" s="103">
        <v>0.3</v>
      </c>
      <c r="S25" s="107" t="s">
        <v>731</v>
      </c>
      <c r="T25" s="104" t="str">
        <f t="shared" si="2"/>
        <v>temporärer GEWI-Anker 20 mm S500/550</v>
      </c>
      <c r="U25" s="103" t="str">
        <f t="shared" si="3"/>
        <v>temporary GEWI-Anchor 20 mm S500/550</v>
      </c>
      <c r="V25" s="104" t="s">
        <v>5475</v>
      </c>
      <c r="W25" s="103" t="s">
        <v>5475</v>
      </c>
      <c r="X25" s="111" t="str">
        <f t="shared" ref="X25:X30" si="11">+"B"&amp;M25 &amp;"B"</f>
        <v>B500B</v>
      </c>
      <c r="Y25" s="123">
        <v>210000000</v>
      </c>
      <c r="Z25" s="122">
        <f t="shared" ref="Z25:Z26" si="12">+H25*Y25/100^2</f>
        <v>65973.445725385653</v>
      </c>
      <c r="AA25" s="28"/>
      <c r="AB25" s="28"/>
      <c r="AC25" s="31"/>
      <c r="AD25" s="31"/>
    </row>
    <row r="26" spans="1:30" ht="15" customHeight="1" x14ac:dyDescent="0.2">
      <c r="A26" s="19">
        <f t="shared" si="4"/>
        <v>23</v>
      </c>
      <c r="B26" s="32" t="s">
        <v>4854</v>
      </c>
      <c r="C26" s="101" t="s">
        <v>1727</v>
      </c>
      <c r="D26" s="101" t="s">
        <v>1727</v>
      </c>
      <c r="E26" s="105" t="s">
        <v>1727</v>
      </c>
      <c r="F26" s="28">
        <v>1</v>
      </c>
      <c r="G26" s="28">
        <v>25</v>
      </c>
      <c r="H26" s="31">
        <f t="shared" si="10"/>
        <v>4.908738521234052</v>
      </c>
      <c r="I26" s="28">
        <v>0</v>
      </c>
      <c r="J26" s="28">
        <v>0</v>
      </c>
      <c r="K26" s="28">
        <v>0</v>
      </c>
      <c r="L26" s="32">
        <v>500</v>
      </c>
      <c r="M26" s="32">
        <v>500</v>
      </c>
      <c r="N26" s="29">
        <v>550</v>
      </c>
      <c r="O26" s="28">
        <f>+M26*0.9</f>
        <v>450</v>
      </c>
      <c r="P26" s="28">
        <v>3</v>
      </c>
      <c r="Q26" s="29">
        <f t="shared" si="7"/>
        <v>245.43692606170262</v>
      </c>
      <c r="R26" s="103">
        <v>0.3</v>
      </c>
      <c r="S26" s="107" t="s">
        <v>731</v>
      </c>
      <c r="T26" s="104" t="str">
        <f t="shared" si="2"/>
        <v>temporärer GEWI-Anker 25 mm S500/550</v>
      </c>
      <c r="U26" s="103" t="str">
        <f t="shared" si="3"/>
        <v>temporary GEWI-Anchor 25 mm S500/550</v>
      </c>
      <c r="V26" s="104" t="s">
        <v>5476</v>
      </c>
      <c r="W26" s="103" t="s">
        <v>5476</v>
      </c>
      <c r="X26" s="111" t="str">
        <f t="shared" si="11"/>
        <v>B500B</v>
      </c>
      <c r="Y26" s="123">
        <v>210000000</v>
      </c>
      <c r="Z26" s="122">
        <f t="shared" si="12"/>
        <v>103083.50894591509</v>
      </c>
      <c r="AA26" s="28"/>
      <c r="AB26" s="28"/>
      <c r="AC26" s="31"/>
      <c r="AD26" s="31"/>
    </row>
    <row r="27" spans="1:30" ht="15" customHeight="1" x14ac:dyDescent="0.2">
      <c r="A27" s="19">
        <f t="shared" si="4"/>
        <v>24</v>
      </c>
      <c r="B27" s="28" t="s">
        <v>6411</v>
      </c>
      <c r="C27" s="101" t="s">
        <v>1727</v>
      </c>
      <c r="D27" s="101" t="s">
        <v>1727</v>
      </c>
      <c r="E27" s="105" t="s">
        <v>1727</v>
      </c>
      <c r="F27" s="28">
        <v>1</v>
      </c>
      <c r="G27" s="28">
        <v>28</v>
      </c>
      <c r="H27" s="31">
        <f t="shared" ref="H27:H39" si="13">+G27^2*PI()/4/100</f>
        <v>6.1575216010359943</v>
      </c>
      <c r="I27" s="28">
        <v>0</v>
      </c>
      <c r="J27" s="28">
        <v>0</v>
      </c>
      <c r="K27" s="28">
        <v>0</v>
      </c>
      <c r="L27" s="32">
        <v>500</v>
      </c>
      <c r="M27" s="32">
        <v>500</v>
      </c>
      <c r="N27" s="29">
        <v>550</v>
      </c>
      <c r="O27" s="28">
        <f t="shared" si="6"/>
        <v>450</v>
      </c>
      <c r="P27" s="28">
        <v>3</v>
      </c>
      <c r="Q27" s="29">
        <f t="shared" si="7"/>
        <v>307.8760800517997</v>
      </c>
      <c r="R27" s="103">
        <v>0.3</v>
      </c>
      <c r="S27" s="107" t="s">
        <v>731</v>
      </c>
      <c r="T27" s="104" t="str">
        <f t="shared" si="2"/>
        <v>temporärer GEWI-Anker 28 mm S500/550</v>
      </c>
      <c r="U27" s="103" t="str">
        <f t="shared" si="3"/>
        <v>temporary GEWI-Anchor 28 mm S500/550</v>
      </c>
      <c r="V27" s="104" t="s">
        <v>5470</v>
      </c>
      <c r="W27" s="103" t="s">
        <v>5470</v>
      </c>
      <c r="X27" s="111" t="str">
        <f t="shared" si="11"/>
        <v>B500B</v>
      </c>
      <c r="Y27" s="123">
        <v>210000000</v>
      </c>
      <c r="Z27" s="122">
        <f t="shared" si="9"/>
        <v>129307.95362175589</v>
      </c>
      <c r="AA27" s="28"/>
      <c r="AB27" s="28"/>
      <c r="AC27" s="31"/>
      <c r="AD27" s="31"/>
    </row>
    <row r="28" spans="1:30" ht="15" customHeight="1" x14ac:dyDescent="0.2">
      <c r="A28" s="19">
        <f t="shared" si="4"/>
        <v>25</v>
      </c>
      <c r="B28" s="28" t="s">
        <v>6412</v>
      </c>
      <c r="C28" s="101" t="s">
        <v>1727</v>
      </c>
      <c r="D28" s="101" t="s">
        <v>1727</v>
      </c>
      <c r="E28" s="105" t="s">
        <v>1727</v>
      </c>
      <c r="F28" s="28">
        <v>1</v>
      </c>
      <c r="G28" s="28">
        <v>32</v>
      </c>
      <c r="H28" s="31">
        <f t="shared" si="13"/>
        <v>8.0424771931898711</v>
      </c>
      <c r="I28" s="28">
        <v>0</v>
      </c>
      <c r="J28" s="28">
        <v>0</v>
      </c>
      <c r="K28" s="28">
        <v>0</v>
      </c>
      <c r="L28" s="32">
        <v>500</v>
      </c>
      <c r="M28" s="32">
        <v>500</v>
      </c>
      <c r="N28" s="29">
        <v>550</v>
      </c>
      <c r="O28" s="28">
        <f t="shared" si="6"/>
        <v>450</v>
      </c>
      <c r="P28" s="28">
        <v>3</v>
      </c>
      <c r="Q28" s="29">
        <f t="shared" si="7"/>
        <v>402.12385965949358</v>
      </c>
      <c r="R28" s="103">
        <v>0.3</v>
      </c>
      <c r="S28" s="107" t="s">
        <v>731</v>
      </c>
      <c r="T28" s="104" t="str">
        <f t="shared" si="2"/>
        <v>temporärer GEWI-Anker 32 mm S500/550</v>
      </c>
      <c r="U28" s="103" t="str">
        <f t="shared" si="3"/>
        <v>temporary GEWI-Anchor 32 mm S500/550</v>
      </c>
      <c r="V28" s="104" t="s">
        <v>5471</v>
      </c>
      <c r="W28" s="103" t="s">
        <v>5471</v>
      </c>
      <c r="X28" s="111" t="str">
        <f t="shared" si="11"/>
        <v>B500B</v>
      </c>
      <c r="Y28" s="123">
        <v>210000000</v>
      </c>
      <c r="Z28" s="122">
        <f t="shared" si="9"/>
        <v>168892.02105698729</v>
      </c>
      <c r="AA28" s="28"/>
      <c r="AB28" s="28"/>
      <c r="AC28" s="31"/>
      <c r="AD28" s="31"/>
    </row>
    <row r="29" spans="1:30" ht="15" customHeight="1" x14ac:dyDescent="0.2">
      <c r="A29" s="19">
        <f t="shared" si="4"/>
        <v>26</v>
      </c>
      <c r="B29" s="28" t="s">
        <v>6413</v>
      </c>
      <c r="C29" s="101" t="s">
        <v>1727</v>
      </c>
      <c r="D29" s="101" t="s">
        <v>1727</v>
      </c>
      <c r="E29" s="105" t="s">
        <v>1727</v>
      </c>
      <c r="F29" s="28">
        <v>1</v>
      </c>
      <c r="G29" s="28">
        <v>40</v>
      </c>
      <c r="H29" s="31">
        <f t="shared" si="13"/>
        <v>12.566370614359172</v>
      </c>
      <c r="I29" s="28">
        <v>0</v>
      </c>
      <c r="J29" s="28">
        <v>0</v>
      </c>
      <c r="K29" s="28">
        <v>0</v>
      </c>
      <c r="L29" s="32">
        <v>500</v>
      </c>
      <c r="M29" s="32">
        <v>500</v>
      </c>
      <c r="N29" s="29">
        <v>550</v>
      </c>
      <c r="O29" s="28">
        <f t="shared" si="6"/>
        <v>450</v>
      </c>
      <c r="P29" s="28">
        <v>3</v>
      </c>
      <c r="Q29" s="29">
        <f t="shared" si="7"/>
        <v>628.31853071795854</v>
      </c>
      <c r="R29" s="103">
        <v>0.3</v>
      </c>
      <c r="S29" s="107" t="s">
        <v>731</v>
      </c>
      <c r="T29" s="104" t="str">
        <f t="shared" si="2"/>
        <v>temporärer GEWI-Anker 40 mm S500/550</v>
      </c>
      <c r="U29" s="103" t="str">
        <f t="shared" si="3"/>
        <v>temporary GEWI-Anchor 40 mm S500/550</v>
      </c>
      <c r="V29" s="104" t="s">
        <v>5472</v>
      </c>
      <c r="W29" s="103" t="s">
        <v>5472</v>
      </c>
      <c r="X29" s="111" t="str">
        <f t="shared" si="11"/>
        <v>B500B</v>
      </c>
      <c r="Y29" s="123">
        <v>210000000</v>
      </c>
      <c r="Z29" s="122">
        <f t="shared" si="9"/>
        <v>263893.78290154261</v>
      </c>
      <c r="AA29" s="28"/>
      <c r="AB29" s="28"/>
      <c r="AC29" s="31"/>
      <c r="AD29" s="31"/>
    </row>
    <row r="30" spans="1:30" ht="15" customHeight="1" x14ac:dyDescent="0.2">
      <c r="A30" s="19">
        <f t="shared" si="4"/>
        <v>27</v>
      </c>
      <c r="B30" s="28" t="s">
        <v>6414</v>
      </c>
      <c r="C30" s="101" t="s">
        <v>1727</v>
      </c>
      <c r="D30" s="101" t="s">
        <v>1727</v>
      </c>
      <c r="E30" s="105" t="s">
        <v>1727</v>
      </c>
      <c r="F30" s="28">
        <v>1</v>
      </c>
      <c r="G30" s="28">
        <v>50</v>
      </c>
      <c r="H30" s="31">
        <f t="shared" si="13"/>
        <v>19.634954084936208</v>
      </c>
      <c r="I30" s="28">
        <v>0</v>
      </c>
      <c r="J30" s="28">
        <v>0</v>
      </c>
      <c r="K30" s="28">
        <v>0</v>
      </c>
      <c r="L30" s="32">
        <v>500</v>
      </c>
      <c r="M30" s="32">
        <v>500</v>
      </c>
      <c r="N30" s="29">
        <v>550</v>
      </c>
      <c r="O30" s="28">
        <f t="shared" si="6"/>
        <v>450</v>
      </c>
      <c r="P30" s="28">
        <v>3</v>
      </c>
      <c r="Q30" s="29">
        <f t="shared" si="7"/>
        <v>981.74770424681049</v>
      </c>
      <c r="R30" s="103">
        <v>0.3</v>
      </c>
      <c r="S30" s="107" t="s">
        <v>731</v>
      </c>
      <c r="T30" s="104" t="str">
        <f t="shared" si="2"/>
        <v>temporärer GEWI-Anker 50 mm S500/550</v>
      </c>
      <c r="U30" s="103" t="str">
        <f t="shared" si="3"/>
        <v>temporary GEWI-Anchor 50 mm S500/550</v>
      </c>
      <c r="V30" s="104" t="s">
        <v>5473</v>
      </c>
      <c r="W30" s="103" t="s">
        <v>5473</v>
      </c>
      <c r="X30" s="111" t="str">
        <f t="shared" si="11"/>
        <v>B500B</v>
      </c>
      <c r="Y30" s="123">
        <v>210000000</v>
      </c>
      <c r="Z30" s="122">
        <f t="shared" si="9"/>
        <v>412334.03578366037</v>
      </c>
      <c r="AA30" s="28"/>
      <c r="AB30" s="28"/>
      <c r="AC30" s="31"/>
      <c r="AD30" s="31"/>
    </row>
    <row r="31" spans="1:30" ht="15" customHeight="1" x14ac:dyDescent="0.2">
      <c r="A31" s="19">
        <f t="shared" si="4"/>
        <v>28</v>
      </c>
      <c r="B31" s="32" t="s">
        <v>6415</v>
      </c>
      <c r="C31" s="101" t="s">
        <v>1727</v>
      </c>
      <c r="D31" s="101" t="s">
        <v>1727</v>
      </c>
      <c r="E31" s="105" t="s">
        <v>1727</v>
      </c>
      <c r="F31" s="28">
        <v>1</v>
      </c>
      <c r="G31" s="28">
        <v>63</v>
      </c>
      <c r="H31" s="31">
        <f t="shared" si="13"/>
        <v>31.17245310524472</v>
      </c>
      <c r="I31" s="28">
        <v>0</v>
      </c>
      <c r="J31" s="28">
        <v>0</v>
      </c>
      <c r="K31" s="28">
        <v>0</v>
      </c>
      <c r="L31" s="32">
        <v>555</v>
      </c>
      <c r="M31" s="32">
        <v>555</v>
      </c>
      <c r="N31" s="29">
        <v>700</v>
      </c>
      <c r="O31" s="28">
        <f t="shared" si="6"/>
        <v>499.5</v>
      </c>
      <c r="P31" s="28">
        <v>3</v>
      </c>
      <c r="Q31" s="29">
        <f t="shared" si="7"/>
        <v>1730.0711473410818</v>
      </c>
      <c r="R31" s="103">
        <v>0.3</v>
      </c>
      <c r="S31" s="107" t="s">
        <v>731</v>
      </c>
      <c r="T31" s="104" t="str">
        <f t="shared" si="2"/>
        <v>temporärer GEWI-Anker 63 mm S555/700</v>
      </c>
      <c r="U31" s="103" t="str">
        <f t="shared" si="3"/>
        <v>temporary GEWI-Anchor 63 mm S555/700</v>
      </c>
      <c r="V31" s="104" t="s">
        <v>5474</v>
      </c>
      <c r="W31" s="103" t="s">
        <v>5474</v>
      </c>
      <c r="X31" s="111" t="str">
        <f>+"S"&amp;M31</f>
        <v>S555</v>
      </c>
      <c r="Y31" s="123">
        <v>210000000</v>
      </c>
      <c r="Z31" s="122">
        <f t="shared" si="9"/>
        <v>654621.5152101391</v>
      </c>
      <c r="AA31" s="28"/>
      <c r="AB31" s="28"/>
      <c r="AC31" s="31"/>
      <c r="AD31" s="31"/>
    </row>
    <row r="32" spans="1:30" ht="15" customHeight="1" x14ac:dyDescent="0.2">
      <c r="A32" s="19">
        <f t="shared" si="4"/>
        <v>29</v>
      </c>
      <c r="B32" s="32" t="s">
        <v>6416</v>
      </c>
      <c r="C32" s="101" t="s">
        <v>1727</v>
      </c>
      <c r="D32" s="101" t="s">
        <v>1727</v>
      </c>
      <c r="E32" s="105" t="s">
        <v>1727</v>
      </c>
      <c r="F32" s="28">
        <v>1</v>
      </c>
      <c r="G32" s="28">
        <v>28</v>
      </c>
      <c r="H32" s="31">
        <f t="shared" si="13"/>
        <v>6.1575216010359943</v>
      </c>
      <c r="I32" s="28">
        <v>0</v>
      </c>
      <c r="J32" s="28">
        <v>1</v>
      </c>
      <c r="K32" s="28">
        <v>1</v>
      </c>
      <c r="L32" s="32">
        <v>500</v>
      </c>
      <c r="M32" s="32">
        <v>500</v>
      </c>
      <c r="N32" s="29">
        <v>555</v>
      </c>
      <c r="O32" s="28">
        <v>230</v>
      </c>
      <c r="P32" s="28">
        <v>4</v>
      </c>
      <c r="Q32" s="29">
        <f>+H32*O32/10</f>
        <v>141.62299682382786</v>
      </c>
      <c r="R32" s="103">
        <v>0.3</v>
      </c>
      <c r="S32" s="107" t="s">
        <v>731</v>
      </c>
      <c r="T32" s="104" t="str">
        <f t="shared" si="2"/>
        <v>permanter GEWI-Anker 28 mm S500/555 einfacher Korrosionschutz</v>
      </c>
      <c r="U32" s="103" t="str">
        <f t="shared" si="3"/>
        <v>permanent GEWI-Anchor 28 mm S500/555 single corrosion protection</v>
      </c>
      <c r="V32" s="104" t="s">
        <v>3622</v>
      </c>
      <c r="W32" s="103" t="s">
        <v>2582</v>
      </c>
      <c r="X32" s="111" t="str">
        <f>+"B"&amp;M32 &amp;"B"</f>
        <v>B500B</v>
      </c>
      <c r="Y32" s="123">
        <v>210000000</v>
      </c>
      <c r="Z32" s="122">
        <f t="shared" si="9"/>
        <v>129307.95362175589</v>
      </c>
      <c r="AA32" s="28"/>
      <c r="AB32" s="28"/>
      <c r="AC32" s="31"/>
      <c r="AD32" s="31"/>
    </row>
    <row r="33" spans="1:30" ht="15" customHeight="1" x14ac:dyDescent="0.2">
      <c r="A33" s="19">
        <f t="shared" si="4"/>
        <v>30</v>
      </c>
      <c r="B33" s="32" t="s">
        <v>6417</v>
      </c>
      <c r="C33" s="101" t="s">
        <v>1727</v>
      </c>
      <c r="D33" s="101" t="s">
        <v>1727</v>
      </c>
      <c r="E33" s="105" t="s">
        <v>1727</v>
      </c>
      <c r="F33" s="28">
        <v>1</v>
      </c>
      <c r="G33" s="28">
        <v>32</v>
      </c>
      <c r="H33" s="31">
        <f t="shared" si="13"/>
        <v>8.0424771931898711</v>
      </c>
      <c r="I33" s="28">
        <v>0</v>
      </c>
      <c r="J33" s="28">
        <v>1</v>
      </c>
      <c r="K33" s="28">
        <v>1</v>
      </c>
      <c r="L33" s="32">
        <v>500</v>
      </c>
      <c r="M33" s="32">
        <v>500</v>
      </c>
      <c r="N33" s="29">
        <v>555</v>
      </c>
      <c r="O33" s="28">
        <v>230</v>
      </c>
      <c r="P33" s="28">
        <v>4</v>
      </c>
      <c r="Q33" s="29">
        <f>+H33*O33/10</f>
        <v>184.97697544336705</v>
      </c>
      <c r="R33" s="103">
        <v>0.3</v>
      </c>
      <c r="S33" s="107" t="s">
        <v>731</v>
      </c>
      <c r="T33" s="104" t="str">
        <f t="shared" si="2"/>
        <v>permanter GEWI-Anker 32 mm S500/555 einfacher Korrosionschutz</v>
      </c>
      <c r="U33" s="103" t="str">
        <f t="shared" si="3"/>
        <v>permanent GEWI-Anchor 32 mm S500/555 single corrosion protection</v>
      </c>
      <c r="V33" s="104" t="s">
        <v>3623</v>
      </c>
      <c r="W33" s="103" t="s">
        <v>2583</v>
      </c>
      <c r="X33" s="111" t="str">
        <f>+"B"&amp;M33 &amp;"B"</f>
        <v>B500B</v>
      </c>
      <c r="Y33" s="123">
        <v>210000000</v>
      </c>
      <c r="Z33" s="122">
        <f t="shared" si="9"/>
        <v>168892.02105698729</v>
      </c>
      <c r="AA33" s="28"/>
      <c r="AB33" s="28"/>
      <c r="AC33" s="31"/>
      <c r="AD33" s="31"/>
    </row>
    <row r="34" spans="1:30" ht="15" customHeight="1" x14ac:dyDescent="0.2">
      <c r="A34" s="19">
        <f t="shared" si="4"/>
        <v>31</v>
      </c>
      <c r="B34" s="32" t="s">
        <v>6418</v>
      </c>
      <c r="C34" s="101" t="s">
        <v>1727</v>
      </c>
      <c r="D34" s="101" t="s">
        <v>1727</v>
      </c>
      <c r="E34" s="105" t="s">
        <v>1727</v>
      </c>
      <c r="F34" s="28">
        <v>1</v>
      </c>
      <c r="G34" s="28">
        <v>40</v>
      </c>
      <c r="H34" s="31">
        <f t="shared" si="13"/>
        <v>12.566370614359172</v>
      </c>
      <c r="I34" s="28">
        <v>0</v>
      </c>
      <c r="J34" s="28">
        <v>1</v>
      </c>
      <c r="K34" s="28">
        <v>1</v>
      </c>
      <c r="L34" s="32">
        <v>500</v>
      </c>
      <c r="M34" s="32">
        <v>500</v>
      </c>
      <c r="N34" s="29">
        <v>555</v>
      </c>
      <c r="O34" s="28">
        <v>230</v>
      </c>
      <c r="P34" s="28">
        <v>4</v>
      </c>
      <c r="Q34" s="29">
        <f>+H34*O34/10</f>
        <v>289.02652413026101</v>
      </c>
      <c r="R34" s="103">
        <v>0.3</v>
      </c>
      <c r="S34" s="107" t="s">
        <v>731</v>
      </c>
      <c r="T34" s="104" t="str">
        <f t="shared" si="2"/>
        <v>permanter GEWI-Anker 40 mm S500/555 einfacher Korrosionschutz</v>
      </c>
      <c r="U34" s="103" t="str">
        <f t="shared" si="3"/>
        <v>permanent GEWI-Anchor 40 mm S500/555 single corrosion protection</v>
      </c>
      <c r="V34" s="104" t="s">
        <v>3624</v>
      </c>
      <c r="W34" s="103" t="s">
        <v>2584</v>
      </c>
      <c r="X34" s="111" t="str">
        <f>+"B"&amp;M34 &amp;"B"</f>
        <v>B500B</v>
      </c>
      <c r="Y34" s="123">
        <v>210000000</v>
      </c>
      <c r="Z34" s="122">
        <f t="shared" si="9"/>
        <v>263893.78290154261</v>
      </c>
      <c r="AA34" s="28"/>
      <c r="AB34" s="28"/>
      <c r="AC34" s="31"/>
      <c r="AD34" s="31"/>
    </row>
    <row r="35" spans="1:30" ht="15" customHeight="1" x14ac:dyDescent="0.2">
      <c r="A35" s="19">
        <f t="shared" si="4"/>
        <v>32</v>
      </c>
      <c r="B35" s="32" t="s">
        <v>6419</v>
      </c>
      <c r="C35" s="101" t="s">
        <v>1727</v>
      </c>
      <c r="D35" s="101" t="s">
        <v>1727</v>
      </c>
      <c r="E35" s="105" t="s">
        <v>1727</v>
      </c>
      <c r="F35" s="28">
        <v>1</v>
      </c>
      <c r="G35" s="28">
        <v>50</v>
      </c>
      <c r="H35" s="31">
        <f t="shared" si="13"/>
        <v>19.634954084936208</v>
      </c>
      <c r="I35" s="28">
        <v>0</v>
      </c>
      <c r="J35" s="28">
        <v>1</v>
      </c>
      <c r="K35" s="28">
        <v>1</v>
      </c>
      <c r="L35" s="32">
        <v>500</v>
      </c>
      <c r="M35" s="32">
        <v>500</v>
      </c>
      <c r="N35" s="29">
        <v>555</v>
      </c>
      <c r="O35" s="28">
        <v>230</v>
      </c>
      <c r="P35" s="28">
        <v>4</v>
      </c>
      <c r="Q35" s="29">
        <f>+H35*O35/10</f>
        <v>451.60394395353279</v>
      </c>
      <c r="R35" s="103">
        <v>0.3</v>
      </c>
      <c r="S35" s="107" t="s">
        <v>731</v>
      </c>
      <c r="T35" s="104" t="str">
        <f t="shared" si="2"/>
        <v>permanter GEWI-Anker 50 mm S500/555 einfacher Korrosionschutz</v>
      </c>
      <c r="U35" s="103" t="str">
        <f t="shared" si="3"/>
        <v>permanent GEWI-Anchor 50 mm S500/555 single corrosion protection</v>
      </c>
      <c r="V35" s="104" t="s">
        <v>3625</v>
      </c>
      <c r="W35" s="103" t="s">
        <v>2585</v>
      </c>
      <c r="X35" s="111" t="str">
        <f>+"B"&amp;M35 &amp;"B"</f>
        <v>B500B</v>
      </c>
      <c r="Y35" s="123">
        <v>210000000</v>
      </c>
      <c r="Z35" s="122">
        <f t="shared" si="9"/>
        <v>412334.03578366037</v>
      </c>
      <c r="AA35" s="28"/>
      <c r="AB35" s="28"/>
      <c r="AC35" s="31"/>
      <c r="AD35" s="31"/>
    </row>
    <row r="36" spans="1:30" ht="15" customHeight="1" x14ac:dyDescent="0.2">
      <c r="A36" s="19">
        <f t="shared" si="4"/>
        <v>33</v>
      </c>
      <c r="B36" s="32" t="s">
        <v>6420</v>
      </c>
      <c r="C36" s="101" t="s">
        <v>1727</v>
      </c>
      <c r="D36" s="101" t="s">
        <v>1727</v>
      </c>
      <c r="E36" s="105" t="s">
        <v>1727</v>
      </c>
      <c r="F36" s="28">
        <v>1</v>
      </c>
      <c r="G36" s="28">
        <v>63</v>
      </c>
      <c r="H36" s="31">
        <f t="shared" si="13"/>
        <v>31.17245310524472</v>
      </c>
      <c r="I36" s="28">
        <v>0</v>
      </c>
      <c r="J36" s="28">
        <v>1</v>
      </c>
      <c r="K36" s="28">
        <v>1</v>
      </c>
      <c r="L36" s="32">
        <v>555</v>
      </c>
      <c r="M36" s="32">
        <v>555</v>
      </c>
      <c r="N36" s="29">
        <v>700</v>
      </c>
      <c r="O36" s="28">
        <v>230</v>
      </c>
      <c r="P36" s="28">
        <v>4</v>
      </c>
      <c r="Q36" s="29">
        <f>+H36*O36/10</f>
        <v>716.96642142062854</v>
      </c>
      <c r="R36" s="103">
        <v>0.3</v>
      </c>
      <c r="S36" s="107" t="s">
        <v>731</v>
      </c>
      <c r="T36" s="104" t="str">
        <f t="shared" si="2"/>
        <v>permanter GEWI-Anker 63 mm S555/700 einfacher Korrosionschutz</v>
      </c>
      <c r="U36" s="103" t="str">
        <f t="shared" si="3"/>
        <v>permanent GEWI-Anchor 63 mm S555/700 single corrosion protection</v>
      </c>
      <c r="V36" s="104" t="s">
        <v>3626</v>
      </c>
      <c r="W36" s="103" t="s">
        <v>8311</v>
      </c>
      <c r="X36" s="111" t="str">
        <f>+"S"&amp;M36</f>
        <v>S555</v>
      </c>
      <c r="Y36" s="123">
        <v>210000000</v>
      </c>
      <c r="Z36" s="122">
        <f t="shared" si="9"/>
        <v>654621.5152101391</v>
      </c>
      <c r="AA36" s="28"/>
      <c r="AB36" s="28"/>
      <c r="AC36" s="31"/>
      <c r="AD36" s="31"/>
    </row>
    <row r="37" spans="1:30" ht="15" customHeight="1" x14ac:dyDescent="0.2">
      <c r="A37" s="19">
        <f t="shared" si="4"/>
        <v>34</v>
      </c>
      <c r="B37" s="32" t="s">
        <v>6421</v>
      </c>
      <c r="C37" s="101" t="s">
        <v>1727</v>
      </c>
      <c r="D37" s="101" t="s">
        <v>1727</v>
      </c>
      <c r="E37" s="105" t="s">
        <v>1727</v>
      </c>
      <c r="F37" s="28">
        <v>1</v>
      </c>
      <c r="G37" s="28">
        <v>28</v>
      </c>
      <c r="H37" s="31">
        <f t="shared" si="13"/>
        <v>6.1575216010359943</v>
      </c>
      <c r="I37" s="28">
        <v>0</v>
      </c>
      <c r="J37" s="28">
        <v>1</v>
      </c>
      <c r="K37" s="28">
        <v>2</v>
      </c>
      <c r="L37" s="32">
        <v>500</v>
      </c>
      <c r="M37" s="32">
        <v>500</v>
      </c>
      <c r="N37" s="29">
        <v>550</v>
      </c>
      <c r="O37" s="28">
        <f>+M37*0.9</f>
        <v>450</v>
      </c>
      <c r="P37" s="28">
        <v>5</v>
      </c>
      <c r="Q37" s="29">
        <f t="shared" si="7"/>
        <v>307.8760800517997</v>
      </c>
      <c r="R37" s="103">
        <v>0.3</v>
      </c>
      <c r="S37" s="107" t="s">
        <v>731</v>
      </c>
      <c r="T37" s="104" t="str">
        <f t="shared" si="2"/>
        <v>permanter GEWI-Anker 28 mm S500/550 doppelter Korrosionschutz</v>
      </c>
      <c r="U37" s="103" t="str">
        <f t="shared" si="3"/>
        <v>permanent GEWI-Anchor 28 mm S500/550 double corrosion protection</v>
      </c>
      <c r="V37" s="104" t="s">
        <v>3627</v>
      </c>
      <c r="W37" s="103" t="s">
        <v>8312</v>
      </c>
      <c r="X37" s="111" t="str">
        <f>+"B"&amp;M37 &amp;"B"</f>
        <v>B500B</v>
      </c>
      <c r="Y37" s="123">
        <v>210000000</v>
      </c>
      <c r="Z37" s="122">
        <f t="shared" si="9"/>
        <v>129307.95362175589</v>
      </c>
      <c r="AA37" s="28"/>
      <c r="AB37" s="28"/>
      <c r="AC37" s="31"/>
      <c r="AD37" s="31"/>
    </row>
    <row r="38" spans="1:30" ht="15" customHeight="1" x14ac:dyDescent="0.2">
      <c r="A38" s="19">
        <f t="shared" si="4"/>
        <v>35</v>
      </c>
      <c r="B38" s="32" t="s">
        <v>6422</v>
      </c>
      <c r="C38" s="101" t="s">
        <v>1727</v>
      </c>
      <c r="D38" s="101" t="s">
        <v>1727</v>
      </c>
      <c r="E38" s="105" t="s">
        <v>1727</v>
      </c>
      <c r="F38" s="28">
        <v>1</v>
      </c>
      <c r="G38" s="28">
        <v>32</v>
      </c>
      <c r="H38" s="31">
        <f t="shared" si="13"/>
        <v>8.0424771931898711</v>
      </c>
      <c r="I38" s="28">
        <v>0</v>
      </c>
      <c r="J38" s="28">
        <v>1</v>
      </c>
      <c r="K38" s="28">
        <v>2</v>
      </c>
      <c r="L38" s="32">
        <v>500</v>
      </c>
      <c r="M38" s="32">
        <v>500</v>
      </c>
      <c r="N38" s="29">
        <v>550</v>
      </c>
      <c r="O38" s="28">
        <f>+M38*0.9</f>
        <v>450</v>
      </c>
      <c r="P38" s="28">
        <v>5</v>
      </c>
      <c r="Q38" s="29">
        <f t="shared" si="7"/>
        <v>402.12385965949358</v>
      </c>
      <c r="R38" s="103">
        <v>0.3</v>
      </c>
      <c r="S38" s="107" t="s">
        <v>731</v>
      </c>
      <c r="T38" s="104" t="str">
        <f t="shared" ref="T38:T68" si="14">+IF(D38="-","",IF(J38=0,"temporärer ","permanter ")&amp;D38&amp;"-Anker "&amp;IF(F38&gt;1,F38&amp;"x","")&amp;G38&amp;S38&amp;" S"&amp;M38&amp;"/"&amp;N38&amp;IF(J38&gt;0,IF(K38=1," einfacher "," doppelter ")&amp;"Korrosionschutz",""))</f>
        <v>permanter GEWI-Anker 32 mm S500/550 doppelter Korrosionschutz</v>
      </c>
      <c r="U38" s="103" t="str">
        <f t="shared" ref="U38:U68" si="15">+IF(D38="-","",IF(J38=0,"temporary ","permanent ")&amp;E38&amp;"-Anchor "&amp;IF(F38&gt;1,F38&amp;"x","")&amp;G38&amp;S38&amp;" S"&amp;M38&amp;"/"&amp;N38&amp;IF(J38&gt;0,IF(K38=1," single "," double ")&amp;"corrosion protection",""))</f>
        <v>permanent GEWI-Anchor 32 mm S500/550 double corrosion protection</v>
      </c>
      <c r="V38" s="104" t="s">
        <v>4626</v>
      </c>
      <c r="W38" s="103" t="s">
        <v>8313</v>
      </c>
      <c r="X38" s="111" t="str">
        <f>+"B"&amp;M38 &amp;"B"</f>
        <v>B500B</v>
      </c>
      <c r="Y38" s="123">
        <v>210000000</v>
      </c>
      <c r="Z38" s="122">
        <f t="shared" si="9"/>
        <v>168892.02105698729</v>
      </c>
      <c r="AA38" s="28"/>
      <c r="AB38" s="28"/>
      <c r="AC38" s="31"/>
      <c r="AD38" s="31"/>
    </row>
    <row r="39" spans="1:30" ht="15" customHeight="1" x14ac:dyDescent="0.2">
      <c r="A39" s="19">
        <f t="shared" si="4"/>
        <v>36</v>
      </c>
      <c r="B39" s="32" t="s">
        <v>6423</v>
      </c>
      <c r="C39" s="101" t="s">
        <v>1727</v>
      </c>
      <c r="D39" s="101" t="s">
        <v>1727</v>
      </c>
      <c r="E39" s="105" t="s">
        <v>1727</v>
      </c>
      <c r="F39" s="28">
        <v>1</v>
      </c>
      <c r="G39" s="28">
        <v>40</v>
      </c>
      <c r="H39" s="31">
        <f t="shared" si="13"/>
        <v>12.566370614359172</v>
      </c>
      <c r="I39" s="28">
        <v>0</v>
      </c>
      <c r="J39" s="28">
        <v>1</v>
      </c>
      <c r="K39" s="28">
        <v>2</v>
      </c>
      <c r="L39" s="32">
        <v>500</v>
      </c>
      <c r="M39" s="32">
        <v>500</v>
      </c>
      <c r="N39" s="29">
        <v>550</v>
      </c>
      <c r="O39" s="28">
        <f>+M39*0.9</f>
        <v>450</v>
      </c>
      <c r="P39" s="28">
        <v>5</v>
      </c>
      <c r="Q39" s="29">
        <f t="shared" ref="Q39:Q73" si="16">+H39*L39/10</f>
        <v>628.31853071795854</v>
      </c>
      <c r="R39" s="103">
        <v>0.3</v>
      </c>
      <c r="S39" s="107" t="s">
        <v>731</v>
      </c>
      <c r="T39" s="104" t="str">
        <f t="shared" si="14"/>
        <v>permanter GEWI-Anker 40 mm S500/550 doppelter Korrosionschutz</v>
      </c>
      <c r="U39" s="103" t="str">
        <f t="shared" si="15"/>
        <v>permanent GEWI-Anchor 40 mm S500/550 double corrosion protection</v>
      </c>
      <c r="V39" s="104" t="s">
        <v>4627</v>
      </c>
      <c r="W39" s="103" t="s">
        <v>8314</v>
      </c>
      <c r="X39" s="111" t="str">
        <f>+"B"&amp;M39 &amp;"B"</f>
        <v>B500B</v>
      </c>
      <c r="Y39" s="123">
        <v>210000000</v>
      </c>
      <c r="Z39" s="122">
        <f t="shared" si="9"/>
        <v>263893.78290154261</v>
      </c>
      <c r="AA39" s="28"/>
      <c r="AB39" s="28"/>
      <c r="AC39" s="31"/>
      <c r="AD39" s="31"/>
    </row>
    <row r="40" spans="1:30" ht="15" customHeight="1" x14ac:dyDescent="0.2">
      <c r="A40" s="19">
        <f>+A39+1</f>
        <v>37</v>
      </c>
      <c r="B40" s="32" t="s">
        <v>6426</v>
      </c>
      <c r="C40" s="102" t="s">
        <v>1431</v>
      </c>
      <c r="D40" s="102" t="s">
        <v>1431</v>
      </c>
      <c r="E40" s="106" t="s">
        <v>1431</v>
      </c>
      <c r="F40" s="28">
        <v>0</v>
      </c>
      <c r="G40" s="28">
        <v>0</v>
      </c>
      <c r="H40" s="28">
        <v>0</v>
      </c>
      <c r="I40" s="28">
        <v>0</v>
      </c>
      <c r="J40" s="28">
        <v>0</v>
      </c>
      <c r="K40" s="28">
        <v>0</v>
      </c>
      <c r="L40" s="28">
        <v>0</v>
      </c>
      <c r="M40" s="29">
        <v>0</v>
      </c>
      <c r="N40" s="29">
        <v>0</v>
      </c>
      <c r="O40" s="28">
        <v>0</v>
      </c>
      <c r="P40" s="28">
        <v>6</v>
      </c>
      <c r="Q40" s="29">
        <f t="shared" si="16"/>
        <v>0</v>
      </c>
      <c r="R40" s="103">
        <v>0</v>
      </c>
      <c r="S40" s="107" t="s">
        <v>1431</v>
      </c>
      <c r="T40" s="104" t="str">
        <f t="shared" si="14"/>
        <v/>
      </c>
      <c r="U40" s="103" t="str">
        <f t="shared" si="15"/>
        <v/>
      </c>
      <c r="V40" s="104" t="s">
        <v>5459</v>
      </c>
      <c r="W40" s="103" t="s">
        <v>5459</v>
      </c>
      <c r="X40" s="111"/>
      <c r="Y40" s="123">
        <v>210000000</v>
      </c>
      <c r="Z40" s="122">
        <f t="shared" si="9"/>
        <v>0</v>
      </c>
      <c r="AA40" s="28"/>
      <c r="AB40" s="28"/>
      <c r="AC40" s="31"/>
      <c r="AD40" s="31"/>
    </row>
    <row r="41" spans="1:30" ht="15" customHeight="1" x14ac:dyDescent="0.2">
      <c r="A41" s="19">
        <f>+A40+1</f>
        <v>38</v>
      </c>
      <c r="B41" s="32" t="s">
        <v>6427</v>
      </c>
      <c r="C41" s="102" t="s">
        <v>1431</v>
      </c>
      <c r="D41" s="102" t="s">
        <v>1431</v>
      </c>
      <c r="E41" s="106" t="s">
        <v>1431</v>
      </c>
      <c r="F41" s="28">
        <v>0</v>
      </c>
      <c r="G41" s="28">
        <v>0</v>
      </c>
      <c r="H41" s="28">
        <v>0</v>
      </c>
      <c r="I41" s="28">
        <v>0</v>
      </c>
      <c r="J41" s="28">
        <v>0</v>
      </c>
      <c r="K41" s="28">
        <v>0</v>
      </c>
      <c r="L41" s="28">
        <v>0</v>
      </c>
      <c r="M41" s="29">
        <v>0</v>
      </c>
      <c r="N41" s="29">
        <v>0</v>
      </c>
      <c r="O41" s="28">
        <v>0</v>
      </c>
      <c r="P41" s="28">
        <v>6</v>
      </c>
      <c r="Q41" s="29">
        <f t="shared" si="16"/>
        <v>0</v>
      </c>
      <c r="R41" s="103">
        <v>0</v>
      </c>
      <c r="S41" s="107" t="s">
        <v>1431</v>
      </c>
      <c r="T41" s="104" t="str">
        <f t="shared" si="14"/>
        <v/>
      </c>
      <c r="U41" s="103" t="str">
        <f t="shared" si="15"/>
        <v/>
      </c>
      <c r="V41" s="104" t="s">
        <v>5459</v>
      </c>
      <c r="W41" s="103" t="s">
        <v>5459</v>
      </c>
      <c r="X41" s="111"/>
      <c r="Y41" s="123">
        <v>210000000</v>
      </c>
      <c r="Z41" s="122">
        <f t="shared" si="9"/>
        <v>0</v>
      </c>
      <c r="AA41" s="28"/>
      <c r="AB41" s="28"/>
      <c r="AC41" s="31"/>
      <c r="AD41" s="31"/>
    </row>
    <row r="42" spans="1:30" ht="15" customHeight="1" x14ac:dyDescent="0.2">
      <c r="A42" s="19">
        <f>+A41+1</f>
        <v>39</v>
      </c>
      <c r="B42" s="32" t="s">
        <v>6424</v>
      </c>
      <c r="C42" s="102" t="s">
        <v>1727</v>
      </c>
      <c r="D42" s="102" t="s">
        <v>1727</v>
      </c>
      <c r="E42" s="106" t="s">
        <v>1727</v>
      </c>
      <c r="F42" s="28">
        <v>1</v>
      </c>
      <c r="G42" s="28">
        <v>50</v>
      </c>
      <c r="H42" s="28">
        <f t="shared" ref="H42:H43" si="17">+G42^2*PI()/4/100</f>
        <v>19.634954084936208</v>
      </c>
      <c r="I42" s="28">
        <v>0</v>
      </c>
      <c r="J42" s="28">
        <v>1</v>
      </c>
      <c r="K42" s="28">
        <v>2</v>
      </c>
      <c r="L42" s="28">
        <v>500</v>
      </c>
      <c r="M42" s="29">
        <v>500</v>
      </c>
      <c r="N42" s="29">
        <v>550</v>
      </c>
      <c r="O42" s="28">
        <f>+M42*0.9</f>
        <v>450</v>
      </c>
      <c r="P42" s="28">
        <v>5</v>
      </c>
      <c r="Q42" s="29">
        <f t="shared" ref="Q42:Q43" si="18">+H42*L42/10</f>
        <v>981.74770424681049</v>
      </c>
      <c r="R42" s="103">
        <v>0.3</v>
      </c>
      <c r="S42" s="107" t="s">
        <v>731</v>
      </c>
      <c r="T42" s="104" t="str">
        <f t="shared" ref="T42:T43" si="19">+IF(D42="-","",IF(J42=0,"temporärer ","permanter ")&amp;D42&amp;"-Anker "&amp;IF(F42&gt;1,F42&amp;"x","")&amp;G42&amp;S42&amp;" S"&amp;M42&amp;"/"&amp;N42&amp;IF(J42&gt;0,IF(K42=1," einfacher "," doppelter ")&amp;"Korrosionschutz",""))</f>
        <v>permanter GEWI-Anker 50 mm S500/550 doppelter Korrosionschutz</v>
      </c>
      <c r="U42" s="103" t="str">
        <f t="shared" ref="U42:U43" si="20">+IF(D42="-","",IF(J42=0,"temporary ","permanent ")&amp;E42&amp;"-Anchor "&amp;IF(F42&gt;1,F42&amp;"x","")&amp;G42&amp;S42&amp;" S"&amp;M42&amp;"/"&amp;N42&amp;IF(J42&gt;0,IF(K42=1," single "," double ")&amp;"corrosion protection",""))</f>
        <v>permanent GEWI-Anchor 50 mm S500/550 double corrosion protection</v>
      </c>
      <c r="V42" s="104" t="s">
        <v>4628</v>
      </c>
      <c r="W42" s="103" t="s">
        <v>8315</v>
      </c>
      <c r="X42" s="111" t="str">
        <f>+"B"&amp;M42 &amp;"B"</f>
        <v>B500B</v>
      </c>
      <c r="Y42" s="123">
        <v>210000000</v>
      </c>
      <c r="Z42" s="122">
        <f t="shared" ref="Z42:Z43" si="21">+H42*Y42/100^2</f>
        <v>412334.03578366037</v>
      </c>
      <c r="AA42" s="28"/>
      <c r="AB42" s="28"/>
      <c r="AC42" s="31"/>
      <c r="AD42" s="31"/>
    </row>
    <row r="43" spans="1:30" ht="15" customHeight="1" x14ac:dyDescent="0.2">
      <c r="A43" s="19">
        <f>+A42+1</f>
        <v>40</v>
      </c>
      <c r="B43" s="32" t="s">
        <v>6425</v>
      </c>
      <c r="C43" s="102" t="s">
        <v>1727</v>
      </c>
      <c r="D43" s="102" t="s">
        <v>1727</v>
      </c>
      <c r="E43" s="106" t="s">
        <v>1727</v>
      </c>
      <c r="F43" s="28">
        <v>1</v>
      </c>
      <c r="G43" s="28">
        <v>63</v>
      </c>
      <c r="H43" s="28">
        <f t="shared" si="17"/>
        <v>31.17245310524472</v>
      </c>
      <c r="I43" s="28">
        <v>0</v>
      </c>
      <c r="J43" s="28">
        <v>1</v>
      </c>
      <c r="K43" s="28">
        <v>2</v>
      </c>
      <c r="L43" s="28">
        <v>555</v>
      </c>
      <c r="M43" s="29">
        <v>555</v>
      </c>
      <c r="N43" s="29">
        <v>700</v>
      </c>
      <c r="O43" s="28">
        <f>+M43*0.9</f>
        <v>499.5</v>
      </c>
      <c r="P43" s="28">
        <v>5</v>
      </c>
      <c r="Q43" s="29">
        <f t="shared" si="18"/>
        <v>1730.0711473410818</v>
      </c>
      <c r="R43" s="103">
        <v>0.3</v>
      </c>
      <c r="S43" s="107" t="s">
        <v>731</v>
      </c>
      <c r="T43" s="104" t="str">
        <f t="shared" si="19"/>
        <v>permanter GEWI-Anker 63 mm S555/700 doppelter Korrosionschutz</v>
      </c>
      <c r="U43" s="103" t="str">
        <f t="shared" si="20"/>
        <v>permanent GEWI-Anchor 63 mm S555/700 double corrosion protection</v>
      </c>
      <c r="V43" s="104" t="s">
        <v>4629</v>
      </c>
      <c r="W43" s="103" t="s">
        <v>8316</v>
      </c>
      <c r="X43" s="111" t="str">
        <f>+"S"&amp;M43</f>
        <v>S555</v>
      </c>
      <c r="Y43" s="123">
        <v>210000000</v>
      </c>
      <c r="Z43" s="122">
        <f t="shared" si="21"/>
        <v>654621.5152101391</v>
      </c>
      <c r="AA43" s="28"/>
      <c r="AB43" s="28"/>
      <c r="AC43" s="31"/>
      <c r="AD43" s="31"/>
    </row>
    <row r="44" spans="1:30" ht="15" customHeight="1" x14ac:dyDescent="0.2">
      <c r="A44" s="19">
        <f>+A43+1</f>
        <v>41</v>
      </c>
      <c r="B44" s="32" t="s">
        <v>3428</v>
      </c>
      <c r="C44" s="101" t="s">
        <v>4512</v>
      </c>
      <c r="D44" s="101" t="s">
        <v>4512</v>
      </c>
      <c r="E44" s="105" t="s">
        <v>718</v>
      </c>
      <c r="F44" s="28">
        <v>1</v>
      </c>
      <c r="G44" s="28">
        <v>18</v>
      </c>
      <c r="H44" s="31">
        <f t="shared" ref="H44:H60" si="22">+G44^2*PI()/4/100</f>
        <v>2.5446900494077322</v>
      </c>
      <c r="I44" s="28">
        <v>1</v>
      </c>
      <c r="J44" s="28">
        <v>0</v>
      </c>
      <c r="K44" s="28">
        <v>0</v>
      </c>
      <c r="L44" s="32">
        <v>950</v>
      </c>
      <c r="M44" s="32">
        <v>950</v>
      </c>
      <c r="N44" s="29">
        <v>1050</v>
      </c>
      <c r="O44" s="28">
        <f>+M44*0.9</f>
        <v>855</v>
      </c>
      <c r="P44" s="28">
        <v>8</v>
      </c>
      <c r="Q44" s="29">
        <f t="shared" si="16"/>
        <v>241.74555469373459</v>
      </c>
      <c r="R44" s="103">
        <v>0.3</v>
      </c>
      <c r="S44" s="107" t="s">
        <v>731</v>
      </c>
      <c r="T44" s="104" t="str">
        <f t="shared" si="14"/>
        <v>temporärer Einstab-Anker 18 mm S950/1050</v>
      </c>
      <c r="U44" s="103" t="str">
        <f t="shared" si="15"/>
        <v>temporary mono bar-Anchor 18 mm S950/1050</v>
      </c>
      <c r="V44" s="104" t="s">
        <v>7248</v>
      </c>
      <c r="W44" s="103" t="s">
        <v>5553</v>
      </c>
      <c r="X44" s="111" t="str">
        <f t="shared" ref="X44:X53" si="23">+"St"&amp;M44&amp;"/"&amp;N44</f>
        <v>St950/1050</v>
      </c>
      <c r="Y44" s="123">
        <v>210000000</v>
      </c>
      <c r="Z44" s="122">
        <f t="shared" si="9"/>
        <v>53438.491037562373</v>
      </c>
      <c r="AA44" s="28"/>
      <c r="AB44" s="28"/>
      <c r="AC44" s="31"/>
      <c r="AD44" s="31"/>
    </row>
    <row r="45" spans="1:30" ht="15" customHeight="1" x14ac:dyDescent="0.2">
      <c r="A45" s="19">
        <f t="shared" si="4"/>
        <v>42</v>
      </c>
      <c r="B45" s="32" t="s">
        <v>4513</v>
      </c>
      <c r="C45" s="101" t="s">
        <v>4512</v>
      </c>
      <c r="D45" s="101" t="s">
        <v>4512</v>
      </c>
      <c r="E45" s="105" t="s">
        <v>718</v>
      </c>
      <c r="F45" s="28">
        <v>1</v>
      </c>
      <c r="G45" s="28">
        <v>26.5</v>
      </c>
      <c r="H45" s="31">
        <f t="shared" si="22"/>
        <v>5.5154586024585806</v>
      </c>
      <c r="I45" s="28">
        <v>1</v>
      </c>
      <c r="J45" s="28">
        <v>0</v>
      </c>
      <c r="K45" s="28">
        <v>0</v>
      </c>
      <c r="L45" s="32">
        <v>950</v>
      </c>
      <c r="M45" s="32">
        <v>950</v>
      </c>
      <c r="N45" s="29">
        <v>1050</v>
      </c>
      <c r="O45" s="28">
        <f t="shared" ref="O45:O54" si="24">+M45*0.9</f>
        <v>855</v>
      </c>
      <c r="P45" s="28">
        <v>8</v>
      </c>
      <c r="Q45" s="29">
        <f t="shared" si="16"/>
        <v>523.96856723356518</v>
      </c>
      <c r="R45" s="103">
        <v>1.2</v>
      </c>
      <c r="S45" s="107" t="s">
        <v>731</v>
      </c>
      <c r="T45" s="104" t="str">
        <f t="shared" si="14"/>
        <v>temporärer Einstab-Anker 26,5 mm S950/1050</v>
      </c>
      <c r="U45" s="103" t="str">
        <f t="shared" si="15"/>
        <v>temporary mono bar-Anchor 26,5 mm S950/1050</v>
      </c>
      <c r="V45" s="104" t="s">
        <v>2794</v>
      </c>
      <c r="W45" s="103" t="s">
        <v>5554</v>
      </c>
      <c r="X45" s="111" t="str">
        <f t="shared" si="23"/>
        <v>St950/1050</v>
      </c>
      <c r="Y45" s="123">
        <v>210000000</v>
      </c>
      <c r="Z45" s="122">
        <f t="shared" si="9"/>
        <v>115824.63065163018</v>
      </c>
      <c r="AA45" s="28"/>
      <c r="AB45" s="28"/>
      <c r="AC45" s="31"/>
      <c r="AD45" s="31"/>
    </row>
    <row r="46" spans="1:30" ht="15" customHeight="1" x14ac:dyDescent="0.2">
      <c r="A46" s="19">
        <f t="shared" si="4"/>
        <v>43</v>
      </c>
      <c r="B46" s="32" t="s">
        <v>4514</v>
      </c>
      <c r="C46" s="101" t="s">
        <v>4512</v>
      </c>
      <c r="D46" s="101" t="s">
        <v>4512</v>
      </c>
      <c r="E46" s="105" t="s">
        <v>718</v>
      </c>
      <c r="F46" s="28">
        <v>1</v>
      </c>
      <c r="G46" s="28">
        <v>32</v>
      </c>
      <c r="H46" s="31">
        <f t="shared" si="22"/>
        <v>8.0424771931898711</v>
      </c>
      <c r="I46" s="28">
        <v>1</v>
      </c>
      <c r="J46" s="28">
        <v>0</v>
      </c>
      <c r="K46" s="28">
        <v>0</v>
      </c>
      <c r="L46" s="32">
        <v>950</v>
      </c>
      <c r="M46" s="32">
        <v>950</v>
      </c>
      <c r="N46" s="29">
        <v>1050</v>
      </c>
      <c r="O46" s="28">
        <f t="shared" si="24"/>
        <v>855</v>
      </c>
      <c r="P46" s="28">
        <v>8</v>
      </c>
      <c r="Q46" s="29">
        <f t="shared" si="16"/>
        <v>764.03533335303769</v>
      </c>
      <c r="R46" s="103">
        <v>1.2</v>
      </c>
      <c r="S46" s="107" t="s">
        <v>731</v>
      </c>
      <c r="T46" s="104" t="str">
        <f t="shared" si="14"/>
        <v>temporärer Einstab-Anker 32 mm S950/1050</v>
      </c>
      <c r="U46" s="103" t="str">
        <f t="shared" si="15"/>
        <v>temporary mono bar-Anchor 32 mm S950/1050</v>
      </c>
      <c r="V46" s="104" t="s">
        <v>2795</v>
      </c>
      <c r="W46" s="103" t="s">
        <v>5555</v>
      </c>
      <c r="X46" s="111" t="str">
        <f t="shared" si="23"/>
        <v>St950/1050</v>
      </c>
      <c r="Y46" s="123">
        <v>210000000</v>
      </c>
      <c r="Z46" s="122">
        <f t="shared" si="9"/>
        <v>168892.02105698729</v>
      </c>
      <c r="AA46" s="28"/>
      <c r="AB46" s="28"/>
      <c r="AC46" s="31"/>
      <c r="AD46" s="31"/>
    </row>
    <row r="47" spans="1:30" ht="15" customHeight="1" x14ac:dyDescent="0.2">
      <c r="A47" s="19">
        <f t="shared" si="4"/>
        <v>44</v>
      </c>
      <c r="B47" s="32" t="s">
        <v>4851</v>
      </c>
      <c r="C47" s="101" t="s">
        <v>4512</v>
      </c>
      <c r="D47" s="101" t="s">
        <v>4512</v>
      </c>
      <c r="E47" s="105" t="s">
        <v>718</v>
      </c>
      <c r="F47" s="28">
        <v>1</v>
      </c>
      <c r="G47" s="28">
        <v>36</v>
      </c>
      <c r="H47" s="31">
        <f t="shared" si="22"/>
        <v>10.178760197630929</v>
      </c>
      <c r="I47" s="28">
        <v>1</v>
      </c>
      <c r="J47" s="28">
        <v>0</v>
      </c>
      <c r="K47" s="28">
        <v>0</v>
      </c>
      <c r="L47" s="32">
        <v>950</v>
      </c>
      <c r="M47" s="32">
        <v>950</v>
      </c>
      <c r="N47" s="29">
        <v>1050</v>
      </c>
      <c r="O47" s="28">
        <f t="shared" si="24"/>
        <v>855</v>
      </c>
      <c r="P47" s="28">
        <v>8</v>
      </c>
      <c r="Q47" s="29">
        <f t="shared" si="16"/>
        <v>966.98221877493836</v>
      </c>
      <c r="R47" s="103">
        <v>1.2</v>
      </c>
      <c r="S47" s="107" t="s">
        <v>731</v>
      </c>
      <c r="T47" s="104" t="str">
        <f t="shared" si="14"/>
        <v>temporärer Einstab-Anker 36 mm S950/1050</v>
      </c>
      <c r="U47" s="103" t="str">
        <f t="shared" si="15"/>
        <v>temporary mono bar-Anchor 36 mm S950/1050</v>
      </c>
      <c r="V47" s="104" t="s">
        <v>2796</v>
      </c>
      <c r="W47" s="103" t="s">
        <v>5556</v>
      </c>
      <c r="X47" s="111" t="str">
        <f t="shared" si="23"/>
        <v>St950/1050</v>
      </c>
      <c r="Y47" s="123">
        <v>210000000</v>
      </c>
      <c r="Z47" s="122">
        <f t="shared" si="9"/>
        <v>213753.96415024949</v>
      </c>
      <c r="AA47" s="28"/>
      <c r="AB47" s="28"/>
      <c r="AC47" s="31"/>
      <c r="AD47" s="31"/>
    </row>
    <row r="48" spans="1:30" ht="15" customHeight="1" x14ac:dyDescent="0.2">
      <c r="A48" s="19">
        <f t="shared" si="4"/>
        <v>45</v>
      </c>
      <c r="B48" s="32" t="s">
        <v>4852</v>
      </c>
      <c r="C48" s="101" t="s">
        <v>4512</v>
      </c>
      <c r="D48" s="101" t="s">
        <v>4512</v>
      </c>
      <c r="E48" s="105" t="s">
        <v>718</v>
      </c>
      <c r="F48" s="28">
        <v>1</v>
      </c>
      <c r="G48" s="28">
        <v>40</v>
      </c>
      <c r="H48" s="31">
        <f t="shared" si="22"/>
        <v>12.566370614359172</v>
      </c>
      <c r="I48" s="28">
        <v>1</v>
      </c>
      <c r="J48" s="28">
        <v>0</v>
      </c>
      <c r="K48" s="28">
        <v>0</v>
      </c>
      <c r="L48" s="32">
        <v>950</v>
      </c>
      <c r="M48" s="32">
        <v>950</v>
      </c>
      <c r="N48" s="29">
        <v>1050</v>
      </c>
      <c r="O48" s="28">
        <f t="shared" si="24"/>
        <v>855</v>
      </c>
      <c r="P48" s="28">
        <v>8</v>
      </c>
      <c r="Q48" s="29">
        <f t="shared" si="16"/>
        <v>1193.8052083641214</v>
      </c>
      <c r="R48" s="103">
        <v>1.2</v>
      </c>
      <c r="S48" s="107" t="s">
        <v>731</v>
      </c>
      <c r="T48" s="104" t="str">
        <f t="shared" si="14"/>
        <v>temporärer Einstab-Anker 40 mm S950/1050</v>
      </c>
      <c r="U48" s="103" t="str">
        <f t="shared" si="15"/>
        <v>temporary mono bar-Anchor 40 mm S950/1050</v>
      </c>
      <c r="V48" s="104" t="s">
        <v>742</v>
      </c>
      <c r="W48" s="103" t="s">
        <v>5557</v>
      </c>
      <c r="X48" s="111" t="str">
        <f t="shared" si="23"/>
        <v>St950/1050</v>
      </c>
      <c r="Y48" s="123">
        <v>210000000</v>
      </c>
      <c r="Z48" s="122">
        <f t="shared" si="9"/>
        <v>263893.78290154261</v>
      </c>
      <c r="AA48" s="28"/>
      <c r="AB48" s="28"/>
      <c r="AC48" s="31"/>
      <c r="AD48" s="31"/>
    </row>
    <row r="49" spans="1:30" ht="15" customHeight="1" x14ac:dyDescent="0.2">
      <c r="A49" s="19">
        <f t="shared" si="4"/>
        <v>46</v>
      </c>
      <c r="B49" s="32" t="s">
        <v>3429</v>
      </c>
      <c r="C49" s="101" t="s">
        <v>4512</v>
      </c>
      <c r="D49" s="101" t="s">
        <v>4512</v>
      </c>
      <c r="E49" s="105" t="s">
        <v>718</v>
      </c>
      <c r="F49" s="28">
        <v>1</v>
      </c>
      <c r="G49" s="28">
        <v>26.5</v>
      </c>
      <c r="H49" s="31">
        <f t="shared" si="22"/>
        <v>5.5154586024585806</v>
      </c>
      <c r="I49" s="28">
        <v>1</v>
      </c>
      <c r="J49" s="28">
        <v>1</v>
      </c>
      <c r="K49" s="28">
        <v>2</v>
      </c>
      <c r="L49" s="32">
        <v>950</v>
      </c>
      <c r="M49" s="32">
        <v>950</v>
      </c>
      <c r="N49" s="29">
        <v>1050</v>
      </c>
      <c r="O49" s="28">
        <f>+M49*0.9</f>
        <v>855</v>
      </c>
      <c r="P49" s="28">
        <v>9</v>
      </c>
      <c r="Q49" s="29">
        <f t="shared" si="16"/>
        <v>523.96856723356518</v>
      </c>
      <c r="R49" s="103">
        <v>1.2</v>
      </c>
      <c r="S49" s="107" t="s">
        <v>731</v>
      </c>
      <c r="T49" s="104" t="str">
        <f t="shared" si="14"/>
        <v>permanter Einstab-Anker 26,5 mm S950/1050 doppelter Korrosionschutz</v>
      </c>
      <c r="U49" s="103" t="str">
        <f t="shared" si="15"/>
        <v>permanent mono bar-Anchor 26,5 mm S950/1050 double corrosion protection</v>
      </c>
      <c r="V49" s="104" t="s">
        <v>743</v>
      </c>
      <c r="W49" s="103" t="s">
        <v>5558</v>
      </c>
      <c r="X49" s="111" t="str">
        <f t="shared" si="23"/>
        <v>St950/1050</v>
      </c>
      <c r="Y49" s="123">
        <v>210000000</v>
      </c>
      <c r="Z49" s="122">
        <f t="shared" si="9"/>
        <v>115824.63065163018</v>
      </c>
      <c r="AA49" s="28"/>
      <c r="AB49" s="28"/>
      <c r="AC49" s="31"/>
      <c r="AD49" s="31"/>
    </row>
    <row r="50" spans="1:30" ht="15" customHeight="1" x14ac:dyDescent="0.2">
      <c r="A50" s="19">
        <f t="shared" si="4"/>
        <v>47</v>
      </c>
      <c r="B50" s="32" t="s">
        <v>732</v>
      </c>
      <c r="C50" s="101" t="s">
        <v>4512</v>
      </c>
      <c r="D50" s="101" t="s">
        <v>4512</v>
      </c>
      <c r="E50" s="105" t="s">
        <v>718</v>
      </c>
      <c r="F50" s="28">
        <v>1</v>
      </c>
      <c r="G50" s="28">
        <v>18</v>
      </c>
      <c r="H50" s="31">
        <f t="shared" si="22"/>
        <v>2.5446900494077322</v>
      </c>
      <c r="I50" s="28">
        <v>1</v>
      </c>
      <c r="J50" s="28">
        <v>1</v>
      </c>
      <c r="K50" s="28">
        <v>2</v>
      </c>
      <c r="L50" s="32">
        <v>950</v>
      </c>
      <c r="M50" s="32">
        <v>950</v>
      </c>
      <c r="N50" s="29">
        <v>1050</v>
      </c>
      <c r="O50" s="28">
        <f t="shared" si="24"/>
        <v>855</v>
      </c>
      <c r="P50" s="28">
        <v>9</v>
      </c>
      <c r="Q50" s="29">
        <f t="shared" si="16"/>
        <v>241.74555469373459</v>
      </c>
      <c r="R50" s="103">
        <v>1.2</v>
      </c>
      <c r="S50" s="107" t="s">
        <v>731</v>
      </c>
      <c r="T50" s="104" t="str">
        <f t="shared" si="14"/>
        <v>permanter Einstab-Anker 18 mm S950/1050 doppelter Korrosionschutz</v>
      </c>
      <c r="U50" s="103" t="str">
        <f t="shared" si="15"/>
        <v>permanent mono bar-Anchor 18 mm S950/1050 double corrosion protection</v>
      </c>
      <c r="V50" s="104" t="s">
        <v>744</v>
      </c>
      <c r="W50" s="103" t="s">
        <v>5559</v>
      </c>
      <c r="X50" s="111" t="str">
        <f t="shared" si="23"/>
        <v>St950/1050</v>
      </c>
      <c r="Y50" s="123">
        <v>210000000</v>
      </c>
      <c r="Z50" s="122">
        <f t="shared" si="9"/>
        <v>53438.491037562373</v>
      </c>
      <c r="AA50" s="28"/>
      <c r="AB50" s="28"/>
      <c r="AC50" s="31"/>
      <c r="AD50" s="31"/>
    </row>
    <row r="51" spans="1:30" ht="15" customHeight="1" x14ac:dyDescent="0.2">
      <c r="A51" s="19">
        <f t="shared" si="4"/>
        <v>48</v>
      </c>
      <c r="B51" s="32" t="s">
        <v>733</v>
      </c>
      <c r="C51" s="101" t="s">
        <v>4512</v>
      </c>
      <c r="D51" s="101" t="s">
        <v>4512</v>
      </c>
      <c r="E51" s="105" t="s">
        <v>718</v>
      </c>
      <c r="F51" s="28">
        <v>1</v>
      </c>
      <c r="G51" s="28">
        <v>32</v>
      </c>
      <c r="H51" s="31">
        <f t="shared" si="22"/>
        <v>8.0424771931898711</v>
      </c>
      <c r="I51" s="28">
        <v>1</v>
      </c>
      <c r="J51" s="28">
        <v>1</v>
      </c>
      <c r="K51" s="28">
        <v>2</v>
      </c>
      <c r="L51" s="32">
        <v>950</v>
      </c>
      <c r="M51" s="32">
        <v>950</v>
      </c>
      <c r="N51" s="29">
        <v>1050</v>
      </c>
      <c r="O51" s="28">
        <f t="shared" si="24"/>
        <v>855</v>
      </c>
      <c r="P51" s="28">
        <v>9</v>
      </c>
      <c r="Q51" s="29">
        <f t="shared" si="16"/>
        <v>764.03533335303769</v>
      </c>
      <c r="R51" s="103">
        <v>1.2</v>
      </c>
      <c r="S51" s="107" t="s">
        <v>731</v>
      </c>
      <c r="T51" s="104" t="str">
        <f t="shared" si="14"/>
        <v>permanter Einstab-Anker 32 mm S950/1050 doppelter Korrosionschutz</v>
      </c>
      <c r="U51" s="103" t="str">
        <f t="shared" si="15"/>
        <v>permanent mono bar-Anchor 32 mm S950/1050 double corrosion protection</v>
      </c>
      <c r="V51" s="104" t="s">
        <v>745</v>
      </c>
      <c r="W51" s="103" t="s">
        <v>5560</v>
      </c>
      <c r="X51" s="111" t="str">
        <f t="shared" si="23"/>
        <v>St950/1050</v>
      </c>
      <c r="Y51" s="123">
        <v>210000000</v>
      </c>
      <c r="Z51" s="122">
        <f t="shared" si="9"/>
        <v>168892.02105698729</v>
      </c>
      <c r="AA51" s="28"/>
      <c r="AB51" s="28"/>
      <c r="AC51" s="31"/>
      <c r="AD51" s="31"/>
    </row>
    <row r="52" spans="1:30" ht="15" customHeight="1" x14ac:dyDescent="0.2">
      <c r="A52" s="19">
        <f t="shared" si="4"/>
        <v>49</v>
      </c>
      <c r="B52" s="32" t="s">
        <v>734</v>
      </c>
      <c r="C52" s="101" t="s">
        <v>4512</v>
      </c>
      <c r="D52" s="101" t="s">
        <v>4512</v>
      </c>
      <c r="E52" s="105" t="s">
        <v>718</v>
      </c>
      <c r="F52" s="28">
        <v>1</v>
      </c>
      <c r="G52" s="28">
        <v>36</v>
      </c>
      <c r="H52" s="31">
        <f t="shared" si="22"/>
        <v>10.178760197630929</v>
      </c>
      <c r="I52" s="28">
        <v>1</v>
      </c>
      <c r="J52" s="28">
        <v>1</v>
      </c>
      <c r="K52" s="28">
        <v>2</v>
      </c>
      <c r="L52" s="32">
        <v>950</v>
      </c>
      <c r="M52" s="32">
        <v>950</v>
      </c>
      <c r="N52" s="29">
        <v>1050</v>
      </c>
      <c r="O52" s="28">
        <f t="shared" si="24"/>
        <v>855</v>
      </c>
      <c r="P52" s="28">
        <v>9</v>
      </c>
      <c r="Q52" s="29">
        <f t="shared" si="16"/>
        <v>966.98221877493836</v>
      </c>
      <c r="R52" s="103">
        <v>1.2</v>
      </c>
      <c r="S52" s="107" t="s">
        <v>731</v>
      </c>
      <c r="T52" s="104" t="str">
        <f t="shared" si="14"/>
        <v>permanter Einstab-Anker 36 mm S950/1050 doppelter Korrosionschutz</v>
      </c>
      <c r="U52" s="103" t="str">
        <f t="shared" si="15"/>
        <v>permanent mono bar-Anchor 36 mm S950/1050 double corrosion protection</v>
      </c>
      <c r="V52" s="104" t="s">
        <v>746</v>
      </c>
      <c r="W52" s="103" t="s">
        <v>5561</v>
      </c>
      <c r="X52" s="111" t="str">
        <f t="shared" si="23"/>
        <v>St950/1050</v>
      </c>
      <c r="Y52" s="123">
        <v>210000000</v>
      </c>
      <c r="Z52" s="122">
        <f t="shared" si="9"/>
        <v>213753.96415024949</v>
      </c>
      <c r="AA52" s="28"/>
      <c r="AB52" s="28"/>
      <c r="AC52" s="31"/>
      <c r="AD52" s="31"/>
    </row>
    <row r="53" spans="1:30" ht="15" customHeight="1" x14ac:dyDescent="0.2">
      <c r="A53" s="19">
        <f t="shared" si="4"/>
        <v>50</v>
      </c>
      <c r="B53" s="32" t="s">
        <v>735</v>
      </c>
      <c r="C53" s="101" t="s">
        <v>4512</v>
      </c>
      <c r="D53" s="101" t="s">
        <v>4512</v>
      </c>
      <c r="E53" s="105" t="s">
        <v>718</v>
      </c>
      <c r="F53" s="28">
        <v>1</v>
      </c>
      <c r="G53" s="28">
        <v>40</v>
      </c>
      <c r="H53" s="31">
        <f t="shared" si="22"/>
        <v>12.566370614359172</v>
      </c>
      <c r="I53" s="28">
        <v>1</v>
      </c>
      <c r="J53" s="28">
        <v>1</v>
      </c>
      <c r="K53" s="28">
        <v>2</v>
      </c>
      <c r="L53" s="32">
        <v>950</v>
      </c>
      <c r="M53" s="32">
        <v>950</v>
      </c>
      <c r="N53" s="29">
        <v>1050</v>
      </c>
      <c r="O53" s="28">
        <f t="shared" si="24"/>
        <v>855</v>
      </c>
      <c r="P53" s="28">
        <v>9</v>
      </c>
      <c r="Q53" s="29">
        <f t="shared" si="16"/>
        <v>1193.8052083641214</v>
      </c>
      <c r="R53" s="103">
        <v>1.2</v>
      </c>
      <c r="S53" s="107" t="s">
        <v>731</v>
      </c>
      <c r="T53" s="104" t="str">
        <f t="shared" si="14"/>
        <v>permanter Einstab-Anker 40 mm S950/1050 doppelter Korrosionschutz</v>
      </c>
      <c r="U53" s="103" t="str">
        <f t="shared" si="15"/>
        <v>permanent mono bar-Anchor 40 mm S950/1050 double corrosion protection</v>
      </c>
      <c r="V53" s="104" t="s">
        <v>747</v>
      </c>
      <c r="W53" s="103" t="s">
        <v>5562</v>
      </c>
      <c r="X53" s="111" t="str">
        <f t="shared" si="23"/>
        <v>St950/1050</v>
      </c>
      <c r="Y53" s="123">
        <v>210000000</v>
      </c>
      <c r="Z53" s="122">
        <f t="shared" si="9"/>
        <v>263893.78290154261</v>
      </c>
      <c r="AA53" s="28"/>
      <c r="AB53" s="28"/>
      <c r="AC53" s="31"/>
      <c r="AD53" s="31"/>
    </row>
    <row r="54" spans="1:30" ht="15" customHeight="1" x14ac:dyDescent="0.2">
      <c r="A54" s="19">
        <f t="shared" si="4"/>
        <v>51</v>
      </c>
      <c r="B54" s="32" t="s">
        <v>4855</v>
      </c>
      <c r="C54" s="101" t="s">
        <v>721</v>
      </c>
      <c r="D54" s="101" t="s">
        <v>721</v>
      </c>
      <c r="E54" s="105" t="s">
        <v>721</v>
      </c>
      <c r="F54" s="28">
        <v>1</v>
      </c>
      <c r="G54" s="28">
        <v>28</v>
      </c>
      <c r="H54" s="31">
        <f t="shared" si="22"/>
        <v>6.1575216010359943</v>
      </c>
      <c r="I54" s="28">
        <v>0</v>
      </c>
      <c r="J54" s="28">
        <v>0</v>
      </c>
      <c r="K54" s="28">
        <v>0</v>
      </c>
      <c r="L54" s="32">
        <v>670</v>
      </c>
      <c r="M54" s="32">
        <v>670</v>
      </c>
      <c r="N54" s="29">
        <v>800</v>
      </c>
      <c r="O54" s="28">
        <f t="shared" si="24"/>
        <v>603</v>
      </c>
      <c r="P54" s="28">
        <v>13</v>
      </c>
      <c r="Q54" s="29">
        <f t="shared" si="16"/>
        <v>412.55394726941159</v>
      </c>
      <c r="R54" s="103">
        <v>0.3</v>
      </c>
      <c r="S54" s="107" t="s">
        <v>731</v>
      </c>
      <c r="T54" s="104" t="str">
        <f t="shared" si="14"/>
        <v>temporärer GEWI+-Anker 28 mm S670/800</v>
      </c>
      <c r="U54" s="103" t="str">
        <f t="shared" si="15"/>
        <v>temporary GEWI+-Anchor 28 mm S670/800</v>
      </c>
      <c r="V54" s="104" t="s">
        <v>748</v>
      </c>
      <c r="W54" s="103" t="s">
        <v>748</v>
      </c>
      <c r="X54" s="111" t="str">
        <f t="shared" ref="X54:X59" si="25">+"S"&amp;M54</f>
        <v>S670</v>
      </c>
      <c r="Y54" s="123">
        <v>210000000</v>
      </c>
      <c r="Z54" s="122">
        <f t="shared" si="9"/>
        <v>129307.95362175589</v>
      </c>
      <c r="AA54" s="28"/>
      <c r="AB54" s="28"/>
      <c r="AC54" s="31"/>
      <c r="AD54" s="31"/>
    </row>
    <row r="55" spans="1:30" ht="15" customHeight="1" x14ac:dyDescent="0.2">
      <c r="A55" s="19">
        <f t="shared" si="4"/>
        <v>52</v>
      </c>
      <c r="B55" s="32" t="s">
        <v>4856</v>
      </c>
      <c r="C55" s="101" t="s">
        <v>721</v>
      </c>
      <c r="D55" s="101" t="s">
        <v>721</v>
      </c>
      <c r="E55" s="105" t="s">
        <v>721</v>
      </c>
      <c r="F55" s="28">
        <v>1</v>
      </c>
      <c r="G55" s="28">
        <v>30</v>
      </c>
      <c r="H55" s="31">
        <f t="shared" si="22"/>
        <v>7.0685834705770345</v>
      </c>
      <c r="I55" s="28">
        <v>0</v>
      </c>
      <c r="J55" s="28">
        <v>0</v>
      </c>
      <c r="K55" s="28">
        <v>0</v>
      </c>
      <c r="L55" s="32">
        <v>670</v>
      </c>
      <c r="M55" s="32">
        <v>670</v>
      </c>
      <c r="N55" s="29">
        <v>800</v>
      </c>
      <c r="O55" s="28">
        <f t="shared" ref="O55:O60" si="26">+M55*0.9</f>
        <v>603</v>
      </c>
      <c r="P55" s="28">
        <v>13</v>
      </c>
      <c r="Q55" s="29">
        <f t="shared" si="16"/>
        <v>473.59509252866127</v>
      </c>
      <c r="R55" s="103">
        <v>0.3</v>
      </c>
      <c r="S55" s="107" t="s">
        <v>731</v>
      </c>
      <c r="T55" s="104" t="str">
        <f t="shared" si="14"/>
        <v>temporärer GEWI+-Anker 30 mm S670/800</v>
      </c>
      <c r="U55" s="103" t="str">
        <f t="shared" si="15"/>
        <v>temporary GEWI+-Anchor 30 mm S670/800</v>
      </c>
      <c r="V55" s="104" t="s">
        <v>749</v>
      </c>
      <c r="W55" s="103" t="s">
        <v>749</v>
      </c>
      <c r="X55" s="111" t="str">
        <f t="shared" si="25"/>
        <v>S670</v>
      </c>
      <c r="Y55" s="123">
        <v>210000000</v>
      </c>
      <c r="Z55" s="122">
        <f t="shared" si="9"/>
        <v>148440.25288211773</v>
      </c>
      <c r="AA55" s="28"/>
      <c r="AB55" s="28"/>
      <c r="AC55" s="31"/>
      <c r="AD55" s="31"/>
    </row>
    <row r="56" spans="1:30" ht="15" customHeight="1" x14ac:dyDescent="0.2">
      <c r="A56" s="19">
        <f t="shared" si="4"/>
        <v>53</v>
      </c>
      <c r="B56" s="32" t="s">
        <v>4857</v>
      </c>
      <c r="C56" s="101" t="s">
        <v>721</v>
      </c>
      <c r="D56" s="101" t="s">
        <v>721</v>
      </c>
      <c r="E56" s="105" t="s">
        <v>721</v>
      </c>
      <c r="F56" s="28">
        <v>1</v>
      </c>
      <c r="G56" s="28">
        <v>35</v>
      </c>
      <c r="H56" s="31">
        <f t="shared" si="22"/>
        <v>9.6211275016187408</v>
      </c>
      <c r="I56" s="28">
        <v>0</v>
      </c>
      <c r="J56" s="28">
        <v>0</v>
      </c>
      <c r="K56" s="28">
        <v>0</v>
      </c>
      <c r="L56" s="32">
        <v>670</v>
      </c>
      <c r="M56" s="32">
        <v>670</v>
      </c>
      <c r="N56" s="29">
        <v>800</v>
      </c>
      <c r="O56" s="28">
        <f t="shared" si="26"/>
        <v>603</v>
      </c>
      <c r="P56" s="28">
        <v>13</v>
      </c>
      <c r="Q56" s="29">
        <f t="shared" si="16"/>
        <v>644.6155426084556</v>
      </c>
      <c r="R56" s="103">
        <v>0.3</v>
      </c>
      <c r="S56" s="107" t="s">
        <v>731</v>
      </c>
      <c r="T56" s="104" t="str">
        <f t="shared" si="14"/>
        <v>temporärer GEWI+-Anker 35 mm S670/800</v>
      </c>
      <c r="U56" s="103" t="str">
        <f t="shared" si="15"/>
        <v>temporary GEWI+-Anchor 35 mm S670/800</v>
      </c>
      <c r="V56" s="104" t="s">
        <v>750</v>
      </c>
      <c r="W56" s="103" t="s">
        <v>750</v>
      </c>
      <c r="X56" s="111" t="str">
        <f t="shared" si="25"/>
        <v>S670</v>
      </c>
      <c r="Y56" s="123">
        <v>210000000</v>
      </c>
      <c r="Z56" s="122">
        <f t="shared" si="9"/>
        <v>202043.67753399356</v>
      </c>
      <c r="AA56" s="28"/>
      <c r="AB56" s="28"/>
      <c r="AC56" s="31"/>
      <c r="AD56" s="31"/>
    </row>
    <row r="57" spans="1:30" ht="15" customHeight="1" x14ac:dyDescent="0.2">
      <c r="A57" s="19">
        <f t="shared" si="4"/>
        <v>54</v>
      </c>
      <c r="B57" s="32" t="s">
        <v>4858</v>
      </c>
      <c r="C57" s="101" t="s">
        <v>721</v>
      </c>
      <c r="D57" s="101" t="s">
        <v>721</v>
      </c>
      <c r="E57" s="105" t="s">
        <v>721</v>
      </c>
      <c r="F57" s="28">
        <v>1</v>
      </c>
      <c r="G57" s="28">
        <v>43</v>
      </c>
      <c r="H57" s="31">
        <f t="shared" si="22"/>
        <v>14.522012041218819</v>
      </c>
      <c r="I57" s="28">
        <v>0</v>
      </c>
      <c r="J57" s="28">
        <v>0</v>
      </c>
      <c r="K57" s="28">
        <v>0</v>
      </c>
      <c r="L57" s="32">
        <v>670</v>
      </c>
      <c r="M57" s="32">
        <v>670</v>
      </c>
      <c r="N57" s="29">
        <v>800</v>
      </c>
      <c r="O57" s="28">
        <f t="shared" si="26"/>
        <v>603</v>
      </c>
      <c r="P57" s="28">
        <v>13</v>
      </c>
      <c r="Q57" s="29">
        <f t="shared" si="16"/>
        <v>972.97480676166083</v>
      </c>
      <c r="R57" s="103">
        <v>0.3</v>
      </c>
      <c r="S57" s="107" t="s">
        <v>731</v>
      </c>
      <c r="T57" s="104" t="str">
        <f t="shared" si="14"/>
        <v>temporärer GEWI+-Anker 43 mm S670/800</v>
      </c>
      <c r="U57" s="103" t="str">
        <f t="shared" si="15"/>
        <v>temporary GEWI+-Anchor 43 mm S670/800</v>
      </c>
      <c r="V57" s="104" t="s">
        <v>751</v>
      </c>
      <c r="W57" s="103" t="s">
        <v>751</v>
      </c>
      <c r="X57" s="111" t="str">
        <f t="shared" si="25"/>
        <v>S670</v>
      </c>
      <c r="Y57" s="123">
        <v>210000000</v>
      </c>
      <c r="Z57" s="122">
        <f t="shared" si="9"/>
        <v>304962.25286559522</v>
      </c>
      <c r="AA57" s="28"/>
      <c r="AB57" s="28"/>
      <c r="AC57" s="31"/>
      <c r="AD57" s="31"/>
    </row>
    <row r="58" spans="1:30" ht="15" customHeight="1" x14ac:dyDescent="0.2">
      <c r="A58" s="19">
        <f t="shared" si="4"/>
        <v>55</v>
      </c>
      <c r="B58" s="32" t="s">
        <v>4859</v>
      </c>
      <c r="C58" s="101" t="s">
        <v>721</v>
      </c>
      <c r="D58" s="101" t="s">
        <v>721</v>
      </c>
      <c r="E58" s="105" t="s">
        <v>721</v>
      </c>
      <c r="F58" s="28">
        <v>1</v>
      </c>
      <c r="G58" s="28">
        <v>57.5</v>
      </c>
      <c r="H58" s="31">
        <f t="shared" si="22"/>
        <v>25.967226777328133</v>
      </c>
      <c r="I58" s="28">
        <v>0</v>
      </c>
      <c r="J58" s="28">
        <v>0</v>
      </c>
      <c r="K58" s="28">
        <v>0</v>
      </c>
      <c r="L58" s="32">
        <v>670</v>
      </c>
      <c r="M58" s="32">
        <v>670</v>
      </c>
      <c r="N58" s="29">
        <v>800</v>
      </c>
      <c r="O58" s="28">
        <f t="shared" si="26"/>
        <v>603</v>
      </c>
      <c r="P58" s="28">
        <v>13</v>
      </c>
      <c r="Q58" s="29">
        <f t="shared" si="16"/>
        <v>1739.8041940809849</v>
      </c>
      <c r="R58" s="103">
        <v>0.3</v>
      </c>
      <c r="S58" s="107" t="s">
        <v>731</v>
      </c>
      <c r="T58" s="104" t="str">
        <f t="shared" si="14"/>
        <v>temporärer GEWI+-Anker 57,5 mm S670/800</v>
      </c>
      <c r="U58" s="103" t="str">
        <f t="shared" si="15"/>
        <v>temporary GEWI+-Anchor 57,5 mm S670/800</v>
      </c>
      <c r="V58" s="104" t="s">
        <v>752</v>
      </c>
      <c r="W58" s="103" t="s">
        <v>752</v>
      </c>
      <c r="X58" s="111" t="str">
        <f t="shared" si="25"/>
        <v>S670</v>
      </c>
      <c r="Y58" s="123">
        <v>210000000</v>
      </c>
      <c r="Z58" s="122">
        <f t="shared" si="9"/>
        <v>545311.76232389081</v>
      </c>
      <c r="AA58" s="28"/>
      <c r="AB58" s="28"/>
      <c r="AC58" s="31"/>
      <c r="AD58" s="31"/>
    </row>
    <row r="59" spans="1:30" ht="15" customHeight="1" x14ac:dyDescent="0.2">
      <c r="A59" s="19">
        <f t="shared" si="4"/>
        <v>56</v>
      </c>
      <c r="B59" s="32" t="s">
        <v>4860</v>
      </c>
      <c r="C59" s="101" t="s">
        <v>721</v>
      </c>
      <c r="D59" s="101" t="s">
        <v>721</v>
      </c>
      <c r="E59" s="105" t="s">
        <v>721</v>
      </c>
      <c r="F59" s="28">
        <v>1</v>
      </c>
      <c r="G59" s="28">
        <v>63.5</v>
      </c>
      <c r="H59" s="31">
        <f t="shared" si="22"/>
        <v>31.669217443593606</v>
      </c>
      <c r="I59" s="28">
        <v>0</v>
      </c>
      <c r="J59" s="28">
        <v>0</v>
      </c>
      <c r="K59" s="28">
        <v>0</v>
      </c>
      <c r="L59" s="32">
        <v>670</v>
      </c>
      <c r="M59" s="32">
        <v>670</v>
      </c>
      <c r="N59" s="29">
        <v>800</v>
      </c>
      <c r="O59" s="28">
        <f t="shared" si="26"/>
        <v>603</v>
      </c>
      <c r="P59" s="28">
        <v>13</v>
      </c>
      <c r="Q59" s="29">
        <f t="shared" si="16"/>
        <v>2121.8375687207717</v>
      </c>
      <c r="R59" s="103">
        <v>0.3</v>
      </c>
      <c r="S59" s="107" t="s">
        <v>731</v>
      </c>
      <c r="T59" s="104" t="str">
        <f t="shared" si="14"/>
        <v>temporärer GEWI+-Anker 63,5 mm S670/800</v>
      </c>
      <c r="U59" s="103" t="str">
        <f t="shared" si="15"/>
        <v>temporary GEWI+-Anchor 63,5 mm S670/800</v>
      </c>
      <c r="V59" s="104" t="s">
        <v>753</v>
      </c>
      <c r="W59" s="103" t="s">
        <v>753</v>
      </c>
      <c r="X59" s="111" t="str">
        <f t="shared" si="25"/>
        <v>S670</v>
      </c>
      <c r="Y59" s="123">
        <v>210000000</v>
      </c>
      <c r="Z59" s="122">
        <f t="shared" si="9"/>
        <v>665053.56631546572</v>
      </c>
      <c r="AA59" s="28"/>
      <c r="AB59" s="28"/>
      <c r="AC59" s="31"/>
      <c r="AD59" s="31"/>
    </row>
    <row r="60" spans="1:30" ht="15" customHeight="1" x14ac:dyDescent="0.2">
      <c r="A60" s="19">
        <f t="shared" si="4"/>
        <v>57</v>
      </c>
      <c r="B60" s="32" t="s">
        <v>1421</v>
      </c>
      <c r="C60" s="101" t="s">
        <v>721</v>
      </c>
      <c r="D60" s="101" t="s">
        <v>721</v>
      </c>
      <c r="E60" s="105" t="s">
        <v>721</v>
      </c>
      <c r="F60" s="28">
        <v>1</v>
      </c>
      <c r="G60" s="28">
        <v>75</v>
      </c>
      <c r="H60" s="31">
        <f t="shared" si="22"/>
        <v>44.178646691106472</v>
      </c>
      <c r="I60" s="28">
        <v>0</v>
      </c>
      <c r="J60" s="28">
        <v>0</v>
      </c>
      <c r="K60" s="28">
        <v>0</v>
      </c>
      <c r="L60" s="32">
        <v>670</v>
      </c>
      <c r="M60" s="32">
        <v>670</v>
      </c>
      <c r="N60" s="29">
        <v>800</v>
      </c>
      <c r="O60" s="28">
        <f t="shared" si="26"/>
        <v>603</v>
      </c>
      <c r="P60" s="28">
        <v>13</v>
      </c>
      <c r="Q60" s="29">
        <f>+H60*L60/10</f>
        <v>2959.9693283041333</v>
      </c>
      <c r="R60" s="103">
        <v>0.3</v>
      </c>
      <c r="S60" s="107" t="s">
        <v>731</v>
      </c>
      <c r="T60" s="104" t="str">
        <f>+IF(D60="-","",IF(J60=0,"temporärer ","permanter ")&amp;D60&amp;"-Anker "&amp;IF(F60&gt;1,F60&amp;"x","")&amp;G60&amp;S60&amp;" S"&amp;M60&amp;"/"&amp;N60&amp;IF(J60&gt;0,IF(K60=1," einfacher "," doppelter ")&amp;"Korrosionschutz",""))</f>
        <v>temporärer GEWI+-Anker 75 mm S670/800</v>
      </c>
      <c r="U60" s="103" t="str">
        <f>+IF(D60="-","",IF(J60=0,"temporary ","permanent ")&amp;E60&amp;"-Anchor "&amp;IF(F60&gt;1,F60&amp;"x","")&amp;G60&amp;S60&amp;" S"&amp;M60&amp;"/"&amp;N60&amp;IF(J60&gt;0,IF(K60=1," single "," double ")&amp;"corrosion protection",""))</f>
        <v>temporary GEWI+-Anchor 75 mm S670/800</v>
      </c>
      <c r="V60" s="104" t="s">
        <v>7764</v>
      </c>
      <c r="W60" s="104" t="s">
        <v>7764</v>
      </c>
      <c r="X60" s="111" t="str">
        <f>+"S"&amp;M60</f>
        <v>S670</v>
      </c>
      <c r="Y60" s="123">
        <v>210000000</v>
      </c>
      <c r="Z60" s="122">
        <f t="shared" si="9"/>
        <v>927751.58051323588</v>
      </c>
      <c r="AA60" s="28"/>
      <c r="AB60" s="28"/>
      <c r="AC60" s="31"/>
      <c r="AD60" s="31"/>
    </row>
    <row r="61" spans="1:30" ht="15" customHeight="1" x14ac:dyDescent="0.2">
      <c r="A61" s="19">
        <f t="shared" si="4"/>
        <v>58</v>
      </c>
      <c r="B61" s="32" t="s">
        <v>6066</v>
      </c>
      <c r="C61" s="101" t="s">
        <v>720</v>
      </c>
      <c r="D61" s="101" t="s">
        <v>720</v>
      </c>
      <c r="E61" s="101" t="s">
        <v>720</v>
      </c>
      <c r="F61" s="28">
        <v>1</v>
      </c>
      <c r="G61" s="107" t="s">
        <v>719</v>
      </c>
      <c r="H61" s="28">
        <v>3.82</v>
      </c>
      <c r="I61" s="28">
        <v>0</v>
      </c>
      <c r="J61" s="28">
        <v>0</v>
      </c>
      <c r="K61" s="28">
        <v>0</v>
      </c>
      <c r="L61" s="28">
        <v>470</v>
      </c>
      <c r="M61" s="29">
        <v>460</v>
      </c>
      <c r="N61" s="29">
        <f>+L61</f>
        <v>470</v>
      </c>
      <c r="O61" s="28">
        <f t="shared" ref="O61:O97" si="27">+M61*0.9</f>
        <v>414</v>
      </c>
      <c r="P61" s="28">
        <v>10</v>
      </c>
      <c r="Q61" s="29">
        <f t="shared" si="16"/>
        <v>179.54</v>
      </c>
      <c r="R61" s="103">
        <v>1.2</v>
      </c>
      <c r="S61" s="107" t="s">
        <v>731</v>
      </c>
      <c r="T61" s="104" t="str">
        <f t="shared" si="14"/>
        <v>temporärer TITAN-Anker 30/16 mm S460/470</v>
      </c>
      <c r="U61" s="103" t="str">
        <f t="shared" si="15"/>
        <v>temporary TITAN-Anchor 30/16 mm S460/470</v>
      </c>
      <c r="V61" s="104" t="s">
        <v>754</v>
      </c>
      <c r="W61" s="103" t="s">
        <v>754</v>
      </c>
      <c r="X61" s="111" t="str">
        <f t="shared" ref="X61:X67" si="28">+"St"&amp;M61&amp;"/"&amp;N61</f>
        <v>St460/470</v>
      </c>
      <c r="Y61" s="123">
        <v>210000000</v>
      </c>
      <c r="Z61" s="122">
        <f t="shared" si="9"/>
        <v>80220</v>
      </c>
      <c r="AA61" s="28"/>
      <c r="AB61" s="28"/>
      <c r="AC61" s="31"/>
      <c r="AD61" s="31"/>
    </row>
    <row r="62" spans="1:30" ht="15" customHeight="1" x14ac:dyDescent="0.2">
      <c r="A62" s="19">
        <f t="shared" si="4"/>
        <v>59</v>
      </c>
      <c r="B62" s="32" t="s">
        <v>6067</v>
      </c>
      <c r="C62" s="101" t="s">
        <v>720</v>
      </c>
      <c r="D62" s="101" t="s">
        <v>720</v>
      </c>
      <c r="E62" s="101" t="s">
        <v>720</v>
      </c>
      <c r="F62" s="28">
        <v>1</v>
      </c>
      <c r="G62" s="108" t="s">
        <v>722</v>
      </c>
      <c r="H62" s="28">
        <v>4.46</v>
      </c>
      <c r="I62" s="28">
        <v>0</v>
      </c>
      <c r="J62" s="28">
        <v>0</v>
      </c>
      <c r="K62" s="28">
        <v>0</v>
      </c>
      <c r="L62" s="28">
        <v>580</v>
      </c>
      <c r="M62" s="29">
        <v>460</v>
      </c>
      <c r="N62" s="29">
        <f t="shared" ref="N62:N74" si="29">+L62</f>
        <v>580</v>
      </c>
      <c r="O62" s="28">
        <f t="shared" si="27"/>
        <v>414</v>
      </c>
      <c r="P62" s="28">
        <v>10</v>
      </c>
      <c r="Q62" s="29">
        <f t="shared" si="16"/>
        <v>258.68</v>
      </c>
      <c r="R62" s="103">
        <v>1.2</v>
      </c>
      <c r="S62" s="107" t="s">
        <v>731</v>
      </c>
      <c r="T62" s="104" t="str">
        <f t="shared" si="14"/>
        <v>temporärer TITAN-Anker 30/11 mm S460/580</v>
      </c>
      <c r="U62" s="103" t="str">
        <f t="shared" si="15"/>
        <v>temporary TITAN-Anchor 30/11 mm S460/580</v>
      </c>
      <c r="V62" s="104" t="s">
        <v>755</v>
      </c>
      <c r="W62" s="103" t="s">
        <v>755</v>
      </c>
      <c r="X62" s="111" t="str">
        <f t="shared" si="28"/>
        <v>St460/580</v>
      </c>
      <c r="Y62" s="123">
        <v>210000000</v>
      </c>
      <c r="Z62" s="122">
        <f t="shared" si="9"/>
        <v>93660</v>
      </c>
      <c r="AA62" s="28"/>
      <c r="AB62" s="28"/>
      <c r="AC62" s="31"/>
      <c r="AD62" s="31"/>
    </row>
    <row r="63" spans="1:30" ht="15" customHeight="1" x14ac:dyDescent="0.2">
      <c r="A63" s="19">
        <f t="shared" si="4"/>
        <v>60</v>
      </c>
      <c r="B63" s="32" t="s">
        <v>6068</v>
      </c>
      <c r="C63" s="101" t="s">
        <v>720</v>
      </c>
      <c r="D63" s="101" t="s">
        <v>720</v>
      </c>
      <c r="E63" s="101" t="s">
        <v>720</v>
      </c>
      <c r="F63" s="28">
        <v>1</v>
      </c>
      <c r="G63" s="108" t="s">
        <v>723</v>
      </c>
      <c r="H63" s="28">
        <v>7.26</v>
      </c>
      <c r="I63" s="28">
        <v>0</v>
      </c>
      <c r="J63" s="28">
        <v>0</v>
      </c>
      <c r="K63" s="28">
        <v>0</v>
      </c>
      <c r="L63" s="28">
        <v>590</v>
      </c>
      <c r="M63" s="29">
        <v>460</v>
      </c>
      <c r="N63" s="29">
        <f t="shared" si="29"/>
        <v>590</v>
      </c>
      <c r="O63" s="28">
        <f t="shared" si="27"/>
        <v>414</v>
      </c>
      <c r="P63" s="28">
        <v>10</v>
      </c>
      <c r="Q63" s="29">
        <f t="shared" si="16"/>
        <v>428.34</v>
      </c>
      <c r="R63" s="103">
        <v>1.2</v>
      </c>
      <c r="S63" s="107" t="s">
        <v>731</v>
      </c>
      <c r="T63" s="104" t="str">
        <f t="shared" si="14"/>
        <v>temporärer TITAN-Anker 40/20 mm S460/590</v>
      </c>
      <c r="U63" s="103" t="str">
        <f t="shared" si="15"/>
        <v>temporary TITAN-Anchor 40/20 mm S460/590</v>
      </c>
      <c r="V63" s="104" t="s">
        <v>756</v>
      </c>
      <c r="W63" s="103" t="s">
        <v>756</v>
      </c>
      <c r="X63" s="111" t="str">
        <f t="shared" si="28"/>
        <v>St460/590</v>
      </c>
      <c r="Y63" s="123">
        <v>210000000</v>
      </c>
      <c r="Z63" s="122">
        <f t="shared" si="9"/>
        <v>152460</v>
      </c>
      <c r="AA63" s="28"/>
      <c r="AB63" s="28"/>
      <c r="AC63" s="31"/>
      <c r="AD63" s="31"/>
    </row>
    <row r="64" spans="1:30" ht="15" customHeight="1" x14ac:dyDescent="0.2">
      <c r="A64" s="19">
        <f t="shared" si="4"/>
        <v>61</v>
      </c>
      <c r="B64" s="32" t="s">
        <v>6594</v>
      </c>
      <c r="C64" s="101" t="s">
        <v>720</v>
      </c>
      <c r="D64" s="101" t="s">
        <v>720</v>
      </c>
      <c r="E64" s="101" t="s">
        <v>720</v>
      </c>
      <c r="F64" s="28">
        <v>1</v>
      </c>
      <c r="G64" s="108" t="s">
        <v>724</v>
      </c>
      <c r="H64" s="28">
        <v>8.7899999999999991</v>
      </c>
      <c r="I64" s="28">
        <v>0</v>
      </c>
      <c r="J64" s="28">
        <v>0</v>
      </c>
      <c r="K64" s="28">
        <v>0</v>
      </c>
      <c r="L64" s="28">
        <v>590</v>
      </c>
      <c r="M64" s="29">
        <v>460</v>
      </c>
      <c r="N64" s="29">
        <f t="shared" si="29"/>
        <v>590</v>
      </c>
      <c r="O64" s="28">
        <f t="shared" si="27"/>
        <v>414</v>
      </c>
      <c r="P64" s="28">
        <v>10</v>
      </c>
      <c r="Q64" s="29">
        <f t="shared" si="16"/>
        <v>518.6099999999999</v>
      </c>
      <c r="R64" s="103">
        <v>1.2</v>
      </c>
      <c r="S64" s="107" t="s">
        <v>731</v>
      </c>
      <c r="T64" s="104" t="str">
        <f t="shared" si="14"/>
        <v>temporärer TITAN-Anker 40/16 mm S460/590</v>
      </c>
      <c r="U64" s="103" t="str">
        <f t="shared" si="15"/>
        <v>temporary TITAN-Anchor 40/16 mm S460/590</v>
      </c>
      <c r="V64" s="104" t="s">
        <v>757</v>
      </c>
      <c r="W64" s="103" t="s">
        <v>757</v>
      </c>
      <c r="X64" s="111" t="str">
        <f t="shared" si="28"/>
        <v>St460/590</v>
      </c>
      <c r="Y64" s="123">
        <v>210000000</v>
      </c>
      <c r="Z64" s="122">
        <f t="shared" si="9"/>
        <v>184589.99999999997</v>
      </c>
      <c r="AA64" s="28"/>
      <c r="AB64" s="28"/>
      <c r="AC64" s="31"/>
      <c r="AD64" s="31"/>
    </row>
    <row r="65" spans="1:30" ht="15" customHeight="1" x14ac:dyDescent="0.2">
      <c r="A65" s="19">
        <f t="shared" si="4"/>
        <v>62</v>
      </c>
      <c r="B65" s="32" t="s">
        <v>6595</v>
      </c>
      <c r="C65" s="101" t="s">
        <v>720</v>
      </c>
      <c r="D65" s="101" t="s">
        <v>720</v>
      </c>
      <c r="E65" s="101" t="s">
        <v>720</v>
      </c>
      <c r="F65" s="28">
        <v>1</v>
      </c>
      <c r="G65" s="108" t="s">
        <v>725</v>
      </c>
      <c r="H65" s="28">
        <v>13.37</v>
      </c>
      <c r="I65" s="28">
        <v>0</v>
      </c>
      <c r="J65" s="28">
        <v>0</v>
      </c>
      <c r="K65" s="28">
        <v>0</v>
      </c>
      <c r="L65" s="28">
        <v>550</v>
      </c>
      <c r="M65" s="29">
        <v>460</v>
      </c>
      <c r="N65" s="29">
        <f t="shared" si="29"/>
        <v>550</v>
      </c>
      <c r="O65" s="28">
        <f t="shared" si="27"/>
        <v>414</v>
      </c>
      <c r="P65" s="28">
        <v>10</v>
      </c>
      <c r="Q65" s="29">
        <f t="shared" si="16"/>
        <v>735.35</v>
      </c>
      <c r="R65" s="103">
        <v>1.2</v>
      </c>
      <c r="S65" s="107" t="s">
        <v>731</v>
      </c>
      <c r="T65" s="104" t="str">
        <f t="shared" si="14"/>
        <v>temporärer TITAN-Anker 52/26 mm S460/550</v>
      </c>
      <c r="U65" s="103" t="str">
        <f t="shared" si="15"/>
        <v>temporary TITAN-Anchor 52/26 mm S460/550</v>
      </c>
      <c r="V65" s="104" t="s">
        <v>5549</v>
      </c>
      <c r="W65" s="103" t="s">
        <v>5549</v>
      </c>
      <c r="X65" s="111" t="str">
        <f t="shared" si="28"/>
        <v>St460/550</v>
      </c>
      <c r="Y65" s="123">
        <v>210000000</v>
      </c>
      <c r="Z65" s="122">
        <f t="shared" si="9"/>
        <v>280770</v>
      </c>
      <c r="AA65" s="28"/>
      <c r="AB65" s="28"/>
      <c r="AC65" s="31"/>
      <c r="AD65" s="31"/>
    </row>
    <row r="66" spans="1:30" ht="15" customHeight="1" x14ac:dyDescent="0.2">
      <c r="A66" s="19">
        <f t="shared" si="4"/>
        <v>63</v>
      </c>
      <c r="B66" s="32" t="s">
        <v>6596</v>
      </c>
      <c r="C66" s="101" t="s">
        <v>720</v>
      </c>
      <c r="D66" s="101" t="s">
        <v>720</v>
      </c>
      <c r="E66" s="101" t="s">
        <v>720</v>
      </c>
      <c r="F66" s="28">
        <v>1</v>
      </c>
      <c r="G66" s="108" t="s">
        <v>726</v>
      </c>
      <c r="H66" s="28">
        <v>16.309999999999999</v>
      </c>
      <c r="I66" s="28">
        <v>0</v>
      </c>
      <c r="J66" s="28">
        <v>0</v>
      </c>
      <c r="K66" s="28">
        <v>0</v>
      </c>
      <c r="L66" s="28">
        <v>590</v>
      </c>
      <c r="M66" s="29">
        <v>460</v>
      </c>
      <c r="N66" s="29">
        <f t="shared" si="29"/>
        <v>590</v>
      </c>
      <c r="O66" s="28">
        <f t="shared" si="27"/>
        <v>414</v>
      </c>
      <c r="P66" s="28">
        <v>10</v>
      </c>
      <c r="Q66" s="29">
        <f t="shared" si="16"/>
        <v>962.29</v>
      </c>
      <c r="R66" s="103">
        <v>1.2</v>
      </c>
      <c r="S66" s="107" t="s">
        <v>731</v>
      </c>
      <c r="T66" s="104" t="str">
        <f t="shared" si="14"/>
        <v>temporärer TITAN-Anker 73/53 mm S460/590</v>
      </c>
      <c r="U66" s="103" t="str">
        <f t="shared" si="15"/>
        <v>temporary TITAN-Anchor 73/53 mm S460/590</v>
      </c>
      <c r="V66" s="104" t="s">
        <v>5550</v>
      </c>
      <c r="W66" s="103" t="s">
        <v>5550</v>
      </c>
      <c r="X66" s="111" t="str">
        <f t="shared" si="28"/>
        <v>St460/590</v>
      </c>
      <c r="Y66" s="123">
        <v>210000000</v>
      </c>
      <c r="Z66" s="122">
        <f t="shared" si="9"/>
        <v>342509.99999999994</v>
      </c>
      <c r="AA66" s="28"/>
      <c r="AB66" s="28"/>
      <c r="AC66" s="31"/>
      <c r="AD66" s="31"/>
    </row>
    <row r="67" spans="1:30" ht="15" customHeight="1" x14ac:dyDescent="0.2">
      <c r="A67" s="19">
        <f t="shared" si="4"/>
        <v>64</v>
      </c>
      <c r="B67" s="32" t="s">
        <v>6597</v>
      </c>
      <c r="C67" s="101" t="s">
        <v>720</v>
      </c>
      <c r="D67" s="101" t="s">
        <v>720</v>
      </c>
      <c r="E67" s="101" t="s">
        <v>720</v>
      </c>
      <c r="F67" s="28">
        <v>1</v>
      </c>
      <c r="G67" s="108" t="s">
        <v>727</v>
      </c>
      <c r="H67" s="28">
        <v>31.46</v>
      </c>
      <c r="I67" s="28">
        <v>0</v>
      </c>
      <c r="J67" s="28">
        <v>0</v>
      </c>
      <c r="K67" s="28">
        <v>0</v>
      </c>
      <c r="L67" s="28">
        <v>500</v>
      </c>
      <c r="M67" s="29">
        <v>460</v>
      </c>
      <c r="N67" s="29">
        <f t="shared" si="29"/>
        <v>500</v>
      </c>
      <c r="O67" s="28">
        <f t="shared" si="27"/>
        <v>414</v>
      </c>
      <c r="P67" s="28">
        <v>10</v>
      </c>
      <c r="Q67" s="29">
        <f>+H67*L67/10</f>
        <v>1573</v>
      </c>
      <c r="R67" s="103">
        <v>1.2</v>
      </c>
      <c r="S67" s="107" t="s">
        <v>731</v>
      </c>
      <c r="T67" s="104" t="str">
        <f t="shared" si="14"/>
        <v>temporärer TITAN-Anker 103/78 mm S460/500</v>
      </c>
      <c r="U67" s="103" t="str">
        <f t="shared" si="15"/>
        <v>temporary TITAN-Anchor 103/78 mm S460/500</v>
      </c>
      <c r="V67" s="104" t="s">
        <v>5551</v>
      </c>
      <c r="W67" s="103" t="s">
        <v>5551</v>
      </c>
      <c r="X67" s="111" t="str">
        <f t="shared" si="28"/>
        <v>St460/500</v>
      </c>
      <c r="Y67" s="123">
        <v>210000000</v>
      </c>
      <c r="Z67" s="122">
        <f t="shared" si="9"/>
        <v>660660</v>
      </c>
      <c r="AA67" s="28"/>
      <c r="AB67" s="28"/>
      <c r="AC67" s="31"/>
      <c r="AD67" s="31"/>
    </row>
    <row r="68" spans="1:30" ht="15" customHeight="1" x14ac:dyDescent="0.2">
      <c r="A68" s="19">
        <f t="shared" si="4"/>
        <v>65</v>
      </c>
      <c r="B68" s="32" t="s">
        <v>6598</v>
      </c>
      <c r="C68" s="101" t="s">
        <v>720</v>
      </c>
      <c r="D68" s="101" t="s">
        <v>720</v>
      </c>
      <c r="E68" s="101" t="s">
        <v>720</v>
      </c>
      <c r="F68" s="28">
        <v>1</v>
      </c>
      <c r="G68" s="108" t="s">
        <v>728</v>
      </c>
      <c r="H68" s="28">
        <v>55.01</v>
      </c>
      <c r="I68" s="28">
        <v>0</v>
      </c>
      <c r="J68" s="28">
        <v>0</v>
      </c>
      <c r="K68" s="28">
        <v>0</v>
      </c>
      <c r="L68" s="28">
        <v>500</v>
      </c>
      <c r="M68" s="29">
        <v>460</v>
      </c>
      <c r="N68" s="29">
        <f t="shared" si="29"/>
        <v>500</v>
      </c>
      <c r="O68" s="28">
        <f t="shared" si="27"/>
        <v>414</v>
      </c>
      <c r="P68" s="28">
        <v>10</v>
      </c>
      <c r="Q68" s="29">
        <f t="shared" si="16"/>
        <v>2750.5</v>
      </c>
      <c r="R68" s="103">
        <v>1.2</v>
      </c>
      <c r="S68" s="107" t="s">
        <v>731</v>
      </c>
      <c r="T68" s="104" t="str">
        <f t="shared" si="14"/>
        <v>temporärer TITAN-Anker 105/53 mm S460/500</v>
      </c>
      <c r="U68" s="103" t="str">
        <f t="shared" si="15"/>
        <v>temporary TITAN-Anchor 105/53 mm S460/500</v>
      </c>
      <c r="V68" s="104" t="s">
        <v>5552</v>
      </c>
      <c r="W68" s="103" t="s">
        <v>5552</v>
      </c>
      <c r="X68" s="111" t="str">
        <f>+"St"&amp;M68&amp;"/"&amp;N68</f>
        <v>St460/500</v>
      </c>
      <c r="Y68" s="123">
        <v>210000000</v>
      </c>
      <c r="Z68" s="122">
        <f t="shared" si="9"/>
        <v>1155210</v>
      </c>
      <c r="AA68" s="28"/>
      <c r="AB68" s="28"/>
      <c r="AC68" s="31"/>
      <c r="AD68" s="31"/>
    </row>
    <row r="69" spans="1:30" ht="15" customHeight="1" x14ac:dyDescent="0.2">
      <c r="A69" s="19">
        <f t="shared" si="4"/>
        <v>66</v>
      </c>
      <c r="B69" s="32" t="s">
        <v>6298</v>
      </c>
      <c r="C69" s="101" t="s">
        <v>5457</v>
      </c>
      <c r="D69" s="101" t="s">
        <v>5457</v>
      </c>
      <c r="E69" s="101" t="s">
        <v>5458</v>
      </c>
      <c r="F69" s="28">
        <v>1</v>
      </c>
      <c r="G69" s="28">
        <f>130/6.5*2</f>
        <v>40</v>
      </c>
      <c r="H69" s="31">
        <f t="shared" ref="H69:H74" si="30">+G69^2*PI()/4/100</f>
        <v>12.566370614359172</v>
      </c>
      <c r="I69" s="28">
        <v>0</v>
      </c>
      <c r="J69" s="28">
        <v>1</v>
      </c>
      <c r="K69" s="28">
        <v>0</v>
      </c>
      <c r="L69" s="28">
        <v>355</v>
      </c>
      <c r="M69" s="29">
        <f t="shared" ref="M69:M74" si="31">+L69</f>
        <v>355</v>
      </c>
      <c r="N69" s="29">
        <f t="shared" si="29"/>
        <v>355</v>
      </c>
      <c r="O69" s="28">
        <f>+M69*0.9</f>
        <v>319.5</v>
      </c>
      <c r="P69" s="28">
        <v>11</v>
      </c>
      <c r="Q69" s="29">
        <f>+H69*L69/10</f>
        <v>446.10615680975059</v>
      </c>
      <c r="R69" s="103">
        <v>0.3</v>
      </c>
      <c r="S69" s="107" t="s">
        <v>731</v>
      </c>
      <c r="T69" s="104" t="str">
        <f t="shared" ref="T69:T74" si="32">+IF(D69="-","",IF(J69=0,"temporärer ","permanter ")&amp;D69&amp;"-Anker "&amp;IF(F69&gt;1,F69&amp;"x","")&amp;G69&amp;S69&amp;" S"&amp;M69&amp;"/"&amp;N69&amp;IF(J69&gt;0,IF(K69=1," einfacher "," doppelter ")&amp;"Korrosionschutz",""))</f>
        <v>permanter Rundstahl-Anker 40 mm S355/355 doppelter Korrosionschutz</v>
      </c>
      <c r="U69" s="103" t="str">
        <f t="shared" ref="U69:U74" si="33">+IF(D69="-","",IF(J69=0,"temporary ","permanent ")&amp;E69&amp;"-Anchor "&amp;IF(F69&gt;1,F69&amp;"x","")&amp;G69&amp;S69&amp;" S"&amp;M69&amp;"/"&amp;N69&amp;IF(J69&gt;0,IF(K69=1," single "," double ")&amp;"corrosion protection",""))</f>
        <v>permanent Round bar-Anchor 40 mm S355/355 double corrosion protection</v>
      </c>
      <c r="V69" s="101" t="s">
        <v>6298</v>
      </c>
      <c r="W69" s="101" t="s">
        <v>6298</v>
      </c>
      <c r="X69" s="111" t="str">
        <f t="shared" ref="X69:X74" si="34">+"S"&amp;M69</f>
        <v>S355</v>
      </c>
      <c r="Y69" s="123">
        <v>210000000</v>
      </c>
      <c r="Z69" s="122">
        <f t="shared" si="9"/>
        <v>263893.78290154261</v>
      </c>
      <c r="AA69" s="28"/>
      <c r="AB69" s="28"/>
      <c r="AC69" s="31"/>
      <c r="AD69" s="31"/>
    </row>
    <row r="70" spans="1:30" ht="15" customHeight="1" x14ac:dyDescent="0.2">
      <c r="A70" s="19">
        <f t="shared" ref="A70:A133" si="35">+A69+1</f>
        <v>67</v>
      </c>
      <c r="B70" s="32" t="s">
        <v>6299</v>
      </c>
      <c r="C70" s="101" t="s">
        <v>5457</v>
      </c>
      <c r="D70" s="101" t="s">
        <v>5457</v>
      </c>
      <c r="E70" s="101" t="s">
        <v>5458</v>
      </c>
      <c r="F70" s="28">
        <v>1</v>
      </c>
      <c r="G70" s="28">
        <f>130/6.5*2.25</f>
        <v>45</v>
      </c>
      <c r="H70" s="31">
        <f t="shared" si="30"/>
        <v>15.904312808798327</v>
      </c>
      <c r="I70" s="28">
        <v>0</v>
      </c>
      <c r="J70" s="28">
        <v>1</v>
      </c>
      <c r="K70" s="28">
        <v>0</v>
      </c>
      <c r="L70" s="28">
        <v>355</v>
      </c>
      <c r="M70" s="29">
        <f t="shared" si="31"/>
        <v>355</v>
      </c>
      <c r="N70" s="29">
        <f t="shared" si="29"/>
        <v>355</v>
      </c>
      <c r="O70" s="28">
        <f>+M70*0.9</f>
        <v>319.5</v>
      </c>
      <c r="P70" s="28">
        <v>11</v>
      </c>
      <c r="Q70" s="29">
        <f>+H70*L70/10</f>
        <v>564.60310471234061</v>
      </c>
      <c r="R70" s="103">
        <v>0.3</v>
      </c>
      <c r="S70" s="107" t="s">
        <v>731</v>
      </c>
      <c r="T70" s="104" t="str">
        <f t="shared" si="32"/>
        <v>permanter Rundstahl-Anker 45 mm S355/355 doppelter Korrosionschutz</v>
      </c>
      <c r="U70" s="103" t="str">
        <f t="shared" si="33"/>
        <v>permanent Round bar-Anchor 45 mm S355/355 double corrosion protection</v>
      </c>
      <c r="V70" s="101" t="s">
        <v>6299</v>
      </c>
      <c r="W70" s="101" t="s">
        <v>6299</v>
      </c>
      <c r="X70" s="111" t="str">
        <f t="shared" si="34"/>
        <v>S355</v>
      </c>
      <c r="Y70" s="123">
        <v>210000000</v>
      </c>
      <c r="Z70" s="122">
        <f t="shared" ref="Z70:Z112" si="36">+H70*Y70/100^2</f>
        <v>333990.56898476486</v>
      </c>
      <c r="AA70" s="28"/>
      <c r="AB70" s="28"/>
      <c r="AC70" s="31"/>
      <c r="AD70" s="31"/>
    </row>
    <row r="71" spans="1:30" ht="15" customHeight="1" x14ac:dyDescent="0.2">
      <c r="A71" s="19">
        <f t="shared" si="35"/>
        <v>68</v>
      </c>
      <c r="B71" s="32" t="s">
        <v>6535</v>
      </c>
      <c r="C71" s="101" t="s">
        <v>5457</v>
      </c>
      <c r="D71" s="101" t="s">
        <v>5457</v>
      </c>
      <c r="E71" s="101" t="s">
        <v>5458</v>
      </c>
      <c r="F71" s="28">
        <v>1</v>
      </c>
      <c r="G71" s="28">
        <f>130/6.5*2.5</f>
        <v>50</v>
      </c>
      <c r="H71" s="31">
        <f t="shared" si="30"/>
        <v>19.634954084936208</v>
      </c>
      <c r="I71" s="28">
        <v>0</v>
      </c>
      <c r="J71" s="28">
        <v>1</v>
      </c>
      <c r="K71" s="28">
        <v>0</v>
      </c>
      <c r="L71" s="28">
        <v>355</v>
      </c>
      <c r="M71" s="29">
        <f t="shared" si="31"/>
        <v>355</v>
      </c>
      <c r="N71" s="29">
        <f t="shared" si="29"/>
        <v>355</v>
      </c>
      <c r="O71" s="28">
        <f>+M71*0.9</f>
        <v>319.5</v>
      </c>
      <c r="P71" s="28">
        <v>11</v>
      </c>
      <c r="Q71" s="29">
        <f>+H71*L71/10</f>
        <v>697.04087001523544</v>
      </c>
      <c r="R71" s="103">
        <v>0.3</v>
      </c>
      <c r="S71" s="107" t="s">
        <v>731</v>
      </c>
      <c r="T71" s="104" t="str">
        <f t="shared" si="32"/>
        <v>permanter Rundstahl-Anker 50 mm S355/355 doppelter Korrosionschutz</v>
      </c>
      <c r="U71" s="103" t="str">
        <f t="shared" si="33"/>
        <v>permanent Round bar-Anchor 50 mm S355/355 double corrosion protection</v>
      </c>
      <c r="V71" s="101" t="s">
        <v>6535</v>
      </c>
      <c r="W71" s="101" t="s">
        <v>6535</v>
      </c>
      <c r="X71" s="111" t="str">
        <f t="shared" si="34"/>
        <v>S355</v>
      </c>
      <c r="Y71" s="123">
        <v>210000000</v>
      </c>
      <c r="Z71" s="122">
        <f t="shared" si="36"/>
        <v>412334.03578366037</v>
      </c>
      <c r="AA71" s="28"/>
      <c r="AB71" s="28"/>
      <c r="AC71" s="31"/>
      <c r="AD71" s="31"/>
    </row>
    <row r="72" spans="1:30" ht="15" customHeight="1" x14ac:dyDescent="0.2">
      <c r="A72" s="19">
        <f t="shared" si="35"/>
        <v>69</v>
      </c>
      <c r="B72" s="32" t="s">
        <v>6536</v>
      </c>
      <c r="C72" s="101" t="s">
        <v>5457</v>
      </c>
      <c r="D72" s="101" t="s">
        <v>5457</v>
      </c>
      <c r="E72" s="101" t="s">
        <v>5458</v>
      </c>
      <c r="F72" s="28">
        <v>1</v>
      </c>
      <c r="G72" s="28">
        <f>130/6.5*2.75</f>
        <v>55</v>
      </c>
      <c r="H72" s="31">
        <f t="shared" si="30"/>
        <v>23.758294442772812</v>
      </c>
      <c r="I72" s="28">
        <v>0</v>
      </c>
      <c r="J72" s="28">
        <v>1</v>
      </c>
      <c r="K72" s="28">
        <v>0</v>
      </c>
      <c r="L72" s="28">
        <v>355</v>
      </c>
      <c r="M72" s="29">
        <f t="shared" si="31"/>
        <v>355</v>
      </c>
      <c r="N72" s="29">
        <f t="shared" si="29"/>
        <v>355</v>
      </c>
      <c r="O72" s="28">
        <f>+M72*0.9</f>
        <v>319.5</v>
      </c>
      <c r="P72" s="28">
        <v>11</v>
      </c>
      <c r="Q72" s="29">
        <f>+H72*L72/10</f>
        <v>843.41945271843485</v>
      </c>
      <c r="R72" s="103">
        <v>0.3</v>
      </c>
      <c r="S72" s="107" t="s">
        <v>731</v>
      </c>
      <c r="T72" s="104" t="str">
        <f t="shared" si="32"/>
        <v>permanter Rundstahl-Anker 55 mm S355/355 doppelter Korrosionschutz</v>
      </c>
      <c r="U72" s="103" t="str">
        <f t="shared" si="33"/>
        <v>permanent Round bar-Anchor 55 mm S355/355 double corrosion protection</v>
      </c>
      <c r="V72" s="101" t="s">
        <v>6536</v>
      </c>
      <c r="W72" s="101" t="s">
        <v>6536</v>
      </c>
      <c r="X72" s="111" t="str">
        <f t="shared" si="34"/>
        <v>S355</v>
      </c>
      <c r="Y72" s="123">
        <v>210000000</v>
      </c>
      <c r="Z72" s="122">
        <f t="shared" si="36"/>
        <v>498924.18329822901</v>
      </c>
      <c r="AA72" s="28"/>
      <c r="AB72" s="28"/>
      <c r="AC72" s="31"/>
      <c r="AD72" s="31"/>
    </row>
    <row r="73" spans="1:30" ht="15" customHeight="1" x14ac:dyDescent="0.2">
      <c r="A73" s="19">
        <f t="shared" si="35"/>
        <v>70</v>
      </c>
      <c r="B73" s="32" t="s">
        <v>4270</v>
      </c>
      <c r="C73" s="101" t="s">
        <v>5457</v>
      </c>
      <c r="D73" s="101" t="s">
        <v>5457</v>
      </c>
      <c r="E73" s="101" t="s">
        <v>5458</v>
      </c>
      <c r="F73" s="28">
        <v>1</v>
      </c>
      <c r="G73" s="28">
        <v>57</v>
      </c>
      <c r="H73" s="31">
        <f t="shared" si="30"/>
        <v>25.517586328783096</v>
      </c>
      <c r="I73" s="28">
        <v>0</v>
      </c>
      <c r="J73" s="28">
        <v>1</v>
      </c>
      <c r="K73" s="28">
        <v>0</v>
      </c>
      <c r="L73" s="28">
        <v>355</v>
      </c>
      <c r="M73" s="29">
        <f t="shared" si="31"/>
        <v>355</v>
      </c>
      <c r="N73" s="29">
        <f t="shared" si="29"/>
        <v>355</v>
      </c>
      <c r="O73" s="28">
        <f t="shared" si="27"/>
        <v>319.5</v>
      </c>
      <c r="P73" s="28">
        <v>11</v>
      </c>
      <c r="Q73" s="29">
        <f t="shared" si="16"/>
        <v>905.87431467179999</v>
      </c>
      <c r="R73" s="103">
        <v>0.3</v>
      </c>
      <c r="S73" s="107" t="s">
        <v>731</v>
      </c>
      <c r="T73" s="104" t="str">
        <f t="shared" si="32"/>
        <v>permanter Rundstahl-Anker 57 mm S355/355 doppelter Korrosionschutz</v>
      </c>
      <c r="U73" s="103" t="str">
        <f t="shared" si="33"/>
        <v>permanent Round bar-Anchor 57 mm S355/355 double corrosion protection</v>
      </c>
      <c r="V73" s="101" t="s">
        <v>4270</v>
      </c>
      <c r="W73" s="101" t="s">
        <v>4270</v>
      </c>
      <c r="X73" s="111" t="str">
        <f t="shared" si="34"/>
        <v>S355</v>
      </c>
      <c r="Y73" s="123">
        <v>210000000</v>
      </c>
      <c r="Z73" s="122">
        <f t="shared" si="36"/>
        <v>535869.31290444499</v>
      </c>
      <c r="AA73" s="28"/>
      <c r="AB73" s="28"/>
      <c r="AC73" s="31"/>
      <c r="AD73" s="31"/>
    </row>
    <row r="74" spans="1:30" ht="15" customHeight="1" x14ac:dyDescent="0.2">
      <c r="A74" s="19">
        <f t="shared" si="35"/>
        <v>71</v>
      </c>
      <c r="B74" s="32" t="s">
        <v>4271</v>
      </c>
      <c r="C74" s="101" t="s">
        <v>5457</v>
      </c>
      <c r="D74" s="101" t="s">
        <v>5457</v>
      </c>
      <c r="E74" s="101" t="s">
        <v>5458</v>
      </c>
      <c r="F74" s="28">
        <v>1</v>
      </c>
      <c r="G74" s="28">
        <v>63</v>
      </c>
      <c r="H74" s="31">
        <f t="shared" si="30"/>
        <v>31.17245310524472</v>
      </c>
      <c r="I74" s="28">
        <v>0</v>
      </c>
      <c r="J74" s="28">
        <v>1</v>
      </c>
      <c r="K74" s="28">
        <v>0</v>
      </c>
      <c r="L74" s="28">
        <v>355</v>
      </c>
      <c r="M74" s="29">
        <f t="shared" si="31"/>
        <v>355</v>
      </c>
      <c r="N74" s="29">
        <f t="shared" si="29"/>
        <v>355</v>
      </c>
      <c r="O74" s="28">
        <f t="shared" si="27"/>
        <v>319.5</v>
      </c>
      <c r="P74" s="28">
        <v>11</v>
      </c>
      <c r="Q74" s="29">
        <f>+H74*L74/10</f>
        <v>1106.6220852361876</v>
      </c>
      <c r="R74" s="103">
        <v>0.3</v>
      </c>
      <c r="S74" s="107" t="s">
        <v>731</v>
      </c>
      <c r="T74" s="104" t="str">
        <f t="shared" si="32"/>
        <v>permanter Rundstahl-Anker 63 mm S355/355 doppelter Korrosionschutz</v>
      </c>
      <c r="U74" s="103" t="str">
        <f t="shared" si="33"/>
        <v>permanent Round bar-Anchor 63 mm S355/355 double corrosion protection</v>
      </c>
      <c r="V74" s="101" t="s">
        <v>4271</v>
      </c>
      <c r="W74" s="101" t="s">
        <v>4271</v>
      </c>
      <c r="X74" s="111" t="str">
        <f t="shared" si="34"/>
        <v>S355</v>
      </c>
      <c r="Y74" s="123">
        <v>210000000</v>
      </c>
      <c r="Z74" s="122">
        <f t="shared" si="36"/>
        <v>654621.5152101391</v>
      </c>
      <c r="AA74" s="28"/>
      <c r="AB74" s="28"/>
      <c r="AC74" s="31"/>
      <c r="AD74" s="31"/>
    </row>
    <row r="75" spans="1:30" ht="15" customHeight="1" x14ac:dyDescent="0.2">
      <c r="A75" s="19">
        <f t="shared" si="35"/>
        <v>72</v>
      </c>
      <c r="B75" s="32" t="s">
        <v>5438</v>
      </c>
      <c r="C75" s="101" t="s">
        <v>5457</v>
      </c>
      <c r="D75" s="101" t="s">
        <v>5457</v>
      </c>
      <c r="E75" s="101" t="s">
        <v>5458</v>
      </c>
      <c r="F75" s="28">
        <v>1</v>
      </c>
      <c r="G75" s="28">
        <v>70</v>
      </c>
      <c r="H75" s="31">
        <f t="shared" ref="H75:H87" si="37">+G75^2*PI()/4/100</f>
        <v>38.484510006474963</v>
      </c>
      <c r="I75" s="28">
        <v>0</v>
      </c>
      <c r="J75" s="28">
        <v>1</v>
      </c>
      <c r="K75" s="28">
        <v>0</v>
      </c>
      <c r="L75" s="28">
        <v>355</v>
      </c>
      <c r="M75" s="29">
        <f t="shared" ref="M75:M87" si="38">+L75</f>
        <v>355</v>
      </c>
      <c r="N75" s="29">
        <f t="shared" ref="N75:N81" si="39">+L75</f>
        <v>355</v>
      </c>
      <c r="O75" s="28">
        <f t="shared" si="27"/>
        <v>319.5</v>
      </c>
      <c r="P75" s="28">
        <v>11</v>
      </c>
      <c r="Q75" s="29">
        <f t="shared" ref="Q75:Q81" si="40">+H75*L75/10</f>
        <v>1366.2001052298613</v>
      </c>
      <c r="R75" s="103">
        <v>0.3</v>
      </c>
      <c r="S75" s="107" t="s">
        <v>731</v>
      </c>
      <c r="T75" s="104" t="str">
        <f t="shared" ref="T75:T81" si="41">+IF(D75="-","",IF(J75=0,"temporärer ","permanter ")&amp;D75&amp;"-Anker "&amp;IF(F75&gt;1,F75&amp;"x","")&amp;G75&amp;S75&amp;" S"&amp;M75&amp;"/"&amp;N75&amp;IF(J75&gt;0,IF(K75=1," einfacher "," doppelter ")&amp;"Korrosionschutz",""))</f>
        <v>permanter Rundstahl-Anker 70 mm S355/355 doppelter Korrosionschutz</v>
      </c>
      <c r="U75" s="103" t="str">
        <f t="shared" ref="U75:U81" si="42">+IF(D75="-","",IF(J75=0,"temporary ","permanent ")&amp;E75&amp;"-Anchor "&amp;IF(F75&gt;1,F75&amp;"x","")&amp;G75&amp;S75&amp;" S"&amp;M75&amp;"/"&amp;N75&amp;IF(J75&gt;0,IF(K75=1," single "," double ")&amp;"corrosion protection",""))</f>
        <v>permanent Round bar-Anchor 70 mm S355/355 double corrosion protection</v>
      </c>
      <c r="V75" s="101" t="s">
        <v>5438</v>
      </c>
      <c r="W75" s="101" t="s">
        <v>5438</v>
      </c>
      <c r="X75" s="111" t="str">
        <f t="shared" ref="X75:X81" si="43">+"S"&amp;M75</f>
        <v>S355</v>
      </c>
      <c r="Y75" s="123">
        <v>210000000</v>
      </c>
      <c r="Z75" s="122">
        <f t="shared" si="36"/>
        <v>808174.71013597422</v>
      </c>
      <c r="AA75" s="28"/>
      <c r="AB75" s="28"/>
      <c r="AC75" s="31"/>
      <c r="AD75" s="31"/>
    </row>
    <row r="76" spans="1:30" ht="15" customHeight="1" x14ac:dyDescent="0.2">
      <c r="A76" s="19">
        <f t="shared" si="35"/>
        <v>73</v>
      </c>
      <c r="B76" s="32" t="s">
        <v>5439</v>
      </c>
      <c r="C76" s="101" t="s">
        <v>5457</v>
      </c>
      <c r="D76" s="101" t="s">
        <v>5457</v>
      </c>
      <c r="E76" s="101" t="s">
        <v>5458</v>
      </c>
      <c r="F76" s="28">
        <v>1</v>
      </c>
      <c r="G76" s="28">
        <v>75</v>
      </c>
      <c r="H76" s="31">
        <f t="shared" si="37"/>
        <v>44.178646691106472</v>
      </c>
      <c r="I76" s="28">
        <v>0</v>
      </c>
      <c r="J76" s="28">
        <v>1</v>
      </c>
      <c r="K76" s="28">
        <v>0</v>
      </c>
      <c r="L76" s="28">
        <v>355</v>
      </c>
      <c r="M76" s="29">
        <f t="shared" si="38"/>
        <v>355</v>
      </c>
      <c r="N76" s="29">
        <f t="shared" si="39"/>
        <v>355</v>
      </c>
      <c r="O76" s="28">
        <f t="shared" si="27"/>
        <v>319.5</v>
      </c>
      <c r="P76" s="28">
        <v>11</v>
      </c>
      <c r="Q76" s="29">
        <f t="shared" si="40"/>
        <v>1568.3419575342798</v>
      </c>
      <c r="R76" s="103">
        <v>0.3</v>
      </c>
      <c r="S76" s="107" t="s">
        <v>731</v>
      </c>
      <c r="T76" s="104" t="str">
        <f t="shared" si="41"/>
        <v>permanter Rundstahl-Anker 75 mm S355/355 doppelter Korrosionschutz</v>
      </c>
      <c r="U76" s="103" t="str">
        <f t="shared" si="42"/>
        <v>permanent Round bar-Anchor 75 mm S355/355 double corrosion protection</v>
      </c>
      <c r="V76" s="101" t="s">
        <v>5439</v>
      </c>
      <c r="W76" s="101" t="s">
        <v>5439</v>
      </c>
      <c r="X76" s="111" t="str">
        <f t="shared" si="43"/>
        <v>S355</v>
      </c>
      <c r="Y76" s="123">
        <v>210000000</v>
      </c>
      <c r="Z76" s="122">
        <f t="shared" si="36"/>
        <v>927751.58051323588</v>
      </c>
      <c r="AA76" s="28"/>
      <c r="AB76" s="28"/>
      <c r="AC76" s="31"/>
      <c r="AD76" s="31"/>
    </row>
    <row r="77" spans="1:30" ht="15" customHeight="1" x14ac:dyDescent="0.2">
      <c r="A77" s="19">
        <f t="shared" si="35"/>
        <v>74</v>
      </c>
      <c r="B77" s="32" t="s">
        <v>5440</v>
      </c>
      <c r="C77" s="101" t="s">
        <v>5457</v>
      </c>
      <c r="D77" s="101" t="s">
        <v>5457</v>
      </c>
      <c r="E77" s="101" t="s">
        <v>5458</v>
      </c>
      <c r="F77" s="28">
        <v>1</v>
      </c>
      <c r="G77" s="28">
        <v>80</v>
      </c>
      <c r="H77" s="31">
        <f t="shared" si="37"/>
        <v>50.26548245743669</v>
      </c>
      <c r="I77" s="28">
        <v>0</v>
      </c>
      <c r="J77" s="28">
        <v>1</v>
      </c>
      <c r="K77" s="28">
        <v>0</v>
      </c>
      <c r="L77" s="28">
        <v>355</v>
      </c>
      <c r="M77" s="29">
        <f t="shared" si="38"/>
        <v>355</v>
      </c>
      <c r="N77" s="29">
        <f t="shared" si="39"/>
        <v>355</v>
      </c>
      <c r="O77" s="28">
        <f t="shared" si="27"/>
        <v>319.5</v>
      </c>
      <c r="P77" s="28">
        <v>11</v>
      </c>
      <c r="Q77" s="29">
        <f t="shared" si="40"/>
        <v>1784.4246272390023</v>
      </c>
      <c r="R77" s="103">
        <v>0.3</v>
      </c>
      <c r="S77" s="107" t="s">
        <v>731</v>
      </c>
      <c r="T77" s="104" t="str">
        <f t="shared" si="41"/>
        <v>permanter Rundstahl-Anker 80 mm S355/355 doppelter Korrosionschutz</v>
      </c>
      <c r="U77" s="103" t="str">
        <f t="shared" si="42"/>
        <v>permanent Round bar-Anchor 80 mm S355/355 double corrosion protection</v>
      </c>
      <c r="V77" s="101" t="s">
        <v>5440</v>
      </c>
      <c r="W77" s="101" t="s">
        <v>5440</v>
      </c>
      <c r="X77" s="111" t="str">
        <f t="shared" si="43"/>
        <v>S355</v>
      </c>
      <c r="Y77" s="123">
        <v>210000000</v>
      </c>
      <c r="Z77" s="122">
        <f t="shared" si="36"/>
        <v>1055575.1316061704</v>
      </c>
      <c r="AA77" s="28"/>
      <c r="AB77" s="28"/>
      <c r="AC77" s="31"/>
      <c r="AD77" s="31"/>
    </row>
    <row r="78" spans="1:30" ht="15" customHeight="1" x14ac:dyDescent="0.2">
      <c r="A78" s="19">
        <f t="shared" si="35"/>
        <v>75</v>
      </c>
      <c r="B78" s="32" t="s">
        <v>5441</v>
      </c>
      <c r="C78" s="101" t="s">
        <v>5457</v>
      </c>
      <c r="D78" s="101" t="s">
        <v>5457</v>
      </c>
      <c r="E78" s="101" t="s">
        <v>5458</v>
      </c>
      <c r="F78" s="28">
        <v>1</v>
      </c>
      <c r="G78" s="28">
        <v>82</v>
      </c>
      <c r="H78" s="31">
        <f t="shared" si="37"/>
        <v>52.810172506844417</v>
      </c>
      <c r="I78" s="28">
        <v>0</v>
      </c>
      <c r="J78" s="28">
        <v>1</v>
      </c>
      <c r="K78" s="28">
        <v>0</v>
      </c>
      <c r="L78" s="28">
        <v>355</v>
      </c>
      <c r="M78" s="29">
        <f t="shared" si="38"/>
        <v>355</v>
      </c>
      <c r="N78" s="29">
        <f t="shared" si="39"/>
        <v>355</v>
      </c>
      <c r="O78" s="28">
        <f t="shared" si="27"/>
        <v>319.5</v>
      </c>
      <c r="P78" s="28">
        <v>11</v>
      </c>
      <c r="Q78" s="29">
        <f t="shared" si="40"/>
        <v>1874.7611239929768</v>
      </c>
      <c r="R78" s="103">
        <v>0.3</v>
      </c>
      <c r="S78" s="107" t="s">
        <v>731</v>
      </c>
      <c r="T78" s="104" t="str">
        <f t="shared" si="41"/>
        <v>permanter Rundstahl-Anker 82 mm S355/355 doppelter Korrosionschutz</v>
      </c>
      <c r="U78" s="103" t="str">
        <f t="shared" si="42"/>
        <v>permanent Round bar-Anchor 82 mm S355/355 double corrosion protection</v>
      </c>
      <c r="V78" s="101" t="s">
        <v>5441</v>
      </c>
      <c r="W78" s="101" t="s">
        <v>5441</v>
      </c>
      <c r="X78" s="111" t="str">
        <f t="shared" si="43"/>
        <v>S355</v>
      </c>
      <c r="Y78" s="123">
        <v>210000000</v>
      </c>
      <c r="Z78" s="122">
        <f t="shared" si="36"/>
        <v>1109013.6226437329</v>
      </c>
      <c r="AA78" s="28"/>
      <c r="AB78" s="28"/>
      <c r="AC78" s="31"/>
      <c r="AD78" s="31"/>
    </row>
    <row r="79" spans="1:30" ht="15" customHeight="1" x14ac:dyDescent="0.2">
      <c r="A79" s="19">
        <f t="shared" si="35"/>
        <v>76</v>
      </c>
      <c r="B79" s="32" t="s">
        <v>5443</v>
      </c>
      <c r="C79" s="101" t="s">
        <v>5457</v>
      </c>
      <c r="D79" s="101" t="s">
        <v>5457</v>
      </c>
      <c r="E79" s="101" t="s">
        <v>5458</v>
      </c>
      <c r="F79" s="28">
        <v>1</v>
      </c>
      <c r="G79" s="28">
        <v>90</v>
      </c>
      <c r="H79" s="31">
        <f t="shared" si="37"/>
        <v>63.617251235193308</v>
      </c>
      <c r="I79" s="28">
        <v>0</v>
      </c>
      <c r="J79" s="28">
        <v>1</v>
      </c>
      <c r="K79" s="28">
        <v>0</v>
      </c>
      <c r="L79" s="28">
        <v>355</v>
      </c>
      <c r="M79" s="29">
        <f t="shared" si="38"/>
        <v>355</v>
      </c>
      <c r="N79" s="29">
        <f t="shared" si="39"/>
        <v>355</v>
      </c>
      <c r="O79" s="28">
        <f t="shared" si="27"/>
        <v>319.5</v>
      </c>
      <c r="P79" s="28">
        <v>11</v>
      </c>
      <c r="Q79" s="29">
        <f t="shared" si="40"/>
        <v>2258.4124188493624</v>
      </c>
      <c r="R79" s="103">
        <v>0.3</v>
      </c>
      <c r="S79" s="107" t="s">
        <v>731</v>
      </c>
      <c r="T79" s="104" t="str">
        <f t="shared" si="41"/>
        <v>permanter Rundstahl-Anker 90 mm S355/355 doppelter Korrosionschutz</v>
      </c>
      <c r="U79" s="103" t="str">
        <f t="shared" si="42"/>
        <v>permanent Round bar-Anchor 90 mm S355/355 double corrosion protection</v>
      </c>
      <c r="V79" s="101" t="s">
        <v>5443</v>
      </c>
      <c r="W79" s="101" t="s">
        <v>5443</v>
      </c>
      <c r="X79" s="111" t="str">
        <f t="shared" si="43"/>
        <v>S355</v>
      </c>
      <c r="Y79" s="123">
        <v>210000000</v>
      </c>
      <c r="Z79" s="122">
        <f t="shared" si="36"/>
        <v>1335962.2759390594</v>
      </c>
      <c r="AA79" s="28"/>
      <c r="AB79" s="28"/>
      <c r="AC79" s="31"/>
      <c r="AD79" s="31"/>
    </row>
    <row r="80" spans="1:30" ht="15" customHeight="1" x14ac:dyDescent="0.2">
      <c r="A80" s="19">
        <f t="shared" si="35"/>
        <v>77</v>
      </c>
      <c r="B80" s="32" t="s">
        <v>5444</v>
      </c>
      <c r="C80" s="101" t="s">
        <v>5457</v>
      </c>
      <c r="D80" s="101" t="s">
        <v>5457</v>
      </c>
      <c r="E80" s="101" t="s">
        <v>5458</v>
      </c>
      <c r="F80" s="28">
        <v>1</v>
      </c>
      <c r="G80" s="28">
        <v>95</v>
      </c>
      <c r="H80" s="31">
        <f t="shared" si="37"/>
        <v>70.882184246619715</v>
      </c>
      <c r="I80" s="28">
        <v>0</v>
      </c>
      <c r="J80" s="28">
        <v>1</v>
      </c>
      <c r="K80" s="28">
        <v>0</v>
      </c>
      <c r="L80" s="28">
        <v>355</v>
      </c>
      <c r="M80" s="29">
        <f t="shared" si="38"/>
        <v>355</v>
      </c>
      <c r="N80" s="29">
        <f t="shared" si="39"/>
        <v>355</v>
      </c>
      <c r="O80" s="28">
        <f t="shared" si="27"/>
        <v>319.5</v>
      </c>
      <c r="P80" s="28">
        <v>11</v>
      </c>
      <c r="Q80" s="29">
        <f t="shared" si="40"/>
        <v>2516.3175407549998</v>
      </c>
      <c r="R80" s="103">
        <v>0.3</v>
      </c>
      <c r="S80" s="107" t="s">
        <v>731</v>
      </c>
      <c r="T80" s="104" t="str">
        <f t="shared" si="41"/>
        <v>permanter Rundstahl-Anker 95 mm S355/355 doppelter Korrosionschutz</v>
      </c>
      <c r="U80" s="103" t="str">
        <f t="shared" si="42"/>
        <v>permanent Round bar-Anchor 95 mm S355/355 double corrosion protection</v>
      </c>
      <c r="V80" s="101" t="s">
        <v>5444</v>
      </c>
      <c r="W80" s="101" t="s">
        <v>5444</v>
      </c>
      <c r="X80" s="111" t="str">
        <f t="shared" si="43"/>
        <v>S355</v>
      </c>
      <c r="Y80" s="123">
        <v>210000000</v>
      </c>
      <c r="Z80" s="122">
        <f t="shared" si="36"/>
        <v>1488525.8691790141</v>
      </c>
      <c r="AA80" s="28"/>
      <c r="AB80" s="28"/>
      <c r="AC80" s="31"/>
      <c r="AD80" s="31"/>
    </row>
    <row r="81" spans="1:30" ht="15" customHeight="1" x14ac:dyDescent="0.2">
      <c r="A81" s="19">
        <f t="shared" si="35"/>
        <v>78</v>
      </c>
      <c r="B81" s="32" t="s">
        <v>5445</v>
      </c>
      <c r="C81" s="101" t="s">
        <v>5457</v>
      </c>
      <c r="D81" s="101" t="s">
        <v>5457</v>
      </c>
      <c r="E81" s="101" t="s">
        <v>5458</v>
      </c>
      <c r="F81" s="28">
        <v>1</v>
      </c>
      <c r="G81" s="28">
        <v>100</v>
      </c>
      <c r="H81" s="31">
        <f t="shared" si="37"/>
        <v>78.539816339744831</v>
      </c>
      <c r="I81" s="28">
        <v>0</v>
      </c>
      <c r="J81" s="28">
        <v>1</v>
      </c>
      <c r="K81" s="28">
        <v>0</v>
      </c>
      <c r="L81" s="28">
        <v>355</v>
      </c>
      <c r="M81" s="29">
        <f t="shared" si="38"/>
        <v>355</v>
      </c>
      <c r="N81" s="29">
        <f t="shared" si="39"/>
        <v>355</v>
      </c>
      <c r="O81" s="28">
        <f t="shared" si="27"/>
        <v>319.5</v>
      </c>
      <c r="P81" s="28">
        <v>11</v>
      </c>
      <c r="Q81" s="29">
        <f t="shared" si="40"/>
        <v>2788.1634800609418</v>
      </c>
      <c r="R81" s="103">
        <v>0.3</v>
      </c>
      <c r="S81" s="107" t="s">
        <v>731</v>
      </c>
      <c r="T81" s="104" t="str">
        <f t="shared" si="41"/>
        <v>permanter Rundstahl-Anker 100 mm S355/355 doppelter Korrosionschutz</v>
      </c>
      <c r="U81" s="103" t="str">
        <f t="shared" si="42"/>
        <v>permanent Round bar-Anchor 100 mm S355/355 double corrosion protection</v>
      </c>
      <c r="V81" s="101" t="s">
        <v>5445</v>
      </c>
      <c r="W81" s="101" t="s">
        <v>5445</v>
      </c>
      <c r="X81" s="111" t="str">
        <f t="shared" si="43"/>
        <v>S355</v>
      </c>
      <c r="Y81" s="123">
        <v>210000000</v>
      </c>
      <c r="Z81" s="122">
        <f t="shared" si="36"/>
        <v>1649336.1431346415</v>
      </c>
      <c r="AA81" s="28"/>
      <c r="AB81" s="28"/>
      <c r="AC81" s="31"/>
      <c r="AD81" s="31"/>
    </row>
    <row r="82" spans="1:30" ht="15" customHeight="1" x14ac:dyDescent="0.2">
      <c r="A82" s="19">
        <f t="shared" si="35"/>
        <v>79</v>
      </c>
      <c r="B82" s="32" t="s">
        <v>5446</v>
      </c>
      <c r="C82" s="101" t="s">
        <v>5457</v>
      </c>
      <c r="D82" s="101" t="s">
        <v>5457</v>
      </c>
      <c r="E82" s="101" t="s">
        <v>5458</v>
      </c>
      <c r="F82" s="28">
        <v>1</v>
      </c>
      <c r="G82" s="28">
        <v>105</v>
      </c>
      <c r="H82" s="31">
        <f t="shared" si="37"/>
        <v>86.59014751456867</v>
      </c>
      <c r="I82" s="28">
        <v>0</v>
      </c>
      <c r="J82" s="28">
        <v>1</v>
      </c>
      <c r="K82" s="28">
        <v>0</v>
      </c>
      <c r="L82" s="28">
        <v>355</v>
      </c>
      <c r="M82" s="29">
        <f t="shared" si="38"/>
        <v>355</v>
      </c>
      <c r="N82" s="29">
        <f>+L82</f>
        <v>355</v>
      </c>
      <c r="O82" s="28">
        <f t="shared" si="27"/>
        <v>319.5</v>
      </c>
      <c r="P82" s="28">
        <v>11</v>
      </c>
      <c r="Q82" s="29">
        <f>+H82*L82/10</f>
        <v>3073.9502367671876</v>
      </c>
      <c r="R82" s="103">
        <v>0.3</v>
      </c>
      <c r="S82" s="107" t="s">
        <v>731</v>
      </c>
      <c r="T82" s="104" t="str">
        <f>+IF(D82="-","",IF(J82=0,"temporärer ","permanter ")&amp;D82&amp;"-Anker "&amp;IF(F82&gt;1,F82&amp;"x","")&amp;G82&amp;S82&amp;" S"&amp;M82&amp;"/"&amp;N82&amp;IF(J82&gt;0,IF(K82=1," einfacher "," doppelter ")&amp;"Korrosionschutz",""))</f>
        <v>permanter Rundstahl-Anker 105 mm S355/355 doppelter Korrosionschutz</v>
      </c>
      <c r="U82" s="103" t="str">
        <f>+IF(D82="-","",IF(J82=0,"temporary ","permanent ")&amp;E82&amp;"-Anchor "&amp;IF(F82&gt;1,F82&amp;"x","")&amp;G82&amp;S82&amp;" S"&amp;M82&amp;"/"&amp;N82&amp;IF(J82&gt;0,IF(K82=1," single "," double ")&amp;"corrosion protection",""))</f>
        <v>permanent Round bar-Anchor 105 mm S355/355 double corrosion protection</v>
      </c>
      <c r="V82" s="101" t="s">
        <v>5446</v>
      </c>
      <c r="W82" s="101" t="s">
        <v>5446</v>
      </c>
      <c r="X82" s="111" t="str">
        <f>+"S"&amp;M82</f>
        <v>S355</v>
      </c>
      <c r="Y82" s="123">
        <v>210000000</v>
      </c>
      <c r="Z82" s="122">
        <f t="shared" si="36"/>
        <v>1818393.0978059422</v>
      </c>
      <c r="AA82" s="28"/>
      <c r="AB82" s="28"/>
      <c r="AC82" s="31"/>
      <c r="AD82" s="31"/>
    </row>
    <row r="83" spans="1:30" ht="15" customHeight="1" x14ac:dyDescent="0.2">
      <c r="A83" s="19">
        <f t="shared" si="35"/>
        <v>80</v>
      </c>
      <c r="B83" s="32" t="s">
        <v>5442</v>
      </c>
      <c r="C83" s="101" t="s">
        <v>5457</v>
      </c>
      <c r="D83" s="101" t="s">
        <v>5457</v>
      </c>
      <c r="E83" s="101" t="s">
        <v>5458</v>
      </c>
      <c r="F83" s="28">
        <v>1</v>
      </c>
      <c r="G83" s="28">
        <v>110</v>
      </c>
      <c r="H83" s="31">
        <f t="shared" si="37"/>
        <v>95.033177771091246</v>
      </c>
      <c r="I83" s="28">
        <v>0</v>
      </c>
      <c r="J83" s="28">
        <v>1</v>
      </c>
      <c r="K83" s="28">
        <v>0</v>
      </c>
      <c r="L83" s="28">
        <v>355</v>
      </c>
      <c r="M83" s="29">
        <f t="shared" si="38"/>
        <v>355</v>
      </c>
      <c r="N83" s="29">
        <f>+L83</f>
        <v>355</v>
      </c>
      <c r="O83" s="28">
        <f t="shared" si="27"/>
        <v>319.5</v>
      </c>
      <c r="P83" s="28">
        <v>11</v>
      </c>
      <c r="Q83" s="29">
        <f>+H83*L83/10</f>
        <v>3373.6778108737394</v>
      </c>
      <c r="R83" s="103">
        <v>0.3</v>
      </c>
      <c r="S83" s="107" t="s">
        <v>731</v>
      </c>
      <c r="T83" s="104" t="str">
        <f>+IF(D83="-","",IF(J83=0,"temporärer ","permanter ")&amp;D83&amp;"-Anker "&amp;IF(F83&gt;1,F83&amp;"x","")&amp;G83&amp;S83&amp;" S"&amp;M83&amp;"/"&amp;N83&amp;IF(J83&gt;0,IF(K83=1," einfacher "," doppelter ")&amp;"Korrosionschutz",""))</f>
        <v>permanter Rundstahl-Anker 110 mm S355/355 doppelter Korrosionschutz</v>
      </c>
      <c r="U83" s="103" t="str">
        <f>+IF(D83="-","",IF(J83=0,"temporary ","permanent ")&amp;E83&amp;"-Anchor "&amp;IF(F83&gt;1,F83&amp;"x","")&amp;G83&amp;S83&amp;" S"&amp;M83&amp;"/"&amp;N83&amp;IF(J83&gt;0,IF(K83=1," single "," double ")&amp;"corrosion protection",""))</f>
        <v>permanent Round bar-Anchor 110 mm S355/355 double corrosion protection</v>
      </c>
      <c r="V83" s="101" t="s">
        <v>5442</v>
      </c>
      <c r="W83" s="101" t="s">
        <v>5442</v>
      </c>
      <c r="X83" s="111" t="str">
        <f>+"S"&amp;M83</f>
        <v>S355</v>
      </c>
      <c r="Y83" s="123">
        <v>210000000</v>
      </c>
      <c r="Z83" s="122">
        <f t="shared" si="36"/>
        <v>1995696.733192916</v>
      </c>
      <c r="AA83" s="28"/>
      <c r="AB83" s="28"/>
      <c r="AC83" s="31"/>
      <c r="AD83" s="31"/>
    </row>
    <row r="84" spans="1:30" ht="15" customHeight="1" x14ac:dyDescent="0.2">
      <c r="A84" s="19">
        <f t="shared" si="35"/>
        <v>81</v>
      </c>
      <c r="B84" s="32" t="s">
        <v>5447</v>
      </c>
      <c r="C84" s="101" t="s">
        <v>5457</v>
      </c>
      <c r="D84" s="101" t="s">
        <v>5457</v>
      </c>
      <c r="E84" s="101" t="s">
        <v>5458</v>
      </c>
      <c r="F84" s="28">
        <v>1</v>
      </c>
      <c r="G84" s="28">
        <v>115</v>
      </c>
      <c r="H84" s="31">
        <f t="shared" si="37"/>
        <v>103.86890710931253</v>
      </c>
      <c r="I84" s="28">
        <v>0</v>
      </c>
      <c r="J84" s="28">
        <v>1</v>
      </c>
      <c r="K84" s="28">
        <v>0</v>
      </c>
      <c r="L84" s="28">
        <v>355</v>
      </c>
      <c r="M84" s="29">
        <f t="shared" si="38"/>
        <v>355</v>
      </c>
      <c r="N84" s="29">
        <f>+L84</f>
        <v>355</v>
      </c>
      <c r="O84" s="28">
        <f t="shared" si="27"/>
        <v>319.5</v>
      </c>
      <c r="P84" s="28">
        <v>11</v>
      </c>
      <c r="Q84" s="29">
        <f>+H84*L84/10</f>
        <v>3687.3462023805951</v>
      </c>
      <c r="R84" s="103">
        <v>0.3</v>
      </c>
      <c r="S84" s="107" t="s">
        <v>731</v>
      </c>
      <c r="T84" s="104" t="str">
        <f>+IF(D84="-","",IF(J84=0,"temporärer ","permanter ")&amp;D84&amp;"-Anker "&amp;IF(F84&gt;1,F84&amp;"x","")&amp;G84&amp;S84&amp;" S"&amp;M84&amp;"/"&amp;N84&amp;IF(J84&gt;0,IF(K84=1," einfacher "," doppelter ")&amp;"Korrosionschutz",""))</f>
        <v>permanter Rundstahl-Anker 115 mm S355/355 doppelter Korrosionschutz</v>
      </c>
      <c r="U84" s="103" t="str">
        <f>+IF(D84="-","",IF(J84=0,"temporary ","permanent ")&amp;E84&amp;"-Anchor "&amp;IF(F84&gt;1,F84&amp;"x","")&amp;G84&amp;S84&amp;" S"&amp;M84&amp;"/"&amp;N84&amp;IF(J84&gt;0,IF(K84=1," single "," double ")&amp;"corrosion protection",""))</f>
        <v>permanent Round bar-Anchor 115 mm S355/355 double corrosion protection</v>
      </c>
      <c r="V84" s="101" t="s">
        <v>5447</v>
      </c>
      <c r="W84" s="101" t="s">
        <v>5447</v>
      </c>
      <c r="X84" s="111" t="str">
        <f>+"S"&amp;M84</f>
        <v>S355</v>
      </c>
      <c r="Y84" s="123">
        <v>210000000</v>
      </c>
      <c r="Z84" s="122">
        <f t="shared" si="36"/>
        <v>2181247.0492955633</v>
      </c>
      <c r="AA84" s="28"/>
      <c r="AB84" s="28"/>
      <c r="AC84" s="31"/>
      <c r="AD84" s="31"/>
    </row>
    <row r="85" spans="1:30" ht="15" customHeight="1" x14ac:dyDescent="0.2">
      <c r="A85" s="19">
        <f t="shared" si="35"/>
        <v>82</v>
      </c>
      <c r="B85" s="32" t="s">
        <v>5448</v>
      </c>
      <c r="C85" s="101" t="s">
        <v>5457</v>
      </c>
      <c r="D85" s="101" t="s">
        <v>5457</v>
      </c>
      <c r="E85" s="101" t="s">
        <v>5458</v>
      </c>
      <c r="F85" s="28">
        <v>1</v>
      </c>
      <c r="G85" s="28">
        <v>120</v>
      </c>
      <c r="H85" s="31">
        <f t="shared" si="37"/>
        <v>113.09733552923255</v>
      </c>
      <c r="I85" s="28">
        <v>0</v>
      </c>
      <c r="J85" s="28">
        <v>1</v>
      </c>
      <c r="K85" s="28">
        <v>0</v>
      </c>
      <c r="L85" s="28">
        <v>355</v>
      </c>
      <c r="M85" s="29">
        <f t="shared" si="38"/>
        <v>355</v>
      </c>
      <c r="N85" s="29">
        <f>+L85</f>
        <v>355</v>
      </c>
      <c r="O85" s="28">
        <f t="shared" si="27"/>
        <v>319.5</v>
      </c>
      <c r="P85" s="28">
        <v>11</v>
      </c>
      <c r="Q85" s="29">
        <f>+H85*L85/10</f>
        <v>4014.9554112877559</v>
      </c>
      <c r="R85" s="103">
        <v>0.3</v>
      </c>
      <c r="S85" s="107" t="s">
        <v>731</v>
      </c>
      <c r="T85" s="104" t="str">
        <f>+IF(D85="-","",IF(J85=0,"temporärer ","permanter ")&amp;D85&amp;"-Anker "&amp;IF(F85&gt;1,F85&amp;"x","")&amp;G85&amp;S85&amp;" S"&amp;M85&amp;"/"&amp;N85&amp;IF(J85&gt;0,IF(K85=1," einfacher "," doppelter ")&amp;"Korrosionschutz",""))</f>
        <v>permanter Rundstahl-Anker 120 mm S355/355 doppelter Korrosionschutz</v>
      </c>
      <c r="U85" s="103" t="str">
        <f>+IF(D85="-","",IF(J85=0,"temporary ","permanent ")&amp;E85&amp;"-Anchor "&amp;IF(F85&gt;1,F85&amp;"x","")&amp;G85&amp;S85&amp;" S"&amp;M85&amp;"/"&amp;N85&amp;IF(J85&gt;0,IF(K85=1," single "," double ")&amp;"corrosion protection",""))</f>
        <v>permanent Round bar-Anchor 120 mm S355/355 double corrosion protection</v>
      </c>
      <c r="V85" s="101" t="s">
        <v>5448</v>
      </c>
      <c r="W85" s="101" t="s">
        <v>5448</v>
      </c>
      <c r="X85" s="111" t="str">
        <f>+"S"&amp;M85</f>
        <v>S355</v>
      </c>
      <c r="Y85" s="123">
        <v>210000000</v>
      </c>
      <c r="Z85" s="122">
        <f t="shared" si="36"/>
        <v>2375044.0461138836</v>
      </c>
      <c r="AA85" s="28"/>
      <c r="AB85" s="28"/>
      <c r="AC85" s="31"/>
      <c r="AD85" s="31"/>
    </row>
    <row r="86" spans="1:30" ht="15" customHeight="1" x14ac:dyDescent="0.2">
      <c r="A86" s="19">
        <f t="shared" si="35"/>
        <v>83</v>
      </c>
      <c r="B86" s="32" t="s">
        <v>5449</v>
      </c>
      <c r="C86" s="101" t="s">
        <v>5457</v>
      </c>
      <c r="D86" s="101" t="s">
        <v>5457</v>
      </c>
      <c r="E86" s="101" t="s">
        <v>5458</v>
      </c>
      <c r="F86" s="28">
        <v>1</v>
      </c>
      <c r="G86" s="28">
        <v>125</v>
      </c>
      <c r="H86" s="31">
        <f t="shared" si="37"/>
        <v>122.7184630308513</v>
      </c>
      <c r="I86" s="28">
        <v>0</v>
      </c>
      <c r="J86" s="28">
        <v>1</v>
      </c>
      <c r="K86" s="28">
        <v>0</v>
      </c>
      <c r="L86" s="28">
        <v>355</v>
      </c>
      <c r="M86" s="29">
        <f t="shared" si="38"/>
        <v>355</v>
      </c>
      <c r="N86" s="29">
        <f t="shared" ref="N86:N97" si="44">+L86</f>
        <v>355</v>
      </c>
      <c r="O86" s="28">
        <f t="shared" si="27"/>
        <v>319.5</v>
      </c>
      <c r="P86" s="28">
        <v>11</v>
      </c>
      <c r="Q86" s="29">
        <f t="shared" ref="Q86:Q97" si="45">+H86*L86/10</f>
        <v>4356.5054375952213</v>
      </c>
      <c r="R86" s="103">
        <v>0.3</v>
      </c>
      <c r="S86" s="107" t="s">
        <v>731</v>
      </c>
      <c r="T86" s="104" t="str">
        <f t="shared" ref="T86:T97" si="46">+IF(D86="-","",IF(J86=0,"temporärer ","permanter ")&amp;D86&amp;"-Anker "&amp;IF(F86&gt;1,F86&amp;"x","")&amp;G86&amp;S86&amp;" S"&amp;M86&amp;"/"&amp;N86&amp;IF(J86&gt;0,IF(K86=1," einfacher "," doppelter ")&amp;"Korrosionschutz",""))</f>
        <v>permanter Rundstahl-Anker 125 mm S355/355 doppelter Korrosionschutz</v>
      </c>
      <c r="U86" s="103" t="str">
        <f t="shared" ref="U86:U97" si="47">+IF(D86="-","",IF(J86=0,"temporary ","permanent ")&amp;E86&amp;"-Anchor "&amp;IF(F86&gt;1,F86&amp;"x","")&amp;G86&amp;S86&amp;" S"&amp;M86&amp;"/"&amp;N86&amp;IF(J86&gt;0,IF(K86=1," single "," double ")&amp;"corrosion protection",""))</f>
        <v>permanent Round bar-Anchor 125 mm S355/355 double corrosion protection</v>
      </c>
      <c r="V86" s="101" t="s">
        <v>5449</v>
      </c>
      <c r="W86" s="101" t="s">
        <v>5449</v>
      </c>
      <c r="X86" s="111" t="str">
        <f t="shared" ref="X86:X97" si="48">+"S"&amp;M86</f>
        <v>S355</v>
      </c>
      <c r="Y86" s="123">
        <v>210000000</v>
      </c>
      <c r="Z86" s="122">
        <f t="shared" si="36"/>
        <v>2577087.7236478771</v>
      </c>
      <c r="AA86" s="28"/>
      <c r="AB86" s="28"/>
      <c r="AC86" s="31"/>
      <c r="AD86" s="31"/>
    </row>
    <row r="87" spans="1:30" ht="15" customHeight="1" x14ac:dyDescent="0.2">
      <c r="A87" s="19">
        <f t="shared" si="35"/>
        <v>84</v>
      </c>
      <c r="B87" s="32" t="s">
        <v>5450</v>
      </c>
      <c r="C87" s="101" t="s">
        <v>5457</v>
      </c>
      <c r="D87" s="101" t="s">
        <v>5457</v>
      </c>
      <c r="E87" s="101" t="s">
        <v>5458</v>
      </c>
      <c r="F87" s="28">
        <v>1</v>
      </c>
      <c r="G87" s="28">
        <v>130</v>
      </c>
      <c r="H87" s="31">
        <f t="shared" si="37"/>
        <v>132.73228961416876</v>
      </c>
      <c r="I87" s="28">
        <v>0</v>
      </c>
      <c r="J87" s="28">
        <v>1</v>
      </c>
      <c r="K87" s="28">
        <v>0</v>
      </c>
      <c r="L87" s="28">
        <v>355</v>
      </c>
      <c r="M87" s="29">
        <f t="shared" si="38"/>
        <v>355</v>
      </c>
      <c r="N87" s="29">
        <f t="shared" si="44"/>
        <v>355</v>
      </c>
      <c r="O87" s="28">
        <f t="shared" si="27"/>
        <v>319.5</v>
      </c>
      <c r="P87" s="28">
        <v>11</v>
      </c>
      <c r="Q87" s="29">
        <f t="shared" si="45"/>
        <v>4711.9962813029906</v>
      </c>
      <c r="R87" s="103">
        <v>0.3</v>
      </c>
      <c r="S87" s="107" t="s">
        <v>731</v>
      </c>
      <c r="T87" s="104" t="str">
        <f t="shared" si="46"/>
        <v>permanter Rundstahl-Anker 130 mm S355/355 doppelter Korrosionschutz</v>
      </c>
      <c r="U87" s="103" t="str">
        <f t="shared" si="47"/>
        <v>permanent Round bar-Anchor 130 mm S355/355 double corrosion protection</v>
      </c>
      <c r="V87" s="101" t="s">
        <v>5450</v>
      </c>
      <c r="W87" s="101" t="s">
        <v>5450</v>
      </c>
      <c r="X87" s="111" t="str">
        <f t="shared" si="48"/>
        <v>S355</v>
      </c>
      <c r="Y87" s="123">
        <v>210000000</v>
      </c>
      <c r="Z87" s="122">
        <f t="shared" si="36"/>
        <v>2787378.0818975442</v>
      </c>
      <c r="AA87" s="28"/>
      <c r="AB87" s="28"/>
      <c r="AC87" s="31"/>
      <c r="AD87" s="31"/>
    </row>
    <row r="88" spans="1:30" ht="15" customHeight="1" x14ac:dyDescent="0.2">
      <c r="A88" s="19">
        <f t="shared" si="35"/>
        <v>85</v>
      </c>
      <c r="B88" s="28" t="s">
        <v>1456</v>
      </c>
      <c r="C88" s="101" t="s">
        <v>2613</v>
      </c>
      <c r="D88" s="101" t="s">
        <v>2613</v>
      </c>
      <c r="E88" s="101" t="s">
        <v>5455</v>
      </c>
      <c r="F88" s="28">
        <v>1</v>
      </c>
      <c r="G88" s="28">
        <v>200</v>
      </c>
      <c r="H88" s="28">
        <v>34</v>
      </c>
      <c r="I88" s="28">
        <v>0</v>
      </c>
      <c r="J88" s="28">
        <v>1</v>
      </c>
      <c r="K88" s="28">
        <v>0</v>
      </c>
      <c r="L88" s="28">
        <v>355</v>
      </c>
      <c r="M88" s="29">
        <v>355</v>
      </c>
      <c r="N88" s="29">
        <f t="shared" si="44"/>
        <v>355</v>
      </c>
      <c r="O88" s="28">
        <f t="shared" si="27"/>
        <v>319.5</v>
      </c>
      <c r="P88" s="28">
        <v>12</v>
      </c>
      <c r="Q88" s="29">
        <f t="shared" si="45"/>
        <v>1207</v>
      </c>
      <c r="R88" s="103">
        <v>0.3</v>
      </c>
      <c r="S88" s="107" t="s">
        <v>731</v>
      </c>
      <c r="T88" s="104" t="str">
        <f t="shared" si="46"/>
        <v>permanter Träger-Anker 200 mm S355/355 doppelter Korrosionschutz</v>
      </c>
      <c r="U88" s="103" t="str">
        <f t="shared" si="47"/>
        <v>permanent Girder-Anchor 200 mm S355/355 double corrosion protection</v>
      </c>
      <c r="V88" s="112" t="s">
        <v>1456</v>
      </c>
      <c r="W88" s="112" t="s">
        <v>1456</v>
      </c>
      <c r="X88" s="111" t="str">
        <f t="shared" si="48"/>
        <v>S355</v>
      </c>
      <c r="Y88" s="123">
        <v>210000000</v>
      </c>
      <c r="Z88" s="122">
        <f t="shared" si="36"/>
        <v>714000</v>
      </c>
      <c r="AA88" s="28"/>
      <c r="AB88" s="28"/>
      <c r="AC88" s="31"/>
      <c r="AD88" s="31"/>
    </row>
    <row r="89" spans="1:30" ht="15" customHeight="1" x14ac:dyDescent="0.2">
      <c r="A89" s="19">
        <f t="shared" si="35"/>
        <v>86</v>
      </c>
      <c r="B89" s="28" t="s">
        <v>1457</v>
      </c>
      <c r="C89" s="101" t="s">
        <v>2613</v>
      </c>
      <c r="D89" s="101" t="s">
        <v>2613</v>
      </c>
      <c r="E89" s="101" t="s">
        <v>5455</v>
      </c>
      <c r="F89" s="28">
        <v>1</v>
      </c>
      <c r="G89" s="28">
        <v>200</v>
      </c>
      <c r="H89" s="28">
        <v>43</v>
      </c>
      <c r="I89" s="28">
        <v>0</v>
      </c>
      <c r="J89" s="28">
        <v>1</v>
      </c>
      <c r="K89" s="28">
        <v>0</v>
      </c>
      <c r="L89" s="28">
        <v>355</v>
      </c>
      <c r="M89" s="29">
        <v>355</v>
      </c>
      <c r="N89" s="29">
        <f t="shared" si="44"/>
        <v>355</v>
      </c>
      <c r="O89" s="28">
        <f t="shared" si="27"/>
        <v>319.5</v>
      </c>
      <c r="P89" s="28">
        <v>12</v>
      </c>
      <c r="Q89" s="29">
        <f t="shared" si="45"/>
        <v>1526.5</v>
      </c>
      <c r="R89" s="103">
        <v>0.3</v>
      </c>
      <c r="S89" s="107" t="s">
        <v>731</v>
      </c>
      <c r="T89" s="104" t="str">
        <f t="shared" si="46"/>
        <v>permanter Träger-Anker 200 mm S355/355 doppelter Korrosionschutz</v>
      </c>
      <c r="U89" s="103" t="str">
        <f t="shared" si="47"/>
        <v>permanent Girder-Anchor 200 mm S355/355 double corrosion protection</v>
      </c>
      <c r="V89" s="112" t="s">
        <v>1457</v>
      </c>
      <c r="W89" s="112" t="s">
        <v>1457</v>
      </c>
      <c r="X89" s="111" t="str">
        <f t="shared" si="48"/>
        <v>S355</v>
      </c>
      <c r="Y89" s="123">
        <v>210000000</v>
      </c>
      <c r="Z89" s="122">
        <f t="shared" si="36"/>
        <v>903000</v>
      </c>
      <c r="AA89" s="28"/>
      <c r="AB89" s="28"/>
      <c r="AC89" s="31"/>
      <c r="AD89" s="31"/>
    </row>
    <row r="90" spans="1:30" ht="15" customHeight="1" x14ac:dyDescent="0.2">
      <c r="A90" s="19">
        <f t="shared" si="35"/>
        <v>87</v>
      </c>
      <c r="B90" s="28" t="s">
        <v>1458</v>
      </c>
      <c r="C90" s="101" t="s">
        <v>2613</v>
      </c>
      <c r="D90" s="101" t="s">
        <v>2613</v>
      </c>
      <c r="E90" s="101" t="s">
        <v>5455</v>
      </c>
      <c r="F90" s="28">
        <v>1</v>
      </c>
      <c r="G90" s="28">
        <v>200</v>
      </c>
      <c r="H90" s="28">
        <v>54.3</v>
      </c>
      <c r="I90" s="28">
        <v>0</v>
      </c>
      <c r="J90" s="28">
        <v>1</v>
      </c>
      <c r="K90" s="28">
        <v>0</v>
      </c>
      <c r="L90" s="28">
        <v>355</v>
      </c>
      <c r="M90" s="29">
        <v>355</v>
      </c>
      <c r="N90" s="29">
        <f t="shared" si="44"/>
        <v>355</v>
      </c>
      <c r="O90" s="28">
        <f t="shared" si="27"/>
        <v>319.5</v>
      </c>
      <c r="P90" s="28">
        <v>12</v>
      </c>
      <c r="Q90" s="29">
        <f t="shared" si="45"/>
        <v>1927.65</v>
      </c>
      <c r="R90" s="103">
        <v>0.3</v>
      </c>
      <c r="S90" s="107" t="s">
        <v>731</v>
      </c>
      <c r="T90" s="104" t="str">
        <f t="shared" si="46"/>
        <v>permanter Träger-Anker 200 mm S355/355 doppelter Korrosionschutz</v>
      </c>
      <c r="U90" s="103" t="str">
        <f t="shared" si="47"/>
        <v>permanent Girder-Anchor 200 mm S355/355 double corrosion protection</v>
      </c>
      <c r="V90" s="112" t="s">
        <v>1458</v>
      </c>
      <c r="W90" s="112" t="s">
        <v>1458</v>
      </c>
      <c r="X90" s="111" t="str">
        <f t="shared" si="48"/>
        <v>S355</v>
      </c>
      <c r="Y90" s="123">
        <v>210000000</v>
      </c>
      <c r="Z90" s="122">
        <f t="shared" si="36"/>
        <v>1140300</v>
      </c>
      <c r="AA90" s="28"/>
      <c r="AB90" s="28"/>
      <c r="AC90" s="31"/>
      <c r="AD90" s="31"/>
    </row>
    <row r="91" spans="1:30" ht="15" customHeight="1" x14ac:dyDescent="0.2">
      <c r="A91" s="19">
        <f t="shared" si="35"/>
        <v>88</v>
      </c>
      <c r="B91" s="28" t="s">
        <v>1459</v>
      </c>
      <c r="C91" s="101" t="s">
        <v>2613</v>
      </c>
      <c r="D91" s="101" t="s">
        <v>2613</v>
      </c>
      <c r="E91" s="101" t="s">
        <v>5455</v>
      </c>
      <c r="F91" s="28">
        <v>1</v>
      </c>
      <c r="G91" s="28">
        <v>200</v>
      </c>
      <c r="H91" s="28">
        <v>65.3</v>
      </c>
      <c r="I91" s="28">
        <v>0</v>
      </c>
      <c r="J91" s="28">
        <v>1</v>
      </c>
      <c r="K91" s="28">
        <v>0</v>
      </c>
      <c r="L91" s="28">
        <v>355</v>
      </c>
      <c r="M91" s="29">
        <v>355</v>
      </c>
      <c r="N91" s="29">
        <f t="shared" si="44"/>
        <v>355</v>
      </c>
      <c r="O91" s="28">
        <f t="shared" si="27"/>
        <v>319.5</v>
      </c>
      <c r="P91" s="28">
        <v>12</v>
      </c>
      <c r="Q91" s="29">
        <f t="shared" si="45"/>
        <v>2318.15</v>
      </c>
      <c r="R91" s="103">
        <v>0.3</v>
      </c>
      <c r="S91" s="107" t="s">
        <v>731</v>
      </c>
      <c r="T91" s="104" t="str">
        <f t="shared" si="46"/>
        <v>permanter Träger-Anker 200 mm S355/355 doppelter Korrosionschutz</v>
      </c>
      <c r="U91" s="103" t="str">
        <f t="shared" si="47"/>
        <v>permanent Girder-Anchor 200 mm S355/355 double corrosion protection</v>
      </c>
      <c r="V91" s="112" t="s">
        <v>1459</v>
      </c>
      <c r="W91" s="112" t="s">
        <v>1459</v>
      </c>
      <c r="X91" s="111" t="str">
        <f t="shared" si="48"/>
        <v>S355</v>
      </c>
      <c r="Y91" s="123">
        <v>210000000</v>
      </c>
      <c r="Z91" s="122">
        <f t="shared" si="36"/>
        <v>1371300</v>
      </c>
      <c r="AA91" s="28"/>
      <c r="AB91" s="28"/>
      <c r="AC91" s="31"/>
      <c r="AD91" s="31"/>
    </row>
    <row r="92" spans="1:30" ht="15" customHeight="1" x14ac:dyDescent="0.2">
      <c r="A92" s="19">
        <f t="shared" si="35"/>
        <v>89</v>
      </c>
      <c r="B92" s="28" t="s">
        <v>1460</v>
      </c>
      <c r="C92" s="101" t="s">
        <v>2613</v>
      </c>
      <c r="D92" s="101" t="s">
        <v>2613</v>
      </c>
      <c r="E92" s="101" t="s">
        <v>5455</v>
      </c>
      <c r="F92" s="28">
        <v>1</v>
      </c>
      <c r="G92" s="28">
        <v>200</v>
      </c>
      <c r="H92" s="28">
        <v>78.099999999999994</v>
      </c>
      <c r="I92" s="28">
        <v>0</v>
      </c>
      <c r="J92" s="28">
        <v>1</v>
      </c>
      <c r="K92" s="28">
        <v>0</v>
      </c>
      <c r="L92" s="28">
        <v>355</v>
      </c>
      <c r="M92" s="29">
        <v>355</v>
      </c>
      <c r="N92" s="29">
        <f t="shared" si="44"/>
        <v>355</v>
      </c>
      <c r="O92" s="28">
        <f t="shared" si="27"/>
        <v>319.5</v>
      </c>
      <c r="P92" s="28">
        <v>12</v>
      </c>
      <c r="Q92" s="29">
        <f t="shared" si="45"/>
        <v>2772.5499999999997</v>
      </c>
      <c r="R92" s="103">
        <v>0.3</v>
      </c>
      <c r="S92" s="107" t="s">
        <v>731</v>
      </c>
      <c r="T92" s="104" t="str">
        <f t="shared" si="46"/>
        <v>permanter Träger-Anker 200 mm S355/355 doppelter Korrosionschutz</v>
      </c>
      <c r="U92" s="103" t="str">
        <f t="shared" si="47"/>
        <v>permanent Girder-Anchor 200 mm S355/355 double corrosion protection</v>
      </c>
      <c r="V92" s="112" t="s">
        <v>1460</v>
      </c>
      <c r="W92" s="112" t="s">
        <v>1460</v>
      </c>
      <c r="X92" s="111" t="str">
        <f t="shared" si="48"/>
        <v>S355</v>
      </c>
      <c r="Y92" s="123">
        <v>210000000</v>
      </c>
      <c r="Z92" s="122">
        <f t="shared" si="36"/>
        <v>1640099.9999999998</v>
      </c>
      <c r="AA92" s="28"/>
      <c r="AB92" s="28"/>
      <c r="AC92" s="31"/>
      <c r="AD92" s="31"/>
    </row>
    <row r="93" spans="1:30" ht="15" customHeight="1" x14ac:dyDescent="0.2">
      <c r="A93" s="19">
        <f t="shared" si="35"/>
        <v>90</v>
      </c>
      <c r="B93" s="28" t="s">
        <v>1461</v>
      </c>
      <c r="C93" s="101" t="s">
        <v>2613</v>
      </c>
      <c r="D93" s="101" t="s">
        <v>2613</v>
      </c>
      <c r="E93" s="101" t="s">
        <v>5455</v>
      </c>
      <c r="F93" s="28">
        <v>1</v>
      </c>
      <c r="G93" s="28">
        <v>200</v>
      </c>
      <c r="H93" s="28">
        <v>91</v>
      </c>
      <c r="I93" s="28">
        <v>0</v>
      </c>
      <c r="J93" s="28">
        <v>1</v>
      </c>
      <c r="K93" s="28">
        <v>0</v>
      </c>
      <c r="L93" s="28">
        <v>355</v>
      </c>
      <c r="M93" s="29">
        <v>355</v>
      </c>
      <c r="N93" s="29">
        <f t="shared" si="44"/>
        <v>355</v>
      </c>
      <c r="O93" s="28">
        <f t="shared" si="27"/>
        <v>319.5</v>
      </c>
      <c r="P93" s="28">
        <v>12</v>
      </c>
      <c r="Q93" s="29">
        <f t="shared" si="45"/>
        <v>3230.5</v>
      </c>
      <c r="R93" s="103">
        <v>0.3</v>
      </c>
      <c r="S93" s="107" t="s">
        <v>731</v>
      </c>
      <c r="T93" s="104" t="str">
        <f t="shared" si="46"/>
        <v>permanter Träger-Anker 200 mm S355/355 doppelter Korrosionschutz</v>
      </c>
      <c r="U93" s="103" t="str">
        <f t="shared" si="47"/>
        <v>permanent Girder-Anchor 200 mm S355/355 double corrosion protection</v>
      </c>
      <c r="V93" s="112" t="s">
        <v>1461</v>
      </c>
      <c r="W93" s="112" t="s">
        <v>1461</v>
      </c>
      <c r="X93" s="111" t="str">
        <f t="shared" si="48"/>
        <v>S355</v>
      </c>
      <c r="Y93" s="123">
        <v>210000000</v>
      </c>
      <c r="Z93" s="122">
        <f t="shared" si="36"/>
        <v>1911000</v>
      </c>
      <c r="AA93" s="28"/>
      <c r="AB93" s="28"/>
      <c r="AC93" s="31"/>
      <c r="AD93" s="31"/>
    </row>
    <row r="94" spans="1:30" ht="15" customHeight="1" x14ac:dyDescent="0.2">
      <c r="A94" s="19">
        <f t="shared" si="35"/>
        <v>91</v>
      </c>
      <c r="B94" s="28" t="s">
        <v>1462</v>
      </c>
      <c r="C94" s="101" t="s">
        <v>2613</v>
      </c>
      <c r="D94" s="101" t="s">
        <v>2613</v>
      </c>
      <c r="E94" s="101" t="s">
        <v>5455</v>
      </c>
      <c r="F94" s="28">
        <v>1</v>
      </c>
      <c r="G94" s="28">
        <v>200</v>
      </c>
      <c r="H94" s="28">
        <v>106</v>
      </c>
      <c r="I94" s="28">
        <v>0</v>
      </c>
      <c r="J94" s="28">
        <v>1</v>
      </c>
      <c r="K94" s="28">
        <v>0</v>
      </c>
      <c r="L94" s="28">
        <v>355</v>
      </c>
      <c r="M94" s="29">
        <v>355</v>
      </c>
      <c r="N94" s="29">
        <f t="shared" si="44"/>
        <v>355</v>
      </c>
      <c r="O94" s="28">
        <f t="shared" si="27"/>
        <v>319.5</v>
      </c>
      <c r="P94" s="28">
        <v>12</v>
      </c>
      <c r="Q94" s="29">
        <f t="shared" si="45"/>
        <v>3763</v>
      </c>
      <c r="R94" s="103">
        <v>0.3</v>
      </c>
      <c r="S94" s="107" t="s">
        <v>731</v>
      </c>
      <c r="T94" s="104" t="str">
        <f t="shared" si="46"/>
        <v>permanter Träger-Anker 200 mm S355/355 doppelter Korrosionschutz</v>
      </c>
      <c r="U94" s="103" t="str">
        <f t="shared" si="47"/>
        <v>permanent Girder-Anchor 200 mm S355/355 double corrosion protection</v>
      </c>
      <c r="V94" s="112" t="s">
        <v>1462</v>
      </c>
      <c r="W94" s="112" t="s">
        <v>1462</v>
      </c>
      <c r="X94" s="111" t="str">
        <f t="shared" si="48"/>
        <v>S355</v>
      </c>
      <c r="Y94" s="123">
        <v>210000000</v>
      </c>
      <c r="Z94" s="122">
        <f t="shared" si="36"/>
        <v>2226000</v>
      </c>
      <c r="AA94" s="28"/>
      <c r="AB94" s="28"/>
      <c r="AC94" s="31"/>
      <c r="AD94" s="31"/>
    </row>
    <row r="95" spans="1:30" ht="15" customHeight="1" x14ac:dyDescent="0.2">
      <c r="A95" s="19">
        <f t="shared" si="35"/>
        <v>92</v>
      </c>
      <c r="B95" s="28" t="s">
        <v>1463</v>
      </c>
      <c r="C95" s="101" t="s">
        <v>2613</v>
      </c>
      <c r="D95" s="101" t="s">
        <v>2613</v>
      </c>
      <c r="E95" s="101" t="s">
        <v>5455</v>
      </c>
      <c r="F95" s="28">
        <v>1</v>
      </c>
      <c r="G95" s="28">
        <v>200</v>
      </c>
      <c r="H95" s="28">
        <v>118</v>
      </c>
      <c r="I95" s="28">
        <v>0</v>
      </c>
      <c r="J95" s="28">
        <v>1</v>
      </c>
      <c r="K95" s="28">
        <v>0</v>
      </c>
      <c r="L95" s="28">
        <v>355</v>
      </c>
      <c r="M95" s="29">
        <v>355</v>
      </c>
      <c r="N95" s="29">
        <f t="shared" si="44"/>
        <v>355</v>
      </c>
      <c r="O95" s="28">
        <f t="shared" si="27"/>
        <v>319.5</v>
      </c>
      <c r="P95" s="28">
        <v>12</v>
      </c>
      <c r="Q95" s="29">
        <f t="shared" si="45"/>
        <v>4189</v>
      </c>
      <c r="R95" s="103">
        <v>0.3</v>
      </c>
      <c r="S95" s="107" t="s">
        <v>731</v>
      </c>
      <c r="T95" s="104" t="str">
        <f t="shared" si="46"/>
        <v>permanter Träger-Anker 200 mm S355/355 doppelter Korrosionschutz</v>
      </c>
      <c r="U95" s="103" t="str">
        <f t="shared" si="47"/>
        <v>permanent Girder-Anchor 200 mm S355/355 double corrosion protection</v>
      </c>
      <c r="V95" s="112" t="s">
        <v>1463</v>
      </c>
      <c r="W95" s="112" t="s">
        <v>1463</v>
      </c>
      <c r="X95" s="111" t="str">
        <f t="shared" si="48"/>
        <v>S355</v>
      </c>
      <c r="Y95" s="123">
        <v>210000000</v>
      </c>
      <c r="Z95" s="122">
        <f t="shared" si="36"/>
        <v>2478000</v>
      </c>
      <c r="AA95" s="28"/>
      <c r="AB95" s="28"/>
      <c r="AC95" s="31"/>
      <c r="AD95" s="31"/>
    </row>
    <row r="96" spans="1:30" ht="15" customHeight="1" x14ac:dyDescent="0.2">
      <c r="A96" s="19">
        <f t="shared" si="35"/>
        <v>93</v>
      </c>
      <c r="B96" s="28" t="s">
        <v>1464</v>
      </c>
      <c r="C96" s="101" t="s">
        <v>2613</v>
      </c>
      <c r="D96" s="101" t="s">
        <v>2613</v>
      </c>
      <c r="E96" s="101" t="s">
        <v>5455</v>
      </c>
      <c r="F96" s="28">
        <v>1</v>
      </c>
      <c r="G96" s="28">
        <v>200</v>
      </c>
      <c r="H96" s="28">
        <v>131</v>
      </c>
      <c r="I96" s="28">
        <v>0</v>
      </c>
      <c r="J96" s="28">
        <v>1</v>
      </c>
      <c r="K96" s="28">
        <v>0</v>
      </c>
      <c r="L96" s="28">
        <v>355</v>
      </c>
      <c r="M96" s="29">
        <v>355</v>
      </c>
      <c r="N96" s="29">
        <f t="shared" si="44"/>
        <v>355</v>
      </c>
      <c r="O96" s="28">
        <f t="shared" si="27"/>
        <v>319.5</v>
      </c>
      <c r="P96" s="28">
        <v>12</v>
      </c>
      <c r="Q96" s="29">
        <f t="shared" si="45"/>
        <v>4650.5</v>
      </c>
      <c r="R96" s="103">
        <v>0.3</v>
      </c>
      <c r="S96" s="107" t="s">
        <v>731</v>
      </c>
      <c r="T96" s="104" t="str">
        <f t="shared" si="46"/>
        <v>permanter Träger-Anker 200 mm S355/355 doppelter Korrosionschutz</v>
      </c>
      <c r="U96" s="103" t="str">
        <f t="shared" si="47"/>
        <v>permanent Girder-Anchor 200 mm S355/355 double corrosion protection</v>
      </c>
      <c r="V96" s="112" t="s">
        <v>1464</v>
      </c>
      <c r="W96" s="112" t="s">
        <v>1464</v>
      </c>
      <c r="X96" s="111" t="str">
        <f t="shared" si="48"/>
        <v>S355</v>
      </c>
      <c r="Y96" s="123">
        <v>210000000</v>
      </c>
      <c r="Z96" s="122">
        <f t="shared" si="36"/>
        <v>2751000</v>
      </c>
      <c r="AA96" s="28"/>
      <c r="AB96" s="28"/>
      <c r="AC96" s="31"/>
      <c r="AD96" s="31"/>
    </row>
    <row r="97" spans="1:33" ht="15" customHeight="1" x14ac:dyDescent="0.2">
      <c r="A97" s="19">
        <f t="shared" si="35"/>
        <v>94</v>
      </c>
      <c r="B97" s="28" t="s">
        <v>1465</v>
      </c>
      <c r="C97" s="101" t="s">
        <v>2613</v>
      </c>
      <c r="D97" s="101" t="s">
        <v>2613</v>
      </c>
      <c r="E97" s="101" t="s">
        <v>5455</v>
      </c>
      <c r="F97" s="28">
        <v>1</v>
      </c>
      <c r="G97" s="28">
        <v>200</v>
      </c>
      <c r="H97" s="28">
        <v>149</v>
      </c>
      <c r="I97" s="28">
        <v>0</v>
      </c>
      <c r="J97" s="28">
        <v>1</v>
      </c>
      <c r="K97" s="28">
        <v>0</v>
      </c>
      <c r="L97" s="28">
        <v>355</v>
      </c>
      <c r="M97" s="29">
        <v>355</v>
      </c>
      <c r="N97" s="29">
        <f t="shared" si="44"/>
        <v>355</v>
      </c>
      <c r="O97" s="28">
        <f t="shared" si="27"/>
        <v>319.5</v>
      </c>
      <c r="P97" s="28">
        <v>12</v>
      </c>
      <c r="Q97" s="29">
        <f t="shared" si="45"/>
        <v>5289.5</v>
      </c>
      <c r="R97" s="103">
        <v>0.3</v>
      </c>
      <c r="S97" s="107" t="s">
        <v>731</v>
      </c>
      <c r="T97" s="104" t="str">
        <f t="shared" si="46"/>
        <v>permanter Träger-Anker 200 mm S355/355 doppelter Korrosionschutz</v>
      </c>
      <c r="U97" s="103" t="str">
        <f t="shared" si="47"/>
        <v>permanent Girder-Anchor 200 mm S355/355 double corrosion protection</v>
      </c>
      <c r="V97" s="112" t="s">
        <v>1465</v>
      </c>
      <c r="W97" s="112" t="s">
        <v>1465</v>
      </c>
      <c r="X97" s="111" t="str">
        <f t="shared" si="48"/>
        <v>S355</v>
      </c>
      <c r="Y97" s="123">
        <v>210000000</v>
      </c>
      <c r="Z97" s="122">
        <f t="shared" si="36"/>
        <v>3129000</v>
      </c>
      <c r="AA97" s="28"/>
      <c r="AB97" s="28"/>
      <c r="AC97" s="31"/>
      <c r="AD97" s="31"/>
    </row>
    <row r="98" spans="1:33" ht="15" customHeight="1" x14ac:dyDescent="0.2">
      <c r="A98" s="19">
        <f t="shared" si="35"/>
        <v>95</v>
      </c>
      <c r="B98" s="28" t="s">
        <v>1456</v>
      </c>
      <c r="C98" s="101" t="s">
        <v>2613</v>
      </c>
      <c r="D98" s="101" t="s">
        <v>2613</v>
      </c>
      <c r="E98" s="101" t="s">
        <v>5455</v>
      </c>
      <c r="F98" s="28">
        <v>1</v>
      </c>
      <c r="G98" s="28">
        <v>200</v>
      </c>
      <c r="H98" s="28">
        <v>34</v>
      </c>
      <c r="I98" s="28">
        <v>0</v>
      </c>
      <c r="J98" s="28">
        <v>1</v>
      </c>
      <c r="K98" s="28">
        <v>0</v>
      </c>
      <c r="L98" s="28">
        <v>235</v>
      </c>
      <c r="M98" s="29">
        <v>235</v>
      </c>
      <c r="N98" s="29">
        <v>235</v>
      </c>
      <c r="O98" s="28">
        <f t="shared" ref="O98:O107" si="49">+M98*0.9</f>
        <v>211.5</v>
      </c>
      <c r="P98" s="28">
        <v>12</v>
      </c>
      <c r="Q98" s="29">
        <f t="shared" ref="Q98:Q107" si="50">+H98*L98/10</f>
        <v>799</v>
      </c>
      <c r="R98" s="103">
        <v>0.3</v>
      </c>
      <c r="S98" s="107" t="s">
        <v>731</v>
      </c>
      <c r="T98" s="104" t="str">
        <f t="shared" ref="T98:T107" si="51">+IF(D98="-","",IF(J98=0,"temporärer ","permanter ")&amp;D98&amp;"-Anker "&amp;IF(F98&gt;1,F98&amp;"x","")&amp;G98&amp;S98&amp;" S"&amp;M98&amp;"/"&amp;N98&amp;IF(J98&gt;0,IF(K98=1," einfacher "," doppelter ")&amp;"Korrosionschutz",""))</f>
        <v>permanter Träger-Anker 200 mm S235/235 doppelter Korrosionschutz</v>
      </c>
      <c r="U98" s="103" t="str">
        <f t="shared" ref="U98:U107" si="52">+IF(D98="-","",IF(J98=0,"temporary ","permanent ")&amp;E98&amp;"-Anchor "&amp;IF(F98&gt;1,F98&amp;"x","")&amp;G98&amp;S98&amp;" S"&amp;M98&amp;"/"&amp;N98&amp;IF(J98&gt;0,IF(K98=1," single "," double ")&amp;"corrosion protection",""))</f>
        <v>permanent Girder-Anchor 200 mm S235/235 double corrosion protection</v>
      </c>
      <c r="V98" s="112" t="s">
        <v>1456</v>
      </c>
      <c r="W98" s="112" t="s">
        <v>1456</v>
      </c>
      <c r="X98" s="111" t="str">
        <f t="shared" ref="X98:X107" si="53">+"S"&amp;M98</f>
        <v>S235</v>
      </c>
      <c r="Y98" s="123">
        <v>210000000</v>
      </c>
      <c r="Z98" s="122">
        <f t="shared" si="36"/>
        <v>714000</v>
      </c>
      <c r="AA98" s="28"/>
      <c r="AB98" s="28"/>
      <c r="AC98" s="31"/>
      <c r="AD98" s="31"/>
    </row>
    <row r="99" spans="1:33" ht="15" customHeight="1" x14ac:dyDescent="0.2">
      <c r="A99" s="19">
        <f t="shared" si="35"/>
        <v>96</v>
      </c>
      <c r="B99" s="28" t="s">
        <v>1457</v>
      </c>
      <c r="C99" s="101" t="s">
        <v>2613</v>
      </c>
      <c r="D99" s="101" t="s">
        <v>2613</v>
      </c>
      <c r="E99" s="101" t="s">
        <v>5455</v>
      </c>
      <c r="F99" s="28">
        <v>1</v>
      </c>
      <c r="G99" s="28">
        <v>200</v>
      </c>
      <c r="H99" s="28">
        <v>43</v>
      </c>
      <c r="I99" s="28">
        <v>0</v>
      </c>
      <c r="J99" s="28">
        <v>1</v>
      </c>
      <c r="K99" s="28">
        <v>0</v>
      </c>
      <c r="L99" s="28">
        <v>235</v>
      </c>
      <c r="M99" s="29">
        <v>235</v>
      </c>
      <c r="N99" s="29">
        <v>235</v>
      </c>
      <c r="O99" s="28">
        <f t="shared" si="49"/>
        <v>211.5</v>
      </c>
      <c r="P99" s="28">
        <v>12</v>
      </c>
      <c r="Q99" s="29">
        <f t="shared" si="50"/>
        <v>1010.5</v>
      </c>
      <c r="R99" s="103">
        <v>0.3</v>
      </c>
      <c r="S99" s="107" t="s">
        <v>731</v>
      </c>
      <c r="T99" s="104" t="str">
        <f t="shared" si="51"/>
        <v>permanter Träger-Anker 200 mm S235/235 doppelter Korrosionschutz</v>
      </c>
      <c r="U99" s="103" t="str">
        <f t="shared" si="52"/>
        <v>permanent Girder-Anchor 200 mm S235/235 double corrosion protection</v>
      </c>
      <c r="V99" s="112" t="s">
        <v>1457</v>
      </c>
      <c r="W99" s="112" t="s">
        <v>1457</v>
      </c>
      <c r="X99" s="111" t="str">
        <f t="shared" si="53"/>
        <v>S235</v>
      </c>
      <c r="Y99" s="123">
        <v>210000000</v>
      </c>
      <c r="Z99" s="122">
        <f t="shared" si="36"/>
        <v>903000</v>
      </c>
      <c r="AA99" s="28"/>
      <c r="AB99" s="28"/>
      <c r="AC99" s="31"/>
      <c r="AD99" s="31"/>
    </row>
    <row r="100" spans="1:33" ht="15" customHeight="1" x14ac:dyDescent="0.2">
      <c r="A100" s="19">
        <f t="shared" si="35"/>
        <v>97</v>
      </c>
      <c r="B100" s="28" t="s">
        <v>1458</v>
      </c>
      <c r="C100" s="101" t="s">
        <v>2613</v>
      </c>
      <c r="D100" s="101" t="s">
        <v>2613</v>
      </c>
      <c r="E100" s="101" t="s">
        <v>5455</v>
      </c>
      <c r="F100" s="28">
        <v>1</v>
      </c>
      <c r="G100" s="28">
        <v>200</v>
      </c>
      <c r="H100" s="28">
        <v>54.3</v>
      </c>
      <c r="I100" s="28">
        <v>0</v>
      </c>
      <c r="J100" s="28">
        <v>1</v>
      </c>
      <c r="K100" s="28">
        <v>0</v>
      </c>
      <c r="L100" s="28">
        <v>235</v>
      </c>
      <c r="M100" s="29">
        <v>235</v>
      </c>
      <c r="N100" s="29">
        <v>235</v>
      </c>
      <c r="O100" s="28">
        <f t="shared" si="49"/>
        <v>211.5</v>
      </c>
      <c r="P100" s="28">
        <v>12</v>
      </c>
      <c r="Q100" s="29">
        <f t="shared" si="50"/>
        <v>1276.05</v>
      </c>
      <c r="R100" s="103">
        <v>0.3</v>
      </c>
      <c r="S100" s="107" t="s">
        <v>731</v>
      </c>
      <c r="T100" s="104" t="str">
        <f t="shared" si="51"/>
        <v>permanter Träger-Anker 200 mm S235/235 doppelter Korrosionschutz</v>
      </c>
      <c r="U100" s="103" t="str">
        <f t="shared" si="52"/>
        <v>permanent Girder-Anchor 200 mm S235/235 double corrosion protection</v>
      </c>
      <c r="V100" s="112" t="s">
        <v>1458</v>
      </c>
      <c r="W100" s="112" t="s">
        <v>1458</v>
      </c>
      <c r="X100" s="111" t="str">
        <f t="shared" si="53"/>
        <v>S235</v>
      </c>
      <c r="Y100" s="123">
        <v>210000000</v>
      </c>
      <c r="Z100" s="122">
        <f t="shared" si="36"/>
        <v>1140300</v>
      </c>
      <c r="AA100" s="28"/>
      <c r="AB100" s="28"/>
      <c r="AC100" s="31"/>
      <c r="AD100" s="31"/>
    </row>
    <row r="101" spans="1:33" ht="15" customHeight="1" x14ac:dyDescent="0.2">
      <c r="A101" s="19">
        <f t="shared" si="35"/>
        <v>98</v>
      </c>
      <c r="B101" s="28" t="s">
        <v>1459</v>
      </c>
      <c r="C101" s="101" t="s">
        <v>2613</v>
      </c>
      <c r="D101" s="101" t="s">
        <v>2613</v>
      </c>
      <c r="E101" s="101" t="s">
        <v>5455</v>
      </c>
      <c r="F101" s="28">
        <v>1</v>
      </c>
      <c r="G101" s="28">
        <v>200</v>
      </c>
      <c r="H101" s="28">
        <v>65.3</v>
      </c>
      <c r="I101" s="28">
        <v>0</v>
      </c>
      <c r="J101" s="28">
        <v>1</v>
      </c>
      <c r="K101" s="28">
        <v>0</v>
      </c>
      <c r="L101" s="28">
        <v>235</v>
      </c>
      <c r="M101" s="29">
        <v>235</v>
      </c>
      <c r="N101" s="29">
        <v>235</v>
      </c>
      <c r="O101" s="28">
        <f t="shared" si="49"/>
        <v>211.5</v>
      </c>
      <c r="P101" s="28">
        <v>12</v>
      </c>
      <c r="Q101" s="29">
        <f t="shared" si="50"/>
        <v>1534.55</v>
      </c>
      <c r="R101" s="103">
        <v>0.3</v>
      </c>
      <c r="S101" s="107" t="s">
        <v>731</v>
      </c>
      <c r="T101" s="104" t="str">
        <f t="shared" si="51"/>
        <v>permanter Träger-Anker 200 mm S235/235 doppelter Korrosionschutz</v>
      </c>
      <c r="U101" s="103" t="str">
        <f t="shared" si="52"/>
        <v>permanent Girder-Anchor 200 mm S235/235 double corrosion protection</v>
      </c>
      <c r="V101" s="112" t="s">
        <v>1459</v>
      </c>
      <c r="W101" s="112" t="s">
        <v>1459</v>
      </c>
      <c r="X101" s="111" t="str">
        <f t="shared" si="53"/>
        <v>S235</v>
      </c>
      <c r="Y101" s="123">
        <v>210000000</v>
      </c>
      <c r="Z101" s="122">
        <f t="shared" si="36"/>
        <v>1371300</v>
      </c>
      <c r="AA101" s="28"/>
      <c r="AB101" s="28"/>
      <c r="AC101" s="31"/>
      <c r="AD101" s="31"/>
    </row>
    <row r="102" spans="1:33" ht="15" customHeight="1" x14ac:dyDescent="0.2">
      <c r="A102" s="19">
        <f t="shared" si="35"/>
        <v>99</v>
      </c>
      <c r="B102" s="28" t="s">
        <v>1460</v>
      </c>
      <c r="C102" s="101" t="s">
        <v>2613</v>
      </c>
      <c r="D102" s="101" t="s">
        <v>2613</v>
      </c>
      <c r="E102" s="101" t="s">
        <v>5455</v>
      </c>
      <c r="F102" s="28">
        <v>1</v>
      </c>
      <c r="G102" s="28">
        <v>200</v>
      </c>
      <c r="H102" s="28">
        <v>78.099999999999994</v>
      </c>
      <c r="I102" s="28">
        <v>0</v>
      </c>
      <c r="J102" s="28">
        <v>1</v>
      </c>
      <c r="K102" s="28">
        <v>0</v>
      </c>
      <c r="L102" s="28">
        <v>235</v>
      </c>
      <c r="M102" s="29">
        <v>235</v>
      </c>
      <c r="N102" s="29">
        <v>235</v>
      </c>
      <c r="O102" s="28">
        <f t="shared" si="49"/>
        <v>211.5</v>
      </c>
      <c r="P102" s="28">
        <v>12</v>
      </c>
      <c r="Q102" s="29">
        <f t="shared" si="50"/>
        <v>1835.35</v>
      </c>
      <c r="R102" s="103">
        <v>0.3</v>
      </c>
      <c r="S102" s="107" t="s">
        <v>731</v>
      </c>
      <c r="T102" s="104" t="str">
        <f t="shared" si="51"/>
        <v>permanter Träger-Anker 200 mm S235/235 doppelter Korrosionschutz</v>
      </c>
      <c r="U102" s="103" t="str">
        <f t="shared" si="52"/>
        <v>permanent Girder-Anchor 200 mm S235/235 double corrosion protection</v>
      </c>
      <c r="V102" s="112" t="s">
        <v>1460</v>
      </c>
      <c r="W102" s="112" t="s">
        <v>1460</v>
      </c>
      <c r="X102" s="111" t="str">
        <f t="shared" si="53"/>
        <v>S235</v>
      </c>
      <c r="Y102" s="123">
        <v>210000000</v>
      </c>
      <c r="Z102" s="122">
        <f t="shared" si="36"/>
        <v>1640099.9999999998</v>
      </c>
      <c r="AA102" s="28"/>
      <c r="AB102" s="28"/>
      <c r="AC102" s="31"/>
      <c r="AD102" s="31"/>
    </row>
    <row r="103" spans="1:33" ht="15" customHeight="1" x14ac:dyDescent="0.2">
      <c r="A103" s="19">
        <f t="shared" si="35"/>
        <v>100</v>
      </c>
      <c r="B103" s="28" t="s">
        <v>1461</v>
      </c>
      <c r="C103" s="101" t="s">
        <v>2613</v>
      </c>
      <c r="D103" s="101" t="s">
        <v>2613</v>
      </c>
      <c r="E103" s="101" t="s">
        <v>5455</v>
      </c>
      <c r="F103" s="28">
        <v>1</v>
      </c>
      <c r="G103" s="28">
        <v>200</v>
      </c>
      <c r="H103" s="28">
        <v>91</v>
      </c>
      <c r="I103" s="28">
        <v>0</v>
      </c>
      <c r="J103" s="28">
        <v>1</v>
      </c>
      <c r="K103" s="28">
        <v>0</v>
      </c>
      <c r="L103" s="28">
        <v>235</v>
      </c>
      <c r="M103" s="29">
        <v>235</v>
      </c>
      <c r="N103" s="29">
        <v>235</v>
      </c>
      <c r="O103" s="28">
        <f t="shared" si="49"/>
        <v>211.5</v>
      </c>
      <c r="P103" s="28">
        <v>12</v>
      </c>
      <c r="Q103" s="29">
        <f t="shared" si="50"/>
        <v>2138.5</v>
      </c>
      <c r="R103" s="103">
        <v>0.3</v>
      </c>
      <c r="S103" s="107" t="s">
        <v>731</v>
      </c>
      <c r="T103" s="104" t="str">
        <f t="shared" si="51"/>
        <v>permanter Träger-Anker 200 mm S235/235 doppelter Korrosionschutz</v>
      </c>
      <c r="U103" s="103" t="str">
        <f t="shared" si="52"/>
        <v>permanent Girder-Anchor 200 mm S235/235 double corrosion protection</v>
      </c>
      <c r="V103" s="112" t="s">
        <v>1461</v>
      </c>
      <c r="W103" s="112" t="s">
        <v>1461</v>
      </c>
      <c r="X103" s="111" t="str">
        <f t="shared" si="53"/>
        <v>S235</v>
      </c>
      <c r="Y103" s="123">
        <v>210000000</v>
      </c>
      <c r="Z103" s="122">
        <f t="shared" si="36"/>
        <v>1911000</v>
      </c>
      <c r="AA103" s="28"/>
      <c r="AB103" s="28"/>
      <c r="AC103" s="31"/>
      <c r="AD103" s="31"/>
    </row>
    <row r="104" spans="1:33" ht="15" customHeight="1" x14ac:dyDescent="0.2">
      <c r="A104" s="19">
        <f t="shared" si="35"/>
        <v>101</v>
      </c>
      <c r="B104" s="28" t="s">
        <v>1462</v>
      </c>
      <c r="C104" s="101" t="s">
        <v>2613</v>
      </c>
      <c r="D104" s="101" t="s">
        <v>2613</v>
      </c>
      <c r="E104" s="101" t="s">
        <v>5455</v>
      </c>
      <c r="F104" s="28">
        <v>1</v>
      </c>
      <c r="G104" s="28">
        <v>200</v>
      </c>
      <c r="H104" s="28">
        <v>106</v>
      </c>
      <c r="I104" s="28">
        <v>0</v>
      </c>
      <c r="J104" s="28">
        <v>1</v>
      </c>
      <c r="K104" s="28">
        <v>0</v>
      </c>
      <c r="L104" s="28">
        <v>235</v>
      </c>
      <c r="M104" s="29">
        <v>235</v>
      </c>
      <c r="N104" s="29">
        <v>235</v>
      </c>
      <c r="O104" s="28">
        <f t="shared" si="49"/>
        <v>211.5</v>
      </c>
      <c r="P104" s="28">
        <v>12</v>
      </c>
      <c r="Q104" s="29">
        <f t="shared" si="50"/>
        <v>2491</v>
      </c>
      <c r="R104" s="103">
        <v>0.3</v>
      </c>
      <c r="S104" s="107" t="s">
        <v>731</v>
      </c>
      <c r="T104" s="104" t="str">
        <f t="shared" si="51"/>
        <v>permanter Träger-Anker 200 mm S235/235 doppelter Korrosionschutz</v>
      </c>
      <c r="U104" s="103" t="str">
        <f t="shared" si="52"/>
        <v>permanent Girder-Anchor 200 mm S235/235 double corrosion protection</v>
      </c>
      <c r="V104" s="112" t="s">
        <v>1462</v>
      </c>
      <c r="W104" s="112" t="s">
        <v>1462</v>
      </c>
      <c r="X104" s="111" t="str">
        <f t="shared" si="53"/>
        <v>S235</v>
      </c>
      <c r="Y104" s="123">
        <v>210000000</v>
      </c>
      <c r="Z104" s="122">
        <f t="shared" si="36"/>
        <v>2226000</v>
      </c>
      <c r="AA104" s="28"/>
      <c r="AB104" s="28"/>
      <c r="AC104" s="31"/>
      <c r="AD104" s="31"/>
    </row>
    <row r="105" spans="1:33" ht="15" customHeight="1" x14ac:dyDescent="0.2">
      <c r="A105" s="19">
        <f t="shared" si="35"/>
        <v>102</v>
      </c>
      <c r="B105" s="28" t="s">
        <v>1463</v>
      </c>
      <c r="C105" s="101" t="s">
        <v>2613</v>
      </c>
      <c r="D105" s="101" t="s">
        <v>2613</v>
      </c>
      <c r="E105" s="101" t="s">
        <v>5455</v>
      </c>
      <c r="F105" s="28">
        <v>1</v>
      </c>
      <c r="G105" s="28">
        <v>200</v>
      </c>
      <c r="H105" s="28">
        <v>118</v>
      </c>
      <c r="I105" s="28">
        <v>0</v>
      </c>
      <c r="J105" s="28">
        <v>1</v>
      </c>
      <c r="K105" s="28">
        <v>0</v>
      </c>
      <c r="L105" s="28">
        <v>235</v>
      </c>
      <c r="M105" s="29">
        <v>235</v>
      </c>
      <c r="N105" s="29">
        <v>235</v>
      </c>
      <c r="O105" s="28">
        <f t="shared" si="49"/>
        <v>211.5</v>
      </c>
      <c r="P105" s="28">
        <v>12</v>
      </c>
      <c r="Q105" s="29">
        <f t="shared" si="50"/>
        <v>2773</v>
      </c>
      <c r="R105" s="103">
        <v>0.3</v>
      </c>
      <c r="S105" s="107" t="s">
        <v>731</v>
      </c>
      <c r="T105" s="104" t="str">
        <f t="shared" si="51"/>
        <v>permanter Träger-Anker 200 mm S235/235 doppelter Korrosionschutz</v>
      </c>
      <c r="U105" s="103" t="str">
        <f t="shared" si="52"/>
        <v>permanent Girder-Anchor 200 mm S235/235 double corrosion protection</v>
      </c>
      <c r="V105" s="112" t="s">
        <v>1463</v>
      </c>
      <c r="W105" s="112" t="s">
        <v>1463</v>
      </c>
      <c r="X105" s="111" t="str">
        <f t="shared" si="53"/>
        <v>S235</v>
      </c>
      <c r="Y105" s="123">
        <v>210000000</v>
      </c>
      <c r="Z105" s="122">
        <f t="shared" si="36"/>
        <v>2478000</v>
      </c>
      <c r="AA105" s="28"/>
      <c r="AB105" s="28"/>
      <c r="AC105" s="31"/>
      <c r="AD105" s="31"/>
    </row>
    <row r="106" spans="1:33" ht="15" customHeight="1" x14ac:dyDescent="0.2">
      <c r="A106" s="19">
        <f t="shared" si="35"/>
        <v>103</v>
      </c>
      <c r="B106" s="28" t="s">
        <v>1464</v>
      </c>
      <c r="C106" s="101" t="s">
        <v>2613</v>
      </c>
      <c r="D106" s="101" t="s">
        <v>2613</v>
      </c>
      <c r="E106" s="101" t="s">
        <v>5455</v>
      </c>
      <c r="F106" s="28">
        <v>1</v>
      </c>
      <c r="G106" s="28">
        <v>200</v>
      </c>
      <c r="H106" s="28">
        <v>131</v>
      </c>
      <c r="I106" s="28">
        <v>0</v>
      </c>
      <c r="J106" s="28">
        <v>1</v>
      </c>
      <c r="K106" s="28">
        <v>0</v>
      </c>
      <c r="L106" s="28">
        <v>235</v>
      </c>
      <c r="M106" s="29">
        <v>235</v>
      </c>
      <c r="N106" s="29">
        <v>235</v>
      </c>
      <c r="O106" s="28">
        <f t="shared" si="49"/>
        <v>211.5</v>
      </c>
      <c r="P106" s="28">
        <v>12</v>
      </c>
      <c r="Q106" s="29">
        <f t="shared" si="50"/>
        <v>3078.5</v>
      </c>
      <c r="R106" s="103">
        <v>0.3</v>
      </c>
      <c r="S106" s="107" t="s">
        <v>731</v>
      </c>
      <c r="T106" s="104" t="str">
        <f t="shared" si="51"/>
        <v>permanter Träger-Anker 200 mm S235/235 doppelter Korrosionschutz</v>
      </c>
      <c r="U106" s="103" t="str">
        <f t="shared" si="52"/>
        <v>permanent Girder-Anchor 200 mm S235/235 double corrosion protection</v>
      </c>
      <c r="V106" s="112" t="s">
        <v>1464</v>
      </c>
      <c r="W106" s="112" t="s">
        <v>1464</v>
      </c>
      <c r="X106" s="111" t="str">
        <f t="shared" si="53"/>
        <v>S235</v>
      </c>
      <c r="Y106" s="123">
        <v>210000000</v>
      </c>
      <c r="Z106" s="122">
        <f t="shared" si="36"/>
        <v>2751000</v>
      </c>
      <c r="AA106" s="28"/>
      <c r="AB106" s="28"/>
      <c r="AC106" s="31"/>
      <c r="AD106" s="31"/>
    </row>
    <row r="107" spans="1:33" ht="15" customHeight="1" x14ac:dyDescent="0.2">
      <c r="A107" s="19">
        <f t="shared" si="35"/>
        <v>104</v>
      </c>
      <c r="B107" s="28" t="s">
        <v>1465</v>
      </c>
      <c r="C107" s="101" t="s">
        <v>2613</v>
      </c>
      <c r="D107" s="101" t="s">
        <v>2613</v>
      </c>
      <c r="E107" s="101" t="s">
        <v>5455</v>
      </c>
      <c r="F107" s="28">
        <v>1</v>
      </c>
      <c r="G107" s="28">
        <v>200</v>
      </c>
      <c r="H107" s="28">
        <v>149</v>
      </c>
      <c r="I107" s="28">
        <v>0</v>
      </c>
      <c r="J107" s="28">
        <v>1</v>
      </c>
      <c r="K107" s="28">
        <v>0</v>
      </c>
      <c r="L107" s="28">
        <v>235</v>
      </c>
      <c r="M107" s="29">
        <v>235</v>
      </c>
      <c r="N107" s="29">
        <v>235</v>
      </c>
      <c r="O107" s="28">
        <f t="shared" si="49"/>
        <v>211.5</v>
      </c>
      <c r="P107" s="28">
        <v>12</v>
      </c>
      <c r="Q107" s="29">
        <f t="shared" si="50"/>
        <v>3501.5</v>
      </c>
      <c r="R107" s="103">
        <v>0.3</v>
      </c>
      <c r="S107" s="107" t="s">
        <v>731</v>
      </c>
      <c r="T107" s="104" t="str">
        <f t="shared" si="51"/>
        <v>permanter Träger-Anker 200 mm S235/235 doppelter Korrosionschutz</v>
      </c>
      <c r="U107" s="103" t="str">
        <f t="shared" si="52"/>
        <v>permanent Girder-Anchor 200 mm S235/235 double corrosion protection</v>
      </c>
      <c r="V107" s="112" t="s">
        <v>1465</v>
      </c>
      <c r="W107" s="112" t="s">
        <v>1465</v>
      </c>
      <c r="X107" s="111" t="str">
        <f t="shared" si="53"/>
        <v>S235</v>
      </c>
      <c r="Y107" s="123">
        <v>210000000</v>
      </c>
      <c r="Z107" s="122">
        <f t="shared" si="36"/>
        <v>3129000</v>
      </c>
      <c r="AA107" s="28"/>
      <c r="AB107" s="28"/>
      <c r="AC107" s="31"/>
      <c r="AD107" s="31"/>
    </row>
    <row r="108" spans="1:33" ht="15" customHeight="1" x14ac:dyDescent="0.2">
      <c r="A108" s="19">
        <f t="shared" si="35"/>
        <v>105</v>
      </c>
      <c r="B108" s="32" t="s">
        <v>7524</v>
      </c>
      <c r="C108" s="101" t="s">
        <v>4512</v>
      </c>
      <c r="D108" s="101" t="s">
        <v>4512</v>
      </c>
      <c r="E108" s="101" t="s">
        <v>718</v>
      </c>
      <c r="F108" s="28">
        <v>1</v>
      </c>
      <c r="G108" s="28">
        <v>20</v>
      </c>
      <c r="H108" s="28">
        <v>3.1415926535897931</v>
      </c>
      <c r="I108" s="28">
        <v>0</v>
      </c>
      <c r="J108" s="28">
        <v>0</v>
      </c>
      <c r="K108" s="28">
        <v>0</v>
      </c>
      <c r="L108" s="28">
        <v>425</v>
      </c>
      <c r="M108" s="29">
        <v>425</v>
      </c>
      <c r="N108" s="29">
        <v>500</v>
      </c>
      <c r="O108" s="28">
        <v>382.5</v>
      </c>
      <c r="P108" s="28">
        <v>3</v>
      </c>
      <c r="Q108" s="29">
        <v>133.51768777756621</v>
      </c>
      <c r="R108" s="103">
        <v>0.3</v>
      </c>
      <c r="S108" s="107" t="s">
        <v>731</v>
      </c>
      <c r="T108" s="104" t="s">
        <v>7532</v>
      </c>
      <c r="U108" s="103" t="s">
        <v>7533</v>
      </c>
      <c r="V108" s="101" t="s">
        <v>5161</v>
      </c>
      <c r="W108" s="101" t="s">
        <v>7523</v>
      </c>
      <c r="X108" s="111" t="s">
        <v>7534</v>
      </c>
      <c r="Y108" s="123">
        <v>210000000</v>
      </c>
      <c r="Z108" s="122">
        <f t="shared" si="36"/>
        <v>65973.445725385653</v>
      </c>
      <c r="AA108" s="28"/>
      <c r="AB108" s="28"/>
      <c r="AC108" s="31"/>
      <c r="AD108" s="31"/>
      <c r="AE108" s="33"/>
      <c r="AF108" s="33"/>
      <c r="AG108" s="33"/>
    </row>
    <row r="109" spans="1:33" ht="15" customHeight="1" x14ac:dyDescent="0.2">
      <c r="A109" s="19">
        <f t="shared" si="35"/>
        <v>106</v>
      </c>
      <c r="B109" s="32" t="s">
        <v>7525</v>
      </c>
      <c r="C109" s="101" t="s">
        <v>4512</v>
      </c>
      <c r="D109" s="101" t="s">
        <v>4512</v>
      </c>
      <c r="E109" s="101" t="s">
        <v>718</v>
      </c>
      <c r="F109" s="28">
        <v>1</v>
      </c>
      <c r="G109" s="28">
        <v>25</v>
      </c>
      <c r="H109" s="28">
        <v>4.908738521234052</v>
      </c>
      <c r="I109" s="28">
        <v>0</v>
      </c>
      <c r="J109" s="28">
        <v>0</v>
      </c>
      <c r="K109" s="28">
        <v>0</v>
      </c>
      <c r="L109" s="28">
        <v>425</v>
      </c>
      <c r="M109" s="29">
        <v>425</v>
      </c>
      <c r="N109" s="29">
        <v>500</v>
      </c>
      <c r="O109" s="28">
        <v>382.5</v>
      </c>
      <c r="P109" s="28">
        <v>3</v>
      </c>
      <c r="Q109" s="29">
        <v>208.6213871524472</v>
      </c>
      <c r="R109" s="103">
        <v>0.3</v>
      </c>
      <c r="S109" s="107" t="s">
        <v>731</v>
      </c>
      <c r="T109" s="104" t="s">
        <v>7535</v>
      </c>
      <c r="U109" s="103" t="s">
        <v>7536</v>
      </c>
      <c r="V109" s="101" t="s">
        <v>7528</v>
      </c>
      <c r="W109" s="101" t="s">
        <v>7530</v>
      </c>
      <c r="X109" s="111" t="s">
        <v>7534</v>
      </c>
      <c r="Y109" s="123">
        <v>210000000</v>
      </c>
      <c r="Z109" s="122">
        <f t="shared" si="36"/>
        <v>103083.50894591509</v>
      </c>
      <c r="AA109" s="28"/>
      <c r="AB109" s="28"/>
      <c r="AC109" s="31"/>
      <c r="AD109" s="31"/>
      <c r="AE109" s="33"/>
      <c r="AF109" s="33"/>
      <c r="AG109" s="33"/>
    </row>
    <row r="110" spans="1:33" ht="15" customHeight="1" x14ac:dyDescent="0.2">
      <c r="A110" s="19">
        <f t="shared" si="35"/>
        <v>107</v>
      </c>
      <c r="B110" s="32" t="s">
        <v>7526</v>
      </c>
      <c r="C110" s="101" t="s">
        <v>4512</v>
      </c>
      <c r="D110" s="101" t="s">
        <v>4512</v>
      </c>
      <c r="E110" s="101" t="s">
        <v>718</v>
      </c>
      <c r="F110" s="28">
        <v>1</v>
      </c>
      <c r="G110" s="28">
        <v>28</v>
      </c>
      <c r="H110" s="28">
        <v>6.1575216010359943</v>
      </c>
      <c r="I110" s="28">
        <v>0</v>
      </c>
      <c r="J110" s="28">
        <v>0</v>
      </c>
      <c r="K110" s="28">
        <v>0</v>
      </c>
      <c r="L110" s="28">
        <v>425</v>
      </c>
      <c r="M110" s="29">
        <v>425</v>
      </c>
      <c r="N110" s="29">
        <v>500</v>
      </c>
      <c r="O110" s="28">
        <v>382.5</v>
      </c>
      <c r="P110" s="28">
        <v>3</v>
      </c>
      <c r="Q110" s="29">
        <v>261.69466804402975</v>
      </c>
      <c r="R110" s="103">
        <v>0.3</v>
      </c>
      <c r="S110" s="107" t="s">
        <v>731</v>
      </c>
      <c r="T110" s="104" t="s">
        <v>7537</v>
      </c>
      <c r="U110" s="103" t="s">
        <v>7538</v>
      </c>
      <c r="V110" s="101" t="s">
        <v>7529</v>
      </c>
      <c r="W110" s="101" t="s">
        <v>7531</v>
      </c>
      <c r="X110" s="111" t="s">
        <v>7534</v>
      </c>
      <c r="Y110" s="123">
        <v>210000000</v>
      </c>
      <c r="Z110" s="122">
        <f t="shared" si="36"/>
        <v>129307.95362175589</v>
      </c>
      <c r="AA110" s="28"/>
      <c r="AB110" s="28"/>
      <c r="AC110" s="31"/>
      <c r="AD110" s="31"/>
      <c r="AE110" s="33"/>
      <c r="AF110" s="33"/>
      <c r="AG110" s="33"/>
    </row>
    <row r="111" spans="1:33" ht="15" customHeight="1" x14ac:dyDescent="0.2">
      <c r="A111" s="19">
        <f t="shared" si="35"/>
        <v>108</v>
      </c>
      <c r="B111" s="32" t="s">
        <v>7527</v>
      </c>
      <c r="C111" s="101" t="s">
        <v>4512</v>
      </c>
      <c r="D111" s="101" t="s">
        <v>4512</v>
      </c>
      <c r="E111" s="101" t="s">
        <v>718</v>
      </c>
      <c r="F111" s="28">
        <v>1</v>
      </c>
      <c r="G111" s="28">
        <v>32</v>
      </c>
      <c r="H111" s="28">
        <v>8.0424771931898711</v>
      </c>
      <c r="I111" s="28">
        <v>0</v>
      </c>
      <c r="J111" s="28">
        <v>0</v>
      </c>
      <c r="K111" s="28">
        <v>0</v>
      </c>
      <c r="L111" s="28">
        <v>425</v>
      </c>
      <c r="M111" s="29">
        <v>425</v>
      </c>
      <c r="N111" s="29">
        <v>500</v>
      </c>
      <c r="O111" s="28">
        <v>382.5</v>
      </c>
      <c r="P111" s="28">
        <v>3</v>
      </c>
      <c r="Q111" s="29">
        <v>341.80528071056949</v>
      </c>
      <c r="R111" s="103">
        <v>0.3</v>
      </c>
      <c r="S111" s="107" t="s">
        <v>731</v>
      </c>
      <c r="T111" s="104" t="s">
        <v>7539</v>
      </c>
      <c r="U111" s="103" t="s">
        <v>7540</v>
      </c>
      <c r="V111" s="101" t="s">
        <v>2795</v>
      </c>
      <c r="W111" s="101" t="s">
        <v>5555</v>
      </c>
      <c r="X111" s="111" t="s">
        <v>7534</v>
      </c>
      <c r="Y111" s="123">
        <v>210000000</v>
      </c>
      <c r="Z111" s="122">
        <f t="shared" si="36"/>
        <v>168892.02105698729</v>
      </c>
      <c r="AA111" s="28"/>
      <c r="AB111" s="28"/>
      <c r="AC111" s="31"/>
      <c r="AD111" s="31"/>
      <c r="AE111" s="33"/>
      <c r="AF111" s="33"/>
      <c r="AG111" s="33"/>
    </row>
    <row r="112" spans="1:33" ht="15" customHeight="1" x14ac:dyDescent="0.2">
      <c r="A112" s="19">
        <f t="shared" si="35"/>
        <v>109</v>
      </c>
      <c r="B112" s="32" t="s">
        <v>7447</v>
      </c>
      <c r="C112" s="101" t="s">
        <v>7448</v>
      </c>
      <c r="D112" s="101" t="s">
        <v>7448</v>
      </c>
      <c r="E112" s="105" t="s">
        <v>1727</v>
      </c>
      <c r="F112" s="28">
        <v>1</v>
      </c>
      <c r="G112" s="28">
        <v>20</v>
      </c>
      <c r="H112" s="31">
        <f>+G112^2*PI()/4/100</f>
        <v>3.1415926535897931</v>
      </c>
      <c r="I112" s="28">
        <v>0</v>
      </c>
      <c r="J112" s="28">
        <v>0</v>
      </c>
      <c r="K112" s="28">
        <v>0</v>
      </c>
      <c r="L112" s="32">
        <v>500</v>
      </c>
      <c r="M112" s="32">
        <v>500</v>
      </c>
      <c r="N112" s="29">
        <v>550</v>
      </c>
      <c r="O112" s="28">
        <f>+M112*0.9</f>
        <v>450</v>
      </c>
      <c r="P112" s="28">
        <v>3</v>
      </c>
      <c r="Q112" s="29">
        <f t="shared" ref="Q112:Q119" si="54">+H112*L112/10</f>
        <v>157.07963267948963</v>
      </c>
      <c r="R112" s="103">
        <v>0.3</v>
      </c>
      <c r="S112" s="107" t="s">
        <v>731</v>
      </c>
      <c r="T112" s="104" t="str">
        <f>+IF(D112="-","",IF(J112=0,"temporärer ","permanter ")&amp;D112&amp;"-Anker "&amp;IF(F112&gt;1,F112&amp;"x","")&amp;G112&amp;S112&amp;" S"&amp;M112&amp;"/"&amp;N112&amp;IF(J112&gt;0,IF(K112=1," einfacher "," doppelter ")&amp;"Korrosionschutz",""))</f>
        <v>temporärer Rebar-Anker 20 mm S500/550</v>
      </c>
      <c r="U112" s="103" t="str">
        <f>+IF(D112="-","",IF(J112=0,"temporary ","permanent ")&amp;E112&amp;"-Anchor "&amp;IF(F112&gt;1,F112&amp;"x","")&amp;G112&amp;S112&amp;" S"&amp;M112&amp;"/"&amp;N112&amp;IF(J112&gt;0,IF(K112=1," single "," double ")&amp;"corrosion protection",""))</f>
        <v>temporary GEWI-Anchor 20 mm S500/550</v>
      </c>
      <c r="V112" s="173" t="s">
        <v>5475</v>
      </c>
      <c r="W112" s="174" t="s">
        <v>5475</v>
      </c>
      <c r="X112" s="111" t="str">
        <f>+"B "&amp;M112&amp;"B"</f>
        <v>B 500B</v>
      </c>
      <c r="Y112" s="123">
        <v>210000000</v>
      </c>
      <c r="Z112" s="122">
        <f t="shared" si="36"/>
        <v>65973.445725385653</v>
      </c>
      <c r="AA112" s="28"/>
      <c r="AB112" s="28"/>
      <c r="AC112" s="31"/>
      <c r="AD112" s="31"/>
    </row>
    <row r="113" spans="1:30" ht="15" customHeight="1" x14ac:dyDescent="0.2">
      <c r="A113" s="19">
        <f t="shared" si="35"/>
        <v>110</v>
      </c>
      <c r="B113" s="32" t="s">
        <v>7449</v>
      </c>
      <c r="C113" s="101" t="s">
        <v>7448</v>
      </c>
      <c r="D113" s="101" t="s">
        <v>7448</v>
      </c>
      <c r="E113" s="105" t="s">
        <v>1727</v>
      </c>
      <c r="F113" s="28">
        <v>1</v>
      </c>
      <c r="G113" s="28">
        <v>25</v>
      </c>
      <c r="H113" s="31">
        <f>+G113^2*PI()/4/100</f>
        <v>4.908738521234052</v>
      </c>
      <c r="I113" s="28">
        <v>0</v>
      </c>
      <c r="J113" s="28">
        <v>0</v>
      </c>
      <c r="K113" s="28">
        <v>0</v>
      </c>
      <c r="L113" s="32">
        <v>500</v>
      </c>
      <c r="M113" s="32">
        <v>500</v>
      </c>
      <c r="N113" s="29">
        <v>550</v>
      </c>
      <c r="O113" s="28">
        <f>+M113*0.9</f>
        <v>450</v>
      </c>
      <c r="P113" s="28">
        <v>3</v>
      </c>
      <c r="Q113" s="29">
        <f t="shared" si="54"/>
        <v>245.43692606170262</v>
      </c>
      <c r="R113" s="103">
        <v>0.3</v>
      </c>
      <c r="S113" s="107" t="s">
        <v>731</v>
      </c>
      <c r="T113" s="104" t="str">
        <f>+IF(D113="-","",IF(J113=0,"temporärer ","permanter ")&amp;D113&amp;"-Anker "&amp;IF(F113&gt;1,F113&amp;"x","")&amp;G113&amp;S113&amp;" S"&amp;M113&amp;"/"&amp;N113&amp;IF(J113&gt;0,IF(K113=1," einfacher "," doppelter ")&amp;"Korrosionschutz",""))</f>
        <v>temporärer Rebar-Anker 25 mm S500/550</v>
      </c>
      <c r="U113" s="103" t="str">
        <f>+IF(D113="-","",IF(J113=0,"temporary ","permanent ")&amp;E113&amp;"-Anchor "&amp;IF(F113&gt;1,F113&amp;"x","")&amp;G113&amp;S113&amp;" S"&amp;M113&amp;"/"&amp;N113&amp;IF(J113&gt;0,IF(K113=1," single "," double ")&amp;"corrosion protection",""))</f>
        <v>temporary GEWI-Anchor 25 mm S500/550</v>
      </c>
      <c r="V113" s="173" t="s">
        <v>5476</v>
      </c>
      <c r="W113" s="174" t="s">
        <v>5476</v>
      </c>
      <c r="X113" s="111" t="str">
        <f>+"B "&amp;M113&amp;"B"</f>
        <v>B 500B</v>
      </c>
      <c r="Y113" s="123">
        <v>210000000</v>
      </c>
      <c r="Z113" s="122">
        <f t="shared" ref="Z113:Z119" si="55">+H113*Y113/100^2</f>
        <v>103083.50894591509</v>
      </c>
      <c r="AA113" s="28"/>
      <c r="AB113" s="28"/>
      <c r="AC113" s="31"/>
      <c r="AD113" s="31"/>
    </row>
    <row r="114" spans="1:30" ht="15" customHeight="1" x14ac:dyDescent="0.2">
      <c r="A114" s="19">
        <f t="shared" si="35"/>
        <v>111</v>
      </c>
      <c r="B114" s="32" t="s">
        <v>7446</v>
      </c>
      <c r="C114" s="101" t="s">
        <v>7448</v>
      </c>
      <c r="D114" s="101" t="s">
        <v>7448</v>
      </c>
      <c r="E114" s="105" t="s">
        <v>1727</v>
      </c>
      <c r="F114" s="28">
        <v>1</v>
      </c>
      <c r="G114" s="28">
        <v>28</v>
      </c>
      <c r="H114" s="31">
        <f>+G114^2*PI()/4/100</f>
        <v>6.1575216010359943</v>
      </c>
      <c r="I114" s="28">
        <v>0</v>
      </c>
      <c r="J114" s="28">
        <v>0</v>
      </c>
      <c r="K114" s="28">
        <v>0</v>
      </c>
      <c r="L114" s="32">
        <v>500</v>
      </c>
      <c r="M114" s="32">
        <v>500</v>
      </c>
      <c r="N114" s="29">
        <v>550</v>
      </c>
      <c r="O114" s="28">
        <f>+M114*0.9</f>
        <v>450</v>
      </c>
      <c r="P114" s="28">
        <v>3</v>
      </c>
      <c r="Q114" s="29">
        <f t="shared" si="54"/>
        <v>307.8760800517997</v>
      </c>
      <c r="R114" s="103">
        <v>0.3</v>
      </c>
      <c r="S114" s="107" t="s">
        <v>731</v>
      </c>
      <c r="T114" s="104" t="str">
        <f>+IF(D114="-","",IF(J114=0,"temporärer ","permanter ")&amp;D114&amp;"-Anker "&amp;IF(F114&gt;1,F114&amp;"x","")&amp;G114&amp;S114&amp;" S"&amp;M114&amp;"/"&amp;N114&amp;IF(J114&gt;0,IF(K114=1," einfacher "," doppelter ")&amp;"Korrosionschutz",""))</f>
        <v>temporärer Rebar-Anker 28 mm S500/550</v>
      </c>
      <c r="U114" s="103" t="str">
        <f>+IF(D114="-","",IF(J114=0,"temporary ","permanent ")&amp;E114&amp;"-Anchor "&amp;IF(F114&gt;1,F114&amp;"x","")&amp;G114&amp;S114&amp;" S"&amp;M114&amp;"/"&amp;N114&amp;IF(J114&gt;0,IF(K114=1," single "," double ")&amp;"corrosion protection",""))</f>
        <v>temporary GEWI-Anchor 28 mm S500/550</v>
      </c>
      <c r="V114" s="104" t="s">
        <v>5470</v>
      </c>
      <c r="W114" s="103" t="s">
        <v>5470</v>
      </c>
      <c r="X114" s="111" t="str">
        <f>+"B "&amp;M114&amp;"B"</f>
        <v>B 500B</v>
      </c>
      <c r="Y114" s="123">
        <v>210000000</v>
      </c>
      <c r="Z114" s="122">
        <f>+H114*Y114/100^2</f>
        <v>129307.95362175589</v>
      </c>
      <c r="AA114" s="28"/>
      <c r="AB114" s="28"/>
      <c r="AC114" s="31"/>
      <c r="AD114" s="31"/>
    </row>
    <row r="115" spans="1:30" ht="15" customHeight="1" x14ac:dyDescent="0.2">
      <c r="A115" s="19">
        <f t="shared" si="35"/>
        <v>112</v>
      </c>
      <c r="B115" s="32" t="s">
        <v>7450</v>
      </c>
      <c r="C115" s="101" t="s">
        <v>7448</v>
      </c>
      <c r="D115" s="101" t="s">
        <v>7448</v>
      </c>
      <c r="E115" s="105" t="s">
        <v>1727</v>
      </c>
      <c r="F115" s="28">
        <v>1</v>
      </c>
      <c r="G115" s="28">
        <v>32</v>
      </c>
      <c r="H115" s="31">
        <f>+G115^2*PI()/4/100</f>
        <v>8.0424771931898711</v>
      </c>
      <c r="I115" s="28">
        <v>0</v>
      </c>
      <c r="J115" s="28">
        <v>0</v>
      </c>
      <c r="K115" s="28">
        <v>0</v>
      </c>
      <c r="L115" s="32">
        <v>500</v>
      </c>
      <c r="M115" s="32">
        <v>500</v>
      </c>
      <c r="N115" s="29">
        <v>550</v>
      </c>
      <c r="O115" s="28">
        <f>+M115*0.9</f>
        <v>450</v>
      </c>
      <c r="P115" s="28">
        <v>3</v>
      </c>
      <c r="Q115" s="29">
        <f t="shared" si="54"/>
        <v>402.12385965949358</v>
      </c>
      <c r="R115" s="103">
        <v>0.3</v>
      </c>
      <c r="S115" s="107" t="s">
        <v>731</v>
      </c>
      <c r="T115" s="104" t="str">
        <f>+IF(D115="-","",IF(J115=0,"temporärer ","permanter ")&amp;D115&amp;"-Anker "&amp;IF(F115&gt;1,F115&amp;"x","")&amp;G115&amp;S115&amp;" S"&amp;M115&amp;"/"&amp;N115&amp;IF(J115&gt;0,IF(K115=1," einfacher "," doppelter ")&amp;"Korrosionschutz",""))</f>
        <v>temporärer Rebar-Anker 32 mm S500/550</v>
      </c>
      <c r="U115" s="103" t="str">
        <f>+IF(D115="-","",IF(J115=0,"temporary ","permanent ")&amp;E115&amp;"-Anchor "&amp;IF(F115&gt;1,F115&amp;"x","")&amp;G115&amp;S115&amp;" S"&amp;M115&amp;"/"&amp;N115&amp;IF(J115&gt;0,IF(K115=1," single "," double ")&amp;"corrosion protection",""))</f>
        <v>temporary GEWI-Anchor 32 mm S500/550</v>
      </c>
      <c r="V115" s="173" t="s">
        <v>5471</v>
      </c>
      <c r="W115" s="174" t="s">
        <v>5471</v>
      </c>
      <c r="X115" s="111" t="str">
        <f>+"B "&amp;M115&amp;"B"</f>
        <v>B 500B</v>
      </c>
      <c r="Y115" s="123">
        <v>210000000</v>
      </c>
      <c r="Z115" s="122">
        <f t="shared" si="55"/>
        <v>168892.02105698729</v>
      </c>
      <c r="AA115" s="28"/>
      <c r="AB115" s="28"/>
      <c r="AC115" s="31"/>
      <c r="AD115" s="31"/>
    </row>
    <row r="116" spans="1:30" ht="15" customHeight="1" x14ac:dyDescent="0.2">
      <c r="A116" s="19">
        <f t="shared" si="35"/>
        <v>113</v>
      </c>
      <c r="B116" s="32" t="s">
        <v>7451</v>
      </c>
      <c r="C116" s="101" t="s">
        <v>7448</v>
      </c>
      <c r="D116" s="101" t="s">
        <v>7448</v>
      </c>
      <c r="E116" s="105" t="s">
        <v>1727</v>
      </c>
      <c r="F116" s="28">
        <v>1</v>
      </c>
      <c r="G116" s="28">
        <v>40</v>
      </c>
      <c r="H116" s="31">
        <f>+G116^2*PI()/4/100</f>
        <v>12.566370614359172</v>
      </c>
      <c r="I116" s="28">
        <v>0</v>
      </c>
      <c r="J116" s="28">
        <v>0</v>
      </c>
      <c r="K116" s="28">
        <v>0</v>
      </c>
      <c r="L116" s="32">
        <v>500</v>
      </c>
      <c r="M116" s="32">
        <v>500</v>
      </c>
      <c r="N116" s="29">
        <v>550</v>
      </c>
      <c r="O116" s="28">
        <f>+M116*0.9</f>
        <v>450</v>
      </c>
      <c r="P116" s="28">
        <v>3</v>
      </c>
      <c r="Q116" s="29">
        <f t="shared" si="54"/>
        <v>628.31853071795854</v>
      </c>
      <c r="R116" s="103">
        <v>0.3</v>
      </c>
      <c r="S116" s="107" t="s">
        <v>731</v>
      </c>
      <c r="T116" s="104" t="str">
        <f>+IF(D116="-","",IF(J116=0,"temporärer ","permanter ")&amp;D116&amp;"-Anker "&amp;IF(F116&gt;1,F116&amp;"x","")&amp;G116&amp;S116&amp;" S"&amp;M116&amp;"/"&amp;N116&amp;IF(J116&gt;0,IF(K116=1," einfacher "," doppelter ")&amp;"Korrosionschutz",""))</f>
        <v>temporärer Rebar-Anker 40 mm S500/550</v>
      </c>
      <c r="U116" s="103" t="str">
        <f>+IF(D116="-","",IF(J116=0,"temporary ","permanent ")&amp;E116&amp;"-Anchor "&amp;IF(F116&gt;1,F116&amp;"x","")&amp;G116&amp;S116&amp;" S"&amp;M116&amp;"/"&amp;N116&amp;IF(J116&gt;0,IF(K116=1," single "," double ")&amp;"corrosion protection",""))</f>
        <v>temporary GEWI-Anchor 40 mm S500/550</v>
      </c>
      <c r="V116" s="173" t="s">
        <v>5472</v>
      </c>
      <c r="W116" s="174" t="s">
        <v>5472</v>
      </c>
      <c r="X116" s="111" t="str">
        <f>+"B "&amp;M116&amp;"B"</f>
        <v>B 500B</v>
      </c>
      <c r="Y116" s="123">
        <v>210000000</v>
      </c>
      <c r="Z116" s="122">
        <f t="shared" si="55"/>
        <v>263893.78290154261</v>
      </c>
      <c r="AA116" s="28"/>
      <c r="AB116" s="28"/>
      <c r="AC116" s="31"/>
      <c r="AD116" s="31"/>
    </row>
    <row r="117" spans="1:30" ht="15" customHeight="1" x14ac:dyDescent="0.2">
      <c r="A117" s="19">
        <f t="shared" si="35"/>
        <v>114</v>
      </c>
      <c r="B117" s="148" t="s">
        <v>9091</v>
      </c>
      <c r="C117" s="101" t="s">
        <v>6547</v>
      </c>
      <c r="D117" s="101" t="s">
        <v>6547</v>
      </c>
      <c r="E117" s="101" t="s">
        <v>6444</v>
      </c>
      <c r="F117" s="28">
        <v>2</v>
      </c>
      <c r="G117" s="28">
        <v>0.6</v>
      </c>
      <c r="H117" s="28">
        <f t="shared" ref="H117:H121" si="56">+F117*1.4</f>
        <v>2.8</v>
      </c>
      <c r="I117" s="28">
        <v>1</v>
      </c>
      <c r="J117" s="28">
        <v>0</v>
      </c>
      <c r="K117" s="28">
        <v>0</v>
      </c>
      <c r="L117" s="28">
        <v>1600</v>
      </c>
      <c r="M117" s="29">
        <v>1660</v>
      </c>
      <c r="N117" s="29">
        <v>1860</v>
      </c>
      <c r="O117" s="28">
        <f>M117*0.9</f>
        <v>1494</v>
      </c>
      <c r="P117" s="28">
        <v>14</v>
      </c>
      <c r="Q117" s="29">
        <f t="shared" si="54"/>
        <v>448</v>
      </c>
      <c r="R117" s="103">
        <v>1.2</v>
      </c>
      <c r="S117" s="32" t="s">
        <v>6441</v>
      </c>
      <c r="T117" s="104" t="str">
        <f t="shared" ref="T117:T138" si="57">+IF(D117="-","",IF(J117=0,"temporärer ","permanter ")&amp;D117&amp;"-Anker "&amp;IF(F117&gt;1,F117&amp;"x","")&amp;G117&amp;S117&amp;" S"&amp;M117&amp;"/"&amp;N117&amp;IF(J117&gt;0,IF(K117=1," einfacher "," doppelter ")&amp;"Korrosionschutz",""))</f>
        <v>temporärer Litzen-Anker 2x0,6" S1660/1860</v>
      </c>
      <c r="U117" s="103" t="str">
        <f t="shared" ref="U117:U138" si="58">+IF(D117="-","",IF(J117=0,"temporary ","permanent ")&amp;E117&amp;"-Anchor "&amp;IF(F117&gt;1,F117&amp;"x","")&amp;G117&amp;S117&amp;" S"&amp;M117&amp;"/"&amp;N117&amp;IF(J117&gt;0,IF(K117=1," single "," double ")&amp;"corrosion protection",""))</f>
        <v>temporary multiple strand-Anchor 2x0,6" S1660/1860</v>
      </c>
      <c r="V117" s="170" t="s">
        <v>9059</v>
      </c>
      <c r="W117" s="170" t="s">
        <v>9059</v>
      </c>
      <c r="X117" s="111" t="str">
        <f>+"St"&amp;M117&amp;"/"&amp;N117</f>
        <v>St1660/1860</v>
      </c>
      <c r="Y117" s="123">
        <v>202000000</v>
      </c>
      <c r="Z117" s="122">
        <f t="shared" si="55"/>
        <v>56560</v>
      </c>
      <c r="AA117" s="28"/>
      <c r="AB117" s="28"/>
      <c r="AC117" s="31"/>
      <c r="AD117" s="31"/>
    </row>
    <row r="118" spans="1:30" ht="15" customHeight="1" x14ac:dyDescent="0.2">
      <c r="A118" s="19">
        <f t="shared" si="35"/>
        <v>115</v>
      </c>
      <c r="B118" s="148" t="s">
        <v>9114</v>
      </c>
      <c r="C118" s="101" t="s">
        <v>6547</v>
      </c>
      <c r="D118" s="101" t="s">
        <v>6547</v>
      </c>
      <c r="E118" s="101" t="s">
        <v>6444</v>
      </c>
      <c r="F118" s="28">
        <v>3</v>
      </c>
      <c r="G118" s="28">
        <v>0.6</v>
      </c>
      <c r="H118" s="28">
        <f t="shared" si="56"/>
        <v>4.1999999999999993</v>
      </c>
      <c r="I118" s="28">
        <v>1</v>
      </c>
      <c r="J118" s="28">
        <v>0</v>
      </c>
      <c r="K118" s="28">
        <v>0</v>
      </c>
      <c r="L118" s="28">
        <v>1600</v>
      </c>
      <c r="M118" s="29">
        <v>1660</v>
      </c>
      <c r="N118" s="29">
        <v>1860</v>
      </c>
      <c r="O118" s="28">
        <f>M118*0.9</f>
        <v>1494</v>
      </c>
      <c r="P118" s="28">
        <v>14</v>
      </c>
      <c r="Q118" s="29">
        <f t="shared" si="54"/>
        <v>671.99999999999989</v>
      </c>
      <c r="R118" s="103">
        <v>1.2</v>
      </c>
      <c r="S118" s="32" t="s">
        <v>6441</v>
      </c>
      <c r="T118" s="104" t="str">
        <f t="shared" si="57"/>
        <v>temporärer Litzen-Anker 3x0,6" S1660/1860</v>
      </c>
      <c r="U118" s="103" t="str">
        <f t="shared" si="58"/>
        <v>temporary multiple strand-Anchor 3x0,6" S1660/1860</v>
      </c>
      <c r="V118" s="170" t="s">
        <v>9060</v>
      </c>
      <c r="W118" s="170" t="s">
        <v>9060</v>
      </c>
      <c r="X118" s="111" t="str">
        <f>+"St"&amp;M118&amp;"/"&amp;N118</f>
        <v>St1660/1860</v>
      </c>
      <c r="Y118" s="123">
        <v>202000000</v>
      </c>
      <c r="Z118" s="122">
        <f t="shared" si="55"/>
        <v>84839.999999999985</v>
      </c>
      <c r="AA118" s="28"/>
      <c r="AB118" s="28"/>
      <c r="AC118" s="31"/>
      <c r="AD118" s="31"/>
    </row>
    <row r="119" spans="1:30" ht="15" customHeight="1" x14ac:dyDescent="0.2">
      <c r="A119" s="19">
        <f t="shared" si="35"/>
        <v>116</v>
      </c>
      <c r="B119" s="148" t="s">
        <v>9115</v>
      </c>
      <c r="C119" s="101" t="s">
        <v>6547</v>
      </c>
      <c r="D119" s="101" t="s">
        <v>6547</v>
      </c>
      <c r="E119" s="101" t="s">
        <v>6444</v>
      </c>
      <c r="F119" s="28">
        <v>4</v>
      </c>
      <c r="G119" s="28">
        <v>0.6</v>
      </c>
      <c r="H119" s="28">
        <f t="shared" si="56"/>
        <v>5.6</v>
      </c>
      <c r="I119" s="28">
        <v>1</v>
      </c>
      <c r="J119" s="28">
        <v>0</v>
      </c>
      <c r="K119" s="28">
        <v>0</v>
      </c>
      <c r="L119" s="28">
        <v>1600</v>
      </c>
      <c r="M119" s="29">
        <v>1660</v>
      </c>
      <c r="N119" s="29">
        <v>1860</v>
      </c>
      <c r="O119" s="28">
        <f>M119*0.9</f>
        <v>1494</v>
      </c>
      <c r="P119" s="28">
        <v>14</v>
      </c>
      <c r="Q119" s="29">
        <f t="shared" si="54"/>
        <v>896</v>
      </c>
      <c r="R119" s="103">
        <v>1.2</v>
      </c>
      <c r="S119" s="32" t="s">
        <v>6441</v>
      </c>
      <c r="T119" s="104" t="str">
        <f t="shared" si="57"/>
        <v>temporärer Litzen-Anker 4x0,6" S1660/1860</v>
      </c>
      <c r="U119" s="103" t="str">
        <f t="shared" si="58"/>
        <v>temporary multiple strand-Anchor 4x0,6" S1660/1860</v>
      </c>
      <c r="V119" s="170" t="s">
        <v>9061</v>
      </c>
      <c r="W119" s="170" t="s">
        <v>9061</v>
      </c>
      <c r="X119" s="111" t="str">
        <f>+"St"&amp;M119&amp;"/"&amp;N119</f>
        <v>St1660/1860</v>
      </c>
      <c r="Y119" s="123">
        <v>202000000</v>
      </c>
      <c r="Z119" s="122">
        <f t="shared" si="55"/>
        <v>113120</v>
      </c>
      <c r="AA119" s="28"/>
      <c r="AB119" s="28"/>
      <c r="AC119" s="31"/>
      <c r="AD119" s="31"/>
    </row>
    <row r="120" spans="1:30" ht="15" customHeight="1" x14ac:dyDescent="0.2">
      <c r="A120" s="19">
        <f t="shared" si="35"/>
        <v>117</v>
      </c>
      <c r="B120" s="148" t="s">
        <v>9116</v>
      </c>
      <c r="C120" s="101" t="s">
        <v>6547</v>
      </c>
      <c r="D120" s="101" t="s">
        <v>6547</v>
      </c>
      <c r="E120" s="105" t="s">
        <v>6444</v>
      </c>
      <c r="F120" s="28">
        <v>5</v>
      </c>
      <c r="G120" s="28">
        <v>0.6</v>
      </c>
      <c r="H120" s="28">
        <f t="shared" si="56"/>
        <v>7</v>
      </c>
      <c r="I120" s="28">
        <v>1</v>
      </c>
      <c r="J120" s="28">
        <v>0</v>
      </c>
      <c r="K120" s="28">
        <v>0</v>
      </c>
      <c r="L120" s="28">
        <v>1600</v>
      </c>
      <c r="M120" s="29">
        <v>1660</v>
      </c>
      <c r="N120" s="29">
        <v>1860</v>
      </c>
      <c r="O120" s="28">
        <f>+M120*0.9</f>
        <v>1494</v>
      </c>
      <c r="P120" s="28">
        <v>14</v>
      </c>
      <c r="Q120" s="29">
        <f>+H120*L120/10</f>
        <v>1120</v>
      </c>
      <c r="R120" s="103">
        <v>1.2</v>
      </c>
      <c r="S120" s="32" t="s">
        <v>6441</v>
      </c>
      <c r="T120" s="104" t="str">
        <f t="shared" si="57"/>
        <v>temporärer Litzen-Anker 5x0,6" S1660/1860</v>
      </c>
      <c r="U120" s="103" t="str">
        <f t="shared" si="58"/>
        <v>temporary multiple strand-Anchor 5x0,6" S1660/1860</v>
      </c>
      <c r="V120" s="173" t="s">
        <v>5467</v>
      </c>
      <c r="W120" s="173" t="s">
        <v>5467</v>
      </c>
      <c r="X120" s="111" t="str">
        <f>+"St"&amp;M120&amp;"/"&amp;N120</f>
        <v>St1660/1860</v>
      </c>
      <c r="Y120" s="123">
        <v>202000000</v>
      </c>
      <c r="Z120" s="122">
        <f>+H120*Y120/100^2</f>
        <v>141400</v>
      </c>
      <c r="AA120" s="28"/>
      <c r="AB120" s="28"/>
      <c r="AC120" s="31"/>
      <c r="AD120" s="31"/>
    </row>
    <row r="121" spans="1:30" ht="15" customHeight="1" x14ac:dyDescent="0.2">
      <c r="A121" s="19">
        <f t="shared" si="35"/>
        <v>118</v>
      </c>
      <c r="B121" s="148" t="s">
        <v>9117</v>
      </c>
      <c r="C121" s="101" t="s">
        <v>6547</v>
      </c>
      <c r="D121" s="101" t="s">
        <v>6547</v>
      </c>
      <c r="E121" s="105" t="s">
        <v>6444</v>
      </c>
      <c r="F121" s="28">
        <v>6</v>
      </c>
      <c r="G121" s="28">
        <v>0.6</v>
      </c>
      <c r="H121" s="28">
        <f t="shared" si="56"/>
        <v>8.3999999999999986</v>
      </c>
      <c r="I121" s="28">
        <v>1</v>
      </c>
      <c r="J121" s="28">
        <v>0</v>
      </c>
      <c r="K121" s="28">
        <v>0</v>
      </c>
      <c r="L121" s="28">
        <v>1600</v>
      </c>
      <c r="M121" s="29">
        <v>1660</v>
      </c>
      <c r="N121" s="29">
        <v>1860</v>
      </c>
      <c r="O121" s="28">
        <f t="shared" ref="O121:O124" si="59">+M121*0.9</f>
        <v>1494</v>
      </c>
      <c r="P121" s="28">
        <v>14</v>
      </c>
      <c r="Q121" s="29">
        <f t="shared" ref="Q121:Q124" si="60">+H121*L121/10</f>
        <v>1343.9999999999998</v>
      </c>
      <c r="R121" s="103">
        <v>1.8</v>
      </c>
      <c r="S121" s="32" t="s">
        <v>6441</v>
      </c>
      <c r="T121" s="104" t="str">
        <f t="shared" si="57"/>
        <v>temporärer Litzen-Anker 6x0,6" S1660/1860</v>
      </c>
      <c r="U121" s="103" t="str">
        <f t="shared" si="58"/>
        <v>temporary multiple strand-Anchor 6x0,6" S1660/1860</v>
      </c>
      <c r="V121" s="173" t="s">
        <v>5468</v>
      </c>
      <c r="W121" s="173" t="s">
        <v>5468</v>
      </c>
      <c r="X121" s="111" t="str">
        <f t="shared" ref="X121:X137" si="61">+"St"&amp;M121&amp;"/"&amp;N121</f>
        <v>St1660/1860</v>
      </c>
      <c r="Y121" s="123">
        <v>202000000</v>
      </c>
      <c r="Z121" s="122">
        <f t="shared" ref="Z121:Z137" si="62">+H121*Y121/100^2</f>
        <v>169679.99999999997</v>
      </c>
      <c r="AA121" s="28"/>
      <c r="AB121" s="28"/>
      <c r="AC121" s="31"/>
      <c r="AD121" s="31"/>
    </row>
    <row r="122" spans="1:30" ht="15" customHeight="1" x14ac:dyDescent="0.2">
      <c r="A122" s="19">
        <f t="shared" si="35"/>
        <v>119</v>
      </c>
      <c r="B122" s="148" t="s">
        <v>9118</v>
      </c>
      <c r="C122" s="101" t="s">
        <v>6547</v>
      </c>
      <c r="D122" s="101" t="s">
        <v>6547</v>
      </c>
      <c r="E122" s="105" t="s">
        <v>6444</v>
      </c>
      <c r="F122" s="28">
        <v>7</v>
      </c>
      <c r="G122" s="28">
        <v>0.6</v>
      </c>
      <c r="H122" s="28">
        <f t="shared" ref="H122:H138" si="63">+F122*1.4</f>
        <v>9.7999999999999989</v>
      </c>
      <c r="I122" s="28">
        <v>1</v>
      </c>
      <c r="J122" s="28">
        <v>0</v>
      </c>
      <c r="K122" s="28">
        <v>0</v>
      </c>
      <c r="L122" s="28">
        <v>1600</v>
      </c>
      <c r="M122" s="29">
        <v>1660</v>
      </c>
      <c r="N122" s="29">
        <v>1860</v>
      </c>
      <c r="O122" s="28">
        <f t="shared" si="59"/>
        <v>1494</v>
      </c>
      <c r="P122" s="28">
        <v>14</v>
      </c>
      <c r="Q122" s="29">
        <f t="shared" si="60"/>
        <v>1567.9999999999998</v>
      </c>
      <c r="R122" s="103">
        <v>1.8</v>
      </c>
      <c r="S122" s="32" t="s">
        <v>6441</v>
      </c>
      <c r="T122" s="104" t="str">
        <f t="shared" si="57"/>
        <v>temporärer Litzen-Anker 7x0,6" S1660/1860</v>
      </c>
      <c r="U122" s="103" t="str">
        <f t="shared" si="58"/>
        <v>temporary multiple strand-Anchor 7x0,6" S1660/1860</v>
      </c>
      <c r="V122" s="173" t="s">
        <v>5469</v>
      </c>
      <c r="W122" s="173" t="s">
        <v>5469</v>
      </c>
      <c r="X122" s="111" t="str">
        <f t="shared" si="61"/>
        <v>St1660/1860</v>
      </c>
      <c r="Y122" s="123">
        <v>202000000</v>
      </c>
      <c r="Z122" s="122">
        <f t="shared" si="62"/>
        <v>197959.99999999997</v>
      </c>
      <c r="AA122" s="28"/>
      <c r="AB122" s="28"/>
      <c r="AC122" s="31"/>
      <c r="AD122" s="31"/>
    </row>
    <row r="123" spans="1:30" ht="15" customHeight="1" x14ac:dyDescent="0.2">
      <c r="A123" s="19">
        <f t="shared" si="35"/>
        <v>120</v>
      </c>
      <c r="B123" s="148" t="s">
        <v>9119</v>
      </c>
      <c r="C123" s="101" t="s">
        <v>6547</v>
      </c>
      <c r="D123" s="101" t="s">
        <v>6547</v>
      </c>
      <c r="E123" s="105" t="s">
        <v>6444</v>
      </c>
      <c r="F123" s="28">
        <v>8</v>
      </c>
      <c r="G123" s="28">
        <v>0.6</v>
      </c>
      <c r="H123" s="28">
        <f t="shared" si="63"/>
        <v>11.2</v>
      </c>
      <c r="I123" s="28">
        <v>1</v>
      </c>
      <c r="J123" s="28">
        <v>0</v>
      </c>
      <c r="K123" s="28">
        <v>0</v>
      </c>
      <c r="L123" s="28">
        <v>1600</v>
      </c>
      <c r="M123" s="29">
        <v>1660</v>
      </c>
      <c r="N123" s="29">
        <v>1860</v>
      </c>
      <c r="O123" s="28">
        <f t="shared" si="59"/>
        <v>1494</v>
      </c>
      <c r="P123" s="28">
        <v>14</v>
      </c>
      <c r="Q123" s="29">
        <f t="shared" si="60"/>
        <v>1792</v>
      </c>
      <c r="R123" s="103">
        <v>1.8</v>
      </c>
      <c r="S123" s="32" t="s">
        <v>6441</v>
      </c>
      <c r="T123" s="104" t="str">
        <f t="shared" si="57"/>
        <v>temporärer Litzen-Anker 8x0,6" S1660/1860</v>
      </c>
      <c r="U123" s="103" t="str">
        <f t="shared" si="58"/>
        <v>temporary multiple strand-Anchor 8x0,6" S1660/1860</v>
      </c>
      <c r="V123" s="173" t="s">
        <v>5460</v>
      </c>
      <c r="W123" s="173" t="s">
        <v>5460</v>
      </c>
      <c r="X123" s="111" t="str">
        <f t="shared" si="61"/>
        <v>St1660/1860</v>
      </c>
      <c r="Y123" s="123">
        <v>202000000</v>
      </c>
      <c r="Z123" s="122">
        <f t="shared" si="62"/>
        <v>226240</v>
      </c>
      <c r="AA123" s="28"/>
      <c r="AB123" s="28"/>
      <c r="AC123" s="31"/>
      <c r="AD123" s="31"/>
    </row>
    <row r="124" spans="1:30" ht="15" customHeight="1" x14ac:dyDescent="0.2">
      <c r="A124" s="19">
        <f t="shared" si="35"/>
        <v>121</v>
      </c>
      <c r="B124" s="148" t="s">
        <v>9120</v>
      </c>
      <c r="C124" s="101" t="s">
        <v>6547</v>
      </c>
      <c r="D124" s="101" t="s">
        <v>6547</v>
      </c>
      <c r="E124" s="105" t="s">
        <v>6444</v>
      </c>
      <c r="F124" s="28">
        <f t="shared" ref="F124:F127" si="64">+F123+1</f>
        <v>9</v>
      </c>
      <c r="G124" s="28">
        <v>0.6</v>
      </c>
      <c r="H124" s="28">
        <f t="shared" si="63"/>
        <v>12.6</v>
      </c>
      <c r="I124" s="28">
        <v>1</v>
      </c>
      <c r="J124" s="28">
        <v>0</v>
      </c>
      <c r="K124" s="28">
        <v>0</v>
      </c>
      <c r="L124" s="28">
        <v>1600</v>
      </c>
      <c r="M124" s="29">
        <v>1660</v>
      </c>
      <c r="N124" s="29">
        <v>1860</v>
      </c>
      <c r="O124" s="28">
        <f t="shared" si="59"/>
        <v>1494</v>
      </c>
      <c r="P124" s="28">
        <v>14</v>
      </c>
      <c r="Q124" s="29">
        <f t="shared" si="60"/>
        <v>2016</v>
      </c>
      <c r="R124" s="103">
        <v>1.8</v>
      </c>
      <c r="S124" s="32" t="s">
        <v>6441</v>
      </c>
      <c r="T124" s="104" t="str">
        <f t="shared" si="57"/>
        <v>temporärer Litzen-Anker 9x0,6" S1660/1860</v>
      </c>
      <c r="U124" s="103" t="str">
        <f t="shared" si="58"/>
        <v>temporary multiple strand-Anchor 9x0,6" S1660/1860</v>
      </c>
      <c r="V124" s="173" t="s">
        <v>5461</v>
      </c>
      <c r="W124" s="173" t="s">
        <v>5461</v>
      </c>
      <c r="X124" s="111" t="str">
        <f t="shared" si="61"/>
        <v>St1660/1860</v>
      </c>
      <c r="Y124" s="123">
        <v>202000000</v>
      </c>
      <c r="Z124" s="122">
        <f t="shared" si="62"/>
        <v>254520</v>
      </c>
      <c r="AA124" s="28"/>
      <c r="AB124" s="28"/>
      <c r="AC124" s="31"/>
      <c r="AD124" s="31"/>
    </row>
    <row r="125" spans="1:30" ht="15" customHeight="1" x14ac:dyDescent="0.2">
      <c r="A125" s="19">
        <f t="shared" si="35"/>
        <v>122</v>
      </c>
      <c r="B125" s="148" t="s">
        <v>9121</v>
      </c>
      <c r="C125" s="101" t="s">
        <v>6547</v>
      </c>
      <c r="D125" s="101" t="s">
        <v>6547</v>
      </c>
      <c r="E125" s="105" t="s">
        <v>6444</v>
      </c>
      <c r="F125" s="28">
        <f t="shared" si="64"/>
        <v>10</v>
      </c>
      <c r="G125" s="28">
        <v>0.6</v>
      </c>
      <c r="H125" s="28">
        <f t="shared" si="63"/>
        <v>14</v>
      </c>
      <c r="I125" s="28">
        <v>1</v>
      </c>
      <c r="J125" s="28">
        <v>0</v>
      </c>
      <c r="K125" s="28">
        <v>0</v>
      </c>
      <c r="L125" s="28">
        <v>1600</v>
      </c>
      <c r="M125" s="29">
        <v>1660</v>
      </c>
      <c r="N125" s="29">
        <v>1860</v>
      </c>
      <c r="O125" s="28">
        <f>+M125*0.9</f>
        <v>1494</v>
      </c>
      <c r="P125" s="28">
        <v>14</v>
      </c>
      <c r="Q125" s="29">
        <f>+H125*L125/10</f>
        <v>2240</v>
      </c>
      <c r="R125" s="103">
        <v>1.8</v>
      </c>
      <c r="S125" s="32" t="s">
        <v>6441</v>
      </c>
      <c r="T125" s="104" t="str">
        <f t="shared" si="57"/>
        <v>temporärer Litzen-Anker 10x0,6" S1660/1860</v>
      </c>
      <c r="U125" s="103" t="str">
        <f t="shared" si="58"/>
        <v>temporary multiple strand-Anchor 10x0,6" S1660/1860</v>
      </c>
      <c r="V125" s="173" t="s">
        <v>5462</v>
      </c>
      <c r="W125" s="173" t="s">
        <v>5462</v>
      </c>
      <c r="X125" s="111" t="str">
        <f t="shared" si="61"/>
        <v>St1660/1860</v>
      </c>
      <c r="Y125" s="123">
        <v>202000000</v>
      </c>
      <c r="Z125" s="122">
        <f t="shared" si="62"/>
        <v>282800</v>
      </c>
      <c r="AA125" s="28"/>
      <c r="AB125" s="28"/>
      <c r="AC125" s="31"/>
      <c r="AD125" s="31"/>
    </row>
    <row r="126" spans="1:30" ht="15" customHeight="1" x14ac:dyDescent="0.2">
      <c r="A126" s="19">
        <f t="shared" si="35"/>
        <v>123</v>
      </c>
      <c r="B126" s="148" t="s">
        <v>9122</v>
      </c>
      <c r="C126" s="101" t="s">
        <v>6547</v>
      </c>
      <c r="D126" s="101" t="s">
        <v>6547</v>
      </c>
      <c r="E126" s="105" t="s">
        <v>6444</v>
      </c>
      <c r="F126" s="28">
        <f t="shared" si="64"/>
        <v>11</v>
      </c>
      <c r="G126" s="28">
        <v>0.6</v>
      </c>
      <c r="H126" s="28">
        <f t="shared" si="63"/>
        <v>15.399999999999999</v>
      </c>
      <c r="I126" s="28">
        <v>1</v>
      </c>
      <c r="J126" s="28">
        <v>0</v>
      </c>
      <c r="K126" s="28">
        <v>0</v>
      </c>
      <c r="L126" s="28">
        <v>1600</v>
      </c>
      <c r="M126" s="29">
        <v>1660</v>
      </c>
      <c r="N126" s="29">
        <v>1860</v>
      </c>
      <c r="O126" s="28">
        <f t="shared" ref="O126:O138" si="65">+M126*0.9</f>
        <v>1494</v>
      </c>
      <c r="P126" s="28">
        <v>14</v>
      </c>
      <c r="Q126" s="29">
        <f t="shared" ref="Q126:Q128" si="66">+H126*L126/10</f>
        <v>2463.9999999999995</v>
      </c>
      <c r="R126" s="103">
        <v>1.8</v>
      </c>
      <c r="S126" s="32" t="s">
        <v>6441</v>
      </c>
      <c r="T126" s="104" t="str">
        <f t="shared" si="57"/>
        <v>temporärer Litzen-Anker 11x0,6" S1660/1860</v>
      </c>
      <c r="U126" s="103" t="str">
        <f t="shared" si="58"/>
        <v>temporary multiple strand-Anchor 11x0,6" S1660/1860</v>
      </c>
      <c r="V126" s="173" t="s">
        <v>5463</v>
      </c>
      <c r="W126" s="173" t="s">
        <v>5463</v>
      </c>
      <c r="X126" s="111" t="str">
        <f t="shared" si="61"/>
        <v>St1660/1860</v>
      </c>
      <c r="Y126" s="123">
        <v>202000000</v>
      </c>
      <c r="Z126" s="122">
        <f t="shared" si="62"/>
        <v>311079.99999999994</v>
      </c>
      <c r="AA126" s="28"/>
      <c r="AB126" s="28"/>
      <c r="AC126" s="31"/>
      <c r="AD126" s="31"/>
    </row>
    <row r="127" spans="1:30" ht="15" customHeight="1" x14ac:dyDescent="0.2">
      <c r="A127" s="19">
        <f t="shared" si="35"/>
        <v>124</v>
      </c>
      <c r="B127" s="148" t="s">
        <v>9123</v>
      </c>
      <c r="C127" s="101" t="s">
        <v>6547</v>
      </c>
      <c r="D127" s="101" t="s">
        <v>6547</v>
      </c>
      <c r="E127" s="105" t="s">
        <v>6444</v>
      </c>
      <c r="F127" s="28">
        <f t="shared" si="64"/>
        <v>12</v>
      </c>
      <c r="G127" s="28">
        <v>0.6</v>
      </c>
      <c r="H127" s="28">
        <f t="shared" si="63"/>
        <v>16.799999999999997</v>
      </c>
      <c r="I127" s="28">
        <v>1</v>
      </c>
      <c r="J127" s="28">
        <v>0</v>
      </c>
      <c r="K127" s="28">
        <v>0</v>
      </c>
      <c r="L127" s="28">
        <v>1600</v>
      </c>
      <c r="M127" s="29">
        <v>1660</v>
      </c>
      <c r="N127" s="29">
        <v>1860</v>
      </c>
      <c r="O127" s="28">
        <f>+M127*0.9</f>
        <v>1494</v>
      </c>
      <c r="P127" s="28">
        <v>14</v>
      </c>
      <c r="Q127" s="29">
        <f t="shared" si="66"/>
        <v>2687.9999999999995</v>
      </c>
      <c r="R127" s="103">
        <v>1.8</v>
      </c>
      <c r="S127" s="32" t="s">
        <v>6441</v>
      </c>
      <c r="T127" s="104" t="str">
        <f t="shared" si="57"/>
        <v>temporärer Litzen-Anker 12x0,6" S1660/1860</v>
      </c>
      <c r="U127" s="103" t="str">
        <f t="shared" si="58"/>
        <v>temporary multiple strand-Anchor 12x0,6" S1660/1860</v>
      </c>
      <c r="V127" s="173" t="s">
        <v>9062</v>
      </c>
      <c r="W127" s="173" t="s">
        <v>9062</v>
      </c>
      <c r="X127" s="111" t="str">
        <f t="shared" si="61"/>
        <v>St1660/1860</v>
      </c>
      <c r="Y127" s="123">
        <v>202000000</v>
      </c>
      <c r="Z127" s="122">
        <f t="shared" si="62"/>
        <v>339359.99999999994</v>
      </c>
      <c r="AA127" s="28"/>
      <c r="AB127" s="28"/>
      <c r="AC127" s="31"/>
      <c r="AD127" s="31"/>
    </row>
    <row r="128" spans="1:30" ht="15" customHeight="1" x14ac:dyDescent="0.2">
      <c r="A128" s="19">
        <f t="shared" si="35"/>
        <v>125</v>
      </c>
      <c r="B128" s="148" t="s">
        <v>9124</v>
      </c>
      <c r="C128" s="101" t="s">
        <v>6547</v>
      </c>
      <c r="D128" s="101" t="s">
        <v>6547</v>
      </c>
      <c r="E128" s="105" t="s">
        <v>6444</v>
      </c>
      <c r="F128" s="28">
        <v>2</v>
      </c>
      <c r="G128" s="28">
        <v>0.6</v>
      </c>
      <c r="H128" s="28">
        <f t="shared" si="63"/>
        <v>2.8</v>
      </c>
      <c r="I128" s="28">
        <v>1</v>
      </c>
      <c r="J128" s="28">
        <v>1</v>
      </c>
      <c r="K128" s="28">
        <v>2</v>
      </c>
      <c r="L128" s="28">
        <v>1600</v>
      </c>
      <c r="M128" s="29">
        <v>1660</v>
      </c>
      <c r="N128" s="29">
        <v>1860</v>
      </c>
      <c r="O128" s="28">
        <f t="shared" si="65"/>
        <v>1494</v>
      </c>
      <c r="P128" s="28">
        <v>15</v>
      </c>
      <c r="Q128" s="29">
        <f t="shared" si="66"/>
        <v>448</v>
      </c>
      <c r="R128" s="103">
        <v>1.2</v>
      </c>
      <c r="S128" s="32" t="s">
        <v>6441</v>
      </c>
      <c r="T128" s="104" t="str">
        <f t="shared" si="57"/>
        <v>permanter Litzen-Anker 2x0,6" S1660/1860 doppelter Korrosionschutz</v>
      </c>
      <c r="U128" s="103" t="str">
        <f t="shared" si="58"/>
        <v>permanent multiple strand-Anchor 2x0,6" S1660/1860 double corrosion protection</v>
      </c>
      <c r="V128" s="173" t="s">
        <v>4630</v>
      </c>
      <c r="W128" s="103" t="s">
        <v>5563</v>
      </c>
      <c r="X128" s="111" t="str">
        <f t="shared" si="61"/>
        <v>St1660/1860</v>
      </c>
      <c r="Y128" s="123">
        <v>202000000</v>
      </c>
      <c r="Z128" s="122">
        <f t="shared" si="62"/>
        <v>56560</v>
      </c>
      <c r="AA128" s="28"/>
      <c r="AB128" s="28"/>
      <c r="AC128" s="31"/>
      <c r="AD128" s="31"/>
    </row>
    <row r="129" spans="1:30" ht="15" customHeight="1" x14ac:dyDescent="0.2">
      <c r="A129" s="19">
        <f t="shared" si="35"/>
        <v>126</v>
      </c>
      <c r="B129" s="148" t="s">
        <v>9125</v>
      </c>
      <c r="C129" s="101" t="s">
        <v>6547</v>
      </c>
      <c r="D129" s="101" t="s">
        <v>6547</v>
      </c>
      <c r="E129" s="105" t="s">
        <v>6444</v>
      </c>
      <c r="F129" s="28">
        <v>3</v>
      </c>
      <c r="G129" s="28">
        <v>0.6</v>
      </c>
      <c r="H129" s="28">
        <f t="shared" si="63"/>
        <v>4.1999999999999993</v>
      </c>
      <c r="I129" s="28">
        <v>1</v>
      </c>
      <c r="J129" s="28">
        <v>1</v>
      </c>
      <c r="K129" s="28">
        <v>2</v>
      </c>
      <c r="L129" s="28">
        <v>1600</v>
      </c>
      <c r="M129" s="29">
        <v>1660</v>
      </c>
      <c r="N129" s="29">
        <v>1860</v>
      </c>
      <c r="O129" s="28">
        <f t="shared" si="65"/>
        <v>1494</v>
      </c>
      <c r="P129" s="28">
        <v>15</v>
      </c>
      <c r="Q129" s="29">
        <f>+H129*L129/10</f>
        <v>671.99999999999989</v>
      </c>
      <c r="R129" s="103">
        <v>1.2</v>
      </c>
      <c r="S129" s="32" t="s">
        <v>6441</v>
      </c>
      <c r="T129" s="104" t="str">
        <f t="shared" si="57"/>
        <v>permanter Litzen-Anker 3x0,6" S1660/1860 doppelter Korrosionschutz</v>
      </c>
      <c r="U129" s="103" t="str">
        <f t="shared" si="58"/>
        <v>permanent multiple strand-Anchor 3x0,6" S1660/1860 double corrosion protection</v>
      </c>
      <c r="V129" s="104" t="s">
        <v>4631</v>
      </c>
      <c r="W129" s="103" t="s">
        <v>5564</v>
      </c>
      <c r="X129" s="111" t="str">
        <f t="shared" si="61"/>
        <v>St1660/1860</v>
      </c>
      <c r="Y129" s="123">
        <v>202000000</v>
      </c>
      <c r="Z129" s="122">
        <f t="shared" si="62"/>
        <v>84839.999999999985</v>
      </c>
      <c r="AA129" s="28"/>
      <c r="AB129" s="28"/>
      <c r="AC129" s="31"/>
      <c r="AD129" s="31"/>
    </row>
    <row r="130" spans="1:30" ht="15" customHeight="1" x14ac:dyDescent="0.2">
      <c r="A130" s="19">
        <f t="shared" si="35"/>
        <v>127</v>
      </c>
      <c r="B130" s="148" t="s">
        <v>9126</v>
      </c>
      <c r="C130" s="101" t="s">
        <v>6547</v>
      </c>
      <c r="D130" s="101" t="s">
        <v>6547</v>
      </c>
      <c r="E130" s="101" t="s">
        <v>6444</v>
      </c>
      <c r="F130" s="28">
        <v>4</v>
      </c>
      <c r="G130" s="28">
        <v>0.6</v>
      </c>
      <c r="H130" s="28">
        <f t="shared" si="63"/>
        <v>5.6</v>
      </c>
      <c r="I130" s="28">
        <v>1</v>
      </c>
      <c r="J130" s="28">
        <v>1</v>
      </c>
      <c r="K130" s="28">
        <v>2</v>
      </c>
      <c r="L130" s="28">
        <v>1600</v>
      </c>
      <c r="M130" s="29">
        <v>1660</v>
      </c>
      <c r="N130" s="29">
        <v>1860</v>
      </c>
      <c r="O130" s="28">
        <f t="shared" si="65"/>
        <v>1494</v>
      </c>
      <c r="P130" s="28">
        <v>15</v>
      </c>
      <c r="Q130" s="29">
        <f t="shared" ref="Q130:Q141" si="67">+H130*L130/10</f>
        <v>896</v>
      </c>
      <c r="R130" s="103">
        <v>1.2</v>
      </c>
      <c r="S130" s="32" t="s">
        <v>6441</v>
      </c>
      <c r="T130" s="104" t="str">
        <f t="shared" si="57"/>
        <v>permanter Litzen-Anker 4x0,6" S1660/1860 doppelter Korrosionschutz</v>
      </c>
      <c r="U130" s="103" t="str">
        <f t="shared" si="58"/>
        <v>permanent multiple strand-Anchor 4x0,6" S1660/1860 double corrosion protection</v>
      </c>
      <c r="V130" s="104" t="s">
        <v>4632</v>
      </c>
      <c r="W130" s="103" t="s">
        <v>5565</v>
      </c>
      <c r="X130" s="111" t="str">
        <f t="shared" si="61"/>
        <v>St1660/1860</v>
      </c>
      <c r="Y130" s="123">
        <v>202000000</v>
      </c>
      <c r="Z130" s="122">
        <f t="shared" si="62"/>
        <v>113120</v>
      </c>
      <c r="AA130" s="28"/>
      <c r="AB130" s="28"/>
      <c r="AC130" s="31"/>
      <c r="AD130" s="31"/>
    </row>
    <row r="131" spans="1:30" ht="15" customHeight="1" x14ac:dyDescent="0.2">
      <c r="A131" s="19">
        <f t="shared" si="35"/>
        <v>128</v>
      </c>
      <c r="B131" s="148" t="s">
        <v>9127</v>
      </c>
      <c r="C131" s="101" t="s">
        <v>6547</v>
      </c>
      <c r="D131" s="101" t="s">
        <v>6547</v>
      </c>
      <c r="E131" s="101" t="s">
        <v>6444</v>
      </c>
      <c r="F131" s="28">
        <v>5</v>
      </c>
      <c r="G131" s="28">
        <v>0.6</v>
      </c>
      <c r="H131" s="28">
        <f t="shared" si="63"/>
        <v>7</v>
      </c>
      <c r="I131" s="28">
        <v>1</v>
      </c>
      <c r="J131" s="28">
        <v>1</v>
      </c>
      <c r="K131" s="28">
        <v>2</v>
      </c>
      <c r="L131" s="28">
        <v>1600</v>
      </c>
      <c r="M131" s="29">
        <v>1660</v>
      </c>
      <c r="N131" s="29">
        <v>1860</v>
      </c>
      <c r="O131" s="28">
        <f t="shared" si="65"/>
        <v>1494</v>
      </c>
      <c r="P131" s="28">
        <v>15</v>
      </c>
      <c r="Q131" s="29">
        <f t="shared" si="67"/>
        <v>1120</v>
      </c>
      <c r="R131" s="103">
        <v>1.2</v>
      </c>
      <c r="S131" s="32" t="s">
        <v>6441</v>
      </c>
      <c r="T131" s="104" t="str">
        <f t="shared" si="57"/>
        <v>permanter Litzen-Anker 5x0,6" S1660/1860 doppelter Korrosionschutz</v>
      </c>
      <c r="U131" s="103" t="str">
        <f t="shared" si="58"/>
        <v>permanent multiple strand-Anchor 5x0,6" S1660/1860 double corrosion protection</v>
      </c>
      <c r="V131" s="104" t="s">
        <v>4633</v>
      </c>
      <c r="W131" s="103" t="s">
        <v>5566</v>
      </c>
      <c r="X131" s="111" t="str">
        <f t="shared" si="61"/>
        <v>St1660/1860</v>
      </c>
      <c r="Y131" s="123">
        <v>202000000</v>
      </c>
      <c r="Z131" s="122">
        <f t="shared" si="62"/>
        <v>141400</v>
      </c>
      <c r="AA131" s="28"/>
      <c r="AB131" s="28"/>
      <c r="AC131" s="31"/>
      <c r="AD131" s="31"/>
    </row>
    <row r="132" spans="1:30" ht="15" customHeight="1" x14ac:dyDescent="0.2">
      <c r="A132" s="19">
        <f t="shared" si="35"/>
        <v>129</v>
      </c>
      <c r="B132" s="148" t="s">
        <v>9128</v>
      </c>
      <c r="C132" s="101" t="s">
        <v>6547</v>
      </c>
      <c r="D132" s="101" t="s">
        <v>6547</v>
      </c>
      <c r="E132" s="101" t="s">
        <v>6444</v>
      </c>
      <c r="F132" s="28">
        <v>6</v>
      </c>
      <c r="G132" s="28">
        <v>0.6</v>
      </c>
      <c r="H132" s="28">
        <f t="shared" si="63"/>
        <v>8.3999999999999986</v>
      </c>
      <c r="I132" s="28">
        <v>1</v>
      </c>
      <c r="J132" s="28">
        <v>1</v>
      </c>
      <c r="K132" s="28">
        <v>2</v>
      </c>
      <c r="L132" s="28">
        <v>1600</v>
      </c>
      <c r="M132" s="29">
        <v>1660</v>
      </c>
      <c r="N132" s="29">
        <v>1860</v>
      </c>
      <c r="O132" s="28">
        <f t="shared" si="65"/>
        <v>1494</v>
      </c>
      <c r="P132" s="28">
        <v>15</v>
      </c>
      <c r="Q132" s="29">
        <f t="shared" si="67"/>
        <v>1343.9999999999998</v>
      </c>
      <c r="R132" s="103">
        <v>1.8</v>
      </c>
      <c r="S132" s="32" t="s">
        <v>6441</v>
      </c>
      <c r="T132" s="104" t="str">
        <f t="shared" si="57"/>
        <v>permanter Litzen-Anker 6x0,6" S1660/1860 doppelter Korrosionschutz</v>
      </c>
      <c r="U132" s="103" t="str">
        <f t="shared" si="58"/>
        <v>permanent multiple strand-Anchor 6x0,6" S1660/1860 double corrosion protection</v>
      </c>
      <c r="V132" s="104" t="s">
        <v>5097</v>
      </c>
      <c r="W132" s="103" t="s">
        <v>5567</v>
      </c>
      <c r="X132" s="111" t="str">
        <f t="shared" si="61"/>
        <v>St1660/1860</v>
      </c>
      <c r="Y132" s="123">
        <v>202000000</v>
      </c>
      <c r="Z132" s="122">
        <f t="shared" si="62"/>
        <v>169679.99999999997</v>
      </c>
      <c r="AA132" s="28"/>
      <c r="AB132" s="28"/>
      <c r="AC132" s="31"/>
      <c r="AD132" s="31"/>
    </row>
    <row r="133" spans="1:30" ht="15" customHeight="1" x14ac:dyDescent="0.2">
      <c r="A133" s="19">
        <f t="shared" si="35"/>
        <v>130</v>
      </c>
      <c r="B133" s="148" t="s">
        <v>9129</v>
      </c>
      <c r="C133" s="101" t="s">
        <v>6547</v>
      </c>
      <c r="D133" s="101" t="s">
        <v>6547</v>
      </c>
      <c r="E133" s="105" t="s">
        <v>6444</v>
      </c>
      <c r="F133" s="28">
        <v>7</v>
      </c>
      <c r="G133" s="28">
        <v>0.6</v>
      </c>
      <c r="H133" s="28">
        <f t="shared" si="63"/>
        <v>9.7999999999999989</v>
      </c>
      <c r="I133" s="28">
        <v>1</v>
      </c>
      <c r="J133" s="28">
        <v>1</v>
      </c>
      <c r="K133" s="28">
        <v>2</v>
      </c>
      <c r="L133" s="28">
        <v>1600</v>
      </c>
      <c r="M133" s="29">
        <v>1660</v>
      </c>
      <c r="N133" s="29">
        <v>1860</v>
      </c>
      <c r="O133" s="28">
        <f t="shared" si="65"/>
        <v>1494</v>
      </c>
      <c r="P133" s="28">
        <v>15</v>
      </c>
      <c r="Q133" s="29">
        <f t="shared" si="67"/>
        <v>1567.9999999999998</v>
      </c>
      <c r="R133" s="103">
        <v>1.8</v>
      </c>
      <c r="S133" s="32" t="s">
        <v>6441</v>
      </c>
      <c r="T133" s="104" t="str">
        <f t="shared" si="57"/>
        <v>permanter Litzen-Anker 7x0,6" S1660/1860 doppelter Korrosionschutz</v>
      </c>
      <c r="U133" s="103" t="str">
        <f t="shared" si="58"/>
        <v>permanent multiple strand-Anchor 7x0,6" S1660/1860 double corrosion protection</v>
      </c>
      <c r="V133" s="104" t="s">
        <v>5098</v>
      </c>
      <c r="W133" s="103" t="s">
        <v>5568</v>
      </c>
      <c r="X133" s="111" t="str">
        <f t="shared" si="61"/>
        <v>St1660/1860</v>
      </c>
      <c r="Y133" s="123">
        <v>202000000</v>
      </c>
      <c r="Z133" s="122">
        <f t="shared" si="62"/>
        <v>197959.99999999997</v>
      </c>
      <c r="AA133" s="28"/>
      <c r="AB133" s="28"/>
      <c r="AC133" s="31"/>
      <c r="AD133" s="31"/>
    </row>
    <row r="134" spans="1:30" ht="15" customHeight="1" x14ac:dyDescent="0.2">
      <c r="A134" s="19">
        <f t="shared" ref="A134:A164" si="68">+A133+1</f>
        <v>131</v>
      </c>
      <c r="B134" s="148" t="s">
        <v>9130</v>
      </c>
      <c r="C134" s="101" t="s">
        <v>6547</v>
      </c>
      <c r="D134" s="101" t="s">
        <v>6547</v>
      </c>
      <c r="E134" s="105" t="s">
        <v>6444</v>
      </c>
      <c r="F134" s="28">
        <v>8</v>
      </c>
      <c r="G134" s="28">
        <v>0.6</v>
      </c>
      <c r="H134" s="28">
        <f t="shared" si="63"/>
        <v>11.2</v>
      </c>
      <c r="I134" s="28">
        <v>1</v>
      </c>
      <c r="J134" s="28">
        <v>1</v>
      </c>
      <c r="K134" s="28">
        <v>2</v>
      </c>
      <c r="L134" s="28">
        <v>1600</v>
      </c>
      <c r="M134" s="29">
        <v>1660</v>
      </c>
      <c r="N134" s="29">
        <v>1860</v>
      </c>
      <c r="O134" s="28">
        <f t="shared" si="65"/>
        <v>1494</v>
      </c>
      <c r="P134" s="28">
        <v>15</v>
      </c>
      <c r="Q134" s="29">
        <f t="shared" si="67"/>
        <v>1792</v>
      </c>
      <c r="R134" s="103">
        <v>1.8</v>
      </c>
      <c r="S134" s="32" t="s">
        <v>6441</v>
      </c>
      <c r="T134" s="104" t="str">
        <f t="shared" si="57"/>
        <v>permanter Litzen-Anker 8x0,6" S1660/1860 doppelter Korrosionschutz</v>
      </c>
      <c r="U134" s="103" t="str">
        <f t="shared" si="58"/>
        <v>permanent multiple strand-Anchor 8x0,6" S1660/1860 double corrosion protection</v>
      </c>
      <c r="V134" s="104" t="s">
        <v>5099</v>
      </c>
      <c r="W134" s="103" t="s">
        <v>5569</v>
      </c>
      <c r="X134" s="111" t="str">
        <f t="shared" si="61"/>
        <v>St1660/1860</v>
      </c>
      <c r="Y134" s="123">
        <v>202000000</v>
      </c>
      <c r="Z134" s="122">
        <f t="shared" si="62"/>
        <v>226240</v>
      </c>
      <c r="AA134" s="28"/>
      <c r="AB134" s="28"/>
      <c r="AC134" s="31"/>
      <c r="AD134" s="31"/>
    </row>
    <row r="135" spans="1:30" ht="15" customHeight="1" x14ac:dyDescent="0.2">
      <c r="A135" s="19">
        <f t="shared" si="68"/>
        <v>132</v>
      </c>
      <c r="B135" s="148" t="s">
        <v>9131</v>
      </c>
      <c r="C135" s="101" t="s">
        <v>6547</v>
      </c>
      <c r="D135" s="101" t="s">
        <v>6547</v>
      </c>
      <c r="E135" s="105" t="s">
        <v>6444</v>
      </c>
      <c r="F135" s="28">
        <v>9</v>
      </c>
      <c r="G135" s="28">
        <v>0.6</v>
      </c>
      <c r="H135" s="28">
        <f t="shared" si="63"/>
        <v>12.6</v>
      </c>
      <c r="I135" s="28">
        <v>1</v>
      </c>
      <c r="J135" s="28">
        <v>1</v>
      </c>
      <c r="K135" s="28">
        <v>2</v>
      </c>
      <c r="L135" s="28">
        <v>1600</v>
      </c>
      <c r="M135" s="29">
        <v>1660</v>
      </c>
      <c r="N135" s="29">
        <v>1860</v>
      </c>
      <c r="O135" s="28">
        <f t="shared" si="65"/>
        <v>1494</v>
      </c>
      <c r="P135" s="28">
        <v>15</v>
      </c>
      <c r="Q135" s="29">
        <f t="shared" si="67"/>
        <v>2016</v>
      </c>
      <c r="R135" s="103">
        <v>1.8</v>
      </c>
      <c r="S135" s="32" t="s">
        <v>6441</v>
      </c>
      <c r="T135" s="104" t="str">
        <f t="shared" si="57"/>
        <v>permanter Litzen-Anker 9x0,6" S1660/1860 doppelter Korrosionschutz</v>
      </c>
      <c r="U135" s="103" t="str">
        <f t="shared" si="58"/>
        <v>permanent multiple strand-Anchor 9x0,6" S1660/1860 double corrosion protection</v>
      </c>
      <c r="V135" s="104" t="s">
        <v>5100</v>
      </c>
      <c r="W135" s="103" t="s">
        <v>5570</v>
      </c>
      <c r="X135" s="111" t="str">
        <f t="shared" si="61"/>
        <v>St1660/1860</v>
      </c>
      <c r="Y135" s="123">
        <v>202000000</v>
      </c>
      <c r="Z135" s="122">
        <f t="shared" si="62"/>
        <v>254520</v>
      </c>
      <c r="AA135" s="28"/>
      <c r="AB135" s="28"/>
      <c r="AC135" s="31"/>
      <c r="AD135" s="31"/>
    </row>
    <row r="136" spans="1:30" ht="15" customHeight="1" x14ac:dyDescent="0.2">
      <c r="A136" s="19">
        <f t="shared" si="68"/>
        <v>133</v>
      </c>
      <c r="B136" s="148" t="s">
        <v>9132</v>
      </c>
      <c r="C136" s="101" t="s">
        <v>6547</v>
      </c>
      <c r="D136" s="101" t="s">
        <v>6547</v>
      </c>
      <c r="E136" s="105" t="s">
        <v>6444</v>
      </c>
      <c r="F136" s="28">
        <v>10</v>
      </c>
      <c r="G136" s="28">
        <v>0.6</v>
      </c>
      <c r="H136" s="28">
        <f t="shared" si="63"/>
        <v>14</v>
      </c>
      <c r="I136" s="28">
        <v>1</v>
      </c>
      <c r="J136" s="28">
        <v>1</v>
      </c>
      <c r="K136" s="28">
        <v>2</v>
      </c>
      <c r="L136" s="28">
        <v>1600</v>
      </c>
      <c r="M136" s="29">
        <v>1660</v>
      </c>
      <c r="N136" s="29">
        <v>1860</v>
      </c>
      <c r="O136" s="28">
        <f t="shared" si="65"/>
        <v>1494</v>
      </c>
      <c r="P136" s="28">
        <v>15</v>
      </c>
      <c r="Q136" s="29">
        <f t="shared" si="67"/>
        <v>2240</v>
      </c>
      <c r="R136" s="103">
        <v>1.8</v>
      </c>
      <c r="S136" s="32" t="s">
        <v>6441</v>
      </c>
      <c r="T136" s="104" t="str">
        <f t="shared" si="57"/>
        <v>permanter Litzen-Anker 10x0,6" S1660/1860 doppelter Korrosionschutz</v>
      </c>
      <c r="U136" s="103" t="str">
        <f t="shared" si="58"/>
        <v>permanent multiple strand-Anchor 10x0,6" S1660/1860 double corrosion protection</v>
      </c>
      <c r="V136" s="104" t="s">
        <v>5101</v>
      </c>
      <c r="W136" s="103" t="s">
        <v>5571</v>
      </c>
      <c r="X136" s="111" t="str">
        <f t="shared" si="61"/>
        <v>St1660/1860</v>
      </c>
      <c r="Y136" s="123">
        <v>202000000</v>
      </c>
      <c r="Z136" s="122">
        <f t="shared" si="62"/>
        <v>282800</v>
      </c>
      <c r="AA136" s="28"/>
      <c r="AB136" s="28"/>
      <c r="AC136" s="31"/>
      <c r="AD136" s="31"/>
    </row>
    <row r="137" spans="1:30" ht="15" customHeight="1" x14ac:dyDescent="0.2">
      <c r="A137" s="19">
        <f t="shared" si="68"/>
        <v>134</v>
      </c>
      <c r="B137" s="148" t="s">
        <v>9133</v>
      </c>
      <c r="C137" s="101" t="s">
        <v>6547</v>
      </c>
      <c r="D137" s="101" t="s">
        <v>6547</v>
      </c>
      <c r="E137" s="105" t="s">
        <v>6444</v>
      </c>
      <c r="F137" s="28">
        <v>11</v>
      </c>
      <c r="G137" s="28">
        <v>0.6</v>
      </c>
      <c r="H137" s="28">
        <f t="shared" si="63"/>
        <v>15.399999999999999</v>
      </c>
      <c r="I137" s="28">
        <v>1</v>
      </c>
      <c r="J137" s="28">
        <v>1</v>
      </c>
      <c r="K137" s="28">
        <v>2</v>
      </c>
      <c r="L137" s="28">
        <v>1600</v>
      </c>
      <c r="M137" s="29">
        <v>1660</v>
      </c>
      <c r="N137" s="29">
        <v>1860</v>
      </c>
      <c r="O137" s="28">
        <f t="shared" si="65"/>
        <v>1494</v>
      </c>
      <c r="P137" s="28">
        <v>15</v>
      </c>
      <c r="Q137" s="29">
        <f t="shared" si="67"/>
        <v>2463.9999999999995</v>
      </c>
      <c r="R137" s="103">
        <v>1.8</v>
      </c>
      <c r="S137" s="32" t="s">
        <v>6441</v>
      </c>
      <c r="T137" s="104" t="str">
        <f t="shared" si="57"/>
        <v>permanter Litzen-Anker 11x0,6" S1660/1860 doppelter Korrosionschutz</v>
      </c>
      <c r="U137" s="103" t="str">
        <f t="shared" si="58"/>
        <v>permanent multiple strand-Anchor 11x0,6" S1660/1860 double corrosion protection</v>
      </c>
      <c r="V137" s="104" t="s">
        <v>5102</v>
      </c>
      <c r="W137" s="103" t="s">
        <v>5572</v>
      </c>
      <c r="X137" s="111" t="str">
        <f t="shared" si="61"/>
        <v>St1660/1860</v>
      </c>
      <c r="Y137" s="123">
        <v>202000000</v>
      </c>
      <c r="Z137" s="122">
        <f t="shared" si="62"/>
        <v>311079.99999999994</v>
      </c>
      <c r="AA137" s="28"/>
      <c r="AB137" s="28"/>
      <c r="AC137" s="31"/>
      <c r="AD137" s="31"/>
    </row>
    <row r="138" spans="1:30" ht="15" customHeight="1" x14ac:dyDescent="0.2">
      <c r="A138" s="19">
        <f t="shared" si="68"/>
        <v>135</v>
      </c>
      <c r="B138" s="148" t="s">
        <v>9134</v>
      </c>
      <c r="C138" s="101" t="s">
        <v>6547</v>
      </c>
      <c r="D138" s="101" t="s">
        <v>6547</v>
      </c>
      <c r="E138" s="105" t="s">
        <v>6444</v>
      </c>
      <c r="F138" s="28">
        <v>12</v>
      </c>
      <c r="G138" s="28">
        <v>0.6</v>
      </c>
      <c r="H138" s="28">
        <f t="shared" si="63"/>
        <v>16.799999999999997</v>
      </c>
      <c r="I138" s="28">
        <v>1</v>
      </c>
      <c r="J138" s="28">
        <v>1</v>
      </c>
      <c r="K138" s="28">
        <v>2</v>
      </c>
      <c r="L138" s="28">
        <v>1600</v>
      </c>
      <c r="M138" s="29">
        <v>1660</v>
      </c>
      <c r="N138" s="29">
        <v>1860</v>
      </c>
      <c r="O138" s="28">
        <f t="shared" si="65"/>
        <v>1494</v>
      </c>
      <c r="P138" s="28">
        <v>15</v>
      </c>
      <c r="Q138" s="29">
        <f t="shared" si="67"/>
        <v>2687.9999999999995</v>
      </c>
      <c r="R138" s="103">
        <v>1.8</v>
      </c>
      <c r="S138" s="32" t="s">
        <v>6441</v>
      </c>
      <c r="T138" s="104" t="str">
        <f t="shared" si="57"/>
        <v>permanter Litzen-Anker 12x0,6" S1660/1860 doppelter Korrosionschutz</v>
      </c>
      <c r="U138" s="103" t="str">
        <f t="shared" si="58"/>
        <v>permanent multiple strand-Anchor 12x0,6" S1660/1860 double corrosion protection</v>
      </c>
      <c r="V138" s="173" t="s">
        <v>9063</v>
      </c>
      <c r="W138" s="174" t="s">
        <v>9064</v>
      </c>
      <c r="X138" s="111" t="str">
        <f t="shared" ref="X138" si="69">+"St"&amp;M138&amp;"/"&amp;N138</f>
        <v>St1660/1860</v>
      </c>
      <c r="Y138" s="123">
        <v>202000001</v>
      </c>
      <c r="Z138" s="122">
        <f t="shared" ref="Z138:Z141" si="70">+H138*Y138/100^2</f>
        <v>339360.00167999993</v>
      </c>
      <c r="AA138" s="28"/>
      <c r="AB138" s="28"/>
      <c r="AC138" s="31"/>
      <c r="AD138" s="31"/>
    </row>
    <row r="139" spans="1:30" ht="15" customHeight="1" x14ac:dyDescent="0.2">
      <c r="A139" s="19">
        <f t="shared" si="68"/>
        <v>136</v>
      </c>
      <c r="B139" s="148" t="s">
        <v>9092</v>
      </c>
      <c r="C139" s="101" t="s">
        <v>6547</v>
      </c>
      <c r="D139" s="101" t="s">
        <v>6547</v>
      </c>
      <c r="E139" s="101" t="s">
        <v>6444</v>
      </c>
      <c r="F139" s="28">
        <v>2</v>
      </c>
      <c r="G139" s="28">
        <v>0.62</v>
      </c>
      <c r="H139" s="28">
        <f>+F139*1.5</f>
        <v>3</v>
      </c>
      <c r="I139" s="28">
        <v>1</v>
      </c>
      <c r="J139" s="28">
        <v>0</v>
      </c>
      <c r="K139" s="28">
        <v>0</v>
      </c>
      <c r="L139" s="28">
        <v>1600</v>
      </c>
      <c r="M139" s="29">
        <v>1660</v>
      </c>
      <c r="N139" s="29">
        <v>1860</v>
      </c>
      <c r="O139" s="28">
        <f>M139*0.9</f>
        <v>1494</v>
      </c>
      <c r="P139" s="28">
        <v>16</v>
      </c>
      <c r="Q139" s="29">
        <f t="shared" si="67"/>
        <v>480</v>
      </c>
      <c r="R139" s="103">
        <v>1.2</v>
      </c>
      <c r="S139" s="32" t="s">
        <v>6441</v>
      </c>
      <c r="T139" s="104" t="str">
        <f t="shared" ref="T139:T160" si="71">+IF(D139="-","",IF(J139=0,"temporärer ","permanter ")&amp;D139&amp;"-Anker "&amp;IF(F139&gt;1,F139&amp;"x","")&amp;G139&amp;S139&amp;" S"&amp;M139&amp;"/"&amp;N139&amp;IF(J139&gt;0,IF(K139=1," einfacher "," doppelter ")&amp;"Korrosionschutz",""))</f>
        <v>temporärer Litzen-Anker 2x0,62" S1660/1860</v>
      </c>
      <c r="U139" s="103" t="str">
        <f t="shared" ref="U139:U160" si="72">+IF(D139="-","",IF(J139=0,"temporary ","permanent ")&amp;E139&amp;"-Anchor "&amp;IF(F139&gt;1,F139&amp;"x","")&amp;G139&amp;S139&amp;" S"&amp;M139&amp;"/"&amp;N139&amp;IF(J139&gt;0,IF(K139=1," single "," double ")&amp;"corrosion protection",""))</f>
        <v>temporary multiple strand-Anchor 2x0,62" S1660/1860</v>
      </c>
      <c r="V139" s="170" t="s">
        <v>9067</v>
      </c>
      <c r="W139" s="170" t="s">
        <v>9067</v>
      </c>
      <c r="X139" s="111" t="str">
        <f>+"St"&amp;M139&amp;"/"&amp;N139</f>
        <v>St1660/1860</v>
      </c>
      <c r="Y139" s="123">
        <v>202000000</v>
      </c>
      <c r="Z139" s="122">
        <f t="shared" si="70"/>
        <v>60600</v>
      </c>
      <c r="AA139" s="28"/>
      <c r="AB139" s="28"/>
      <c r="AC139" s="31"/>
      <c r="AD139" s="31"/>
    </row>
    <row r="140" spans="1:30" ht="15" customHeight="1" x14ac:dyDescent="0.2">
      <c r="A140" s="19">
        <f t="shared" si="68"/>
        <v>137</v>
      </c>
      <c r="B140" s="148" t="s">
        <v>9093</v>
      </c>
      <c r="C140" s="101" t="s">
        <v>6547</v>
      </c>
      <c r="D140" s="101" t="s">
        <v>6547</v>
      </c>
      <c r="E140" s="101" t="s">
        <v>6444</v>
      </c>
      <c r="F140" s="28">
        <v>3</v>
      </c>
      <c r="G140" s="28">
        <v>0.62</v>
      </c>
      <c r="H140" s="28">
        <f t="shared" ref="H140:H159" si="73">+F140*1.5</f>
        <v>4.5</v>
      </c>
      <c r="I140" s="28">
        <v>1</v>
      </c>
      <c r="J140" s="28">
        <v>0</v>
      </c>
      <c r="K140" s="28">
        <v>0</v>
      </c>
      <c r="L140" s="28">
        <v>1600</v>
      </c>
      <c r="M140" s="29">
        <v>1660</v>
      </c>
      <c r="N140" s="29">
        <v>1860</v>
      </c>
      <c r="O140" s="28">
        <f>M140*0.9</f>
        <v>1494</v>
      </c>
      <c r="P140" s="28">
        <v>16</v>
      </c>
      <c r="Q140" s="29">
        <f t="shared" si="67"/>
        <v>720</v>
      </c>
      <c r="R140" s="103">
        <v>1.2</v>
      </c>
      <c r="S140" s="32" t="s">
        <v>6441</v>
      </c>
      <c r="T140" s="104" t="str">
        <f t="shared" si="71"/>
        <v>temporärer Litzen-Anker 3x0,62" S1660/1860</v>
      </c>
      <c r="U140" s="103" t="str">
        <f t="shared" si="72"/>
        <v>temporary multiple strand-Anchor 3x0,62" S1660/1860</v>
      </c>
      <c r="V140" s="170" t="s">
        <v>9068</v>
      </c>
      <c r="W140" s="170" t="s">
        <v>9068</v>
      </c>
      <c r="X140" s="111" t="str">
        <f>+"St"&amp;M140&amp;"/"&amp;N140</f>
        <v>St1660/1860</v>
      </c>
      <c r="Y140" s="123">
        <v>202000000</v>
      </c>
      <c r="Z140" s="122">
        <f t="shared" si="70"/>
        <v>90900</v>
      </c>
      <c r="AA140" s="28"/>
      <c r="AB140" s="28"/>
      <c r="AC140" s="31"/>
      <c r="AD140" s="31"/>
    </row>
    <row r="141" spans="1:30" ht="15" customHeight="1" x14ac:dyDescent="0.2">
      <c r="A141" s="19">
        <f t="shared" si="68"/>
        <v>138</v>
      </c>
      <c r="B141" s="148" t="s">
        <v>9094</v>
      </c>
      <c r="C141" s="101" t="s">
        <v>6547</v>
      </c>
      <c r="D141" s="101" t="s">
        <v>6547</v>
      </c>
      <c r="E141" s="101" t="s">
        <v>6444</v>
      </c>
      <c r="F141" s="28">
        <v>4</v>
      </c>
      <c r="G141" s="28">
        <v>0.62</v>
      </c>
      <c r="H141" s="28">
        <f t="shared" si="73"/>
        <v>6</v>
      </c>
      <c r="I141" s="28">
        <v>1</v>
      </c>
      <c r="J141" s="28">
        <v>0</v>
      </c>
      <c r="K141" s="28">
        <v>0</v>
      </c>
      <c r="L141" s="28">
        <v>1600</v>
      </c>
      <c r="M141" s="29">
        <v>1660</v>
      </c>
      <c r="N141" s="29">
        <v>1860</v>
      </c>
      <c r="O141" s="28">
        <f>M141*0.9</f>
        <v>1494</v>
      </c>
      <c r="P141" s="28">
        <v>16</v>
      </c>
      <c r="Q141" s="29">
        <f t="shared" si="67"/>
        <v>960</v>
      </c>
      <c r="R141" s="103">
        <v>1.2</v>
      </c>
      <c r="S141" s="32" t="s">
        <v>6441</v>
      </c>
      <c r="T141" s="104" t="str">
        <f t="shared" si="71"/>
        <v>temporärer Litzen-Anker 4x0,62" S1660/1860</v>
      </c>
      <c r="U141" s="103" t="str">
        <f t="shared" si="72"/>
        <v>temporary multiple strand-Anchor 4x0,62" S1660/1860</v>
      </c>
      <c r="V141" s="170" t="s">
        <v>9069</v>
      </c>
      <c r="W141" s="170" t="s">
        <v>9069</v>
      </c>
      <c r="X141" s="111" t="str">
        <f>+"St"&amp;M141&amp;"/"&amp;N141</f>
        <v>St1660/1860</v>
      </c>
      <c r="Y141" s="123">
        <v>202000000</v>
      </c>
      <c r="Z141" s="122">
        <f t="shared" si="70"/>
        <v>121200</v>
      </c>
      <c r="AA141" s="28"/>
      <c r="AB141" s="28"/>
      <c r="AC141" s="31"/>
      <c r="AD141" s="31"/>
    </row>
    <row r="142" spans="1:30" ht="15" customHeight="1" x14ac:dyDescent="0.2">
      <c r="A142" s="19">
        <f t="shared" si="68"/>
        <v>139</v>
      </c>
      <c r="B142" s="148" t="s">
        <v>9095</v>
      </c>
      <c r="C142" s="101" t="s">
        <v>6547</v>
      </c>
      <c r="D142" s="101" t="s">
        <v>6547</v>
      </c>
      <c r="E142" s="105" t="s">
        <v>6444</v>
      </c>
      <c r="F142" s="28">
        <v>5</v>
      </c>
      <c r="G142" s="28">
        <v>0.62</v>
      </c>
      <c r="H142" s="28">
        <f t="shared" si="73"/>
        <v>7.5</v>
      </c>
      <c r="I142" s="28">
        <v>1</v>
      </c>
      <c r="J142" s="28">
        <v>0</v>
      </c>
      <c r="K142" s="28">
        <v>0</v>
      </c>
      <c r="L142" s="28">
        <v>1600</v>
      </c>
      <c r="M142" s="29">
        <v>1660</v>
      </c>
      <c r="N142" s="29">
        <v>1860</v>
      </c>
      <c r="O142" s="28">
        <f>+M142*0.9</f>
        <v>1494</v>
      </c>
      <c r="P142" s="28">
        <v>16</v>
      </c>
      <c r="Q142" s="29">
        <f>+H142*L142/10</f>
        <v>1200</v>
      </c>
      <c r="R142" s="103">
        <v>1.2</v>
      </c>
      <c r="S142" s="32" t="s">
        <v>6441</v>
      </c>
      <c r="T142" s="104" t="str">
        <f t="shared" si="71"/>
        <v>temporärer Litzen-Anker 5x0,62" S1660/1860</v>
      </c>
      <c r="U142" s="103" t="str">
        <f t="shared" si="72"/>
        <v>temporary multiple strand-Anchor 5x0,62" S1660/1860</v>
      </c>
      <c r="V142" s="173" t="s">
        <v>5410</v>
      </c>
      <c r="W142" s="173" t="s">
        <v>5410</v>
      </c>
      <c r="X142" s="111" t="str">
        <f>+"St"&amp;M142&amp;"/"&amp;N142</f>
        <v>St1660/1860</v>
      </c>
      <c r="Y142" s="123">
        <v>202000000</v>
      </c>
      <c r="Z142" s="122">
        <f>+H142*Y142/100^2</f>
        <v>151500</v>
      </c>
      <c r="AA142" s="28"/>
      <c r="AB142" s="28"/>
      <c r="AC142" s="31"/>
      <c r="AD142" s="31"/>
    </row>
    <row r="143" spans="1:30" ht="15" customHeight="1" x14ac:dyDescent="0.2">
      <c r="A143" s="19">
        <f t="shared" si="68"/>
        <v>140</v>
      </c>
      <c r="B143" s="148" t="s">
        <v>9096</v>
      </c>
      <c r="C143" s="101" t="s">
        <v>6547</v>
      </c>
      <c r="D143" s="101" t="s">
        <v>6547</v>
      </c>
      <c r="E143" s="105" t="s">
        <v>6444</v>
      </c>
      <c r="F143" s="28">
        <v>6</v>
      </c>
      <c r="G143" s="28">
        <v>0.62</v>
      </c>
      <c r="H143" s="28">
        <f t="shared" si="73"/>
        <v>9</v>
      </c>
      <c r="I143" s="28">
        <v>1</v>
      </c>
      <c r="J143" s="28">
        <v>0</v>
      </c>
      <c r="K143" s="28">
        <v>0</v>
      </c>
      <c r="L143" s="28">
        <v>1600</v>
      </c>
      <c r="M143" s="29">
        <v>1660</v>
      </c>
      <c r="N143" s="29">
        <v>1860</v>
      </c>
      <c r="O143" s="28">
        <f t="shared" ref="O143:O146" si="74">+M143*0.9</f>
        <v>1494</v>
      </c>
      <c r="P143" s="28">
        <v>16</v>
      </c>
      <c r="Q143" s="29">
        <f t="shared" ref="Q143:Q146" si="75">+H143*L143/10</f>
        <v>1440</v>
      </c>
      <c r="R143" s="103">
        <v>1.8</v>
      </c>
      <c r="S143" s="32" t="s">
        <v>6441</v>
      </c>
      <c r="T143" s="104" t="str">
        <f t="shared" si="71"/>
        <v>temporärer Litzen-Anker 6x0,62" S1660/1860</v>
      </c>
      <c r="U143" s="103" t="str">
        <f t="shared" si="72"/>
        <v>temporary multiple strand-Anchor 6x0,62" S1660/1860</v>
      </c>
      <c r="V143" s="173" t="s">
        <v>5411</v>
      </c>
      <c r="W143" s="173" t="s">
        <v>5411</v>
      </c>
      <c r="X143" s="111" t="str">
        <f t="shared" ref="X143:X160" si="76">+"St"&amp;M143&amp;"/"&amp;N143</f>
        <v>St1660/1860</v>
      </c>
      <c r="Y143" s="123">
        <v>202000000</v>
      </c>
      <c r="Z143" s="122">
        <f t="shared" ref="Z143:Z159" si="77">+H143*Y143/100^2</f>
        <v>181800</v>
      </c>
      <c r="AA143" s="28"/>
      <c r="AB143" s="28"/>
      <c r="AC143" s="31"/>
      <c r="AD143" s="31"/>
    </row>
    <row r="144" spans="1:30" ht="15" customHeight="1" x14ac:dyDescent="0.2">
      <c r="A144" s="19">
        <f t="shared" si="68"/>
        <v>141</v>
      </c>
      <c r="B144" s="148" t="s">
        <v>9097</v>
      </c>
      <c r="C144" s="101" t="s">
        <v>6547</v>
      </c>
      <c r="D144" s="101" t="s">
        <v>6547</v>
      </c>
      <c r="E144" s="105" t="s">
        <v>6444</v>
      </c>
      <c r="F144" s="28">
        <v>7</v>
      </c>
      <c r="G144" s="28">
        <v>0.62</v>
      </c>
      <c r="H144" s="28">
        <f t="shared" si="73"/>
        <v>10.5</v>
      </c>
      <c r="I144" s="28">
        <v>1</v>
      </c>
      <c r="J144" s="28">
        <v>0</v>
      </c>
      <c r="K144" s="28">
        <v>0</v>
      </c>
      <c r="L144" s="28">
        <v>1600</v>
      </c>
      <c r="M144" s="29">
        <v>1660</v>
      </c>
      <c r="N144" s="29">
        <v>1860</v>
      </c>
      <c r="O144" s="28">
        <f t="shared" si="74"/>
        <v>1494</v>
      </c>
      <c r="P144" s="28">
        <v>16</v>
      </c>
      <c r="Q144" s="29">
        <f t="shared" si="75"/>
        <v>1680</v>
      </c>
      <c r="R144" s="103">
        <v>1.8</v>
      </c>
      <c r="S144" s="32" t="s">
        <v>6441</v>
      </c>
      <c r="T144" s="104" t="str">
        <f t="shared" si="71"/>
        <v>temporärer Litzen-Anker 7x0,62" S1660/1860</v>
      </c>
      <c r="U144" s="103" t="str">
        <f t="shared" si="72"/>
        <v>temporary multiple strand-Anchor 7x0,62" S1660/1860</v>
      </c>
      <c r="V144" s="173" t="s">
        <v>5412</v>
      </c>
      <c r="W144" s="173" t="s">
        <v>5412</v>
      </c>
      <c r="X144" s="111" t="str">
        <f t="shared" si="76"/>
        <v>St1660/1860</v>
      </c>
      <c r="Y144" s="123">
        <v>202000000</v>
      </c>
      <c r="Z144" s="122">
        <f t="shared" si="77"/>
        <v>212100</v>
      </c>
      <c r="AA144" s="28"/>
      <c r="AB144" s="28"/>
      <c r="AC144" s="31"/>
      <c r="AD144" s="31"/>
    </row>
    <row r="145" spans="1:30" ht="15" customHeight="1" x14ac:dyDescent="0.2">
      <c r="A145" s="19">
        <f t="shared" si="68"/>
        <v>142</v>
      </c>
      <c r="B145" s="148" t="s">
        <v>9098</v>
      </c>
      <c r="C145" s="101" t="s">
        <v>6547</v>
      </c>
      <c r="D145" s="101" t="s">
        <v>6547</v>
      </c>
      <c r="E145" s="105" t="s">
        <v>6444</v>
      </c>
      <c r="F145" s="28">
        <v>8</v>
      </c>
      <c r="G145" s="28">
        <v>0.62</v>
      </c>
      <c r="H145" s="28">
        <f t="shared" si="73"/>
        <v>12</v>
      </c>
      <c r="I145" s="28">
        <v>1</v>
      </c>
      <c r="J145" s="28">
        <v>0</v>
      </c>
      <c r="K145" s="28">
        <v>0</v>
      </c>
      <c r="L145" s="28">
        <v>1600</v>
      </c>
      <c r="M145" s="29">
        <v>1660</v>
      </c>
      <c r="N145" s="29">
        <v>1860</v>
      </c>
      <c r="O145" s="28">
        <f t="shared" si="74"/>
        <v>1494</v>
      </c>
      <c r="P145" s="28">
        <v>16</v>
      </c>
      <c r="Q145" s="29">
        <f t="shared" si="75"/>
        <v>1920</v>
      </c>
      <c r="R145" s="103">
        <v>1.8</v>
      </c>
      <c r="S145" s="32" t="s">
        <v>6441</v>
      </c>
      <c r="T145" s="104" t="str">
        <f t="shared" si="71"/>
        <v>temporärer Litzen-Anker 8x0,62" S1660/1860</v>
      </c>
      <c r="U145" s="103" t="str">
        <f t="shared" si="72"/>
        <v>temporary multiple strand-Anchor 8x0,62" S1660/1860</v>
      </c>
      <c r="V145" s="173" t="s">
        <v>5413</v>
      </c>
      <c r="W145" s="173" t="s">
        <v>5413</v>
      </c>
      <c r="X145" s="111" t="str">
        <f t="shared" si="76"/>
        <v>St1660/1860</v>
      </c>
      <c r="Y145" s="123">
        <v>202000000</v>
      </c>
      <c r="Z145" s="122">
        <f t="shared" si="77"/>
        <v>242400</v>
      </c>
      <c r="AA145" s="28"/>
      <c r="AB145" s="28"/>
      <c r="AC145" s="31"/>
      <c r="AD145" s="31"/>
    </row>
    <row r="146" spans="1:30" ht="15" customHeight="1" x14ac:dyDescent="0.2">
      <c r="A146" s="19">
        <f t="shared" si="68"/>
        <v>143</v>
      </c>
      <c r="B146" s="148" t="s">
        <v>9099</v>
      </c>
      <c r="C146" s="101" t="s">
        <v>6547</v>
      </c>
      <c r="D146" s="101" t="s">
        <v>6547</v>
      </c>
      <c r="E146" s="105" t="s">
        <v>6444</v>
      </c>
      <c r="F146" s="28">
        <f t="shared" ref="F146:F149" si="78">+F145+1</f>
        <v>9</v>
      </c>
      <c r="G146" s="28">
        <v>0.62</v>
      </c>
      <c r="H146" s="28">
        <f t="shared" si="73"/>
        <v>13.5</v>
      </c>
      <c r="I146" s="28">
        <v>1</v>
      </c>
      <c r="J146" s="28">
        <v>0</v>
      </c>
      <c r="K146" s="28">
        <v>0</v>
      </c>
      <c r="L146" s="28">
        <v>1600</v>
      </c>
      <c r="M146" s="29">
        <v>1660</v>
      </c>
      <c r="N146" s="29">
        <v>1860</v>
      </c>
      <c r="O146" s="28">
        <f t="shared" si="74"/>
        <v>1494</v>
      </c>
      <c r="P146" s="28">
        <v>16</v>
      </c>
      <c r="Q146" s="29">
        <f t="shared" si="75"/>
        <v>2160</v>
      </c>
      <c r="R146" s="103">
        <v>1.8</v>
      </c>
      <c r="S146" s="32" t="s">
        <v>6441</v>
      </c>
      <c r="T146" s="104" t="str">
        <f t="shared" si="71"/>
        <v>temporärer Litzen-Anker 9x0,62" S1660/1860</v>
      </c>
      <c r="U146" s="103" t="str">
        <f t="shared" si="72"/>
        <v>temporary multiple strand-Anchor 9x0,62" S1660/1860</v>
      </c>
      <c r="V146" s="173" t="s">
        <v>5414</v>
      </c>
      <c r="W146" s="173" t="s">
        <v>5414</v>
      </c>
      <c r="X146" s="111" t="str">
        <f t="shared" si="76"/>
        <v>St1660/1860</v>
      </c>
      <c r="Y146" s="123">
        <v>202000000</v>
      </c>
      <c r="Z146" s="122">
        <f t="shared" si="77"/>
        <v>272700</v>
      </c>
      <c r="AA146" s="28"/>
      <c r="AB146" s="28"/>
      <c r="AC146" s="31"/>
      <c r="AD146" s="31"/>
    </row>
    <row r="147" spans="1:30" ht="15" customHeight="1" x14ac:dyDescent="0.2">
      <c r="A147" s="19">
        <f t="shared" si="68"/>
        <v>144</v>
      </c>
      <c r="B147" s="148" t="s">
        <v>9100</v>
      </c>
      <c r="C147" s="101" t="s">
        <v>6547</v>
      </c>
      <c r="D147" s="101" t="s">
        <v>6547</v>
      </c>
      <c r="E147" s="105" t="s">
        <v>6444</v>
      </c>
      <c r="F147" s="28">
        <f t="shared" si="78"/>
        <v>10</v>
      </c>
      <c r="G147" s="28">
        <v>0.62</v>
      </c>
      <c r="H147" s="28">
        <f t="shared" si="73"/>
        <v>15</v>
      </c>
      <c r="I147" s="28">
        <v>1</v>
      </c>
      <c r="J147" s="28">
        <v>0</v>
      </c>
      <c r="K147" s="28">
        <v>0</v>
      </c>
      <c r="L147" s="28">
        <v>1600</v>
      </c>
      <c r="M147" s="29">
        <v>1660</v>
      </c>
      <c r="N147" s="29">
        <v>1860</v>
      </c>
      <c r="O147" s="28">
        <f>+M147*0.9</f>
        <v>1494</v>
      </c>
      <c r="P147" s="28">
        <v>16</v>
      </c>
      <c r="Q147" s="29">
        <f>+H147*L147/10</f>
        <v>2400</v>
      </c>
      <c r="R147" s="103">
        <v>1.8</v>
      </c>
      <c r="S147" s="32" t="s">
        <v>6441</v>
      </c>
      <c r="T147" s="104" t="str">
        <f t="shared" si="71"/>
        <v>temporärer Litzen-Anker 10x0,62" S1660/1860</v>
      </c>
      <c r="U147" s="103" t="str">
        <f t="shared" si="72"/>
        <v>temporary multiple strand-Anchor 10x0,62" S1660/1860</v>
      </c>
      <c r="V147" s="173" t="s">
        <v>1069</v>
      </c>
      <c r="W147" s="173" t="s">
        <v>1069</v>
      </c>
      <c r="X147" s="111" t="str">
        <f t="shared" si="76"/>
        <v>St1660/1860</v>
      </c>
      <c r="Y147" s="123">
        <v>202000000</v>
      </c>
      <c r="Z147" s="122">
        <f t="shared" si="77"/>
        <v>303000</v>
      </c>
      <c r="AA147" s="28"/>
      <c r="AB147" s="28"/>
      <c r="AC147" s="31"/>
      <c r="AD147" s="31"/>
    </row>
    <row r="148" spans="1:30" ht="15" customHeight="1" x14ac:dyDescent="0.2">
      <c r="A148" s="19">
        <f t="shared" si="68"/>
        <v>145</v>
      </c>
      <c r="B148" s="148" t="s">
        <v>9101</v>
      </c>
      <c r="C148" s="101" t="s">
        <v>6547</v>
      </c>
      <c r="D148" s="101" t="s">
        <v>6547</v>
      </c>
      <c r="E148" s="105" t="s">
        <v>6444</v>
      </c>
      <c r="F148" s="28">
        <f t="shared" si="78"/>
        <v>11</v>
      </c>
      <c r="G148" s="28">
        <v>0.62</v>
      </c>
      <c r="H148" s="28">
        <f t="shared" si="73"/>
        <v>16.5</v>
      </c>
      <c r="I148" s="28">
        <v>1</v>
      </c>
      <c r="J148" s="28">
        <v>0</v>
      </c>
      <c r="K148" s="28">
        <v>0</v>
      </c>
      <c r="L148" s="28">
        <v>1600</v>
      </c>
      <c r="M148" s="29">
        <v>1660</v>
      </c>
      <c r="N148" s="29">
        <v>1860</v>
      </c>
      <c r="O148" s="28">
        <f t="shared" ref="O148" si="79">+M148*0.9</f>
        <v>1494</v>
      </c>
      <c r="P148" s="28">
        <v>16</v>
      </c>
      <c r="Q148" s="29">
        <f t="shared" ref="Q148:Q150" si="80">+H148*L148/10</f>
        <v>2640</v>
      </c>
      <c r="R148" s="103">
        <v>1.8</v>
      </c>
      <c r="S148" s="32" t="s">
        <v>6441</v>
      </c>
      <c r="T148" s="104" t="str">
        <f t="shared" si="71"/>
        <v>temporärer Litzen-Anker 11x0,62" S1660/1860</v>
      </c>
      <c r="U148" s="103" t="str">
        <f t="shared" si="72"/>
        <v>temporary multiple strand-Anchor 11x0,62" S1660/1860</v>
      </c>
      <c r="V148" s="173" t="s">
        <v>1070</v>
      </c>
      <c r="W148" s="173" t="s">
        <v>1070</v>
      </c>
      <c r="X148" s="111" t="str">
        <f t="shared" si="76"/>
        <v>St1660/1860</v>
      </c>
      <c r="Y148" s="123">
        <v>202000000</v>
      </c>
      <c r="Z148" s="122">
        <f t="shared" si="77"/>
        <v>333300</v>
      </c>
      <c r="AA148" s="28"/>
      <c r="AB148" s="28"/>
      <c r="AC148" s="31"/>
      <c r="AD148" s="31"/>
    </row>
    <row r="149" spans="1:30" ht="15" customHeight="1" x14ac:dyDescent="0.2">
      <c r="A149" s="19">
        <f t="shared" si="68"/>
        <v>146</v>
      </c>
      <c r="B149" s="148" t="s">
        <v>9102</v>
      </c>
      <c r="C149" s="101" t="s">
        <v>6547</v>
      </c>
      <c r="D149" s="101" t="s">
        <v>6547</v>
      </c>
      <c r="E149" s="105" t="s">
        <v>6444</v>
      </c>
      <c r="F149" s="28">
        <f t="shared" si="78"/>
        <v>12</v>
      </c>
      <c r="G149" s="28">
        <v>0.62</v>
      </c>
      <c r="H149" s="28">
        <f t="shared" si="73"/>
        <v>18</v>
      </c>
      <c r="I149" s="28">
        <v>1</v>
      </c>
      <c r="J149" s="28">
        <v>0</v>
      </c>
      <c r="K149" s="28">
        <v>0</v>
      </c>
      <c r="L149" s="28">
        <v>1600</v>
      </c>
      <c r="M149" s="29">
        <v>1660</v>
      </c>
      <c r="N149" s="29">
        <v>1860</v>
      </c>
      <c r="O149" s="28">
        <f>+M149*0.9</f>
        <v>1494</v>
      </c>
      <c r="P149" s="28">
        <v>16</v>
      </c>
      <c r="Q149" s="29">
        <f t="shared" si="80"/>
        <v>2880</v>
      </c>
      <c r="R149" s="103">
        <v>1.8</v>
      </c>
      <c r="S149" s="32" t="s">
        <v>6441</v>
      </c>
      <c r="T149" s="104" t="str">
        <f t="shared" si="71"/>
        <v>temporärer Litzen-Anker 12x0,62" S1660/1860</v>
      </c>
      <c r="U149" s="103" t="str">
        <f t="shared" si="72"/>
        <v>temporary multiple strand-Anchor 12x0,62" S1660/1860</v>
      </c>
      <c r="V149" s="173" t="s">
        <v>9070</v>
      </c>
      <c r="W149" s="173" t="s">
        <v>9070</v>
      </c>
      <c r="X149" s="111" t="str">
        <f t="shared" si="76"/>
        <v>St1660/1860</v>
      </c>
      <c r="Y149" s="123">
        <v>202000000</v>
      </c>
      <c r="Z149" s="122">
        <f t="shared" si="77"/>
        <v>363600</v>
      </c>
      <c r="AA149" s="28"/>
      <c r="AB149" s="28"/>
      <c r="AC149" s="31"/>
      <c r="AD149" s="31"/>
    </row>
    <row r="150" spans="1:30" ht="15" customHeight="1" x14ac:dyDescent="0.2">
      <c r="A150" s="19">
        <f t="shared" si="68"/>
        <v>147</v>
      </c>
      <c r="B150" s="148" t="s">
        <v>9103</v>
      </c>
      <c r="C150" s="101" t="s">
        <v>6547</v>
      </c>
      <c r="D150" s="101" t="s">
        <v>6547</v>
      </c>
      <c r="E150" s="105" t="s">
        <v>6444</v>
      </c>
      <c r="F150" s="28">
        <v>2</v>
      </c>
      <c r="G150" s="28">
        <v>0.62</v>
      </c>
      <c r="H150" s="28">
        <f t="shared" si="73"/>
        <v>3</v>
      </c>
      <c r="I150" s="28">
        <v>1</v>
      </c>
      <c r="J150" s="28">
        <v>1</v>
      </c>
      <c r="K150" s="28">
        <v>2</v>
      </c>
      <c r="L150" s="28">
        <v>1600</v>
      </c>
      <c r="M150" s="29">
        <v>1660</v>
      </c>
      <c r="N150" s="29">
        <v>1860</v>
      </c>
      <c r="O150" s="28">
        <f t="shared" ref="O150:O160" si="81">+M150*0.9</f>
        <v>1494</v>
      </c>
      <c r="P150" s="28">
        <v>17</v>
      </c>
      <c r="Q150" s="29">
        <f t="shared" si="80"/>
        <v>480</v>
      </c>
      <c r="R150" s="103">
        <v>1.2</v>
      </c>
      <c r="S150" s="32" t="s">
        <v>6441</v>
      </c>
      <c r="T150" s="104" t="str">
        <f t="shared" si="71"/>
        <v>permanter Litzen-Anker 2x0,62" S1660/1860 doppelter Korrosionschutz</v>
      </c>
      <c r="U150" s="103" t="str">
        <f t="shared" si="72"/>
        <v>permanent multiple strand-Anchor 2x0,62" S1660/1860 double corrosion protection</v>
      </c>
      <c r="V150" s="173" t="s">
        <v>9065</v>
      </c>
      <c r="W150" s="174" t="s">
        <v>9080</v>
      </c>
      <c r="X150" s="111" t="str">
        <f t="shared" si="76"/>
        <v>St1660/1860</v>
      </c>
      <c r="Y150" s="123">
        <v>202000000</v>
      </c>
      <c r="Z150" s="122">
        <f t="shared" si="77"/>
        <v>60600</v>
      </c>
      <c r="AA150" s="28"/>
      <c r="AB150" s="28"/>
      <c r="AC150" s="31"/>
      <c r="AD150" s="31"/>
    </row>
    <row r="151" spans="1:30" ht="15" customHeight="1" x14ac:dyDescent="0.2">
      <c r="A151" s="19">
        <f t="shared" si="68"/>
        <v>148</v>
      </c>
      <c r="B151" s="148" t="s">
        <v>9104</v>
      </c>
      <c r="C151" s="101" t="s">
        <v>6547</v>
      </c>
      <c r="D151" s="101" t="s">
        <v>6547</v>
      </c>
      <c r="E151" s="105" t="s">
        <v>6444</v>
      </c>
      <c r="F151" s="28">
        <v>3</v>
      </c>
      <c r="G151" s="28">
        <v>0.62</v>
      </c>
      <c r="H151" s="28">
        <f t="shared" si="73"/>
        <v>4.5</v>
      </c>
      <c r="I151" s="28">
        <v>1</v>
      </c>
      <c r="J151" s="28">
        <v>1</v>
      </c>
      <c r="K151" s="28">
        <v>2</v>
      </c>
      <c r="L151" s="28">
        <v>1600</v>
      </c>
      <c r="M151" s="29">
        <v>1660</v>
      </c>
      <c r="N151" s="29">
        <v>1860</v>
      </c>
      <c r="O151" s="28">
        <f t="shared" si="81"/>
        <v>1494</v>
      </c>
      <c r="P151" s="28">
        <v>17</v>
      </c>
      <c r="Q151" s="29">
        <f>+H151*L151/10</f>
        <v>720</v>
      </c>
      <c r="R151" s="103">
        <v>1.2</v>
      </c>
      <c r="S151" s="32" t="s">
        <v>6441</v>
      </c>
      <c r="T151" s="104" t="str">
        <f t="shared" si="71"/>
        <v>permanter Litzen-Anker 3x0,62" S1660/1860 doppelter Korrosionschutz</v>
      </c>
      <c r="U151" s="103" t="str">
        <f t="shared" si="72"/>
        <v>permanent multiple strand-Anchor 3x0,62" S1660/1860 double corrosion protection</v>
      </c>
      <c r="V151" s="173" t="s">
        <v>9066</v>
      </c>
      <c r="W151" s="174" t="s">
        <v>9081</v>
      </c>
      <c r="X151" s="111" t="str">
        <f t="shared" si="76"/>
        <v>St1660/1860</v>
      </c>
      <c r="Y151" s="123">
        <v>202000000</v>
      </c>
      <c r="Z151" s="122">
        <f t="shared" si="77"/>
        <v>90900</v>
      </c>
      <c r="AA151" s="28"/>
      <c r="AB151" s="28"/>
      <c r="AC151" s="31"/>
      <c r="AD151" s="31"/>
    </row>
    <row r="152" spans="1:30" ht="15" customHeight="1" x14ac:dyDescent="0.2">
      <c r="A152" s="19">
        <f t="shared" si="68"/>
        <v>149</v>
      </c>
      <c r="B152" s="148" t="s">
        <v>9105</v>
      </c>
      <c r="C152" s="101" t="s">
        <v>6547</v>
      </c>
      <c r="D152" s="101" t="s">
        <v>6547</v>
      </c>
      <c r="E152" s="101" t="s">
        <v>6444</v>
      </c>
      <c r="F152" s="28">
        <v>4</v>
      </c>
      <c r="G152" s="28">
        <v>0.62</v>
      </c>
      <c r="H152" s="28">
        <f t="shared" si="73"/>
        <v>6</v>
      </c>
      <c r="I152" s="28">
        <v>1</v>
      </c>
      <c r="J152" s="28">
        <v>1</v>
      </c>
      <c r="K152" s="28">
        <v>2</v>
      </c>
      <c r="L152" s="28">
        <v>1600</v>
      </c>
      <c r="M152" s="29">
        <v>1660</v>
      </c>
      <c r="N152" s="29">
        <v>1860</v>
      </c>
      <c r="O152" s="28">
        <f t="shared" si="81"/>
        <v>1494</v>
      </c>
      <c r="P152" s="28">
        <v>17</v>
      </c>
      <c r="Q152" s="29">
        <f t="shared" ref="Q152:Q160" si="82">+H152*L152/10</f>
        <v>960</v>
      </c>
      <c r="R152" s="103">
        <v>1.2</v>
      </c>
      <c r="S152" s="32" t="s">
        <v>6441</v>
      </c>
      <c r="T152" s="104" t="str">
        <f t="shared" si="71"/>
        <v>permanter Litzen-Anker 4x0,62" S1660/1860 doppelter Korrosionschutz</v>
      </c>
      <c r="U152" s="103" t="str">
        <f t="shared" si="72"/>
        <v>permanent multiple strand-Anchor 4x0,62" S1660/1860 double corrosion protection</v>
      </c>
      <c r="V152" s="173" t="s">
        <v>9071</v>
      </c>
      <c r="W152" s="174" t="s">
        <v>9082</v>
      </c>
      <c r="X152" s="111" t="str">
        <f t="shared" si="76"/>
        <v>St1660/1860</v>
      </c>
      <c r="Y152" s="123">
        <v>202000000</v>
      </c>
      <c r="Z152" s="122">
        <f t="shared" si="77"/>
        <v>121200</v>
      </c>
      <c r="AA152" s="28"/>
      <c r="AB152" s="28"/>
      <c r="AC152" s="31"/>
      <c r="AD152" s="31"/>
    </row>
    <row r="153" spans="1:30" ht="15" customHeight="1" x14ac:dyDescent="0.2">
      <c r="A153" s="19">
        <f t="shared" si="68"/>
        <v>150</v>
      </c>
      <c r="B153" s="148" t="s">
        <v>9106</v>
      </c>
      <c r="C153" s="101" t="s">
        <v>6547</v>
      </c>
      <c r="D153" s="101" t="s">
        <v>6547</v>
      </c>
      <c r="E153" s="101" t="s">
        <v>6444</v>
      </c>
      <c r="F153" s="28">
        <v>5</v>
      </c>
      <c r="G153" s="28">
        <v>0.62</v>
      </c>
      <c r="H153" s="28">
        <f t="shared" si="73"/>
        <v>7.5</v>
      </c>
      <c r="I153" s="28">
        <v>1</v>
      </c>
      <c r="J153" s="28">
        <v>1</v>
      </c>
      <c r="K153" s="28">
        <v>2</v>
      </c>
      <c r="L153" s="28">
        <v>1600</v>
      </c>
      <c r="M153" s="29">
        <v>1660</v>
      </c>
      <c r="N153" s="29">
        <v>1860</v>
      </c>
      <c r="O153" s="28">
        <f t="shared" si="81"/>
        <v>1494</v>
      </c>
      <c r="P153" s="28">
        <v>17</v>
      </c>
      <c r="Q153" s="29">
        <f t="shared" si="82"/>
        <v>1200</v>
      </c>
      <c r="R153" s="103">
        <v>1.2</v>
      </c>
      <c r="S153" s="32" t="s">
        <v>6441</v>
      </c>
      <c r="T153" s="104" t="str">
        <f t="shared" si="71"/>
        <v>permanter Litzen-Anker 5x0,62" S1660/1860 doppelter Korrosionschutz</v>
      </c>
      <c r="U153" s="103" t="str">
        <f t="shared" si="72"/>
        <v>permanent multiple strand-Anchor 5x0,62" S1660/1860 double corrosion protection</v>
      </c>
      <c r="V153" s="173" t="s">
        <v>9072</v>
      </c>
      <c r="W153" s="174" t="s">
        <v>9083</v>
      </c>
      <c r="X153" s="111" t="str">
        <f t="shared" si="76"/>
        <v>St1660/1860</v>
      </c>
      <c r="Y153" s="123">
        <v>202000000</v>
      </c>
      <c r="Z153" s="122">
        <f t="shared" si="77"/>
        <v>151500</v>
      </c>
      <c r="AA153" s="28"/>
      <c r="AB153" s="28"/>
      <c r="AC153" s="31"/>
      <c r="AD153" s="31"/>
    </row>
    <row r="154" spans="1:30" ht="15" customHeight="1" x14ac:dyDescent="0.2">
      <c r="A154" s="19">
        <f t="shared" si="68"/>
        <v>151</v>
      </c>
      <c r="B154" s="148" t="s">
        <v>9107</v>
      </c>
      <c r="C154" s="101" t="s">
        <v>6547</v>
      </c>
      <c r="D154" s="101" t="s">
        <v>6547</v>
      </c>
      <c r="E154" s="101" t="s">
        <v>6444</v>
      </c>
      <c r="F154" s="28">
        <v>6</v>
      </c>
      <c r="G154" s="28">
        <v>0.62</v>
      </c>
      <c r="H154" s="28">
        <f t="shared" si="73"/>
        <v>9</v>
      </c>
      <c r="I154" s="28">
        <v>1</v>
      </c>
      <c r="J154" s="28">
        <v>1</v>
      </c>
      <c r="K154" s="28">
        <v>2</v>
      </c>
      <c r="L154" s="28">
        <v>1600</v>
      </c>
      <c r="M154" s="29">
        <v>1660</v>
      </c>
      <c r="N154" s="29">
        <v>1860</v>
      </c>
      <c r="O154" s="28">
        <f t="shared" si="81"/>
        <v>1494</v>
      </c>
      <c r="P154" s="28">
        <v>17</v>
      </c>
      <c r="Q154" s="29">
        <f t="shared" si="82"/>
        <v>1440</v>
      </c>
      <c r="R154" s="103">
        <v>1.8</v>
      </c>
      <c r="S154" s="32" t="s">
        <v>6441</v>
      </c>
      <c r="T154" s="104" t="str">
        <f t="shared" si="71"/>
        <v>permanter Litzen-Anker 6x0,62" S1660/1860 doppelter Korrosionschutz</v>
      </c>
      <c r="U154" s="103" t="str">
        <f t="shared" si="72"/>
        <v>permanent multiple strand-Anchor 6x0,62" S1660/1860 double corrosion protection</v>
      </c>
      <c r="V154" s="173" t="s">
        <v>9073</v>
      </c>
      <c r="W154" s="174" t="s">
        <v>9084</v>
      </c>
      <c r="X154" s="111" t="str">
        <f t="shared" si="76"/>
        <v>St1660/1860</v>
      </c>
      <c r="Y154" s="123">
        <v>202000000</v>
      </c>
      <c r="Z154" s="122">
        <f t="shared" si="77"/>
        <v>181800</v>
      </c>
      <c r="AA154" s="28"/>
      <c r="AB154" s="28"/>
      <c r="AC154" s="31"/>
      <c r="AD154" s="31"/>
    </row>
    <row r="155" spans="1:30" ht="15" customHeight="1" x14ac:dyDescent="0.2">
      <c r="A155" s="19">
        <f t="shared" si="68"/>
        <v>152</v>
      </c>
      <c r="B155" s="148" t="s">
        <v>9108</v>
      </c>
      <c r="C155" s="101" t="s">
        <v>6547</v>
      </c>
      <c r="D155" s="101" t="s">
        <v>6547</v>
      </c>
      <c r="E155" s="105" t="s">
        <v>6444</v>
      </c>
      <c r="F155" s="28">
        <v>7</v>
      </c>
      <c r="G155" s="28">
        <v>0.62</v>
      </c>
      <c r="H155" s="28">
        <f t="shared" si="73"/>
        <v>10.5</v>
      </c>
      <c r="I155" s="28">
        <v>1</v>
      </c>
      <c r="J155" s="28">
        <v>1</v>
      </c>
      <c r="K155" s="28">
        <v>2</v>
      </c>
      <c r="L155" s="28">
        <v>1600</v>
      </c>
      <c r="M155" s="29">
        <v>1660</v>
      </c>
      <c r="N155" s="29">
        <v>1860</v>
      </c>
      <c r="O155" s="28">
        <f t="shared" si="81"/>
        <v>1494</v>
      </c>
      <c r="P155" s="28">
        <v>17</v>
      </c>
      <c r="Q155" s="29">
        <f t="shared" si="82"/>
        <v>1680</v>
      </c>
      <c r="R155" s="103">
        <v>1.8</v>
      </c>
      <c r="S155" s="32" t="s">
        <v>6441</v>
      </c>
      <c r="T155" s="104" t="str">
        <f t="shared" si="71"/>
        <v>permanter Litzen-Anker 7x0,62" S1660/1860 doppelter Korrosionschutz</v>
      </c>
      <c r="U155" s="103" t="str">
        <f t="shared" si="72"/>
        <v>permanent multiple strand-Anchor 7x0,62" S1660/1860 double corrosion protection</v>
      </c>
      <c r="V155" s="173" t="s">
        <v>9074</v>
      </c>
      <c r="W155" s="174" t="s">
        <v>9085</v>
      </c>
      <c r="X155" s="111" t="str">
        <f t="shared" si="76"/>
        <v>St1660/1860</v>
      </c>
      <c r="Y155" s="123">
        <v>202000000</v>
      </c>
      <c r="Z155" s="122">
        <f t="shared" si="77"/>
        <v>212100</v>
      </c>
      <c r="AA155" s="28"/>
      <c r="AB155" s="28"/>
      <c r="AC155" s="31"/>
      <c r="AD155" s="31"/>
    </row>
    <row r="156" spans="1:30" ht="15" customHeight="1" x14ac:dyDescent="0.2">
      <c r="A156" s="19">
        <f t="shared" si="68"/>
        <v>153</v>
      </c>
      <c r="B156" s="148" t="s">
        <v>9109</v>
      </c>
      <c r="C156" s="101" t="s">
        <v>6547</v>
      </c>
      <c r="D156" s="101" t="s">
        <v>6547</v>
      </c>
      <c r="E156" s="105" t="s">
        <v>6444</v>
      </c>
      <c r="F156" s="28">
        <v>8</v>
      </c>
      <c r="G156" s="28">
        <v>0.62</v>
      </c>
      <c r="H156" s="28">
        <f t="shared" si="73"/>
        <v>12</v>
      </c>
      <c r="I156" s="28">
        <v>1</v>
      </c>
      <c r="J156" s="28">
        <v>1</v>
      </c>
      <c r="K156" s="28">
        <v>2</v>
      </c>
      <c r="L156" s="28">
        <v>1600</v>
      </c>
      <c r="M156" s="29">
        <v>1660</v>
      </c>
      <c r="N156" s="29">
        <v>1860</v>
      </c>
      <c r="O156" s="28">
        <f t="shared" si="81"/>
        <v>1494</v>
      </c>
      <c r="P156" s="28">
        <v>17</v>
      </c>
      <c r="Q156" s="29">
        <f t="shared" si="82"/>
        <v>1920</v>
      </c>
      <c r="R156" s="103">
        <v>1.8</v>
      </c>
      <c r="S156" s="32" t="s">
        <v>6441</v>
      </c>
      <c r="T156" s="104" t="str">
        <f t="shared" si="71"/>
        <v>permanter Litzen-Anker 8x0,62" S1660/1860 doppelter Korrosionschutz</v>
      </c>
      <c r="U156" s="103" t="str">
        <f t="shared" si="72"/>
        <v>permanent multiple strand-Anchor 8x0,62" S1660/1860 double corrosion protection</v>
      </c>
      <c r="V156" s="173" t="s">
        <v>9075</v>
      </c>
      <c r="W156" s="174" t="s">
        <v>9086</v>
      </c>
      <c r="X156" s="111" t="str">
        <f t="shared" si="76"/>
        <v>St1660/1860</v>
      </c>
      <c r="Y156" s="123">
        <v>202000000</v>
      </c>
      <c r="Z156" s="122">
        <f t="shared" si="77"/>
        <v>242400</v>
      </c>
      <c r="AA156" s="28"/>
      <c r="AB156" s="28"/>
      <c r="AC156" s="31"/>
      <c r="AD156" s="31"/>
    </row>
    <row r="157" spans="1:30" ht="15" customHeight="1" x14ac:dyDescent="0.2">
      <c r="A157" s="19">
        <f t="shared" si="68"/>
        <v>154</v>
      </c>
      <c r="B157" s="148" t="s">
        <v>9110</v>
      </c>
      <c r="C157" s="101" t="s">
        <v>6547</v>
      </c>
      <c r="D157" s="101" t="s">
        <v>6547</v>
      </c>
      <c r="E157" s="105" t="s">
        <v>6444</v>
      </c>
      <c r="F157" s="28">
        <v>9</v>
      </c>
      <c r="G157" s="28">
        <v>0.62</v>
      </c>
      <c r="H157" s="28">
        <f t="shared" si="73"/>
        <v>13.5</v>
      </c>
      <c r="I157" s="28">
        <v>1</v>
      </c>
      <c r="J157" s="28">
        <v>1</v>
      </c>
      <c r="K157" s="28">
        <v>2</v>
      </c>
      <c r="L157" s="28">
        <v>1600</v>
      </c>
      <c r="M157" s="29">
        <v>1660</v>
      </c>
      <c r="N157" s="29">
        <v>1860</v>
      </c>
      <c r="O157" s="28">
        <f t="shared" si="81"/>
        <v>1494</v>
      </c>
      <c r="P157" s="28">
        <v>17</v>
      </c>
      <c r="Q157" s="29">
        <f t="shared" si="82"/>
        <v>2160</v>
      </c>
      <c r="R157" s="103">
        <v>1.8</v>
      </c>
      <c r="S157" s="32" t="s">
        <v>6441</v>
      </c>
      <c r="T157" s="104" t="str">
        <f t="shared" si="71"/>
        <v>permanter Litzen-Anker 9x0,62" S1660/1860 doppelter Korrosionschutz</v>
      </c>
      <c r="U157" s="103" t="str">
        <f t="shared" si="72"/>
        <v>permanent multiple strand-Anchor 9x0,62" S1660/1860 double corrosion protection</v>
      </c>
      <c r="V157" s="173" t="s">
        <v>9076</v>
      </c>
      <c r="W157" s="174" t="s">
        <v>9087</v>
      </c>
      <c r="X157" s="111" t="str">
        <f t="shared" si="76"/>
        <v>St1660/1860</v>
      </c>
      <c r="Y157" s="123">
        <v>202000000</v>
      </c>
      <c r="Z157" s="122">
        <f t="shared" si="77"/>
        <v>272700</v>
      </c>
      <c r="AA157" s="28"/>
      <c r="AB157" s="28"/>
      <c r="AC157" s="31"/>
      <c r="AD157" s="31"/>
    </row>
    <row r="158" spans="1:30" ht="15" customHeight="1" x14ac:dyDescent="0.2">
      <c r="A158" s="19">
        <f t="shared" si="68"/>
        <v>155</v>
      </c>
      <c r="B158" s="148" t="s">
        <v>9111</v>
      </c>
      <c r="C158" s="101" t="s">
        <v>6547</v>
      </c>
      <c r="D158" s="101" t="s">
        <v>6547</v>
      </c>
      <c r="E158" s="105" t="s">
        <v>6444</v>
      </c>
      <c r="F158" s="28">
        <v>10</v>
      </c>
      <c r="G158" s="28">
        <v>0.62</v>
      </c>
      <c r="H158" s="28">
        <f t="shared" si="73"/>
        <v>15</v>
      </c>
      <c r="I158" s="28">
        <v>1</v>
      </c>
      <c r="J158" s="28">
        <v>1</v>
      </c>
      <c r="K158" s="28">
        <v>2</v>
      </c>
      <c r="L158" s="28">
        <v>1600</v>
      </c>
      <c r="M158" s="29">
        <v>1660</v>
      </c>
      <c r="N158" s="29">
        <v>1860</v>
      </c>
      <c r="O158" s="28">
        <f t="shared" si="81"/>
        <v>1494</v>
      </c>
      <c r="P158" s="28">
        <v>17</v>
      </c>
      <c r="Q158" s="29">
        <f t="shared" si="82"/>
        <v>2400</v>
      </c>
      <c r="R158" s="103">
        <v>1.8</v>
      </c>
      <c r="S158" s="32" t="s">
        <v>6441</v>
      </c>
      <c r="T158" s="104" t="str">
        <f t="shared" si="71"/>
        <v>permanter Litzen-Anker 10x0,62" S1660/1860 doppelter Korrosionschutz</v>
      </c>
      <c r="U158" s="103" t="str">
        <f t="shared" si="72"/>
        <v>permanent multiple strand-Anchor 10x0,62" S1660/1860 double corrosion protection</v>
      </c>
      <c r="V158" s="173" t="s">
        <v>9077</v>
      </c>
      <c r="W158" s="174" t="s">
        <v>9088</v>
      </c>
      <c r="X158" s="111" t="str">
        <f t="shared" si="76"/>
        <v>St1660/1860</v>
      </c>
      <c r="Y158" s="123">
        <v>202000000</v>
      </c>
      <c r="Z158" s="122">
        <f t="shared" si="77"/>
        <v>303000</v>
      </c>
      <c r="AA158" s="28"/>
      <c r="AB158" s="28"/>
      <c r="AC158" s="31"/>
      <c r="AD158" s="31"/>
    </row>
    <row r="159" spans="1:30" ht="15" customHeight="1" x14ac:dyDescent="0.2">
      <c r="A159" s="19">
        <f t="shared" si="68"/>
        <v>156</v>
      </c>
      <c r="B159" s="148" t="s">
        <v>9112</v>
      </c>
      <c r="C159" s="101" t="s">
        <v>6547</v>
      </c>
      <c r="D159" s="101" t="s">
        <v>6547</v>
      </c>
      <c r="E159" s="105" t="s">
        <v>6444</v>
      </c>
      <c r="F159" s="28">
        <v>11</v>
      </c>
      <c r="G159" s="28">
        <v>0.62</v>
      </c>
      <c r="H159" s="28">
        <f t="shared" si="73"/>
        <v>16.5</v>
      </c>
      <c r="I159" s="28">
        <v>1</v>
      </c>
      <c r="J159" s="28">
        <v>1</v>
      </c>
      <c r="K159" s="28">
        <v>2</v>
      </c>
      <c r="L159" s="28">
        <v>1600</v>
      </c>
      <c r="M159" s="29">
        <v>1660</v>
      </c>
      <c r="N159" s="29">
        <v>1860</v>
      </c>
      <c r="O159" s="28">
        <f t="shared" si="81"/>
        <v>1494</v>
      </c>
      <c r="P159" s="28">
        <v>17</v>
      </c>
      <c r="Q159" s="29">
        <f t="shared" si="82"/>
        <v>2640</v>
      </c>
      <c r="R159" s="103">
        <v>1.8</v>
      </c>
      <c r="S159" s="32" t="s">
        <v>6441</v>
      </c>
      <c r="T159" s="104" t="str">
        <f t="shared" si="71"/>
        <v>permanter Litzen-Anker 11x0,62" S1660/1860 doppelter Korrosionschutz</v>
      </c>
      <c r="U159" s="103" t="str">
        <f t="shared" si="72"/>
        <v>permanent multiple strand-Anchor 11x0,62" S1660/1860 double corrosion protection</v>
      </c>
      <c r="V159" s="173" t="s">
        <v>9078</v>
      </c>
      <c r="W159" s="174" t="s">
        <v>9089</v>
      </c>
      <c r="X159" s="111" t="str">
        <f t="shared" si="76"/>
        <v>St1660/1860</v>
      </c>
      <c r="Y159" s="123">
        <v>202000000</v>
      </c>
      <c r="Z159" s="122">
        <f t="shared" si="77"/>
        <v>333300</v>
      </c>
      <c r="AA159" s="28"/>
      <c r="AB159" s="28"/>
      <c r="AC159" s="31"/>
      <c r="AD159" s="31"/>
    </row>
    <row r="160" spans="1:30" ht="15" customHeight="1" x14ac:dyDescent="0.2">
      <c r="A160" s="19">
        <f t="shared" si="68"/>
        <v>157</v>
      </c>
      <c r="B160" s="148" t="s">
        <v>9113</v>
      </c>
      <c r="C160" s="101" t="s">
        <v>6547</v>
      </c>
      <c r="D160" s="101" t="s">
        <v>6547</v>
      </c>
      <c r="E160" s="105" t="s">
        <v>6444</v>
      </c>
      <c r="F160" s="28">
        <v>12</v>
      </c>
      <c r="G160" s="28">
        <v>0.62</v>
      </c>
      <c r="H160" s="28">
        <f>+F160*1.5</f>
        <v>18</v>
      </c>
      <c r="I160" s="28">
        <v>1</v>
      </c>
      <c r="J160" s="28">
        <v>1</v>
      </c>
      <c r="K160" s="28">
        <v>2</v>
      </c>
      <c r="L160" s="28">
        <v>1600</v>
      </c>
      <c r="M160" s="29">
        <v>1660</v>
      </c>
      <c r="N160" s="29">
        <v>1860</v>
      </c>
      <c r="O160" s="28">
        <f t="shared" si="81"/>
        <v>1494</v>
      </c>
      <c r="P160" s="28">
        <v>17</v>
      </c>
      <c r="Q160" s="29">
        <f t="shared" si="82"/>
        <v>2880</v>
      </c>
      <c r="R160" s="103">
        <v>1.8</v>
      </c>
      <c r="S160" s="32" t="s">
        <v>6441</v>
      </c>
      <c r="T160" s="104" t="str">
        <f t="shared" si="71"/>
        <v>permanter Litzen-Anker 12x0,62" S1660/1860 doppelter Korrosionschutz</v>
      </c>
      <c r="U160" s="103" t="str">
        <f t="shared" si="72"/>
        <v>permanent multiple strand-Anchor 12x0,62" S1660/1860 double corrosion protection</v>
      </c>
      <c r="V160" s="173" t="s">
        <v>9079</v>
      </c>
      <c r="W160" s="174" t="s">
        <v>9090</v>
      </c>
      <c r="X160" s="111" t="str">
        <f t="shared" si="76"/>
        <v>St1660/1860</v>
      </c>
      <c r="Y160" s="123">
        <v>202000001</v>
      </c>
      <c r="Z160" s="122">
        <f>+H160*Y160/100^2</f>
        <v>363600.00180000003</v>
      </c>
      <c r="AA160" s="28"/>
      <c r="AB160" s="28"/>
      <c r="AC160" s="31"/>
      <c r="AD160" s="31"/>
    </row>
    <row r="161" spans="1:30" ht="15" customHeight="1" x14ac:dyDescent="0.2">
      <c r="A161" s="19">
        <f t="shared" si="68"/>
        <v>158</v>
      </c>
      <c r="B161" s="148"/>
      <c r="C161" s="101"/>
      <c r="D161" s="101"/>
      <c r="E161" s="105"/>
      <c r="F161" s="28"/>
      <c r="G161" s="28"/>
      <c r="H161" s="28"/>
      <c r="I161" s="28"/>
      <c r="J161" s="28"/>
      <c r="K161" s="28"/>
      <c r="L161" s="28"/>
      <c r="M161" s="29"/>
      <c r="N161" s="29"/>
      <c r="O161" s="28"/>
      <c r="P161" s="28"/>
      <c r="Q161" s="29"/>
      <c r="R161" s="103"/>
      <c r="S161" s="32"/>
      <c r="T161" s="104"/>
      <c r="U161" s="103"/>
      <c r="V161" s="173"/>
      <c r="W161" s="174"/>
      <c r="X161" s="111"/>
      <c r="Y161" s="123"/>
      <c r="Z161" s="122"/>
      <c r="AA161" s="28"/>
      <c r="AB161" s="28"/>
      <c r="AC161" s="31"/>
      <c r="AD161" s="31"/>
    </row>
    <row r="162" spans="1:30" ht="15" customHeight="1" x14ac:dyDescent="0.2">
      <c r="A162" s="19">
        <f t="shared" si="68"/>
        <v>159</v>
      </c>
      <c r="B162" s="148"/>
      <c r="C162" s="101"/>
      <c r="D162" s="101"/>
      <c r="E162" s="105"/>
      <c r="F162" s="28"/>
      <c r="G162" s="28"/>
      <c r="H162" s="28"/>
      <c r="I162" s="28"/>
      <c r="J162" s="28"/>
      <c r="K162" s="28"/>
      <c r="L162" s="28"/>
      <c r="M162" s="29"/>
      <c r="N162" s="29"/>
      <c r="O162" s="28"/>
      <c r="P162" s="28"/>
      <c r="Q162" s="29"/>
      <c r="R162" s="103"/>
      <c r="S162" s="32"/>
      <c r="T162" s="104"/>
      <c r="U162" s="103"/>
      <c r="V162" s="173"/>
      <c r="W162" s="174"/>
      <c r="X162" s="111"/>
      <c r="Y162" s="123"/>
      <c r="Z162" s="122"/>
      <c r="AA162" s="28"/>
      <c r="AB162" s="28"/>
      <c r="AC162" s="31"/>
      <c r="AD162" s="31"/>
    </row>
    <row r="163" spans="1:30" ht="15" customHeight="1" x14ac:dyDescent="0.2">
      <c r="A163" s="19">
        <f t="shared" si="68"/>
        <v>160</v>
      </c>
      <c r="B163" s="148"/>
      <c r="C163" s="101"/>
      <c r="D163" s="101"/>
      <c r="E163" s="105"/>
      <c r="F163" s="28"/>
      <c r="G163" s="28"/>
      <c r="H163" s="28"/>
      <c r="I163" s="28"/>
      <c r="J163" s="28"/>
      <c r="K163" s="28"/>
      <c r="L163" s="28"/>
      <c r="M163" s="29"/>
      <c r="N163" s="29"/>
      <c r="O163" s="28"/>
      <c r="P163" s="28"/>
      <c r="Q163" s="29"/>
      <c r="R163" s="103"/>
      <c r="S163" s="32"/>
      <c r="T163" s="104"/>
      <c r="U163" s="103"/>
      <c r="V163" s="173"/>
      <c r="W163" s="174"/>
      <c r="X163" s="111"/>
      <c r="Y163" s="123"/>
      <c r="Z163" s="122"/>
      <c r="AA163" s="28"/>
      <c r="AB163" s="28"/>
      <c r="AC163" s="31"/>
      <c r="AD163" s="31"/>
    </row>
    <row r="164" spans="1:30" ht="15" customHeight="1" x14ac:dyDescent="0.2">
      <c r="A164" s="19">
        <f t="shared" si="68"/>
        <v>161</v>
      </c>
      <c r="B164" s="148"/>
      <c r="C164" s="101"/>
      <c r="D164" s="101"/>
      <c r="E164" s="105"/>
      <c r="F164" s="28"/>
      <c r="G164" s="28"/>
      <c r="H164" s="28"/>
      <c r="I164" s="28"/>
      <c r="J164" s="28"/>
      <c r="K164" s="28"/>
      <c r="L164" s="28"/>
      <c r="M164" s="29"/>
      <c r="N164" s="29"/>
      <c r="O164" s="28"/>
      <c r="P164" s="28"/>
      <c r="Q164" s="29"/>
      <c r="R164" s="103"/>
      <c r="S164" s="32"/>
      <c r="T164" s="104"/>
      <c r="U164" s="103"/>
      <c r="V164" s="173"/>
      <c r="W164" s="174"/>
      <c r="X164" s="111"/>
      <c r="Y164" s="123"/>
      <c r="Z164" s="122"/>
      <c r="AA164" s="28"/>
      <c r="AB164" s="28"/>
      <c r="AC164" s="31"/>
      <c r="AD164" s="31"/>
    </row>
    <row r="165" spans="1:30" ht="15" customHeight="1" x14ac:dyDescent="0.2"/>
    <row r="166" spans="1:30" ht="15" customHeight="1" x14ac:dyDescent="0.2"/>
    <row r="167" spans="1:30" ht="15" customHeight="1" x14ac:dyDescent="0.2"/>
    <row r="168" spans="1:30" ht="15" customHeight="1" x14ac:dyDescent="0.2"/>
    <row r="169" spans="1:30" ht="15" customHeight="1" x14ac:dyDescent="0.2"/>
    <row r="170" spans="1:30" ht="15" customHeight="1" x14ac:dyDescent="0.2"/>
    <row r="171" spans="1:30" ht="15" customHeight="1" x14ac:dyDescent="0.2"/>
    <row r="172" spans="1:30" ht="15" customHeight="1" x14ac:dyDescent="0.2"/>
    <row r="173" spans="1:30" ht="15" customHeight="1" x14ac:dyDescent="0.2"/>
    <row r="174" spans="1:30" ht="15" customHeight="1" x14ac:dyDescent="0.2"/>
    <row r="175" spans="1:30" ht="15" customHeight="1" x14ac:dyDescent="0.2"/>
    <row r="176" spans="1:30"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sheetData>
  <phoneticPr fontId="4" type="noConversion"/>
  <dataValidations count="7">
    <dataValidation type="list" allowBlank="1" showInputMessage="1" showErrorMessage="1" sqref="S4" xr:uid="{00000000-0002-0000-0600-000000000000}">
      <mc:AlternateContent xmlns:x12ac="http://schemas.microsoft.com/office/spreadsheetml/2011/1/ac" xmlns:mc="http://schemas.openxmlformats.org/markup-compatibility/2006">
        <mc:Choice Requires="x12ac">
          <x12ac:list>"'-;"";mm"</x12ac:list>
        </mc:Choice>
        <mc:Fallback>
          <formula1>"'-;"";mm"</formula1>
        </mc:Fallback>
      </mc:AlternateContent>
    </dataValidation>
    <dataValidation type="list" allowBlank="1" showInputMessage="1" showErrorMessage="1" sqref="C117:D164 C4:D111" xr:uid="{00000000-0002-0000-0600-000001000000}">
      <formula1>"'-,Litzen,Einstab,GEWI,GEWI+,TITAN,Rundstahl,Träger"</formula1>
    </dataValidation>
    <dataValidation type="list" errorStyle="warning" allowBlank="1" showInputMessage="1" showErrorMessage="1" sqref="C112:D116" xr:uid="{00000000-0002-0000-0600-000002000000}">
      <formula1>"'-,Litzen,Einstab,GEWI,GEWI+,TITAN,Rundstahl,Träger"</formula1>
    </dataValidation>
    <dataValidation type="list" allowBlank="1" showInputMessage="1" showErrorMessage="1" sqref="I4:J164" xr:uid="{00000000-0002-0000-0600-000003000000}">
      <formula1>"0,1"</formula1>
    </dataValidation>
    <dataValidation type="list" allowBlank="1" showInputMessage="1" showErrorMessage="1" sqref="K4:K164" xr:uid="{00000000-0002-0000-0600-000004000000}">
      <formula1>"0,1,2"</formula1>
    </dataValidation>
    <dataValidation type="list" allowBlank="1" showInputMessage="1" showErrorMessage="1" sqref="S5:S164" xr:uid="{00000000-0002-0000-0600-000005000000}">
      <mc:AlternateContent xmlns:x12ac="http://schemas.microsoft.com/office/spreadsheetml/2011/1/ac" xmlns:mc="http://schemas.openxmlformats.org/markup-compatibility/2006">
        <mc:Choice Requires="x12ac">
          <x12ac:list>"'-;"";' mm"</x12ac:list>
        </mc:Choice>
        <mc:Fallback>
          <formula1>"'-;"";' mm"</formula1>
        </mc:Fallback>
      </mc:AlternateContent>
    </dataValidation>
    <dataValidation type="list" allowBlank="1" showInputMessage="1" showErrorMessage="1" sqref="E4:E164" xr:uid="{00000000-0002-0000-0600-000006000000}">
      <formula1>"'-,multiple strand,mono bar,GEWI,GEWI+,TITAN,Round bar,Girder"</formula1>
    </dataValidation>
  </dataValidations>
  <pageMargins left="0.25" right="0.25" top="0.8" bottom="0.28000000000000003" header="0.32" footer="0.25"/>
  <pageSetup paperSize="9" scale="80" orientation="landscape" r:id="rId1"/>
  <headerFooter alignWithMargins="0">
    <oddHeader>&amp;L&amp;"Arial,Fett"&amp;24BK&amp;C&amp;"Arial,Fett"&amp;14WallMann
Liste Zugglieder / strands&amp;RSeite &amp;P/&amp;N
&amp;D
&amp;F/&amp;A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2]!SichtenProfileEnde">
                <anchor moveWithCells="1" sizeWithCells="1">
                  <from>
                    <xdr:col>0</xdr:col>
                    <xdr:colOff>28575</xdr:colOff>
                    <xdr:row>0</xdr:row>
                    <xdr:rowOff>47625</xdr:rowOff>
                  </from>
                  <to>
                    <xdr:col>1</xdr:col>
                    <xdr:colOff>381000</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AI478"/>
  <sheetViews>
    <sheetView topLeftCell="C1" zoomScale="80" zoomScaleNormal="80" workbookViewId="0">
      <pane ySplit="2" topLeftCell="A108" activePane="bottomLeft" state="frozenSplit"/>
      <selection pane="bottomLeft" activeCell="AE122" sqref="AE122"/>
    </sheetView>
  </sheetViews>
  <sheetFormatPr baseColWidth="10" defaultRowHeight="12.75" x14ac:dyDescent="0.2"/>
  <cols>
    <col min="1" max="1" width="9.28515625" style="113" customWidth="1"/>
    <col min="2" max="2" width="30.28515625" style="113" customWidth="1"/>
    <col min="3" max="3" width="5.140625" style="113" customWidth="1"/>
    <col min="4" max="4" width="3.42578125" style="113" customWidth="1"/>
    <col min="5" max="6" width="8.140625" style="113" customWidth="1"/>
    <col min="7" max="29" width="8.7109375" style="113" customWidth="1"/>
    <col min="30" max="30" width="7.85546875" style="113" customWidth="1"/>
    <col min="31" max="31" width="25.5703125" style="113" customWidth="1"/>
    <col min="32" max="32" width="3.42578125" style="113" customWidth="1"/>
    <col min="33" max="33" width="2.7109375" style="113" customWidth="1"/>
    <col min="34" max="34" width="10.5703125" style="113" customWidth="1"/>
    <col min="35" max="35" width="13.5703125" style="113" customWidth="1"/>
    <col min="36" max="16384" width="11.42578125" style="113"/>
  </cols>
  <sheetData>
    <row r="1" spans="1:35" x14ac:dyDescent="0.2">
      <c r="A1" s="114">
        <v>1</v>
      </c>
      <c r="B1" s="114">
        <v>2</v>
      </c>
      <c r="C1" s="114">
        <v>3</v>
      </c>
      <c r="D1" s="114">
        <v>4</v>
      </c>
      <c r="E1" s="114">
        <v>5</v>
      </c>
      <c r="F1" s="114">
        <v>6</v>
      </c>
      <c r="G1" s="114">
        <v>7</v>
      </c>
      <c r="H1" s="114">
        <v>8</v>
      </c>
      <c r="I1" s="114">
        <v>9</v>
      </c>
      <c r="J1" s="114">
        <v>10</v>
      </c>
      <c r="K1" s="114">
        <v>11</v>
      </c>
      <c r="L1" s="114">
        <v>12</v>
      </c>
      <c r="M1" s="114">
        <v>13</v>
      </c>
      <c r="N1" s="114">
        <v>14</v>
      </c>
      <c r="O1" s="114">
        <v>15</v>
      </c>
      <c r="P1" s="114">
        <v>16</v>
      </c>
      <c r="Q1" s="114">
        <v>17</v>
      </c>
      <c r="R1" s="114">
        <v>18</v>
      </c>
      <c r="S1" s="114">
        <v>19</v>
      </c>
      <c r="T1" s="114">
        <v>20</v>
      </c>
      <c r="U1" s="114">
        <v>21</v>
      </c>
      <c r="V1" s="114">
        <v>22</v>
      </c>
      <c r="W1" s="114">
        <v>23</v>
      </c>
      <c r="X1" s="114">
        <v>24</v>
      </c>
      <c r="Y1" s="114">
        <v>25</v>
      </c>
      <c r="Z1" s="114">
        <v>26</v>
      </c>
      <c r="AA1" s="114">
        <v>27</v>
      </c>
      <c r="AB1" s="114">
        <v>28</v>
      </c>
      <c r="AC1" s="114"/>
    </row>
    <row r="2" spans="1:35" ht="40.5" customHeight="1" x14ac:dyDescent="0.2">
      <c r="A2" s="116" t="s">
        <v>1249</v>
      </c>
      <c r="B2" s="131" t="s">
        <v>956</v>
      </c>
      <c r="C2" s="127" t="s">
        <v>2437</v>
      </c>
      <c r="D2" s="132" t="s">
        <v>1251</v>
      </c>
      <c r="E2" s="136" t="s">
        <v>2436</v>
      </c>
      <c r="F2" s="137" t="str">
        <f>+INDEX(Company!$B$4:$B$39,UnitPrice!F1-5,1)</f>
        <v>Bauer SOB</v>
      </c>
      <c r="G2" s="142" t="str">
        <f>+INDEX(Company!$B$4:$B$39,UnitPrice!G1-5,1)</f>
        <v>Bauer Int</v>
      </c>
      <c r="H2" s="142" t="str">
        <f>+INDEX(Company!$B$4:$B$39,UnitPrice!H1-5,1)</f>
        <v>Bauer Abu Dhabi</v>
      </c>
      <c r="I2" s="142" t="str">
        <f>+INDEX(Company!$B$4:$B$39,UnitPrice!I1-5,1)</f>
        <v>Bauer Dubai</v>
      </c>
      <c r="J2" s="142" t="str">
        <f>+INDEX(Company!$B$4:$B$39,UnitPrice!J1-5,1)</f>
        <v>Bauer France</v>
      </c>
      <c r="K2" s="142" t="str">
        <f>+INDEX(Company!$B$4:$B$39,UnitPrice!K1-5,1)</f>
        <v>Bauer Egypt</v>
      </c>
      <c r="L2" s="142" t="str">
        <f>+INDEX(Company!$B$4:$B$39,UnitPrice!L1-5,1)</f>
        <v>Bauer Vietnam</v>
      </c>
      <c r="M2" s="142" t="str">
        <f>+INDEX(Company!$B$4:$B$39,UnitPrice!M1-5,1)</f>
        <v>Bauer Schweiz</v>
      </c>
      <c r="N2" s="142" t="str">
        <f>+INDEX(Company!$B$4:$B$39,UnitPrice!N1-5,1)</f>
        <v>Bauer The Netherlands</v>
      </c>
      <c r="O2" s="142" t="str">
        <f>+INDEX(Company!$B$4:$B$39,UnitPrice!O1-5,1)</f>
        <v>Bauer Ukraine</v>
      </c>
      <c r="P2" s="142" t="str">
        <f>+INDEX(Company!$B$4:$B$39,UnitPrice!P1-5,1)</f>
        <v>Bauer Austria</v>
      </c>
      <c r="Q2" s="142" t="str">
        <f>+INDEX(Company!$B$4:$B$39,UnitPrice!Q1-5,1)</f>
        <v>no footline</v>
      </c>
      <c r="R2" s="142" t="str">
        <f>+INDEX(Company!$B$4:$B$39,UnitPrice!R1-5,1)</f>
        <v>BMA</v>
      </c>
      <c r="S2" s="142" t="str">
        <f>+INDEX(Company!$B$4:$B$39,UnitPrice!S1-5,1)</f>
        <v>Bauer Polska</v>
      </c>
      <c r="T2" s="142" t="str">
        <f>+INDEX(Company!$B$4:$B$39,UnitPrice!T1-5,1)</f>
        <v>BRK-Spéciális</v>
      </c>
      <c r="U2" s="142" t="str">
        <f>+INDEX(Company!$B$4:$B$39,UnitPrice!U1-5,1)</f>
        <v>BAUER Bulgaria</v>
      </c>
      <c r="V2" s="142" t="str">
        <f>+INDEX(Company!$B$4:$B$39,UnitPrice!V1-5,1)</f>
        <v>BAUER Panama</v>
      </c>
      <c r="W2" s="142" t="str">
        <f>+INDEX(Company!$B$4:$B$39,UnitPrice!W1-5,1)</f>
        <v>BAUER Lebanon</v>
      </c>
      <c r="X2" s="142" t="str">
        <f>+INDEX(Company!$B$4:$B$39,UnitPrice!X1-5,1)</f>
        <v>BAUER Canada</v>
      </c>
      <c r="Y2" s="142">
        <f>+INDEX(Company!$B$4:$B$39,UnitPrice!Y1-5,1)</f>
        <v>0</v>
      </c>
      <c r="Z2" s="142">
        <f>+INDEX(Company!$B$4:$B$39,UnitPrice!Z1-5,1)</f>
        <v>0</v>
      </c>
      <c r="AA2" s="142">
        <f>+INDEX(Company!$B$4:$B$39,UnitPrice!AA1-5,1)</f>
        <v>0</v>
      </c>
      <c r="AB2" s="143">
        <f>+INDEX(Company!$B$4:$B$39,UnitPrice!AB1-5,1)</f>
        <v>0</v>
      </c>
      <c r="AC2" s="134"/>
      <c r="AD2" s="116" t="s">
        <v>1249</v>
      </c>
      <c r="AE2" s="116" t="s">
        <v>956</v>
      </c>
      <c r="AF2" s="116" t="s">
        <v>1250</v>
      </c>
      <c r="AG2" s="116" t="s">
        <v>1251</v>
      </c>
      <c r="AH2" s="116" t="s">
        <v>3706</v>
      </c>
      <c r="AI2" s="116" t="s">
        <v>3707</v>
      </c>
    </row>
    <row r="3" spans="1:35" ht="10.5" customHeight="1" x14ac:dyDescent="0.2">
      <c r="A3" s="117" t="s">
        <v>254</v>
      </c>
      <c r="B3" s="117" t="s">
        <v>7302</v>
      </c>
      <c r="C3" s="128"/>
      <c r="D3" s="133"/>
      <c r="E3" s="138"/>
      <c r="F3" s="140"/>
      <c r="G3" s="144"/>
      <c r="H3" s="144" t="str">
        <f t="shared" ref="H3:I66" si="0">+IF($F3&lt;&gt;"",$F3*5,"")</f>
        <v/>
      </c>
      <c r="I3" s="144" t="str">
        <f t="shared" si="0"/>
        <v/>
      </c>
      <c r="J3" s="144"/>
      <c r="K3" s="144"/>
      <c r="L3" s="144"/>
      <c r="M3" s="144"/>
      <c r="N3" s="144"/>
      <c r="O3" s="144"/>
      <c r="P3" s="144"/>
      <c r="Q3" s="144"/>
      <c r="R3" s="144"/>
      <c r="S3" s="144"/>
      <c r="T3" s="144"/>
      <c r="U3" s="144"/>
      <c r="V3" s="144"/>
      <c r="W3" s="144"/>
      <c r="X3" s="144"/>
      <c r="Y3" s="144"/>
      <c r="Z3" s="144"/>
      <c r="AA3" s="144"/>
      <c r="AB3" s="144"/>
      <c r="AC3" s="135"/>
      <c r="AD3" s="129" t="s">
        <v>254</v>
      </c>
      <c r="AE3" s="129" t="s">
        <v>7302</v>
      </c>
      <c r="AF3" s="130">
        <v>0</v>
      </c>
      <c r="AG3" s="129" t="s">
        <v>236</v>
      </c>
      <c r="AH3" s="130">
        <v>4774.32</v>
      </c>
      <c r="AI3" s="130">
        <v>0</v>
      </c>
    </row>
    <row r="4" spans="1:35" ht="10.5" customHeight="1" x14ac:dyDescent="0.2">
      <c r="A4" s="117" t="s">
        <v>237</v>
      </c>
      <c r="B4" s="117" t="s">
        <v>7311</v>
      </c>
      <c r="C4" s="128"/>
      <c r="D4" s="133"/>
      <c r="E4" s="138"/>
      <c r="F4" s="140"/>
      <c r="G4" s="144"/>
      <c r="H4" s="144" t="str">
        <f t="shared" si="0"/>
        <v/>
      </c>
      <c r="I4" s="144" t="str">
        <f t="shared" si="0"/>
        <v/>
      </c>
      <c r="J4" s="144"/>
      <c r="K4" s="144"/>
      <c r="L4" s="144"/>
      <c r="M4" s="144"/>
      <c r="N4" s="144"/>
      <c r="O4" s="144"/>
      <c r="P4" s="144"/>
      <c r="Q4" s="144"/>
      <c r="R4" s="144"/>
      <c r="S4" s="144"/>
      <c r="T4" s="144"/>
      <c r="U4" s="144"/>
      <c r="V4" s="144"/>
      <c r="W4" s="144"/>
      <c r="X4" s="144"/>
      <c r="Y4" s="144"/>
      <c r="Z4" s="144"/>
      <c r="AA4" s="144"/>
      <c r="AB4" s="144"/>
      <c r="AC4" s="135"/>
      <c r="AD4" s="129" t="s">
        <v>237</v>
      </c>
      <c r="AE4" s="129" t="s">
        <v>7311</v>
      </c>
      <c r="AF4" s="130">
        <v>0</v>
      </c>
      <c r="AG4" s="129" t="s">
        <v>236</v>
      </c>
      <c r="AH4" s="130">
        <v>2773.28</v>
      </c>
      <c r="AI4" s="130">
        <v>0</v>
      </c>
    </row>
    <row r="5" spans="1:35" ht="10.5" customHeight="1" x14ac:dyDescent="0.2">
      <c r="A5" s="115" t="s">
        <v>238</v>
      </c>
      <c r="B5" s="117" t="s">
        <v>7312</v>
      </c>
      <c r="C5" s="128">
        <v>1</v>
      </c>
      <c r="D5" s="133" t="s">
        <v>2882</v>
      </c>
      <c r="E5" s="138">
        <f>+INDEX(F5:AB5,1,[3]BOD!$I$2-1)</f>
        <v>130.66999999999999</v>
      </c>
      <c r="F5" s="140">
        <v>130.66999999999999</v>
      </c>
      <c r="G5" s="144"/>
      <c r="H5" s="144">
        <f t="shared" si="0"/>
        <v>653.34999999999991</v>
      </c>
      <c r="I5" s="144">
        <f t="shared" si="0"/>
        <v>653.34999999999991</v>
      </c>
      <c r="J5" s="144"/>
      <c r="K5" s="144"/>
      <c r="L5" s="144"/>
      <c r="M5" s="144"/>
      <c r="N5" s="144"/>
      <c r="O5" s="144"/>
      <c r="P5" s="144"/>
      <c r="Q5" s="144"/>
      <c r="R5" s="144"/>
      <c r="S5" s="144"/>
      <c r="T5" s="144"/>
      <c r="U5" s="144"/>
      <c r="V5" s="144"/>
      <c r="W5" s="144"/>
      <c r="X5" s="144"/>
      <c r="Y5" s="144"/>
      <c r="Z5" s="144"/>
      <c r="AA5" s="144"/>
      <c r="AB5" s="144"/>
      <c r="AC5" s="135"/>
      <c r="AD5" s="129" t="s">
        <v>238</v>
      </c>
      <c r="AE5" s="129" t="s">
        <v>7312</v>
      </c>
      <c r="AF5" s="130">
        <v>1</v>
      </c>
      <c r="AG5" s="129" t="s">
        <v>2882</v>
      </c>
      <c r="AH5" s="130">
        <v>130.66999999999999</v>
      </c>
      <c r="AI5" s="130">
        <v>130.66999999999999</v>
      </c>
    </row>
    <row r="6" spans="1:35" ht="10.5" customHeight="1" x14ac:dyDescent="0.2">
      <c r="A6" s="117" t="s">
        <v>3106</v>
      </c>
      <c r="B6" s="117" t="s">
        <v>7313</v>
      </c>
      <c r="C6" s="128">
        <v>1</v>
      </c>
      <c r="D6" s="133" t="s">
        <v>2882</v>
      </c>
      <c r="E6" s="138">
        <f>+INDEX(F6:AB6,1,[3]BOD!$I$2-1)</f>
        <v>158.47</v>
      </c>
      <c r="F6" s="140">
        <v>158.47</v>
      </c>
      <c r="G6" s="144"/>
      <c r="H6" s="144">
        <f t="shared" si="0"/>
        <v>792.35</v>
      </c>
      <c r="I6" s="144">
        <f t="shared" si="0"/>
        <v>792.35</v>
      </c>
      <c r="J6" s="144"/>
      <c r="K6" s="144"/>
      <c r="L6" s="144"/>
      <c r="M6" s="144"/>
      <c r="N6" s="144"/>
      <c r="O6" s="144"/>
      <c r="P6" s="144"/>
      <c r="Q6" s="144"/>
      <c r="R6" s="144"/>
      <c r="S6" s="144"/>
      <c r="T6" s="144"/>
      <c r="U6" s="144"/>
      <c r="V6" s="144"/>
      <c r="W6" s="144"/>
      <c r="X6" s="144"/>
      <c r="Y6" s="144"/>
      <c r="Z6" s="144"/>
      <c r="AA6" s="144"/>
      <c r="AB6" s="144"/>
      <c r="AC6" s="135"/>
      <c r="AD6" s="129" t="s">
        <v>3106</v>
      </c>
      <c r="AE6" s="129" t="s">
        <v>7313</v>
      </c>
      <c r="AF6" s="130">
        <v>1</v>
      </c>
      <c r="AG6" s="129" t="s">
        <v>2882</v>
      </c>
      <c r="AH6" s="130">
        <v>158.47</v>
      </c>
      <c r="AI6" s="130">
        <v>158.47</v>
      </c>
    </row>
    <row r="7" spans="1:35" ht="10.5" customHeight="1" x14ac:dyDescent="0.2">
      <c r="A7" s="117" t="s">
        <v>3107</v>
      </c>
      <c r="B7" s="117" t="s">
        <v>7314</v>
      </c>
      <c r="C7" s="128">
        <v>1</v>
      </c>
      <c r="D7" s="133" t="s">
        <v>2882</v>
      </c>
      <c r="E7" s="138">
        <f>+INDEX(F7:AB7,1,[3]BOD!$I$2-1)</f>
        <v>165.69</v>
      </c>
      <c r="F7" s="140">
        <v>165.69</v>
      </c>
      <c r="G7" s="144"/>
      <c r="H7" s="144">
        <f t="shared" si="0"/>
        <v>828.45</v>
      </c>
      <c r="I7" s="144">
        <f t="shared" si="0"/>
        <v>828.45</v>
      </c>
      <c r="J7" s="144"/>
      <c r="K7" s="144"/>
      <c r="L7" s="144"/>
      <c r="M7" s="144"/>
      <c r="N7" s="144"/>
      <c r="O7" s="144"/>
      <c r="P7" s="144"/>
      <c r="Q7" s="144"/>
      <c r="R7" s="144"/>
      <c r="S7" s="144"/>
      <c r="T7" s="144"/>
      <c r="U7" s="144"/>
      <c r="V7" s="144"/>
      <c r="W7" s="144"/>
      <c r="X7" s="144"/>
      <c r="Y7" s="144"/>
      <c r="Z7" s="144"/>
      <c r="AA7" s="144"/>
      <c r="AB7" s="144"/>
      <c r="AC7" s="135"/>
      <c r="AD7" s="129" t="s">
        <v>3107</v>
      </c>
      <c r="AE7" s="129" t="s">
        <v>7314</v>
      </c>
      <c r="AF7" s="130">
        <v>1</v>
      </c>
      <c r="AG7" s="129" t="s">
        <v>2882</v>
      </c>
      <c r="AH7" s="130">
        <v>165.69</v>
      </c>
      <c r="AI7" s="130">
        <v>165.69</v>
      </c>
    </row>
    <row r="8" spans="1:35" ht="10.5" customHeight="1" x14ac:dyDescent="0.2">
      <c r="A8" s="117" t="s">
        <v>3108</v>
      </c>
      <c r="B8" s="117" t="s">
        <v>2328</v>
      </c>
      <c r="C8" s="128">
        <v>1</v>
      </c>
      <c r="D8" s="133" t="s">
        <v>2882</v>
      </c>
      <c r="E8" s="138">
        <f>+INDEX(F8:AB8,1,[3]BOD!$I$2-1)</f>
        <v>445.71</v>
      </c>
      <c r="F8" s="140">
        <v>445.71</v>
      </c>
      <c r="G8" s="144"/>
      <c r="H8" s="144">
        <f t="shared" si="0"/>
        <v>2228.5499999999997</v>
      </c>
      <c r="I8" s="144">
        <f t="shared" si="0"/>
        <v>2228.5499999999997</v>
      </c>
      <c r="J8" s="144"/>
      <c r="K8" s="144"/>
      <c r="L8" s="144"/>
      <c r="M8" s="144"/>
      <c r="N8" s="144"/>
      <c r="O8" s="144"/>
      <c r="P8" s="144"/>
      <c r="Q8" s="144"/>
      <c r="R8" s="144"/>
      <c r="S8" s="144"/>
      <c r="T8" s="144"/>
      <c r="U8" s="144"/>
      <c r="V8" s="144"/>
      <c r="W8" s="144"/>
      <c r="X8" s="144"/>
      <c r="Y8" s="144"/>
      <c r="Z8" s="144"/>
      <c r="AA8" s="144"/>
      <c r="AB8" s="144"/>
      <c r="AC8" s="135"/>
      <c r="AD8" s="129" t="s">
        <v>3108</v>
      </c>
      <c r="AE8" s="129" t="s">
        <v>2328</v>
      </c>
      <c r="AF8" s="130">
        <v>1</v>
      </c>
      <c r="AG8" s="129" t="s">
        <v>2882</v>
      </c>
      <c r="AH8" s="130">
        <v>445.71</v>
      </c>
      <c r="AI8" s="130">
        <v>445.71</v>
      </c>
    </row>
    <row r="9" spans="1:35" ht="10.5" customHeight="1" x14ac:dyDescent="0.2">
      <c r="A9" s="117" t="s">
        <v>8041</v>
      </c>
      <c r="B9" s="117" t="s">
        <v>2329</v>
      </c>
      <c r="C9" s="128">
        <v>1</v>
      </c>
      <c r="D9" s="133" t="s">
        <v>2882</v>
      </c>
      <c r="E9" s="138">
        <f>+INDEX(F9:AB9,1,[3]BOD!$I$2-1)</f>
        <v>433</v>
      </c>
      <c r="F9" s="140">
        <v>433</v>
      </c>
      <c r="G9" s="144"/>
      <c r="H9" s="144">
        <f t="shared" si="0"/>
        <v>2165</v>
      </c>
      <c r="I9" s="144">
        <f t="shared" si="0"/>
        <v>2165</v>
      </c>
      <c r="J9" s="144"/>
      <c r="K9" s="144"/>
      <c r="L9" s="144"/>
      <c r="M9" s="144"/>
      <c r="N9" s="144"/>
      <c r="O9" s="144"/>
      <c r="P9" s="144"/>
      <c r="Q9" s="144"/>
      <c r="R9" s="144"/>
      <c r="S9" s="144"/>
      <c r="T9" s="144"/>
      <c r="U9" s="144"/>
      <c r="V9" s="144"/>
      <c r="W9" s="144"/>
      <c r="X9" s="144"/>
      <c r="Y9" s="144"/>
      <c r="Z9" s="144"/>
      <c r="AA9" s="144"/>
      <c r="AB9" s="144"/>
      <c r="AC9" s="135"/>
      <c r="AD9" s="129" t="s">
        <v>8041</v>
      </c>
      <c r="AE9" s="129" t="s">
        <v>2329</v>
      </c>
      <c r="AF9" s="130">
        <v>1</v>
      </c>
      <c r="AG9" s="129" t="s">
        <v>2882</v>
      </c>
      <c r="AH9" s="130">
        <v>433</v>
      </c>
      <c r="AI9" s="130">
        <v>433</v>
      </c>
    </row>
    <row r="10" spans="1:35" ht="10.5" customHeight="1" x14ac:dyDescent="0.2">
      <c r="A10" s="117" t="s">
        <v>8042</v>
      </c>
      <c r="B10" s="117" t="s">
        <v>2330</v>
      </c>
      <c r="C10" s="128">
        <v>1</v>
      </c>
      <c r="D10" s="133" t="s">
        <v>2882</v>
      </c>
      <c r="E10" s="138">
        <f>+INDEX(F10:AB10,1,[3]BOD!$I$2-1)</f>
        <v>467.67</v>
      </c>
      <c r="F10" s="140">
        <v>467.67</v>
      </c>
      <c r="G10" s="144"/>
      <c r="H10" s="144">
        <f t="shared" si="0"/>
        <v>2338.35</v>
      </c>
      <c r="I10" s="144">
        <f t="shared" si="0"/>
        <v>2338.35</v>
      </c>
      <c r="J10" s="144"/>
      <c r="K10" s="144"/>
      <c r="L10" s="144"/>
      <c r="M10" s="144"/>
      <c r="N10" s="144"/>
      <c r="O10" s="144"/>
      <c r="P10" s="144"/>
      <c r="Q10" s="144"/>
      <c r="R10" s="144"/>
      <c r="S10" s="144"/>
      <c r="T10" s="144"/>
      <c r="U10" s="144"/>
      <c r="V10" s="144"/>
      <c r="W10" s="144"/>
      <c r="X10" s="144"/>
      <c r="Y10" s="144"/>
      <c r="Z10" s="144"/>
      <c r="AA10" s="144"/>
      <c r="AB10" s="144"/>
      <c r="AC10" s="135"/>
      <c r="AD10" s="129" t="s">
        <v>8042</v>
      </c>
      <c r="AE10" s="129" t="s">
        <v>2330</v>
      </c>
      <c r="AF10" s="130">
        <v>1</v>
      </c>
      <c r="AG10" s="129" t="s">
        <v>2882</v>
      </c>
      <c r="AH10" s="130">
        <v>467.67</v>
      </c>
      <c r="AI10" s="130">
        <v>467.67</v>
      </c>
    </row>
    <row r="11" spans="1:35" ht="10.5" customHeight="1" x14ac:dyDescent="0.2">
      <c r="A11" s="117" t="s">
        <v>8043</v>
      </c>
      <c r="B11" s="117" t="s">
        <v>2219</v>
      </c>
      <c r="C11" s="128">
        <v>1</v>
      </c>
      <c r="D11" s="133" t="s">
        <v>2882</v>
      </c>
      <c r="E11" s="138">
        <f>+INDEX(F11:AB11,1,[3]BOD!$I$2-1)</f>
        <v>277.76</v>
      </c>
      <c r="F11" s="140">
        <v>277.76</v>
      </c>
      <c r="G11" s="144"/>
      <c r="H11" s="144">
        <f t="shared" si="0"/>
        <v>1388.8</v>
      </c>
      <c r="I11" s="144">
        <f t="shared" si="0"/>
        <v>1388.8</v>
      </c>
      <c r="J11" s="144"/>
      <c r="K11" s="144"/>
      <c r="L11" s="144"/>
      <c r="M11" s="144"/>
      <c r="N11" s="144"/>
      <c r="O11" s="144"/>
      <c r="P11" s="144"/>
      <c r="Q11" s="144"/>
      <c r="R11" s="144"/>
      <c r="S11" s="144"/>
      <c r="T11" s="144"/>
      <c r="U11" s="144"/>
      <c r="V11" s="144"/>
      <c r="W11" s="144"/>
      <c r="X11" s="144"/>
      <c r="Y11" s="144"/>
      <c r="Z11" s="144"/>
      <c r="AA11" s="144"/>
      <c r="AB11" s="144"/>
      <c r="AC11" s="135"/>
      <c r="AD11" s="129" t="s">
        <v>8043</v>
      </c>
      <c r="AE11" s="129" t="s">
        <v>2219</v>
      </c>
      <c r="AF11" s="130">
        <v>1</v>
      </c>
      <c r="AG11" s="129" t="s">
        <v>2882</v>
      </c>
      <c r="AH11" s="130">
        <v>277.76</v>
      </c>
      <c r="AI11" s="130">
        <v>277.76</v>
      </c>
    </row>
    <row r="12" spans="1:35" ht="10.5" customHeight="1" x14ac:dyDescent="0.2">
      <c r="A12" s="117" t="s">
        <v>2023</v>
      </c>
      <c r="B12" s="117" t="s">
        <v>2220</v>
      </c>
      <c r="C12" s="128">
        <v>1</v>
      </c>
      <c r="D12" s="133" t="s">
        <v>2882</v>
      </c>
      <c r="E12" s="138">
        <f>+INDEX(F12:AB12,1,[3]BOD!$I$2-1)</f>
        <v>317.92</v>
      </c>
      <c r="F12" s="140">
        <v>317.92</v>
      </c>
      <c r="G12" s="144"/>
      <c r="H12" s="144">
        <f t="shared" si="0"/>
        <v>1589.6000000000001</v>
      </c>
      <c r="I12" s="144">
        <f t="shared" si="0"/>
        <v>1589.6000000000001</v>
      </c>
      <c r="J12" s="144"/>
      <c r="K12" s="144"/>
      <c r="L12" s="144"/>
      <c r="M12" s="144"/>
      <c r="N12" s="144"/>
      <c r="O12" s="144"/>
      <c r="P12" s="144"/>
      <c r="Q12" s="144"/>
      <c r="R12" s="144"/>
      <c r="S12" s="144"/>
      <c r="T12" s="144"/>
      <c r="U12" s="144"/>
      <c r="V12" s="144"/>
      <c r="W12" s="144"/>
      <c r="X12" s="144"/>
      <c r="Y12" s="144"/>
      <c r="Z12" s="144"/>
      <c r="AA12" s="144"/>
      <c r="AB12" s="144"/>
      <c r="AC12" s="135"/>
      <c r="AD12" s="129" t="s">
        <v>2023</v>
      </c>
      <c r="AE12" s="129" t="s">
        <v>2220</v>
      </c>
      <c r="AF12" s="130">
        <v>1</v>
      </c>
      <c r="AG12" s="129" t="s">
        <v>2882</v>
      </c>
      <c r="AH12" s="130">
        <v>317.92</v>
      </c>
      <c r="AI12" s="130">
        <v>317.92</v>
      </c>
    </row>
    <row r="13" spans="1:35" ht="10.5" customHeight="1" x14ac:dyDescent="0.2">
      <c r="A13" s="117" t="s">
        <v>2024</v>
      </c>
      <c r="B13" s="117" t="s">
        <v>2221</v>
      </c>
      <c r="C13" s="128">
        <v>1</v>
      </c>
      <c r="D13" s="133" t="s">
        <v>2882</v>
      </c>
      <c r="E13" s="138">
        <f>+INDEX(F13:AB13,1,[3]BOD!$I$2-1)</f>
        <v>376.39</v>
      </c>
      <c r="F13" s="140">
        <v>376.39</v>
      </c>
      <c r="G13" s="144"/>
      <c r="H13" s="144">
        <f t="shared" si="0"/>
        <v>1881.9499999999998</v>
      </c>
      <c r="I13" s="144">
        <f t="shared" si="0"/>
        <v>1881.9499999999998</v>
      </c>
      <c r="J13" s="144"/>
      <c r="K13" s="144"/>
      <c r="L13" s="144"/>
      <c r="M13" s="144"/>
      <c r="N13" s="144"/>
      <c r="O13" s="144"/>
      <c r="P13" s="144"/>
      <c r="Q13" s="144"/>
      <c r="R13" s="144"/>
      <c r="S13" s="144"/>
      <c r="T13" s="144"/>
      <c r="U13" s="144"/>
      <c r="V13" s="144"/>
      <c r="W13" s="144"/>
      <c r="X13" s="144"/>
      <c r="Y13" s="144"/>
      <c r="Z13" s="144"/>
      <c r="AA13" s="144"/>
      <c r="AB13" s="144"/>
      <c r="AC13" s="135"/>
      <c r="AD13" s="129" t="s">
        <v>2024</v>
      </c>
      <c r="AE13" s="129" t="s">
        <v>2221</v>
      </c>
      <c r="AF13" s="130">
        <v>1</v>
      </c>
      <c r="AG13" s="129" t="s">
        <v>2882</v>
      </c>
      <c r="AH13" s="130">
        <v>376.39</v>
      </c>
      <c r="AI13" s="130">
        <v>376.39</v>
      </c>
    </row>
    <row r="14" spans="1:35" ht="10.5" customHeight="1" x14ac:dyDescent="0.2">
      <c r="A14" s="117" t="s">
        <v>2025</v>
      </c>
      <c r="B14" s="117" t="s">
        <v>2222</v>
      </c>
      <c r="C14" s="128"/>
      <c r="D14" s="133"/>
      <c r="E14" s="138"/>
      <c r="F14" s="140"/>
      <c r="G14" s="144"/>
      <c r="H14" s="144" t="str">
        <f t="shared" si="0"/>
        <v/>
      </c>
      <c r="I14" s="144" t="str">
        <f t="shared" si="0"/>
        <v/>
      </c>
      <c r="J14" s="144"/>
      <c r="K14" s="144"/>
      <c r="L14" s="144"/>
      <c r="M14" s="144"/>
      <c r="N14" s="144"/>
      <c r="O14" s="144"/>
      <c r="P14" s="144"/>
      <c r="Q14" s="144"/>
      <c r="R14" s="144"/>
      <c r="S14" s="144"/>
      <c r="T14" s="144"/>
      <c r="U14" s="144"/>
      <c r="V14" s="144"/>
      <c r="W14" s="144"/>
      <c r="X14" s="144"/>
      <c r="Y14" s="144"/>
      <c r="Z14" s="144"/>
      <c r="AA14" s="144"/>
      <c r="AB14" s="144"/>
      <c r="AC14" s="135"/>
      <c r="AD14" s="129" t="s">
        <v>2025</v>
      </c>
      <c r="AE14" s="129" t="s">
        <v>2222</v>
      </c>
      <c r="AF14" s="130">
        <v>0</v>
      </c>
      <c r="AG14" s="129" t="s">
        <v>236</v>
      </c>
      <c r="AH14" s="130">
        <v>851.82</v>
      </c>
      <c r="AI14" s="130">
        <v>0</v>
      </c>
    </row>
    <row r="15" spans="1:35" ht="10.5" customHeight="1" x14ac:dyDescent="0.2">
      <c r="A15" s="115" t="s">
        <v>490</v>
      </c>
      <c r="B15" s="117" t="s">
        <v>2223</v>
      </c>
      <c r="C15" s="128">
        <v>1</v>
      </c>
      <c r="D15" s="133" t="s">
        <v>7389</v>
      </c>
      <c r="E15" s="138">
        <f>+INDEX(F15:AB15,1,[3]BOD!$I$2-1)</f>
        <v>4.9000000000000004</v>
      </c>
      <c r="F15" s="140">
        <v>4.9000000000000004</v>
      </c>
      <c r="G15" s="144"/>
      <c r="H15" s="144">
        <f t="shared" si="0"/>
        <v>24.5</v>
      </c>
      <c r="I15" s="144">
        <f t="shared" si="0"/>
        <v>24.5</v>
      </c>
      <c r="J15" s="144"/>
      <c r="K15" s="144"/>
      <c r="L15" s="144"/>
      <c r="M15" s="144"/>
      <c r="N15" s="144"/>
      <c r="O15" s="144"/>
      <c r="P15" s="144"/>
      <c r="Q15" s="144"/>
      <c r="R15" s="144"/>
      <c r="S15" s="144"/>
      <c r="T15" s="144"/>
      <c r="U15" s="144"/>
      <c r="V15" s="144"/>
      <c r="W15" s="144"/>
      <c r="X15" s="144"/>
      <c r="Y15" s="144"/>
      <c r="Z15" s="144"/>
      <c r="AA15" s="144"/>
      <c r="AB15" s="144"/>
      <c r="AC15" s="135"/>
      <c r="AD15" s="129" t="s">
        <v>490</v>
      </c>
      <c r="AE15" s="129" t="s">
        <v>2223</v>
      </c>
      <c r="AF15" s="130">
        <v>1</v>
      </c>
      <c r="AG15" s="129" t="s">
        <v>7389</v>
      </c>
      <c r="AH15" s="130">
        <v>4.9000000000000004</v>
      </c>
      <c r="AI15" s="130">
        <v>4.9000000000000004</v>
      </c>
    </row>
    <row r="16" spans="1:35" ht="10.5" customHeight="1" x14ac:dyDescent="0.2">
      <c r="A16" s="117" t="s">
        <v>491</v>
      </c>
      <c r="B16" s="117" t="s">
        <v>2224</v>
      </c>
      <c r="C16" s="128">
        <v>1</v>
      </c>
      <c r="D16" s="133" t="s">
        <v>7389</v>
      </c>
      <c r="E16" s="138">
        <f>+INDEX(F16:AB16,1,[3]BOD!$I$2-1)</f>
        <v>6.58</v>
      </c>
      <c r="F16" s="140">
        <v>6.58</v>
      </c>
      <c r="G16" s="144"/>
      <c r="H16" s="144">
        <f t="shared" si="0"/>
        <v>32.9</v>
      </c>
      <c r="I16" s="144">
        <f t="shared" si="0"/>
        <v>32.9</v>
      </c>
      <c r="J16" s="144"/>
      <c r="K16" s="144"/>
      <c r="L16" s="144"/>
      <c r="M16" s="144"/>
      <c r="N16" s="144"/>
      <c r="O16" s="144"/>
      <c r="P16" s="144"/>
      <c r="Q16" s="144"/>
      <c r="R16" s="144"/>
      <c r="S16" s="144"/>
      <c r="T16" s="144"/>
      <c r="U16" s="144"/>
      <c r="V16" s="144"/>
      <c r="W16" s="144"/>
      <c r="X16" s="144"/>
      <c r="Y16" s="144"/>
      <c r="Z16" s="144"/>
      <c r="AA16" s="144"/>
      <c r="AB16" s="144"/>
      <c r="AC16" s="135"/>
      <c r="AD16" s="129" t="s">
        <v>491</v>
      </c>
      <c r="AE16" s="129" t="s">
        <v>2224</v>
      </c>
      <c r="AF16" s="130">
        <v>1</v>
      </c>
      <c r="AG16" s="129" t="s">
        <v>7389</v>
      </c>
      <c r="AH16" s="130">
        <v>6.58</v>
      </c>
      <c r="AI16" s="130">
        <v>6.58</v>
      </c>
    </row>
    <row r="17" spans="1:35" ht="10.5" customHeight="1" x14ac:dyDescent="0.2">
      <c r="A17" s="117" t="s">
        <v>492</v>
      </c>
      <c r="B17" s="117" t="s">
        <v>2225</v>
      </c>
      <c r="C17" s="128">
        <v>1</v>
      </c>
      <c r="D17" s="133" t="s">
        <v>7389</v>
      </c>
      <c r="E17" s="138">
        <f>+INDEX(F17:AB17,1,[3]BOD!$I$2-1)</f>
        <v>6.58</v>
      </c>
      <c r="F17" s="140">
        <v>6.58</v>
      </c>
      <c r="G17" s="144"/>
      <c r="H17" s="144">
        <f t="shared" si="0"/>
        <v>32.9</v>
      </c>
      <c r="I17" s="144">
        <f t="shared" si="0"/>
        <v>32.9</v>
      </c>
      <c r="J17" s="144"/>
      <c r="K17" s="144"/>
      <c r="L17" s="144"/>
      <c r="M17" s="144"/>
      <c r="N17" s="144"/>
      <c r="O17" s="144"/>
      <c r="P17" s="144"/>
      <c r="Q17" s="144"/>
      <c r="R17" s="144"/>
      <c r="S17" s="144"/>
      <c r="T17" s="144"/>
      <c r="U17" s="144"/>
      <c r="V17" s="144"/>
      <c r="W17" s="144"/>
      <c r="X17" s="144"/>
      <c r="Y17" s="144"/>
      <c r="Z17" s="144"/>
      <c r="AA17" s="144"/>
      <c r="AB17" s="144"/>
      <c r="AC17" s="135"/>
      <c r="AD17" s="129" t="s">
        <v>492</v>
      </c>
      <c r="AE17" s="129" t="s">
        <v>2225</v>
      </c>
      <c r="AF17" s="130">
        <v>1</v>
      </c>
      <c r="AG17" s="129" t="s">
        <v>7389</v>
      </c>
      <c r="AH17" s="130">
        <v>6.58</v>
      </c>
      <c r="AI17" s="130">
        <v>6.58</v>
      </c>
    </row>
    <row r="18" spans="1:35" ht="10.5" customHeight="1" x14ac:dyDescent="0.2">
      <c r="A18" s="117" t="s">
        <v>493</v>
      </c>
      <c r="B18" s="117" t="s">
        <v>2226</v>
      </c>
      <c r="C18" s="128">
        <v>1</v>
      </c>
      <c r="D18" s="133" t="s">
        <v>7389</v>
      </c>
      <c r="E18" s="138">
        <f>+INDEX(F18:AB18,1,[3]BOD!$I$2-1)</f>
        <v>10.43</v>
      </c>
      <c r="F18" s="140">
        <v>10.43</v>
      </c>
      <c r="G18" s="144"/>
      <c r="H18" s="144">
        <f t="shared" si="0"/>
        <v>52.15</v>
      </c>
      <c r="I18" s="144">
        <f t="shared" si="0"/>
        <v>52.15</v>
      </c>
      <c r="J18" s="144"/>
      <c r="K18" s="144"/>
      <c r="L18" s="144"/>
      <c r="M18" s="144"/>
      <c r="N18" s="144"/>
      <c r="O18" s="144"/>
      <c r="P18" s="144"/>
      <c r="Q18" s="144"/>
      <c r="R18" s="144"/>
      <c r="S18" s="144"/>
      <c r="T18" s="144"/>
      <c r="U18" s="144"/>
      <c r="V18" s="144"/>
      <c r="W18" s="144"/>
      <c r="X18" s="144"/>
      <c r="Y18" s="144"/>
      <c r="Z18" s="144"/>
      <c r="AA18" s="144"/>
      <c r="AB18" s="144"/>
      <c r="AC18" s="135"/>
      <c r="AD18" s="129" t="s">
        <v>493</v>
      </c>
      <c r="AE18" s="129" t="s">
        <v>2226</v>
      </c>
      <c r="AF18" s="130">
        <v>1</v>
      </c>
      <c r="AG18" s="129" t="s">
        <v>7389</v>
      </c>
      <c r="AH18" s="130">
        <v>10.43</v>
      </c>
      <c r="AI18" s="130">
        <v>10.43</v>
      </c>
    </row>
    <row r="19" spans="1:35" ht="10.5" customHeight="1" x14ac:dyDescent="0.2">
      <c r="A19" s="117" t="s">
        <v>494</v>
      </c>
      <c r="B19" s="117" t="s">
        <v>2227</v>
      </c>
      <c r="C19" s="128">
        <v>1</v>
      </c>
      <c r="D19" s="133" t="s">
        <v>7389</v>
      </c>
      <c r="E19" s="138">
        <f>+INDEX(F19:AB19,1,[3]BOD!$I$2-1)</f>
        <v>12.18</v>
      </c>
      <c r="F19" s="140">
        <v>12.18</v>
      </c>
      <c r="G19" s="144"/>
      <c r="H19" s="144">
        <f t="shared" si="0"/>
        <v>60.9</v>
      </c>
      <c r="I19" s="144">
        <f t="shared" si="0"/>
        <v>60.9</v>
      </c>
      <c r="J19" s="144"/>
      <c r="K19" s="144"/>
      <c r="L19" s="144"/>
      <c r="M19" s="144"/>
      <c r="N19" s="144"/>
      <c r="O19" s="144"/>
      <c r="P19" s="144"/>
      <c r="Q19" s="144"/>
      <c r="R19" s="144"/>
      <c r="S19" s="144"/>
      <c r="T19" s="144"/>
      <c r="U19" s="144"/>
      <c r="V19" s="144"/>
      <c r="W19" s="144"/>
      <c r="X19" s="144"/>
      <c r="Y19" s="144"/>
      <c r="Z19" s="144"/>
      <c r="AA19" s="144"/>
      <c r="AB19" s="144"/>
      <c r="AC19" s="135"/>
      <c r="AD19" s="129" t="s">
        <v>494</v>
      </c>
      <c r="AE19" s="129" t="s">
        <v>2227</v>
      </c>
      <c r="AF19" s="130">
        <v>1</v>
      </c>
      <c r="AG19" s="129" t="s">
        <v>7389</v>
      </c>
      <c r="AH19" s="130">
        <v>12.18</v>
      </c>
      <c r="AI19" s="130">
        <v>12.18</v>
      </c>
    </row>
    <row r="20" spans="1:35" ht="10.5" customHeight="1" x14ac:dyDescent="0.2">
      <c r="A20" s="117" t="s">
        <v>1384</v>
      </c>
      <c r="B20" s="117" t="s">
        <v>2228</v>
      </c>
      <c r="C20" s="128">
        <v>1</v>
      </c>
      <c r="D20" s="133" t="s">
        <v>7389</v>
      </c>
      <c r="E20" s="138">
        <f>+INDEX(F20:AB20,1,[3]BOD!$I$2-1)</f>
        <v>14.09</v>
      </c>
      <c r="F20" s="140">
        <v>14.09</v>
      </c>
      <c r="G20" s="144"/>
      <c r="H20" s="144">
        <f t="shared" si="0"/>
        <v>70.45</v>
      </c>
      <c r="I20" s="144">
        <f t="shared" si="0"/>
        <v>70.45</v>
      </c>
      <c r="J20" s="144"/>
      <c r="K20" s="144"/>
      <c r="L20" s="144"/>
      <c r="M20" s="144"/>
      <c r="N20" s="144"/>
      <c r="O20" s="144"/>
      <c r="P20" s="144"/>
      <c r="Q20" s="144"/>
      <c r="R20" s="144"/>
      <c r="S20" s="144"/>
      <c r="T20" s="144"/>
      <c r="U20" s="144"/>
      <c r="V20" s="144"/>
      <c r="W20" s="144"/>
      <c r="X20" s="144"/>
      <c r="Y20" s="144"/>
      <c r="Z20" s="144"/>
      <c r="AA20" s="144"/>
      <c r="AB20" s="144"/>
      <c r="AC20" s="135"/>
      <c r="AD20" s="129" t="s">
        <v>1384</v>
      </c>
      <c r="AE20" s="129" t="s">
        <v>2228</v>
      </c>
      <c r="AF20" s="130">
        <v>1</v>
      </c>
      <c r="AG20" s="129" t="s">
        <v>7389</v>
      </c>
      <c r="AH20" s="130">
        <v>14.09</v>
      </c>
      <c r="AI20" s="130">
        <v>14.09</v>
      </c>
    </row>
    <row r="21" spans="1:35" ht="10.5" customHeight="1" x14ac:dyDescent="0.2">
      <c r="A21" s="117" t="s">
        <v>1385</v>
      </c>
      <c r="B21" s="117" t="s">
        <v>2229</v>
      </c>
      <c r="C21" s="128">
        <v>1</v>
      </c>
      <c r="D21" s="133" t="s">
        <v>7389</v>
      </c>
      <c r="E21" s="138">
        <f>+INDEX(F21:AB21,1,[3]BOD!$I$2-1)</f>
        <v>16.03</v>
      </c>
      <c r="F21" s="140">
        <v>16.03</v>
      </c>
      <c r="G21" s="144"/>
      <c r="H21" s="144">
        <f t="shared" si="0"/>
        <v>80.150000000000006</v>
      </c>
      <c r="I21" s="144">
        <f t="shared" si="0"/>
        <v>80.150000000000006</v>
      </c>
      <c r="J21" s="144"/>
      <c r="K21" s="144"/>
      <c r="L21" s="144"/>
      <c r="M21" s="144"/>
      <c r="N21" s="144"/>
      <c r="O21" s="144"/>
      <c r="P21" s="144"/>
      <c r="Q21" s="144"/>
      <c r="R21" s="144"/>
      <c r="S21" s="144"/>
      <c r="T21" s="144"/>
      <c r="U21" s="144"/>
      <c r="V21" s="144"/>
      <c r="W21" s="144"/>
      <c r="X21" s="144"/>
      <c r="Y21" s="144"/>
      <c r="Z21" s="144"/>
      <c r="AA21" s="144"/>
      <c r="AB21" s="144"/>
      <c r="AC21" s="135"/>
      <c r="AD21" s="129" t="s">
        <v>1385</v>
      </c>
      <c r="AE21" s="129" t="s">
        <v>2229</v>
      </c>
      <c r="AF21" s="130">
        <v>1</v>
      </c>
      <c r="AG21" s="129" t="s">
        <v>7389</v>
      </c>
      <c r="AH21" s="130">
        <v>16.03</v>
      </c>
      <c r="AI21" s="130">
        <v>16.03</v>
      </c>
    </row>
    <row r="22" spans="1:35" ht="10.5" customHeight="1" x14ac:dyDescent="0.2">
      <c r="A22" s="117" t="s">
        <v>1386</v>
      </c>
      <c r="B22" s="117" t="s">
        <v>2230</v>
      </c>
      <c r="C22" s="128">
        <v>1</v>
      </c>
      <c r="D22" s="133" t="s">
        <v>7389</v>
      </c>
      <c r="E22" s="138">
        <f>+INDEX(F22:AB22,1,[3]BOD!$I$2-1)</f>
        <v>17.93</v>
      </c>
      <c r="F22" s="140">
        <v>17.93</v>
      </c>
      <c r="G22" s="144"/>
      <c r="H22" s="144">
        <f t="shared" si="0"/>
        <v>89.65</v>
      </c>
      <c r="I22" s="144">
        <f t="shared" si="0"/>
        <v>89.65</v>
      </c>
      <c r="J22" s="144"/>
      <c r="K22" s="144"/>
      <c r="L22" s="144"/>
      <c r="M22" s="144"/>
      <c r="N22" s="144"/>
      <c r="O22" s="144"/>
      <c r="P22" s="144"/>
      <c r="Q22" s="144"/>
      <c r="R22" s="144"/>
      <c r="S22" s="144"/>
      <c r="T22" s="144"/>
      <c r="U22" s="144"/>
      <c r="V22" s="144"/>
      <c r="W22" s="144"/>
      <c r="X22" s="144"/>
      <c r="Y22" s="144"/>
      <c r="Z22" s="144"/>
      <c r="AA22" s="144"/>
      <c r="AB22" s="144"/>
      <c r="AC22" s="135"/>
      <c r="AD22" s="129" t="s">
        <v>1386</v>
      </c>
      <c r="AE22" s="129" t="s">
        <v>2230</v>
      </c>
      <c r="AF22" s="130">
        <v>1</v>
      </c>
      <c r="AG22" s="129" t="s">
        <v>7389</v>
      </c>
      <c r="AH22" s="130">
        <v>17.93</v>
      </c>
      <c r="AI22" s="130">
        <v>17.93</v>
      </c>
    </row>
    <row r="23" spans="1:35" ht="10.5" customHeight="1" x14ac:dyDescent="0.2">
      <c r="A23" s="117" t="s">
        <v>1387</v>
      </c>
      <c r="B23" s="117" t="s">
        <v>2231</v>
      </c>
      <c r="C23" s="128">
        <v>1</v>
      </c>
      <c r="D23" s="133" t="s">
        <v>7389</v>
      </c>
      <c r="E23" s="138">
        <f>+INDEX(F23:AB23,1,[3]BOD!$I$2-1)</f>
        <v>19.8</v>
      </c>
      <c r="F23" s="140">
        <v>19.8</v>
      </c>
      <c r="G23" s="144"/>
      <c r="H23" s="144">
        <f t="shared" si="0"/>
        <v>99</v>
      </c>
      <c r="I23" s="144">
        <f t="shared" si="0"/>
        <v>99</v>
      </c>
      <c r="J23" s="144"/>
      <c r="K23" s="144"/>
      <c r="L23" s="144"/>
      <c r="M23" s="144"/>
      <c r="N23" s="144"/>
      <c r="O23" s="144"/>
      <c r="P23" s="144"/>
      <c r="Q23" s="144"/>
      <c r="R23" s="144"/>
      <c r="S23" s="144"/>
      <c r="T23" s="144"/>
      <c r="U23" s="144"/>
      <c r="V23" s="144"/>
      <c r="W23" s="144"/>
      <c r="X23" s="144"/>
      <c r="Y23" s="144"/>
      <c r="Z23" s="144"/>
      <c r="AA23" s="144"/>
      <c r="AB23" s="144"/>
      <c r="AC23" s="135"/>
      <c r="AD23" s="129" t="s">
        <v>1387</v>
      </c>
      <c r="AE23" s="129" t="s">
        <v>2231</v>
      </c>
      <c r="AF23" s="130">
        <v>1</v>
      </c>
      <c r="AG23" s="129" t="s">
        <v>7389</v>
      </c>
      <c r="AH23" s="130">
        <v>19.8</v>
      </c>
      <c r="AI23" s="130">
        <v>19.8</v>
      </c>
    </row>
    <row r="24" spans="1:35" ht="10.5" customHeight="1" x14ac:dyDescent="0.2">
      <c r="A24" s="117" t="s">
        <v>1388</v>
      </c>
      <c r="B24" s="117" t="s">
        <v>2232</v>
      </c>
      <c r="C24" s="128">
        <v>1</v>
      </c>
      <c r="D24" s="133" t="s">
        <v>7389</v>
      </c>
      <c r="E24" s="138">
        <f>+INDEX(F24:AB24,1,[3]BOD!$I$2-1)</f>
        <v>21.71</v>
      </c>
      <c r="F24" s="140">
        <v>21.71</v>
      </c>
      <c r="G24" s="144"/>
      <c r="H24" s="144">
        <f t="shared" si="0"/>
        <v>108.55000000000001</v>
      </c>
      <c r="I24" s="144">
        <f t="shared" si="0"/>
        <v>108.55000000000001</v>
      </c>
      <c r="J24" s="144"/>
      <c r="K24" s="144"/>
      <c r="L24" s="144"/>
      <c r="M24" s="144"/>
      <c r="N24" s="144"/>
      <c r="O24" s="144"/>
      <c r="P24" s="144"/>
      <c r="Q24" s="144"/>
      <c r="R24" s="144"/>
      <c r="S24" s="144"/>
      <c r="T24" s="144"/>
      <c r="U24" s="144"/>
      <c r="V24" s="144"/>
      <c r="W24" s="144"/>
      <c r="X24" s="144"/>
      <c r="Y24" s="144"/>
      <c r="Z24" s="144"/>
      <c r="AA24" s="144"/>
      <c r="AB24" s="144"/>
      <c r="AC24" s="135"/>
      <c r="AD24" s="129" t="s">
        <v>1388</v>
      </c>
      <c r="AE24" s="129" t="s">
        <v>2232</v>
      </c>
      <c r="AF24" s="130">
        <v>1</v>
      </c>
      <c r="AG24" s="129" t="s">
        <v>7389</v>
      </c>
      <c r="AH24" s="130">
        <v>21.71</v>
      </c>
      <c r="AI24" s="130">
        <v>21.71</v>
      </c>
    </row>
    <row r="25" spans="1:35" ht="10.5" customHeight="1" x14ac:dyDescent="0.2">
      <c r="A25" s="117" t="s">
        <v>1389</v>
      </c>
      <c r="B25" s="117" t="s">
        <v>2233</v>
      </c>
      <c r="C25" s="128">
        <v>1</v>
      </c>
      <c r="D25" s="133" t="s">
        <v>7389</v>
      </c>
      <c r="E25" s="138">
        <f>+INDEX(F25:AB25,1,[3]BOD!$I$2-1)</f>
        <v>9.93</v>
      </c>
      <c r="F25" s="140">
        <v>9.93</v>
      </c>
      <c r="G25" s="144"/>
      <c r="H25" s="144">
        <f t="shared" si="0"/>
        <v>49.65</v>
      </c>
      <c r="I25" s="144">
        <f t="shared" si="0"/>
        <v>49.65</v>
      </c>
      <c r="J25" s="144"/>
      <c r="K25" s="144"/>
      <c r="L25" s="144"/>
      <c r="M25" s="144"/>
      <c r="N25" s="144"/>
      <c r="O25" s="144"/>
      <c r="P25" s="144"/>
      <c r="Q25" s="144"/>
      <c r="R25" s="144"/>
      <c r="S25" s="144"/>
      <c r="T25" s="144"/>
      <c r="U25" s="144"/>
      <c r="V25" s="144"/>
      <c r="W25" s="144"/>
      <c r="X25" s="144"/>
      <c r="Y25" s="144"/>
      <c r="Z25" s="144"/>
      <c r="AA25" s="144"/>
      <c r="AB25" s="144"/>
      <c r="AC25" s="135"/>
      <c r="AD25" s="129" t="s">
        <v>1389</v>
      </c>
      <c r="AE25" s="129" t="s">
        <v>2233</v>
      </c>
      <c r="AF25" s="130">
        <v>1</v>
      </c>
      <c r="AG25" s="129" t="s">
        <v>7389</v>
      </c>
      <c r="AH25" s="130">
        <v>9.93</v>
      </c>
      <c r="AI25" s="130">
        <v>9.93</v>
      </c>
    </row>
    <row r="26" spans="1:35" ht="10.5" customHeight="1" x14ac:dyDescent="0.2">
      <c r="A26" s="117" t="s">
        <v>1390</v>
      </c>
      <c r="B26" s="117" t="s">
        <v>2234</v>
      </c>
      <c r="C26" s="128">
        <v>1</v>
      </c>
      <c r="D26" s="133" t="s">
        <v>7389</v>
      </c>
      <c r="E26" s="138">
        <f>+INDEX(F26:AB26,1,[3]BOD!$I$2-1)</f>
        <v>11.83</v>
      </c>
      <c r="F26" s="140">
        <v>11.83</v>
      </c>
      <c r="G26" s="144"/>
      <c r="H26" s="144">
        <f t="shared" si="0"/>
        <v>59.15</v>
      </c>
      <c r="I26" s="144">
        <f t="shared" si="0"/>
        <v>59.15</v>
      </c>
      <c r="J26" s="144"/>
      <c r="K26" s="144"/>
      <c r="L26" s="144"/>
      <c r="M26" s="144"/>
      <c r="N26" s="144"/>
      <c r="O26" s="144"/>
      <c r="P26" s="144"/>
      <c r="Q26" s="144"/>
      <c r="R26" s="144"/>
      <c r="S26" s="144"/>
      <c r="T26" s="144"/>
      <c r="U26" s="144"/>
      <c r="V26" s="144"/>
      <c r="W26" s="144"/>
      <c r="X26" s="144"/>
      <c r="Y26" s="144"/>
      <c r="Z26" s="144"/>
      <c r="AA26" s="144"/>
      <c r="AB26" s="144"/>
      <c r="AC26" s="135"/>
      <c r="AD26" s="129" t="s">
        <v>1390</v>
      </c>
      <c r="AE26" s="129" t="s">
        <v>2234</v>
      </c>
      <c r="AF26" s="130">
        <v>1</v>
      </c>
      <c r="AG26" s="129" t="s">
        <v>7389</v>
      </c>
      <c r="AH26" s="130">
        <v>11.83</v>
      </c>
      <c r="AI26" s="130">
        <v>11.83</v>
      </c>
    </row>
    <row r="27" spans="1:35" ht="10.5" customHeight="1" x14ac:dyDescent="0.2">
      <c r="A27" s="117" t="s">
        <v>8450</v>
      </c>
      <c r="B27" s="117" t="s">
        <v>2235</v>
      </c>
      <c r="C27" s="128">
        <v>1</v>
      </c>
      <c r="D27" s="133" t="s">
        <v>7389</v>
      </c>
      <c r="E27" s="138">
        <f>+INDEX(F27:AB27,1,[3]BOD!$I$2-1)</f>
        <v>14.32</v>
      </c>
      <c r="F27" s="140">
        <v>14.32</v>
      </c>
      <c r="G27" s="144"/>
      <c r="H27" s="144">
        <f t="shared" si="0"/>
        <v>71.599999999999994</v>
      </c>
      <c r="I27" s="144">
        <f t="shared" si="0"/>
        <v>71.599999999999994</v>
      </c>
      <c r="J27" s="144"/>
      <c r="K27" s="144"/>
      <c r="L27" s="144"/>
      <c r="M27" s="144"/>
      <c r="N27" s="144"/>
      <c r="O27" s="144"/>
      <c r="P27" s="144"/>
      <c r="Q27" s="144"/>
      <c r="R27" s="144"/>
      <c r="S27" s="144"/>
      <c r="T27" s="144"/>
      <c r="U27" s="144"/>
      <c r="V27" s="144"/>
      <c r="W27" s="144"/>
      <c r="X27" s="144"/>
      <c r="Y27" s="144"/>
      <c r="Z27" s="144"/>
      <c r="AA27" s="144"/>
      <c r="AB27" s="144"/>
      <c r="AC27" s="135"/>
      <c r="AD27" s="129" t="s">
        <v>8450</v>
      </c>
      <c r="AE27" s="129" t="s">
        <v>2235</v>
      </c>
      <c r="AF27" s="130">
        <v>1</v>
      </c>
      <c r="AG27" s="129" t="s">
        <v>7389</v>
      </c>
      <c r="AH27" s="130">
        <v>14.32</v>
      </c>
      <c r="AI27" s="130">
        <v>14.32</v>
      </c>
    </row>
    <row r="28" spans="1:35" ht="10.5" customHeight="1" x14ac:dyDescent="0.2">
      <c r="A28" s="117" t="s">
        <v>8451</v>
      </c>
      <c r="B28" s="117" t="s">
        <v>2236</v>
      </c>
      <c r="C28" s="128">
        <v>1</v>
      </c>
      <c r="D28" s="133" t="s">
        <v>7389</v>
      </c>
      <c r="E28" s="138">
        <f>+INDEX(F28:AB28,1,[3]BOD!$I$2-1)</f>
        <v>16.22</v>
      </c>
      <c r="F28" s="140">
        <v>16.22</v>
      </c>
      <c r="G28" s="144"/>
      <c r="H28" s="144">
        <f t="shared" si="0"/>
        <v>81.099999999999994</v>
      </c>
      <c r="I28" s="144">
        <f t="shared" si="0"/>
        <v>81.099999999999994</v>
      </c>
      <c r="J28" s="144"/>
      <c r="K28" s="144"/>
      <c r="L28" s="144"/>
      <c r="M28" s="144"/>
      <c r="N28" s="144"/>
      <c r="O28" s="144"/>
      <c r="P28" s="144"/>
      <c r="Q28" s="144"/>
      <c r="R28" s="144"/>
      <c r="S28" s="144"/>
      <c r="T28" s="144"/>
      <c r="U28" s="144"/>
      <c r="V28" s="144"/>
      <c r="W28" s="144"/>
      <c r="X28" s="144"/>
      <c r="Y28" s="144"/>
      <c r="Z28" s="144"/>
      <c r="AA28" s="144"/>
      <c r="AB28" s="144"/>
      <c r="AC28" s="135"/>
      <c r="AD28" s="129" t="s">
        <v>8451</v>
      </c>
      <c r="AE28" s="129" t="s">
        <v>2236</v>
      </c>
      <c r="AF28" s="130">
        <v>1</v>
      </c>
      <c r="AG28" s="129" t="s">
        <v>7389</v>
      </c>
      <c r="AH28" s="130">
        <v>16.22</v>
      </c>
      <c r="AI28" s="130">
        <v>16.22</v>
      </c>
    </row>
    <row r="29" spans="1:35" ht="10.5" customHeight="1" x14ac:dyDescent="0.2">
      <c r="A29" s="117" t="s">
        <v>8452</v>
      </c>
      <c r="B29" s="117" t="s">
        <v>2237</v>
      </c>
      <c r="C29" s="128">
        <v>1</v>
      </c>
      <c r="D29" s="133" t="s">
        <v>7389</v>
      </c>
      <c r="E29" s="138">
        <f>+INDEX(F29:AB29,1,[3]BOD!$I$2-1)</f>
        <v>19.64</v>
      </c>
      <c r="F29" s="140">
        <v>19.64</v>
      </c>
      <c r="G29" s="144"/>
      <c r="H29" s="144">
        <f t="shared" si="0"/>
        <v>98.2</v>
      </c>
      <c r="I29" s="144">
        <f t="shared" si="0"/>
        <v>98.2</v>
      </c>
      <c r="J29" s="144"/>
      <c r="K29" s="144"/>
      <c r="L29" s="144"/>
      <c r="M29" s="144"/>
      <c r="N29" s="144"/>
      <c r="O29" s="144"/>
      <c r="P29" s="144"/>
      <c r="Q29" s="144"/>
      <c r="R29" s="144"/>
      <c r="S29" s="144"/>
      <c r="T29" s="144"/>
      <c r="U29" s="144"/>
      <c r="V29" s="144"/>
      <c r="W29" s="144"/>
      <c r="X29" s="144"/>
      <c r="Y29" s="144"/>
      <c r="Z29" s="144"/>
      <c r="AA29" s="144"/>
      <c r="AB29" s="144"/>
      <c r="AC29" s="135"/>
      <c r="AD29" s="129" t="s">
        <v>8452</v>
      </c>
      <c r="AE29" s="129" t="s">
        <v>2237</v>
      </c>
      <c r="AF29" s="130">
        <v>1</v>
      </c>
      <c r="AG29" s="129" t="s">
        <v>7389</v>
      </c>
      <c r="AH29" s="130">
        <v>19.64</v>
      </c>
      <c r="AI29" s="130">
        <v>19.64</v>
      </c>
    </row>
    <row r="30" spans="1:35" ht="10.5" customHeight="1" x14ac:dyDescent="0.2">
      <c r="A30" s="117" t="s">
        <v>8453</v>
      </c>
      <c r="B30" s="117" t="s">
        <v>2238</v>
      </c>
      <c r="C30" s="128">
        <v>1</v>
      </c>
      <c r="D30" s="133" t="s">
        <v>7389</v>
      </c>
      <c r="E30" s="138">
        <f>+INDEX(F30:AB30,1,[3]BOD!$I$2-1)</f>
        <v>21.54</v>
      </c>
      <c r="F30" s="140">
        <v>21.54</v>
      </c>
      <c r="G30" s="144"/>
      <c r="H30" s="144">
        <f t="shared" si="0"/>
        <v>107.69999999999999</v>
      </c>
      <c r="I30" s="144">
        <f t="shared" si="0"/>
        <v>107.69999999999999</v>
      </c>
      <c r="J30" s="144"/>
      <c r="K30" s="144"/>
      <c r="L30" s="144"/>
      <c r="M30" s="144"/>
      <c r="N30" s="144"/>
      <c r="O30" s="144"/>
      <c r="P30" s="144"/>
      <c r="Q30" s="144"/>
      <c r="R30" s="144"/>
      <c r="S30" s="144"/>
      <c r="T30" s="144"/>
      <c r="U30" s="144"/>
      <c r="V30" s="144"/>
      <c r="W30" s="144"/>
      <c r="X30" s="144"/>
      <c r="Y30" s="144"/>
      <c r="Z30" s="144"/>
      <c r="AA30" s="144"/>
      <c r="AB30" s="144"/>
      <c r="AC30" s="135"/>
      <c r="AD30" s="129" t="s">
        <v>8453</v>
      </c>
      <c r="AE30" s="129" t="s">
        <v>2238</v>
      </c>
      <c r="AF30" s="130">
        <v>1</v>
      </c>
      <c r="AG30" s="129" t="s">
        <v>7389</v>
      </c>
      <c r="AH30" s="130">
        <v>21.54</v>
      </c>
      <c r="AI30" s="130">
        <v>21.54</v>
      </c>
    </row>
    <row r="31" spans="1:35" ht="10.5" customHeight="1" x14ac:dyDescent="0.2">
      <c r="A31" s="117" t="s">
        <v>8454</v>
      </c>
      <c r="B31" s="117" t="s">
        <v>2239</v>
      </c>
      <c r="C31" s="128">
        <v>1</v>
      </c>
      <c r="D31" s="133" t="s">
        <v>7389</v>
      </c>
      <c r="E31" s="138">
        <f>+INDEX(F31:AB31,1,[3]BOD!$I$2-1)</f>
        <v>23.44</v>
      </c>
      <c r="F31" s="140">
        <v>23.44</v>
      </c>
      <c r="G31" s="144"/>
      <c r="H31" s="144">
        <f t="shared" si="0"/>
        <v>117.2</v>
      </c>
      <c r="I31" s="144">
        <f t="shared" si="0"/>
        <v>117.2</v>
      </c>
      <c r="J31" s="144"/>
      <c r="K31" s="144"/>
      <c r="L31" s="144"/>
      <c r="M31" s="144"/>
      <c r="N31" s="144"/>
      <c r="O31" s="144"/>
      <c r="P31" s="144"/>
      <c r="Q31" s="144"/>
      <c r="R31" s="144"/>
      <c r="S31" s="144"/>
      <c r="T31" s="144"/>
      <c r="U31" s="144"/>
      <c r="V31" s="144"/>
      <c r="W31" s="144"/>
      <c r="X31" s="144"/>
      <c r="Y31" s="144"/>
      <c r="Z31" s="144"/>
      <c r="AA31" s="144"/>
      <c r="AB31" s="144"/>
      <c r="AC31" s="135"/>
      <c r="AD31" s="129" t="s">
        <v>8454</v>
      </c>
      <c r="AE31" s="129" t="s">
        <v>2239</v>
      </c>
      <c r="AF31" s="130">
        <v>1</v>
      </c>
      <c r="AG31" s="129" t="s">
        <v>7389</v>
      </c>
      <c r="AH31" s="130">
        <v>23.44</v>
      </c>
      <c r="AI31" s="130">
        <v>23.44</v>
      </c>
    </row>
    <row r="32" spans="1:35" ht="10.5" customHeight="1" x14ac:dyDescent="0.2">
      <c r="A32" s="117" t="s">
        <v>8455</v>
      </c>
      <c r="B32" s="117" t="s">
        <v>2240</v>
      </c>
      <c r="C32" s="128">
        <v>1</v>
      </c>
      <c r="D32" s="133" t="s">
        <v>7389</v>
      </c>
      <c r="E32" s="138">
        <f>+INDEX(F32:AB32,1,[3]BOD!$I$2-1)</f>
        <v>23.55</v>
      </c>
      <c r="F32" s="140">
        <v>23.55</v>
      </c>
      <c r="G32" s="144"/>
      <c r="H32" s="144">
        <f t="shared" si="0"/>
        <v>117.75</v>
      </c>
      <c r="I32" s="144">
        <f t="shared" si="0"/>
        <v>117.75</v>
      </c>
      <c r="J32" s="144"/>
      <c r="K32" s="144"/>
      <c r="L32" s="144"/>
      <c r="M32" s="144"/>
      <c r="N32" s="144"/>
      <c r="O32" s="144"/>
      <c r="P32" s="144"/>
      <c r="Q32" s="144"/>
      <c r="R32" s="144"/>
      <c r="S32" s="144"/>
      <c r="T32" s="144"/>
      <c r="U32" s="144"/>
      <c r="V32" s="144"/>
      <c r="W32" s="144"/>
      <c r="X32" s="144"/>
      <c r="Y32" s="144"/>
      <c r="Z32" s="144"/>
      <c r="AA32" s="144"/>
      <c r="AB32" s="144"/>
      <c r="AC32" s="135"/>
      <c r="AD32" s="129" t="s">
        <v>8455</v>
      </c>
      <c r="AE32" s="129" t="s">
        <v>2240</v>
      </c>
      <c r="AF32" s="130">
        <v>1</v>
      </c>
      <c r="AG32" s="129" t="s">
        <v>7389</v>
      </c>
      <c r="AH32" s="130">
        <v>23.55</v>
      </c>
      <c r="AI32" s="130">
        <v>23.55</v>
      </c>
    </row>
    <row r="33" spans="1:35" ht="10.5" customHeight="1" x14ac:dyDescent="0.2">
      <c r="A33" s="117" t="s">
        <v>8456</v>
      </c>
      <c r="B33" s="117" t="s">
        <v>2241</v>
      </c>
      <c r="C33" s="128">
        <v>1</v>
      </c>
      <c r="D33" s="133" t="s">
        <v>7389</v>
      </c>
      <c r="E33" s="138">
        <f>+INDEX(F33:AB33,1,[3]BOD!$I$2-1)</f>
        <v>0</v>
      </c>
      <c r="F33" s="140">
        <v>0</v>
      </c>
      <c r="G33" s="144"/>
      <c r="H33" s="144">
        <f t="shared" si="0"/>
        <v>0</v>
      </c>
      <c r="I33" s="144">
        <f t="shared" si="0"/>
        <v>0</v>
      </c>
      <c r="J33" s="144"/>
      <c r="K33" s="144"/>
      <c r="L33" s="144"/>
      <c r="M33" s="144"/>
      <c r="N33" s="144"/>
      <c r="O33" s="144"/>
      <c r="P33" s="144"/>
      <c r="Q33" s="144"/>
      <c r="R33" s="144"/>
      <c r="S33" s="144"/>
      <c r="T33" s="144"/>
      <c r="U33" s="144"/>
      <c r="V33" s="144"/>
      <c r="W33" s="144"/>
      <c r="X33" s="144"/>
      <c r="Y33" s="144"/>
      <c r="Z33" s="144"/>
      <c r="AA33" s="144"/>
      <c r="AB33" s="144"/>
      <c r="AC33" s="135"/>
      <c r="AD33" s="129" t="s">
        <v>8456</v>
      </c>
      <c r="AE33" s="129" t="s">
        <v>2241</v>
      </c>
      <c r="AF33" s="130">
        <v>1</v>
      </c>
      <c r="AG33" s="129" t="s">
        <v>7389</v>
      </c>
      <c r="AH33" s="130">
        <v>0</v>
      </c>
      <c r="AI33" s="130">
        <v>0</v>
      </c>
    </row>
    <row r="34" spans="1:35" ht="10.5" customHeight="1" x14ac:dyDescent="0.2">
      <c r="A34" s="117" t="s">
        <v>1650</v>
      </c>
      <c r="B34" s="117" t="s">
        <v>2242</v>
      </c>
      <c r="C34" s="128">
        <v>1</v>
      </c>
      <c r="D34" s="133" t="s">
        <v>7389</v>
      </c>
      <c r="E34" s="138">
        <f>+INDEX(F34:AB34,1,[3]BOD!$I$2-1)</f>
        <v>0</v>
      </c>
      <c r="F34" s="140">
        <v>0</v>
      </c>
      <c r="G34" s="144"/>
      <c r="H34" s="144">
        <f t="shared" si="0"/>
        <v>0</v>
      </c>
      <c r="I34" s="144">
        <f t="shared" si="0"/>
        <v>0</v>
      </c>
      <c r="J34" s="144"/>
      <c r="K34" s="144"/>
      <c r="L34" s="144"/>
      <c r="M34" s="144"/>
      <c r="N34" s="144"/>
      <c r="O34" s="144"/>
      <c r="P34" s="144"/>
      <c r="Q34" s="144"/>
      <c r="R34" s="144"/>
      <c r="S34" s="144"/>
      <c r="T34" s="144"/>
      <c r="U34" s="144"/>
      <c r="V34" s="144"/>
      <c r="W34" s="144"/>
      <c r="X34" s="144"/>
      <c r="Y34" s="144"/>
      <c r="Z34" s="144"/>
      <c r="AA34" s="144"/>
      <c r="AB34" s="144"/>
      <c r="AC34" s="135"/>
      <c r="AD34" s="129" t="s">
        <v>1650</v>
      </c>
      <c r="AE34" s="129" t="s">
        <v>2242</v>
      </c>
      <c r="AF34" s="130">
        <v>1</v>
      </c>
      <c r="AG34" s="129" t="s">
        <v>7389</v>
      </c>
      <c r="AH34" s="130">
        <v>0</v>
      </c>
      <c r="AI34" s="130">
        <v>0</v>
      </c>
    </row>
    <row r="35" spans="1:35" ht="10.5" customHeight="1" x14ac:dyDescent="0.2">
      <c r="A35" s="117" t="s">
        <v>1651</v>
      </c>
      <c r="B35" s="117" t="s">
        <v>1652</v>
      </c>
      <c r="C35" s="128">
        <v>1</v>
      </c>
      <c r="D35" s="133" t="s">
        <v>7389</v>
      </c>
      <c r="E35" s="138">
        <f>+INDEX(F35:AB35,1,[3]BOD!$I$2-1)</f>
        <v>4.7</v>
      </c>
      <c r="F35" s="140">
        <v>4.7</v>
      </c>
      <c r="G35" s="144"/>
      <c r="H35" s="144">
        <f t="shared" si="0"/>
        <v>23.5</v>
      </c>
      <c r="I35" s="144">
        <f t="shared" si="0"/>
        <v>23.5</v>
      </c>
      <c r="J35" s="144"/>
      <c r="K35" s="144"/>
      <c r="L35" s="144"/>
      <c r="M35" s="144"/>
      <c r="N35" s="144"/>
      <c r="O35" s="144"/>
      <c r="P35" s="144"/>
      <c r="Q35" s="144"/>
      <c r="R35" s="144"/>
      <c r="S35" s="144"/>
      <c r="T35" s="144"/>
      <c r="U35" s="144"/>
      <c r="V35" s="144"/>
      <c r="W35" s="144"/>
      <c r="X35" s="144"/>
      <c r="Y35" s="144"/>
      <c r="Z35" s="144"/>
      <c r="AA35" s="144"/>
      <c r="AB35" s="144"/>
      <c r="AC35" s="135"/>
      <c r="AD35" s="129" t="s">
        <v>1651</v>
      </c>
      <c r="AE35" s="129" t="s">
        <v>1652</v>
      </c>
      <c r="AF35" s="130">
        <v>1</v>
      </c>
      <c r="AG35" s="129" t="s">
        <v>7389</v>
      </c>
      <c r="AH35" s="130">
        <v>4.7</v>
      </c>
      <c r="AI35" s="130">
        <v>4.7</v>
      </c>
    </row>
    <row r="36" spans="1:35" ht="10.5" customHeight="1" x14ac:dyDescent="0.2">
      <c r="A36" s="117" t="s">
        <v>1653</v>
      </c>
      <c r="B36" s="117" t="s">
        <v>1654</v>
      </c>
      <c r="C36" s="128">
        <v>1</v>
      </c>
      <c r="D36" s="133" t="s">
        <v>7389</v>
      </c>
      <c r="E36" s="138">
        <f>+INDEX(F36:AB36,1,[3]BOD!$I$2-1)</f>
        <v>6.05</v>
      </c>
      <c r="F36" s="140">
        <v>6.05</v>
      </c>
      <c r="G36" s="144"/>
      <c r="H36" s="144">
        <f t="shared" si="0"/>
        <v>30.25</v>
      </c>
      <c r="I36" s="144">
        <f t="shared" si="0"/>
        <v>30.25</v>
      </c>
      <c r="J36" s="144"/>
      <c r="K36" s="144"/>
      <c r="L36" s="144"/>
      <c r="M36" s="144"/>
      <c r="N36" s="144"/>
      <c r="O36" s="144"/>
      <c r="P36" s="144"/>
      <c r="Q36" s="144"/>
      <c r="R36" s="144"/>
      <c r="S36" s="144"/>
      <c r="T36" s="144"/>
      <c r="U36" s="144"/>
      <c r="V36" s="144"/>
      <c r="W36" s="144"/>
      <c r="X36" s="144"/>
      <c r="Y36" s="144"/>
      <c r="Z36" s="144"/>
      <c r="AA36" s="144"/>
      <c r="AB36" s="144"/>
      <c r="AC36" s="135"/>
      <c r="AD36" s="129" t="s">
        <v>1653</v>
      </c>
      <c r="AE36" s="129" t="s">
        <v>1654</v>
      </c>
      <c r="AF36" s="130">
        <v>1</v>
      </c>
      <c r="AG36" s="129" t="s">
        <v>7389</v>
      </c>
      <c r="AH36" s="130">
        <v>6.05</v>
      </c>
      <c r="AI36" s="130">
        <v>6.05</v>
      </c>
    </row>
    <row r="37" spans="1:35" ht="10.5" customHeight="1" x14ac:dyDescent="0.2">
      <c r="A37" s="117" t="s">
        <v>1655</v>
      </c>
      <c r="B37" s="117" t="s">
        <v>1656</v>
      </c>
      <c r="C37" s="128">
        <v>1</v>
      </c>
      <c r="D37" s="133" t="s">
        <v>7389</v>
      </c>
      <c r="E37" s="138">
        <f>+INDEX(F37:AB37,1,[3]BOD!$I$2-1)</f>
        <v>8.16</v>
      </c>
      <c r="F37" s="140">
        <v>8.16</v>
      </c>
      <c r="G37" s="144"/>
      <c r="H37" s="144">
        <f t="shared" si="0"/>
        <v>40.799999999999997</v>
      </c>
      <c r="I37" s="144">
        <f t="shared" si="0"/>
        <v>40.799999999999997</v>
      </c>
      <c r="J37" s="144"/>
      <c r="K37" s="144"/>
      <c r="L37" s="144"/>
      <c r="M37" s="144"/>
      <c r="N37" s="144"/>
      <c r="O37" s="144"/>
      <c r="P37" s="144"/>
      <c r="Q37" s="144"/>
      <c r="R37" s="144"/>
      <c r="S37" s="144"/>
      <c r="T37" s="144"/>
      <c r="U37" s="144"/>
      <c r="V37" s="144"/>
      <c r="W37" s="144"/>
      <c r="X37" s="144"/>
      <c r="Y37" s="144"/>
      <c r="Z37" s="144"/>
      <c r="AA37" s="144"/>
      <c r="AB37" s="144"/>
      <c r="AC37" s="135"/>
      <c r="AD37" s="129" t="s">
        <v>1655</v>
      </c>
      <c r="AE37" s="129" t="s">
        <v>1656</v>
      </c>
      <c r="AF37" s="130">
        <v>1</v>
      </c>
      <c r="AG37" s="129" t="s">
        <v>7389</v>
      </c>
      <c r="AH37" s="130">
        <v>8.16</v>
      </c>
      <c r="AI37" s="130">
        <v>8.16</v>
      </c>
    </row>
    <row r="38" spans="1:35" ht="10.5" customHeight="1" x14ac:dyDescent="0.2">
      <c r="A38" s="117" t="s">
        <v>1657</v>
      </c>
      <c r="B38" s="117" t="s">
        <v>1658</v>
      </c>
      <c r="C38" s="128">
        <v>1</v>
      </c>
      <c r="D38" s="133" t="s">
        <v>7389</v>
      </c>
      <c r="E38" s="138">
        <f>+INDEX(F38:AB38,1,[3]BOD!$I$2-1)</f>
        <v>12.65</v>
      </c>
      <c r="F38" s="140">
        <v>12.65</v>
      </c>
      <c r="G38" s="144"/>
      <c r="H38" s="144">
        <f t="shared" si="0"/>
        <v>63.25</v>
      </c>
      <c r="I38" s="144">
        <f t="shared" si="0"/>
        <v>63.25</v>
      </c>
      <c r="J38" s="144"/>
      <c r="K38" s="144"/>
      <c r="L38" s="144"/>
      <c r="M38" s="144"/>
      <c r="N38" s="144"/>
      <c r="O38" s="144"/>
      <c r="P38" s="144"/>
      <c r="Q38" s="144"/>
      <c r="R38" s="144"/>
      <c r="S38" s="144"/>
      <c r="T38" s="144"/>
      <c r="U38" s="144"/>
      <c r="V38" s="144"/>
      <c r="W38" s="144"/>
      <c r="X38" s="144"/>
      <c r="Y38" s="144"/>
      <c r="Z38" s="144"/>
      <c r="AA38" s="144"/>
      <c r="AB38" s="144"/>
      <c r="AC38" s="135"/>
      <c r="AD38" s="129" t="s">
        <v>1657</v>
      </c>
      <c r="AE38" s="129" t="s">
        <v>1658</v>
      </c>
      <c r="AF38" s="130">
        <v>1</v>
      </c>
      <c r="AG38" s="129" t="s">
        <v>7389</v>
      </c>
      <c r="AH38" s="130">
        <v>12.65</v>
      </c>
      <c r="AI38" s="130">
        <v>12.65</v>
      </c>
    </row>
    <row r="39" spans="1:35" ht="10.5" customHeight="1" x14ac:dyDescent="0.2">
      <c r="A39" s="117" t="s">
        <v>1659</v>
      </c>
      <c r="B39" s="117" t="s">
        <v>1660</v>
      </c>
      <c r="C39" s="128">
        <v>1</v>
      </c>
      <c r="D39" s="133" t="s">
        <v>7389</v>
      </c>
      <c r="E39" s="138">
        <f>+INDEX(F39:AB39,1,[3]BOD!$I$2-1)</f>
        <v>24.25</v>
      </c>
      <c r="F39" s="140">
        <v>24.25</v>
      </c>
      <c r="G39" s="144"/>
      <c r="H39" s="144">
        <f t="shared" si="0"/>
        <v>121.25</v>
      </c>
      <c r="I39" s="144">
        <f t="shared" si="0"/>
        <v>121.25</v>
      </c>
      <c r="J39" s="144"/>
      <c r="K39" s="144"/>
      <c r="L39" s="144"/>
      <c r="M39" s="144"/>
      <c r="N39" s="144"/>
      <c r="O39" s="144"/>
      <c r="P39" s="144"/>
      <c r="Q39" s="144"/>
      <c r="R39" s="144"/>
      <c r="S39" s="144"/>
      <c r="T39" s="144"/>
      <c r="U39" s="144"/>
      <c r="V39" s="144"/>
      <c r="W39" s="144"/>
      <c r="X39" s="144"/>
      <c r="Y39" s="144"/>
      <c r="Z39" s="144"/>
      <c r="AA39" s="144"/>
      <c r="AB39" s="144"/>
      <c r="AC39" s="135"/>
      <c r="AD39" s="129" t="s">
        <v>1659</v>
      </c>
      <c r="AE39" s="129" t="s">
        <v>1660</v>
      </c>
      <c r="AF39" s="130">
        <v>1</v>
      </c>
      <c r="AG39" s="129" t="s">
        <v>7389</v>
      </c>
      <c r="AH39" s="130">
        <v>24.25</v>
      </c>
      <c r="AI39" s="130">
        <v>24.25</v>
      </c>
    </row>
    <row r="40" spans="1:35" ht="10.5" customHeight="1" x14ac:dyDescent="0.2">
      <c r="A40" s="117" t="s">
        <v>1661</v>
      </c>
      <c r="B40" s="117" t="s">
        <v>4423</v>
      </c>
      <c r="C40" s="128">
        <v>1</v>
      </c>
      <c r="D40" s="133" t="s">
        <v>7389</v>
      </c>
      <c r="E40" s="138">
        <f>+INDEX(F40:AB40,1,[3]BOD!$I$2-1)</f>
        <v>4.7</v>
      </c>
      <c r="F40" s="140">
        <v>4.7</v>
      </c>
      <c r="G40" s="144"/>
      <c r="H40" s="144">
        <f t="shared" si="0"/>
        <v>23.5</v>
      </c>
      <c r="I40" s="144">
        <f t="shared" si="0"/>
        <v>23.5</v>
      </c>
      <c r="J40" s="144"/>
      <c r="K40" s="144"/>
      <c r="L40" s="144"/>
      <c r="M40" s="144"/>
      <c r="N40" s="144"/>
      <c r="O40" s="144"/>
      <c r="P40" s="144"/>
      <c r="Q40" s="144"/>
      <c r="R40" s="144"/>
      <c r="S40" s="144"/>
      <c r="T40" s="144"/>
      <c r="U40" s="144"/>
      <c r="V40" s="144"/>
      <c r="W40" s="144"/>
      <c r="X40" s="144"/>
      <c r="Y40" s="144"/>
      <c r="Z40" s="144"/>
      <c r="AA40" s="144"/>
      <c r="AB40" s="144"/>
      <c r="AC40" s="135"/>
      <c r="AD40" s="129" t="s">
        <v>1661</v>
      </c>
      <c r="AE40" s="129" t="s">
        <v>1662</v>
      </c>
      <c r="AF40" s="130">
        <v>1</v>
      </c>
      <c r="AG40" s="129" t="s">
        <v>7389</v>
      </c>
      <c r="AH40" s="130">
        <v>9.2100000000000009</v>
      </c>
      <c r="AI40" s="130">
        <v>9.2100000000000009</v>
      </c>
    </row>
    <row r="41" spans="1:35" ht="10.5" customHeight="1" x14ac:dyDescent="0.2">
      <c r="A41" s="117" t="s">
        <v>1663</v>
      </c>
      <c r="B41" s="117" t="s">
        <v>4424</v>
      </c>
      <c r="C41" s="128">
        <v>1</v>
      </c>
      <c r="D41" s="133" t="s">
        <v>7389</v>
      </c>
      <c r="E41" s="138">
        <f>+INDEX(F41:AB41,1,[3]BOD!$I$2-1)</f>
        <v>6.05</v>
      </c>
      <c r="F41" s="140">
        <v>6.05</v>
      </c>
      <c r="G41" s="144"/>
      <c r="H41" s="144">
        <f t="shared" si="0"/>
        <v>30.25</v>
      </c>
      <c r="I41" s="144">
        <f t="shared" si="0"/>
        <v>30.25</v>
      </c>
      <c r="J41" s="144"/>
      <c r="K41" s="144"/>
      <c r="L41" s="144"/>
      <c r="M41" s="144"/>
      <c r="N41" s="144"/>
      <c r="O41" s="144"/>
      <c r="P41" s="144"/>
      <c r="Q41" s="144"/>
      <c r="R41" s="144"/>
      <c r="S41" s="144"/>
      <c r="T41" s="144"/>
      <c r="U41" s="144"/>
      <c r="V41" s="144"/>
      <c r="W41" s="144"/>
      <c r="X41" s="144"/>
      <c r="Y41" s="144"/>
      <c r="Z41" s="144"/>
      <c r="AA41" s="144"/>
      <c r="AB41" s="144"/>
      <c r="AC41" s="135"/>
      <c r="AD41" s="129" t="s">
        <v>1663</v>
      </c>
      <c r="AE41" s="129" t="s">
        <v>1664</v>
      </c>
      <c r="AF41" s="130">
        <v>1</v>
      </c>
      <c r="AG41" s="129" t="s">
        <v>7389</v>
      </c>
      <c r="AH41" s="130">
        <v>11.88</v>
      </c>
      <c r="AI41" s="130">
        <v>11.88</v>
      </c>
    </row>
    <row r="42" spans="1:35" ht="10.5" customHeight="1" x14ac:dyDescent="0.2">
      <c r="A42" s="117" t="s">
        <v>1665</v>
      </c>
      <c r="B42" s="117" t="s">
        <v>4425</v>
      </c>
      <c r="C42" s="128">
        <v>1</v>
      </c>
      <c r="D42" s="133" t="s">
        <v>7389</v>
      </c>
      <c r="E42" s="138">
        <f>+INDEX(F42:AB42,1,[3]BOD!$I$2-1)</f>
        <v>8.16</v>
      </c>
      <c r="F42" s="140">
        <v>8.16</v>
      </c>
      <c r="G42" s="144"/>
      <c r="H42" s="144">
        <f t="shared" si="0"/>
        <v>40.799999999999997</v>
      </c>
      <c r="I42" s="144">
        <f t="shared" si="0"/>
        <v>40.799999999999997</v>
      </c>
      <c r="J42" s="144"/>
      <c r="K42" s="144"/>
      <c r="L42" s="144"/>
      <c r="M42" s="144"/>
      <c r="N42" s="144"/>
      <c r="O42" s="144"/>
      <c r="P42" s="144"/>
      <c r="Q42" s="144"/>
      <c r="R42" s="144"/>
      <c r="S42" s="144"/>
      <c r="T42" s="144"/>
      <c r="U42" s="144"/>
      <c r="V42" s="144"/>
      <c r="W42" s="144"/>
      <c r="X42" s="144"/>
      <c r="Y42" s="144"/>
      <c r="Z42" s="144"/>
      <c r="AA42" s="144"/>
      <c r="AB42" s="144"/>
      <c r="AC42" s="135"/>
      <c r="AD42" s="129" t="s">
        <v>1665</v>
      </c>
      <c r="AE42" s="129" t="s">
        <v>1666</v>
      </c>
      <c r="AF42" s="130">
        <v>1</v>
      </c>
      <c r="AG42" s="129" t="s">
        <v>7389</v>
      </c>
      <c r="AH42" s="130">
        <v>18.34</v>
      </c>
      <c r="AI42" s="130">
        <v>18.34</v>
      </c>
    </row>
    <row r="43" spans="1:35" ht="10.5" customHeight="1" x14ac:dyDescent="0.2">
      <c r="A43" s="117" t="s">
        <v>1667</v>
      </c>
      <c r="B43" s="117" t="s">
        <v>4426</v>
      </c>
      <c r="C43" s="128">
        <v>1</v>
      </c>
      <c r="D43" s="133" t="s">
        <v>7389</v>
      </c>
      <c r="E43" s="138">
        <f>+INDEX(F43:AB43,1,[3]BOD!$I$2-1)</f>
        <v>12.65</v>
      </c>
      <c r="F43" s="140">
        <v>12.65</v>
      </c>
      <c r="G43" s="144"/>
      <c r="H43" s="144">
        <f t="shared" si="0"/>
        <v>63.25</v>
      </c>
      <c r="I43" s="144">
        <f t="shared" si="0"/>
        <v>63.25</v>
      </c>
      <c r="J43" s="144"/>
      <c r="K43" s="144"/>
      <c r="L43" s="144"/>
      <c r="M43" s="144"/>
      <c r="N43" s="144"/>
      <c r="O43" s="144"/>
      <c r="P43" s="144"/>
      <c r="Q43" s="144"/>
      <c r="R43" s="144"/>
      <c r="S43" s="144"/>
      <c r="T43" s="144"/>
      <c r="U43" s="144"/>
      <c r="V43" s="144"/>
      <c r="W43" s="144"/>
      <c r="X43" s="144"/>
      <c r="Y43" s="144"/>
      <c r="Z43" s="144"/>
      <c r="AA43" s="144"/>
      <c r="AB43" s="144"/>
      <c r="AC43" s="135"/>
      <c r="AD43" s="129" t="s">
        <v>1667</v>
      </c>
      <c r="AE43" s="129" t="s">
        <v>4722</v>
      </c>
      <c r="AF43" s="130">
        <v>1</v>
      </c>
      <c r="AG43" s="129" t="s">
        <v>7389</v>
      </c>
      <c r="AH43" s="130">
        <v>24.93</v>
      </c>
      <c r="AI43" s="130">
        <v>24.93</v>
      </c>
    </row>
    <row r="44" spans="1:35" ht="10.5" customHeight="1" x14ac:dyDescent="0.2">
      <c r="A44" s="117" t="s">
        <v>4723</v>
      </c>
      <c r="B44" s="117" t="s">
        <v>4427</v>
      </c>
      <c r="C44" s="128">
        <v>1</v>
      </c>
      <c r="D44" s="133" t="s">
        <v>7389</v>
      </c>
      <c r="E44" s="138">
        <f>+INDEX(F44:AB44,1,[3]BOD!$I$2-1)</f>
        <v>24.25</v>
      </c>
      <c r="F44" s="140">
        <v>24.25</v>
      </c>
      <c r="G44" s="144"/>
      <c r="H44" s="144">
        <f t="shared" si="0"/>
        <v>121.25</v>
      </c>
      <c r="I44" s="144">
        <f t="shared" si="0"/>
        <v>121.25</v>
      </c>
      <c r="J44" s="144"/>
      <c r="K44" s="144"/>
      <c r="L44" s="144"/>
      <c r="M44" s="144"/>
      <c r="N44" s="144"/>
      <c r="O44" s="144"/>
      <c r="P44" s="144"/>
      <c r="Q44" s="144"/>
      <c r="R44" s="144"/>
      <c r="S44" s="144"/>
      <c r="T44" s="144"/>
      <c r="U44" s="144"/>
      <c r="V44" s="144"/>
      <c r="W44" s="144"/>
      <c r="X44" s="144"/>
      <c r="Y44" s="144"/>
      <c r="Z44" s="144"/>
      <c r="AA44" s="144"/>
      <c r="AB44" s="144"/>
      <c r="AC44" s="135"/>
      <c r="AD44" s="129" t="s">
        <v>4723</v>
      </c>
      <c r="AE44" s="129" t="s">
        <v>4724</v>
      </c>
      <c r="AF44" s="130">
        <v>1</v>
      </c>
      <c r="AG44" s="129" t="s">
        <v>7389</v>
      </c>
      <c r="AH44" s="130">
        <v>41.08</v>
      </c>
      <c r="AI44" s="130">
        <v>41.08</v>
      </c>
    </row>
    <row r="45" spans="1:35" ht="10.5" customHeight="1" x14ac:dyDescent="0.2">
      <c r="A45" s="117" t="s">
        <v>4725</v>
      </c>
      <c r="B45" s="117" t="s">
        <v>1662</v>
      </c>
      <c r="C45" s="128">
        <v>1</v>
      </c>
      <c r="D45" s="133" t="s">
        <v>7389</v>
      </c>
      <c r="E45" s="138">
        <f>+INDEX(F45:AB45,1,[3]BOD!$I$2-1)</f>
        <v>9.2100000000000009</v>
      </c>
      <c r="F45" s="140">
        <v>9.2100000000000009</v>
      </c>
      <c r="G45" s="144"/>
      <c r="H45" s="144">
        <f t="shared" si="0"/>
        <v>46.050000000000004</v>
      </c>
      <c r="I45" s="144">
        <f t="shared" si="0"/>
        <v>46.050000000000004</v>
      </c>
      <c r="J45" s="144"/>
      <c r="K45" s="144"/>
      <c r="L45" s="144"/>
      <c r="M45" s="144"/>
      <c r="N45" s="144"/>
      <c r="O45" s="144"/>
      <c r="P45" s="144"/>
      <c r="Q45" s="144"/>
      <c r="R45" s="144"/>
      <c r="S45" s="144"/>
      <c r="T45" s="144"/>
      <c r="U45" s="144"/>
      <c r="V45" s="144"/>
      <c r="W45" s="144"/>
      <c r="X45" s="144"/>
      <c r="Y45" s="144"/>
      <c r="Z45" s="144"/>
      <c r="AA45" s="144"/>
      <c r="AB45" s="144"/>
      <c r="AC45" s="135"/>
      <c r="AD45" s="129" t="s">
        <v>4725</v>
      </c>
      <c r="AE45" s="129" t="s">
        <v>2248</v>
      </c>
      <c r="AF45" s="130">
        <v>1</v>
      </c>
      <c r="AG45" s="129" t="s">
        <v>7389</v>
      </c>
      <c r="AH45" s="130">
        <v>39.22</v>
      </c>
      <c r="AI45" s="130">
        <v>39.22</v>
      </c>
    </row>
    <row r="46" spans="1:35" ht="10.5" customHeight="1" x14ac:dyDescent="0.2">
      <c r="A46" s="117" t="s">
        <v>4726</v>
      </c>
      <c r="B46" s="117" t="s">
        <v>1664</v>
      </c>
      <c r="C46" s="128">
        <v>1</v>
      </c>
      <c r="D46" s="133" t="s">
        <v>7389</v>
      </c>
      <c r="E46" s="138">
        <f>+INDEX(F46:AB46,1,[3]BOD!$I$2-1)</f>
        <v>11.88</v>
      </c>
      <c r="F46" s="140">
        <v>11.88</v>
      </c>
      <c r="G46" s="144"/>
      <c r="H46" s="144">
        <f t="shared" si="0"/>
        <v>59.400000000000006</v>
      </c>
      <c r="I46" s="144">
        <f t="shared" si="0"/>
        <v>59.400000000000006</v>
      </c>
      <c r="J46" s="144"/>
      <c r="K46" s="144"/>
      <c r="L46" s="144"/>
      <c r="M46" s="144"/>
      <c r="N46" s="144"/>
      <c r="O46" s="144"/>
      <c r="P46" s="144"/>
      <c r="Q46" s="144"/>
      <c r="R46" s="144"/>
      <c r="S46" s="144"/>
      <c r="T46" s="144"/>
      <c r="U46" s="144"/>
      <c r="V46" s="144"/>
      <c r="W46" s="144"/>
      <c r="X46" s="144"/>
      <c r="Y46" s="144"/>
      <c r="Z46" s="144"/>
      <c r="AA46" s="144"/>
      <c r="AB46" s="144"/>
      <c r="AC46" s="135"/>
      <c r="AD46" s="129" t="s">
        <v>4726</v>
      </c>
      <c r="AE46" s="129" t="s">
        <v>2249</v>
      </c>
      <c r="AF46" s="130">
        <v>1</v>
      </c>
      <c r="AG46" s="129" t="s">
        <v>7389</v>
      </c>
      <c r="AH46" s="130">
        <v>44.54</v>
      </c>
      <c r="AI46" s="130">
        <v>44.54</v>
      </c>
    </row>
    <row r="47" spans="1:35" ht="10.5" customHeight="1" x14ac:dyDescent="0.2">
      <c r="A47" s="117" t="s">
        <v>2570</v>
      </c>
      <c r="B47" s="117" t="s">
        <v>1666</v>
      </c>
      <c r="C47" s="128">
        <v>1</v>
      </c>
      <c r="D47" s="133" t="s">
        <v>7389</v>
      </c>
      <c r="E47" s="138">
        <f>+INDEX(F47:AB47,1,[3]BOD!$I$2-1)</f>
        <v>18.34</v>
      </c>
      <c r="F47" s="140">
        <v>18.34</v>
      </c>
      <c r="G47" s="144"/>
      <c r="H47" s="144">
        <f t="shared" si="0"/>
        <v>91.7</v>
      </c>
      <c r="I47" s="144">
        <f t="shared" si="0"/>
        <v>91.7</v>
      </c>
      <c r="J47" s="144"/>
      <c r="K47" s="144"/>
      <c r="L47" s="144"/>
      <c r="M47" s="144"/>
      <c r="N47" s="144"/>
      <c r="O47" s="144"/>
      <c r="P47" s="144"/>
      <c r="Q47" s="144"/>
      <c r="R47" s="144"/>
      <c r="S47" s="144"/>
      <c r="T47" s="144"/>
      <c r="U47" s="144"/>
      <c r="V47" s="144"/>
      <c r="W47" s="144"/>
      <c r="X47" s="144"/>
      <c r="Y47" s="144"/>
      <c r="Z47" s="144"/>
      <c r="AA47" s="144"/>
      <c r="AB47" s="144"/>
      <c r="AC47" s="135"/>
      <c r="AD47" s="129" t="s">
        <v>2570</v>
      </c>
      <c r="AE47" s="129" t="s">
        <v>2250</v>
      </c>
      <c r="AF47" s="130">
        <v>1</v>
      </c>
      <c r="AG47" s="129" t="s">
        <v>7389</v>
      </c>
      <c r="AH47" s="130">
        <v>51.41</v>
      </c>
      <c r="AI47" s="130">
        <v>51.41</v>
      </c>
    </row>
    <row r="48" spans="1:35" ht="10.5" customHeight="1" x14ac:dyDescent="0.2">
      <c r="A48" s="117" t="s">
        <v>3355</v>
      </c>
      <c r="B48" s="117" t="s">
        <v>4722</v>
      </c>
      <c r="C48" s="128">
        <v>1</v>
      </c>
      <c r="D48" s="133" t="s">
        <v>7389</v>
      </c>
      <c r="E48" s="138">
        <f>+INDEX(F48:AB48,1,[3]BOD!$I$2-1)</f>
        <v>24.93</v>
      </c>
      <c r="F48" s="140">
        <v>24.93</v>
      </c>
      <c r="G48" s="144"/>
      <c r="H48" s="144">
        <f t="shared" si="0"/>
        <v>124.65</v>
      </c>
      <c r="I48" s="144">
        <f t="shared" si="0"/>
        <v>124.65</v>
      </c>
      <c r="J48" s="144"/>
      <c r="K48" s="144"/>
      <c r="L48" s="144"/>
      <c r="M48" s="144"/>
      <c r="N48" s="144"/>
      <c r="O48" s="144"/>
      <c r="P48" s="144"/>
      <c r="Q48" s="144"/>
      <c r="R48" s="144"/>
      <c r="S48" s="144"/>
      <c r="T48" s="144"/>
      <c r="U48" s="144"/>
      <c r="V48" s="144"/>
      <c r="W48" s="144"/>
      <c r="X48" s="144"/>
      <c r="Y48" s="144"/>
      <c r="Z48" s="144"/>
      <c r="AA48" s="144"/>
      <c r="AB48" s="144"/>
      <c r="AC48" s="135"/>
      <c r="AD48" s="129" t="s">
        <v>3355</v>
      </c>
      <c r="AE48" s="129" t="s">
        <v>7303</v>
      </c>
      <c r="AF48" s="130">
        <v>1</v>
      </c>
      <c r="AG48" s="129" t="s">
        <v>7389</v>
      </c>
      <c r="AH48" s="130">
        <v>9.91</v>
      </c>
      <c r="AI48" s="130">
        <v>9.91</v>
      </c>
    </row>
    <row r="49" spans="1:35" ht="10.5" customHeight="1" x14ac:dyDescent="0.2">
      <c r="A49" s="117" t="s">
        <v>3356</v>
      </c>
      <c r="B49" s="117" t="s">
        <v>4724</v>
      </c>
      <c r="C49" s="128">
        <v>1</v>
      </c>
      <c r="D49" s="133" t="s">
        <v>7389</v>
      </c>
      <c r="E49" s="138">
        <f>+INDEX(F49:AB49,1,[3]BOD!$I$2-1)</f>
        <v>41.08</v>
      </c>
      <c r="F49" s="140">
        <v>41.08</v>
      </c>
      <c r="G49" s="144"/>
      <c r="H49" s="144">
        <f t="shared" si="0"/>
        <v>205.39999999999998</v>
      </c>
      <c r="I49" s="144">
        <f t="shared" si="0"/>
        <v>205.39999999999998</v>
      </c>
      <c r="J49" s="144"/>
      <c r="K49" s="144"/>
      <c r="L49" s="144"/>
      <c r="M49" s="144"/>
      <c r="N49" s="144"/>
      <c r="O49" s="144"/>
      <c r="P49" s="144"/>
      <c r="Q49" s="144"/>
      <c r="R49" s="144"/>
      <c r="S49" s="144"/>
      <c r="T49" s="144"/>
      <c r="U49" s="144"/>
      <c r="V49" s="144"/>
      <c r="W49" s="144"/>
      <c r="X49" s="144"/>
      <c r="Y49" s="144"/>
      <c r="Z49" s="144"/>
      <c r="AA49" s="144"/>
      <c r="AB49" s="144"/>
      <c r="AC49" s="135"/>
      <c r="AD49" s="129" t="s">
        <v>3356</v>
      </c>
      <c r="AE49" s="129" t="s">
        <v>7304</v>
      </c>
      <c r="AF49" s="130">
        <v>1</v>
      </c>
      <c r="AG49" s="129" t="s">
        <v>7389</v>
      </c>
      <c r="AH49" s="130">
        <v>11.68</v>
      </c>
      <c r="AI49" s="130">
        <v>11.68</v>
      </c>
    </row>
    <row r="50" spans="1:35" ht="10.5" customHeight="1" x14ac:dyDescent="0.2">
      <c r="A50" s="117" t="s">
        <v>3357</v>
      </c>
      <c r="B50" s="117" t="s">
        <v>6053</v>
      </c>
      <c r="C50" s="128">
        <v>1</v>
      </c>
      <c r="D50" s="133" t="s">
        <v>7389</v>
      </c>
      <c r="E50" s="138">
        <f>+INDEX(F50:AB50,1,[3]BOD!$I$2-1)</f>
        <v>0</v>
      </c>
      <c r="F50" s="140">
        <v>0</v>
      </c>
      <c r="G50" s="144"/>
      <c r="H50" s="144">
        <f t="shared" si="0"/>
        <v>0</v>
      </c>
      <c r="I50" s="144">
        <f t="shared" si="0"/>
        <v>0</v>
      </c>
      <c r="J50" s="144"/>
      <c r="K50" s="144"/>
      <c r="L50" s="144"/>
      <c r="M50" s="144"/>
      <c r="N50" s="144"/>
      <c r="O50" s="144"/>
      <c r="P50" s="144"/>
      <c r="Q50" s="144"/>
      <c r="R50" s="144"/>
      <c r="S50" s="144"/>
      <c r="T50" s="144"/>
      <c r="U50" s="144"/>
      <c r="V50" s="144"/>
      <c r="W50" s="144"/>
      <c r="X50" s="144"/>
      <c r="Y50" s="144"/>
      <c r="Z50" s="144"/>
      <c r="AA50" s="144"/>
      <c r="AB50" s="144"/>
      <c r="AC50" s="135"/>
      <c r="AD50" s="129" t="s">
        <v>3357</v>
      </c>
      <c r="AE50" s="129" t="s">
        <v>7305</v>
      </c>
      <c r="AF50" s="130">
        <v>1</v>
      </c>
      <c r="AG50" s="129" t="s">
        <v>7389</v>
      </c>
      <c r="AH50" s="130">
        <v>22.6</v>
      </c>
      <c r="AI50" s="130">
        <v>22.6</v>
      </c>
    </row>
    <row r="51" spans="1:35" ht="10.5" customHeight="1" x14ac:dyDescent="0.2">
      <c r="A51" s="117" t="s">
        <v>3358</v>
      </c>
      <c r="B51" s="117" t="s">
        <v>6054</v>
      </c>
      <c r="C51" s="128">
        <v>1</v>
      </c>
      <c r="D51" s="133" t="s">
        <v>7389</v>
      </c>
      <c r="E51" s="138">
        <f>+INDEX(F51:AB51,1,[3]BOD!$I$2-1)</f>
        <v>0</v>
      </c>
      <c r="F51" s="140">
        <v>0</v>
      </c>
      <c r="G51" s="144"/>
      <c r="H51" s="144">
        <f t="shared" si="0"/>
        <v>0</v>
      </c>
      <c r="I51" s="144">
        <f t="shared" si="0"/>
        <v>0</v>
      </c>
      <c r="J51" s="144"/>
      <c r="K51" s="144"/>
      <c r="L51" s="144"/>
      <c r="M51" s="144"/>
      <c r="N51" s="144"/>
      <c r="O51" s="144"/>
      <c r="P51" s="144"/>
      <c r="Q51" s="144"/>
      <c r="R51" s="144"/>
      <c r="S51" s="144"/>
      <c r="T51" s="144"/>
      <c r="U51" s="144"/>
      <c r="V51" s="144"/>
      <c r="W51" s="144"/>
      <c r="X51" s="144"/>
      <c r="Y51" s="144"/>
      <c r="Z51" s="144"/>
      <c r="AA51" s="144"/>
      <c r="AB51" s="144"/>
      <c r="AC51" s="135"/>
      <c r="AD51" s="129" t="s">
        <v>3358</v>
      </c>
      <c r="AE51" s="129" t="s">
        <v>7306</v>
      </c>
      <c r="AF51" s="130">
        <v>1</v>
      </c>
      <c r="AG51" s="129" t="s">
        <v>7389</v>
      </c>
      <c r="AH51" s="130">
        <v>21.9</v>
      </c>
      <c r="AI51" s="130">
        <v>21.9</v>
      </c>
    </row>
    <row r="52" spans="1:35" ht="10.5" customHeight="1" x14ac:dyDescent="0.2">
      <c r="A52" s="117" t="s">
        <v>3359</v>
      </c>
      <c r="B52" s="117" t="s">
        <v>6599</v>
      </c>
      <c r="C52" s="128">
        <v>1</v>
      </c>
      <c r="D52" s="133" t="s">
        <v>7389</v>
      </c>
      <c r="E52" s="138">
        <f>+INDEX(F52:AB52,1,[3]BOD!$I$2-1)</f>
        <v>9999</v>
      </c>
      <c r="F52" s="140">
        <v>9999</v>
      </c>
      <c r="G52" s="144"/>
      <c r="H52" s="144">
        <f t="shared" si="0"/>
        <v>49995</v>
      </c>
      <c r="I52" s="144">
        <f t="shared" si="0"/>
        <v>49995</v>
      </c>
      <c r="J52" s="144"/>
      <c r="K52" s="144"/>
      <c r="L52" s="144"/>
      <c r="M52" s="144"/>
      <c r="N52" s="144"/>
      <c r="O52" s="144"/>
      <c r="P52" s="144"/>
      <c r="Q52" s="144"/>
      <c r="R52" s="144"/>
      <c r="S52" s="144"/>
      <c r="T52" s="144"/>
      <c r="U52" s="144"/>
      <c r="V52" s="144"/>
      <c r="W52" s="144"/>
      <c r="X52" s="144"/>
      <c r="Y52" s="144"/>
      <c r="Z52" s="144"/>
      <c r="AA52" s="144"/>
      <c r="AB52" s="144"/>
      <c r="AC52" s="135"/>
      <c r="AD52" s="129" t="s">
        <v>3359</v>
      </c>
      <c r="AE52" s="129" t="s">
        <v>7307</v>
      </c>
      <c r="AF52" s="130">
        <v>1</v>
      </c>
      <c r="AG52" s="129" t="s">
        <v>7389</v>
      </c>
      <c r="AH52" s="130">
        <v>27.69</v>
      </c>
      <c r="AI52" s="130">
        <v>27.69</v>
      </c>
    </row>
    <row r="53" spans="1:35" ht="10.5" customHeight="1" x14ac:dyDescent="0.2">
      <c r="A53" s="117" t="s">
        <v>3360</v>
      </c>
      <c r="B53" s="117" t="s">
        <v>6600</v>
      </c>
      <c r="C53" s="128">
        <v>1</v>
      </c>
      <c r="D53" s="133" t="s">
        <v>7389</v>
      </c>
      <c r="E53" s="138">
        <f>+INDEX(F53:AB53,1,[3]BOD!$I$2-1)</f>
        <v>9999</v>
      </c>
      <c r="F53" s="140">
        <v>9999</v>
      </c>
      <c r="G53" s="144"/>
      <c r="H53" s="144">
        <f t="shared" si="0"/>
        <v>49995</v>
      </c>
      <c r="I53" s="144">
        <f t="shared" si="0"/>
        <v>49995</v>
      </c>
      <c r="J53" s="144"/>
      <c r="K53" s="144"/>
      <c r="L53" s="144"/>
      <c r="M53" s="144"/>
      <c r="N53" s="144"/>
      <c r="O53" s="144"/>
      <c r="P53" s="144"/>
      <c r="Q53" s="144"/>
      <c r="R53" s="144"/>
      <c r="S53" s="144"/>
      <c r="T53" s="144"/>
      <c r="U53" s="144"/>
      <c r="V53" s="144"/>
      <c r="W53" s="144"/>
      <c r="X53" s="144"/>
      <c r="Y53" s="144"/>
      <c r="Z53" s="144"/>
      <c r="AA53" s="144"/>
      <c r="AB53" s="144"/>
      <c r="AC53" s="135"/>
      <c r="AD53" s="129" t="s">
        <v>3360</v>
      </c>
      <c r="AE53" s="129" t="s">
        <v>7308</v>
      </c>
      <c r="AF53" s="130">
        <v>1</v>
      </c>
      <c r="AG53" s="129" t="s">
        <v>7389</v>
      </c>
      <c r="AH53" s="130">
        <v>35.56</v>
      </c>
      <c r="AI53" s="130">
        <v>35.56</v>
      </c>
    </row>
    <row r="54" spans="1:35" ht="10.5" customHeight="1" x14ac:dyDescent="0.2">
      <c r="A54" s="117" t="s">
        <v>5088</v>
      </c>
      <c r="B54" s="117" t="s">
        <v>2243</v>
      </c>
      <c r="C54" s="128">
        <v>1</v>
      </c>
      <c r="D54" s="133" t="s">
        <v>7389</v>
      </c>
      <c r="E54" s="138">
        <f>+INDEX(F54:AB54,1,[3]BOD!$I$2-1)</f>
        <v>9999</v>
      </c>
      <c r="F54" s="140">
        <v>9999</v>
      </c>
      <c r="G54" s="144"/>
      <c r="H54" s="144">
        <f t="shared" si="0"/>
        <v>49995</v>
      </c>
      <c r="I54" s="144">
        <f t="shared" si="0"/>
        <v>49995</v>
      </c>
      <c r="J54" s="144"/>
      <c r="K54" s="144"/>
      <c r="L54" s="144"/>
      <c r="M54" s="144"/>
      <c r="N54" s="144"/>
      <c r="O54" s="144"/>
      <c r="P54" s="144"/>
      <c r="Q54" s="144"/>
      <c r="R54" s="144"/>
      <c r="S54" s="144"/>
      <c r="T54" s="144"/>
      <c r="U54" s="144"/>
      <c r="V54" s="144"/>
      <c r="W54" s="144"/>
      <c r="X54" s="144"/>
      <c r="Y54" s="144"/>
      <c r="Z54" s="144"/>
      <c r="AA54" s="144"/>
      <c r="AB54" s="144"/>
      <c r="AC54" s="135"/>
      <c r="AD54" s="129" t="s">
        <v>5088</v>
      </c>
      <c r="AE54" s="129" t="s">
        <v>7309</v>
      </c>
      <c r="AF54" s="130">
        <v>1</v>
      </c>
      <c r="AG54" s="129" t="s">
        <v>7389</v>
      </c>
      <c r="AH54" s="130">
        <v>66.13</v>
      </c>
      <c r="AI54" s="130">
        <v>66.13</v>
      </c>
    </row>
    <row r="55" spans="1:35" ht="10.5" customHeight="1" x14ac:dyDescent="0.2">
      <c r="A55" s="117" t="s">
        <v>3938</v>
      </c>
      <c r="B55" s="117" t="s">
        <v>2244</v>
      </c>
      <c r="C55" s="128">
        <v>1</v>
      </c>
      <c r="D55" s="133" t="s">
        <v>7389</v>
      </c>
      <c r="E55" s="138">
        <f>+INDEX(F55:AB55,1,[3]BOD!$I$2-1)</f>
        <v>9999</v>
      </c>
      <c r="F55" s="140">
        <v>9999</v>
      </c>
      <c r="G55" s="144"/>
      <c r="H55" s="144">
        <f t="shared" si="0"/>
        <v>49995</v>
      </c>
      <c r="I55" s="144">
        <f t="shared" si="0"/>
        <v>49995</v>
      </c>
      <c r="J55" s="144"/>
      <c r="K55" s="144"/>
      <c r="L55" s="144"/>
      <c r="M55" s="144"/>
      <c r="N55" s="144"/>
      <c r="O55" s="144"/>
      <c r="P55" s="144"/>
      <c r="Q55" s="144"/>
      <c r="R55" s="144"/>
      <c r="S55" s="144"/>
      <c r="T55" s="144"/>
      <c r="U55" s="144"/>
      <c r="V55" s="144"/>
      <c r="W55" s="144"/>
      <c r="X55" s="144"/>
      <c r="Y55" s="144"/>
      <c r="Z55" s="144"/>
      <c r="AA55" s="144"/>
      <c r="AB55" s="144"/>
      <c r="AC55" s="135"/>
      <c r="AD55" s="129" t="s">
        <v>3938</v>
      </c>
      <c r="AE55" s="129" t="s">
        <v>7310</v>
      </c>
      <c r="AF55" s="130">
        <v>1</v>
      </c>
      <c r="AG55" s="129" t="s">
        <v>7389</v>
      </c>
      <c r="AH55" s="130">
        <v>89.23</v>
      </c>
      <c r="AI55" s="130">
        <v>89.23</v>
      </c>
    </row>
    <row r="56" spans="1:35" ht="10.5" customHeight="1" x14ac:dyDescent="0.2">
      <c r="A56" s="117" t="s">
        <v>6607</v>
      </c>
      <c r="B56" s="117" t="s">
        <v>2245</v>
      </c>
      <c r="C56" s="128">
        <v>1</v>
      </c>
      <c r="D56" s="133" t="s">
        <v>7389</v>
      </c>
      <c r="E56" s="138">
        <f>+INDEX(F56:AB56,1,[3]BOD!$I$2-1)</f>
        <v>9999</v>
      </c>
      <c r="F56" s="140">
        <v>9999</v>
      </c>
      <c r="G56" s="144"/>
      <c r="H56" s="144">
        <f t="shared" si="0"/>
        <v>49995</v>
      </c>
      <c r="I56" s="144">
        <f t="shared" si="0"/>
        <v>49995</v>
      </c>
      <c r="J56" s="144"/>
      <c r="K56" s="144"/>
      <c r="L56" s="144"/>
      <c r="M56" s="144"/>
      <c r="N56" s="144"/>
      <c r="O56" s="144"/>
      <c r="P56" s="144"/>
      <c r="Q56" s="144"/>
      <c r="R56" s="144"/>
      <c r="S56" s="144"/>
      <c r="T56" s="144"/>
      <c r="U56" s="144"/>
      <c r="V56" s="144"/>
      <c r="W56" s="144"/>
      <c r="X56" s="144"/>
      <c r="Y56" s="144"/>
      <c r="Z56" s="144"/>
      <c r="AA56" s="144"/>
      <c r="AB56" s="144"/>
      <c r="AC56" s="135"/>
      <c r="AD56" s="129" t="s">
        <v>3939</v>
      </c>
      <c r="AE56" s="129" t="s">
        <v>2253</v>
      </c>
      <c r="AF56" s="130">
        <v>0</v>
      </c>
      <c r="AG56" s="129" t="s">
        <v>236</v>
      </c>
      <c r="AH56" s="130">
        <v>1149.22</v>
      </c>
      <c r="AI56" s="130">
        <v>0</v>
      </c>
    </row>
    <row r="57" spans="1:35" ht="10.5" customHeight="1" x14ac:dyDescent="0.2">
      <c r="A57" s="117" t="s">
        <v>6608</v>
      </c>
      <c r="B57" s="117" t="s">
        <v>2246</v>
      </c>
      <c r="C57" s="128">
        <v>1</v>
      </c>
      <c r="D57" s="133" t="s">
        <v>7389</v>
      </c>
      <c r="E57" s="138">
        <f>+INDEX(F57:AB57,1,[3]BOD!$I$2-1)</f>
        <v>9999</v>
      </c>
      <c r="F57" s="140">
        <v>9999</v>
      </c>
      <c r="G57" s="144"/>
      <c r="H57" s="144">
        <f t="shared" si="0"/>
        <v>49995</v>
      </c>
      <c r="I57" s="144">
        <f t="shared" si="0"/>
        <v>49995</v>
      </c>
      <c r="J57" s="144"/>
      <c r="K57" s="144"/>
      <c r="L57" s="144"/>
      <c r="M57" s="144"/>
      <c r="N57" s="144"/>
      <c r="O57" s="144"/>
      <c r="P57" s="144"/>
      <c r="Q57" s="144"/>
      <c r="R57" s="144"/>
      <c r="S57" s="144"/>
      <c r="T57" s="144"/>
      <c r="U57" s="144"/>
      <c r="V57" s="144"/>
      <c r="W57" s="144"/>
      <c r="X57" s="144"/>
      <c r="Y57" s="144"/>
      <c r="Z57" s="144"/>
      <c r="AA57" s="144"/>
      <c r="AB57" s="144"/>
      <c r="AC57" s="135"/>
      <c r="AD57" s="129" t="s">
        <v>3940</v>
      </c>
      <c r="AE57" s="129" t="s">
        <v>2257</v>
      </c>
      <c r="AF57" s="130">
        <v>1</v>
      </c>
      <c r="AG57" s="129" t="s">
        <v>7389</v>
      </c>
      <c r="AH57" s="130">
        <v>18.05</v>
      </c>
      <c r="AI57" s="130">
        <v>18.05</v>
      </c>
    </row>
    <row r="58" spans="1:35" ht="10.5" customHeight="1" x14ac:dyDescent="0.2">
      <c r="A58" s="117" t="s">
        <v>766</v>
      </c>
      <c r="B58" s="117" t="s">
        <v>2247</v>
      </c>
      <c r="C58" s="128">
        <v>1</v>
      </c>
      <c r="D58" s="133" t="s">
        <v>7389</v>
      </c>
      <c r="E58" s="138">
        <f>+INDEX(F58:AB58,1,[3]BOD!$I$2-1)</f>
        <v>9999</v>
      </c>
      <c r="F58" s="140">
        <v>9999</v>
      </c>
      <c r="G58" s="144"/>
      <c r="H58" s="144">
        <f t="shared" si="0"/>
        <v>49995</v>
      </c>
      <c r="I58" s="144">
        <f t="shared" si="0"/>
        <v>49995</v>
      </c>
      <c r="J58" s="144"/>
      <c r="K58" s="144"/>
      <c r="L58" s="144"/>
      <c r="M58" s="144"/>
      <c r="N58" s="144"/>
      <c r="O58" s="144"/>
      <c r="P58" s="144"/>
      <c r="Q58" s="144"/>
      <c r="R58" s="144"/>
      <c r="S58" s="144"/>
      <c r="T58" s="144"/>
      <c r="U58" s="144"/>
      <c r="V58" s="144"/>
      <c r="W58" s="144"/>
      <c r="X58" s="144"/>
      <c r="Y58" s="144"/>
      <c r="Z58" s="144"/>
      <c r="AA58" s="144"/>
      <c r="AB58" s="144"/>
      <c r="AC58" s="135"/>
      <c r="AD58" s="129" t="s">
        <v>5459</v>
      </c>
      <c r="AE58" s="129" t="s">
        <v>2331</v>
      </c>
      <c r="AF58" s="130" t="s">
        <v>5459</v>
      </c>
      <c r="AG58" s="129" t="s">
        <v>236</v>
      </c>
      <c r="AH58" s="130" t="s">
        <v>5459</v>
      </c>
      <c r="AI58" s="130" t="s">
        <v>5459</v>
      </c>
    </row>
    <row r="59" spans="1:35" ht="10.5" customHeight="1" x14ac:dyDescent="0.2">
      <c r="A59" s="117" t="s">
        <v>767</v>
      </c>
      <c r="B59" s="117" t="s">
        <v>2251</v>
      </c>
      <c r="C59" s="128">
        <v>1</v>
      </c>
      <c r="D59" s="133" t="s">
        <v>7389</v>
      </c>
      <c r="E59" s="138">
        <f>+INDEX(F59:AB59,1,[3]BOD!$I$2-1)</f>
        <v>33.9</v>
      </c>
      <c r="F59" s="140">
        <v>33.9</v>
      </c>
      <c r="G59" s="144"/>
      <c r="H59" s="144">
        <f t="shared" si="0"/>
        <v>169.5</v>
      </c>
      <c r="I59" s="144">
        <f t="shared" si="0"/>
        <v>169.5</v>
      </c>
      <c r="J59" s="144"/>
      <c r="K59" s="144"/>
      <c r="L59" s="144"/>
      <c r="M59" s="144"/>
      <c r="N59" s="144"/>
      <c r="O59" s="144"/>
      <c r="P59" s="144"/>
      <c r="Q59" s="144"/>
      <c r="R59" s="144"/>
      <c r="S59" s="144"/>
      <c r="T59" s="144"/>
      <c r="U59" s="144"/>
      <c r="V59" s="144"/>
      <c r="W59" s="144"/>
      <c r="X59" s="144"/>
      <c r="Y59" s="144"/>
      <c r="Z59" s="144"/>
      <c r="AA59" s="144"/>
      <c r="AB59" s="144"/>
      <c r="AC59" s="135"/>
      <c r="AD59" s="129" t="s">
        <v>3941</v>
      </c>
      <c r="AE59" s="129" t="s">
        <v>2258</v>
      </c>
      <c r="AF59" s="130">
        <v>1</v>
      </c>
      <c r="AG59" s="129" t="s">
        <v>7389</v>
      </c>
      <c r="AH59" s="130">
        <v>20.2</v>
      </c>
      <c r="AI59" s="130">
        <v>20.2</v>
      </c>
    </row>
    <row r="60" spans="1:35" ht="10.5" customHeight="1" x14ac:dyDescent="0.2">
      <c r="A60" s="117" t="s">
        <v>768</v>
      </c>
      <c r="B60" s="117" t="s">
        <v>2248</v>
      </c>
      <c r="C60" s="128">
        <v>1</v>
      </c>
      <c r="D60" s="133" t="s">
        <v>7389</v>
      </c>
      <c r="E60" s="138">
        <f>+INDEX(F60:AB60,1,[3]BOD!$I$2-1)</f>
        <v>39.22</v>
      </c>
      <c r="F60" s="140">
        <v>39.22</v>
      </c>
      <c r="G60" s="144"/>
      <c r="H60" s="144">
        <f t="shared" si="0"/>
        <v>196.1</v>
      </c>
      <c r="I60" s="144">
        <f t="shared" si="0"/>
        <v>196.1</v>
      </c>
      <c r="J60" s="144"/>
      <c r="K60" s="144"/>
      <c r="L60" s="144"/>
      <c r="M60" s="144"/>
      <c r="N60" s="144"/>
      <c r="O60" s="144"/>
      <c r="P60" s="144"/>
      <c r="Q60" s="144"/>
      <c r="R60" s="144"/>
      <c r="S60" s="144"/>
      <c r="T60" s="144"/>
      <c r="U60" s="144"/>
      <c r="V60" s="144"/>
      <c r="W60" s="144"/>
      <c r="X60" s="144"/>
      <c r="Y60" s="144"/>
      <c r="Z60" s="144"/>
      <c r="AA60" s="144"/>
      <c r="AB60" s="144"/>
      <c r="AC60" s="135"/>
      <c r="AD60" s="129" t="s">
        <v>5459</v>
      </c>
      <c r="AE60" s="129" t="s">
        <v>2331</v>
      </c>
      <c r="AF60" s="130" t="s">
        <v>5459</v>
      </c>
      <c r="AG60" s="129" t="s">
        <v>236</v>
      </c>
      <c r="AH60" s="130" t="s">
        <v>5459</v>
      </c>
      <c r="AI60" s="130" t="s">
        <v>5459</v>
      </c>
    </row>
    <row r="61" spans="1:35" ht="10.5" customHeight="1" x14ac:dyDescent="0.2">
      <c r="A61" s="117" t="s">
        <v>769</v>
      </c>
      <c r="B61" s="117" t="s">
        <v>2249</v>
      </c>
      <c r="C61" s="128">
        <v>1</v>
      </c>
      <c r="D61" s="133" t="s">
        <v>7389</v>
      </c>
      <c r="E61" s="138">
        <f>+INDEX(F61:AB61,1,[3]BOD!$I$2-1)</f>
        <v>44.54</v>
      </c>
      <c r="F61" s="140">
        <v>44.54</v>
      </c>
      <c r="G61" s="144"/>
      <c r="H61" s="144">
        <f t="shared" si="0"/>
        <v>222.7</v>
      </c>
      <c r="I61" s="144">
        <f t="shared" si="0"/>
        <v>222.7</v>
      </c>
      <c r="J61" s="144"/>
      <c r="K61" s="144"/>
      <c r="L61" s="144"/>
      <c r="M61" s="144"/>
      <c r="N61" s="144"/>
      <c r="O61" s="144"/>
      <c r="P61" s="144"/>
      <c r="Q61" s="144"/>
      <c r="R61" s="144"/>
      <c r="S61" s="144"/>
      <c r="T61" s="144"/>
      <c r="U61" s="144"/>
      <c r="V61" s="144"/>
      <c r="W61" s="144"/>
      <c r="X61" s="144"/>
      <c r="Y61" s="144"/>
      <c r="Z61" s="144"/>
      <c r="AA61" s="144"/>
      <c r="AB61" s="144"/>
      <c r="AC61" s="135"/>
      <c r="AD61" s="129" t="s">
        <v>3942</v>
      </c>
      <c r="AE61" s="129" t="s">
        <v>2259</v>
      </c>
      <c r="AF61" s="130">
        <v>1</v>
      </c>
      <c r="AG61" s="129" t="s">
        <v>7389</v>
      </c>
      <c r="AH61" s="130">
        <v>23.12</v>
      </c>
      <c r="AI61" s="130">
        <v>23.12</v>
      </c>
    </row>
    <row r="62" spans="1:35" ht="10.5" customHeight="1" x14ac:dyDescent="0.2">
      <c r="A62" s="117" t="s">
        <v>770</v>
      </c>
      <c r="B62" s="117" t="s">
        <v>2250</v>
      </c>
      <c r="C62" s="128">
        <v>1</v>
      </c>
      <c r="D62" s="133" t="s">
        <v>7389</v>
      </c>
      <c r="E62" s="138">
        <f>+INDEX(F62:AB62,1,[3]BOD!$I$2-1)</f>
        <v>51.41</v>
      </c>
      <c r="F62" s="140">
        <v>51.41</v>
      </c>
      <c r="G62" s="144"/>
      <c r="H62" s="144">
        <f t="shared" si="0"/>
        <v>257.04999999999995</v>
      </c>
      <c r="I62" s="144">
        <f t="shared" si="0"/>
        <v>257.04999999999995</v>
      </c>
      <c r="J62" s="144"/>
      <c r="K62" s="144"/>
      <c r="L62" s="144"/>
      <c r="M62" s="144"/>
      <c r="N62" s="144"/>
      <c r="O62" s="144"/>
      <c r="P62" s="144"/>
      <c r="Q62" s="144"/>
      <c r="R62" s="144"/>
      <c r="S62" s="144"/>
      <c r="T62" s="144"/>
      <c r="U62" s="144"/>
      <c r="V62" s="144"/>
      <c r="W62" s="144"/>
      <c r="X62" s="144"/>
      <c r="Y62" s="144"/>
      <c r="Z62" s="144"/>
      <c r="AA62" s="144"/>
      <c r="AB62" s="144"/>
      <c r="AC62" s="135"/>
      <c r="AD62" s="129" t="s">
        <v>5459</v>
      </c>
      <c r="AE62" s="129" t="s">
        <v>2331</v>
      </c>
      <c r="AF62" s="130" t="s">
        <v>5459</v>
      </c>
      <c r="AG62" s="129" t="s">
        <v>236</v>
      </c>
      <c r="AH62" s="130" t="s">
        <v>5459</v>
      </c>
      <c r="AI62" s="130" t="s">
        <v>5459</v>
      </c>
    </row>
    <row r="63" spans="1:35" ht="10.5" customHeight="1" x14ac:dyDescent="0.2">
      <c r="A63" s="117" t="s">
        <v>771</v>
      </c>
      <c r="B63" s="117" t="s">
        <v>2252</v>
      </c>
      <c r="C63" s="128">
        <v>1</v>
      </c>
      <c r="D63" s="133" t="s">
        <v>7389</v>
      </c>
      <c r="E63" s="138">
        <f>+INDEX(F63:AB63,1,[3]BOD!$I$2-1)</f>
        <v>58.28</v>
      </c>
      <c r="F63" s="140">
        <v>58.28</v>
      </c>
      <c r="G63" s="144"/>
      <c r="H63" s="144">
        <f t="shared" si="0"/>
        <v>291.39999999999998</v>
      </c>
      <c r="I63" s="144">
        <f t="shared" si="0"/>
        <v>291.39999999999998</v>
      </c>
      <c r="J63" s="144"/>
      <c r="K63" s="144"/>
      <c r="L63" s="144"/>
      <c r="M63" s="144"/>
      <c r="N63" s="144"/>
      <c r="O63" s="144"/>
      <c r="P63" s="144"/>
      <c r="Q63" s="144"/>
      <c r="R63" s="144"/>
      <c r="S63" s="144"/>
      <c r="T63" s="144"/>
      <c r="U63" s="144"/>
      <c r="V63" s="144"/>
      <c r="W63" s="144"/>
      <c r="X63" s="144"/>
      <c r="Y63" s="144"/>
      <c r="Z63" s="144"/>
      <c r="AA63" s="144"/>
      <c r="AB63" s="144"/>
      <c r="AC63" s="135"/>
      <c r="AD63" s="129" t="s">
        <v>5855</v>
      </c>
      <c r="AE63" s="129" t="s">
        <v>2260</v>
      </c>
      <c r="AF63" s="130">
        <v>1</v>
      </c>
      <c r="AG63" s="129" t="s">
        <v>7389</v>
      </c>
      <c r="AH63" s="130">
        <v>27.34</v>
      </c>
      <c r="AI63" s="130">
        <v>27.34</v>
      </c>
    </row>
    <row r="64" spans="1:35" ht="10.5" customHeight="1" x14ac:dyDescent="0.2">
      <c r="A64" s="117" t="s">
        <v>772</v>
      </c>
      <c r="B64" s="117" t="s">
        <v>6601</v>
      </c>
      <c r="C64" s="128">
        <v>1</v>
      </c>
      <c r="D64" s="133" t="s">
        <v>7389</v>
      </c>
      <c r="E64" s="138">
        <f>+INDEX(F64:AB64,1,[3]BOD!$I$2-1)</f>
        <v>9999</v>
      </c>
      <c r="F64" s="140">
        <v>9999</v>
      </c>
      <c r="G64" s="144"/>
      <c r="H64" s="144">
        <f t="shared" si="0"/>
        <v>49995</v>
      </c>
      <c r="I64" s="144">
        <f t="shared" si="0"/>
        <v>49995</v>
      </c>
      <c r="J64" s="144"/>
      <c r="K64" s="144"/>
      <c r="L64" s="144"/>
      <c r="M64" s="144"/>
      <c r="N64" s="144"/>
      <c r="O64" s="144"/>
      <c r="P64" s="144"/>
      <c r="Q64" s="144"/>
      <c r="R64" s="144"/>
      <c r="S64" s="144"/>
      <c r="T64" s="144"/>
      <c r="U64" s="144"/>
      <c r="V64" s="144"/>
      <c r="W64" s="144"/>
      <c r="X64" s="144"/>
      <c r="Y64" s="144"/>
      <c r="Z64" s="144"/>
      <c r="AA64" s="144"/>
      <c r="AB64" s="144"/>
      <c r="AC64" s="135"/>
      <c r="AD64" s="129" t="s">
        <v>5459</v>
      </c>
      <c r="AE64" s="129" t="s">
        <v>2331</v>
      </c>
      <c r="AF64" s="130" t="s">
        <v>5459</v>
      </c>
      <c r="AG64" s="129" t="s">
        <v>236</v>
      </c>
      <c r="AH64" s="130" t="s">
        <v>5459</v>
      </c>
      <c r="AI64" s="130" t="s">
        <v>5459</v>
      </c>
    </row>
    <row r="65" spans="1:35" ht="10.5" customHeight="1" x14ac:dyDescent="0.2">
      <c r="A65" s="117" t="s">
        <v>773</v>
      </c>
      <c r="B65" s="117" t="s">
        <v>6602</v>
      </c>
      <c r="C65" s="128">
        <v>1</v>
      </c>
      <c r="D65" s="133" t="s">
        <v>7389</v>
      </c>
      <c r="E65" s="138">
        <f>+INDEX(F65:AB65,1,[3]BOD!$I$2-1)</f>
        <v>9999</v>
      </c>
      <c r="F65" s="140">
        <v>9999</v>
      </c>
      <c r="G65" s="144"/>
      <c r="H65" s="144">
        <f t="shared" si="0"/>
        <v>49995</v>
      </c>
      <c r="I65" s="144">
        <f t="shared" si="0"/>
        <v>49995</v>
      </c>
      <c r="J65" s="144"/>
      <c r="K65" s="144"/>
      <c r="L65" s="144"/>
      <c r="M65" s="144"/>
      <c r="N65" s="144"/>
      <c r="O65" s="144"/>
      <c r="P65" s="144"/>
      <c r="Q65" s="144"/>
      <c r="R65" s="144"/>
      <c r="S65" s="144"/>
      <c r="T65" s="144"/>
      <c r="U65" s="144"/>
      <c r="V65" s="144"/>
      <c r="W65" s="144"/>
      <c r="X65" s="144"/>
      <c r="Y65" s="144"/>
      <c r="Z65" s="144"/>
      <c r="AA65" s="144"/>
      <c r="AB65" s="144"/>
      <c r="AC65" s="135"/>
      <c r="AD65" s="129" t="s">
        <v>5856</v>
      </c>
      <c r="AE65" s="129" t="s">
        <v>2261</v>
      </c>
      <c r="AF65" s="130">
        <v>1</v>
      </c>
      <c r="AG65" s="129" t="s">
        <v>7389</v>
      </c>
      <c r="AH65" s="130">
        <v>33.979999999999997</v>
      </c>
      <c r="AI65" s="130">
        <v>33.979999999999997</v>
      </c>
    </row>
    <row r="66" spans="1:35" ht="10.5" customHeight="1" x14ac:dyDescent="0.2">
      <c r="A66" s="117" t="s">
        <v>774</v>
      </c>
      <c r="B66" s="117" t="s">
        <v>6603</v>
      </c>
      <c r="C66" s="128">
        <v>1</v>
      </c>
      <c r="D66" s="133" t="s">
        <v>7389</v>
      </c>
      <c r="E66" s="138">
        <f>+INDEX(F66:AB66,1,[3]BOD!$I$2-1)</f>
        <v>9999</v>
      </c>
      <c r="F66" s="140">
        <v>9999</v>
      </c>
      <c r="G66" s="144"/>
      <c r="H66" s="144">
        <f t="shared" si="0"/>
        <v>49995</v>
      </c>
      <c r="I66" s="144">
        <f t="shared" si="0"/>
        <v>49995</v>
      </c>
      <c r="J66" s="144"/>
      <c r="K66" s="144"/>
      <c r="L66" s="144"/>
      <c r="M66" s="144"/>
      <c r="N66" s="144"/>
      <c r="O66" s="144"/>
      <c r="P66" s="144"/>
      <c r="Q66" s="144"/>
      <c r="R66" s="144"/>
      <c r="S66" s="144"/>
      <c r="T66" s="144"/>
      <c r="U66" s="144"/>
      <c r="V66" s="144"/>
      <c r="W66" s="144"/>
      <c r="X66" s="144"/>
      <c r="Y66" s="144"/>
      <c r="Z66" s="144"/>
      <c r="AA66" s="144"/>
      <c r="AB66" s="144"/>
      <c r="AC66" s="135"/>
      <c r="AD66" s="129" t="s">
        <v>5459</v>
      </c>
      <c r="AE66" s="129" t="s">
        <v>2331</v>
      </c>
      <c r="AF66" s="130" t="s">
        <v>5459</v>
      </c>
      <c r="AG66" s="129" t="s">
        <v>236</v>
      </c>
      <c r="AH66" s="130" t="s">
        <v>5459</v>
      </c>
      <c r="AI66" s="130" t="s">
        <v>5459</v>
      </c>
    </row>
    <row r="67" spans="1:35" ht="10.5" customHeight="1" x14ac:dyDescent="0.2">
      <c r="A67" s="117" t="s">
        <v>775</v>
      </c>
      <c r="B67" s="117" t="s">
        <v>6604</v>
      </c>
      <c r="C67" s="128">
        <v>1</v>
      </c>
      <c r="D67" s="133" t="s">
        <v>7389</v>
      </c>
      <c r="E67" s="138">
        <f>+INDEX(F67:AB67,1,[3]BOD!$I$2-1)</f>
        <v>9999</v>
      </c>
      <c r="F67" s="140">
        <v>9999</v>
      </c>
      <c r="G67" s="144"/>
      <c r="H67" s="144">
        <f t="shared" ref="H67:I130" si="1">+IF($F67&lt;&gt;"",$F67*5,"")</f>
        <v>49995</v>
      </c>
      <c r="I67" s="144">
        <f t="shared" si="1"/>
        <v>49995</v>
      </c>
      <c r="J67" s="144"/>
      <c r="K67" s="144"/>
      <c r="L67" s="144"/>
      <c r="M67" s="144"/>
      <c r="N67" s="144"/>
      <c r="O67" s="144"/>
      <c r="P67" s="144"/>
      <c r="Q67" s="144"/>
      <c r="R67" s="144"/>
      <c r="S67" s="144"/>
      <c r="T67" s="144"/>
      <c r="U67" s="144"/>
      <c r="V67" s="144"/>
      <c r="W67" s="144"/>
      <c r="X67" s="144"/>
      <c r="Y67" s="144"/>
      <c r="Z67" s="144"/>
      <c r="AA67" s="144"/>
      <c r="AB67" s="144"/>
      <c r="AC67" s="135"/>
      <c r="AD67" s="129" t="s">
        <v>5857</v>
      </c>
      <c r="AE67" s="129" t="s">
        <v>2262</v>
      </c>
      <c r="AF67" s="130">
        <v>1</v>
      </c>
      <c r="AG67" s="129" t="s">
        <v>7389</v>
      </c>
      <c r="AH67" s="130">
        <v>23.04</v>
      </c>
      <c r="AI67" s="130">
        <v>23.04</v>
      </c>
    </row>
    <row r="68" spans="1:35" ht="10.5" customHeight="1" x14ac:dyDescent="0.2">
      <c r="A68" s="117" t="s">
        <v>776</v>
      </c>
      <c r="B68" s="117" t="s">
        <v>6605</v>
      </c>
      <c r="C68" s="128">
        <v>1</v>
      </c>
      <c r="D68" s="133" t="s">
        <v>7389</v>
      </c>
      <c r="E68" s="138">
        <f>+INDEX(F68:AB68,1,[3]BOD!$I$2-1)</f>
        <v>9999</v>
      </c>
      <c r="F68" s="140">
        <v>9999</v>
      </c>
      <c r="G68" s="144"/>
      <c r="H68" s="144">
        <f t="shared" si="1"/>
        <v>49995</v>
      </c>
      <c r="I68" s="144">
        <f t="shared" si="1"/>
        <v>49995</v>
      </c>
      <c r="J68" s="144"/>
      <c r="K68" s="144"/>
      <c r="L68" s="144"/>
      <c r="M68" s="144"/>
      <c r="N68" s="144"/>
      <c r="O68" s="144"/>
      <c r="P68" s="144"/>
      <c r="Q68" s="144"/>
      <c r="R68" s="144"/>
      <c r="S68" s="144"/>
      <c r="T68" s="144"/>
      <c r="U68" s="144"/>
      <c r="V68" s="144"/>
      <c r="W68" s="144"/>
      <c r="X68" s="144"/>
      <c r="Y68" s="144"/>
      <c r="Z68" s="144"/>
      <c r="AA68" s="144"/>
      <c r="AB68" s="144"/>
      <c r="AC68" s="135"/>
      <c r="AD68" s="129" t="s">
        <v>5459</v>
      </c>
      <c r="AE68" s="129" t="s">
        <v>2331</v>
      </c>
      <c r="AF68" s="130" t="s">
        <v>5459</v>
      </c>
      <c r="AG68" s="129" t="s">
        <v>236</v>
      </c>
      <c r="AH68" s="130" t="s">
        <v>5459</v>
      </c>
      <c r="AI68" s="130" t="s">
        <v>5459</v>
      </c>
    </row>
    <row r="69" spans="1:35" ht="10.5" customHeight="1" x14ac:dyDescent="0.2">
      <c r="A69" s="117" t="s">
        <v>777</v>
      </c>
      <c r="B69" s="117" t="s">
        <v>6606</v>
      </c>
      <c r="C69" s="128">
        <v>1</v>
      </c>
      <c r="D69" s="133" t="s">
        <v>7389</v>
      </c>
      <c r="E69" s="138">
        <f>+INDEX(F69:AB69,1,[3]BOD!$I$2-1)</f>
        <v>9999</v>
      </c>
      <c r="F69" s="140">
        <v>9999</v>
      </c>
      <c r="G69" s="144"/>
      <c r="H69" s="144">
        <f t="shared" si="1"/>
        <v>49995</v>
      </c>
      <c r="I69" s="144">
        <f t="shared" si="1"/>
        <v>49995</v>
      </c>
      <c r="J69" s="144"/>
      <c r="K69" s="144"/>
      <c r="L69" s="144"/>
      <c r="M69" s="144"/>
      <c r="N69" s="144"/>
      <c r="O69" s="144"/>
      <c r="P69" s="144"/>
      <c r="Q69" s="144"/>
      <c r="R69" s="144"/>
      <c r="S69" s="144"/>
      <c r="T69" s="144"/>
      <c r="U69" s="144"/>
      <c r="V69" s="144"/>
      <c r="W69" s="144"/>
      <c r="X69" s="144"/>
      <c r="Y69" s="144"/>
      <c r="Z69" s="144"/>
      <c r="AA69" s="144"/>
      <c r="AB69" s="144"/>
      <c r="AC69" s="135"/>
      <c r="AD69" s="129" t="s">
        <v>5858</v>
      </c>
      <c r="AE69" s="129" t="s">
        <v>2263</v>
      </c>
      <c r="AF69" s="130">
        <v>1</v>
      </c>
      <c r="AG69" s="129" t="s">
        <v>7389</v>
      </c>
      <c r="AH69" s="130">
        <v>25.54</v>
      </c>
      <c r="AI69" s="130">
        <v>25.54</v>
      </c>
    </row>
    <row r="70" spans="1:35" ht="10.5" customHeight="1" x14ac:dyDescent="0.2">
      <c r="A70" s="117" t="s">
        <v>778</v>
      </c>
      <c r="B70" s="117" t="s">
        <v>7303</v>
      </c>
      <c r="C70" s="128">
        <v>1</v>
      </c>
      <c r="D70" s="133" t="s">
        <v>7389</v>
      </c>
      <c r="E70" s="138">
        <f>+INDEX(F70:AB70,1,[3]BOD!$I$2-1)</f>
        <v>9.91</v>
      </c>
      <c r="F70" s="140">
        <v>9.91</v>
      </c>
      <c r="G70" s="144"/>
      <c r="H70" s="144">
        <f t="shared" si="1"/>
        <v>49.55</v>
      </c>
      <c r="I70" s="144">
        <f t="shared" si="1"/>
        <v>49.55</v>
      </c>
      <c r="J70" s="144"/>
      <c r="K70" s="144"/>
      <c r="L70" s="144"/>
      <c r="M70" s="144"/>
      <c r="N70" s="144"/>
      <c r="O70" s="144"/>
      <c r="P70" s="144"/>
      <c r="Q70" s="144"/>
      <c r="R70" s="144"/>
      <c r="S70" s="144"/>
      <c r="T70" s="144"/>
      <c r="U70" s="144"/>
      <c r="V70" s="144"/>
      <c r="W70" s="144"/>
      <c r="X70" s="144"/>
      <c r="Y70" s="144"/>
      <c r="Z70" s="144"/>
      <c r="AA70" s="144"/>
      <c r="AB70" s="144"/>
      <c r="AC70" s="135"/>
      <c r="AD70" s="129" t="s">
        <v>5459</v>
      </c>
      <c r="AE70" s="129" t="s">
        <v>2331</v>
      </c>
      <c r="AF70" s="130" t="s">
        <v>5459</v>
      </c>
      <c r="AG70" s="129" t="s">
        <v>236</v>
      </c>
      <c r="AH70" s="130" t="s">
        <v>5459</v>
      </c>
      <c r="AI70" s="130" t="s">
        <v>5459</v>
      </c>
    </row>
    <row r="71" spans="1:35" ht="10.5" customHeight="1" x14ac:dyDescent="0.2">
      <c r="A71" s="117" t="s">
        <v>779</v>
      </c>
      <c r="B71" s="117" t="s">
        <v>7304</v>
      </c>
      <c r="C71" s="128">
        <v>1</v>
      </c>
      <c r="D71" s="133" t="s">
        <v>7389</v>
      </c>
      <c r="E71" s="138">
        <f>+INDEX(F71:AB71,1,[3]BOD!$I$2-1)</f>
        <v>11.68</v>
      </c>
      <c r="F71" s="140">
        <v>11.68</v>
      </c>
      <c r="G71" s="144"/>
      <c r="H71" s="144">
        <f t="shared" si="1"/>
        <v>58.4</v>
      </c>
      <c r="I71" s="144">
        <f t="shared" si="1"/>
        <v>58.4</v>
      </c>
      <c r="J71" s="144"/>
      <c r="K71" s="144"/>
      <c r="L71" s="144"/>
      <c r="M71" s="144"/>
      <c r="N71" s="144"/>
      <c r="O71" s="144"/>
      <c r="P71" s="144"/>
      <c r="Q71" s="144"/>
      <c r="R71" s="144"/>
      <c r="S71" s="144"/>
      <c r="T71" s="144"/>
      <c r="U71" s="144"/>
      <c r="V71" s="144"/>
      <c r="W71" s="144"/>
      <c r="X71" s="144"/>
      <c r="Y71" s="144"/>
      <c r="Z71" s="144"/>
      <c r="AA71" s="144"/>
      <c r="AB71" s="144"/>
      <c r="AC71" s="135"/>
      <c r="AD71" s="129" t="s">
        <v>5859</v>
      </c>
      <c r="AE71" s="129" t="s">
        <v>2264</v>
      </c>
      <c r="AF71" s="130">
        <v>1</v>
      </c>
      <c r="AG71" s="129" t="s">
        <v>7389</v>
      </c>
      <c r="AH71" s="130">
        <v>29.02</v>
      </c>
      <c r="AI71" s="130">
        <v>29.02</v>
      </c>
    </row>
    <row r="72" spans="1:35" ht="10.5" customHeight="1" x14ac:dyDescent="0.2">
      <c r="A72" s="117" t="s">
        <v>780</v>
      </c>
      <c r="B72" s="117" t="s">
        <v>7305</v>
      </c>
      <c r="C72" s="128">
        <v>1</v>
      </c>
      <c r="D72" s="133" t="s">
        <v>7389</v>
      </c>
      <c r="E72" s="138">
        <f>+INDEX(F72:AB72,1,[3]BOD!$I$2-1)</f>
        <v>22.6</v>
      </c>
      <c r="F72" s="140">
        <v>22.6</v>
      </c>
      <c r="G72" s="144"/>
      <c r="H72" s="144">
        <f t="shared" si="1"/>
        <v>113</v>
      </c>
      <c r="I72" s="144">
        <f t="shared" si="1"/>
        <v>113</v>
      </c>
      <c r="J72" s="144"/>
      <c r="K72" s="144"/>
      <c r="L72" s="144"/>
      <c r="M72" s="144"/>
      <c r="N72" s="144"/>
      <c r="O72" s="144"/>
      <c r="P72" s="144"/>
      <c r="Q72" s="144"/>
      <c r="R72" s="144"/>
      <c r="S72" s="144"/>
      <c r="T72" s="144"/>
      <c r="U72" s="144"/>
      <c r="V72" s="144"/>
      <c r="W72" s="144"/>
      <c r="X72" s="144"/>
      <c r="Y72" s="144"/>
      <c r="Z72" s="144"/>
      <c r="AA72" s="144"/>
      <c r="AB72" s="144"/>
      <c r="AC72" s="135"/>
      <c r="AD72" s="129" t="s">
        <v>5459</v>
      </c>
      <c r="AE72" s="129" t="s">
        <v>2331</v>
      </c>
      <c r="AF72" s="130" t="s">
        <v>5459</v>
      </c>
      <c r="AG72" s="129" t="s">
        <v>236</v>
      </c>
      <c r="AH72" s="130" t="s">
        <v>5459</v>
      </c>
      <c r="AI72" s="130" t="s">
        <v>5459</v>
      </c>
    </row>
    <row r="73" spans="1:35" ht="10.5" customHeight="1" x14ac:dyDescent="0.2">
      <c r="A73" s="117" t="s">
        <v>781</v>
      </c>
      <c r="B73" s="117" t="s">
        <v>7306</v>
      </c>
      <c r="C73" s="128">
        <v>1</v>
      </c>
      <c r="D73" s="133" t="s">
        <v>7389</v>
      </c>
      <c r="E73" s="138">
        <f>+INDEX(F73:AB73,1,[3]BOD!$I$2-1)</f>
        <v>21.9</v>
      </c>
      <c r="F73" s="140">
        <v>21.9</v>
      </c>
      <c r="G73" s="144"/>
      <c r="H73" s="144">
        <f t="shared" si="1"/>
        <v>109.5</v>
      </c>
      <c r="I73" s="144">
        <f t="shared" si="1"/>
        <v>109.5</v>
      </c>
      <c r="J73" s="144"/>
      <c r="K73" s="144"/>
      <c r="L73" s="144"/>
      <c r="M73" s="144"/>
      <c r="N73" s="144"/>
      <c r="O73" s="144"/>
      <c r="P73" s="144"/>
      <c r="Q73" s="144"/>
      <c r="R73" s="144"/>
      <c r="S73" s="144"/>
      <c r="T73" s="144"/>
      <c r="U73" s="144"/>
      <c r="V73" s="144"/>
      <c r="W73" s="144"/>
      <c r="X73" s="144"/>
      <c r="Y73" s="144"/>
      <c r="Z73" s="144"/>
      <c r="AA73" s="144"/>
      <c r="AB73" s="144"/>
      <c r="AC73" s="135"/>
      <c r="AD73" s="129" t="s">
        <v>5860</v>
      </c>
      <c r="AE73" s="129" t="s">
        <v>2265</v>
      </c>
      <c r="AF73" s="130">
        <v>1</v>
      </c>
      <c r="AG73" s="129" t="s">
        <v>7389</v>
      </c>
      <c r="AH73" s="130">
        <v>34.24</v>
      </c>
      <c r="AI73" s="130">
        <v>34.24</v>
      </c>
    </row>
    <row r="74" spans="1:35" ht="10.5" customHeight="1" x14ac:dyDescent="0.2">
      <c r="A74" s="117" t="s">
        <v>782</v>
      </c>
      <c r="B74" s="117" t="s">
        <v>7307</v>
      </c>
      <c r="C74" s="128">
        <v>1</v>
      </c>
      <c r="D74" s="133" t="s">
        <v>7389</v>
      </c>
      <c r="E74" s="138">
        <f>+INDEX(F74:AB74,1,[3]BOD!$I$2-1)</f>
        <v>27.69</v>
      </c>
      <c r="F74" s="140">
        <v>27.69</v>
      </c>
      <c r="G74" s="144"/>
      <c r="H74" s="144">
        <f t="shared" si="1"/>
        <v>138.45000000000002</v>
      </c>
      <c r="I74" s="144">
        <f t="shared" si="1"/>
        <v>138.45000000000002</v>
      </c>
      <c r="J74" s="144"/>
      <c r="K74" s="144"/>
      <c r="L74" s="144"/>
      <c r="M74" s="144"/>
      <c r="N74" s="144"/>
      <c r="O74" s="144"/>
      <c r="P74" s="144"/>
      <c r="Q74" s="144"/>
      <c r="R74" s="144"/>
      <c r="S74" s="144"/>
      <c r="T74" s="144"/>
      <c r="U74" s="144"/>
      <c r="V74" s="144"/>
      <c r="W74" s="144"/>
      <c r="X74" s="144"/>
      <c r="Y74" s="144"/>
      <c r="Z74" s="144"/>
      <c r="AA74" s="144"/>
      <c r="AB74" s="144"/>
      <c r="AC74" s="135"/>
      <c r="AD74" s="129" t="s">
        <v>5459</v>
      </c>
      <c r="AE74" s="129" t="s">
        <v>2331</v>
      </c>
      <c r="AF74" s="130" t="s">
        <v>5459</v>
      </c>
      <c r="AG74" s="129" t="s">
        <v>236</v>
      </c>
      <c r="AH74" s="130" t="s">
        <v>5459</v>
      </c>
      <c r="AI74" s="130" t="s">
        <v>5459</v>
      </c>
    </row>
    <row r="75" spans="1:35" ht="10.5" customHeight="1" x14ac:dyDescent="0.2">
      <c r="A75" s="117" t="s">
        <v>783</v>
      </c>
      <c r="B75" s="117" t="s">
        <v>7308</v>
      </c>
      <c r="C75" s="128">
        <v>1</v>
      </c>
      <c r="D75" s="133" t="s">
        <v>7389</v>
      </c>
      <c r="E75" s="138">
        <f>+INDEX(F75:AB75,1,[3]BOD!$I$2-1)</f>
        <v>35.56</v>
      </c>
      <c r="F75" s="140">
        <v>35.56</v>
      </c>
      <c r="G75" s="144"/>
      <c r="H75" s="144">
        <f t="shared" si="1"/>
        <v>177.8</v>
      </c>
      <c r="I75" s="144">
        <f t="shared" si="1"/>
        <v>177.8</v>
      </c>
      <c r="J75" s="144"/>
      <c r="K75" s="144"/>
      <c r="L75" s="144"/>
      <c r="M75" s="144"/>
      <c r="N75" s="144"/>
      <c r="O75" s="144"/>
      <c r="P75" s="144"/>
      <c r="Q75" s="144"/>
      <c r="R75" s="144"/>
      <c r="S75" s="144"/>
      <c r="T75" s="144"/>
      <c r="U75" s="144"/>
      <c r="V75" s="144"/>
      <c r="W75" s="144"/>
      <c r="X75" s="144"/>
      <c r="Y75" s="144"/>
      <c r="Z75" s="144"/>
      <c r="AA75" s="144"/>
      <c r="AB75" s="144"/>
      <c r="AC75" s="135"/>
      <c r="AD75" s="129" t="s">
        <v>5861</v>
      </c>
      <c r="AE75" s="129" t="s">
        <v>2266</v>
      </c>
      <c r="AF75" s="130">
        <v>1</v>
      </c>
      <c r="AG75" s="129" t="s">
        <v>7389</v>
      </c>
      <c r="AH75" s="130">
        <v>42.95</v>
      </c>
      <c r="AI75" s="130">
        <v>42.95</v>
      </c>
    </row>
    <row r="76" spans="1:35" ht="10.5" customHeight="1" x14ac:dyDescent="0.2">
      <c r="A76" s="117" t="s">
        <v>784</v>
      </c>
      <c r="B76" s="117" t="s">
        <v>7309</v>
      </c>
      <c r="C76" s="128">
        <v>1</v>
      </c>
      <c r="D76" s="133" t="s">
        <v>7389</v>
      </c>
      <c r="E76" s="138">
        <f>+INDEX(F76:AB76,1,[3]BOD!$I$2-1)</f>
        <v>66.13</v>
      </c>
      <c r="F76" s="140">
        <v>66.13</v>
      </c>
      <c r="G76" s="144"/>
      <c r="H76" s="144">
        <f t="shared" si="1"/>
        <v>330.65</v>
      </c>
      <c r="I76" s="144">
        <f t="shared" si="1"/>
        <v>330.65</v>
      </c>
      <c r="J76" s="144"/>
      <c r="K76" s="144"/>
      <c r="L76" s="144"/>
      <c r="M76" s="144"/>
      <c r="N76" s="144"/>
      <c r="O76" s="144"/>
      <c r="P76" s="144"/>
      <c r="Q76" s="144"/>
      <c r="R76" s="144"/>
      <c r="S76" s="144"/>
      <c r="T76" s="144"/>
      <c r="U76" s="144"/>
      <c r="V76" s="144"/>
      <c r="W76" s="144"/>
      <c r="X76" s="144"/>
      <c r="Y76" s="144"/>
      <c r="Z76" s="144"/>
      <c r="AA76" s="144"/>
      <c r="AB76" s="144"/>
      <c r="AC76" s="135"/>
      <c r="AD76" s="129" t="s">
        <v>5459</v>
      </c>
      <c r="AE76" s="129" t="s">
        <v>2331</v>
      </c>
      <c r="AF76" s="130" t="s">
        <v>5459</v>
      </c>
      <c r="AG76" s="129" t="s">
        <v>236</v>
      </c>
      <c r="AH76" s="130" t="s">
        <v>5459</v>
      </c>
      <c r="AI76" s="130" t="s">
        <v>5459</v>
      </c>
    </row>
    <row r="77" spans="1:35" ht="10.5" customHeight="1" x14ac:dyDescent="0.2">
      <c r="A77" s="117" t="s">
        <v>785</v>
      </c>
      <c r="B77" s="117" t="s">
        <v>7310</v>
      </c>
      <c r="C77" s="128">
        <v>1</v>
      </c>
      <c r="D77" s="133" t="s">
        <v>7389</v>
      </c>
      <c r="E77" s="138">
        <f>+INDEX(F77:AB77,1,[3]BOD!$I$2-1)</f>
        <v>89.23</v>
      </c>
      <c r="F77" s="140">
        <v>89.23</v>
      </c>
      <c r="G77" s="144"/>
      <c r="H77" s="144">
        <f t="shared" si="1"/>
        <v>446.15000000000003</v>
      </c>
      <c r="I77" s="144">
        <f t="shared" si="1"/>
        <v>446.15000000000003</v>
      </c>
      <c r="J77" s="144"/>
      <c r="K77" s="144"/>
      <c r="L77" s="144"/>
      <c r="M77" s="144"/>
      <c r="N77" s="144"/>
      <c r="O77" s="144"/>
      <c r="P77" s="144"/>
      <c r="Q77" s="144"/>
      <c r="R77" s="144"/>
      <c r="S77" s="144"/>
      <c r="T77" s="144"/>
      <c r="U77" s="144"/>
      <c r="V77" s="144"/>
      <c r="W77" s="144"/>
      <c r="X77" s="144"/>
      <c r="Y77" s="144"/>
      <c r="Z77" s="144"/>
      <c r="AA77" s="144"/>
      <c r="AB77" s="144"/>
      <c r="AC77" s="135"/>
      <c r="AD77" s="129" t="s">
        <v>5862</v>
      </c>
      <c r="AE77" s="129" t="s">
        <v>2267</v>
      </c>
      <c r="AF77" s="130">
        <v>1</v>
      </c>
      <c r="AG77" s="129" t="s">
        <v>7389</v>
      </c>
      <c r="AH77" s="130">
        <v>43.04</v>
      </c>
      <c r="AI77" s="130">
        <v>43.04</v>
      </c>
    </row>
    <row r="78" spans="1:35" ht="10.5" customHeight="1" x14ac:dyDescent="0.2">
      <c r="A78" s="117" t="s">
        <v>786</v>
      </c>
      <c r="B78" s="117" t="s">
        <v>4270</v>
      </c>
      <c r="C78" s="128">
        <v>1</v>
      </c>
      <c r="D78" s="133" t="s">
        <v>7389</v>
      </c>
      <c r="E78" s="138">
        <f>+INDEX(F78:AB78,1,[3]BOD!$I$2-1)</f>
        <v>9999</v>
      </c>
      <c r="F78" s="140">
        <v>9999</v>
      </c>
      <c r="G78" s="144"/>
      <c r="H78" s="144">
        <f t="shared" si="1"/>
        <v>49995</v>
      </c>
      <c r="I78" s="144">
        <f t="shared" si="1"/>
        <v>49995</v>
      </c>
      <c r="J78" s="144"/>
      <c r="K78" s="144"/>
      <c r="L78" s="144"/>
      <c r="M78" s="144"/>
      <c r="N78" s="144"/>
      <c r="O78" s="144"/>
      <c r="P78" s="144"/>
      <c r="Q78" s="144"/>
      <c r="R78" s="144"/>
      <c r="S78" s="144"/>
      <c r="T78" s="144"/>
      <c r="U78" s="144"/>
      <c r="V78" s="144"/>
      <c r="W78" s="144"/>
      <c r="X78" s="144"/>
      <c r="Y78" s="144"/>
      <c r="Z78" s="144"/>
      <c r="AA78" s="144"/>
      <c r="AB78" s="144"/>
      <c r="AC78" s="135"/>
      <c r="AD78" s="129" t="s">
        <v>5459</v>
      </c>
      <c r="AE78" s="129" t="s">
        <v>2331</v>
      </c>
      <c r="AF78" s="130" t="s">
        <v>5459</v>
      </c>
      <c r="AG78" s="129" t="s">
        <v>236</v>
      </c>
      <c r="AH78" s="130" t="s">
        <v>5459</v>
      </c>
      <c r="AI78" s="130" t="s">
        <v>5459</v>
      </c>
    </row>
    <row r="79" spans="1:35" ht="10.5" customHeight="1" x14ac:dyDescent="0.2">
      <c r="A79" s="117" t="s">
        <v>787</v>
      </c>
      <c r="B79" s="117" t="s">
        <v>4271</v>
      </c>
      <c r="C79" s="128">
        <v>1</v>
      </c>
      <c r="D79" s="133" t="s">
        <v>7389</v>
      </c>
      <c r="E79" s="138">
        <f>+INDEX(F79:AB79,1,[3]BOD!$I$2-1)</f>
        <v>9999</v>
      </c>
      <c r="F79" s="140">
        <v>9999</v>
      </c>
      <c r="G79" s="144"/>
      <c r="H79" s="144">
        <f t="shared" si="1"/>
        <v>49995</v>
      </c>
      <c r="I79" s="144">
        <f t="shared" si="1"/>
        <v>49995</v>
      </c>
      <c r="J79" s="144"/>
      <c r="K79" s="144"/>
      <c r="L79" s="144"/>
      <c r="M79" s="144"/>
      <c r="N79" s="144"/>
      <c r="O79" s="144"/>
      <c r="P79" s="144"/>
      <c r="Q79" s="144"/>
      <c r="R79" s="144"/>
      <c r="S79" s="144"/>
      <c r="T79" s="144"/>
      <c r="U79" s="144"/>
      <c r="V79" s="144"/>
      <c r="W79" s="144"/>
      <c r="X79" s="144"/>
      <c r="Y79" s="144"/>
      <c r="Z79" s="144"/>
      <c r="AA79" s="144"/>
      <c r="AB79" s="144"/>
      <c r="AC79" s="135"/>
      <c r="AD79" s="129" t="s">
        <v>3529</v>
      </c>
      <c r="AE79" s="129" t="s">
        <v>2268</v>
      </c>
      <c r="AF79" s="130">
        <v>1</v>
      </c>
      <c r="AG79" s="129" t="s">
        <v>7389</v>
      </c>
      <c r="AH79" s="130">
        <v>45.54</v>
      </c>
      <c r="AI79" s="130">
        <v>45.54</v>
      </c>
    </row>
    <row r="80" spans="1:35" ht="10.5" customHeight="1" x14ac:dyDescent="0.2">
      <c r="A80" s="117" t="s">
        <v>788</v>
      </c>
      <c r="B80" s="117" t="s">
        <v>5438</v>
      </c>
      <c r="C80" s="128">
        <v>1</v>
      </c>
      <c r="D80" s="133" t="s">
        <v>7389</v>
      </c>
      <c r="E80" s="138">
        <f>+INDEX(F80:AB80,1,[3]BOD!$I$2-1)</f>
        <v>9999</v>
      </c>
      <c r="F80" s="140">
        <v>9999</v>
      </c>
      <c r="G80" s="144"/>
      <c r="H80" s="144">
        <f t="shared" si="1"/>
        <v>49995</v>
      </c>
      <c r="I80" s="144">
        <f t="shared" si="1"/>
        <v>49995</v>
      </c>
      <c r="J80" s="144"/>
      <c r="K80" s="144"/>
      <c r="L80" s="144"/>
      <c r="M80" s="144"/>
      <c r="N80" s="144"/>
      <c r="O80" s="144"/>
      <c r="P80" s="144"/>
      <c r="Q80" s="144"/>
      <c r="R80" s="144"/>
      <c r="S80" s="144"/>
      <c r="T80" s="144"/>
      <c r="U80" s="144"/>
      <c r="V80" s="144"/>
      <c r="W80" s="144"/>
      <c r="X80" s="144"/>
      <c r="Y80" s="144"/>
      <c r="Z80" s="144"/>
      <c r="AA80" s="144"/>
      <c r="AB80" s="144"/>
      <c r="AC80" s="135"/>
      <c r="AD80" s="129" t="s">
        <v>5459</v>
      </c>
      <c r="AE80" s="129" t="s">
        <v>2331</v>
      </c>
      <c r="AF80" s="130" t="s">
        <v>5459</v>
      </c>
      <c r="AG80" s="129" t="s">
        <v>236</v>
      </c>
      <c r="AH80" s="130" t="s">
        <v>5459</v>
      </c>
      <c r="AI80" s="130" t="s">
        <v>5459</v>
      </c>
    </row>
    <row r="81" spans="1:35" ht="10.5" customHeight="1" x14ac:dyDescent="0.2">
      <c r="A81" s="117" t="s">
        <v>789</v>
      </c>
      <c r="B81" s="117" t="s">
        <v>5439</v>
      </c>
      <c r="C81" s="128">
        <v>1</v>
      </c>
      <c r="D81" s="133" t="s">
        <v>7389</v>
      </c>
      <c r="E81" s="138">
        <f>+INDEX(F81:AB81,1,[3]BOD!$I$2-1)</f>
        <v>9999</v>
      </c>
      <c r="F81" s="140">
        <v>9999</v>
      </c>
      <c r="G81" s="144"/>
      <c r="H81" s="144">
        <f t="shared" si="1"/>
        <v>49995</v>
      </c>
      <c r="I81" s="144">
        <f t="shared" si="1"/>
        <v>49995</v>
      </c>
      <c r="J81" s="144"/>
      <c r="K81" s="144"/>
      <c r="L81" s="144"/>
      <c r="M81" s="144"/>
      <c r="N81" s="144"/>
      <c r="O81" s="144"/>
      <c r="P81" s="144"/>
      <c r="Q81" s="144"/>
      <c r="R81" s="144"/>
      <c r="S81" s="144"/>
      <c r="T81" s="144"/>
      <c r="U81" s="144"/>
      <c r="V81" s="144"/>
      <c r="W81" s="144"/>
      <c r="X81" s="144"/>
      <c r="Y81" s="144"/>
      <c r="Z81" s="144"/>
      <c r="AA81" s="144"/>
      <c r="AB81" s="144"/>
      <c r="AC81" s="135"/>
      <c r="AD81" s="129" t="s">
        <v>3530</v>
      </c>
      <c r="AE81" s="129" t="s">
        <v>2269</v>
      </c>
      <c r="AF81" s="130">
        <v>1</v>
      </c>
      <c r="AG81" s="129" t="s">
        <v>7389</v>
      </c>
      <c r="AH81" s="130">
        <v>49.02</v>
      </c>
      <c r="AI81" s="130">
        <v>49.02</v>
      </c>
    </row>
    <row r="82" spans="1:35" ht="10.5" customHeight="1" x14ac:dyDescent="0.2">
      <c r="A82" s="117" t="s">
        <v>790</v>
      </c>
      <c r="B82" s="117" t="s">
        <v>5440</v>
      </c>
      <c r="C82" s="128">
        <v>1</v>
      </c>
      <c r="D82" s="133" t="s">
        <v>7389</v>
      </c>
      <c r="E82" s="138">
        <f>+INDEX(F82:AB82,1,[3]BOD!$I$2-1)</f>
        <v>9999</v>
      </c>
      <c r="F82" s="140">
        <v>9999</v>
      </c>
      <c r="G82" s="144"/>
      <c r="H82" s="144">
        <f t="shared" si="1"/>
        <v>49995</v>
      </c>
      <c r="I82" s="144">
        <f t="shared" si="1"/>
        <v>49995</v>
      </c>
      <c r="J82" s="144"/>
      <c r="K82" s="144"/>
      <c r="L82" s="144"/>
      <c r="M82" s="144"/>
      <c r="N82" s="144"/>
      <c r="O82" s="144"/>
      <c r="P82" s="144"/>
      <c r="Q82" s="144"/>
      <c r="R82" s="144"/>
      <c r="S82" s="144"/>
      <c r="T82" s="144"/>
      <c r="U82" s="144"/>
      <c r="V82" s="144"/>
      <c r="W82" s="144"/>
      <c r="X82" s="144"/>
      <c r="Y82" s="144"/>
      <c r="Z82" s="144"/>
      <c r="AA82" s="144"/>
      <c r="AB82" s="144"/>
      <c r="AC82" s="135"/>
      <c r="AD82" s="129" t="s">
        <v>5459</v>
      </c>
      <c r="AE82" s="129" t="s">
        <v>2331</v>
      </c>
      <c r="AF82" s="130" t="s">
        <v>5459</v>
      </c>
      <c r="AG82" s="129" t="s">
        <v>236</v>
      </c>
      <c r="AH82" s="130" t="s">
        <v>5459</v>
      </c>
      <c r="AI82" s="130" t="s">
        <v>5459</v>
      </c>
    </row>
    <row r="83" spans="1:35" ht="10.5" customHeight="1" x14ac:dyDescent="0.2">
      <c r="A83" s="117" t="s">
        <v>791</v>
      </c>
      <c r="B83" s="117" t="s">
        <v>5441</v>
      </c>
      <c r="C83" s="128">
        <v>1</v>
      </c>
      <c r="D83" s="133" t="s">
        <v>7389</v>
      </c>
      <c r="E83" s="138">
        <f>+INDEX(F83:AB83,1,[3]BOD!$I$2-1)</f>
        <v>9999</v>
      </c>
      <c r="F83" s="140">
        <v>9999</v>
      </c>
      <c r="G83" s="144"/>
      <c r="H83" s="144">
        <f t="shared" si="1"/>
        <v>49995</v>
      </c>
      <c r="I83" s="144">
        <f t="shared" si="1"/>
        <v>49995</v>
      </c>
      <c r="J83" s="144"/>
      <c r="K83" s="144"/>
      <c r="L83" s="144"/>
      <c r="M83" s="144"/>
      <c r="N83" s="144"/>
      <c r="O83" s="144"/>
      <c r="P83" s="144"/>
      <c r="Q83" s="144"/>
      <c r="R83" s="144"/>
      <c r="S83" s="144"/>
      <c r="T83" s="144"/>
      <c r="U83" s="144"/>
      <c r="V83" s="144"/>
      <c r="W83" s="144"/>
      <c r="X83" s="144"/>
      <c r="Y83" s="144"/>
      <c r="Z83" s="144"/>
      <c r="AA83" s="144"/>
      <c r="AB83" s="144"/>
      <c r="AC83" s="135"/>
      <c r="AD83" s="129" t="s">
        <v>3541</v>
      </c>
      <c r="AE83" s="129" t="s">
        <v>2270</v>
      </c>
      <c r="AF83" s="130">
        <v>1</v>
      </c>
      <c r="AG83" s="129" t="s">
        <v>7389</v>
      </c>
      <c r="AH83" s="130">
        <v>54.24</v>
      </c>
      <c r="AI83" s="130">
        <v>54.24</v>
      </c>
    </row>
    <row r="84" spans="1:35" ht="10.5" customHeight="1" x14ac:dyDescent="0.2">
      <c r="A84" s="117" t="s">
        <v>792</v>
      </c>
      <c r="B84" s="117" t="s">
        <v>5443</v>
      </c>
      <c r="C84" s="128">
        <v>1</v>
      </c>
      <c r="D84" s="133" t="s">
        <v>7389</v>
      </c>
      <c r="E84" s="138">
        <f>+INDEX(F84:AB84,1,[3]BOD!$I$2-1)</f>
        <v>9999</v>
      </c>
      <c r="F84" s="140">
        <v>9999</v>
      </c>
      <c r="G84" s="144"/>
      <c r="H84" s="144">
        <f t="shared" si="1"/>
        <v>49995</v>
      </c>
      <c r="I84" s="144">
        <f t="shared" si="1"/>
        <v>49995</v>
      </c>
      <c r="J84" s="144"/>
      <c r="K84" s="144"/>
      <c r="L84" s="144"/>
      <c r="M84" s="144"/>
      <c r="N84" s="144"/>
      <c r="O84" s="144"/>
      <c r="P84" s="144"/>
      <c r="Q84" s="144"/>
      <c r="R84" s="144"/>
      <c r="S84" s="144"/>
      <c r="T84" s="144"/>
      <c r="U84" s="144"/>
      <c r="V84" s="144"/>
      <c r="W84" s="144"/>
      <c r="X84" s="144"/>
      <c r="Y84" s="144"/>
      <c r="Z84" s="144"/>
      <c r="AA84" s="144"/>
      <c r="AB84" s="144"/>
      <c r="AC84" s="135"/>
      <c r="AD84" s="129" t="s">
        <v>5459</v>
      </c>
      <c r="AE84" s="129" t="s">
        <v>2331</v>
      </c>
      <c r="AF84" s="130" t="s">
        <v>5459</v>
      </c>
      <c r="AG84" s="129" t="s">
        <v>236</v>
      </c>
      <c r="AH84" s="130" t="s">
        <v>5459</v>
      </c>
      <c r="AI84" s="130" t="s">
        <v>5459</v>
      </c>
    </row>
    <row r="85" spans="1:35" ht="10.5" customHeight="1" x14ac:dyDescent="0.2">
      <c r="A85" s="117" t="s">
        <v>793</v>
      </c>
      <c r="B85" s="117" t="s">
        <v>5444</v>
      </c>
      <c r="C85" s="128">
        <v>1</v>
      </c>
      <c r="D85" s="133" t="s">
        <v>7389</v>
      </c>
      <c r="E85" s="138">
        <f>+INDEX(F85:AB85,1,[3]BOD!$I$2-1)</f>
        <v>9999</v>
      </c>
      <c r="F85" s="140">
        <v>9999</v>
      </c>
      <c r="G85" s="144"/>
      <c r="H85" s="144">
        <f t="shared" si="1"/>
        <v>49995</v>
      </c>
      <c r="I85" s="144">
        <f t="shared" si="1"/>
        <v>49995</v>
      </c>
      <c r="J85" s="144"/>
      <c r="K85" s="144"/>
      <c r="L85" s="144"/>
      <c r="M85" s="144"/>
      <c r="N85" s="144"/>
      <c r="O85" s="144"/>
      <c r="P85" s="144"/>
      <c r="Q85" s="144"/>
      <c r="R85" s="144"/>
      <c r="S85" s="144"/>
      <c r="T85" s="144"/>
      <c r="U85" s="144"/>
      <c r="V85" s="144"/>
      <c r="W85" s="144"/>
      <c r="X85" s="144"/>
      <c r="Y85" s="144"/>
      <c r="Z85" s="144"/>
      <c r="AA85" s="144"/>
      <c r="AB85" s="144"/>
      <c r="AC85" s="135"/>
      <c r="AD85" s="129" t="s">
        <v>845</v>
      </c>
      <c r="AE85" s="129" t="s">
        <v>2271</v>
      </c>
      <c r="AF85" s="130">
        <v>1</v>
      </c>
      <c r="AG85" s="129" t="s">
        <v>7389</v>
      </c>
      <c r="AH85" s="130">
        <v>62.95</v>
      </c>
      <c r="AI85" s="130">
        <v>62.95</v>
      </c>
    </row>
    <row r="86" spans="1:35" ht="10.5" customHeight="1" x14ac:dyDescent="0.2">
      <c r="A86" s="117" t="s">
        <v>794</v>
      </c>
      <c r="B86" s="117" t="s">
        <v>5445</v>
      </c>
      <c r="C86" s="128">
        <v>1</v>
      </c>
      <c r="D86" s="133" t="s">
        <v>7389</v>
      </c>
      <c r="E86" s="138">
        <f>+INDEX(F86:AB86,1,[3]BOD!$I$2-1)</f>
        <v>9999</v>
      </c>
      <c r="F86" s="140">
        <v>9999</v>
      </c>
      <c r="G86" s="144"/>
      <c r="H86" s="144">
        <f t="shared" si="1"/>
        <v>49995</v>
      </c>
      <c r="I86" s="144">
        <f t="shared" si="1"/>
        <v>49995</v>
      </c>
      <c r="J86" s="144"/>
      <c r="K86" s="144"/>
      <c r="L86" s="144"/>
      <c r="M86" s="144"/>
      <c r="N86" s="144"/>
      <c r="O86" s="144"/>
      <c r="P86" s="144"/>
      <c r="Q86" s="144"/>
      <c r="R86" s="144"/>
      <c r="S86" s="144"/>
      <c r="T86" s="144"/>
      <c r="U86" s="144"/>
      <c r="V86" s="144"/>
      <c r="W86" s="144"/>
      <c r="X86" s="144"/>
      <c r="Y86" s="144"/>
      <c r="Z86" s="144"/>
      <c r="AA86" s="144"/>
      <c r="AB86" s="144"/>
      <c r="AC86" s="135"/>
      <c r="AD86" s="129" t="s">
        <v>5459</v>
      </c>
      <c r="AE86" s="129" t="s">
        <v>2331</v>
      </c>
      <c r="AF86" s="130" t="s">
        <v>5459</v>
      </c>
      <c r="AG86" s="129" t="s">
        <v>236</v>
      </c>
      <c r="AH86" s="130" t="s">
        <v>5459</v>
      </c>
      <c r="AI86" s="130" t="s">
        <v>5459</v>
      </c>
    </row>
    <row r="87" spans="1:35" ht="10.5" customHeight="1" x14ac:dyDescent="0.2">
      <c r="A87" s="117" t="s">
        <v>795</v>
      </c>
      <c r="B87" s="117" t="s">
        <v>5446</v>
      </c>
      <c r="C87" s="128">
        <v>1</v>
      </c>
      <c r="D87" s="133" t="s">
        <v>7389</v>
      </c>
      <c r="E87" s="138">
        <f>+INDEX(F87:AB87,1,[3]BOD!$I$2-1)</f>
        <v>9999</v>
      </c>
      <c r="F87" s="140">
        <v>9999</v>
      </c>
      <c r="G87" s="144"/>
      <c r="H87" s="144">
        <f t="shared" si="1"/>
        <v>49995</v>
      </c>
      <c r="I87" s="144">
        <f t="shared" si="1"/>
        <v>49995</v>
      </c>
      <c r="J87" s="144"/>
      <c r="K87" s="144"/>
      <c r="L87" s="144"/>
      <c r="M87" s="144"/>
      <c r="N87" s="144"/>
      <c r="O87" s="144"/>
      <c r="P87" s="144"/>
      <c r="Q87" s="144"/>
      <c r="R87" s="144"/>
      <c r="S87" s="144"/>
      <c r="T87" s="144"/>
      <c r="U87" s="144"/>
      <c r="V87" s="144"/>
      <c r="W87" s="144"/>
      <c r="X87" s="144"/>
      <c r="Y87" s="144"/>
      <c r="Z87" s="144"/>
      <c r="AA87" s="144"/>
      <c r="AB87" s="144"/>
      <c r="AC87" s="135"/>
      <c r="AD87" s="129" t="s">
        <v>846</v>
      </c>
      <c r="AE87" s="129" t="s">
        <v>2272</v>
      </c>
      <c r="AF87" s="130">
        <v>1</v>
      </c>
      <c r="AG87" s="129" t="s">
        <v>847</v>
      </c>
      <c r="AH87" s="130">
        <v>274.52999999999997</v>
      </c>
      <c r="AI87" s="130">
        <v>274.52999999999997</v>
      </c>
    </row>
    <row r="88" spans="1:35" ht="10.5" customHeight="1" x14ac:dyDescent="0.2">
      <c r="A88" s="117" t="s">
        <v>796</v>
      </c>
      <c r="B88" s="117" t="s">
        <v>5442</v>
      </c>
      <c r="C88" s="128">
        <v>1</v>
      </c>
      <c r="D88" s="133" t="s">
        <v>7389</v>
      </c>
      <c r="E88" s="138">
        <f>+INDEX(F88:AB88,1,[3]BOD!$I$2-1)</f>
        <v>9999</v>
      </c>
      <c r="F88" s="140">
        <v>9999</v>
      </c>
      <c r="G88" s="144"/>
      <c r="H88" s="144">
        <f t="shared" si="1"/>
        <v>49995</v>
      </c>
      <c r="I88" s="144">
        <f t="shared" si="1"/>
        <v>49995</v>
      </c>
      <c r="J88" s="144"/>
      <c r="K88" s="144"/>
      <c r="L88" s="144"/>
      <c r="M88" s="144"/>
      <c r="N88" s="144"/>
      <c r="O88" s="144"/>
      <c r="P88" s="144"/>
      <c r="Q88" s="144"/>
      <c r="R88" s="144"/>
      <c r="S88" s="144"/>
      <c r="T88" s="144"/>
      <c r="U88" s="144"/>
      <c r="V88" s="144"/>
      <c r="W88" s="144"/>
      <c r="X88" s="144"/>
      <c r="Y88" s="144"/>
      <c r="Z88" s="144"/>
      <c r="AA88" s="144"/>
      <c r="AB88" s="144"/>
      <c r="AC88" s="135"/>
      <c r="AD88" s="129" t="s">
        <v>5459</v>
      </c>
      <c r="AE88" s="129" t="s">
        <v>2275</v>
      </c>
      <c r="AF88" s="130" t="s">
        <v>5459</v>
      </c>
      <c r="AG88" s="129" t="s">
        <v>236</v>
      </c>
      <c r="AH88" s="130" t="s">
        <v>5459</v>
      </c>
      <c r="AI88" s="130" t="s">
        <v>5459</v>
      </c>
    </row>
    <row r="89" spans="1:35" ht="10.5" customHeight="1" x14ac:dyDescent="0.2">
      <c r="A89" s="117" t="s">
        <v>797</v>
      </c>
      <c r="B89" s="117" t="s">
        <v>5447</v>
      </c>
      <c r="C89" s="128">
        <v>1</v>
      </c>
      <c r="D89" s="133" t="s">
        <v>7389</v>
      </c>
      <c r="E89" s="138">
        <f>+INDEX(F89:AB89,1,[3]BOD!$I$2-1)</f>
        <v>9999</v>
      </c>
      <c r="F89" s="140">
        <v>9999</v>
      </c>
      <c r="G89" s="144"/>
      <c r="H89" s="144">
        <f t="shared" si="1"/>
        <v>49995</v>
      </c>
      <c r="I89" s="144">
        <f t="shared" si="1"/>
        <v>49995</v>
      </c>
      <c r="J89" s="144"/>
      <c r="K89" s="144"/>
      <c r="L89" s="144"/>
      <c r="M89" s="144"/>
      <c r="N89" s="144"/>
      <c r="O89" s="144"/>
      <c r="P89" s="144"/>
      <c r="Q89" s="144"/>
      <c r="R89" s="144"/>
      <c r="S89" s="144"/>
      <c r="T89" s="144"/>
      <c r="U89" s="144"/>
      <c r="V89" s="144"/>
      <c r="W89" s="144"/>
      <c r="X89" s="144"/>
      <c r="Y89" s="144"/>
      <c r="Z89" s="144"/>
      <c r="AA89" s="144"/>
      <c r="AB89" s="144"/>
      <c r="AC89" s="135"/>
      <c r="AD89" s="129" t="s">
        <v>848</v>
      </c>
      <c r="AE89" s="129" t="s">
        <v>2273</v>
      </c>
      <c r="AF89" s="130">
        <v>1</v>
      </c>
      <c r="AG89" s="129" t="s">
        <v>847</v>
      </c>
      <c r="AH89" s="130">
        <v>145.59</v>
      </c>
      <c r="AI89" s="130">
        <v>145.59</v>
      </c>
    </row>
    <row r="90" spans="1:35" ht="10.5" customHeight="1" x14ac:dyDescent="0.2">
      <c r="A90" s="117" t="s">
        <v>798</v>
      </c>
      <c r="B90" s="117" t="s">
        <v>5448</v>
      </c>
      <c r="C90" s="128">
        <v>1</v>
      </c>
      <c r="D90" s="133" t="s">
        <v>7389</v>
      </c>
      <c r="E90" s="138">
        <f>+INDEX(F90:AB90,1,[3]BOD!$I$2-1)</f>
        <v>9999</v>
      </c>
      <c r="F90" s="140">
        <v>9999</v>
      </c>
      <c r="G90" s="144"/>
      <c r="H90" s="144">
        <f t="shared" si="1"/>
        <v>49995</v>
      </c>
      <c r="I90" s="144">
        <f t="shared" si="1"/>
        <v>49995</v>
      </c>
      <c r="J90" s="144"/>
      <c r="K90" s="144"/>
      <c r="L90" s="144"/>
      <c r="M90" s="144"/>
      <c r="N90" s="144"/>
      <c r="O90" s="144"/>
      <c r="P90" s="144"/>
      <c r="Q90" s="144"/>
      <c r="R90" s="144"/>
      <c r="S90" s="144"/>
      <c r="T90" s="144"/>
      <c r="U90" s="144"/>
      <c r="V90" s="144"/>
      <c r="W90" s="144"/>
      <c r="X90" s="144"/>
      <c r="Y90" s="144"/>
      <c r="Z90" s="144"/>
      <c r="AA90" s="144"/>
      <c r="AB90" s="144"/>
      <c r="AC90" s="135"/>
      <c r="AD90" s="129" t="s">
        <v>5459</v>
      </c>
      <c r="AE90" s="129" t="s">
        <v>2275</v>
      </c>
      <c r="AF90" s="130" t="s">
        <v>5459</v>
      </c>
      <c r="AG90" s="129" t="s">
        <v>236</v>
      </c>
      <c r="AH90" s="130" t="s">
        <v>5459</v>
      </c>
      <c r="AI90" s="130" t="s">
        <v>5459</v>
      </c>
    </row>
    <row r="91" spans="1:35" ht="10.5" customHeight="1" x14ac:dyDescent="0.2">
      <c r="A91" s="117" t="s">
        <v>799</v>
      </c>
      <c r="B91" s="117" t="s">
        <v>5449</v>
      </c>
      <c r="C91" s="128">
        <v>1</v>
      </c>
      <c r="D91" s="133" t="s">
        <v>7389</v>
      </c>
      <c r="E91" s="138">
        <f>+INDEX(F91:AB91,1,[3]BOD!$I$2-1)</f>
        <v>9999</v>
      </c>
      <c r="F91" s="140">
        <v>9999</v>
      </c>
      <c r="G91" s="144"/>
      <c r="H91" s="144">
        <f t="shared" si="1"/>
        <v>49995</v>
      </c>
      <c r="I91" s="144">
        <f t="shared" si="1"/>
        <v>49995</v>
      </c>
      <c r="J91" s="144"/>
      <c r="K91" s="144"/>
      <c r="L91" s="144"/>
      <c r="M91" s="144"/>
      <c r="N91" s="144"/>
      <c r="O91" s="144"/>
      <c r="P91" s="144"/>
      <c r="Q91" s="144"/>
      <c r="R91" s="144"/>
      <c r="S91" s="144"/>
      <c r="T91" s="144"/>
      <c r="U91" s="144"/>
      <c r="V91" s="144"/>
      <c r="W91" s="144"/>
      <c r="X91" s="144"/>
      <c r="Y91" s="144"/>
      <c r="Z91" s="144"/>
      <c r="AA91" s="144"/>
      <c r="AB91" s="144"/>
      <c r="AC91" s="135"/>
      <c r="AD91" s="129" t="s">
        <v>5371</v>
      </c>
      <c r="AE91" s="129" t="s">
        <v>2274</v>
      </c>
      <c r="AF91" s="130">
        <v>1</v>
      </c>
      <c r="AG91" s="129" t="s">
        <v>847</v>
      </c>
      <c r="AH91" s="130">
        <v>196.83</v>
      </c>
      <c r="AI91" s="130">
        <v>196.83</v>
      </c>
    </row>
    <row r="92" spans="1:35" ht="10.5" customHeight="1" x14ac:dyDescent="0.2">
      <c r="A92" s="117" t="s">
        <v>800</v>
      </c>
      <c r="B92" s="117" t="s">
        <v>5450</v>
      </c>
      <c r="C92" s="128">
        <v>1</v>
      </c>
      <c r="D92" s="133" t="s">
        <v>7389</v>
      </c>
      <c r="E92" s="138">
        <f>+INDEX(F92:AB92,1,[3]BOD!$I$2-1)</f>
        <v>9999</v>
      </c>
      <c r="F92" s="140">
        <v>9999</v>
      </c>
      <c r="G92" s="144"/>
      <c r="H92" s="144">
        <f t="shared" si="1"/>
        <v>49995</v>
      </c>
      <c r="I92" s="144">
        <f t="shared" si="1"/>
        <v>49995</v>
      </c>
      <c r="J92" s="144"/>
      <c r="K92" s="144"/>
      <c r="L92" s="144"/>
      <c r="M92" s="144"/>
      <c r="N92" s="144"/>
      <c r="O92" s="144"/>
      <c r="P92" s="144"/>
      <c r="Q92" s="144"/>
      <c r="R92" s="144"/>
      <c r="S92" s="144"/>
      <c r="T92" s="144"/>
      <c r="U92" s="144"/>
      <c r="V92" s="144"/>
      <c r="W92" s="144"/>
      <c r="X92" s="144"/>
      <c r="Y92" s="144"/>
      <c r="Z92" s="144"/>
      <c r="AA92" s="144"/>
      <c r="AB92" s="144"/>
      <c r="AC92" s="135"/>
      <c r="AD92" s="129" t="s">
        <v>5459</v>
      </c>
      <c r="AE92" s="129" t="s">
        <v>2275</v>
      </c>
      <c r="AF92" s="130" t="s">
        <v>5459</v>
      </c>
      <c r="AG92" s="129" t="s">
        <v>236</v>
      </c>
      <c r="AH92" s="130" t="s">
        <v>5459</v>
      </c>
      <c r="AI92" s="130" t="s">
        <v>5459</v>
      </c>
    </row>
    <row r="93" spans="1:35" ht="10.5" customHeight="1" x14ac:dyDescent="0.2">
      <c r="A93" s="117" t="s">
        <v>801</v>
      </c>
      <c r="B93" s="117" t="s">
        <v>1456</v>
      </c>
      <c r="C93" s="128">
        <v>1</v>
      </c>
      <c r="D93" s="133" t="s">
        <v>7389</v>
      </c>
      <c r="E93" s="138">
        <f>+INDEX(F93:AB93,1,[3]BOD!$I$2-1)</f>
        <v>9999</v>
      </c>
      <c r="F93" s="140">
        <v>9999</v>
      </c>
      <c r="G93" s="144"/>
      <c r="H93" s="144">
        <f t="shared" si="1"/>
        <v>49995</v>
      </c>
      <c r="I93" s="144">
        <f t="shared" si="1"/>
        <v>49995</v>
      </c>
      <c r="J93" s="144"/>
      <c r="K93" s="144"/>
      <c r="L93" s="144"/>
      <c r="M93" s="144"/>
      <c r="N93" s="144"/>
      <c r="O93" s="144"/>
      <c r="P93" s="144"/>
      <c r="Q93" s="144"/>
      <c r="R93" s="144"/>
      <c r="S93" s="144"/>
      <c r="T93" s="144"/>
      <c r="U93" s="144"/>
      <c r="V93" s="144"/>
      <c r="W93" s="144"/>
      <c r="X93" s="144"/>
      <c r="Y93" s="144"/>
      <c r="Z93" s="144"/>
      <c r="AA93" s="144"/>
      <c r="AB93" s="144"/>
      <c r="AC93" s="135"/>
      <c r="AD93" s="129" t="s">
        <v>5372</v>
      </c>
      <c r="AE93" s="129" t="s">
        <v>2276</v>
      </c>
      <c r="AF93" s="130">
        <v>0</v>
      </c>
      <c r="AG93" s="129" t="s">
        <v>236</v>
      </c>
      <c r="AH93" s="130">
        <v>11470</v>
      </c>
      <c r="AI93" s="130">
        <v>0</v>
      </c>
    </row>
    <row r="94" spans="1:35" ht="10.5" customHeight="1" x14ac:dyDescent="0.2">
      <c r="A94" s="117" t="s">
        <v>802</v>
      </c>
      <c r="B94" s="117" t="s">
        <v>1457</v>
      </c>
      <c r="C94" s="128">
        <v>1</v>
      </c>
      <c r="D94" s="133" t="s">
        <v>7389</v>
      </c>
      <c r="E94" s="138">
        <f>+INDEX(F94:AB94,1,[3]BOD!$I$2-1)</f>
        <v>9999</v>
      </c>
      <c r="F94" s="140">
        <v>9999</v>
      </c>
      <c r="G94" s="144"/>
      <c r="H94" s="144">
        <f t="shared" si="1"/>
        <v>49995</v>
      </c>
      <c r="I94" s="144">
        <f t="shared" si="1"/>
        <v>49995</v>
      </c>
      <c r="J94" s="144"/>
      <c r="K94" s="144"/>
      <c r="L94" s="144"/>
      <c r="M94" s="144"/>
      <c r="N94" s="144"/>
      <c r="O94" s="144"/>
      <c r="P94" s="144"/>
      <c r="Q94" s="144"/>
      <c r="R94" s="144"/>
      <c r="S94" s="144"/>
      <c r="T94" s="144"/>
      <c r="U94" s="144"/>
      <c r="V94" s="144"/>
      <c r="W94" s="144"/>
      <c r="X94" s="144"/>
      <c r="Y94" s="144"/>
      <c r="Z94" s="144"/>
      <c r="AA94" s="144"/>
      <c r="AB94" s="144"/>
      <c r="AC94" s="135"/>
      <c r="AD94" s="129" t="s">
        <v>5373</v>
      </c>
      <c r="AE94" s="129" t="s">
        <v>2277</v>
      </c>
      <c r="AF94" s="130">
        <v>0</v>
      </c>
      <c r="AG94" s="129" t="s">
        <v>236</v>
      </c>
      <c r="AH94" s="130">
        <v>10000</v>
      </c>
      <c r="AI94" s="130">
        <v>0</v>
      </c>
    </row>
    <row r="95" spans="1:35" ht="10.5" customHeight="1" x14ac:dyDescent="0.2">
      <c r="A95" s="117" t="s">
        <v>803</v>
      </c>
      <c r="B95" s="117" t="s">
        <v>1458</v>
      </c>
      <c r="C95" s="128">
        <v>1</v>
      </c>
      <c r="D95" s="133" t="s">
        <v>7389</v>
      </c>
      <c r="E95" s="138">
        <f>+INDEX(F95:AB95,1,[3]BOD!$I$2-1)</f>
        <v>9999</v>
      </c>
      <c r="F95" s="140">
        <v>9999</v>
      </c>
      <c r="G95" s="144"/>
      <c r="H95" s="144">
        <f t="shared" si="1"/>
        <v>49995</v>
      </c>
      <c r="I95" s="144">
        <f t="shared" si="1"/>
        <v>49995</v>
      </c>
      <c r="J95" s="144"/>
      <c r="K95" s="144"/>
      <c r="L95" s="144"/>
      <c r="M95" s="144"/>
      <c r="N95" s="144"/>
      <c r="O95" s="144"/>
      <c r="P95" s="144"/>
      <c r="Q95" s="144"/>
      <c r="R95" s="144"/>
      <c r="S95" s="144"/>
      <c r="T95" s="144"/>
      <c r="U95" s="144"/>
      <c r="V95" s="144"/>
      <c r="W95" s="144"/>
      <c r="X95" s="144"/>
      <c r="Y95" s="144"/>
      <c r="Z95" s="144"/>
      <c r="AA95" s="144"/>
      <c r="AB95" s="144"/>
      <c r="AC95" s="135"/>
      <c r="AD95" s="129" t="s">
        <v>5374</v>
      </c>
      <c r="AE95" s="129" t="s">
        <v>2278</v>
      </c>
      <c r="AF95" s="130">
        <v>1</v>
      </c>
      <c r="AG95" s="129" t="s">
        <v>4699</v>
      </c>
      <c r="AH95" s="130">
        <v>1200</v>
      </c>
      <c r="AI95" s="130">
        <v>1200</v>
      </c>
    </row>
    <row r="96" spans="1:35" ht="10.5" customHeight="1" x14ac:dyDescent="0.2">
      <c r="A96" s="117" t="s">
        <v>804</v>
      </c>
      <c r="B96" s="117" t="s">
        <v>1459</v>
      </c>
      <c r="C96" s="128">
        <v>1</v>
      </c>
      <c r="D96" s="133" t="s">
        <v>7389</v>
      </c>
      <c r="E96" s="138">
        <f>+INDEX(F96:AB96,1,[3]BOD!$I$2-1)</f>
        <v>9999</v>
      </c>
      <c r="F96" s="140">
        <v>9999</v>
      </c>
      <c r="G96" s="144"/>
      <c r="H96" s="144">
        <f t="shared" si="1"/>
        <v>49995</v>
      </c>
      <c r="I96" s="144">
        <f t="shared" si="1"/>
        <v>49995</v>
      </c>
      <c r="J96" s="144"/>
      <c r="K96" s="144"/>
      <c r="L96" s="144"/>
      <c r="M96" s="144"/>
      <c r="N96" s="144"/>
      <c r="O96" s="144"/>
      <c r="P96" s="144"/>
      <c r="Q96" s="144"/>
      <c r="R96" s="144"/>
      <c r="S96" s="144"/>
      <c r="T96" s="144"/>
      <c r="U96" s="144"/>
      <c r="V96" s="144"/>
      <c r="W96" s="144"/>
      <c r="X96" s="144"/>
      <c r="Y96" s="144"/>
      <c r="Z96" s="144"/>
      <c r="AA96" s="144"/>
      <c r="AB96" s="144"/>
      <c r="AC96" s="135"/>
      <c r="AD96" s="129" t="s">
        <v>5459</v>
      </c>
      <c r="AE96" s="129" t="s">
        <v>5459</v>
      </c>
      <c r="AF96" s="130" t="s">
        <v>5459</v>
      </c>
      <c r="AG96" s="129" t="s">
        <v>236</v>
      </c>
      <c r="AH96" s="130" t="s">
        <v>5459</v>
      </c>
      <c r="AI96" s="130" t="s">
        <v>5459</v>
      </c>
    </row>
    <row r="97" spans="1:35" ht="10.5" customHeight="1" x14ac:dyDescent="0.2">
      <c r="A97" s="117" t="s">
        <v>805</v>
      </c>
      <c r="B97" s="117" t="s">
        <v>1460</v>
      </c>
      <c r="C97" s="128">
        <v>1</v>
      </c>
      <c r="D97" s="133" t="s">
        <v>7389</v>
      </c>
      <c r="E97" s="138">
        <f>+INDEX(F97:AB97,1,[3]BOD!$I$2-1)</f>
        <v>9999</v>
      </c>
      <c r="F97" s="140">
        <v>9999</v>
      </c>
      <c r="G97" s="144"/>
      <c r="H97" s="144">
        <f t="shared" si="1"/>
        <v>49995</v>
      </c>
      <c r="I97" s="144">
        <f t="shared" si="1"/>
        <v>49995</v>
      </c>
      <c r="J97" s="144"/>
      <c r="K97" s="144"/>
      <c r="L97" s="144"/>
      <c r="M97" s="144"/>
      <c r="N97" s="144"/>
      <c r="O97" s="144"/>
      <c r="P97" s="144"/>
      <c r="Q97" s="144"/>
      <c r="R97" s="144"/>
      <c r="S97" s="144"/>
      <c r="T97" s="144"/>
      <c r="U97" s="144"/>
      <c r="V97" s="144"/>
      <c r="W97" s="144"/>
      <c r="X97" s="144"/>
      <c r="Y97" s="144"/>
      <c r="Z97" s="144"/>
      <c r="AA97" s="144"/>
      <c r="AB97" s="144"/>
      <c r="AC97" s="135"/>
      <c r="AD97" s="129" t="s">
        <v>5375</v>
      </c>
      <c r="AE97" s="129" t="s">
        <v>2279</v>
      </c>
      <c r="AF97" s="130">
        <v>1</v>
      </c>
      <c r="AG97" s="129" t="s">
        <v>4699</v>
      </c>
      <c r="AH97" s="130">
        <v>1200</v>
      </c>
      <c r="AI97" s="130">
        <v>1200</v>
      </c>
    </row>
    <row r="98" spans="1:35" ht="10.5" customHeight="1" x14ac:dyDescent="0.2">
      <c r="A98" s="117" t="s">
        <v>806</v>
      </c>
      <c r="B98" s="117" t="s">
        <v>1461</v>
      </c>
      <c r="C98" s="128">
        <v>1</v>
      </c>
      <c r="D98" s="133" t="s">
        <v>7389</v>
      </c>
      <c r="E98" s="138">
        <f>+INDEX(F98:AB98,1,[3]BOD!$I$2-1)</f>
        <v>9999</v>
      </c>
      <c r="F98" s="140">
        <v>9999</v>
      </c>
      <c r="G98" s="144"/>
      <c r="H98" s="144">
        <f t="shared" si="1"/>
        <v>49995</v>
      </c>
      <c r="I98" s="144">
        <f t="shared" si="1"/>
        <v>49995</v>
      </c>
      <c r="J98" s="144"/>
      <c r="K98" s="144"/>
      <c r="L98" s="144"/>
      <c r="M98" s="144"/>
      <c r="N98" s="144"/>
      <c r="O98" s="144"/>
      <c r="P98" s="144"/>
      <c r="Q98" s="144"/>
      <c r="R98" s="144"/>
      <c r="S98" s="144"/>
      <c r="T98" s="144"/>
      <c r="U98" s="144"/>
      <c r="V98" s="144"/>
      <c r="W98" s="144"/>
      <c r="X98" s="144"/>
      <c r="Y98" s="144"/>
      <c r="Z98" s="144"/>
      <c r="AA98" s="144"/>
      <c r="AB98" s="144"/>
      <c r="AC98" s="135"/>
      <c r="AD98" s="129" t="s">
        <v>5459</v>
      </c>
      <c r="AE98" s="129" t="s">
        <v>5459</v>
      </c>
      <c r="AF98" s="130" t="s">
        <v>5459</v>
      </c>
      <c r="AG98" s="129" t="s">
        <v>236</v>
      </c>
      <c r="AH98" s="130" t="s">
        <v>5459</v>
      </c>
      <c r="AI98" s="130" t="s">
        <v>5459</v>
      </c>
    </row>
    <row r="99" spans="1:35" ht="10.5" customHeight="1" x14ac:dyDescent="0.2">
      <c r="A99" s="117" t="s">
        <v>807</v>
      </c>
      <c r="B99" s="117" t="s">
        <v>1462</v>
      </c>
      <c r="C99" s="128">
        <v>1</v>
      </c>
      <c r="D99" s="133" t="s">
        <v>7389</v>
      </c>
      <c r="E99" s="138">
        <f>+INDEX(F99:AB99,1,[3]BOD!$I$2-1)</f>
        <v>9999</v>
      </c>
      <c r="F99" s="140">
        <v>9999</v>
      </c>
      <c r="G99" s="144"/>
      <c r="H99" s="144">
        <f t="shared" si="1"/>
        <v>49995</v>
      </c>
      <c r="I99" s="144">
        <f t="shared" si="1"/>
        <v>49995</v>
      </c>
      <c r="J99" s="144"/>
      <c r="K99" s="144"/>
      <c r="L99" s="144"/>
      <c r="M99" s="144"/>
      <c r="N99" s="144"/>
      <c r="O99" s="144"/>
      <c r="P99" s="144"/>
      <c r="Q99" s="144"/>
      <c r="R99" s="144"/>
      <c r="S99" s="144"/>
      <c r="T99" s="144"/>
      <c r="U99" s="144"/>
      <c r="V99" s="144"/>
      <c r="W99" s="144"/>
      <c r="X99" s="144"/>
      <c r="Y99" s="144"/>
      <c r="Z99" s="144"/>
      <c r="AA99" s="144"/>
      <c r="AB99" s="144"/>
      <c r="AC99" s="135"/>
      <c r="AD99" s="129" t="s">
        <v>5376</v>
      </c>
      <c r="AE99" s="129" t="s">
        <v>2280</v>
      </c>
      <c r="AF99" s="130">
        <v>1</v>
      </c>
      <c r="AG99" s="129" t="s">
        <v>4699</v>
      </c>
      <c r="AH99" s="130">
        <v>1200</v>
      </c>
      <c r="AI99" s="130">
        <v>1200</v>
      </c>
    </row>
    <row r="100" spans="1:35" ht="10.5" customHeight="1" x14ac:dyDescent="0.2">
      <c r="A100" s="117" t="s">
        <v>808</v>
      </c>
      <c r="B100" s="117" t="s">
        <v>1463</v>
      </c>
      <c r="C100" s="128">
        <v>1</v>
      </c>
      <c r="D100" s="133" t="s">
        <v>7389</v>
      </c>
      <c r="E100" s="138">
        <f>+INDEX(F100:AB100,1,[3]BOD!$I$2-1)</f>
        <v>9999</v>
      </c>
      <c r="F100" s="140">
        <v>9999</v>
      </c>
      <c r="G100" s="144"/>
      <c r="H100" s="144">
        <f t="shared" si="1"/>
        <v>49995</v>
      </c>
      <c r="I100" s="144">
        <f t="shared" si="1"/>
        <v>49995</v>
      </c>
      <c r="J100" s="144"/>
      <c r="K100" s="144"/>
      <c r="L100" s="144"/>
      <c r="M100" s="144"/>
      <c r="N100" s="144"/>
      <c r="O100" s="144"/>
      <c r="P100" s="144"/>
      <c r="Q100" s="144"/>
      <c r="R100" s="144"/>
      <c r="S100" s="144"/>
      <c r="T100" s="144"/>
      <c r="U100" s="144"/>
      <c r="V100" s="144"/>
      <c r="W100" s="144"/>
      <c r="X100" s="144"/>
      <c r="Y100" s="144"/>
      <c r="Z100" s="144"/>
      <c r="AA100" s="144"/>
      <c r="AB100" s="144"/>
      <c r="AC100" s="135"/>
      <c r="AD100" s="129" t="s">
        <v>5459</v>
      </c>
      <c r="AE100" s="129" t="s">
        <v>5459</v>
      </c>
      <c r="AF100" s="130" t="s">
        <v>5459</v>
      </c>
      <c r="AG100" s="129" t="s">
        <v>236</v>
      </c>
      <c r="AH100" s="130" t="s">
        <v>5459</v>
      </c>
      <c r="AI100" s="130" t="s">
        <v>5459</v>
      </c>
    </row>
    <row r="101" spans="1:35" ht="10.5" customHeight="1" x14ac:dyDescent="0.2">
      <c r="A101" s="117" t="s">
        <v>809</v>
      </c>
      <c r="B101" s="117" t="s">
        <v>1464</v>
      </c>
      <c r="C101" s="128">
        <v>1</v>
      </c>
      <c r="D101" s="133" t="s">
        <v>7389</v>
      </c>
      <c r="E101" s="138">
        <f>+INDEX(F101:AB101,1,[3]BOD!$I$2-1)</f>
        <v>9999</v>
      </c>
      <c r="F101" s="140">
        <v>9999</v>
      </c>
      <c r="G101" s="144"/>
      <c r="H101" s="144">
        <f t="shared" si="1"/>
        <v>49995</v>
      </c>
      <c r="I101" s="144">
        <f t="shared" si="1"/>
        <v>49995</v>
      </c>
      <c r="J101" s="144"/>
      <c r="K101" s="144"/>
      <c r="L101" s="144"/>
      <c r="M101" s="144"/>
      <c r="N101" s="144"/>
      <c r="O101" s="144"/>
      <c r="P101" s="144"/>
      <c r="Q101" s="144"/>
      <c r="R101" s="144"/>
      <c r="S101" s="144"/>
      <c r="T101" s="144"/>
      <c r="U101" s="144"/>
      <c r="V101" s="144"/>
      <c r="W101" s="144"/>
      <c r="X101" s="144"/>
      <c r="Y101" s="144"/>
      <c r="Z101" s="144"/>
      <c r="AA101" s="144"/>
      <c r="AB101" s="144"/>
      <c r="AC101" s="135"/>
      <c r="AD101" s="129" t="s">
        <v>5377</v>
      </c>
      <c r="AE101" s="129" t="s">
        <v>2281</v>
      </c>
      <c r="AF101" s="130">
        <v>1</v>
      </c>
      <c r="AG101" s="129" t="s">
        <v>4699</v>
      </c>
      <c r="AH101" s="130">
        <v>1200</v>
      </c>
      <c r="AI101" s="130">
        <v>1200</v>
      </c>
    </row>
    <row r="102" spans="1:35" ht="10.5" customHeight="1" x14ac:dyDescent="0.2">
      <c r="A102" s="117" t="s">
        <v>810</v>
      </c>
      <c r="B102" s="117" t="s">
        <v>1465</v>
      </c>
      <c r="C102" s="128">
        <v>1</v>
      </c>
      <c r="D102" s="133" t="s">
        <v>7389</v>
      </c>
      <c r="E102" s="138">
        <f>+INDEX(F102:AB102,1,[3]BOD!$I$2-1)</f>
        <v>9999</v>
      </c>
      <c r="F102" s="140">
        <v>9999</v>
      </c>
      <c r="G102" s="144"/>
      <c r="H102" s="144">
        <f t="shared" si="1"/>
        <v>49995</v>
      </c>
      <c r="I102" s="144">
        <f t="shared" si="1"/>
        <v>49995</v>
      </c>
      <c r="J102" s="144"/>
      <c r="K102" s="144"/>
      <c r="L102" s="144"/>
      <c r="M102" s="144"/>
      <c r="N102" s="144"/>
      <c r="O102" s="144"/>
      <c r="P102" s="144"/>
      <c r="Q102" s="144"/>
      <c r="R102" s="144"/>
      <c r="S102" s="144"/>
      <c r="T102" s="144"/>
      <c r="U102" s="144"/>
      <c r="V102" s="144"/>
      <c r="W102" s="144"/>
      <c r="X102" s="144"/>
      <c r="Y102" s="144"/>
      <c r="Z102" s="144"/>
      <c r="AA102" s="144"/>
      <c r="AB102" s="144"/>
      <c r="AC102" s="135"/>
      <c r="AD102" s="129" t="s">
        <v>5459</v>
      </c>
      <c r="AE102" s="129" t="s">
        <v>5459</v>
      </c>
      <c r="AF102" s="130" t="s">
        <v>5459</v>
      </c>
      <c r="AG102" s="129" t="s">
        <v>236</v>
      </c>
      <c r="AH102" s="130" t="s">
        <v>5459</v>
      </c>
      <c r="AI102" s="130" t="s">
        <v>5459</v>
      </c>
    </row>
    <row r="103" spans="1:35" ht="10.5" customHeight="1" x14ac:dyDescent="0.2">
      <c r="A103" s="117" t="s">
        <v>3939</v>
      </c>
      <c r="B103" s="117" t="s">
        <v>2253</v>
      </c>
      <c r="C103" s="128"/>
      <c r="D103" s="133"/>
      <c r="E103" s="138"/>
      <c r="F103" s="140"/>
      <c r="G103" s="144"/>
      <c r="H103" s="144" t="str">
        <f t="shared" si="1"/>
        <v/>
      </c>
      <c r="I103" s="144" t="str">
        <f t="shared" si="1"/>
        <v/>
      </c>
      <c r="J103" s="144"/>
      <c r="K103" s="144"/>
      <c r="L103" s="144"/>
      <c r="M103" s="144"/>
      <c r="N103" s="144"/>
      <c r="O103" s="144"/>
      <c r="P103" s="144"/>
      <c r="Q103" s="144"/>
      <c r="R103" s="144"/>
      <c r="S103" s="144"/>
      <c r="T103" s="144"/>
      <c r="U103" s="144"/>
      <c r="V103" s="144"/>
      <c r="W103" s="144"/>
      <c r="X103" s="144"/>
      <c r="Y103" s="144"/>
      <c r="Z103" s="144"/>
      <c r="AA103" s="144"/>
      <c r="AB103" s="144"/>
      <c r="AC103" s="135"/>
      <c r="AD103" s="129" t="s">
        <v>5378</v>
      </c>
      <c r="AE103" s="129" t="s">
        <v>2282</v>
      </c>
      <c r="AF103" s="130">
        <v>1</v>
      </c>
      <c r="AG103" s="129" t="s">
        <v>4699</v>
      </c>
      <c r="AH103" s="130">
        <v>1200</v>
      </c>
      <c r="AI103" s="130">
        <v>1200</v>
      </c>
    </row>
    <row r="104" spans="1:35" ht="10.5" customHeight="1" x14ac:dyDescent="0.2">
      <c r="A104" s="115" t="s">
        <v>3940</v>
      </c>
      <c r="B104" s="117" t="s">
        <v>2257</v>
      </c>
      <c r="C104" s="128">
        <v>1</v>
      </c>
      <c r="D104" s="133" t="s">
        <v>7389</v>
      </c>
      <c r="E104" s="138">
        <f>+INDEX(F104:AB104,1,[3]BOD!$I$2-1)</f>
        <v>18.05</v>
      </c>
      <c r="F104" s="140">
        <v>18.05</v>
      </c>
      <c r="G104" s="144"/>
      <c r="H104" s="144">
        <f t="shared" si="1"/>
        <v>90.25</v>
      </c>
      <c r="I104" s="144">
        <f t="shared" si="1"/>
        <v>90.25</v>
      </c>
      <c r="J104" s="144"/>
      <c r="K104" s="144"/>
      <c r="L104" s="144"/>
      <c r="M104" s="144"/>
      <c r="N104" s="144"/>
      <c r="O104" s="144"/>
      <c r="P104" s="144"/>
      <c r="Q104" s="144"/>
      <c r="R104" s="144"/>
      <c r="S104" s="144"/>
      <c r="T104" s="144"/>
      <c r="U104" s="144"/>
      <c r="V104" s="144"/>
      <c r="W104" s="144"/>
      <c r="X104" s="144"/>
      <c r="Y104" s="144"/>
      <c r="Z104" s="144"/>
      <c r="AA104" s="144"/>
      <c r="AB104" s="144"/>
      <c r="AC104" s="135"/>
      <c r="AD104" s="129" t="s">
        <v>5459</v>
      </c>
      <c r="AE104" s="129" t="s">
        <v>5459</v>
      </c>
      <c r="AF104" s="130" t="s">
        <v>5459</v>
      </c>
      <c r="AG104" s="129" t="s">
        <v>236</v>
      </c>
      <c r="AH104" s="130" t="s">
        <v>5459</v>
      </c>
      <c r="AI104" s="130" t="s">
        <v>5459</v>
      </c>
    </row>
    <row r="105" spans="1:35" ht="10.5" customHeight="1" x14ac:dyDescent="0.2">
      <c r="A105" s="117" t="s">
        <v>5459</v>
      </c>
      <c r="B105" s="117" t="s">
        <v>2331</v>
      </c>
      <c r="C105" s="128" t="s">
        <v>5459</v>
      </c>
      <c r="D105" s="133" t="s">
        <v>236</v>
      </c>
      <c r="E105" s="138" t="str">
        <f>+INDEX(F105:AB105,1,[3]BOD!$I$2-1)</f>
        <v/>
      </c>
      <c r="F105" s="140" t="s">
        <v>5459</v>
      </c>
      <c r="G105" s="144"/>
      <c r="H105" s="144" t="str">
        <f t="shared" si="1"/>
        <v/>
      </c>
      <c r="I105" s="144" t="str">
        <f t="shared" si="1"/>
        <v/>
      </c>
      <c r="J105" s="144"/>
      <c r="K105" s="144"/>
      <c r="L105" s="144"/>
      <c r="M105" s="144"/>
      <c r="N105" s="144"/>
      <c r="O105" s="144"/>
      <c r="P105" s="144"/>
      <c r="Q105" s="144"/>
      <c r="R105" s="144"/>
      <c r="S105" s="144"/>
      <c r="T105" s="144"/>
      <c r="U105" s="144"/>
      <c r="V105" s="144"/>
      <c r="W105" s="144"/>
      <c r="X105" s="144"/>
      <c r="Y105" s="144"/>
      <c r="Z105" s="144"/>
      <c r="AA105" s="144"/>
      <c r="AB105" s="144"/>
      <c r="AC105" s="135"/>
      <c r="AD105" s="129" t="s">
        <v>5379</v>
      </c>
      <c r="AE105" s="129" t="s">
        <v>2283</v>
      </c>
      <c r="AF105" s="130">
        <v>1</v>
      </c>
      <c r="AG105" s="129" t="s">
        <v>4699</v>
      </c>
      <c r="AH105" s="130">
        <v>1200</v>
      </c>
      <c r="AI105" s="130">
        <v>1200</v>
      </c>
    </row>
    <row r="106" spans="1:35" ht="10.5" customHeight="1" x14ac:dyDescent="0.2">
      <c r="A106" s="117" t="s">
        <v>3941</v>
      </c>
      <c r="B106" s="117" t="s">
        <v>2258</v>
      </c>
      <c r="C106" s="128">
        <v>1</v>
      </c>
      <c r="D106" s="133" t="s">
        <v>7389</v>
      </c>
      <c r="E106" s="138">
        <f>+INDEX(F106:AB106,1,[3]BOD!$I$2-1)</f>
        <v>20.2</v>
      </c>
      <c r="F106" s="140">
        <v>20.2</v>
      </c>
      <c r="G106" s="144"/>
      <c r="H106" s="144">
        <f t="shared" si="1"/>
        <v>101</v>
      </c>
      <c r="I106" s="144">
        <f t="shared" si="1"/>
        <v>101</v>
      </c>
      <c r="J106" s="144"/>
      <c r="K106" s="144"/>
      <c r="L106" s="144"/>
      <c r="M106" s="144"/>
      <c r="N106" s="144"/>
      <c r="O106" s="144"/>
      <c r="P106" s="144"/>
      <c r="Q106" s="144"/>
      <c r="R106" s="144"/>
      <c r="S106" s="144"/>
      <c r="T106" s="144"/>
      <c r="U106" s="144"/>
      <c r="V106" s="144"/>
      <c r="W106" s="144"/>
      <c r="X106" s="144"/>
      <c r="Y106" s="144"/>
      <c r="Z106" s="144"/>
      <c r="AA106" s="144"/>
      <c r="AB106" s="144"/>
      <c r="AC106" s="135"/>
      <c r="AD106" s="129" t="s">
        <v>5459</v>
      </c>
      <c r="AE106" s="129" t="s">
        <v>5459</v>
      </c>
      <c r="AF106" s="130" t="s">
        <v>5459</v>
      </c>
      <c r="AG106" s="129" t="s">
        <v>236</v>
      </c>
      <c r="AH106" s="130" t="s">
        <v>5459</v>
      </c>
      <c r="AI106" s="130" t="s">
        <v>5459</v>
      </c>
    </row>
    <row r="107" spans="1:35" ht="10.5" customHeight="1" x14ac:dyDescent="0.2">
      <c r="A107" s="117" t="s">
        <v>5459</v>
      </c>
      <c r="B107" s="117" t="s">
        <v>2331</v>
      </c>
      <c r="C107" s="128" t="s">
        <v>5459</v>
      </c>
      <c r="D107" s="133" t="s">
        <v>236</v>
      </c>
      <c r="E107" s="138" t="str">
        <f>+INDEX(F107:AB107,1,[3]BOD!$I$2-1)</f>
        <v/>
      </c>
      <c r="F107" s="140" t="s">
        <v>5459</v>
      </c>
      <c r="G107" s="144"/>
      <c r="H107" s="144" t="str">
        <f t="shared" si="1"/>
        <v/>
      </c>
      <c r="I107" s="144" t="str">
        <f t="shared" si="1"/>
        <v/>
      </c>
      <c r="J107" s="144"/>
      <c r="K107" s="144"/>
      <c r="L107" s="144"/>
      <c r="M107" s="144"/>
      <c r="N107" s="144"/>
      <c r="O107" s="144"/>
      <c r="P107" s="144"/>
      <c r="Q107" s="144"/>
      <c r="R107" s="144"/>
      <c r="S107" s="144"/>
      <c r="T107" s="144"/>
      <c r="U107" s="144"/>
      <c r="V107" s="144"/>
      <c r="W107" s="144"/>
      <c r="X107" s="144"/>
      <c r="Y107" s="144"/>
      <c r="Z107" s="144"/>
      <c r="AA107" s="144"/>
      <c r="AB107" s="144"/>
      <c r="AC107" s="135"/>
      <c r="AD107" s="129" t="s">
        <v>8010</v>
      </c>
      <c r="AE107" s="129" t="s">
        <v>2298</v>
      </c>
      <c r="AF107" s="130">
        <v>1</v>
      </c>
      <c r="AG107" s="129" t="s">
        <v>4699</v>
      </c>
      <c r="AH107" s="130">
        <v>1200</v>
      </c>
      <c r="AI107" s="130">
        <v>1200</v>
      </c>
    </row>
    <row r="108" spans="1:35" ht="10.5" customHeight="1" x14ac:dyDescent="0.2">
      <c r="A108" s="117" t="s">
        <v>3942</v>
      </c>
      <c r="B108" s="117" t="s">
        <v>2259</v>
      </c>
      <c r="C108" s="128">
        <v>1</v>
      </c>
      <c r="D108" s="133" t="s">
        <v>7389</v>
      </c>
      <c r="E108" s="138">
        <f>+INDEX(F108:AB108,1,[3]BOD!$I$2-1)</f>
        <v>23.12</v>
      </c>
      <c r="F108" s="140">
        <v>23.12</v>
      </c>
      <c r="G108" s="144"/>
      <c r="H108" s="144">
        <f t="shared" si="1"/>
        <v>115.60000000000001</v>
      </c>
      <c r="I108" s="144">
        <f t="shared" si="1"/>
        <v>115.60000000000001</v>
      </c>
      <c r="J108" s="144"/>
      <c r="K108" s="144"/>
      <c r="L108" s="144"/>
      <c r="M108" s="144"/>
      <c r="N108" s="144"/>
      <c r="O108" s="144"/>
      <c r="P108" s="144"/>
      <c r="Q108" s="144"/>
      <c r="R108" s="144"/>
      <c r="S108" s="144"/>
      <c r="T108" s="144"/>
      <c r="U108" s="144"/>
      <c r="V108" s="144"/>
      <c r="W108" s="144"/>
      <c r="X108" s="144"/>
      <c r="Y108" s="144"/>
      <c r="Z108" s="144"/>
      <c r="AA108" s="144"/>
      <c r="AB108" s="144"/>
      <c r="AC108" s="135"/>
      <c r="AD108" s="129" t="s">
        <v>5459</v>
      </c>
      <c r="AE108" s="129" t="s">
        <v>5459</v>
      </c>
      <c r="AF108" s="130" t="s">
        <v>5459</v>
      </c>
      <c r="AG108" s="129" t="s">
        <v>236</v>
      </c>
      <c r="AH108" s="130" t="s">
        <v>5459</v>
      </c>
      <c r="AI108" s="130" t="s">
        <v>5459</v>
      </c>
    </row>
    <row r="109" spans="1:35" ht="10.5" customHeight="1" x14ac:dyDescent="0.2">
      <c r="A109" s="117" t="s">
        <v>5459</v>
      </c>
      <c r="B109" s="117" t="s">
        <v>2331</v>
      </c>
      <c r="C109" s="128" t="s">
        <v>5459</v>
      </c>
      <c r="D109" s="133" t="s">
        <v>236</v>
      </c>
      <c r="E109" s="138" t="str">
        <f>+INDEX(F109:AB109,1,[3]BOD!$I$2-1)</f>
        <v/>
      </c>
      <c r="F109" s="140" t="s">
        <v>5459</v>
      </c>
      <c r="G109" s="144"/>
      <c r="H109" s="144" t="str">
        <f t="shared" si="1"/>
        <v/>
      </c>
      <c r="I109" s="144" t="str">
        <f t="shared" si="1"/>
        <v/>
      </c>
      <c r="J109" s="144"/>
      <c r="K109" s="144"/>
      <c r="L109" s="144"/>
      <c r="M109" s="144"/>
      <c r="N109" s="144"/>
      <c r="O109" s="144"/>
      <c r="P109" s="144"/>
      <c r="Q109" s="144"/>
      <c r="R109" s="144"/>
      <c r="S109" s="144"/>
      <c r="T109" s="144"/>
      <c r="U109" s="144"/>
      <c r="V109" s="144"/>
      <c r="W109" s="144"/>
      <c r="X109" s="144"/>
      <c r="Y109" s="144"/>
      <c r="Z109" s="144"/>
      <c r="AA109" s="144"/>
      <c r="AB109" s="144"/>
      <c r="AC109" s="135"/>
      <c r="AD109" s="129" t="s">
        <v>8011</v>
      </c>
      <c r="AE109" s="129" t="s">
        <v>2299</v>
      </c>
      <c r="AF109" s="130">
        <v>1</v>
      </c>
      <c r="AG109" s="129" t="s">
        <v>4699</v>
      </c>
      <c r="AH109" s="130">
        <v>1200</v>
      </c>
      <c r="AI109" s="130">
        <v>1200</v>
      </c>
    </row>
    <row r="110" spans="1:35" ht="10.5" customHeight="1" x14ac:dyDescent="0.2">
      <c r="A110" s="117" t="s">
        <v>5855</v>
      </c>
      <c r="B110" s="117" t="s">
        <v>2260</v>
      </c>
      <c r="C110" s="128">
        <v>1</v>
      </c>
      <c r="D110" s="133" t="s">
        <v>7389</v>
      </c>
      <c r="E110" s="138">
        <f>+INDEX(F110:AB110,1,[3]BOD!$I$2-1)</f>
        <v>27.34</v>
      </c>
      <c r="F110" s="140">
        <v>27.34</v>
      </c>
      <c r="G110" s="144"/>
      <c r="H110" s="144">
        <f t="shared" si="1"/>
        <v>136.69999999999999</v>
      </c>
      <c r="I110" s="144">
        <f t="shared" si="1"/>
        <v>136.69999999999999</v>
      </c>
      <c r="J110" s="144"/>
      <c r="K110" s="144"/>
      <c r="L110" s="144"/>
      <c r="M110" s="144"/>
      <c r="N110" s="144"/>
      <c r="O110" s="144"/>
      <c r="P110" s="144"/>
      <c r="Q110" s="144"/>
      <c r="R110" s="144"/>
      <c r="S110" s="144"/>
      <c r="T110" s="144"/>
      <c r="U110" s="144"/>
      <c r="V110" s="144"/>
      <c r="W110" s="144"/>
      <c r="X110" s="144"/>
      <c r="Y110" s="144"/>
      <c r="Z110" s="144"/>
      <c r="AA110" s="144"/>
      <c r="AB110" s="144"/>
      <c r="AC110" s="135"/>
      <c r="AD110" s="129" t="s">
        <v>5459</v>
      </c>
      <c r="AE110" s="129" t="s">
        <v>5459</v>
      </c>
      <c r="AF110" s="130" t="s">
        <v>5459</v>
      </c>
      <c r="AG110" s="129" t="s">
        <v>236</v>
      </c>
      <c r="AH110" s="130" t="s">
        <v>5459</v>
      </c>
      <c r="AI110" s="130" t="s">
        <v>5459</v>
      </c>
    </row>
    <row r="111" spans="1:35" ht="10.5" customHeight="1" x14ac:dyDescent="0.2">
      <c r="A111" s="117" t="s">
        <v>5459</v>
      </c>
      <c r="B111" s="117" t="s">
        <v>2331</v>
      </c>
      <c r="C111" s="128" t="s">
        <v>5459</v>
      </c>
      <c r="D111" s="133" t="s">
        <v>236</v>
      </c>
      <c r="E111" s="138" t="str">
        <f>+INDEX(F111:AB111,1,[3]BOD!$I$2-1)</f>
        <v/>
      </c>
      <c r="F111" s="140" t="s">
        <v>5459</v>
      </c>
      <c r="G111" s="144"/>
      <c r="H111" s="144" t="str">
        <f t="shared" si="1"/>
        <v/>
      </c>
      <c r="I111" s="144" t="str">
        <f t="shared" si="1"/>
        <v/>
      </c>
      <c r="J111" s="144"/>
      <c r="K111" s="144"/>
      <c r="L111" s="144"/>
      <c r="M111" s="144"/>
      <c r="N111" s="144"/>
      <c r="O111" s="144"/>
      <c r="P111" s="144"/>
      <c r="Q111" s="144"/>
      <c r="R111" s="144"/>
      <c r="S111" s="144"/>
      <c r="T111" s="144"/>
      <c r="U111" s="144"/>
      <c r="V111" s="144"/>
      <c r="W111" s="144"/>
      <c r="X111" s="144"/>
      <c r="Y111" s="144"/>
      <c r="Z111" s="144"/>
      <c r="AA111" s="144"/>
      <c r="AB111" s="144"/>
      <c r="AC111" s="135"/>
      <c r="AD111" s="129" t="s">
        <v>8012</v>
      </c>
      <c r="AE111" s="129" t="s">
        <v>2289</v>
      </c>
      <c r="AF111" s="130">
        <v>1</v>
      </c>
      <c r="AG111" s="129" t="s">
        <v>4699</v>
      </c>
      <c r="AH111" s="130">
        <v>400</v>
      </c>
      <c r="AI111" s="130">
        <v>400</v>
      </c>
    </row>
    <row r="112" spans="1:35" ht="10.5" customHeight="1" x14ac:dyDescent="0.2">
      <c r="A112" s="117" t="s">
        <v>5856</v>
      </c>
      <c r="B112" s="117" t="s">
        <v>2261</v>
      </c>
      <c r="C112" s="128">
        <v>1</v>
      </c>
      <c r="D112" s="133" t="s">
        <v>7389</v>
      </c>
      <c r="E112" s="138">
        <f>+INDEX(F112:AB112,1,[3]BOD!$I$2-1)</f>
        <v>33.979999999999997</v>
      </c>
      <c r="F112" s="140">
        <v>33.979999999999997</v>
      </c>
      <c r="G112" s="144"/>
      <c r="H112" s="144">
        <f t="shared" si="1"/>
        <v>169.89999999999998</v>
      </c>
      <c r="I112" s="144">
        <f t="shared" si="1"/>
        <v>169.89999999999998</v>
      </c>
      <c r="J112" s="144"/>
      <c r="K112" s="144"/>
      <c r="L112" s="144"/>
      <c r="M112" s="144"/>
      <c r="N112" s="144"/>
      <c r="O112" s="144"/>
      <c r="P112" s="144"/>
      <c r="Q112" s="144"/>
      <c r="R112" s="144"/>
      <c r="S112" s="144"/>
      <c r="T112" s="144"/>
      <c r="U112" s="144"/>
      <c r="V112" s="144"/>
      <c r="W112" s="144"/>
      <c r="X112" s="144"/>
      <c r="Y112" s="144"/>
      <c r="Z112" s="144"/>
      <c r="AA112" s="144"/>
      <c r="AB112" s="144"/>
      <c r="AC112" s="135"/>
      <c r="AD112" s="129" t="s">
        <v>5459</v>
      </c>
      <c r="AE112" s="129" t="s">
        <v>5459</v>
      </c>
      <c r="AF112" s="130" t="s">
        <v>5459</v>
      </c>
      <c r="AG112" s="129" t="s">
        <v>236</v>
      </c>
      <c r="AH112" s="130" t="s">
        <v>5459</v>
      </c>
      <c r="AI112" s="130" t="s">
        <v>5459</v>
      </c>
    </row>
    <row r="113" spans="1:35" ht="10.5" customHeight="1" x14ac:dyDescent="0.2">
      <c r="A113" s="117" t="s">
        <v>5459</v>
      </c>
      <c r="B113" s="117" t="s">
        <v>2331</v>
      </c>
      <c r="C113" s="128" t="s">
        <v>5459</v>
      </c>
      <c r="D113" s="133" t="s">
        <v>236</v>
      </c>
      <c r="E113" s="138" t="str">
        <f>+INDEX(F113:AB113,1,[3]BOD!$I$2-1)</f>
        <v/>
      </c>
      <c r="F113" s="140" t="s">
        <v>5459</v>
      </c>
      <c r="G113" s="144"/>
      <c r="H113" s="144" t="str">
        <f t="shared" si="1"/>
        <v/>
      </c>
      <c r="I113" s="144" t="str">
        <f t="shared" si="1"/>
        <v/>
      </c>
      <c r="J113" s="144"/>
      <c r="K113" s="144"/>
      <c r="L113" s="144"/>
      <c r="M113" s="144"/>
      <c r="N113" s="144"/>
      <c r="O113" s="144"/>
      <c r="P113" s="144"/>
      <c r="Q113" s="144"/>
      <c r="R113" s="144"/>
      <c r="S113" s="144"/>
      <c r="T113" s="144"/>
      <c r="U113" s="144"/>
      <c r="V113" s="144"/>
      <c r="W113" s="144"/>
      <c r="X113" s="144"/>
      <c r="Y113" s="144"/>
      <c r="Z113" s="144"/>
      <c r="AA113" s="144"/>
      <c r="AB113" s="144"/>
      <c r="AC113" s="135"/>
      <c r="AD113" s="129" t="s">
        <v>8013</v>
      </c>
      <c r="AE113" s="129" t="s">
        <v>2284</v>
      </c>
      <c r="AF113" s="130">
        <v>0</v>
      </c>
      <c r="AG113" s="129" t="s">
        <v>236</v>
      </c>
      <c r="AH113" s="130">
        <v>1470</v>
      </c>
      <c r="AI113" s="130">
        <v>0</v>
      </c>
    </row>
    <row r="114" spans="1:35" ht="10.5" customHeight="1" x14ac:dyDescent="0.2">
      <c r="A114" s="117" t="s">
        <v>5857</v>
      </c>
      <c r="B114" s="117" t="s">
        <v>2262</v>
      </c>
      <c r="C114" s="128">
        <v>1</v>
      </c>
      <c r="D114" s="133" t="s">
        <v>7389</v>
      </c>
      <c r="E114" s="138">
        <f>+INDEX(F114:AB114,1,[3]BOD!$I$2-1)</f>
        <v>23.04</v>
      </c>
      <c r="F114" s="140">
        <v>23.04</v>
      </c>
      <c r="G114" s="144"/>
      <c r="H114" s="144">
        <f t="shared" si="1"/>
        <v>115.19999999999999</v>
      </c>
      <c r="I114" s="144">
        <f t="shared" si="1"/>
        <v>115.19999999999999</v>
      </c>
      <c r="J114" s="144"/>
      <c r="K114" s="144"/>
      <c r="L114" s="144"/>
      <c r="M114" s="144"/>
      <c r="N114" s="144"/>
      <c r="O114" s="144"/>
      <c r="P114" s="144"/>
      <c r="Q114" s="144"/>
      <c r="R114" s="144"/>
      <c r="S114" s="144"/>
      <c r="T114" s="144"/>
      <c r="U114" s="144"/>
      <c r="V114" s="144"/>
      <c r="W114" s="144"/>
      <c r="X114" s="144"/>
      <c r="Y114" s="144"/>
      <c r="Z114" s="144"/>
      <c r="AA114" s="144"/>
      <c r="AB114" s="144"/>
      <c r="AC114" s="135"/>
      <c r="AD114" s="129" t="s">
        <v>5085</v>
      </c>
      <c r="AE114" s="129" t="s">
        <v>2293</v>
      </c>
      <c r="AF114" s="130">
        <v>1</v>
      </c>
      <c r="AG114" s="129" t="s">
        <v>5086</v>
      </c>
      <c r="AH114" s="130">
        <v>280</v>
      </c>
      <c r="AI114" s="130">
        <v>280</v>
      </c>
    </row>
    <row r="115" spans="1:35" ht="10.5" customHeight="1" x14ac:dyDescent="0.2">
      <c r="A115" s="117" t="s">
        <v>5459</v>
      </c>
      <c r="B115" s="117" t="s">
        <v>2331</v>
      </c>
      <c r="C115" s="128" t="s">
        <v>5459</v>
      </c>
      <c r="D115" s="133" t="s">
        <v>236</v>
      </c>
      <c r="E115" s="138" t="str">
        <f>+INDEX(F115:AB115,1,[3]BOD!$I$2-1)</f>
        <v/>
      </c>
      <c r="F115" s="140" t="s">
        <v>5459</v>
      </c>
      <c r="G115" s="144"/>
      <c r="H115" s="144" t="str">
        <f t="shared" si="1"/>
        <v/>
      </c>
      <c r="I115" s="144" t="str">
        <f t="shared" si="1"/>
        <v/>
      </c>
      <c r="J115" s="144"/>
      <c r="K115" s="144"/>
      <c r="L115" s="144"/>
      <c r="M115" s="144"/>
      <c r="N115" s="144"/>
      <c r="O115" s="144"/>
      <c r="P115" s="144"/>
      <c r="Q115" s="144"/>
      <c r="R115" s="144"/>
      <c r="S115" s="144"/>
      <c r="T115" s="144"/>
      <c r="U115" s="144"/>
      <c r="V115" s="144"/>
      <c r="W115" s="144"/>
      <c r="X115" s="144"/>
      <c r="Y115" s="144"/>
      <c r="Z115" s="144"/>
      <c r="AA115" s="144"/>
      <c r="AB115" s="144"/>
      <c r="AC115" s="135"/>
      <c r="AD115" s="129" t="s">
        <v>5459</v>
      </c>
      <c r="AE115" s="129" t="s">
        <v>5459</v>
      </c>
      <c r="AF115" s="130" t="s">
        <v>5459</v>
      </c>
      <c r="AG115" s="129" t="s">
        <v>236</v>
      </c>
      <c r="AH115" s="130" t="s">
        <v>5459</v>
      </c>
      <c r="AI115" s="130" t="s">
        <v>5459</v>
      </c>
    </row>
    <row r="116" spans="1:35" ht="10.5" customHeight="1" x14ac:dyDescent="0.2">
      <c r="A116" s="117" t="s">
        <v>5858</v>
      </c>
      <c r="B116" s="117" t="s">
        <v>2263</v>
      </c>
      <c r="C116" s="128">
        <v>1</v>
      </c>
      <c r="D116" s="133" t="s">
        <v>7389</v>
      </c>
      <c r="E116" s="138">
        <f>+INDEX(F116:AB116,1,[3]BOD!$I$2-1)</f>
        <v>25.54</v>
      </c>
      <c r="F116" s="140">
        <v>25.54</v>
      </c>
      <c r="G116" s="144"/>
      <c r="H116" s="144">
        <f t="shared" si="1"/>
        <v>127.69999999999999</v>
      </c>
      <c r="I116" s="144">
        <f t="shared" si="1"/>
        <v>127.69999999999999</v>
      </c>
      <c r="J116" s="144"/>
      <c r="K116" s="144"/>
      <c r="L116" s="144"/>
      <c r="M116" s="144"/>
      <c r="N116" s="144"/>
      <c r="O116" s="144"/>
      <c r="P116" s="144"/>
      <c r="Q116" s="144"/>
      <c r="R116" s="144"/>
      <c r="S116" s="144"/>
      <c r="T116" s="144"/>
      <c r="U116" s="144"/>
      <c r="V116" s="144"/>
      <c r="W116" s="144"/>
      <c r="X116" s="144"/>
      <c r="Y116" s="144"/>
      <c r="Z116" s="144"/>
      <c r="AA116" s="144"/>
      <c r="AB116" s="144"/>
      <c r="AC116" s="135"/>
      <c r="AD116" s="129" t="s">
        <v>5087</v>
      </c>
      <c r="AE116" s="129" t="s">
        <v>2294</v>
      </c>
      <c r="AF116" s="130">
        <v>1</v>
      </c>
      <c r="AG116" s="129" t="s">
        <v>4699</v>
      </c>
      <c r="AH116" s="130">
        <v>1100</v>
      </c>
      <c r="AI116" s="130">
        <v>1100</v>
      </c>
    </row>
    <row r="117" spans="1:35" ht="10.5" customHeight="1" x14ac:dyDescent="0.2">
      <c r="A117" s="117" t="s">
        <v>5459</v>
      </c>
      <c r="B117" s="117" t="s">
        <v>2331</v>
      </c>
      <c r="C117" s="128" t="s">
        <v>5459</v>
      </c>
      <c r="D117" s="133" t="s">
        <v>236</v>
      </c>
      <c r="E117" s="138" t="str">
        <f>+INDEX(F117:AB117,1,[3]BOD!$I$2-1)</f>
        <v/>
      </c>
      <c r="F117" s="140" t="s">
        <v>5459</v>
      </c>
      <c r="G117" s="144"/>
      <c r="H117" s="144" t="str">
        <f t="shared" si="1"/>
        <v/>
      </c>
      <c r="I117" s="144" t="str">
        <f t="shared" si="1"/>
        <v/>
      </c>
      <c r="J117" s="144"/>
      <c r="K117" s="144"/>
      <c r="L117" s="144"/>
      <c r="M117" s="144"/>
      <c r="N117" s="144"/>
      <c r="O117" s="144"/>
      <c r="P117" s="144"/>
      <c r="Q117" s="144"/>
      <c r="R117" s="144"/>
      <c r="S117" s="144"/>
      <c r="T117" s="144"/>
      <c r="U117" s="144"/>
      <c r="V117" s="144"/>
      <c r="W117" s="144"/>
      <c r="X117" s="144"/>
      <c r="Y117" s="144"/>
      <c r="Z117" s="144"/>
      <c r="AA117" s="144"/>
      <c r="AB117" s="144"/>
      <c r="AC117" s="135"/>
      <c r="AD117" s="129" t="s">
        <v>5459</v>
      </c>
      <c r="AE117" s="129" t="s">
        <v>5459</v>
      </c>
      <c r="AF117" s="130" t="s">
        <v>5459</v>
      </c>
      <c r="AG117" s="129" t="s">
        <v>236</v>
      </c>
      <c r="AH117" s="130" t="s">
        <v>5459</v>
      </c>
      <c r="AI117" s="130" t="s">
        <v>5459</v>
      </c>
    </row>
    <row r="118" spans="1:35" ht="10.5" customHeight="1" x14ac:dyDescent="0.2">
      <c r="A118" s="117" t="s">
        <v>5859</v>
      </c>
      <c r="B118" s="117" t="s">
        <v>2264</v>
      </c>
      <c r="C118" s="128">
        <v>1</v>
      </c>
      <c r="D118" s="133" t="s">
        <v>7389</v>
      </c>
      <c r="E118" s="138">
        <f>+INDEX(F118:AB118,1,[3]BOD!$I$2-1)</f>
        <v>29.02</v>
      </c>
      <c r="F118" s="140">
        <v>29.02</v>
      </c>
      <c r="G118" s="144"/>
      <c r="H118" s="144">
        <f t="shared" si="1"/>
        <v>145.1</v>
      </c>
      <c r="I118" s="144">
        <f t="shared" si="1"/>
        <v>145.1</v>
      </c>
      <c r="J118" s="144"/>
      <c r="K118" s="144"/>
      <c r="L118" s="144"/>
      <c r="M118" s="144"/>
      <c r="N118" s="144"/>
      <c r="O118" s="144"/>
      <c r="P118" s="144"/>
      <c r="Q118" s="144"/>
      <c r="R118" s="144"/>
      <c r="S118" s="144"/>
      <c r="T118" s="144"/>
      <c r="U118" s="144"/>
      <c r="V118" s="144"/>
      <c r="W118" s="144"/>
      <c r="X118" s="144"/>
      <c r="Y118" s="144"/>
      <c r="Z118" s="144"/>
      <c r="AA118" s="144"/>
      <c r="AB118" s="144"/>
      <c r="AC118" s="135"/>
      <c r="AD118" s="129" t="s">
        <v>8184</v>
      </c>
      <c r="AE118" s="129" t="s">
        <v>2295</v>
      </c>
      <c r="AF118" s="130">
        <v>1</v>
      </c>
      <c r="AG118" s="129" t="s">
        <v>5086</v>
      </c>
      <c r="AH118" s="130">
        <v>90</v>
      </c>
      <c r="AI118" s="130">
        <v>90</v>
      </c>
    </row>
    <row r="119" spans="1:35" ht="10.5" customHeight="1" x14ac:dyDescent="0.2">
      <c r="A119" s="117" t="s">
        <v>5459</v>
      </c>
      <c r="B119" s="117" t="s">
        <v>2331</v>
      </c>
      <c r="C119" s="128" t="s">
        <v>5459</v>
      </c>
      <c r="D119" s="133" t="s">
        <v>236</v>
      </c>
      <c r="E119" s="138" t="str">
        <f>+INDEX(F119:AB119,1,[3]BOD!$I$2-1)</f>
        <v/>
      </c>
      <c r="F119" s="140" t="s">
        <v>5459</v>
      </c>
      <c r="G119" s="144"/>
      <c r="H119" s="144" t="str">
        <f t="shared" si="1"/>
        <v/>
      </c>
      <c r="I119" s="144" t="str">
        <f t="shared" si="1"/>
        <v/>
      </c>
      <c r="J119" s="144"/>
      <c r="K119" s="144"/>
      <c r="L119" s="144"/>
      <c r="M119" s="144"/>
      <c r="N119" s="144"/>
      <c r="O119" s="144"/>
      <c r="P119" s="144"/>
      <c r="Q119" s="144"/>
      <c r="R119" s="144"/>
      <c r="S119" s="144"/>
      <c r="T119" s="144"/>
      <c r="U119" s="144"/>
      <c r="V119" s="144"/>
      <c r="W119" s="144"/>
      <c r="X119" s="144"/>
      <c r="Y119" s="144"/>
      <c r="Z119" s="144"/>
      <c r="AA119" s="144"/>
      <c r="AB119" s="144"/>
      <c r="AC119" s="135"/>
      <c r="AD119" s="129" t="s">
        <v>5459</v>
      </c>
      <c r="AE119" s="129" t="s">
        <v>5459</v>
      </c>
      <c r="AF119" s="130" t="s">
        <v>5459</v>
      </c>
      <c r="AG119" s="129" t="s">
        <v>236</v>
      </c>
      <c r="AH119" s="130" t="s">
        <v>5459</v>
      </c>
      <c r="AI119" s="130" t="s">
        <v>5459</v>
      </c>
    </row>
    <row r="120" spans="1:35" ht="10.5" customHeight="1" x14ac:dyDescent="0.2">
      <c r="A120" s="117" t="s">
        <v>5860</v>
      </c>
      <c r="B120" s="117" t="s">
        <v>2265</v>
      </c>
      <c r="C120" s="128">
        <v>1</v>
      </c>
      <c r="D120" s="133" t="s">
        <v>7389</v>
      </c>
      <c r="E120" s="138">
        <f>+INDEX(F120:AB120,1,[3]BOD!$I$2-1)</f>
        <v>34.24</v>
      </c>
      <c r="F120" s="140">
        <v>34.24</v>
      </c>
      <c r="G120" s="144"/>
      <c r="H120" s="144">
        <f t="shared" si="1"/>
        <v>171.20000000000002</v>
      </c>
      <c r="I120" s="144">
        <f t="shared" si="1"/>
        <v>171.20000000000002</v>
      </c>
      <c r="J120" s="144"/>
      <c r="K120" s="144"/>
      <c r="L120" s="144"/>
      <c r="M120" s="144"/>
      <c r="N120" s="144"/>
      <c r="O120" s="144"/>
      <c r="P120" s="144"/>
      <c r="Q120" s="144"/>
      <c r="R120" s="144"/>
      <c r="S120" s="144"/>
      <c r="T120" s="144"/>
      <c r="U120" s="144"/>
      <c r="V120" s="144"/>
      <c r="W120" s="144"/>
      <c r="X120" s="144"/>
      <c r="Y120" s="144"/>
      <c r="Z120" s="144"/>
      <c r="AA120" s="144"/>
      <c r="AB120" s="144"/>
      <c r="AC120" s="135"/>
      <c r="AD120" s="129" t="s">
        <v>8185</v>
      </c>
      <c r="AE120" s="129" t="s">
        <v>2300</v>
      </c>
      <c r="AF120" s="130">
        <v>0</v>
      </c>
      <c r="AG120" s="129" t="s">
        <v>236</v>
      </c>
      <c r="AH120" s="130">
        <v>6599.39</v>
      </c>
      <c r="AI120" s="130">
        <v>0</v>
      </c>
    </row>
    <row r="121" spans="1:35" ht="10.5" customHeight="1" x14ac:dyDescent="0.2">
      <c r="A121" s="117" t="s">
        <v>5459</v>
      </c>
      <c r="B121" s="117" t="s">
        <v>2331</v>
      </c>
      <c r="C121" s="128" t="s">
        <v>5459</v>
      </c>
      <c r="D121" s="133" t="s">
        <v>236</v>
      </c>
      <c r="E121" s="138" t="str">
        <f>+INDEX(F121:AB121,1,[3]BOD!$I$2-1)</f>
        <v/>
      </c>
      <c r="F121" s="140" t="s">
        <v>5459</v>
      </c>
      <c r="G121" s="144"/>
      <c r="H121" s="144" t="str">
        <f t="shared" si="1"/>
        <v/>
      </c>
      <c r="I121" s="144" t="str">
        <f t="shared" si="1"/>
        <v/>
      </c>
      <c r="J121" s="144"/>
      <c r="K121" s="144"/>
      <c r="L121" s="144"/>
      <c r="M121" s="144"/>
      <c r="N121" s="144"/>
      <c r="O121" s="144"/>
      <c r="P121" s="144"/>
      <c r="Q121" s="144"/>
      <c r="R121" s="144"/>
      <c r="S121" s="144"/>
      <c r="T121" s="144"/>
      <c r="U121" s="144"/>
      <c r="V121" s="144"/>
      <c r="W121" s="144"/>
      <c r="X121" s="144"/>
      <c r="Y121" s="144"/>
      <c r="Z121" s="144"/>
      <c r="AA121" s="144"/>
      <c r="AB121" s="144"/>
      <c r="AC121" s="135"/>
      <c r="AD121" s="129" t="s">
        <v>5459</v>
      </c>
      <c r="AE121" s="129" t="s">
        <v>5459</v>
      </c>
      <c r="AF121" s="130" t="s">
        <v>5459</v>
      </c>
      <c r="AG121" s="129" t="s">
        <v>236</v>
      </c>
      <c r="AH121" s="130" t="s">
        <v>5459</v>
      </c>
      <c r="AI121" s="130" t="s">
        <v>5459</v>
      </c>
    </row>
    <row r="122" spans="1:35" ht="10.5" customHeight="1" x14ac:dyDescent="0.2">
      <c r="A122" s="117" t="s">
        <v>5861</v>
      </c>
      <c r="B122" s="117" t="s">
        <v>2266</v>
      </c>
      <c r="C122" s="128">
        <v>1</v>
      </c>
      <c r="D122" s="133" t="s">
        <v>7389</v>
      </c>
      <c r="E122" s="138">
        <f>+INDEX(F122:AB122,1,[3]BOD!$I$2-1)</f>
        <v>42.95</v>
      </c>
      <c r="F122" s="140">
        <v>42.95</v>
      </c>
      <c r="G122" s="144"/>
      <c r="H122" s="144">
        <f t="shared" si="1"/>
        <v>214.75</v>
      </c>
      <c r="I122" s="144">
        <f t="shared" si="1"/>
        <v>214.75</v>
      </c>
      <c r="J122" s="144"/>
      <c r="K122" s="144"/>
      <c r="L122" s="144"/>
      <c r="M122" s="144"/>
      <c r="N122" s="144"/>
      <c r="O122" s="144"/>
      <c r="P122" s="144"/>
      <c r="Q122" s="144"/>
      <c r="R122" s="144"/>
      <c r="S122" s="144"/>
      <c r="T122" s="144"/>
      <c r="U122" s="144"/>
      <c r="V122" s="144"/>
      <c r="W122" s="144"/>
      <c r="X122" s="144"/>
      <c r="Y122" s="144"/>
      <c r="Z122" s="144"/>
      <c r="AA122" s="144"/>
      <c r="AB122" s="144"/>
      <c r="AC122" s="135"/>
      <c r="AD122" s="129" t="s">
        <v>8186</v>
      </c>
      <c r="AE122" s="129" t="s">
        <v>2296</v>
      </c>
      <c r="AF122" s="130">
        <v>0</v>
      </c>
      <c r="AG122" s="129" t="s">
        <v>236</v>
      </c>
      <c r="AH122" s="130">
        <v>4907.5200000000004</v>
      </c>
      <c r="AI122" s="130">
        <v>0</v>
      </c>
    </row>
    <row r="123" spans="1:35" ht="10.5" customHeight="1" x14ac:dyDescent="0.2">
      <c r="A123" s="117" t="s">
        <v>5459</v>
      </c>
      <c r="B123" s="117" t="s">
        <v>2331</v>
      </c>
      <c r="C123" s="128" t="s">
        <v>5459</v>
      </c>
      <c r="D123" s="133" t="s">
        <v>236</v>
      </c>
      <c r="E123" s="138" t="str">
        <f>+INDEX(F123:AB123,1,[3]BOD!$I$2-1)</f>
        <v/>
      </c>
      <c r="F123" s="140" t="s">
        <v>5459</v>
      </c>
      <c r="G123" s="144"/>
      <c r="H123" s="144" t="str">
        <f t="shared" si="1"/>
        <v/>
      </c>
      <c r="I123" s="144" t="str">
        <f t="shared" si="1"/>
        <v/>
      </c>
      <c r="J123" s="144"/>
      <c r="K123" s="144"/>
      <c r="L123" s="144"/>
      <c r="M123" s="144"/>
      <c r="N123" s="144"/>
      <c r="O123" s="144"/>
      <c r="P123" s="144"/>
      <c r="Q123" s="144"/>
      <c r="R123" s="144"/>
      <c r="S123" s="144"/>
      <c r="T123" s="144"/>
      <c r="U123" s="144"/>
      <c r="V123" s="144"/>
      <c r="W123" s="144"/>
      <c r="X123" s="144"/>
      <c r="Y123" s="144"/>
      <c r="Z123" s="144"/>
      <c r="AA123" s="144"/>
      <c r="AB123" s="144"/>
      <c r="AC123" s="135"/>
      <c r="AD123" s="129" t="s">
        <v>5459</v>
      </c>
      <c r="AE123" s="129" t="s">
        <v>5459</v>
      </c>
      <c r="AF123" s="130" t="s">
        <v>5459</v>
      </c>
      <c r="AG123" s="129" t="s">
        <v>236</v>
      </c>
      <c r="AH123" s="130" t="s">
        <v>5459</v>
      </c>
      <c r="AI123" s="130" t="s">
        <v>5459</v>
      </c>
    </row>
    <row r="124" spans="1:35" ht="10.5" customHeight="1" x14ac:dyDescent="0.2">
      <c r="A124" s="117" t="s">
        <v>5862</v>
      </c>
      <c r="B124" s="117" t="s">
        <v>2267</v>
      </c>
      <c r="C124" s="128">
        <v>1</v>
      </c>
      <c r="D124" s="133" t="s">
        <v>7389</v>
      </c>
      <c r="E124" s="138">
        <f>+INDEX(F124:AB124,1,[3]BOD!$I$2-1)</f>
        <v>43.04</v>
      </c>
      <c r="F124" s="140">
        <v>43.04</v>
      </c>
      <c r="G124" s="144"/>
      <c r="H124" s="144">
        <f t="shared" si="1"/>
        <v>215.2</v>
      </c>
      <c r="I124" s="144">
        <f t="shared" si="1"/>
        <v>215.2</v>
      </c>
      <c r="J124" s="144"/>
      <c r="K124" s="144"/>
      <c r="L124" s="144"/>
      <c r="M124" s="144"/>
      <c r="N124" s="144"/>
      <c r="O124" s="144"/>
      <c r="P124" s="144"/>
      <c r="Q124" s="144"/>
      <c r="R124" s="144"/>
      <c r="S124" s="144"/>
      <c r="T124" s="144"/>
      <c r="U124" s="144"/>
      <c r="V124" s="144"/>
      <c r="W124" s="144"/>
      <c r="X124" s="144"/>
      <c r="Y124" s="144"/>
      <c r="Z124" s="144"/>
      <c r="AA124" s="144"/>
      <c r="AB124" s="144"/>
      <c r="AC124" s="135"/>
      <c r="AD124" s="129" t="s">
        <v>8187</v>
      </c>
      <c r="AE124" s="129" t="s">
        <v>2361</v>
      </c>
      <c r="AF124" s="130">
        <v>1</v>
      </c>
      <c r="AG124" s="129" t="s">
        <v>4699</v>
      </c>
      <c r="AH124" s="130">
        <v>850</v>
      </c>
      <c r="AI124" s="130">
        <v>850</v>
      </c>
    </row>
    <row r="125" spans="1:35" ht="10.5" customHeight="1" x14ac:dyDescent="0.2">
      <c r="A125" s="117" t="s">
        <v>5459</v>
      </c>
      <c r="B125" s="117" t="s">
        <v>2331</v>
      </c>
      <c r="C125" s="128" t="s">
        <v>5459</v>
      </c>
      <c r="D125" s="133" t="s">
        <v>236</v>
      </c>
      <c r="E125" s="138" t="str">
        <f>+INDEX(F125:AB125,1,[3]BOD!$I$2-1)</f>
        <v/>
      </c>
      <c r="F125" s="140" t="s">
        <v>5459</v>
      </c>
      <c r="G125" s="144"/>
      <c r="H125" s="144" t="str">
        <f t="shared" si="1"/>
        <v/>
      </c>
      <c r="I125" s="144" t="str">
        <f t="shared" si="1"/>
        <v/>
      </c>
      <c r="J125" s="144"/>
      <c r="K125" s="144"/>
      <c r="L125" s="144"/>
      <c r="M125" s="144"/>
      <c r="N125" s="144"/>
      <c r="O125" s="144"/>
      <c r="P125" s="144"/>
      <c r="Q125" s="144"/>
      <c r="R125" s="144"/>
      <c r="S125" s="144"/>
      <c r="T125" s="144"/>
      <c r="U125" s="144"/>
      <c r="V125" s="144"/>
      <c r="W125" s="144"/>
      <c r="X125" s="144"/>
      <c r="Y125" s="144"/>
      <c r="Z125" s="144"/>
      <c r="AA125" s="144"/>
      <c r="AB125" s="144"/>
      <c r="AC125" s="135"/>
      <c r="AD125" s="129" t="s">
        <v>5459</v>
      </c>
      <c r="AE125" s="129" t="s">
        <v>5459</v>
      </c>
      <c r="AF125" s="130" t="s">
        <v>5459</v>
      </c>
      <c r="AG125" s="129" t="s">
        <v>236</v>
      </c>
      <c r="AH125" s="130" t="s">
        <v>5459</v>
      </c>
      <c r="AI125" s="130" t="s">
        <v>5459</v>
      </c>
    </row>
    <row r="126" spans="1:35" ht="10.5" customHeight="1" x14ac:dyDescent="0.2">
      <c r="A126" s="117" t="s">
        <v>3529</v>
      </c>
      <c r="B126" s="117" t="s">
        <v>2268</v>
      </c>
      <c r="C126" s="128">
        <v>1</v>
      </c>
      <c r="D126" s="133" t="s">
        <v>7389</v>
      </c>
      <c r="E126" s="138">
        <f>+INDEX(F126:AB126,1,[3]BOD!$I$2-1)</f>
        <v>45.54</v>
      </c>
      <c r="F126" s="140">
        <v>45.54</v>
      </c>
      <c r="G126" s="144"/>
      <c r="H126" s="144">
        <f t="shared" si="1"/>
        <v>227.7</v>
      </c>
      <c r="I126" s="144">
        <f t="shared" si="1"/>
        <v>227.7</v>
      </c>
      <c r="J126" s="144"/>
      <c r="K126" s="144"/>
      <c r="L126" s="144"/>
      <c r="M126" s="144"/>
      <c r="N126" s="144"/>
      <c r="O126" s="144"/>
      <c r="P126" s="144"/>
      <c r="Q126" s="144"/>
      <c r="R126" s="144"/>
      <c r="S126" s="144"/>
      <c r="T126" s="144"/>
      <c r="U126" s="144"/>
      <c r="V126" s="144"/>
      <c r="W126" s="144"/>
      <c r="X126" s="144"/>
      <c r="Y126" s="144"/>
      <c r="Z126" s="144"/>
      <c r="AA126" s="144"/>
      <c r="AB126" s="144"/>
      <c r="AC126" s="135"/>
      <c r="AD126" s="129" t="s">
        <v>8188</v>
      </c>
      <c r="AE126" s="129" t="s">
        <v>2362</v>
      </c>
      <c r="AF126" s="130">
        <v>1</v>
      </c>
      <c r="AG126" s="129" t="s">
        <v>4699</v>
      </c>
      <c r="AH126" s="130">
        <v>900</v>
      </c>
      <c r="AI126" s="130">
        <v>900</v>
      </c>
    </row>
    <row r="127" spans="1:35" ht="10.5" customHeight="1" x14ac:dyDescent="0.2">
      <c r="A127" s="117" t="s">
        <v>5459</v>
      </c>
      <c r="B127" s="117" t="s">
        <v>2331</v>
      </c>
      <c r="C127" s="128" t="s">
        <v>5459</v>
      </c>
      <c r="D127" s="133" t="s">
        <v>236</v>
      </c>
      <c r="E127" s="138" t="str">
        <f>+INDEX(F127:AB127,1,[3]BOD!$I$2-1)</f>
        <v/>
      </c>
      <c r="F127" s="140" t="s">
        <v>5459</v>
      </c>
      <c r="G127" s="144"/>
      <c r="H127" s="144" t="str">
        <f t="shared" si="1"/>
        <v/>
      </c>
      <c r="I127" s="144" t="str">
        <f t="shared" si="1"/>
        <v/>
      </c>
      <c r="J127" s="144"/>
      <c r="K127" s="144"/>
      <c r="L127" s="144"/>
      <c r="M127" s="144"/>
      <c r="N127" s="144"/>
      <c r="O127" s="144"/>
      <c r="P127" s="144"/>
      <c r="Q127" s="144"/>
      <c r="R127" s="144"/>
      <c r="S127" s="144"/>
      <c r="T127" s="144"/>
      <c r="U127" s="144"/>
      <c r="V127" s="144"/>
      <c r="W127" s="144"/>
      <c r="X127" s="144"/>
      <c r="Y127" s="144"/>
      <c r="Z127" s="144"/>
      <c r="AA127" s="144"/>
      <c r="AB127" s="144"/>
      <c r="AC127" s="135"/>
      <c r="AD127" s="129" t="s">
        <v>5459</v>
      </c>
      <c r="AE127" s="129" t="s">
        <v>5459</v>
      </c>
      <c r="AF127" s="130" t="s">
        <v>5459</v>
      </c>
      <c r="AG127" s="129" t="s">
        <v>236</v>
      </c>
      <c r="AH127" s="130" t="s">
        <v>5459</v>
      </c>
      <c r="AI127" s="130" t="s">
        <v>5459</v>
      </c>
    </row>
    <row r="128" spans="1:35" ht="10.5" customHeight="1" x14ac:dyDescent="0.2">
      <c r="A128" s="117" t="s">
        <v>3530</v>
      </c>
      <c r="B128" s="117" t="s">
        <v>2269</v>
      </c>
      <c r="C128" s="128">
        <v>1</v>
      </c>
      <c r="D128" s="133" t="s">
        <v>7389</v>
      </c>
      <c r="E128" s="138">
        <f>+INDEX(F128:AB128,1,[3]BOD!$I$2-1)</f>
        <v>49.02</v>
      </c>
      <c r="F128" s="140">
        <v>49.02</v>
      </c>
      <c r="G128" s="144"/>
      <c r="H128" s="144">
        <f t="shared" si="1"/>
        <v>245.10000000000002</v>
      </c>
      <c r="I128" s="144">
        <f t="shared" si="1"/>
        <v>245.10000000000002</v>
      </c>
      <c r="J128" s="144"/>
      <c r="K128" s="144"/>
      <c r="L128" s="144"/>
      <c r="M128" s="144"/>
      <c r="N128" s="144"/>
      <c r="O128" s="144"/>
      <c r="P128" s="144"/>
      <c r="Q128" s="144"/>
      <c r="R128" s="144"/>
      <c r="S128" s="144"/>
      <c r="T128" s="144"/>
      <c r="U128" s="144"/>
      <c r="V128" s="144"/>
      <c r="W128" s="144"/>
      <c r="X128" s="144"/>
      <c r="Y128" s="144"/>
      <c r="Z128" s="144"/>
      <c r="AA128" s="144"/>
      <c r="AB128" s="144"/>
      <c r="AC128" s="135"/>
      <c r="AD128" s="129" t="s">
        <v>8189</v>
      </c>
      <c r="AE128" s="129" t="s">
        <v>2363</v>
      </c>
      <c r="AF128" s="130">
        <v>1</v>
      </c>
      <c r="AG128" s="129" t="s">
        <v>4699</v>
      </c>
      <c r="AH128" s="130">
        <v>800</v>
      </c>
      <c r="AI128" s="130">
        <v>800</v>
      </c>
    </row>
    <row r="129" spans="1:35" ht="10.5" customHeight="1" x14ac:dyDescent="0.2">
      <c r="A129" s="117" t="s">
        <v>5459</v>
      </c>
      <c r="B129" s="117" t="s">
        <v>2331</v>
      </c>
      <c r="C129" s="128" t="s">
        <v>5459</v>
      </c>
      <c r="D129" s="133" t="s">
        <v>236</v>
      </c>
      <c r="E129" s="138" t="str">
        <f>+INDEX(F129:AB129,1,[3]BOD!$I$2-1)</f>
        <v/>
      </c>
      <c r="F129" s="140" t="s">
        <v>5459</v>
      </c>
      <c r="G129" s="144"/>
      <c r="H129" s="144" t="str">
        <f t="shared" si="1"/>
        <v/>
      </c>
      <c r="I129" s="144" t="str">
        <f t="shared" si="1"/>
        <v/>
      </c>
      <c r="J129" s="144"/>
      <c r="K129" s="144"/>
      <c r="L129" s="144"/>
      <c r="M129" s="144"/>
      <c r="N129" s="144"/>
      <c r="O129" s="144"/>
      <c r="P129" s="144"/>
      <c r="Q129" s="144"/>
      <c r="R129" s="144"/>
      <c r="S129" s="144"/>
      <c r="T129" s="144"/>
      <c r="U129" s="144"/>
      <c r="V129" s="144"/>
      <c r="W129" s="144"/>
      <c r="X129" s="144"/>
      <c r="Y129" s="144"/>
      <c r="Z129" s="144"/>
      <c r="AA129" s="144"/>
      <c r="AB129" s="144"/>
      <c r="AC129" s="135"/>
      <c r="AD129" s="129" t="s">
        <v>5459</v>
      </c>
      <c r="AE129" s="129" t="s">
        <v>5459</v>
      </c>
      <c r="AF129" s="130" t="s">
        <v>5459</v>
      </c>
      <c r="AG129" s="129" t="s">
        <v>236</v>
      </c>
      <c r="AH129" s="130" t="s">
        <v>5459</v>
      </c>
      <c r="AI129" s="130" t="s">
        <v>5459</v>
      </c>
    </row>
    <row r="130" spans="1:35" ht="10.5" customHeight="1" x14ac:dyDescent="0.2">
      <c r="A130" s="117" t="s">
        <v>3541</v>
      </c>
      <c r="B130" s="117" t="s">
        <v>2270</v>
      </c>
      <c r="C130" s="128">
        <v>1</v>
      </c>
      <c r="D130" s="133" t="s">
        <v>7389</v>
      </c>
      <c r="E130" s="138">
        <f>+INDEX(F130:AB130,1,[3]BOD!$I$2-1)</f>
        <v>54.24</v>
      </c>
      <c r="F130" s="140">
        <v>54.24</v>
      </c>
      <c r="G130" s="144"/>
      <c r="H130" s="144">
        <f t="shared" si="1"/>
        <v>271.2</v>
      </c>
      <c r="I130" s="144">
        <f t="shared" si="1"/>
        <v>271.2</v>
      </c>
      <c r="J130" s="144"/>
      <c r="K130" s="144"/>
      <c r="L130" s="144"/>
      <c r="M130" s="144"/>
      <c r="N130" s="144"/>
      <c r="O130" s="144"/>
      <c r="P130" s="144"/>
      <c r="Q130" s="144"/>
      <c r="R130" s="144"/>
      <c r="S130" s="144"/>
      <c r="T130" s="144"/>
      <c r="U130" s="144"/>
      <c r="V130" s="144"/>
      <c r="W130" s="144"/>
      <c r="X130" s="144"/>
      <c r="Y130" s="144"/>
      <c r="Z130" s="144"/>
      <c r="AA130" s="144"/>
      <c r="AB130" s="144"/>
      <c r="AC130" s="135"/>
      <c r="AD130" s="129" t="s">
        <v>8190</v>
      </c>
      <c r="AE130" s="129" t="s">
        <v>2364</v>
      </c>
      <c r="AF130" s="130">
        <v>1</v>
      </c>
      <c r="AG130" s="129" t="s">
        <v>4699</v>
      </c>
      <c r="AH130" s="130">
        <v>900</v>
      </c>
      <c r="AI130" s="130">
        <v>900</v>
      </c>
    </row>
    <row r="131" spans="1:35" ht="10.5" customHeight="1" x14ac:dyDescent="0.2">
      <c r="A131" s="117" t="s">
        <v>5459</v>
      </c>
      <c r="B131" s="117" t="s">
        <v>2331</v>
      </c>
      <c r="C131" s="128" t="s">
        <v>5459</v>
      </c>
      <c r="D131" s="133" t="s">
        <v>236</v>
      </c>
      <c r="E131" s="138" t="str">
        <f>+INDEX(F131:AB131,1,[3]BOD!$I$2-1)</f>
        <v/>
      </c>
      <c r="F131" s="140" t="s">
        <v>5459</v>
      </c>
      <c r="G131" s="144"/>
      <c r="H131" s="144" t="str">
        <f t="shared" ref="H131:I194" si="2">+IF($F131&lt;&gt;"",$F131*5,"")</f>
        <v/>
      </c>
      <c r="I131" s="144" t="str">
        <f t="shared" si="2"/>
        <v/>
      </c>
      <c r="J131" s="144"/>
      <c r="K131" s="144"/>
      <c r="L131" s="144"/>
      <c r="M131" s="144"/>
      <c r="N131" s="144"/>
      <c r="O131" s="144"/>
      <c r="P131" s="144"/>
      <c r="Q131" s="144"/>
      <c r="R131" s="144"/>
      <c r="S131" s="144"/>
      <c r="T131" s="144"/>
      <c r="U131" s="144"/>
      <c r="V131" s="144"/>
      <c r="W131" s="144"/>
      <c r="X131" s="144"/>
      <c r="Y131" s="144"/>
      <c r="Z131" s="144"/>
      <c r="AA131" s="144"/>
      <c r="AB131" s="144"/>
      <c r="AC131" s="135"/>
      <c r="AD131" s="129" t="s">
        <v>5459</v>
      </c>
      <c r="AE131" s="129" t="s">
        <v>5459</v>
      </c>
      <c r="AF131" s="130" t="s">
        <v>5459</v>
      </c>
      <c r="AG131" s="129" t="s">
        <v>236</v>
      </c>
      <c r="AH131" s="130" t="s">
        <v>5459</v>
      </c>
      <c r="AI131" s="130" t="s">
        <v>5459</v>
      </c>
    </row>
    <row r="132" spans="1:35" ht="10.5" customHeight="1" x14ac:dyDescent="0.2">
      <c r="A132" s="117" t="s">
        <v>845</v>
      </c>
      <c r="B132" s="117" t="s">
        <v>2271</v>
      </c>
      <c r="C132" s="128">
        <v>1</v>
      </c>
      <c r="D132" s="133" t="s">
        <v>7389</v>
      </c>
      <c r="E132" s="138">
        <f>+INDEX(F132:AB132,1,[3]BOD!$I$2-1)</f>
        <v>62.95</v>
      </c>
      <c r="F132" s="140">
        <v>62.95</v>
      </c>
      <c r="G132" s="144"/>
      <c r="H132" s="144">
        <f t="shared" si="2"/>
        <v>314.75</v>
      </c>
      <c r="I132" s="144">
        <f t="shared" si="2"/>
        <v>314.75</v>
      </c>
      <c r="J132" s="144"/>
      <c r="K132" s="144"/>
      <c r="L132" s="144"/>
      <c r="M132" s="144"/>
      <c r="N132" s="144"/>
      <c r="O132" s="144"/>
      <c r="P132" s="144"/>
      <c r="Q132" s="144"/>
      <c r="R132" s="144"/>
      <c r="S132" s="144"/>
      <c r="T132" s="144"/>
      <c r="U132" s="144"/>
      <c r="V132" s="144"/>
      <c r="W132" s="144"/>
      <c r="X132" s="144"/>
      <c r="Y132" s="144"/>
      <c r="Z132" s="144"/>
      <c r="AA132" s="144"/>
      <c r="AB132" s="144"/>
      <c r="AC132" s="135"/>
      <c r="AD132" s="129" t="s">
        <v>8191</v>
      </c>
      <c r="AE132" s="129" t="s">
        <v>2301</v>
      </c>
      <c r="AF132" s="130">
        <v>1</v>
      </c>
      <c r="AG132" s="129" t="s">
        <v>4699</v>
      </c>
      <c r="AH132" s="130">
        <v>750</v>
      </c>
      <c r="AI132" s="130">
        <v>750</v>
      </c>
    </row>
    <row r="133" spans="1:35" ht="10.5" customHeight="1" x14ac:dyDescent="0.2">
      <c r="A133" s="117" t="s">
        <v>5459</v>
      </c>
      <c r="B133" s="117" t="s">
        <v>2331</v>
      </c>
      <c r="C133" s="128" t="s">
        <v>5459</v>
      </c>
      <c r="D133" s="133" t="s">
        <v>236</v>
      </c>
      <c r="E133" s="138" t="str">
        <f>+INDEX(F133:AB133,1,[3]BOD!$I$2-1)</f>
        <v/>
      </c>
      <c r="F133" s="140" t="s">
        <v>5459</v>
      </c>
      <c r="G133" s="144"/>
      <c r="H133" s="144" t="str">
        <f t="shared" si="2"/>
        <v/>
      </c>
      <c r="I133" s="144" t="str">
        <f t="shared" si="2"/>
        <v/>
      </c>
      <c r="J133" s="144"/>
      <c r="K133" s="144"/>
      <c r="L133" s="144"/>
      <c r="M133" s="144"/>
      <c r="N133" s="144"/>
      <c r="O133" s="144"/>
      <c r="P133" s="144"/>
      <c r="Q133" s="144"/>
      <c r="R133" s="144"/>
      <c r="S133" s="144"/>
      <c r="T133" s="144"/>
      <c r="U133" s="144"/>
      <c r="V133" s="144"/>
      <c r="W133" s="144"/>
      <c r="X133" s="144"/>
      <c r="Y133" s="144"/>
      <c r="Z133" s="144"/>
      <c r="AA133" s="144"/>
      <c r="AB133" s="144"/>
      <c r="AC133" s="135"/>
      <c r="AD133" s="129" t="s">
        <v>5459</v>
      </c>
      <c r="AE133" s="129" t="s">
        <v>5459</v>
      </c>
      <c r="AF133" s="130" t="s">
        <v>5459</v>
      </c>
      <c r="AG133" s="129" t="s">
        <v>236</v>
      </c>
      <c r="AH133" s="130" t="s">
        <v>5459</v>
      </c>
      <c r="AI133" s="130" t="s">
        <v>5459</v>
      </c>
    </row>
    <row r="134" spans="1:35" ht="10.5" customHeight="1" x14ac:dyDescent="0.2">
      <c r="A134" s="117" t="s">
        <v>846</v>
      </c>
      <c r="B134" s="117" t="s">
        <v>2272</v>
      </c>
      <c r="C134" s="128">
        <v>1</v>
      </c>
      <c r="D134" s="133" t="s">
        <v>847</v>
      </c>
      <c r="E134" s="138">
        <f>+INDEX(F134:AB134,1,[3]BOD!$I$2-1)</f>
        <v>274.52999999999997</v>
      </c>
      <c r="F134" s="140">
        <v>274.52999999999997</v>
      </c>
      <c r="G134" s="144"/>
      <c r="H134" s="144">
        <f t="shared" si="2"/>
        <v>1372.6499999999999</v>
      </c>
      <c r="I134" s="144">
        <f t="shared" si="2"/>
        <v>1372.6499999999999</v>
      </c>
      <c r="J134" s="144"/>
      <c r="K134" s="144"/>
      <c r="L134" s="144"/>
      <c r="M134" s="144"/>
      <c r="N134" s="144"/>
      <c r="O134" s="144"/>
      <c r="P134" s="144"/>
      <c r="Q134" s="144"/>
      <c r="R134" s="144"/>
      <c r="S134" s="144"/>
      <c r="T134" s="144"/>
      <c r="U134" s="144"/>
      <c r="V134" s="144"/>
      <c r="W134" s="144"/>
      <c r="X134" s="144"/>
      <c r="Y134" s="144"/>
      <c r="Z134" s="144"/>
      <c r="AA134" s="144"/>
      <c r="AB134" s="144"/>
      <c r="AC134" s="135"/>
      <c r="AD134" s="129" t="s">
        <v>8193</v>
      </c>
      <c r="AE134" s="129" t="s">
        <v>2371</v>
      </c>
      <c r="AF134" s="130">
        <v>1</v>
      </c>
      <c r="AG134" s="129" t="s">
        <v>4699</v>
      </c>
      <c r="AH134" s="130">
        <v>162.13999999999999</v>
      </c>
      <c r="AI134" s="130">
        <v>162.13999999999999</v>
      </c>
    </row>
    <row r="135" spans="1:35" ht="10.5" customHeight="1" x14ac:dyDescent="0.2">
      <c r="A135" s="117" t="s">
        <v>5459</v>
      </c>
      <c r="B135" s="117" t="s">
        <v>2275</v>
      </c>
      <c r="C135" s="128" t="s">
        <v>5459</v>
      </c>
      <c r="D135" s="133" t="s">
        <v>236</v>
      </c>
      <c r="E135" s="138" t="str">
        <f>+INDEX(F135:AB135,1,[3]BOD!$I$2-1)</f>
        <v/>
      </c>
      <c r="F135" s="140" t="s">
        <v>5459</v>
      </c>
      <c r="G135" s="144"/>
      <c r="H135" s="144" t="str">
        <f t="shared" si="2"/>
        <v/>
      </c>
      <c r="I135" s="144" t="str">
        <f t="shared" si="2"/>
        <v/>
      </c>
      <c r="J135" s="144"/>
      <c r="K135" s="144"/>
      <c r="L135" s="144"/>
      <c r="M135" s="144"/>
      <c r="N135" s="144"/>
      <c r="O135" s="144"/>
      <c r="P135" s="144"/>
      <c r="Q135" s="144"/>
      <c r="R135" s="144"/>
      <c r="S135" s="144"/>
      <c r="T135" s="144"/>
      <c r="U135" s="144"/>
      <c r="V135" s="144"/>
      <c r="W135" s="144"/>
      <c r="X135" s="144"/>
      <c r="Y135" s="144"/>
      <c r="Z135" s="144"/>
      <c r="AA135" s="144"/>
      <c r="AB135" s="144"/>
      <c r="AC135" s="135"/>
      <c r="AD135" s="129" t="s">
        <v>5459</v>
      </c>
      <c r="AE135" s="129" t="s">
        <v>5459</v>
      </c>
      <c r="AF135" s="130" t="s">
        <v>5459</v>
      </c>
      <c r="AG135" s="129" t="s">
        <v>236</v>
      </c>
      <c r="AH135" s="130" t="s">
        <v>5459</v>
      </c>
      <c r="AI135" s="130" t="s">
        <v>5459</v>
      </c>
    </row>
    <row r="136" spans="1:35" ht="10.5" customHeight="1" x14ac:dyDescent="0.2">
      <c r="A136" s="117" t="s">
        <v>848</v>
      </c>
      <c r="B136" s="117" t="s">
        <v>2273</v>
      </c>
      <c r="C136" s="128">
        <v>1</v>
      </c>
      <c r="D136" s="133" t="s">
        <v>847</v>
      </c>
      <c r="E136" s="138">
        <f>+INDEX(F136:AB136,1,[3]BOD!$I$2-1)</f>
        <v>145.59</v>
      </c>
      <c r="F136" s="140">
        <v>145.59</v>
      </c>
      <c r="G136" s="144"/>
      <c r="H136" s="144">
        <f t="shared" si="2"/>
        <v>727.95</v>
      </c>
      <c r="I136" s="144">
        <f t="shared" si="2"/>
        <v>727.95</v>
      </c>
      <c r="J136" s="144"/>
      <c r="K136" s="144"/>
      <c r="L136" s="144"/>
      <c r="M136" s="144"/>
      <c r="N136" s="144"/>
      <c r="O136" s="144"/>
      <c r="P136" s="144"/>
      <c r="Q136" s="144"/>
      <c r="R136" s="144"/>
      <c r="S136" s="144"/>
      <c r="T136" s="144"/>
      <c r="U136" s="144"/>
      <c r="V136" s="144"/>
      <c r="W136" s="144"/>
      <c r="X136" s="144"/>
      <c r="Y136" s="144"/>
      <c r="Z136" s="144"/>
      <c r="AA136" s="144"/>
      <c r="AB136" s="144"/>
      <c r="AC136" s="135"/>
      <c r="AD136" s="129" t="s">
        <v>6760</v>
      </c>
      <c r="AE136" s="129" t="s">
        <v>2372</v>
      </c>
      <c r="AF136" s="130">
        <v>1</v>
      </c>
      <c r="AG136" s="129" t="s">
        <v>4699</v>
      </c>
      <c r="AH136" s="130">
        <v>191.62</v>
      </c>
      <c r="AI136" s="130">
        <v>191.62</v>
      </c>
    </row>
    <row r="137" spans="1:35" ht="10.5" customHeight="1" x14ac:dyDescent="0.2">
      <c r="A137" s="117" t="s">
        <v>5459</v>
      </c>
      <c r="B137" s="117" t="s">
        <v>2275</v>
      </c>
      <c r="C137" s="128" t="s">
        <v>5459</v>
      </c>
      <c r="D137" s="133" t="s">
        <v>236</v>
      </c>
      <c r="E137" s="138" t="str">
        <f>+INDEX(F137:AB137,1,[3]BOD!$I$2-1)</f>
        <v/>
      </c>
      <c r="F137" s="140" t="s">
        <v>5459</v>
      </c>
      <c r="G137" s="144"/>
      <c r="H137" s="144" t="str">
        <f t="shared" si="2"/>
        <v/>
      </c>
      <c r="I137" s="144" t="str">
        <f t="shared" si="2"/>
        <v/>
      </c>
      <c r="J137" s="144"/>
      <c r="K137" s="144"/>
      <c r="L137" s="144"/>
      <c r="M137" s="144"/>
      <c r="N137" s="144"/>
      <c r="O137" s="144"/>
      <c r="P137" s="144"/>
      <c r="Q137" s="144"/>
      <c r="R137" s="144"/>
      <c r="S137" s="144"/>
      <c r="T137" s="144"/>
      <c r="U137" s="144"/>
      <c r="V137" s="144"/>
      <c r="W137" s="144"/>
      <c r="X137" s="144"/>
      <c r="Y137" s="144"/>
      <c r="Z137" s="144"/>
      <c r="AA137" s="144"/>
      <c r="AB137" s="144"/>
      <c r="AC137" s="135"/>
      <c r="AD137" s="129" t="s">
        <v>5459</v>
      </c>
      <c r="AE137" s="129" t="s">
        <v>5459</v>
      </c>
      <c r="AF137" s="130" t="s">
        <v>5459</v>
      </c>
      <c r="AG137" s="129" t="s">
        <v>236</v>
      </c>
      <c r="AH137" s="130" t="s">
        <v>5459</v>
      </c>
      <c r="AI137" s="130" t="s">
        <v>5459</v>
      </c>
    </row>
    <row r="138" spans="1:35" ht="10.5" customHeight="1" x14ac:dyDescent="0.2">
      <c r="A138" s="117" t="s">
        <v>5371</v>
      </c>
      <c r="B138" s="117" t="s">
        <v>2274</v>
      </c>
      <c r="C138" s="128">
        <v>1</v>
      </c>
      <c r="D138" s="133" t="s">
        <v>847</v>
      </c>
      <c r="E138" s="138">
        <f>+INDEX(F138:AB138,1,[3]BOD!$I$2-1)</f>
        <v>196.83</v>
      </c>
      <c r="F138" s="140">
        <v>196.83</v>
      </c>
      <c r="G138" s="144"/>
      <c r="H138" s="144">
        <f t="shared" si="2"/>
        <v>984.15000000000009</v>
      </c>
      <c r="I138" s="144">
        <f t="shared" si="2"/>
        <v>984.15000000000009</v>
      </c>
      <c r="J138" s="144"/>
      <c r="K138" s="144"/>
      <c r="L138" s="144"/>
      <c r="M138" s="144"/>
      <c r="N138" s="144"/>
      <c r="O138" s="144"/>
      <c r="P138" s="144"/>
      <c r="Q138" s="144"/>
      <c r="R138" s="144"/>
      <c r="S138" s="144"/>
      <c r="T138" s="144"/>
      <c r="U138" s="144"/>
      <c r="V138" s="144"/>
      <c r="W138" s="144"/>
      <c r="X138" s="144"/>
      <c r="Y138" s="144"/>
      <c r="Z138" s="144"/>
      <c r="AA138" s="144"/>
      <c r="AB138" s="144"/>
      <c r="AC138" s="135"/>
      <c r="AD138" s="129" t="s">
        <v>6761</v>
      </c>
      <c r="AE138" s="129" t="s">
        <v>2373</v>
      </c>
      <c r="AF138" s="130">
        <v>1</v>
      </c>
      <c r="AG138" s="129" t="s">
        <v>4699</v>
      </c>
      <c r="AH138" s="130">
        <v>162.13999999999999</v>
      </c>
      <c r="AI138" s="130">
        <v>162.13999999999999</v>
      </c>
    </row>
    <row r="139" spans="1:35" ht="10.5" customHeight="1" x14ac:dyDescent="0.2">
      <c r="A139" s="117" t="s">
        <v>5459</v>
      </c>
      <c r="B139" s="117" t="s">
        <v>2275</v>
      </c>
      <c r="C139" s="128" t="s">
        <v>5459</v>
      </c>
      <c r="D139" s="133" t="s">
        <v>236</v>
      </c>
      <c r="E139" s="138" t="str">
        <f>+INDEX(F139:AB139,1,[3]BOD!$I$2-1)</f>
        <v/>
      </c>
      <c r="F139" s="140" t="s">
        <v>5459</v>
      </c>
      <c r="G139" s="144"/>
      <c r="H139" s="144" t="str">
        <f t="shared" si="2"/>
        <v/>
      </c>
      <c r="I139" s="144" t="str">
        <f t="shared" si="2"/>
        <v/>
      </c>
      <c r="J139" s="144"/>
      <c r="K139" s="144"/>
      <c r="L139" s="144"/>
      <c r="M139" s="144"/>
      <c r="N139" s="144"/>
      <c r="O139" s="144"/>
      <c r="P139" s="144"/>
      <c r="Q139" s="144"/>
      <c r="R139" s="144"/>
      <c r="S139" s="144"/>
      <c r="T139" s="144"/>
      <c r="U139" s="144"/>
      <c r="V139" s="144"/>
      <c r="W139" s="144"/>
      <c r="X139" s="144"/>
      <c r="Y139" s="144"/>
      <c r="Z139" s="144"/>
      <c r="AA139" s="144"/>
      <c r="AB139" s="144"/>
      <c r="AC139" s="135"/>
      <c r="AD139" s="129" t="s">
        <v>5459</v>
      </c>
      <c r="AE139" s="129" t="s">
        <v>5459</v>
      </c>
      <c r="AF139" s="130" t="s">
        <v>5459</v>
      </c>
      <c r="AG139" s="129" t="s">
        <v>236</v>
      </c>
      <c r="AH139" s="130" t="s">
        <v>5459</v>
      </c>
      <c r="AI139" s="130" t="s">
        <v>5459</v>
      </c>
    </row>
    <row r="140" spans="1:35" ht="10.5" customHeight="1" x14ac:dyDescent="0.2">
      <c r="A140" s="117" t="s">
        <v>5372</v>
      </c>
      <c r="B140" s="117" t="s">
        <v>2276</v>
      </c>
      <c r="C140" s="128"/>
      <c r="D140" s="133"/>
      <c r="E140" s="138"/>
      <c r="F140" s="140"/>
      <c r="G140" s="144"/>
      <c r="H140" s="144" t="str">
        <f t="shared" si="2"/>
        <v/>
      </c>
      <c r="I140" s="144" t="str">
        <f t="shared" si="2"/>
        <v/>
      </c>
      <c r="J140" s="144"/>
      <c r="K140" s="144"/>
      <c r="L140" s="144"/>
      <c r="M140" s="144"/>
      <c r="N140" s="144"/>
      <c r="O140" s="144"/>
      <c r="P140" s="144"/>
      <c r="Q140" s="144"/>
      <c r="R140" s="144"/>
      <c r="S140" s="144"/>
      <c r="T140" s="144"/>
      <c r="U140" s="144"/>
      <c r="V140" s="144"/>
      <c r="W140" s="144"/>
      <c r="X140" s="144"/>
      <c r="Y140" s="144"/>
      <c r="Z140" s="144"/>
      <c r="AA140" s="144"/>
      <c r="AB140" s="144"/>
      <c r="AC140" s="135"/>
      <c r="AD140" s="129" t="s">
        <v>6762</v>
      </c>
      <c r="AE140" s="129" t="s">
        <v>2374</v>
      </c>
      <c r="AF140" s="130">
        <v>1</v>
      </c>
      <c r="AG140" s="129" t="s">
        <v>4699</v>
      </c>
      <c r="AH140" s="130">
        <v>191.62</v>
      </c>
      <c r="AI140" s="130">
        <v>191.62</v>
      </c>
    </row>
    <row r="141" spans="1:35" ht="10.5" customHeight="1" x14ac:dyDescent="0.2">
      <c r="A141" s="117" t="s">
        <v>5373</v>
      </c>
      <c r="B141" s="117" t="s">
        <v>2277</v>
      </c>
      <c r="C141" s="128"/>
      <c r="D141" s="133"/>
      <c r="E141" s="138"/>
      <c r="F141" s="140"/>
      <c r="G141" s="144"/>
      <c r="H141" s="144" t="str">
        <f t="shared" si="2"/>
        <v/>
      </c>
      <c r="I141" s="144" t="str">
        <f t="shared" si="2"/>
        <v/>
      </c>
      <c r="J141" s="144"/>
      <c r="K141" s="144"/>
      <c r="L141" s="144"/>
      <c r="M141" s="144"/>
      <c r="N141" s="144"/>
      <c r="O141" s="144"/>
      <c r="P141" s="144"/>
      <c r="Q141" s="144"/>
      <c r="R141" s="144"/>
      <c r="S141" s="144"/>
      <c r="T141" s="144"/>
      <c r="U141" s="144"/>
      <c r="V141" s="144"/>
      <c r="W141" s="144"/>
      <c r="X141" s="144"/>
      <c r="Y141" s="144"/>
      <c r="Z141" s="144"/>
      <c r="AA141" s="144"/>
      <c r="AB141" s="144"/>
      <c r="AC141" s="135"/>
      <c r="AD141" s="129" t="s">
        <v>5459</v>
      </c>
      <c r="AE141" s="129" t="s">
        <v>5459</v>
      </c>
      <c r="AF141" s="130" t="s">
        <v>5459</v>
      </c>
      <c r="AG141" s="129" t="s">
        <v>236</v>
      </c>
      <c r="AH141" s="130" t="s">
        <v>5459</v>
      </c>
      <c r="AI141" s="130" t="s">
        <v>5459</v>
      </c>
    </row>
    <row r="142" spans="1:35" ht="10.5" customHeight="1" x14ac:dyDescent="0.2">
      <c r="A142" s="115" t="s">
        <v>5374</v>
      </c>
      <c r="B142" s="117" t="s">
        <v>2278</v>
      </c>
      <c r="C142" s="128">
        <v>1</v>
      </c>
      <c r="D142" s="133" t="s">
        <v>4699</v>
      </c>
      <c r="E142" s="138">
        <f>+INDEX(F142:AB142,1,[3]BOD!$I$2-1)</f>
        <v>1200</v>
      </c>
      <c r="F142" s="140">
        <v>1200</v>
      </c>
      <c r="G142" s="144"/>
      <c r="H142" s="144">
        <f t="shared" si="2"/>
        <v>6000</v>
      </c>
      <c r="I142" s="144">
        <f t="shared" si="2"/>
        <v>6000</v>
      </c>
      <c r="J142" s="144"/>
      <c r="K142" s="144"/>
      <c r="L142" s="144"/>
      <c r="M142" s="144"/>
      <c r="N142" s="144"/>
      <c r="O142" s="144"/>
      <c r="P142" s="144"/>
      <c r="Q142" s="144"/>
      <c r="R142" s="144"/>
      <c r="S142" s="144"/>
      <c r="T142" s="144"/>
      <c r="U142" s="144"/>
      <c r="V142" s="144"/>
      <c r="W142" s="144"/>
      <c r="X142" s="144"/>
      <c r="Y142" s="144"/>
      <c r="Z142" s="144"/>
      <c r="AA142" s="144"/>
      <c r="AB142" s="144"/>
      <c r="AC142" s="135"/>
      <c r="AD142" s="129" t="s">
        <v>6763</v>
      </c>
      <c r="AE142" s="129" t="s">
        <v>2254</v>
      </c>
      <c r="AF142" s="130">
        <v>0</v>
      </c>
      <c r="AG142" s="129" t="s">
        <v>236</v>
      </c>
      <c r="AH142" s="130">
        <v>1135.3499999999999</v>
      </c>
      <c r="AI142" s="130">
        <v>0</v>
      </c>
    </row>
    <row r="143" spans="1:35" ht="10.5" customHeight="1" x14ac:dyDescent="0.2">
      <c r="A143" s="117" t="s">
        <v>5459</v>
      </c>
      <c r="B143" s="117" t="s">
        <v>5459</v>
      </c>
      <c r="C143" s="128" t="s">
        <v>5459</v>
      </c>
      <c r="D143" s="133" t="s">
        <v>236</v>
      </c>
      <c r="E143" s="138" t="str">
        <f>+INDEX(F143:AB143,1,[3]BOD!$I$2-1)</f>
        <v/>
      </c>
      <c r="F143" s="140" t="s">
        <v>5459</v>
      </c>
      <c r="G143" s="144"/>
      <c r="H143" s="144" t="str">
        <f t="shared" si="2"/>
        <v/>
      </c>
      <c r="I143" s="144" t="str">
        <f t="shared" si="2"/>
        <v/>
      </c>
      <c r="J143" s="144"/>
      <c r="K143" s="144"/>
      <c r="L143" s="144"/>
      <c r="M143" s="144"/>
      <c r="N143" s="144"/>
      <c r="O143" s="144"/>
      <c r="P143" s="144"/>
      <c r="Q143" s="144"/>
      <c r="R143" s="144"/>
      <c r="S143" s="144"/>
      <c r="T143" s="144"/>
      <c r="U143" s="144"/>
      <c r="V143" s="144"/>
      <c r="W143" s="144"/>
      <c r="X143" s="144"/>
      <c r="Y143" s="144"/>
      <c r="Z143" s="144"/>
      <c r="AA143" s="144"/>
      <c r="AB143" s="144"/>
      <c r="AC143" s="135"/>
      <c r="AD143" s="129" t="s">
        <v>5459</v>
      </c>
      <c r="AE143" s="129" t="s">
        <v>5459</v>
      </c>
      <c r="AF143" s="130" t="s">
        <v>5459</v>
      </c>
      <c r="AG143" s="129" t="s">
        <v>236</v>
      </c>
      <c r="AH143" s="130" t="s">
        <v>5459</v>
      </c>
      <c r="AI143" s="130" t="s">
        <v>5459</v>
      </c>
    </row>
    <row r="144" spans="1:35" ht="10.5" customHeight="1" x14ac:dyDescent="0.2">
      <c r="A144" s="115" t="s">
        <v>5375</v>
      </c>
      <c r="B144" s="117" t="s">
        <v>2279</v>
      </c>
      <c r="C144" s="128">
        <v>1</v>
      </c>
      <c r="D144" s="133" t="s">
        <v>4699</v>
      </c>
      <c r="E144" s="138">
        <f>+INDEX(F144:AB144,1,[3]BOD!$I$2-1)</f>
        <v>1200</v>
      </c>
      <c r="F144" s="140">
        <v>1200</v>
      </c>
      <c r="G144" s="144"/>
      <c r="H144" s="144">
        <f t="shared" si="2"/>
        <v>6000</v>
      </c>
      <c r="I144" s="144">
        <f t="shared" si="2"/>
        <v>6000</v>
      </c>
      <c r="J144" s="144"/>
      <c r="K144" s="144"/>
      <c r="L144" s="144"/>
      <c r="M144" s="144"/>
      <c r="N144" s="144"/>
      <c r="O144" s="144"/>
      <c r="P144" s="144"/>
      <c r="Q144" s="144"/>
      <c r="R144" s="144"/>
      <c r="S144" s="144"/>
      <c r="T144" s="144"/>
      <c r="U144" s="144"/>
      <c r="V144" s="144"/>
      <c r="W144" s="144"/>
      <c r="X144" s="144"/>
      <c r="Y144" s="144"/>
      <c r="Z144" s="144"/>
      <c r="AA144" s="144"/>
      <c r="AB144" s="144"/>
      <c r="AC144" s="135"/>
      <c r="AD144" s="129" t="s">
        <v>6764</v>
      </c>
      <c r="AE144" s="129" t="s">
        <v>2302</v>
      </c>
      <c r="AF144" s="130">
        <v>1</v>
      </c>
      <c r="AG144" s="129" t="s">
        <v>7389</v>
      </c>
      <c r="AH144" s="130">
        <v>45.93</v>
      </c>
      <c r="AI144" s="130">
        <v>45.93</v>
      </c>
    </row>
    <row r="145" spans="1:35" ht="10.5" customHeight="1" x14ac:dyDescent="0.2">
      <c r="A145" s="117" t="s">
        <v>5459</v>
      </c>
      <c r="B145" s="117" t="s">
        <v>5459</v>
      </c>
      <c r="C145" s="128" t="s">
        <v>5459</v>
      </c>
      <c r="D145" s="133" t="s">
        <v>236</v>
      </c>
      <c r="E145" s="138" t="str">
        <f>+INDEX(F145:AB145,1,[3]BOD!$I$2-1)</f>
        <v/>
      </c>
      <c r="F145" s="140" t="s">
        <v>5459</v>
      </c>
      <c r="G145" s="144"/>
      <c r="H145" s="144" t="str">
        <f t="shared" si="2"/>
        <v/>
      </c>
      <c r="I145" s="144" t="str">
        <f t="shared" si="2"/>
        <v/>
      </c>
      <c r="J145" s="144"/>
      <c r="K145" s="144"/>
      <c r="L145" s="144"/>
      <c r="M145" s="144"/>
      <c r="N145" s="144"/>
      <c r="O145" s="144"/>
      <c r="P145" s="144"/>
      <c r="Q145" s="144"/>
      <c r="R145" s="144"/>
      <c r="S145" s="144"/>
      <c r="T145" s="144"/>
      <c r="U145" s="144"/>
      <c r="V145" s="144"/>
      <c r="W145" s="144"/>
      <c r="X145" s="144"/>
      <c r="Y145" s="144"/>
      <c r="Z145" s="144"/>
      <c r="AA145" s="144"/>
      <c r="AB145" s="144"/>
      <c r="AC145" s="135"/>
      <c r="AD145" s="129" t="s">
        <v>5459</v>
      </c>
      <c r="AE145" s="129" t="s">
        <v>5459</v>
      </c>
      <c r="AF145" s="130" t="s">
        <v>5459</v>
      </c>
      <c r="AG145" s="129" t="s">
        <v>236</v>
      </c>
      <c r="AH145" s="130" t="s">
        <v>5459</v>
      </c>
      <c r="AI145" s="130" t="s">
        <v>5459</v>
      </c>
    </row>
    <row r="146" spans="1:35" ht="10.5" customHeight="1" x14ac:dyDescent="0.2">
      <c r="A146" s="117" t="s">
        <v>5376</v>
      </c>
      <c r="B146" s="117" t="s">
        <v>2280</v>
      </c>
      <c r="C146" s="128">
        <v>1</v>
      </c>
      <c r="D146" s="133" t="s">
        <v>4699</v>
      </c>
      <c r="E146" s="138">
        <f>+INDEX(F146:AB146,1,[3]BOD!$I$2-1)</f>
        <v>1200</v>
      </c>
      <c r="F146" s="140">
        <v>1200</v>
      </c>
      <c r="G146" s="144"/>
      <c r="H146" s="144">
        <f t="shared" si="2"/>
        <v>6000</v>
      </c>
      <c r="I146" s="144">
        <f t="shared" si="2"/>
        <v>6000</v>
      </c>
      <c r="J146" s="144"/>
      <c r="K146" s="144"/>
      <c r="L146" s="144"/>
      <c r="M146" s="144"/>
      <c r="N146" s="144"/>
      <c r="O146" s="144"/>
      <c r="P146" s="144"/>
      <c r="Q146" s="144"/>
      <c r="R146" s="144"/>
      <c r="S146" s="144"/>
      <c r="T146" s="144"/>
      <c r="U146" s="144"/>
      <c r="V146" s="144"/>
      <c r="W146" s="144"/>
      <c r="X146" s="144"/>
      <c r="Y146" s="144"/>
      <c r="Z146" s="144"/>
      <c r="AA146" s="144"/>
      <c r="AB146" s="144"/>
      <c r="AC146" s="135"/>
      <c r="AD146" s="129" t="s">
        <v>6765</v>
      </c>
      <c r="AE146" s="129" t="s">
        <v>2303</v>
      </c>
      <c r="AF146" s="130">
        <v>1</v>
      </c>
      <c r="AG146" s="129" t="s">
        <v>7389</v>
      </c>
      <c r="AH146" s="130">
        <v>51.23</v>
      </c>
      <c r="AI146" s="130">
        <v>51.23</v>
      </c>
    </row>
    <row r="147" spans="1:35" ht="10.5" customHeight="1" x14ac:dyDescent="0.2">
      <c r="A147" s="117" t="s">
        <v>5459</v>
      </c>
      <c r="B147" s="117" t="s">
        <v>5459</v>
      </c>
      <c r="C147" s="128" t="s">
        <v>5459</v>
      </c>
      <c r="D147" s="133" t="s">
        <v>236</v>
      </c>
      <c r="E147" s="138" t="str">
        <f>+INDEX(F147:AB147,1,[3]BOD!$I$2-1)</f>
        <v/>
      </c>
      <c r="F147" s="140" t="s">
        <v>5459</v>
      </c>
      <c r="G147" s="144"/>
      <c r="H147" s="144" t="str">
        <f t="shared" si="2"/>
        <v/>
      </c>
      <c r="I147" s="144" t="str">
        <f t="shared" si="2"/>
        <v/>
      </c>
      <c r="J147" s="144"/>
      <c r="K147" s="144"/>
      <c r="L147" s="144"/>
      <c r="M147" s="144"/>
      <c r="N147" s="144"/>
      <c r="O147" s="144"/>
      <c r="P147" s="144"/>
      <c r="Q147" s="144"/>
      <c r="R147" s="144"/>
      <c r="S147" s="144"/>
      <c r="T147" s="144"/>
      <c r="U147" s="144"/>
      <c r="V147" s="144"/>
      <c r="W147" s="144"/>
      <c r="X147" s="144"/>
      <c r="Y147" s="144"/>
      <c r="Z147" s="144"/>
      <c r="AA147" s="144"/>
      <c r="AB147" s="144"/>
      <c r="AC147" s="135"/>
      <c r="AD147" s="129" t="s">
        <v>5459</v>
      </c>
      <c r="AE147" s="129" t="s">
        <v>5459</v>
      </c>
      <c r="AF147" s="130" t="s">
        <v>5459</v>
      </c>
      <c r="AG147" s="129" t="s">
        <v>236</v>
      </c>
      <c r="AH147" s="130" t="s">
        <v>5459</v>
      </c>
      <c r="AI147" s="130" t="s">
        <v>5459</v>
      </c>
    </row>
    <row r="148" spans="1:35" ht="10.5" customHeight="1" x14ac:dyDescent="0.2">
      <c r="A148" s="117" t="s">
        <v>5377</v>
      </c>
      <c r="B148" s="117" t="s">
        <v>2281</v>
      </c>
      <c r="C148" s="128">
        <v>1</v>
      </c>
      <c r="D148" s="133" t="s">
        <v>4699</v>
      </c>
      <c r="E148" s="138">
        <f>+INDEX(F148:AB148,1,[3]BOD!$I$2-1)</f>
        <v>1200</v>
      </c>
      <c r="F148" s="140">
        <v>1200</v>
      </c>
      <c r="G148" s="144"/>
      <c r="H148" s="144">
        <f t="shared" si="2"/>
        <v>6000</v>
      </c>
      <c r="I148" s="144">
        <f t="shared" si="2"/>
        <v>6000</v>
      </c>
      <c r="J148" s="144"/>
      <c r="K148" s="144"/>
      <c r="L148" s="144"/>
      <c r="M148" s="144"/>
      <c r="N148" s="144"/>
      <c r="O148" s="144"/>
      <c r="P148" s="144"/>
      <c r="Q148" s="144"/>
      <c r="R148" s="144"/>
      <c r="S148" s="144"/>
      <c r="T148" s="144"/>
      <c r="U148" s="144"/>
      <c r="V148" s="144"/>
      <c r="W148" s="144"/>
      <c r="X148" s="144"/>
      <c r="Y148" s="144"/>
      <c r="Z148" s="144"/>
      <c r="AA148" s="144"/>
      <c r="AB148" s="144"/>
      <c r="AC148" s="135"/>
      <c r="AD148" s="129" t="s">
        <v>6766</v>
      </c>
      <c r="AE148" s="129" t="s">
        <v>2304</v>
      </c>
      <c r="AF148" s="130">
        <v>1</v>
      </c>
      <c r="AG148" s="129" t="s">
        <v>7389</v>
      </c>
      <c r="AH148" s="130">
        <v>64.31</v>
      </c>
      <c r="AI148" s="130">
        <v>64.31</v>
      </c>
    </row>
    <row r="149" spans="1:35" ht="10.5" customHeight="1" x14ac:dyDescent="0.2">
      <c r="A149" s="117" t="s">
        <v>5459</v>
      </c>
      <c r="B149" s="117" t="s">
        <v>5459</v>
      </c>
      <c r="C149" s="128" t="s">
        <v>5459</v>
      </c>
      <c r="D149" s="133" t="s">
        <v>236</v>
      </c>
      <c r="E149" s="138" t="str">
        <f>+INDEX(F149:AB149,1,[3]BOD!$I$2-1)</f>
        <v/>
      </c>
      <c r="F149" s="140" t="s">
        <v>5459</v>
      </c>
      <c r="G149" s="144"/>
      <c r="H149" s="144" t="str">
        <f t="shared" si="2"/>
        <v/>
      </c>
      <c r="I149" s="144" t="str">
        <f t="shared" si="2"/>
        <v/>
      </c>
      <c r="J149" s="144"/>
      <c r="K149" s="144"/>
      <c r="L149" s="144"/>
      <c r="M149" s="144"/>
      <c r="N149" s="144"/>
      <c r="O149" s="144"/>
      <c r="P149" s="144"/>
      <c r="Q149" s="144"/>
      <c r="R149" s="144"/>
      <c r="S149" s="144"/>
      <c r="T149" s="144"/>
      <c r="U149" s="144"/>
      <c r="V149" s="144"/>
      <c r="W149" s="144"/>
      <c r="X149" s="144"/>
      <c r="Y149" s="144"/>
      <c r="Z149" s="144"/>
      <c r="AA149" s="144"/>
      <c r="AB149" s="144"/>
      <c r="AC149" s="135"/>
      <c r="AD149" s="129" t="s">
        <v>5459</v>
      </c>
      <c r="AE149" s="129" t="s">
        <v>5459</v>
      </c>
      <c r="AF149" s="130" t="s">
        <v>5459</v>
      </c>
      <c r="AG149" s="129" t="s">
        <v>236</v>
      </c>
      <c r="AH149" s="130" t="s">
        <v>5459</v>
      </c>
      <c r="AI149" s="130" t="s">
        <v>5459</v>
      </c>
    </row>
    <row r="150" spans="1:35" ht="10.5" customHeight="1" x14ac:dyDescent="0.2">
      <c r="A150" s="117" t="s">
        <v>5378</v>
      </c>
      <c r="B150" s="117" t="s">
        <v>2282</v>
      </c>
      <c r="C150" s="128">
        <v>1</v>
      </c>
      <c r="D150" s="133" t="s">
        <v>4699</v>
      </c>
      <c r="E150" s="138">
        <f>+INDEX(F150:AB150,1,[3]BOD!$I$2-1)</f>
        <v>1200</v>
      </c>
      <c r="F150" s="140">
        <v>1200</v>
      </c>
      <c r="G150" s="144"/>
      <c r="H150" s="144">
        <f t="shared" si="2"/>
        <v>6000</v>
      </c>
      <c r="I150" s="144">
        <f t="shared" si="2"/>
        <v>6000</v>
      </c>
      <c r="J150" s="144"/>
      <c r="K150" s="144"/>
      <c r="L150" s="144"/>
      <c r="M150" s="144"/>
      <c r="N150" s="144"/>
      <c r="O150" s="144"/>
      <c r="P150" s="144"/>
      <c r="Q150" s="144"/>
      <c r="R150" s="144"/>
      <c r="S150" s="144"/>
      <c r="T150" s="144"/>
      <c r="U150" s="144"/>
      <c r="V150" s="144"/>
      <c r="W150" s="144"/>
      <c r="X150" s="144"/>
      <c r="Y150" s="144"/>
      <c r="Z150" s="144"/>
      <c r="AA150" s="144"/>
      <c r="AB150" s="144"/>
      <c r="AC150" s="135"/>
      <c r="AD150" s="129" t="s">
        <v>6767</v>
      </c>
      <c r="AE150" s="129" t="s">
        <v>2305</v>
      </c>
      <c r="AF150" s="130">
        <v>1</v>
      </c>
      <c r="AG150" s="129" t="s">
        <v>7389</v>
      </c>
      <c r="AH150" s="130">
        <v>90.33</v>
      </c>
      <c r="AI150" s="130">
        <v>90.33</v>
      </c>
    </row>
    <row r="151" spans="1:35" ht="10.5" customHeight="1" x14ac:dyDescent="0.2">
      <c r="A151" s="117" t="s">
        <v>5459</v>
      </c>
      <c r="B151" s="117" t="s">
        <v>5459</v>
      </c>
      <c r="C151" s="128" t="s">
        <v>5459</v>
      </c>
      <c r="D151" s="133" t="s">
        <v>236</v>
      </c>
      <c r="E151" s="138" t="str">
        <f>+INDEX(F151:AB151,1,[3]BOD!$I$2-1)</f>
        <v/>
      </c>
      <c r="F151" s="140" t="s">
        <v>5459</v>
      </c>
      <c r="G151" s="144"/>
      <c r="H151" s="144" t="str">
        <f t="shared" si="2"/>
        <v/>
      </c>
      <c r="I151" s="144" t="str">
        <f t="shared" si="2"/>
        <v/>
      </c>
      <c r="J151" s="144"/>
      <c r="K151" s="144"/>
      <c r="L151" s="144"/>
      <c r="M151" s="144"/>
      <c r="N151" s="144"/>
      <c r="O151" s="144"/>
      <c r="P151" s="144"/>
      <c r="Q151" s="144"/>
      <c r="R151" s="144"/>
      <c r="S151" s="144"/>
      <c r="T151" s="144"/>
      <c r="U151" s="144"/>
      <c r="V151" s="144"/>
      <c r="W151" s="144"/>
      <c r="X151" s="144"/>
      <c r="Y151" s="144"/>
      <c r="Z151" s="144"/>
      <c r="AA151" s="144"/>
      <c r="AB151" s="144"/>
      <c r="AC151" s="135"/>
      <c r="AD151" s="129" t="s">
        <v>5459</v>
      </c>
      <c r="AE151" s="129" t="s">
        <v>5459</v>
      </c>
      <c r="AF151" s="130" t="s">
        <v>5459</v>
      </c>
      <c r="AG151" s="129" t="s">
        <v>236</v>
      </c>
      <c r="AH151" s="130" t="s">
        <v>5459</v>
      </c>
      <c r="AI151" s="130" t="s">
        <v>5459</v>
      </c>
    </row>
    <row r="152" spans="1:35" ht="10.5" customHeight="1" x14ac:dyDescent="0.2">
      <c r="A152" s="117" t="s">
        <v>5379</v>
      </c>
      <c r="B152" s="117" t="s">
        <v>2283</v>
      </c>
      <c r="C152" s="128">
        <v>1</v>
      </c>
      <c r="D152" s="133" t="s">
        <v>4699</v>
      </c>
      <c r="E152" s="138">
        <f>+INDEX(F152:AB152,1,[3]BOD!$I$2-1)</f>
        <v>1200</v>
      </c>
      <c r="F152" s="140">
        <v>1200</v>
      </c>
      <c r="G152" s="144"/>
      <c r="H152" s="144">
        <f t="shared" si="2"/>
        <v>6000</v>
      </c>
      <c r="I152" s="144">
        <f t="shared" si="2"/>
        <v>6000</v>
      </c>
      <c r="J152" s="144"/>
      <c r="K152" s="144"/>
      <c r="L152" s="144"/>
      <c r="M152" s="144"/>
      <c r="N152" s="144"/>
      <c r="O152" s="144"/>
      <c r="P152" s="144"/>
      <c r="Q152" s="144"/>
      <c r="R152" s="144"/>
      <c r="S152" s="144"/>
      <c r="T152" s="144"/>
      <c r="U152" s="144"/>
      <c r="V152" s="144"/>
      <c r="W152" s="144"/>
      <c r="X152" s="144"/>
      <c r="Y152" s="144"/>
      <c r="Z152" s="144"/>
      <c r="AA152" s="144"/>
      <c r="AB152" s="144"/>
      <c r="AC152" s="135"/>
      <c r="AD152" s="129" t="s">
        <v>6768</v>
      </c>
      <c r="AE152" s="129" t="s">
        <v>2306</v>
      </c>
      <c r="AF152" s="130">
        <v>1</v>
      </c>
      <c r="AG152" s="129" t="s">
        <v>7389</v>
      </c>
      <c r="AH152" s="130">
        <v>60.93</v>
      </c>
      <c r="AI152" s="130">
        <v>60.93</v>
      </c>
    </row>
    <row r="153" spans="1:35" ht="10.5" customHeight="1" x14ac:dyDescent="0.2">
      <c r="A153" s="117" t="s">
        <v>5459</v>
      </c>
      <c r="B153" s="117" t="s">
        <v>5459</v>
      </c>
      <c r="C153" s="128" t="s">
        <v>5459</v>
      </c>
      <c r="D153" s="133" t="s">
        <v>236</v>
      </c>
      <c r="E153" s="138" t="str">
        <f>+INDEX(F153:AB153,1,[3]BOD!$I$2-1)</f>
        <v/>
      </c>
      <c r="F153" s="140" t="s">
        <v>5459</v>
      </c>
      <c r="G153" s="144"/>
      <c r="H153" s="144" t="str">
        <f t="shared" si="2"/>
        <v/>
      </c>
      <c r="I153" s="144" t="str">
        <f t="shared" si="2"/>
        <v/>
      </c>
      <c r="J153" s="144"/>
      <c r="K153" s="144"/>
      <c r="L153" s="144"/>
      <c r="M153" s="144"/>
      <c r="N153" s="144"/>
      <c r="O153" s="144"/>
      <c r="P153" s="144"/>
      <c r="Q153" s="144"/>
      <c r="R153" s="144"/>
      <c r="S153" s="144"/>
      <c r="T153" s="144"/>
      <c r="U153" s="144"/>
      <c r="V153" s="144"/>
      <c r="W153" s="144"/>
      <c r="X153" s="144"/>
      <c r="Y153" s="144"/>
      <c r="Z153" s="144"/>
      <c r="AA153" s="144"/>
      <c r="AB153" s="144"/>
      <c r="AC153" s="135"/>
      <c r="AD153" s="129" t="s">
        <v>5459</v>
      </c>
      <c r="AE153" s="129" t="s">
        <v>5459</v>
      </c>
      <c r="AF153" s="130" t="s">
        <v>5459</v>
      </c>
      <c r="AG153" s="129" t="s">
        <v>236</v>
      </c>
      <c r="AH153" s="130" t="s">
        <v>5459</v>
      </c>
      <c r="AI153" s="130" t="s">
        <v>5459</v>
      </c>
    </row>
    <row r="154" spans="1:35" ht="10.5" customHeight="1" x14ac:dyDescent="0.2">
      <c r="A154" s="117" t="s">
        <v>8010</v>
      </c>
      <c r="B154" s="117" t="s">
        <v>2298</v>
      </c>
      <c r="C154" s="128">
        <v>1</v>
      </c>
      <c r="D154" s="133" t="s">
        <v>4699</v>
      </c>
      <c r="E154" s="138">
        <f>+INDEX(F154:AB154,1,[3]BOD!$I$2-1)</f>
        <v>1200</v>
      </c>
      <c r="F154" s="140">
        <v>1200</v>
      </c>
      <c r="G154" s="144"/>
      <c r="H154" s="144">
        <f t="shared" si="2"/>
        <v>6000</v>
      </c>
      <c r="I154" s="144">
        <f t="shared" si="2"/>
        <v>6000</v>
      </c>
      <c r="J154" s="144"/>
      <c r="K154" s="144"/>
      <c r="L154" s="144"/>
      <c r="M154" s="144"/>
      <c r="N154" s="144"/>
      <c r="O154" s="144"/>
      <c r="P154" s="144"/>
      <c r="Q154" s="144"/>
      <c r="R154" s="144"/>
      <c r="S154" s="144"/>
      <c r="T154" s="144"/>
      <c r="U154" s="144"/>
      <c r="V154" s="144"/>
      <c r="W154" s="144"/>
      <c r="X154" s="144"/>
      <c r="Y154" s="144"/>
      <c r="Z154" s="144"/>
      <c r="AA154" s="144"/>
      <c r="AB154" s="144"/>
      <c r="AC154" s="135"/>
      <c r="AD154" s="129" t="s">
        <v>1514</v>
      </c>
      <c r="AE154" s="129" t="s">
        <v>2307</v>
      </c>
      <c r="AF154" s="130">
        <v>1</v>
      </c>
      <c r="AG154" s="129" t="s">
        <v>7389</v>
      </c>
      <c r="AH154" s="130">
        <v>66.23</v>
      </c>
      <c r="AI154" s="130">
        <v>66.23</v>
      </c>
    </row>
    <row r="155" spans="1:35" ht="10.5" customHeight="1" x14ac:dyDescent="0.2">
      <c r="A155" s="117" t="s">
        <v>5459</v>
      </c>
      <c r="B155" s="117" t="s">
        <v>5459</v>
      </c>
      <c r="C155" s="128" t="s">
        <v>5459</v>
      </c>
      <c r="D155" s="133" t="s">
        <v>236</v>
      </c>
      <c r="E155" s="138" t="str">
        <f>+INDEX(F155:AB155,1,[3]BOD!$I$2-1)</f>
        <v/>
      </c>
      <c r="F155" s="140" t="s">
        <v>5459</v>
      </c>
      <c r="G155" s="144"/>
      <c r="H155" s="144" t="str">
        <f t="shared" si="2"/>
        <v/>
      </c>
      <c r="I155" s="144" t="str">
        <f t="shared" si="2"/>
        <v/>
      </c>
      <c r="J155" s="144"/>
      <c r="K155" s="144"/>
      <c r="L155" s="144"/>
      <c r="M155" s="144"/>
      <c r="N155" s="144"/>
      <c r="O155" s="144"/>
      <c r="P155" s="144"/>
      <c r="Q155" s="144"/>
      <c r="R155" s="144"/>
      <c r="S155" s="144"/>
      <c r="T155" s="144"/>
      <c r="U155" s="144"/>
      <c r="V155" s="144"/>
      <c r="W155" s="144"/>
      <c r="X155" s="144"/>
      <c r="Y155" s="144"/>
      <c r="Z155" s="144"/>
      <c r="AA155" s="144"/>
      <c r="AB155" s="144"/>
      <c r="AC155" s="135"/>
      <c r="AD155" s="129" t="s">
        <v>5459</v>
      </c>
      <c r="AE155" s="129" t="s">
        <v>5459</v>
      </c>
      <c r="AF155" s="130" t="s">
        <v>5459</v>
      </c>
      <c r="AG155" s="129" t="s">
        <v>236</v>
      </c>
      <c r="AH155" s="130" t="s">
        <v>5459</v>
      </c>
      <c r="AI155" s="130" t="s">
        <v>5459</v>
      </c>
    </row>
    <row r="156" spans="1:35" ht="10.5" customHeight="1" x14ac:dyDescent="0.2">
      <c r="A156" s="117" t="s">
        <v>8011</v>
      </c>
      <c r="B156" s="117" t="s">
        <v>2299</v>
      </c>
      <c r="C156" s="128">
        <v>1</v>
      </c>
      <c r="D156" s="133" t="s">
        <v>4699</v>
      </c>
      <c r="E156" s="138">
        <f>+INDEX(F156:AB156,1,[3]BOD!$I$2-1)</f>
        <v>1200</v>
      </c>
      <c r="F156" s="140">
        <v>1200</v>
      </c>
      <c r="G156" s="144"/>
      <c r="H156" s="144">
        <f t="shared" si="2"/>
        <v>6000</v>
      </c>
      <c r="I156" s="144">
        <f t="shared" si="2"/>
        <v>6000</v>
      </c>
      <c r="J156" s="144"/>
      <c r="K156" s="144"/>
      <c r="L156" s="144"/>
      <c r="M156" s="144"/>
      <c r="N156" s="144"/>
      <c r="O156" s="144"/>
      <c r="P156" s="144"/>
      <c r="Q156" s="144"/>
      <c r="R156" s="144"/>
      <c r="S156" s="144"/>
      <c r="T156" s="144"/>
      <c r="U156" s="144"/>
      <c r="V156" s="144"/>
      <c r="W156" s="144"/>
      <c r="X156" s="144"/>
      <c r="Y156" s="144"/>
      <c r="Z156" s="144"/>
      <c r="AA156" s="144"/>
      <c r="AB156" s="144"/>
      <c r="AC156" s="135"/>
      <c r="AD156" s="129" t="s">
        <v>1515</v>
      </c>
      <c r="AE156" s="129" t="s">
        <v>2308</v>
      </c>
      <c r="AF156" s="130">
        <v>1</v>
      </c>
      <c r="AG156" s="129" t="s">
        <v>7389</v>
      </c>
      <c r="AH156" s="130">
        <v>79.31</v>
      </c>
      <c r="AI156" s="130">
        <v>79.31</v>
      </c>
    </row>
    <row r="157" spans="1:35" ht="10.5" customHeight="1" x14ac:dyDescent="0.2">
      <c r="A157" s="117" t="s">
        <v>5459</v>
      </c>
      <c r="B157" s="117" t="s">
        <v>5459</v>
      </c>
      <c r="C157" s="128" t="s">
        <v>5459</v>
      </c>
      <c r="D157" s="133" t="s">
        <v>236</v>
      </c>
      <c r="E157" s="138" t="str">
        <f>+INDEX(F157:AB157,1,[3]BOD!$I$2-1)</f>
        <v/>
      </c>
      <c r="F157" s="140" t="s">
        <v>5459</v>
      </c>
      <c r="G157" s="144"/>
      <c r="H157" s="144" t="str">
        <f t="shared" si="2"/>
        <v/>
      </c>
      <c r="I157" s="144" t="str">
        <f t="shared" si="2"/>
        <v/>
      </c>
      <c r="J157" s="144"/>
      <c r="K157" s="144"/>
      <c r="L157" s="144"/>
      <c r="M157" s="144"/>
      <c r="N157" s="144"/>
      <c r="O157" s="144"/>
      <c r="P157" s="144"/>
      <c r="Q157" s="144"/>
      <c r="R157" s="144"/>
      <c r="S157" s="144"/>
      <c r="T157" s="144"/>
      <c r="U157" s="144"/>
      <c r="V157" s="144"/>
      <c r="W157" s="144"/>
      <c r="X157" s="144"/>
      <c r="Y157" s="144"/>
      <c r="Z157" s="144"/>
      <c r="AA157" s="144"/>
      <c r="AB157" s="144"/>
      <c r="AC157" s="135"/>
      <c r="AD157" s="129" t="s">
        <v>5459</v>
      </c>
      <c r="AE157" s="129" t="s">
        <v>5459</v>
      </c>
      <c r="AF157" s="130" t="s">
        <v>5459</v>
      </c>
      <c r="AG157" s="129" t="s">
        <v>236</v>
      </c>
      <c r="AH157" s="130" t="s">
        <v>5459</v>
      </c>
      <c r="AI157" s="130" t="s">
        <v>5459</v>
      </c>
    </row>
    <row r="158" spans="1:35" ht="10.5" customHeight="1" x14ac:dyDescent="0.2">
      <c r="A158" s="115" t="s">
        <v>8012</v>
      </c>
      <c r="B158" s="117" t="s">
        <v>2289</v>
      </c>
      <c r="C158" s="128">
        <v>1</v>
      </c>
      <c r="D158" s="133" t="s">
        <v>4699</v>
      </c>
      <c r="E158" s="138">
        <f>+INDEX(F158:AB158,1,[3]BOD!$I$2-1)</f>
        <v>400</v>
      </c>
      <c r="F158" s="140">
        <v>400</v>
      </c>
      <c r="G158" s="144"/>
      <c r="H158" s="144">
        <f t="shared" si="2"/>
        <v>2000</v>
      </c>
      <c r="I158" s="144">
        <f t="shared" si="2"/>
        <v>2000</v>
      </c>
      <c r="J158" s="144"/>
      <c r="K158" s="144"/>
      <c r="L158" s="144"/>
      <c r="M158" s="144"/>
      <c r="N158" s="144"/>
      <c r="O158" s="144"/>
      <c r="P158" s="144"/>
      <c r="Q158" s="144"/>
      <c r="R158" s="144"/>
      <c r="S158" s="144"/>
      <c r="T158" s="144"/>
      <c r="U158" s="144"/>
      <c r="V158" s="144"/>
      <c r="W158" s="144"/>
      <c r="X158" s="144"/>
      <c r="Y158" s="144"/>
      <c r="Z158" s="144"/>
      <c r="AA158" s="144"/>
      <c r="AB158" s="144"/>
      <c r="AC158" s="135"/>
      <c r="AD158" s="129" t="s">
        <v>2096</v>
      </c>
      <c r="AE158" s="129" t="s">
        <v>2309</v>
      </c>
      <c r="AF158" s="130">
        <v>1</v>
      </c>
      <c r="AG158" s="129" t="s">
        <v>7389</v>
      </c>
      <c r="AH158" s="130">
        <v>105.33</v>
      </c>
      <c r="AI158" s="130">
        <v>105.33</v>
      </c>
    </row>
    <row r="159" spans="1:35" ht="10.5" customHeight="1" x14ac:dyDescent="0.2">
      <c r="A159" s="117" t="s">
        <v>5459</v>
      </c>
      <c r="B159" s="117" t="s">
        <v>5459</v>
      </c>
      <c r="C159" s="128" t="s">
        <v>5459</v>
      </c>
      <c r="D159" s="133" t="s">
        <v>236</v>
      </c>
      <c r="E159" s="138" t="str">
        <f>+INDEX(F159:AB159,1,[3]BOD!$I$2-1)</f>
        <v/>
      </c>
      <c r="F159" s="140" t="s">
        <v>5459</v>
      </c>
      <c r="G159" s="144"/>
      <c r="H159" s="144" t="str">
        <f t="shared" si="2"/>
        <v/>
      </c>
      <c r="I159" s="144" t="str">
        <f t="shared" si="2"/>
        <v/>
      </c>
      <c r="J159" s="144"/>
      <c r="K159" s="144"/>
      <c r="L159" s="144"/>
      <c r="M159" s="144"/>
      <c r="N159" s="144"/>
      <c r="O159" s="144"/>
      <c r="P159" s="144"/>
      <c r="Q159" s="144"/>
      <c r="R159" s="144"/>
      <c r="S159" s="144"/>
      <c r="T159" s="144"/>
      <c r="U159" s="144"/>
      <c r="V159" s="144"/>
      <c r="W159" s="144"/>
      <c r="X159" s="144"/>
      <c r="Y159" s="144"/>
      <c r="Z159" s="144"/>
      <c r="AA159" s="144"/>
      <c r="AB159" s="144"/>
      <c r="AC159" s="135"/>
      <c r="AD159" s="129" t="s">
        <v>5459</v>
      </c>
      <c r="AE159" s="129" t="s">
        <v>5459</v>
      </c>
      <c r="AF159" s="130" t="s">
        <v>5459</v>
      </c>
      <c r="AG159" s="129" t="s">
        <v>236</v>
      </c>
      <c r="AH159" s="130" t="s">
        <v>5459</v>
      </c>
      <c r="AI159" s="130" t="s">
        <v>5459</v>
      </c>
    </row>
    <row r="160" spans="1:35" ht="10.5" customHeight="1" x14ac:dyDescent="0.2">
      <c r="A160" s="117" t="s">
        <v>8013</v>
      </c>
      <c r="B160" s="117" t="s">
        <v>2284</v>
      </c>
      <c r="C160" s="128"/>
      <c r="D160" s="133"/>
      <c r="E160" s="138"/>
      <c r="F160" s="140"/>
      <c r="G160" s="144"/>
      <c r="H160" s="144" t="str">
        <f t="shared" si="2"/>
        <v/>
      </c>
      <c r="I160" s="144" t="str">
        <f t="shared" si="2"/>
        <v/>
      </c>
      <c r="J160" s="144"/>
      <c r="K160" s="144"/>
      <c r="L160" s="144"/>
      <c r="M160" s="144"/>
      <c r="N160" s="144"/>
      <c r="O160" s="144"/>
      <c r="P160" s="144"/>
      <c r="Q160" s="144"/>
      <c r="R160" s="144"/>
      <c r="S160" s="144"/>
      <c r="T160" s="144"/>
      <c r="U160" s="144"/>
      <c r="V160" s="144"/>
      <c r="W160" s="144"/>
      <c r="X160" s="144"/>
      <c r="Y160" s="144"/>
      <c r="Z160" s="144"/>
      <c r="AA160" s="144"/>
      <c r="AB160" s="144"/>
      <c r="AC160" s="135"/>
      <c r="AD160" s="129" t="s">
        <v>2097</v>
      </c>
      <c r="AE160" s="129" t="s">
        <v>2314</v>
      </c>
      <c r="AF160" s="130">
        <v>1</v>
      </c>
      <c r="AG160" s="129" t="s">
        <v>7389</v>
      </c>
      <c r="AH160" s="130">
        <v>137.85</v>
      </c>
      <c r="AI160" s="130">
        <v>137.85</v>
      </c>
    </row>
    <row r="161" spans="1:35" ht="10.5" customHeight="1" x14ac:dyDescent="0.2">
      <c r="A161" s="115" t="s">
        <v>5085</v>
      </c>
      <c r="B161" s="117" t="s">
        <v>2293</v>
      </c>
      <c r="C161" s="128">
        <v>1</v>
      </c>
      <c r="D161" s="133" t="s">
        <v>5086</v>
      </c>
      <c r="E161" s="138">
        <f>+INDEX(F161:AB161,1,[3]BOD!$I$2-1)</f>
        <v>280</v>
      </c>
      <c r="F161" s="140">
        <v>280</v>
      </c>
      <c r="G161" s="144"/>
      <c r="H161" s="144">
        <f t="shared" si="2"/>
        <v>1400</v>
      </c>
      <c r="I161" s="144">
        <f t="shared" si="2"/>
        <v>1400</v>
      </c>
      <c r="J161" s="144"/>
      <c r="K161" s="144"/>
      <c r="L161" s="144"/>
      <c r="M161" s="144"/>
      <c r="N161" s="144"/>
      <c r="O161" s="144"/>
      <c r="P161" s="144"/>
      <c r="Q161" s="144"/>
      <c r="R161" s="144"/>
      <c r="S161" s="144"/>
      <c r="T161" s="144"/>
      <c r="U161" s="144"/>
      <c r="V161" s="144"/>
      <c r="W161" s="144"/>
      <c r="X161" s="144"/>
      <c r="Y161" s="144"/>
      <c r="Z161" s="144"/>
      <c r="AA161" s="144"/>
      <c r="AB161" s="144"/>
      <c r="AC161" s="135"/>
      <c r="AD161" s="129" t="s">
        <v>5459</v>
      </c>
      <c r="AE161" s="129" t="s">
        <v>5459</v>
      </c>
      <c r="AF161" s="130" t="s">
        <v>5459</v>
      </c>
      <c r="AG161" s="129" t="s">
        <v>236</v>
      </c>
      <c r="AH161" s="130" t="s">
        <v>5459</v>
      </c>
      <c r="AI161" s="130" t="s">
        <v>5459</v>
      </c>
    </row>
    <row r="162" spans="1:35" ht="10.5" customHeight="1" x14ac:dyDescent="0.2">
      <c r="A162" s="117" t="s">
        <v>5459</v>
      </c>
      <c r="B162" s="117" t="s">
        <v>5459</v>
      </c>
      <c r="C162" s="128" t="s">
        <v>5459</v>
      </c>
      <c r="D162" s="133" t="s">
        <v>236</v>
      </c>
      <c r="E162" s="138" t="str">
        <f>+INDEX(F162:AB162,1,[3]BOD!$I$2-1)</f>
        <v/>
      </c>
      <c r="F162" s="140" t="s">
        <v>5459</v>
      </c>
      <c r="G162" s="144"/>
      <c r="H162" s="144" t="str">
        <f t="shared" si="2"/>
        <v/>
      </c>
      <c r="I162" s="144" t="str">
        <f t="shared" si="2"/>
        <v/>
      </c>
      <c r="J162" s="144"/>
      <c r="K162" s="144"/>
      <c r="L162" s="144"/>
      <c r="M162" s="144"/>
      <c r="N162" s="144"/>
      <c r="O162" s="144"/>
      <c r="P162" s="144"/>
      <c r="Q162" s="144"/>
      <c r="R162" s="144"/>
      <c r="S162" s="144"/>
      <c r="T162" s="144"/>
      <c r="U162" s="144"/>
      <c r="V162" s="144"/>
      <c r="W162" s="144"/>
      <c r="X162" s="144"/>
      <c r="Y162" s="144"/>
      <c r="Z162" s="144"/>
      <c r="AA162" s="144"/>
      <c r="AB162" s="144"/>
      <c r="AC162" s="135"/>
      <c r="AD162" s="129" t="s">
        <v>2098</v>
      </c>
      <c r="AE162" s="129" t="s">
        <v>2315</v>
      </c>
      <c r="AF162" s="130">
        <v>1</v>
      </c>
      <c r="AG162" s="129" t="s">
        <v>7389</v>
      </c>
      <c r="AH162" s="130">
        <v>161.94999999999999</v>
      </c>
      <c r="AI162" s="130">
        <v>161.94999999999999</v>
      </c>
    </row>
    <row r="163" spans="1:35" ht="10.5" customHeight="1" x14ac:dyDescent="0.2">
      <c r="A163" s="117" t="s">
        <v>5087</v>
      </c>
      <c r="B163" s="117" t="s">
        <v>2294</v>
      </c>
      <c r="C163" s="128">
        <v>1</v>
      </c>
      <c r="D163" s="133" t="s">
        <v>4699</v>
      </c>
      <c r="E163" s="138">
        <f>+INDEX(F163:AB163,1,[3]BOD!$I$2-1)</f>
        <v>1100</v>
      </c>
      <c r="F163" s="140">
        <v>1100</v>
      </c>
      <c r="G163" s="144"/>
      <c r="H163" s="144">
        <f t="shared" si="2"/>
        <v>5500</v>
      </c>
      <c r="I163" s="144">
        <f t="shared" si="2"/>
        <v>5500</v>
      </c>
      <c r="J163" s="144"/>
      <c r="K163" s="144"/>
      <c r="L163" s="144"/>
      <c r="M163" s="144"/>
      <c r="N163" s="144"/>
      <c r="O163" s="144"/>
      <c r="P163" s="144"/>
      <c r="Q163" s="144"/>
      <c r="R163" s="144"/>
      <c r="S163" s="144"/>
      <c r="T163" s="144"/>
      <c r="U163" s="144"/>
      <c r="V163" s="144"/>
      <c r="W163" s="144"/>
      <c r="X163" s="144"/>
      <c r="Y163" s="144"/>
      <c r="Z163" s="144"/>
      <c r="AA163" s="144"/>
      <c r="AB163" s="144"/>
      <c r="AC163" s="135"/>
      <c r="AD163" s="129" t="s">
        <v>5459</v>
      </c>
      <c r="AE163" s="129" t="s">
        <v>5459</v>
      </c>
      <c r="AF163" s="130" t="s">
        <v>5459</v>
      </c>
      <c r="AG163" s="129" t="s">
        <v>236</v>
      </c>
      <c r="AH163" s="130" t="s">
        <v>5459</v>
      </c>
      <c r="AI163" s="130" t="s">
        <v>5459</v>
      </c>
    </row>
    <row r="164" spans="1:35" ht="10.5" customHeight="1" x14ac:dyDescent="0.2">
      <c r="A164" s="117" t="s">
        <v>5459</v>
      </c>
      <c r="B164" s="117" t="s">
        <v>5459</v>
      </c>
      <c r="C164" s="128" t="s">
        <v>5459</v>
      </c>
      <c r="D164" s="133" t="s">
        <v>236</v>
      </c>
      <c r="E164" s="138" t="str">
        <f>+INDEX(F164:AB164,1,[3]BOD!$I$2-1)</f>
        <v/>
      </c>
      <c r="F164" s="140" t="s">
        <v>5459</v>
      </c>
      <c r="G164" s="144"/>
      <c r="H164" s="144" t="str">
        <f t="shared" si="2"/>
        <v/>
      </c>
      <c r="I164" s="144" t="str">
        <f t="shared" si="2"/>
        <v/>
      </c>
      <c r="J164" s="144"/>
      <c r="K164" s="144"/>
      <c r="L164" s="144"/>
      <c r="M164" s="144"/>
      <c r="N164" s="144"/>
      <c r="O164" s="144"/>
      <c r="P164" s="144"/>
      <c r="Q164" s="144"/>
      <c r="R164" s="144"/>
      <c r="S164" s="144"/>
      <c r="T164" s="144"/>
      <c r="U164" s="144"/>
      <c r="V164" s="144"/>
      <c r="W164" s="144"/>
      <c r="X164" s="144"/>
      <c r="Y164" s="144"/>
      <c r="Z164" s="144"/>
      <c r="AA164" s="144"/>
      <c r="AB164" s="144"/>
      <c r="AC164" s="135"/>
      <c r="AD164" s="129" t="s">
        <v>2099</v>
      </c>
      <c r="AE164" s="129" t="s">
        <v>2316</v>
      </c>
      <c r="AF164" s="130">
        <v>1</v>
      </c>
      <c r="AG164" s="129" t="s">
        <v>7389</v>
      </c>
      <c r="AH164" s="130">
        <v>224.72</v>
      </c>
      <c r="AI164" s="130">
        <v>224.72</v>
      </c>
    </row>
    <row r="165" spans="1:35" ht="10.5" customHeight="1" x14ac:dyDescent="0.2">
      <c r="A165" s="115" t="s">
        <v>8184</v>
      </c>
      <c r="B165" s="117" t="s">
        <v>2295</v>
      </c>
      <c r="C165" s="128">
        <v>1</v>
      </c>
      <c r="D165" s="133" t="s">
        <v>5086</v>
      </c>
      <c r="E165" s="138">
        <f>+INDEX(F165:AB165,1,[3]BOD!$I$2-1)</f>
        <v>90</v>
      </c>
      <c r="F165" s="140">
        <v>90</v>
      </c>
      <c r="G165" s="144"/>
      <c r="H165" s="144">
        <f t="shared" si="2"/>
        <v>450</v>
      </c>
      <c r="I165" s="144">
        <f t="shared" si="2"/>
        <v>450</v>
      </c>
      <c r="J165" s="144"/>
      <c r="K165" s="144"/>
      <c r="L165" s="144"/>
      <c r="M165" s="144"/>
      <c r="N165" s="144"/>
      <c r="O165" s="144"/>
      <c r="P165" s="144"/>
      <c r="Q165" s="144"/>
      <c r="R165" s="144"/>
      <c r="S165" s="144"/>
      <c r="T165" s="144"/>
      <c r="U165" s="144"/>
      <c r="V165" s="144"/>
      <c r="W165" s="144"/>
      <c r="X165" s="144"/>
      <c r="Y165" s="144"/>
      <c r="Z165" s="144"/>
      <c r="AA165" s="144"/>
      <c r="AB165" s="144"/>
      <c r="AC165" s="135"/>
      <c r="AD165" s="129" t="s">
        <v>5459</v>
      </c>
      <c r="AE165" s="129" t="s">
        <v>5459</v>
      </c>
      <c r="AF165" s="130" t="s">
        <v>5459</v>
      </c>
      <c r="AG165" s="129" t="s">
        <v>236</v>
      </c>
      <c r="AH165" s="130" t="s">
        <v>5459</v>
      </c>
      <c r="AI165" s="130" t="s">
        <v>5459</v>
      </c>
    </row>
    <row r="166" spans="1:35" ht="10.5" customHeight="1" x14ac:dyDescent="0.2">
      <c r="A166" s="117" t="s">
        <v>5459</v>
      </c>
      <c r="B166" s="117" t="s">
        <v>5459</v>
      </c>
      <c r="C166" s="128" t="s">
        <v>5459</v>
      </c>
      <c r="D166" s="133" t="s">
        <v>236</v>
      </c>
      <c r="E166" s="138" t="str">
        <f>+INDEX(F166:AB166,1,[3]BOD!$I$2-1)</f>
        <v/>
      </c>
      <c r="F166" s="140" t="s">
        <v>5459</v>
      </c>
      <c r="G166" s="144"/>
      <c r="H166" s="144" t="str">
        <f t="shared" si="2"/>
        <v/>
      </c>
      <c r="I166" s="144" t="str">
        <f t="shared" si="2"/>
        <v/>
      </c>
      <c r="J166" s="144"/>
      <c r="K166" s="144"/>
      <c r="L166" s="144"/>
      <c r="M166" s="144"/>
      <c r="N166" s="144"/>
      <c r="O166" s="144"/>
      <c r="P166" s="144"/>
      <c r="Q166" s="144"/>
      <c r="R166" s="144"/>
      <c r="S166" s="144"/>
      <c r="T166" s="144"/>
      <c r="U166" s="144"/>
      <c r="V166" s="144"/>
      <c r="W166" s="144"/>
      <c r="X166" s="144"/>
      <c r="Y166" s="144"/>
      <c r="Z166" s="144"/>
      <c r="AA166" s="144"/>
      <c r="AB166" s="144"/>
      <c r="AC166" s="135"/>
      <c r="AD166" s="129" t="s">
        <v>2100</v>
      </c>
      <c r="AE166" s="129" t="s">
        <v>2332</v>
      </c>
      <c r="AF166" s="130">
        <v>1</v>
      </c>
      <c r="AG166" s="129" t="s">
        <v>7389</v>
      </c>
      <c r="AH166" s="130">
        <v>47.23</v>
      </c>
      <c r="AI166" s="130">
        <v>47.23</v>
      </c>
    </row>
    <row r="167" spans="1:35" ht="10.5" customHeight="1" x14ac:dyDescent="0.2">
      <c r="A167" s="117" t="s">
        <v>8185</v>
      </c>
      <c r="B167" s="117" t="s">
        <v>2300</v>
      </c>
      <c r="C167" s="128"/>
      <c r="D167" s="133"/>
      <c r="E167" s="138"/>
      <c r="F167" s="140"/>
      <c r="G167" s="144"/>
      <c r="H167" s="144" t="str">
        <f t="shared" si="2"/>
        <v/>
      </c>
      <c r="I167" s="144" t="str">
        <f t="shared" si="2"/>
        <v/>
      </c>
      <c r="J167" s="144"/>
      <c r="K167" s="144"/>
      <c r="L167" s="144"/>
      <c r="M167" s="144"/>
      <c r="N167" s="144"/>
      <c r="O167" s="144"/>
      <c r="P167" s="144"/>
      <c r="Q167" s="144"/>
      <c r="R167" s="144"/>
      <c r="S167" s="144"/>
      <c r="T167" s="144"/>
      <c r="U167" s="144"/>
      <c r="V167" s="144"/>
      <c r="W167" s="144"/>
      <c r="X167" s="144"/>
      <c r="Y167" s="144"/>
      <c r="Z167" s="144"/>
      <c r="AA167" s="144"/>
      <c r="AB167" s="144"/>
      <c r="AC167" s="135"/>
      <c r="AD167" s="129" t="s">
        <v>5459</v>
      </c>
      <c r="AE167" s="129" t="s">
        <v>5459</v>
      </c>
      <c r="AF167" s="130" t="s">
        <v>5459</v>
      </c>
      <c r="AG167" s="129" t="s">
        <v>236</v>
      </c>
      <c r="AH167" s="130" t="s">
        <v>5459</v>
      </c>
      <c r="AI167" s="130" t="s">
        <v>5459</v>
      </c>
    </row>
    <row r="168" spans="1:35" ht="10.5" customHeight="1" x14ac:dyDescent="0.2">
      <c r="A168" s="117" t="s">
        <v>5459</v>
      </c>
      <c r="B168" s="117" t="s">
        <v>5459</v>
      </c>
      <c r="C168" s="128"/>
      <c r="D168" s="133"/>
      <c r="E168" s="138"/>
      <c r="F168" s="140"/>
      <c r="G168" s="144"/>
      <c r="H168" s="144" t="str">
        <f t="shared" si="2"/>
        <v/>
      </c>
      <c r="I168" s="144" t="str">
        <f t="shared" si="2"/>
        <v/>
      </c>
      <c r="J168" s="144"/>
      <c r="K168" s="144"/>
      <c r="L168" s="144"/>
      <c r="M168" s="144"/>
      <c r="N168" s="144"/>
      <c r="O168" s="144"/>
      <c r="P168" s="144"/>
      <c r="Q168" s="144"/>
      <c r="R168" s="144"/>
      <c r="S168" s="144"/>
      <c r="T168" s="144"/>
      <c r="U168" s="144"/>
      <c r="V168" s="144"/>
      <c r="W168" s="144"/>
      <c r="X168" s="144"/>
      <c r="Y168" s="144"/>
      <c r="Z168" s="144"/>
      <c r="AA168" s="144"/>
      <c r="AB168" s="144"/>
      <c r="AC168" s="135"/>
      <c r="AD168" s="129" t="s">
        <v>7251</v>
      </c>
      <c r="AE168" s="129" t="s">
        <v>2318</v>
      </c>
      <c r="AF168" s="130">
        <v>0</v>
      </c>
      <c r="AG168" s="129" t="s">
        <v>236</v>
      </c>
      <c r="AH168" s="130">
        <v>47.02</v>
      </c>
      <c r="AI168" s="130">
        <v>0</v>
      </c>
    </row>
    <row r="169" spans="1:35" ht="10.5" customHeight="1" x14ac:dyDescent="0.2">
      <c r="A169" s="117" t="s">
        <v>8186</v>
      </c>
      <c r="B169" s="117" t="s">
        <v>2296</v>
      </c>
      <c r="C169" s="128"/>
      <c r="D169" s="133"/>
      <c r="E169" s="138"/>
      <c r="F169" s="140"/>
      <c r="G169" s="144"/>
      <c r="H169" s="144" t="str">
        <f t="shared" si="2"/>
        <v/>
      </c>
      <c r="I169" s="144" t="str">
        <f t="shared" si="2"/>
        <v/>
      </c>
      <c r="J169" s="144"/>
      <c r="K169" s="144"/>
      <c r="L169" s="144"/>
      <c r="M169" s="144"/>
      <c r="N169" s="144"/>
      <c r="O169" s="144"/>
      <c r="P169" s="144"/>
      <c r="Q169" s="144"/>
      <c r="R169" s="144"/>
      <c r="S169" s="144"/>
      <c r="T169" s="144"/>
      <c r="U169" s="144"/>
      <c r="V169" s="144"/>
      <c r="W169" s="144"/>
      <c r="X169" s="144"/>
      <c r="Y169" s="144"/>
      <c r="Z169" s="144"/>
      <c r="AA169" s="144"/>
      <c r="AB169" s="144"/>
      <c r="AC169" s="135"/>
      <c r="AD169" s="129" t="s">
        <v>5459</v>
      </c>
      <c r="AE169" s="129" t="s">
        <v>5459</v>
      </c>
      <c r="AF169" s="130" t="s">
        <v>5459</v>
      </c>
      <c r="AG169" s="129" t="s">
        <v>236</v>
      </c>
      <c r="AH169" s="130" t="s">
        <v>5459</v>
      </c>
      <c r="AI169" s="130" t="s">
        <v>5459</v>
      </c>
    </row>
    <row r="170" spans="1:35" ht="10.5" customHeight="1" x14ac:dyDescent="0.2">
      <c r="A170" s="117" t="s">
        <v>5459</v>
      </c>
      <c r="B170" s="117" t="s">
        <v>5459</v>
      </c>
      <c r="C170" s="128" t="s">
        <v>5459</v>
      </c>
      <c r="D170" s="133" t="s">
        <v>236</v>
      </c>
      <c r="E170" s="138" t="str">
        <f>+INDEX(F170:AB170,1,[3]BOD!$I$2-1)</f>
        <v/>
      </c>
      <c r="F170" s="140" t="s">
        <v>5459</v>
      </c>
      <c r="G170" s="144"/>
      <c r="H170" s="144" t="str">
        <f t="shared" si="2"/>
        <v/>
      </c>
      <c r="I170" s="144" t="str">
        <f t="shared" si="2"/>
        <v/>
      </c>
      <c r="J170" s="144"/>
      <c r="K170" s="144"/>
      <c r="L170" s="144"/>
      <c r="M170" s="144"/>
      <c r="N170" s="144"/>
      <c r="O170" s="144"/>
      <c r="P170" s="144"/>
      <c r="Q170" s="144"/>
      <c r="R170" s="144"/>
      <c r="S170" s="144"/>
      <c r="T170" s="144"/>
      <c r="U170" s="144"/>
      <c r="V170" s="144"/>
      <c r="W170" s="144"/>
      <c r="X170" s="144"/>
      <c r="Y170" s="144"/>
      <c r="Z170" s="144"/>
      <c r="AA170" s="144"/>
      <c r="AB170" s="144"/>
      <c r="AC170" s="135"/>
      <c r="AD170" s="129" t="s">
        <v>7252</v>
      </c>
      <c r="AE170" s="129" t="s">
        <v>2319</v>
      </c>
      <c r="AF170" s="130">
        <v>1</v>
      </c>
      <c r="AG170" s="129" t="s">
        <v>7389</v>
      </c>
      <c r="AH170" s="130">
        <v>23.38</v>
      </c>
      <c r="AI170" s="130">
        <v>23.38</v>
      </c>
    </row>
    <row r="171" spans="1:35" ht="10.5" customHeight="1" x14ac:dyDescent="0.2">
      <c r="A171" s="117" t="s">
        <v>8187</v>
      </c>
      <c r="B171" s="117" t="s">
        <v>2361</v>
      </c>
      <c r="C171" s="128">
        <v>1</v>
      </c>
      <c r="D171" s="133" t="s">
        <v>4699</v>
      </c>
      <c r="E171" s="138">
        <f>+INDEX(F171:AB171,1,[3]BOD!$I$2-1)</f>
        <v>850</v>
      </c>
      <c r="F171" s="140">
        <v>850</v>
      </c>
      <c r="G171" s="144"/>
      <c r="H171" s="144">
        <f t="shared" si="2"/>
        <v>4250</v>
      </c>
      <c r="I171" s="144">
        <f t="shared" si="2"/>
        <v>4250</v>
      </c>
      <c r="J171" s="144"/>
      <c r="K171" s="144"/>
      <c r="L171" s="144"/>
      <c r="M171" s="144"/>
      <c r="N171" s="144"/>
      <c r="O171" s="144"/>
      <c r="P171" s="144"/>
      <c r="Q171" s="144"/>
      <c r="R171" s="144"/>
      <c r="S171" s="144"/>
      <c r="T171" s="144"/>
      <c r="U171" s="144"/>
      <c r="V171" s="144"/>
      <c r="W171" s="144"/>
      <c r="X171" s="144"/>
      <c r="Y171" s="144"/>
      <c r="Z171" s="144"/>
      <c r="AA171" s="144"/>
      <c r="AB171" s="144"/>
      <c r="AC171" s="135"/>
      <c r="AD171" s="129" t="s">
        <v>5459</v>
      </c>
      <c r="AE171" s="129" t="s">
        <v>5459</v>
      </c>
      <c r="AF171" s="130" t="s">
        <v>5459</v>
      </c>
      <c r="AG171" s="129" t="s">
        <v>236</v>
      </c>
      <c r="AH171" s="130" t="s">
        <v>5459</v>
      </c>
      <c r="AI171" s="130" t="s">
        <v>5459</v>
      </c>
    </row>
    <row r="172" spans="1:35" ht="10.5" customHeight="1" x14ac:dyDescent="0.2">
      <c r="A172" s="117" t="s">
        <v>5459</v>
      </c>
      <c r="B172" s="117" t="s">
        <v>5459</v>
      </c>
      <c r="C172" s="128" t="s">
        <v>5459</v>
      </c>
      <c r="D172" s="133" t="s">
        <v>236</v>
      </c>
      <c r="E172" s="138" t="str">
        <f>+INDEX(F172:AB172,1,[3]BOD!$I$2-1)</f>
        <v/>
      </c>
      <c r="F172" s="140" t="s">
        <v>5459</v>
      </c>
      <c r="G172" s="144"/>
      <c r="H172" s="144" t="str">
        <f t="shared" si="2"/>
        <v/>
      </c>
      <c r="I172" s="144" t="str">
        <f t="shared" si="2"/>
        <v/>
      </c>
      <c r="J172" s="144"/>
      <c r="K172" s="144"/>
      <c r="L172" s="144"/>
      <c r="M172" s="144"/>
      <c r="N172" s="144"/>
      <c r="O172" s="144"/>
      <c r="P172" s="144"/>
      <c r="Q172" s="144"/>
      <c r="R172" s="144"/>
      <c r="S172" s="144"/>
      <c r="T172" s="144"/>
      <c r="U172" s="144"/>
      <c r="V172" s="144"/>
      <c r="W172" s="144"/>
      <c r="X172" s="144"/>
      <c r="Y172" s="144"/>
      <c r="Z172" s="144"/>
      <c r="AA172" s="144"/>
      <c r="AB172" s="144"/>
      <c r="AC172" s="135"/>
      <c r="AD172" s="129" t="s">
        <v>7253</v>
      </c>
      <c r="AE172" s="129" t="s">
        <v>2320</v>
      </c>
      <c r="AF172" s="130">
        <v>1</v>
      </c>
      <c r="AG172" s="129" t="s">
        <v>7389</v>
      </c>
      <c r="AH172" s="130">
        <v>23.64</v>
      </c>
      <c r="AI172" s="130">
        <v>23.64</v>
      </c>
    </row>
    <row r="173" spans="1:35" ht="10.5" customHeight="1" x14ac:dyDescent="0.2">
      <c r="A173" s="117" t="s">
        <v>8188</v>
      </c>
      <c r="B173" s="117" t="s">
        <v>2362</v>
      </c>
      <c r="C173" s="128">
        <v>1</v>
      </c>
      <c r="D173" s="133" t="s">
        <v>4699</v>
      </c>
      <c r="E173" s="138">
        <f>+INDEX(F173:AB173,1,[3]BOD!$I$2-1)</f>
        <v>900</v>
      </c>
      <c r="F173" s="140">
        <v>900</v>
      </c>
      <c r="G173" s="144"/>
      <c r="H173" s="144">
        <f t="shared" si="2"/>
        <v>4500</v>
      </c>
      <c r="I173" s="144">
        <f t="shared" si="2"/>
        <v>4500</v>
      </c>
      <c r="J173" s="144"/>
      <c r="K173" s="144"/>
      <c r="L173" s="144"/>
      <c r="M173" s="144"/>
      <c r="N173" s="144"/>
      <c r="O173" s="144"/>
      <c r="P173" s="144"/>
      <c r="Q173" s="144"/>
      <c r="R173" s="144"/>
      <c r="S173" s="144"/>
      <c r="T173" s="144"/>
      <c r="U173" s="144"/>
      <c r="V173" s="144"/>
      <c r="W173" s="144"/>
      <c r="X173" s="144"/>
      <c r="Y173" s="144"/>
      <c r="Z173" s="144"/>
      <c r="AA173" s="144"/>
      <c r="AB173" s="144"/>
      <c r="AC173" s="135"/>
      <c r="AD173" s="129" t="s">
        <v>5459</v>
      </c>
      <c r="AE173" s="129" t="s">
        <v>5459</v>
      </c>
      <c r="AF173" s="130" t="s">
        <v>5459</v>
      </c>
      <c r="AG173" s="129" t="s">
        <v>236</v>
      </c>
      <c r="AH173" s="130" t="s">
        <v>5459</v>
      </c>
      <c r="AI173" s="130" t="s">
        <v>5459</v>
      </c>
    </row>
    <row r="174" spans="1:35" ht="10.5" customHeight="1" x14ac:dyDescent="0.2">
      <c r="A174" s="117" t="s">
        <v>5459</v>
      </c>
      <c r="B174" s="117" t="s">
        <v>5459</v>
      </c>
      <c r="C174" s="128" t="s">
        <v>5459</v>
      </c>
      <c r="D174" s="133" t="s">
        <v>236</v>
      </c>
      <c r="E174" s="138" t="str">
        <f>+INDEX(F174:AB174,1,[3]BOD!$I$2-1)</f>
        <v/>
      </c>
      <c r="F174" s="140" t="s">
        <v>5459</v>
      </c>
      <c r="G174" s="144"/>
      <c r="H174" s="144" t="str">
        <f t="shared" si="2"/>
        <v/>
      </c>
      <c r="I174" s="144" t="str">
        <f t="shared" si="2"/>
        <v/>
      </c>
      <c r="J174" s="144"/>
      <c r="K174" s="144"/>
      <c r="L174" s="144"/>
      <c r="M174" s="144"/>
      <c r="N174" s="144"/>
      <c r="O174" s="144"/>
      <c r="P174" s="144"/>
      <c r="Q174" s="144"/>
      <c r="R174" s="144"/>
      <c r="S174" s="144"/>
      <c r="T174" s="144"/>
      <c r="U174" s="144"/>
      <c r="V174" s="144"/>
      <c r="W174" s="144"/>
      <c r="X174" s="144"/>
      <c r="Y174" s="144"/>
      <c r="Z174" s="144"/>
      <c r="AA174" s="144"/>
      <c r="AB174" s="144"/>
      <c r="AC174" s="135"/>
      <c r="AD174" s="129" t="s">
        <v>7254</v>
      </c>
      <c r="AE174" s="129" t="s">
        <v>2327</v>
      </c>
      <c r="AF174" s="130">
        <v>0</v>
      </c>
      <c r="AG174" s="129" t="s">
        <v>236</v>
      </c>
      <c r="AH174" s="130">
        <v>509.5</v>
      </c>
      <c r="AI174" s="130">
        <v>0</v>
      </c>
    </row>
    <row r="175" spans="1:35" ht="10.5" customHeight="1" x14ac:dyDescent="0.2">
      <c r="A175" s="117" t="s">
        <v>8189</v>
      </c>
      <c r="B175" s="117" t="s">
        <v>2363</v>
      </c>
      <c r="C175" s="128">
        <v>1</v>
      </c>
      <c r="D175" s="133" t="s">
        <v>4699</v>
      </c>
      <c r="E175" s="138">
        <f>+INDEX(F175:AB175,1,[3]BOD!$I$2-1)</f>
        <v>800</v>
      </c>
      <c r="F175" s="140">
        <v>800</v>
      </c>
      <c r="G175" s="144"/>
      <c r="H175" s="144">
        <f t="shared" si="2"/>
        <v>4000</v>
      </c>
      <c r="I175" s="144">
        <f t="shared" si="2"/>
        <v>4000</v>
      </c>
      <c r="J175" s="144"/>
      <c r="K175" s="144"/>
      <c r="L175" s="144"/>
      <c r="M175" s="144"/>
      <c r="N175" s="144"/>
      <c r="O175" s="144"/>
      <c r="P175" s="144"/>
      <c r="Q175" s="144"/>
      <c r="R175" s="144"/>
      <c r="S175" s="144"/>
      <c r="T175" s="144"/>
      <c r="U175" s="144"/>
      <c r="V175" s="144"/>
      <c r="W175" s="144"/>
      <c r="X175" s="144"/>
      <c r="Y175" s="144"/>
      <c r="Z175" s="144"/>
      <c r="AA175" s="144"/>
      <c r="AB175" s="144"/>
      <c r="AC175" s="135"/>
      <c r="AD175" s="129" t="s">
        <v>5459</v>
      </c>
      <c r="AE175" s="129" t="s">
        <v>5459</v>
      </c>
      <c r="AF175" s="130" t="s">
        <v>5459</v>
      </c>
      <c r="AG175" s="129" t="s">
        <v>236</v>
      </c>
      <c r="AH175" s="130" t="s">
        <v>5459</v>
      </c>
      <c r="AI175" s="130" t="s">
        <v>5459</v>
      </c>
    </row>
    <row r="176" spans="1:35" ht="10.5" customHeight="1" x14ac:dyDescent="0.2">
      <c r="A176" s="117" t="s">
        <v>5459</v>
      </c>
      <c r="B176" s="117" t="s">
        <v>5459</v>
      </c>
      <c r="C176" s="128" t="s">
        <v>5459</v>
      </c>
      <c r="D176" s="133" t="s">
        <v>236</v>
      </c>
      <c r="E176" s="138" t="str">
        <f>+INDEX(F176:AB176,1,[3]BOD!$I$2-1)</f>
        <v/>
      </c>
      <c r="F176" s="140" t="s">
        <v>5459</v>
      </c>
      <c r="G176" s="144"/>
      <c r="H176" s="144" t="str">
        <f t="shared" si="2"/>
        <v/>
      </c>
      <c r="I176" s="144" t="str">
        <f t="shared" si="2"/>
        <v/>
      </c>
      <c r="J176" s="144"/>
      <c r="K176" s="144"/>
      <c r="L176" s="144"/>
      <c r="M176" s="144"/>
      <c r="N176" s="144"/>
      <c r="O176" s="144"/>
      <c r="P176" s="144"/>
      <c r="Q176" s="144"/>
      <c r="R176" s="144"/>
      <c r="S176" s="144"/>
      <c r="T176" s="144"/>
      <c r="U176" s="144"/>
      <c r="V176" s="144"/>
      <c r="W176" s="144"/>
      <c r="X176" s="144"/>
      <c r="Y176" s="144"/>
      <c r="Z176" s="144"/>
      <c r="AA176" s="144"/>
      <c r="AB176" s="144"/>
      <c r="AC176" s="135"/>
      <c r="AD176" s="129" t="s">
        <v>7255</v>
      </c>
      <c r="AE176" s="129" t="s">
        <v>2345</v>
      </c>
      <c r="AF176" s="130">
        <v>1</v>
      </c>
      <c r="AG176" s="129" t="s">
        <v>7256</v>
      </c>
      <c r="AH176" s="130">
        <v>27.5</v>
      </c>
      <c r="AI176" s="130">
        <v>27.5</v>
      </c>
    </row>
    <row r="177" spans="1:35" ht="10.5" customHeight="1" x14ac:dyDescent="0.2">
      <c r="A177" s="117" t="s">
        <v>8190</v>
      </c>
      <c r="B177" s="117" t="s">
        <v>2364</v>
      </c>
      <c r="C177" s="128">
        <v>1</v>
      </c>
      <c r="D177" s="133" t="s">
        <v>4699</v>
      </c>
      <c r="E177" s="138">
        <f>+INDEX(F177:AB177,1,[3]BOD!$I$2-1)</f>
        <v>900</v>
      </c>
      <c r="F177" s="140">
        <v>900</v>
      </c>
      <c r="G177" s="144"/>
      <c r="H177" s="144">
        <f t="shared" si="2"/>
        <v>4500</v>
      </c>
      <c r="I177" s="144">
        <f t="shared" si="2"/>
        <v>4500</v>
      </c>
      <c r="J177" s="144"/>
      <c r="K177" s="144"/>
      <c r="L177" s="144"/>
      <c r="M177" s="144"/>
      <c r="N177" s="144"/>
      <c r="O177" s="144"/>
      <c r="P177" s="144"/>
      <c r="Q177" s="144"/>
      <c r="R177" s="144"/>
      <c r="S177" s="144"/>
      <c r="T177" s="144"/>
      <c r="U177" s="144"/>
      <c r="V177" s="144"/>
      <c r="W177" s="144"/>
      <c r="X177" s="144"/>
      <c r="Y177" s="144"/>
      <c r="Z177" s="144"/>
      <c r="AA177" s="144"/>
      <c r="AB177" s="144"/>
      <c r="AC177" s="135"/>
      <c r="AD177" s="129" t="s">
        <v>5459</v>
      </c>
      <c r="AE177" s="129" t="s">
        <v>2333</v>
      </c>
      <c r="AF177" s="130" t="s">
        <v>5459</v>
      </c>
      <c r="AG177" s="129" t="s">
        <v>236</v>
      </c>
      <c r="AH177" s="130" t="s">
        <v>5459</v>
      </c>
      <c r="AI177" s="130" t="s">
        <v>5459</v>
      </c>
    </row>
    <row r="178" spans="1:35" ht="10.5" customHeight="1" x14ac:dyDescent="0.2">
      <c r="A178" s="117" t="s">
        <v>5459</v>
      </c>
      <c r="B178" s="117" t="s">
        <v>5459</v>
      </c>
      <c r="C178" s="128" t="s">
        <v>5459</v>
      </c>
      <c r="D178" s="133" t="s">
        <v>236</v>
      </c>
      <c r="E178" s="138" t="str">
        <f>+INDEX(F178:AB178,1,[3]BOD!$I$2-1)</f>
        <v/>
      </c>
      <c r="F178" s="140" t="s">
        <v>5459</v>
      </c>
      <c r="G178" s="144"/>
      <c r="H178" s="144" t="str">
        <f t="shared" si="2"/>
        <v/>
      </c>
      <c r="I178" s="144" t="str">
        <f t="shared" si="2"/>
        <v/>
      </c>
      <c r="J178" s="144"/>
      <c r="K178" s="144"/>
      <c r="L178" s="144"/>
      <c r="M178" s="144"/>
      <c r="N178" s="144"/>
      <c r="O178" s="144"/>
      <c r="P178" s="144"/>
      <c r="Q178" s="144"/>
      <c r="R178" s="144"/>
      <c r="S178" s="144"/>
      <c r="T178" s="144"/>
      <c r="U178" s="144"/>
      <c r="V178" s="144"/>
      <c r="W178" s="144"/>
      <c r="X178" s="144"/>
      <c r="Y178" s="144"/>
      <c r="Z178" s="144"/>
      <c r="AA178" s="144"/>
      <c r="AB178" s="144"/>
      <c r="AC178" s="135"/>
      <c r="AD178" s="129" t="s">
        <v>7257</v>
      </c>
      <c r="AE178" s="129" t="s">
        <v>2346</v>
      </c>
      <c r="AF178" s="130">
        <v>1</v>
      </c>
      <c r="AG178" s="129" t="s">
        <v>7256</v>
      </c>
      <c r="AH178" s="130">
        <v>30.8</v>
      </c>
      <c r="AI178" s="130">
        <v>30.8</v>
      </c>
    </row>
    <row r="179" spans="1:35" ht="10.5" customHeight="1" x14ac:dyDescent="0.2">
      <c r="A179" s="117" t="s">
        <v>8191</v>
      </c>
      <c r="B179" s="117" t="s">
        <v>2301</v>
      </c>
      <c r="C179" s="128">
        <v>1</v>
      </c>
      <c r="D179" s="133" t="s">
        <v>4699</v>
      </c>
      <c r="E179" s="138">
        <f>+INDEX(F179:AB179,1,[3]BOD!$I$2-1)</f>
        <v>750</v>
      </c>
      <c r="F179" s="140">
        <v>750</v>
      </c>
      <c r="G179" s="144"/>
      <c r="H179" s="144">
        <f t="shared" si="2"/>
        <v>3750</v>
      </c>
      <c r="I179" s="144">
        <f t="shared" si="2"/>
        <v>3750</v>
      </c>
      <c r="J179" s="144"/>
      <c r="K179" s="144"/>
      <c r="L179" s="144"/>
      <c r="M179" s="144"/>
      <c r="N179" s="144"/>
      <c r="O179" s="144"/>
      <c r="P179" s="144"/>
      <c r="Q179" s="144"/>
      <c r="R179" s="144"/>
      <c r="S179" s="144"/>
      <c r="T179" s="144"/>
      <c r="U179" s="144"/>
      <c r="V179" s="144"/>
      <c r="W179" s="144"/>
      <c r="X179" s="144"/>
      <c r="Y179" s="144"/>
      <c r="Z179" s="144"/>
      <c r="AA179" s="144"/>
      <c r="AB179" s="144"/>
      <c r="AC179" s="135"/>
      <c r="AD179" s="129" t="s">
        <v>5459</v>
      </c>
      <c r="AE179" s="129" t="s">
        <v>2333</v>
      </c>
      <c r="AF179" s="130" t="s">
        <v>5459</v>
      </c>
      <c r="AG179" s="129" t="s">
        <v>236</v>
      </c>
      <c r="AH179" s="130" t="s">
        <v>5459</v>
      </c>
      <c r="AI179" s="130" t="s">
        <v>5459</v>
      </c>
    </row>
    <row r="180" spans="1:35" ht="10.5" customHeight="1" x14ac:dyDescent="0.2">
      <c r="A180" s="117" t="s">
        <v>5459</v>
      </c>
      <c r="B180" s="117" t="s">
        <v>5459</v>
      </c>
      <c r="C180" s="128" t="s">
        <v>5459</v>
      </c>
      <c r="D180" s="133" t="s">
        <v>236</v>
      </c>
      <c r="E180" s="138" t="str">
        <f>+INDEX(F180:AB180,1,[3]BOD!$I$2-1)</f>
        <v/>
      </c>
      <c r="F180" s="140" t="s">
        <v>5459</v>
      </c>
      <c r="G180" s="144"/>
      <c r="H180" s="144" t="str">
        <f t="shared" si="2"/>
        <v/>
      </c>
      <c r="I180" s="144" t="str">
        <f t="shared" si="2"/>
        <v/>
      </c>
      <c r="J180" s="144"/>
      <c r="K180" s="144"/>
      <c r="L180" s="144"/>
      <c r="M180" s="144"/>
      <c r="N180" s="144"/>
      <c r="O180" s="144"/>
      <c r="P180" s="144"/>
      <c r="Q180" s="144"/>
      <c r="R180" s="144"/>
      <c r="S180" s="144"/>
      <c r="T180" s="144"/>
      <c r="U180" s="144"/>
      <c r="V180" s="144"/>
      <c r="W180" s="144"/>
      <c r="X180" s="144"/>
      <c r="Y180" s="144"/>
      <c r="Z180" s="144"/>
      <c r="AA180" s="144"/>
      <c r="AB180" s="144"/>
      <c r="AC180" s="135"/>
      <c r="AD180" s="129" t="s">
        <v>7258</v>
      </c>
      <c r="AE180" s="129" t="s">
        <v>2347</v>
      </c>
      <c r="AF180" s="130">
        <v>1</v>
      </c>
      <c r="AG180" s="129" t="s">
        <v>7256</v>
      </c>
      <c r="AH180" s="130">
        <v>33</v>
      </c>
      <c r="AI180" s="130">
        <v>33</v>
      </c>
    </row>
    <row r="181" spans="1:35" ht="10.5" customHeight="1" x14ac:dyDescent="0.2">
      <c r="A181" s="117" t="s">
        <v>8193</v>
      </c>
      <c r="B181" s="117" t="s">
        <v>2371</v>
      </c>
      <c r="C181" s="128">
        <v>1</v>
      </c>
      <c r="D181" s="133" t="s">
        <v>4699</v>
      </c>
      <c r="E181" s="138">
        <f>+INDEX(F181:AB181,1,[3]BOD!$I$2-1)</f>
        <v>162.13999999999999</v>
      </c>
      <c r="F181" s="140">
        <v>162.13999999999999</v>
      </c>
      <c r="G181" s="144"/>
      <c r="H181" s="144">
        <f t="shared" si="2"/>
        <v>810.69999999999993</v>
      </c>
      <c r="I181" s="144">
        <f t="shared" si="2"/>
        <v>810.69999999999993</v>
      </c>
      <c r="J181" s="144"/>
      <c r="K181" s="144"/>
      <c r="L181" s="144"/>
      <c r="M181" s="144"/>
      <c r="N181" s="144"/>
      <c r="O181" s="144"/>
      <c r="P181" s="144"/>
      <c r="Q181" s="144"/>
      <c r="R181" s="144"/>
      <c r="S181" s="144"/>
      <c r="T181" s="144"/>
      <c r="U181" s="144"/>
      <c r="V181" s="144"/>
      <c r="W181" s="144"/>
      <c r="X181" s="144"/>
      <c r="Y181" s="144"/>
      <c r="Z181" s="144"/>
      <c r="AA181" s="144"/>
      <c r="AB181" s="144"/>
      <c r="AC181" s="135"/>
      <c r="AD181" s="129" t="s">
        <v>5459</v>
      </c>
      <c r="AE181" s="129" t="s">
        <v>2333</v>
      </c>
      <c r="AF181" s="130" t="s">
        <v>5459</v>
      </c>
      <c r="AG181" s="129" t="s">
        <v>236</v>
      </c>
      <c r="AH181" s="130" t="s">
        <v>5459</v>
      </c>
      <c r="AI181" s="130" t="s">
        <v>5459</v>
      </c>
    </row>
    <row r="182" spans="1:35" ht="10.5" customHeight="1" x14ac:dyDescent="0.2">
      <c r="A182" s="117" t="s">
        <v>5459</v>
      </c>
      <c r="B182" s="117" t="s">
        <v>5459</v>
      </c>
      <c r="C182" s="128" t="s">
        <v>5459</v>
      </c>
      <c r="D182" s="133" t="s">
        <v>236</v>
      </c>
      <c r="E182" s="138" t="str">
        <f>+INDEX(F182:AB182,1,[3]BOD!$I$2-1)</f>
        <v/>
      </c>
      <c r="F182" s="140" t="s">
        <v>5459</v>
      </c>
      <c r="G182" s="144"/>
      <c r="H182" s="144" t="str">
        <f t="shared" si="2"/>
        <v/>
      </c>
      <c r="I182" s="144" t="str">
        <f t="shared" si="2"/>
        <v/>
      </c>
      <c r="J182" s="144"/>
      <c r="K182" s="144"/>
      <c r="L182" s="144"/>
      <c r="M182" s="144"/>
      <c r="N182" s="144"/>
      <c r="O182" s="144"/>
      <c r="P182" s="144"/>
      <c r="Q182" s="144"/>
      <c r="R182" s="144"/>
      <c r="S182" s="144"/>
      <c r="T182" s="144"/>
      <c r="U182" s="144"/>
      <c r="V182" s="144"/>
      <c r="W182" s="144"/>
      <c r="X182" s="144"/>
      <c r="Y182" s="144"/>
      <c r="Z182" s="144"/>
      <c r="AA182" s="144"/>
      <c r="AB182" s="144"/>
      <c r="AC182" s="135"/>
      <c r="AD182" s="129" t="s">
        <v>7259</v>
      </c>
      <c r="AE182" s="129" t="s">
        <v>2348</v>
      </c>
      <c r="AF182" s="130">
        <v>1</v>
      </c>
      <c r="AG182" s="129" t="s">
        <v>7256</v>
      </c>
      <c r="AH182" s="130">
        <v>37.4</v>
      </c>
      <c r="AI182" s="130">
        <v>37.4</v>
      </c>
    </row>
    <row r="183" spans="1:35" ht="10.5" customHeight="1" x14ac:dyDescent="0.2">
      <c r="A183" s="117" t="s">
        <v>6760</v>
      </c>
      <c r="B183" s="117" t="s">
        <v>2372</v>
      </c>
      <c r="C183" s="128">
        <v>1</v>
      </c>
      <c r="D183" s="133" t="s">
        <v>4699</v>
      </c>
      <c r="E183" s="138">
        <f>+INDEX(F183:AB183,1,[3]BOD!$I$2-1)</f>
        <v>191.62</v>
      </c>
      <c r="F183" s="140">
        <v>191.62</v>
      </c>
      <c r="G183" s="144"/>
      <c r="H183" s="144">
        <f t="shared" si="2"/>
        <v>958.1</v>
      </c>
      <c r="I183" s="144">
        <f t="shared" si="2"/>
        <v>958.1</v>
      </c>
      <c r="J183" s="144"/>
      <c r="K183" s="144"/>
      <c r="L183" s="144"/>
      <c r="M183" s="144"/>
      <c r="N183" s="144"/>
      <c r="O183" s="144"/>
      <c r="P183" s="144"/>
      <c r="Q183" s="144"/>
      <c r="R183" s="144"/>
      <c r="S183" s="144"/>
      <c r="T183" s="144"/>
      <c r="U183" s="144"/>
      <c r="V183" s="144"/>
      <c r="W183" s="144"/>
      <c r="X183" s="144"/>
      <c r="Y183" s="144"/>
      <c r="Z183" s="144"/>
      <c r="AA183" s="144"/>
      <c r="AB183" s="144"/>
      <c r="AC183" s="135"/>
      <c r="AD183" s="129" t="s">
        <v>5459</v>
      </c>
      <c r="AE183" s="129" t="s">
        <v>2333</v>
      </c>
      <c r="AF183" s="130" t="s">
        <v>5459</v>
      </c>
      <c r="AG183" s="129" t="s">
        <v>236</v>
      </c>
      <c r="AH183" s="130" t="s">
        <v>5459</v>
      </c>
      <c r="AI183" s="130" t="s">
        <v>5459</v>
      </c>
    </row>
    <row r="184" spans="1:35" ht="10.5" customHeight="1" x14ac:dyDescent="0.2">
      <c r="A184" s="117" t="s">
        <v>5459</v>
      </c>
      <c r="B184" s="117" t="s">
        <v>5459</v>
      </c>
      <c r="C184" s="128" t="s">
        <v>5459</v>
      </c>
      <c r="D184" s="133" t="s">
        <v>236</v>
      </c>
      <c r="E184" s="138" t="str">
        <f>+INDEX(F184:AB184,1,[3]BOD!$I$2-1)</f>
        <v/>
      </c>
      <c r="F184" s="140" t="s">
        <v>5459</v>
      </c>
      <c r="G184" s="144"/>
      <c r="H184" s="144" t="str">
        <f t="shared" si="2"/>
        <v/>
      </c>
      <c r="I184" s="144" t="str">
        <f t="shared" si="2"/>
        <v/>
      </c>
      <c r="J184" s="144"/>
      <c r="K184" s="144"/>
      <c r="L184" s="144"/>
      <c r="M184" s="144"/>
      <c r="N184" s="144"/>
      <c r="O184" s="144"/>
      <c r="P184" s="144"/>
      <c r="Q184" s="144"/>
      <c r="R184" s="144"/>
      <c r="S184" s="144"/>
      <c r="T184" s="144"/>
      <c r="U184" s="144"/>
      <c r="V184" s="144"/>
      <c r="W184" s="144"/>
      <c r="X184" s="144"/>
      <c r="Y184" s="144"/>
      <c r="Z184" s="144"/>
      <c r="AA184" s="144"/>
      <c r="AB184" s="144"/>
      <c r="AC184" s="135"/>
      <c r="AD184" s="129" t="s">
        <v>5936</v>
      </c>
      <c r="AE184" s="129" t="s">
        <v>2349</v>
      </c>
      <c r="AF184" s="130">
        <v>1</v>
      </c>
      <c r="AG184" s="129" t="s">
        <v>7256</v>
      </c>
      <c r="AH184" s="130">
        <v>41.8</v>
      </c>
      <c r="AI184" s="130">
        <v>41.8</v>
      </c>
    </row>
    <row r="185" spans="1:35" ht="10.5" customHeight="1" x14ac:dyDescent="0.2">
      <c r="A185" s="117" t="s">
        <v>6761</v>
      </c>
      <c r="B185" s="117" t="s">
        <v>2373</v>
      </c>
      <c r="C185" s="128">
        <v>1</v>
      </c>
      <c r="D185" s="133" t="s">
        <v>4699</v>
      </c>
      <c r="E185" s="138">
        <f>+INDEX(F185:AB185,1,[3]BOD!$I$2-1)</f>
        <v>162.13999999999999</v>
      </c>
      <c r="F185" s="140">
        <v>162.13999999999999</v>
      </c>
      <c r="G185" s="144"/>
      <c r="H185" s="144">
        <f t="shared" si="2"/>
        <v>810.69999999999993</v>
      </c>
      <c r="I185" s="144">
        <f t="shared" si="2"/>
        <v>810.69999999999993</v>
      </c>
      <c r="J185" s="144"/>
      <c r="K185" s="144"/>
      <c r="L185" s="144"/>
      <c r="M185" s="144"/>
      <c r="N185" s="144"/>
      <c r="O185" s="144"/>
      <c r="P185" s="144"/>
      <c r="Q185" s="144"/>
      <c r="R185" s="144"/>
      <c r="S185" s="144"/>
      <c r="T185" s="144"/>
      <c r="U185" s="144"/>
      <c r="V185" s="144"/>
      <c r="W185" s="144"/>
      <c r="X185" s="144"/>
      <c r="Y185" s="144"/>
      <c r="Z185" s="144"/>
      <c r="AA185" s="144"/>
      <c r="AB185" s="144"/>
      <c r="AC185" s="135"/>
      <c r="AD185" s="129" t="s">
        <v>5459</v>
      </c>
      <c r="AE185" s="129" t="s">
        <v>2333</v>
      </c>
      <c r="AF185" s="130" t="s">
        <v>5459</v>
      </c>
      <c r="AG185" s="129" t="s">
        <v>236</v>
      </c>
      <c r="AH185" s="130" t="s">
        <v>5459</v>
      </c>
      <c r="AI185" s="130" t="s">
        <v>5459</v>
      </c>
    </row>
    <row r="186" spans="1:35" ht="10.5" customHeight="1" x14ac:dyDescent="0.2">
      <c r="A186" s="117" t="s">
        <v>5459</v>
      </c>
      <c r="B186" s="117" t="s">
        <v>5459</v>
      </c>
      <c r="C186" s="128" t="s">
        <v>5459</v>
      </c>
      <c r="D186" s="133" t="s">
        <v>236</v>
      </c>
      <c r="E186" s="138" t="str">
        <f>+INDEX(F186:AB186,1,[3]BOD!$I$2-1)</f>
        <v/>
      </c>
      <c r="F186" s="140" t="s">
        <v>5459</v>
      </c>
      <c r="G186" s="144"/>
      <c r="H186" s="144" t="str">
        <f t="shared" si="2"/>
        <v/>
      </c>
      <c r="I186" s="144" t="str">
        <f t="shared" si="2"/>
        <v/>
      </c>
      <c r="J186" s="144"/>
      <c r="K186" s="144"/>
      <c r="L186" s="144"/>
      <c r="M186" s="144"/>
      <c r="N186" s="144"/>
      <c r="O186" s="144"/>
      <c r="P186" s="144"/>
      <c r="Q186" s="144"/>
      <c r="R186" s="144"/>
      <c r="S186" s="144"/>
      <c r="T186" s="144"/>
      <c r="U186" s="144"/>
      <c r="V186" s="144"/>
      <c r="W186" s="144"/>
      <c r="X186" s="144"/>
      <c r="Y186" s="144"/>
      <c r="Z186" s="144"/>
      <c r="AA186" s="144"/>
      <c r="AB186" s="144"/>
      <c r="AC186" s="135"/>
      <c r="AD186" s="129" t="s">
        <v>4158</v>
      </c>
      <c r="AE186" s="129" t="s">
        <v>2323</v>
      </c>
      <c r="AF186" s="130">
        <v>1</v>
      </c>
      <c r="AG186" s="129" t="s">
        <v>7256</v>
      </c>
      <c r="AH186" s="130">
        <v>50.62</v>
      </c>
      <c r="AI186" s="130">
        <v>50.62</v>
      </c>
    </row>
    <row r="187" spans="1:35" ht="10.5" customHeight="1" x14ac:dyDescent="0.2">
      <c r="A187" s="117" t="s">
        <v>6762</v>
      </c>
      <c r="B187" s="117" t="s">
        <v>2374</v>
      </c>
      <c r="C187" s="128">
        <v>1</v>
      </c>
      <c r="D187" s="133" t="s">
        <v>4699</v>
      </c>
      <c r="E187" s="138">
        <f>+INDEX(F187:AB187,1,[3]BOD!$I$2-1)</f>
        <v>191.62</v>
      </c>
      <c r="F187" s="140">
        <v>191.62</v>
      </c>
      <c r="G187" s="144"/>
      <c r="H187" s="144">
        <f t="shared" si="2"/>
        <v>958.1</v>
      </c>
      <c r="I187" s="144">
        <f t="shared" si="2"/>
        <v>958.1</v>
      </c>
      <c r="J187" s="144"/>
      <c r="K187" s="144"/>
      <c r="L187" s="144"/>
      <c r="M187" s="144"/>
      <c r="N187" s="144"/>
      <c r="O187" s="144"/>
      <c r="P187" s="144"/>
      <c r="Q187" s="144"/>
      <c r="R187" s="144"/>
      <c r="S187" s="144"/>
      <c r="T187" s="144"/>
      <c r="U187" s="144"/>
      <c r="V187" s="144"/>
      <c r="W187" s="144"/>
      <c r="X187" s="144"/>
      <c r="Y187" s="144"/>
      <c r="Z187" s="144"/>
      <c r="AA187" s="144"/>
      <c r="AB187" s="144"/>
      <c r="AC187" s="135"/>
      <c r="AD187" s="129" t="s">
        <v>5459</v>
      </c>
      <c r="AE187" s="129" t="s">
        <v>2333</v>
      </c>
      <c r="AF187" s="130" t="s">
        <v>5459</v>
      </c>
      <c r="AG187" s="129" t="s">
        <v>236</v>
      </c>
      <c r="AH187" s="130" t="s">
        <v>5459</v>
      </c>
      <c r="AI187" s="130" t="s">
        <v>5459</v>
      </c>
    </row>
    <row r="188" spans="1:35" ht="10.5" customHeight="1" x14ac:dyDescent="0.2">
      <c r="A188" s="117" t="s">
        <v>5459</v>
      </c>
      <c r="B188" s="117" t="s">
        <v>5459</v>
      </c>
      <c r="C188" s="128" t="s">
        <v>5459</v>
      </c>
      <c r="D188" s="133" t="s">
        <v>236</v>
      </c>
      <c r="E188" s="138" t="str">
        <f>+INDEX(F188:AB188,1,[3]BOD!$I$2-1)</f>
        <v/>
      </c>
      <c r="F188" s="140" t="s">
        <v>5459</v>
      </c>
      <c r="G188" s="144"/>
      <c r="H188" s="144" t="str">
        <f t="shared" si="2"/>
        <v/>
      </c>
      <c r="I188" s="144" t="str">
        <f t="shared" si="2"/>
        <v/>
      </c>
      <c r="J188" s="144"/>
      <c r="K188" s="144"/>
      <c r="L188" s="144"/>
      <c r="M188" s="144"/>
      <c r="N188" s="144"/>
      <c r="O188" s="144"/>
      <c r="P188" s="144"/>
      <c r="Q188" s="144"/>
      <c r="R188" s="144"/>
      <c r="S188" s="144"/>
      <c r="T188" s="144"/>
      <c r="U188" s="144"/>
      <c r="V188" s="144"/>
      <c r="W188" s="144"/>
      <c r="X188" s="144"/>
      <c r="Y188" s="144"/>
      <c r="Z188" s="144"/>
      <c r="AA188" s="144"/>
      <c r="AB188" s="144"/>
      <c r="AC188" s="135"/>
      <c r="AD188" s="129" t="s">
        <v>5985</v>
      </c>
      <c r="AE188" s="129" t="s">
        <v>2324</v>
      </c>
      <c r="AF188" s="130">
        <v>1</v>
      </c>
      <c r="AG188" s="129" t="s">
        <v>7256</v>
      </c>
      <c r="AH188" s="130">
        <v>61.86</v>
      </c>
      <c r="AI188" s="130">
        <v>61.86</v>
      </c>
    </row>
    <row r="189" spans="1:35" ht="10.5" customHeight="1" x14ac:dyDescent="0.2">
      <c r="A189" s="117" t="s">
        <v>6763</v>
      </c>
      <c r="B189" s="117" t="s">
        <v>2254</v>
      </c>
      <c r="C189" s="128"/>
      <c r="D189" s="133"/>
      <c r="E189" s="138"/>
      <c r="F189" s="140"/>
      <c r="G189" s="144"/>
      <c r="H189" s="144" t="str">
        <f t="shared" si="2"/>
        <v/>
      </c>
      <c r="I189" s="144" t="str">
        <f t="shared" si="2"/>
        <v/>
      </c>
      <c r="J189" s="144"/>
      <c r="K189" s="144"/>
      <c r="L189" s="144"/>
      <c r="M189" s="144"/>
      <c r="N189" s="144"/>
      <c r="O189" s="144"/>
      <c r="P189" s="144"/>
      <c r="Q189" s="144"/>
      <c r="R189" s="144"/>
      <c r="S189" s="144"/>
      <c r="T189" s="144"/>
      <c r="U189" s="144"/>
      <c r="V189" s="144"/>
      <c r="W189" s="144"/>
      <c r="X189" s="144"/>
      <c r="Y189" s="144"/>
      <c r="Z189" s="144"/>
      <c r="AA189" s="144"/>
      <c r="AB189" s="144"/>
      <c r="AC189" s="135"/>
      <c r="AD189" s="129" t="s">
        <v>5459</v>
      </c>
      <c r="AE189" s="129" t="s">
        <v>2333</v>
      </c>
      <c r="AF189" s="130" t="s">
        <v>5459</v>
      </c>
      <c r="AG189" s="129" t="s">
        <v>236</v>
      </c>
      <c r="AH189" s="130" t="s">
        <v>5459</v>
      </c>
      <c r="AI189" s="130" t="s">
        <v>5459</v>
      </c>
    </row>
    <row r="190" spans="1:35" ht="10.5" customHeight="1" x14ac:dyDescent="0.2">
      <c r="A190" s="117" t="s">
        <v>5459</v>
      </c>
      <c r="B190" s="117" t="s">
        <v>5459</v>
      </c>
      <c r="C190" s="128" t="s">
        <v>5459</v>
      </c>
      <c r="D190" s="133" t="s">
        <v>236</v>
      </c>
      <c r="E190" s="138" t="str">
        <f>+INDEX(F190:AB190,1,[3]BOD!$I$2-1)</f>
        <v/>
      </c>
      <c r="F190" s="140" t="s">
        <v>5459</v>
      </c>
      <c r="G190" s="144"/>
      <c r="H190" s="144" t="str">
        <f t="shared" si="2"/>
        <v/>
      </c>
      <c r="I190" s="144" t="str">
        <f t="shared" si="2"/>
        <v/>
      </c>
      <c r="J190" s="144"/>
      <c r="K190" s="144"/>
      <c r="L190" s="144"/>
      <c r="M190" s="144"/>
      <c r="N190" s="144"/>
      <c r="O190" s="144"/>
      <c r="P190" s="144"/>
      <c r="Q190" s="144"/>
      <c r="R190" s="144"/>
      <c r="S190" s="144"/>
      <c r="T190" s="144"/>
      <c r="U190" s="144"/>
      <c r="V190" s="144"/>
      <c r="W190" s="144"/>
      <c r="X190" s="144"/>
      <c r="Y190" s="144"/>
      <c r="Z190" s="144"/>
      <c r="AA190" s="144"/>
      <c r="AB190" s="144"/>
      <c r="AC190" s="135"/>
      <c r="AD190" s="129" t="s">
        <v>5986</v>
      </c>
      <c r="AE190" s="129" t="s">
        <v>2325</v>
      </c>
      <c r="AF190" s="130">
        <v>1</v>
      </c>
      <c r="AG190" s="129" t="s">
        <v>7256</v>
      </c>
      <c r="AH190" s="130">
        <v>69.8</v>
      </c>
      <c r="AI190" s="130">
        <v>69.8</v>
      </c>
    </row>
    <row r="191" spans="1:35" ht="10.5" customHeight="1" x14ac:dyDescent="0.2">
      <c r="A191" s="115" t="s">
        <v>6764</v>
      </c>
      <c r="B191" s="117" t="s">
        <v>2302</v>
      </c>
      <c r="C191" s="128">
        <v>1</v>
      </c>
      <c r="D191" s="133" t="s">
        <v>7389</v>
      </c>
      <c r="E191" s="138">
        <f>+INDEX(F191:AB191,1,[3]BOD!$I$2-1)</f>
        <v>45.93</v>
      </c>
      <c r="F191" s="140">
        <v>45.93</v>
      </c>
      <c r="G191" s="144"/>
      <c r="H191" s="144">
        <f t="shared" si="2"/>
        <v>229.65</v>
      </c>
      <c r="I191" s="144">
        <f t="shared" si="2"/>
        <v>229.65</v>
      </c>
      <c r="J191" s="144"/>
      <c r="K191" s="144"/>
      <c r="L191" s="144"/>
      <c r="M191" s="144"/>
      <c r="N191" s="144"/>
      <c r="O191" s="144"/>
      <c r="P191" s="144"/>
      <c r="Q191" s="144"/>
      <c r="R191" s="144"/>
      <c r="S191" s="144"/>
      <c r="T191" s="144"/>
      <c r="U191" s="144"/>
      <c r="V191" s="144"/>
      <c r="W191" s="144"/>
      <c r="X191" s="144"/>
      <c r="Y191" s="144"/>
      <c r="Z191" s="144"/>
      <c r="AA191" s="144"/>
      <c r="AB191" s="144"/>
      <c r="AC191" s="135"/>
      <c r="AD191" s="129" t="s">
        <v>5459</v>
      </c>
      <c r="AE191" s="129" t="s">
        <v>2333</v>
      </c>
      <c r="AF191" s="130" t="s">
        <v>5459</v>
      </c>
      <c r="AG191" s="129" t="s">
        <v>236</v>
      </c>
      <c r="AH191" s="130" t="s">
        <v>5459</v>
      </c>
      <c r="AI191" s="130" t="s">
        <v>5459</v>
      </c>
    </row>
    <row r="192" spans="1:35" ht="10.5" customHeight="1" x14ac:dyDescent="0.2">
      <c r="A192" s="117" t="s">
        <v>5459</v>
      </c>
      <c r="B192" s="117" t="s">
        <v>5459</v>
      </c>
      <c r="C192" s="128" t="s">
        <v>5459</v>
      </c>
      <c r="D192" s="133" t="s">
        <v>236</v>
      </c>
      <c r="E192" s="138" t="str">
        <f>+INDEX(F192:AB192,1,[3]BOD!$I$2-1)</f>
        <v/>
      </c>
      <c r="F192" s="140" t="s">
        <v>5459</v>
      </c>
      <c r="G192" s="144"/>
      <c r="H192" s="144" t="str">
        <f t="shared" si="2"/>
        <v/>
      </c>
      <c r="I192" s="144" t="str">
        <f t="shared" si="2"/>
        <v/>
      </c>
      <c r="J192" s="144"/>
      <c r="K192" s="144"/>
      <c r="L192" s="144"/>
      <c r="M192" s="144"/>
      <c r="N192" s="144"/>
      <c r="O192" s="144"/>
      <c r="P192" s="144"/>
      <c r="Q192" s="144"/>
      <c r="R192" s="144"/>
      <c r="S192" s="144"/>
      <c r="T192" s="144"/>
      <c r="U192" s="144"/>
      <c r="V192" s="144"/>
      <c r="W192" s="144"/>
      <c r="X192" s="144"/>
      <c r="Y192" s="144"/>
      <c r="Z192" s="144"/>
      <c r="AA192" s="144"/>
      <c r="AB192" s="144"/>
      <c r="AC192" s="135"/>
      <c r="AD192" s="129" t="s">
        <v>5987</v>
      </c>
      <c r="AE192" s="129" t="s">
        <v>2326</v>
      </c>
      <c r="AF192" s="130">
        <v>1</v>
      </c>
      <c r="AG192" s="129" t="s">
        <v>7256</v>
      </c>
      <c r="AH192" s="130">
        <v>80.8</v>
      </c>
      <c r="AI192" s="130">
        <v>80.8</v>
      </c>
    </row>
    <row r="193" spans="1:35" ht="10.5" customHeight="1" x14ac:dyDescent="0.2">
      <c r="A193" s="115" t="s">
        <v>6765</v>
      </c>
      <c r="B193" s="117" t="s">
        <v>2303</v>
      </c>
      <c r="C193" s="128">
        <v>1</v>
      </c>
      <c r="D193" s="133" t="s">
        <v>7389</v>
      </c>
      <c r="E193" s="138">
        <f>+INDEX(F193:AB193,1,[3]BOD!$I$2-1)</f>
        <v>51.23</v>
      </c>
      <c r="F193" s="140">
        <v>51.23</v>
      </c>
      <c r="G193" s="144"/>
      <c r="H193" s="144">
        <f t="shared" si="2"/>
        <v>256.14999999999998</v>
      </c>
      <c r="I193" s="144">
        <f t="shared" si="2"/>
        <v>256.14999999999998</v>
      </c>
      <c r="J193" s="144"/>
      <c r="K193" s="144"/>
      <c r="L193" s="144"/>
      <c r="M193" s="144"/>
      <c r="N193" s="144"/>
      <c r="O193" s="144"/>
      <c r="P193" s="144"/>
      <c r="Q193" s="144"/>
      <c r="R193" s="144"/>
      <c r="S193" s="144"/>
      <c r="T193" s="144"/>
      <c r="U193" s="144"/>
      <c r="V193" s="144"/>
      <c r="W193" s="144"/>
      <c r="X193" s="144"/>
      <c r="Y193" s="144"/>
      <c r="Z193" s="144"/>
      <c r="AA193" s="144"/>
      <c r="AB193" s="144"/>
      <c r="AC193" s="135"/>
      <c r="AD193" s="129" t="s">
        <v>5459</v>
      </c>
      <c r="AE193" s="129" t="s">
        <v>2333</v>
      </c>
      <c r="AF193" s="130" t="s">
        <v>5459</v>
      </c>
      <c r="AG193" s="129" t="s">
        <v>236</v>
      </c>
      <c r="AH193" s="130" t="s">
        <v>5459</v>
      </c>
      <c r="AI193" s="130" t="s">
        <v>5459</v>
      </c>
    </row>
    <row r="194" spans="1:35" ht="10.5" customHeight="1" x14ac:dyDescent="0.2">
      <c r="A194" s="117" t="s">
        <v>5459</v>
      </c>
      <c r="B194" s="117" t="s">
        <v>5459</v>
      </c>
      <c r="C194" s="128" t="s">
        <v>5459</v>
      </c>
      <c r="D194" s="133" t="s">
        <v>236</v>
      </c>
      <c r="E194" s="138" t="str">
        <f>+INDEX(F194:AB194,1,[3]BOD!$I$2-1)</f>
        <v/>
      </c>
      <c r="F194" s="140" t="s">
        <v>5459</v>
      </c>
      <c r="G194" s="144"/>
      <c r="H194" s="144" t="str">
        <f t="shared" si="2"/>
        <v/>
      </c>
      <c r="I194" s="144" t="str">
        <f t="shared" si="2"/>
        <v/>
      </c>
      <c r="J194" s="144"/>
      <c r="K194" s="144"/>
      <c r="L194" s="144"/>
      <c r="M194" s="144"/>
      <c r="N194" s="144"/>
      <c r="O194" s="144"/>
      <c r="P194" s="144"/>
      <c r="Q194" s="144"/>
      <c r="R194" s="144"/>
      <c r="S194" s="144"/>
      <c r="T194" s="144"/>
      <c r="U194" s="144"/>
      <c r="V194" s="144"/>
      <c r="W194" s="144"/>
      <c r="X194" s="144"/>
      <c r="Y194" s="144"/>
      <c r="Z194" s="144"/>
      <c r="AA194" s="144"/>
      <c r="AB194" s="144"/>
      <c r="AC194" s="135"/>
      <c r="AD194" s="129" t="s">
        <v>5988</v>
      </c>
      <c r="AE194" s="129" t="s">
        <v>2285</v>
      </c>
      <c r="AF194" s="130">
        <v>1</v>
      </c>
      <c r="AG194" s="129" t="s">
        <v>7256</v>
      </c>
      <c r="AH194" s="130">
        <v>75.92</v>
      </c>
      <c r="AI194" s="130">
        <v>75.92</v>
      </c>
    </row>
    <row r="195" spans="1:35" ht="10.5" customHeight="1" x14ac:dyDescent="0.2">
      <c r="A195" s="115" t="s">
        <v>6766</v>
      </c>
      <c r="B195" s="117" t="s">
        <v>2304</v>
      </c>
      <c r="C195" s="128">
        <v>1</v>
      </c>
      <c r="D195" s="133" t="s">
        <v>7389</v>
      </c>
      <c r="E195" s="138">
        <f>+INDEX(F195:AB195,1,[3]BOD!$I$2-1)</f>
        <v>64.31</v>
      </c>
      <c r="F195" s="140">
        <v>64.31</v>
      </c>
      <c r="G195" s="144"/>
      <c r="H195" s="144">
        <f t="shared" ref="H195:I258" si="3">+IF($F195&lt;&gt;"",$F195*5,"")</f>
        <v>321.55</v>
      </c>
      <c r="I195" s="144">
        <f t="shared" si="3"/>
        <v>321.55</v>
      </c>
      <c r="J195" s="144"/>
      <c r="K195" s="144"/>
      <c r="L195" s="144"/>
      <c r="M195" s="144"/>
      <c r="N195" s="144"/>
      <c r="O195" s="144"/>
      <c r="P195" s="144"/>
      <c r="Q195" s="144"/>
      <c r="R195" s="144"/>
      <c r="S195" s="144"/>
      <c r="T195" s="144"/>
      <c r="U195" s="144"/>
      <c r="V195" s="144"/>
      <c r="W195" s="144"/>
      <c r="X195" s="144"/>
      <c r="Y195" s="144"/>
      <c r="Z195" s="144"/>
      <c r="AA195" s="144"/>
      <c r="AB195" s="144"/>
      <c r="AC195" s="135"/>
      <c r="AD195" s="129" t="s">
        <v>5459</v>
      </c>
      <c r="AE195" s="129" t="s">
        <v>2333</v>
      </c>
      <c r="AF195" s="130" t="s">
        <v>5459</v>
      </c>
      <c r="AG195" s="129" t="s">
        <v>236</v>
      </c>
      <c r="AH195" s="130" t="s">
        <v>5459</v>
      </c>
      <c r="AI195" s="130" t="s">
        <v>5459</v>
      </c>
    </row>
    <row r="196" spans="1:35" ht="10.5" customHeight="1" x14ac:dyDescent="0.2">
      <c r="A196" s="117" t="s">
        <v>5459</v>
      </c>
      <c r="B196" s="117" t="s">
        <v>5459</v>
      </c>
      <c r="C196" s="128" t="s">
        <v>5459</v>
      </c>
      <c r="D196" s="133" t="s">
        <v>236</v>
      </c>
      <c r="E196" s="138" t="str">
        <f>+INDEX(F196:AB196,1,[3]BOD!$I$2-1)</f>
        <v/>
      </c>
      <c r="F196" s="140" t="s">
        <v>5459</v>
      </c>
      <c r="G196" s="144"/>
      <c r="H196" s="144" t="str">
        <f t="shared" si="3"/>
        <v/>
      </c>
      <c r="I196" s="144" t="str">
        <f t="shared" si="3"/>
        <v/>
      </c>
      <c r="J196" s="144"/>
      <c r="K196" s="144"/>
      <c r="L196" s="144"/>
      <c r="M196" s="144"/>
      <c r="N196" s="144"/>
      <c r="O196" s="144"/>
      <c r="P196" s="144"/>
      <c r="Q196" s="144"/>
      <c r="R196" s="144"/>
      <c r="S196" s="144"/>
      <c r="T196" s="144"/>
      <c r="U196" s="144"/>
      <c r="V196" s="144"/>
      <c r="W196" s="144"/>
      <c r="X196" s="144"/>
      <c r="Y196" s="144"/>
      <c r="Z196" s="144"/>
      <c r="AA196" s="144"/>
      <c r="AB196" s="144"/>
      <c r="AC196" s="135"/>
      <c r="AD196" s="129" t="s">
        <v>5989</v>
      </c>
      <c r="AE196" s="129" t="s">
        <v>2334</v>
      </c>
      <c r="AF196" s="130">
        <v>0</v>
      </c>
      <c r="AG196" s="129" t="s">
        <v>236</v>
      </c>
      <c r="AH196" s="130">
        <v>601.91</v>
      </c>
      <c r="AI196" s="130">
        <v>0</v>
      </c>
    </row>
    <row r="197" spans="1:35" ht="10.5" customHeight="1" x14ac:dyDescent="0.2">
      <c r="A197" s="115" t="s">
        <v>6767</v>
      </c>
      <c r="B197" s="117" t="s">
        <v>2305</v>
      </c>
      <c r="C197" s="128">
        <v>1</v>
      </c>
      <c r="D197" s="133" t="s">
        <v>7389</v>
      </c>
      <c r="E197" s="138">
        <f>+INDEX(F197:AB197,1,[3]BOD!$I$2-1)</f>
        <v>90.33</v>
      </c>
      <c r="F197" s="140">
        <v>90.33</v>
      </c>
      <c r="G197" s="144"/>
      <c r="H197" s="144">
        <f t="shared" si="3"/>
        <v>451.65</v>
      </c>
      <c r="I197" s="144">
        <f t="shared" si="3"/>
        <v>451.65</v>
      </c>
      <c r="J197" s="144"/>
      <c r="K197" s="144"/>
      <c r="L197" s="144"/>
      <c r="M197" s="144"/>
      <c r="N197" s="144"/>
      <c r="O197" s="144"/>
      <c r="P197" s="144"/>
      <c r="Q197" s="144"/>
      <c r="R197" s="144"/>
      <c r="S197" s="144"/>
      <c r="T197" s="144"/>
      <c r="U197" s="144"/>
      <c r="V197" s="144"/>
      <c r="W197" s="144"/>
      <c r="X197" s="144"/>
      <c r="Y197" s="144"/>
      <c r="Z197" s="144"/>
      <c r="AA197" s="144"/>
      <c r="AB197" s="144"/>
      <c r="AC197" s="135"/>
      <c r="AD197" s="129" t="s">
        <v>5459</v>
      </c>
      <c r="AE197" s="129" t="s">
        <v>5459</v>
      </c>
      <c r="AF197" s="130" t="s">
        <v>5459</v>
      </c>
      <c r="AG197" s="129" t="s">
        <v>236</v>
      </c>
      <c r="AH197" s="130" t="s">
        <v>5459</v>
      </c>
      <c r="AI197" s="130" t="s">
        <v>5459</v>
      </c>
    </row>
    <row r="198" spans="1:35" ht="10.5" customHeight="1" x14ac:dyDescent="0.2">
      <c r="A198" s="117" t="s">
        <v>5459</v>
      </c>
      <c r="B198" s="117" t="s">
        <v>5459</v>
      </c>
      <c r="C198" s="128" t="s">
        <v>5459</v>
      </c>
      <c r="D198" s="133" t="s">
        <v>236</v>
      </c>
      <c r="E198" s="138" t="str">
        <f>+INDEX(F198:AB198,1,[3]BOD!$I$2-1)</f>
        <v/>
      </c>
      <c r="F198" s="140" t="s">
        <v>5459</v>
      </c>
      <c r="G198" s="144"/>
      <c r="H198" s="144" t="str">
        <f t="shared" si="3"/>
        <v/>
      </c>
      <c r="I198" s="144" t="str">
        <f t="shared" si="3"/>
        <v/>
      </c>
      <c r="J198" s="144"/>
      <c r="K198" s="144"/>
      <c r="L198" s="144"/>
      <c r="M198" s="144"/>
      <c r="N198" s="144"/>
      <c r="O198" s="144"/>
      <c r="P198" s="144"/>
      <c r="Q198" s="144"/>
      <c r="R198" s="144"/>
      <c r="S198" s="144"/>
      <c r="T198" s="144"/>
      <c r="U198" s="144"/>
      <c r="V198" s="144"/>
      <c r="W198" s="144"/>
      <c r="X198" s="144"/>
      <c r="Y198" s="144"/>
      <c r="Z198" s="144"/>
      <c r="AA198" s="144"/>
      <c r="AB198" s="144"/>
      <c r="AC198" s="135"/>
      <c r="AD198" s="129" t="s">
        <v>5990</v>
      </c>
      <c r="AE198" s="129" t="s">
        <v>2334</v>
      </c>
      <c r="AF198" s="130">
        <v>0</v>
      </c>
      <c r="AG198" s="129" t="s">
        <v>236</v>
      </c>
      <c r="AH198" s="130">
        <v>601.91</v>
      </c>
      <c r="AI198" s="130">
        <v>0</v>
      </c>
    </row>
    <row r="199" spans="1:35" ht="10.5" customHeight="1" x14ac:dyDescent="0.2">
      <c r="A199" s="115" t="s">
        <v>6768</v>
      </c>
      <c r="B199" s="117" t="s">
        <v>2306</v>
      </c>
      <c r="C199" s="128">
        <v>1</v>
      </c>
      <c r="D199" s="133" t="s">
        <v>7389</v>
      </c>
      <c r="E199" s="138">
        <f>+INDEX(F199:AB199,1,[3]BOD!$I$2-1)</f>
        <v>60.93</v>
      </c>
      <c r="F199" s="140">
        <v>60.93</v>
      </c>
      <c r="G199" s="144"/>
      <c r="H199" s="144">
        <f t="shared" si="3"/>
        <v>304.64999999999998</v>
      </c>
      <c r="I199" s="144">
        <f t="shared" si="3"/>
        <v>304.64999999999998</v>
      </c>
      <c r="J199" s="144"/>
      <c r="K199" s="144"/>
      <c r="L199" s="144"/>
      <c r="M199" s="144"/>
      <c r="N199" s="144"/>
      <c r="O199" s="144"/>
      <c r="P199" s="144"/>
      <c r="Q199" s="144"/>
      <c r="R199" s="144"/>
      <c r="S199" s="144"/>
      <c r="T199" s="144"/>
      <c r="U199" s="144"/>
      <c r="V199" s="144"/>
      <c r="W199" s="144"/>
      <c r="X199" s="144"/>
      <c r="Y199" s="144"/>
      <c r="Z199" s="144"/>
      <c r="AA199" s="144"/>
      <c r="AB199" s="144"/>
      <c r="AC199" s="135"/>
      <c r="AD199" s="129" t="s">
        <v>5459</v>
      </c>
      <c r="AE199" s="129" t="s">
        <v>5459</v>
      </c>
      <c r="AF199" s="130" t="s">
        <v>5459</v>
      </c>
      <c r="AG199" s="129" t="s">
        <v>236</v>
      </c>
      <c r="AH199" s="130" t="s">
        <v>5459</v>
      </c>
      <c r="AI199" s="130" t="s">
        <v>5459</v>
      </c>
    </row>
    <row r="200" spans="1:35" ht="10.5" customHeight="1" x14ac:dyDescent="0.2">
      <c r="A200" s="117" t="s">
        <v>5459</v>
      </c>
      <c r="B200" s="117" t="s">
        <v>5459</v>
      </c>
      <c r="C200" s="128" t="s">
        <v>5459</v>
      </c>
      <c r="D200" s="133" t="s">
        <v>236</v>
      </c>
      <c r="E200" s="138" t="str">
        <f>+INDEX(F200:AB200,1,[3]BOD!$I$2-1)</f>
        <v/>
      </c>
      <c r="F200" s="140" t="s">
        <v>5459</v>
      </c>
      <c r="G200" s="144"/>
      <c r="H200" s="144" t="str">
        <f t="shared" si="3"/>
        <v/>
      </c>
      <c r="I200" s="144" t="str">
        <f t="shared" si="3"/>
        <v/>
      </c>
      <c r="J200" s="144"/>
      <c r="K200" s="144"/>
      <c r="L200" s="144"/>
      <c r="M200" s="144"/>
      <c r="N200" s="144"/>
      <c r="O200" s="144"/>
      <c r="P200" s="144"/>
      <c r="Q200" s="144"/>
      <c r="R200" s="144"/>
      <c r="S200" s="144"/>
      <c r="T200" s="144"/>
      <c r="U200" s="144"/>
      <c r="V200" s="144"/>
      <c r="W200" s="144"/>
      <c r="X200" s="144"/>
      <c r="Y200" s="144"/>
      <c r="Z200" s="144"/>
      <c r="AA200" s="144"/>
      <c r="AB200" s="144"/>
      <c r="AC200" s="135"/>
      <c r="AD200" s="129" t="s">
        <v>5991</v>
      </c>
      <c r="AE200" s="129" t="s">
        <v>2335</v>
      </c>
      <c r="AF200" s="130">
        <v>1</v>
      </c>
      <c r="AG200" s="129" t="s">
        <v>7256</v>
      </c>
      <c r="AH200" s="130">
        <v>34.369999999999997</v>
      </c>
      <c r="AI200" s="130">
        <v>34.369999999999997</v>
      </c>
    </row>
    <row r="201" spans="1:35" ht="10.5" customHeight="1" x14ac:dyDescent="0.2">
      <c r="A201" s="115" t="s">
        <v>1514</v>
      </c>
      <c r="B201" s="117" t="s">
        <v>2307</v>
      </c>
      <c r="C201" s="128">
        <v>1</v>
      </c>
      <c r="D201" s="133" t="s">
        <v>7389</v>
      </c>
      <c r="E201" s="138">
        <f>+INDEX(F201:AB201,1,[3]BOD!$I$2-1)</f>
        <v>66.23</v>
      </c>
      <c r="F201" s="140">
        <v>66.23</v>
      </c>
      <c r="G201" s="144"/>
      <c r="H201" s="144">
        <f t="shared" si="3"/>
        <v>331.15000000000003</v>
      </c>
      <c r="I201" s="144">
        <f t="shared" si="3"/>
        <v>331.15000000000003</v>
      </c>
      <c r="J201" s="144"/>
      <c r="K201" s="144"/>
      <c r="L201" s="144"/>
      <c r="M201" s="144"/>
      <c r="N201" s="144"/>
      <c r="O201" s="144"/>
      <c r="P201" s="144"/>
      <c r="Q201" s="144"/>
      <c r="R201" s="144"/>
      <c r="S201" s="144"/>
      <c r="T201" s="144"/>
      <c r="U201" s="144"/>
      <c r="V201" s="144"/>
      <c r="W201" s="144"/>
      <c r="X201" s="144"/>
      <c r="Y201" s="144"/>
      <c r="Z201" s="144"/>
      <c r="AA201" s="144"/>
      <c r="AB201" s="144"/>
      <c r="AC201" s="135"/>
      <c r="AD201" s="129" t="s">
        <v>5459</v>
      </c>
      <c r="AE201" s="129" t="s">
        <v>2350</v>
      </c>
      <c r="AF201" s="130" t="s">
        <v>5459</v>
      </c>
      <c r="AG201" s="129" t="s">
        <v>236</v>
      </c>
      <c r="AH201" s="130" t="s">
        <v>5459</v>
      </c>
      <c r="AI201" s="130" t="s">
        <v>5459</v>
      </c>
    </row>
    <row r="202" spans="1:35" ht="10.5" customHeight="1" x14ac:dyDescent="0.2">
      <c r="A202" s="117" t="s">
        <v>5459</v>
      </c>
      <c r="B202" s="117" t="s">
        <v>5459</v>
      </c>
      <c r="C202" s="128" t="s">
        <v>5459</v>
      </c>
      <c r="D202" s="133" t="s">
        <v>236</v>
      </c>
      <c r="E202" s="138" t="str">
        <f>+INDEX(F202:AB202,1,[3]BOD!$I$2-1)</f>
        <v/>
      </c>
      <c r="F202" s="140" t="s">
        <v>5459</v>
      </c>
      <c r="G202" s="144"/>
      <c r="H202" s="144" t="str">
        <f t="shared" si="3"/>
        <v/>
      </c>
      <c r="I202" s="144" t="str">
        <f t="shared" si="3"/>
        <v/>
      </c>
      <c r="J202" s="144"/>
      <c r="K202" s="144"/>
      <c r="L202" s="144"/>
      <c r="M202" s="144"/>
      <c r="N202" s="144"/>
      <c r="O202" s="144"/>
      <c r="P202" s="144"/>
      <c r="Q202" s="144"/>
      <c r="R202" s="144"/>
      <c r="S202" s="144"/>
      <c r="T202" s="144"/>
      <c r="U202" s="144"/>
      <c r="V202" s="144"/>
      <c r="W202" s="144"/>
      <c r="X202" s="144"/>
      <c r="Y202" s="144"/>
      <c r="Z202" s="144"/>
      <c r="AA202" s="144"/>
      <c r="AB202" s="144"/>
      <c r="AC202" s="135"/>
      <c r="AD202" s="129" t="s">
        <v>7946</v>
      </c>
      <c r="AE202" s="129" t="s">
        <v>2336</v>
      </c>
      <c r="AF202" s="130">
        <v>1</v>
      </c>
      <c r="AG202" s="129" t="s">
        <v>7256</v>
      </c>
      <c r="AH202" s="130">
        <v>36.04</v>
      </c>
      <c r="AI202" s="130">
        <v>36.04</v>
      </c>
    </row>
    <row r="203" spans="1:35" ht="10.5" customHeight="1" x14ac:dyDescent="0.2">
      <c r="A203" s="115" t="s">
        <v>1515</v>
      </c>
      <c r="B203" s="117" t="s">
        <v>2308</v>
      </c>
      <c r="C203" s="128">
        <v>1</v>
      </c>
      <c r="D203" s="133" t="s">
        <v>7389</v>
      </c>
      <c r="E203" s="138">
        <f>+INDEX(F203:AB203,1,[3]BOD!$I$2-1)</f>
        <v>79.31</v>
      </c>
      <c r="F203" s="140">
        <v>79.31</v>
      </c>
      <c r="G203" s="144"/>
      <c r="H203" s="144">
        <f t="shared" si="3"/>
        <v>396.55</v>
      </c>
      <c r="I203" s="144">
        <f t="shared" si="3"/>
        <v>396.55</v>
      </c>
      <c r="J203" s="144"/>
      <c r="K203" s="144"/>
      <c r="L203" s="144"/>
      <c r="M203" s="144"/>
      <c r="N203" s="144"/>
      <c r="O203" s="144"/>
      <c r="P203" s="144"/>
      <c r="Q203" s="144"/>
      <c r="R203" s="144"/>
      <c r="S203" s="144"/>
      <c r="T203" s="144"/>
      <c r="U203" s="144"/>
      <c r="V203" s="144"/>
      <c r="W203" s="144"/>
      <c r="X203" s="144"/>
      <c r="Y203" s="144"/>
      <c r="Z203" s="144"/>
      <c r="AA203" s="144"/>
      <c r="AB203" s="144"/>
      <c r="AC203" s="135"/>
      <c r="AD203" s="129" t="s">
        <v>5459</v>
      </c>
      <c r="AE203" s="129" t="s">
        <v>2350</v>
      </c>
      <c r="AF203" s="130" t="s">
        <v>5459</v>
      </c>
      <c r="AG203" s="129" t="s">
        <v>236</v>
      </c>
      <c r="AH203" s="130" t="s">
        <v>5459</v>
      </c>
      <c r="AI203" s="130" t="s">
        <v>5459</v>
      </c>
    </row>
    <row r="204" spans="1:35" ht="10.5" customHeight="1" x14ac:dyDescent="0.2">
      <c r="A204" s="117" t="s">
        <v>5459</v>
      </c>
      <c r="B204" s="117" t="s">
        <v>5459</v>
      </c>
      <c r="C204" s="128" t="s">
        <v>5459</v>
      </c>
      <c r="D204" s="133" t="s">
        <v>236</v>
      </c>
      <c r="E204" s="138" t="str">
        <f>+INDEX(F204:AB204,1,[3]BOD!$I$2-1)</f>
        <v/>
      </c>
      <c r="F204" s="140" t="s">
        <v>5459</v>
      </c>
      <c r="G204" s="144"/>
      <c r="H204" s="144" t="str">
        <f t="shared" si="3"/>
        <v/>
      </c>
      <c r="I204" s="144" t="str">
        <f t="shared" si="3"/>
        <v/>
      </c>
      <c r="J204" s="144"/>
      <c r="K204" s="144"/>
      <c r="L204" s="144"/>
      <c r="M204" s="144"/>
      <c r="N204" s="144"/>
      <c r="O204" s="144"/>
      <c r="P204" s="144"/>
      <c r="Q204" s="144"/>
      <c r="R204" s="144"/>
      <c r="S204" s="144"/>
      <c r="T204" s="144"/>
      <c r="U204" s="144"/>
      <c r="V204" s="144"/>
      <c r="W204" s="144"/>
      <c r="X204" s="144"/>
      <c r="Y204" s="144"/>
      <c r="Z204" s="144"/>
      <c r="AA204" s="144"/>
      <c r="AB204" s="144"/>
      <c r="AC204" s="135"/>
      <c r="AD204" s="129" t="s">
        <v>6300</v>
      </c>
      <c r="AE204" s="129" t="s">
        <v>2337</v>
      </c>
      <c r="AF204" s="130">
        <v>1</v>
      </c>
      <c r="AG204" s="129" t="s">
        <v>7256</v>
      </c>
      <c r="AH204" s="130">
        <v>37.700000000000003</v>
      </c>
      <c r="AI204" s="130">
        <v>37.700000000000003</v>
      </c>
    </row>
    <row r="205" spans="1:35" ht="10.5" customHeight="1" x14ac:dyDescent="0.2">
      <c r="A205" s="115" t="s">
        <v>2096</v>
      </c>
      <c r="B205" s="117" t="s">
        <v>2309</v>
      </c>
      <c r="C205" s="128">
        <v>1</v>
      </c>
      <c r="D205" s="133" t="s">
        <v>7389</v>
      </c>
      <c r="E205" s="138">
        <f>+INDEX(F205:AB205,1,[3]BOD!$I$2-1)</f>
        <v>105.33</v>
      </c>
      <c r="F205" s="140">
        <v>105.33</v>
      </c>
      <c r="G205" s="144"/>
      <c r="H205" s="144">
        <f t="shared" si="3"/>
        <v>526.65</v>
      </c>
      <c r="I205" s="144">
        <f t="shared" si="3"/>
        <v>526.65</v>
      </c>
      <c r="J205" s="144"/>
      <c r="K205" s="144"/>
      <c r="L205" s="144"/>
      <c r="M205" s="144"/>
      <c r="N205" s="144"/>
      <c r="O205" s="144"/>
      <c r="P205" s="144"/>
      <c r="Q205" s="144"/>
      <c r="R205" s="144"/>
      <c r="S205" s="144"/>
      <c r="T205" s="144"/>
      <c r="U205" s="144"/>
      <c r="V205" s="144"/>
      <c r="W205" s="144"/>
      <c r="X205" s="144"/>
      <c r="Y205" s="144"/>
      <c r="Z205" s="144"/>
      <c r="AA205" s="144"/>
      <c r="AB205" s="144"/>
      <c r="AC205" s="135"/>
      <c r="AD205" s="129" t="s">
        <v>5459</v>
      </c>
      <c r="AE205" s="129" t="s">
        <v>2350</v>
      </c>
      <c r="AF205" s="130" t="s">
        <v>5459</v>
      </c>
      <c r="AG205" s="129" t="s">
        <v>236</v>
      </c>
      <c r="AH205" s="130" t="s">
        <v>5459</v>
      </c>
      <c r="AI205" s="130" t="s">
        <v>5459</v>
      </c>
    </row>
    <row r="206" spans="1:35" ht="10.5" customHeight="1" x14ac:dyDescent="0.2">
      <c r="A206" s="117" t="s">
        <v>5459</v>
      </c>
      <c r="B206" s="117" t="s">
        <v>5459</v>
      </c>
      <c r="C206" s="128" t="s">
        <v>5459</v>
      </c>
      <c r="D206" s="133" t="s">
        <v>236</v>
      </c>
      <c r="E206" s="138" t="str">
        <f>+INDEX(F206:AB206,1,[3]BOD!$I$2-1)</f>
        <v/>
      </c>
      <c r="F206" s="140" t="s">
        <v>5459</v>
      </c>
      <c r="G206" s="144"/>
      <c r="H206" s="144" t="str">
        <f t="shared" si="3"/>
        <v/>
      </c>
      <c r="I206" s="144" t="str">
        <f t="shared" si="3"/>
        <v/>
      </c>
      <c r="J206" s="144"/>
      <c r="K206" s="144"/>
      <c r="L206" s="144"/>
      <c r="M206" s="144"/>
      <c r="N206" s="144"/>
      <c r="O206" s="144"/>
      <c r="P206" s="144"/>
      <c r="Q206" s="144"/>
      <c r="R206" s="144"/>
      <c r="S206" s="144"/>
      <c r="T206" s="144"/>
      <c r="U206" s="144"/>
      <c r="V206" s="144"/>
      <c r="W206" s="144"/>
      <c r="X206" s="144"/>
      <c r="Y206" s="144"/>
      <c r="Z206" s="144"/>
      <c r="AA206" s="144"/>
      <c r="AB206" s="144"/>
      <c r="AC206" s="135"/>
      <c r="AD206" s="129" t="s">
        <v>6301</v>
      </c>
      <c r="AE206" s="129" t="s">
        <v>2338</v>
      </c>
      <c r="AF206" s="130">
        <v>1</v>
      </c>
      <c r="AG206" s="129" t="s">
        <v>7256</v>
      </c>
      <c r="AH206" s="130">
        <v>40.19</v>
      </c>
      <c r="AI206" s="130">
        <v>40.19</v>
      </c>
    </row>
    <row r="207" spans="1:35" ht="10.5" customHeight="1" x14ac:dyDescent="0.2">
      <c r="A207" s="115" t="s">
        <v>2097</v>
      </c>
      <c r="B207" s="117" t="s">
        <v>2314</v>
      </c>
      <c r="C207" s="128">
        <v>1</v>
      </c>
      <c r="D207" s="133" t="s">
        <v>7389</v>
      </c>
      <c r="E207" s="138">
        <f>+INDEX(F207:AB207,1,[3]BOD!$I$2-1)</f>
        <v>137.85</v>
      </c>
      <c r="F207" s="140">
        <v>137.85</v>
      </c>
      <c r="G207" s="144"/>
      <c r="H207" s="144">
        <f t="shared" si="3"/>
        <v>689.25</v>
      </c>
      <c r="I207" s="144">
        <f t="shared" si="3"/>
        <v>689.25</v>
      </c>
      <c r="J207" s="144"/>
      <c r="K207" s="144"/>
      <c r="L207" s="144"/>
      <c r="M207" s="144"/>
      <c r="N207" s="144"/>
      <c r="O207" s="144"/>
      <c r="P207" s="144"/>
      <c r="Q207" s="144"/>
      <c r="R207" s="144"/>
      <c r="S207" s="144"/>
      <c r="T207" s="144"/>
      <c r="U207" s="144"/>
      <c r="V207" s="144"/>
      <c r="W207" s="144"/>
      <c r="X207" s="144"/>
      <c r="Y207" s="144"/>
      <c r="Z207" s="144"/>
      <c r="AA207" s="144"/>
      <c r="AB207" s="144"/>
      <c r="AC207" s="135"/>
      <c r="AD207" s="129" t="s">
        <v>5459</v>
      </c>
      <c r="AE207" s="129" t="s">
        <v>2350</v>
      </c>
      <c r="AF207" s="130" t="s">
        <v>5459</v>
      </c>
      <c r="AG207" s="129" t="s">
        <v>236</v>
      </c>
      <c r="AH207" s="130" t="s">
        <v>5459</v>
      </c>
      <c r="AI207" s="130" t="s">
        <v>5459</v>
      </c>
    </row>
    <row r="208" spans="1:35" ht="10.5" customHeight="1" x14ac:dyDescent="0.2">
      <c r="A208" s="117" t="s">
        <v>5459</v>
      </c>
      <c r="B208" s="117" t="s">
        <v>5459</v>
      </c>
      <c r="C208" s="128" t="s">
        <v>5459</v>
      </c>
      <c r="D208" s="133" t="s">
        <v>236</v>
      </c>
      <c r="E208" s="138" t="str">
        <f>+INDEX(F208:AB208,1,[3]BOD!$I$2-1)</f>
        <v/>
      </c>
      <c r="F208" s="140" t="s">
        <v>5459</v>
      </c>
      <c r="G208" s="144"/>
      <c r="H208" s="144" t="str">
        <f t="shared" si="3"/>
        <v/>
      </c>
      <c r="I208" s="144" t="str">
        <f t="shared" si="3"/>
        <v/>
      </c>
      <c r="J208" s="144"/>
      <c r="K208" s="144"/>
      <c r="L208" s="144"/>
      <c r="M208" s="144"/>
      <c r="N208" s="144"/>
      <c r="O208" s="144"/>
      <c r="P208" s="144"/>
      <c r="Q208" s="144"/>
      <c r="R208" s="144"/>
      <c r="S208" s="144"/>
      <c r="T208" s="144"/>
      <c r="U208" s="144"/>
      <c r="V208" s="144"/>
      <c r="W208" s="144"/>
      <c r="X208" s="144"/>
      <c r="Y208" s="144"/>
      <c r="Z208" s="144"/>
      <c r="AA208" s="144"/>
      <c r="AB208" s="144"/>
      <c r="AC208" s="135"/>
      <c r="AD208" s="129" t="s">
        <v>6302</v>
      </c>
      <c r="AE208" s="129" t="s">
        <v>2339</v>
      </c>
      <c r="AF208" s="130">
        <v>1</v>
      </c>
      <c r="AG208" s="129" t="s">
        <v>7256</v>
      </c>
      <c r="AH208" s="130">
        <v>41.17</v>
      </c>
      <c r="AI208" s="130">
        <v>41.17</v>
      </c>
    </row>
    <row r="209" spans="1:35" ht="10.5" customHeight="1" x14ac:dyDescent="0.2">
      <c r="A209" s="115" t="s">
        <v>2098</v>
      </c>
      <c r="B209" s="117" t="s">
        <v>2315</v>
      </c>
      <c r="C209" s="128">
        <v>1</v>
      </c>
      <c r="D209" s="133" t="s">
        <v>7389</v>
      </c>
      <c r="E209" s="138">
        <f>+INDEX(F209:AB209,1,[3]BOD!$I$2-1)</f>
        <v>161.94999999999999</v>
      </c>
      <c r="F209" s="140">
        <v>161.94999999999999</v>
      </c>
      <c r="G209" s="144"/>
      <c r="H209" s="144">
        <f t="shared" si="3"/>
        <v>809.75</v>
      </c>
      <c r="I209" s="144">
        <f t="shared" si="3"/>
        <v>809.75</v>
      </c>
      <c r="J209" s="144"/>
      <c r="K209" s="144"/>
      <c r="L209" s="144"/>
      <c r="M209" s="144"/>
      <c r="N209" s="144"/>
      <c r="O209" s="144"/>
      <c r="P209" s="144"/>
      <c r="Q209" s="144"/>
      <c r="R209" s="144"/>
      <c r="S209" s="144"/>
      <c r="T209" s="144"/>
      <c r="U209" s="144"/>
      <c r="V209" s="144"/>
      <c r="W209" s="144"/>
      <c r="X209" s="144"/>
      <c r="Y209" s="144"/>
      <c r="Z209" s="144"/>
      <c r="AA209" s="144"/>
      <c r="AB209" s="144"/>
      <c r="AC209" s="135"/>
      <c r="AD209" s="129" t="s">
        <v>5459</v>
      </c>
      <c r="AE209" s="129" t="s">
        <v>2350</v>
      </c>
      <c r="AF209" s="130" t="s">
        <v>5459</v>
      </c>
      <c r="AG209" s="129" t="s">
        <v>236</v>
      </c>
      <c r="AH209" s="130" t="s">
        <v>5459</v>
      </c>
      <c r="AI209" s="130" t="s">
        <v>5459</v>
      </c>
    </row>
    <row r="210" spans="1:35" ht="10.5" customHeight="1" x14ac:dyDescent="0.2">
      <c r="A210" s="117" t="s">
        <v>5459</v>
      </c>
      <c r="B210" s="117" t="s">
        <v>5459</v>
      </c>
      <c r="C210" s="128" t="s">
        <v>5459</v>
      </c>
      <c r="D210" s="133" t="s">
        <v>236</v>
      </c>
      <c r="E210" s="138" t="str">
        <f>+INDEX(F210:AB210,1,[3]BOD!$I$2-1)</f>
        <v/>
      </c>
      <c r="F210" s="140" t="s">
        <v>5459</v>
      </c>
      <c r="G210" s="144"/>
      <c r="H210" s="144" t="str">
        <f t="shared" si="3"/>
        <v/>
      </c>
      <c r="I210" s="144" t="str">
        <f t="shared" si="3"/>
        <v/>
      </c>
      <c r="J210" s="144"/>
      <c r="K210" s="144"/>
      <c r="L210" s="144"/>
      <c r="M210" s="144"/>
      <c r="N210" s="144"/>
      <c r="O210" s="144"/>
      <c r="P210" s="144"/>
      <c r="Q210" s="144"/>
      <c r="R210" s="144"/>
      <c r="S210" s="144"/>
      <c r="T210" s="144"/>
      <c r="U210" s="144"/>
      <c r="V210" s="144"/>
      <c r="W210" s="144"/>
      <c r="X210" s="144"/>
      <c r="Y210" s="144"/>
      <c r="Z210" s="144"/>
      <c r="AA210" s="144"/>
      <c r="AB210" s="144"/>
      <c r="AC210" s="135"/>
      <c r="AD210" s="129" t="s">
        <v>6303</v>
      </c>
      <c r="AE210" s="129" t="s">
        <v>2340</v>
      </c>
      <c r="AF210" s="130">
        <v>1</v>
      </c>
      <c r="AG210" s="129" t="s">
        <v>7256</v>
      </c>
      <c r="AH210" s="130">
        <v>43.46</v>
      </c>
      <c r="AI210" s="130">
        <v>43.46</v>
      </c>
    </row>
    <row r="211" spans="1:35" ht="10.5" customHeight="1" x14ac:dyDescent="0.2">
      <c r="A211" s="117" t="s">
        <v>2099</v>
      </c>
      <c r="B211" s="117" t="s">
        <v>2316</v>
      </c>
      <c r="C211" s="128">
        <v>1</v>
      </c>
      <c r="D211" s="133" t="s">
        <v>7389</v>
      </c>
      <c r="E211" s="138">
        <f>+INDEX(F211:AB211,1,[3]BOD!$I$2-1)</f>
        <v>224.72</v>
      </c>
      <c r="F211" s="140">
        <v>224.72</v>
      </c>
      <c r="G211" s="144"/>
      <c r="H211" s="144">
        <f t="shared" si="3"/>
        <v>1123.5999999999999</v>
      </c>
      <c r="I211" s="144">
        <f t="shared" si="3"/>
        <v>1123.5999999999999</v>
      </c>
      <c r="J211" s="144"/>
      <c r="K211" s="144"/>
      <c r="L211" s="144"/>
      <c r="M211" s="144"/>
      <c r="N211" s="144"/>
      <c r="O211" s="144"/>
      <c r="P211" s="144"/>
      <c r="Q211" s="144"/>
      <c r="R211" s="144"/>
      <c r="S211" s="144"/>
      <c r="T211" s="144"/>
      <c r="U211" s="144"/>
      <c r="V211" s="144"/>
      <c r="W211" s="144"/>
      <c r="X211" s="144"/>
      <c r="Y211" s="144"/>
      <c r="Z211" s="144"/>
      <c r="AA211" s="144"/>
      <c r="AB211" s="144"/>
      <c r="AC211" s="135"/>
      <c r="AD211" s="129" t="s">
        <v>5459</v>
      </c>
      <c r="AE211" s="129" t="s">
        <v>2350</v>
      </c>
      <c r="AF211" s="130" t="s">
        <v>5459</v>
      </c>
      <c r="AG211" s="129" t="s">
        <v>236</v>
      </c>
      <c r="AH211" s="130" t="s">
        <v>5459</v>
      </c>
      <c r="AI211" s="130" t="s">
        <v>5459</v>
      </c>
    </row>
    <row r="212" spans="1:35" ht="10.5" customHeight="1" x14ac:dyDescent="0.2">
      <c r="A212" s="117"/>
      <c r="B212" s="117"/>
      <c r="C212" s="128"/>
      <c r="D212" s="133"/>
      <c r="E212" s="138">
        <f>+INDEX(F212:AB212,1,[3]BOD!$I$2-1)</f>
        <v>0</v>
      </c>
      <c r="F212" s="140"/>
      <c r="G212" s="144"/>
      <c r="H212" s="144" t="str">
        <f t="shared" si="3"/>
        <v/>
      </c>
      <c r="I212" s="144" t="str">
        <f t="shared" si="3"/>
        <v/>
      </c>
      <c r="J212" s="144"/>
      <c r="K212" s="144"/>
      <c r="L212" s="144"/>
      <c r="M212" s="144"/>
      <c r="N212" s="144"/>
      <c r="O212" s="144"/>
      <c r="P212" s="144"/>
      <c r="Q212" s="144"/>
      <c r="R212" s="144"/>
      <c r="S212" s="144"/>
      <c r="T212" s="144"/>
      <c r="U212" s="144"/>
      <c r="V212" s="144"/>
      <c r="W212" s="144"/>
      <c r="X212" s="144"/>
      <c r="Y212" s="144"/>
      <c r="Z212" s="144"/>
      <c r="AA212" s="144"/>
      <c r="AB212" s="144"/>
      <c r="AC212" s="135"/>
      <c r="AD212" s="129" t="s">
        <v>6304</v>
      </c>
      <c r="AE212" s="129" t="s">
        <v>2341</v>
      </c>
      <c r="AF212" s="130">
        <v>1</v>
      </c>
      <c r="AG212" s="129" t="s">
        <v>7256</v>
      </c>
      <c r="AH212" s="130">
        <v>45.75</v>
      </c>
      <c r="AI212" s="130">
        <v>45.75</v>
      </c>
    </row>
    <row r="213" spans="1:35" ht="10.5" customHeight="1" x14ac:dyDescent="0.2">
      <c r="A213" s="115" t="s">
        <v>2100</v>
      </c>
      <c r="B213" s="117" t="s">
        <v>2317</v>
      </c>
      <c r="C213" s="128">
        <v>1</v>
      </c>
      <c r="D213" s="133" t="s">
        <v>7389</v>
      </c>
      <c r="E213" s="138">
        <f>+INDEX(F213:AB213,1,[3]BOD!$I$2-1)</f>
        <v>298.44606733072754</v>
      </c>
      <c r="F213" s="140">
        <v>298.44606733072754</v>
      </c>
      <c r="G213" s="144"/>
      <c r="H213" s="144">
        <f t="shared" si="3"/>
        <v>1492.2303366536378</v>
      </c>
      <c r="I213" s="144">
        <f t="shared" si="3"/>
        <v>1492.2303366536378</v>
      </c>
      <c r="J213" s="144"/>
      <c r="K213" s="144"/>
      <c r="L213" s="144"/>
      <c r="M213" s="144"/>
      <c r="N213" s="144"/>
      <c r="O213" s="144"/>
      <c r="P213" s="144"/>
      <c r="Q213" s="144"/>
      <c r="R213" s="144"/>
      <c r="S213" s="144"/>
      <c r="T213" s="144"/>
      <c r="U213" s="144"/>
      <c r="V213" s="144"/>
      <c r="W213" s="144"/>
      <c r="X213" s="144"/>
      <c r="Y213" s="144"/>
      <c r="Z213" s="144"/>
      <c r="AA213" s="144"/>
      <c r="AB213" s="144"/>
      <c r="AC213" s="135"/>
      <c r="AD213" s="129" t="s">
        <v>5459</v>
      </c>
      <c r="AE213" s="129" t="s">
        <v>2350</v>
      </c>
      <c r="AF213" s="130" t="s">
        <v>5459</v>
      </c>
      <c r="AG213" s="129" t="s">
        <v>236</v>
      </c>
      <c r="AH213" s="130" t="s">
        <v>5459</v>
      </c>
      <c r="AI213" s="130" t="s">
        <v>5459</v>
      </c>
    </row>
    <row r="214" spans="1:35" ht="10.5" customHeight="1" x14ac:dyDescent="0.2">
      <c r="A214" s="117"/>
      <c r="B214" s="117"/>
      <c r="C214" s="128"/>
      <c r="D214" s="133"/>
      <c r="E214" s="138">
        <f>+INDEX(F214:AB214,1,[3]BOD!$I$2-1)</f>
        <v>0</v>
      </c>
      <c r="F214" s="140"/>
      <c r="G214" s="144"/>
      <c r="H214" s="144" t="str">
        <f t="shared" si="3"/>
        <v/>
      </c>
      <c r="I214" s="144" t="str">
        <f t="shared" si="3"/>
        <v/>
      </c>
      <c r="J214" s="144"/>
      <c r="K214" s="144"/>
      <c r="L214" s="144"/>
      <c r="M214" s="144"/>
      <c r="N214" s="144"/>
      <c r="O214" s="144"/>
      <c r="P214" s="144"/>
      <c r="Q214" s="144"/>
      <c r="R214" s="144"/>
      <c r="S214" s="144"/>
      <c r="T214" s="144"/>
      <c r="U214" s="144"/>
      <c r="V214" s="144"/>
      <c r="W214" s="144"/>
      <c r="X214" s="144"/>
      <c r="Y214" s="144"/>
      <c r="Z214" s="144"/>
      <c r="AA214" s="144"/>
      <c r="AB214" s="144"/>
      <c r="AC214" s="135"/>
      <c r="AD214" s="129" t="s">
        <v>6305</v>
      </c>
      <c r="AE214" s="129" t="s">
        <v>2342</v>
      </c>
      <c r="AF214" s="130">
        <v>1</v>
      </c>
      <c r="AG214" s="129" t="s">
        <v>7256</v>
      </c>
      <c r="AH214" s="130">
        <v>49.18</v>
      </c>
      <c r="AI214" s="130">
        <v>49.18</v>
      </c>
    </row>
    <row r="215" spans="1:35" ht="10.5" customHeight="1" x14ac:dyDescent="0.2">
      <c r="A215" s="115" t="s">
        <v>2489</v>
      </c>
      <c r="B215" s="117" t="s">
        <v>2310</v>
      </c>
      <c r="C215" s="128">
        <v>1</v>
      </c>
      <c r="D215" s="133" t="s">
        <v>7389</v>
      </c>
      <c r="E215" s="138">
        <f>+INDEX(F215:AB215,1,[3]BOD!$I$2-1)</f>
        <v>32.150999999999996</v>
      </c>
      <c r="F215" s="140">
        <v>32.150999999999996</v>
      </c>
      <c r="G215" s="144"/>
      <c r="H215" s="144">
        <f t="shared" si="3"/>
        <v>160.755</v>
      </c>
      <c r="I215" s="144">
        <f t="shared" si="3"/>
        <v>160.755</v>
      </c>
      <c r="J215" s="144"/>
      <c r="K215" s="144"/>
      <c r="L215" s="144"/>
      <c r="M215" s="144"/>
      <c r="N215" s="144"/>
      <c r="O215" s="144"/>
      <c r="P215" s="144"/>
      <c r="Q215" s="144"/>
      <c r="R215" s="144"/>
      <c r="S215" s="144"/>
      <c r="T215" s="144"/>
      <c r="U215" s="144"/>
      <c r="V215" s="144"/>
      <c r="W215" s="144"/>
      <c r="X215" s="144"/>
      <c r="Y215" s="144"/>
      <c r="Z215" s="144"/>
      <c r="AA215" s="144"/>
      <c r="AB215" s="144"/>
      <c r="AC215" s="135"/>
      <c r="AD215" s="129" t="s">
        <v>5459</v>
      </c>
      <c r="AE215" s="129" t="s">
        <v>2350</v>
      </c>
      <c r="AF215" s="130" t="s">
        <v>5459</v>
      </c>
      <c r="AG215" s="129" t="s">
        <v>236</v>
      </c>
      <c r="AH215" s="130" t="s">
        <v>5459</v>
      </c>
      <c r="AI215" s="130" t="s">
        <v>5459</v>
      </c>
    </row>
    <row r="216" spans="1:35" ht="10.5" customHeight="1" x14ac:dyDescent="0.2">
      <c r="A216" s="117" t="s">
        <v>5459</v>
      </c>
      <c r="B216" s="117" t="s">
        <v>5459</v>
      </c>
      <c r="C216" s="128" t="s">
        <v>5459</v>
      </c>
      <c r="D216" s="133" t="s">
        <v>236</v>
      </c>
      <c r="E216" s="138" t="str">
        <f>+INDEX(F216:AB216,1,[3]BOD!$I$2-1)</f>
        <v/>
      </c>
      <c r="F216" s="140" t="s">
        <v>5459</v>
      </c>
      <c r="G216" s="144"/>
      <c r="H216" s="144" t="str">
        <f t="shared" si="3"/>
        <v/>
      </c>
      <c r="I216" s="144" t="str">
        <f t="shared" si="3"/>
        <v/>
      </c>
      <c r="J216" s="144"/>
      <c r="K216" s="144"/>
      <c r="L216" s="144"/>
      <c r="M216" s="144"/>
      <c r="N216" s="144"/>
      <c r="O216" s="144"/>
      <c r="P216" s="144"/>
      <c r="Q216" s="144"/>
      <c r="R216" s="144"/>
      <c r="S216" s="144"/>
      <c r="T216" s="144"/>
      <c r="U216" s="144"/>
      <c r="V216" s="144"/>
      <c r="W216" s="144"/>
      <c r="X216" s="144"/>
      <c r="Y216" s="144"/>
      <c r="Z216" s="144"/>
      <c r="AA216" s="144"/>
      <c r="AB216" s="144"/>
      <c r="AC216" s="135"/>
      <c r="AD216" s="129" t="s">
        <v>6306</v>
      </c>
      <c r="AE216" s="129" t="s">
        <v>2335</v>
      </c>
      <c r="AF216" s="130">
        <v>1</v>
      </c>
      <c r="AG216" s="129" t="s">
        <v>7256</v>
      </c>
      <c r="AH216" s="130">
        <v>37.700000000000003</v>
      </c>
      <c r="AI216" s="130">
        <v>37.700000000000003</v>
      </c>
    </row>
    <row r="217" spans="1:35" ht="10.5" customHeight="1" x14ac:dyDescent="0.2">
      <c r="A217" s="115" t="s">
        <v>2490</v>
      </c>
      <c r="B217" s="117" t="s">
        <v>2311</v>
      </c>
      <c r="C217" s="128">
        <v>1</v>
      </c>
      <c r="D217" s="133" t="s">
        <v>7389</v>
      </c>
      <c r="E217" s="138">
        <f>+INDEX(F217:AB217,1,[3]BOD!$I$2-1)</f>
        <v>35.860999999999997</v>
      </c>
      <c r="F217" s="140">
        <v>35.860999999999997</v>
      </c>
      <c r="G217" s="144"/>
      <c r="H217" s="144">
        <f t="shared" si="3"/>
        <v>179.30499999999998</v>
      </c>
      <c r="I217" s="144">
        <f t="shared" si="3"/>
        <v>179.30499999999998</v>
      </c>
      <c r="J217" s="144"/>
      <c r="K217" s="144"/>
      <c r="L217" s="144"/>
      <c r="M217" s="144"/>
      <c r="N217" s="144"/>
      <c r="O217" s="144"/>
      <c r="P217" s="144"/>
      <c r="Q217" s="144"/>
      <c r="R217" s="144"/>
      <c r="S217" s="144"/>
      <c r="T217" s="144"/>
      <c r="U217" s="144"/>
      <c r="V217" s="144"/>
      <c r="W217" s="144"/>
      <c r="X217" s="144"/>
      <c r="Y217" s="144"/>
      <c r="Z217" s="144"/>
      <c r="AA217" s="144"/>
      <c r="AB217" s="144"/>
      <c r="AC217" s="135"/>
      <c r="AD217" s="129" t="s">
        <v>5459</v>
      </c>
      <c r="AE217" s="129" t="s">
        <v>2351</v>
      </c>
      <c r="AF217" s="130" t="s">
        <v>5459</v>
      </c>
      <c r="AG217" s="129" t="s">
        <v>236</v>
      </c>
      <c r="AH217" s="130" t="s">
        <v>5459</v>
      </c>
      <c r="AI217" s="130" t="s">
        <v>5459</v>
      </c>
    </row>
    <row r="218" spans="1:35" ht="10.5" customHeight="1" x14ac:dyDescent="0.2">
      <c r="A218" s="117" t="s">
        <v>5459</v>
      </c>
      <c r="B218" s="117"/>
      <c r="C218" s="128" t="s">
        <v>5459</v>
      </c>
      <c r="D218" s="133" t="s">
        <v>236</v>
      </c>
      <c r="E218" s="138" t="str">
        <f>+INDEX(F218:AB218,1,[3]BOD!$I$2-1)</f>
        <v/>
      </c>
      <c r="F218" s="140" t="s">
        <v>5459</v>
      </c>
      <c r="G218" s="144"/>
      <c r="H218" s="144" t="str">
        <f t="shared" si="3"/>
        <v/>
      </c>
      <c r="I218" s="144" t="str">
        <f t="shared" si="3"/>
        <v/>
      </c>
      <c r="J218" s="144"/>
      <c r="K218" s="144"/>
      <c r="L218" s="144"/>
      <c r="M218" s="144"/>
      <c r="N218" s="144"/>
      <c r="O218" s="144"/>
      <c r="P218" s="144"/>
      <c r="Q218" s="144"/>
      <c r="R218" s="144"/>
      <c r="S218" s="144"/>
      <c r="T218" s="144"/>
      <c r="U218" s="144"/>
      <c r="V218" s="144"/>
      <c r="W218" s="144"/>
      <c r="X218" s="144"/>
      <c r="Y218" s="144"/>
      <c r="Z218" s="144"/>
      <c r="AA218" s="144"/>
      <c r="AB218" s="144"/>
      <c r="AC218" s="135"/>
      <c r="AD218" s="129" t="s">
        <v>6307</v>
      </c>
      <c r="AE218" s="129" t="s">
        <v>2336</v>
      </c>
      <c r="AF218" s="130">
        <v>1</v>
      </c>
      <c r="AG218" s="129" t="s">
        <v>7256</v>
      </c>
      <c r="AH218" s="130">
        <v>41.03</v>
      </c>
      <c r="AI218" s="130">
        <v>41.03</v>
      </c>
    </row>
    <row r="219" spans="1:35" ht="10.5" customHeight="1" x14ac:dyDescent="0.2">
      <c r="A219" s="115" t="s">
        <v>2491</v>
      </c>
      <c r="B219" s="117" t="s">
        <v>2312</v>
      </c>
      <c r="C219" s="128">
        <v>1</v>
      </c>
      <c r="D219" s="133" t="s">
        <v>7389</v>
      </c>
      <c r="E219" s="138">
        <f>+INDEX(F219:AB219,1,[3]BOD!$I$2-1)</f>
        <v>45.016999999999996</v>
      </c>
      <c r="F219" s="140">
        <v>45.016999999999996</v>
      </c>
      <c r="G219" s="144"/>
      <c r="H219" s="144">
        <f t="shared" si="3"/>
        <v>225.08499999999998</v>
      </c>
      <c r="I219" s="144">
        <f t="shared" si="3"/>
        <v>225.08499999999998</v>
      </c>
      <c r="J219" s="144"/>
      <c r="K219" s="144"/>
      <c r="L219" s="144"/>
      <c r="M219" s="144"/>
      <c r="N219" s="144"/>
      <c r="O219" s="144"/>
      <c r="P219" s="144"/>
      <c r="Q219" s="144"/>
      <c r="R219" s="144"/>
      <c r="S219" s="144"/>
      <c r="T219" s="144"/>
      <c r="U219" s="144"/>
      <c r="V219" s="144"/>
      <c r="W219" s="144"/>
      <c r="X219" s="144"/>
      <c r="Y219" s="144"/>
      <c r="Z219" s="144"/>
      <c r="AA219" s="144"/>
      <c r="AB219" s="144"/>
      <c r="AC219" s="135"/>
      <c r="AD219" s="129" t="s">
        <v>5459</v>
      </c>
      <c r="AE219" s="129" t="s">
        <v>2351</v>
      </c>
      <c r="AF219" s="130" t="s">
        <v>5459</v>
      </c>
      <c r="AG219" s="129" t="s">
        <v>236</v>
      </c>
      <c r="AH219" s="130" t="s">
        <v>5459</v>
      </c>
      <c r="AI219" s="130" t="s">
        <v>5459</v>
      </c>
    </row>
    <row r="220" spans="1:35" ht="10.5" customHeight="1" x14ac:dyDescent="0.2">
      <c r="A220" s="117" t="s">
        <v>5459</v>
      </c>
      <c r="B220" s="117" t="s">
        <v>5459</v>
      </c>
      <c r="C220" s="128" t="s">
        <v>5459</v>
      </c>
      <c r="D220" s="133" t="s">
        <v>236</v>
      </c>
      <c r="E220" s="138" t="str">
        <f>+INDEX(F220:AB220,1,[3]BOD!$I$2-1)</f>
        <v/>
      </c>
      <c r="F220" s="140" t="s">
        <v>5459</v>
      </c>
      <c r="G220" s="144"/>
      <c r="H220" s="144" t="str">
        <f t="shared" si="3"/>
        <v/>
      </c>
      <c r="I220" s="144" t="str">
        <f t="shared" si="3"/>
        <v/>
      </c>
      <c r="J220" s="144"/>
      <c r="K220" s="144"/>
      <c r="L220" s="144"/>
      <c r="M220" s="144"/>
      <c r="N220" s="144"/>
      <c r="O220" s="144"/>
      <c r="P220" s="144"/>
      <c r="Q220" s="144"/>
      <c r="R220" s="144"/>
      <c r="S220" s="144"/>
      <c r="T220" s="144"/>
      <c r="U220" s="144"/>
      <c r="V220" s="144"/>
      <c r="W220" s="144"/>
      <c r="X220" s="144"/>
      <c r="Y220" s="144"/>
      <c r="Z220" s="144"/>
      <c r="AA220" s="144"/>
      <c r="AB220" s="144"/>
      <c r="AC220" s="135"/>
      <c r="AD220" s="129" t="s">
        <v>6308</v>
      </c>
      <c r="AE220" s="129" t="s">
        <v>2337</v>
      </c>
      <c r="AF220" s="130">
        <v>1</v>
      </c>
      <c r="AG220" s="129" t="s">
        <v>7256</v>
      </c>
      <c r="AH220" s="130">
        <v>44.35</v>
      </c>
      <c r="AI220" s="130">
        <v>44.35</v>
      </c>
    </row>
    <row r="221" spans="1:35" ht="10.5" customHeight="1" x14ac:dyDescent="0.2">
      <c r="A221" s="115" t="s">
        <v>908</v>
      </c>
      <c r="B221" s="117" t="s">
        <v>2313</v>
      </c>
      <c r="C221" s="128">
        <v>1</v>
      </c>
      <c r="D221" s="133" t="s">
        <v>7389</v>
      </c>
      <c r="E221" s="138">
        <f>+INDEX(F221:AB221,1,[3]BOD!$I$2-1)</f>
        <v>63.230999999999995</v>
      </c>
      <c r="F221" s="140">
        <v>63.230999999999995</v>
      </c>
      <c r="G221" s="144"/>
      <c r="H221" s="144">
        <f t="shared" si="3"/>
        <v>316.15499999999997</v>
      </c>
      <c r="I221" s="144">
        <f t="shared" si="3"/>
        <v>316.15499999999997</v>
      </c>
      <c r="J221" s="144"/>
      <c r="K221" s="144"/>
      <c r="L221" s="144"/>
      <c r="M221" s="144"/>
      <c r="N221" s="144"/>
      <c r="O221" s="144"/>
      <c r="P221" s="144"/>
      <c r="Q221" s="144"/>
      <c r="R221" s="144"/>
      <c r="S221" s="144"/>
      <c r="T221" s="144"/>
      <c r="U221" s="144"/>
      <c r="V221" s="144"/>
      <c r="W221" s="144"/>
      <c r="X221" s="144"/>
      <c r="Y221" s="144"/>
      <c r="Z221" s="144"/>
      <c r="AA221" s="144"/>
      <c r="AB221" s="144"/>
      <c r="AC221" s="135"/>
      <c r="AD221" s="129" t="s">
        <v>5459</v>
      </c>
      <c r="AE221" s="129" t="s">
        <v>2351</v>
      </c>
      <c r="AF221" s="130" t="s">
        <v>5459</v>
      </c>
      <c r="AG221" s="129" t="s">
        <v>236</v>
      </c>
      <c r="AH221" s="130" t="s">
        <v>5459</v>
      </c>
      <c r="AI221" s="130" t="s">
        <v>5459</v>
      </c>
    </row>
    <row r="222" spans="1:35" ht="10.5" customHeight="1" x14ac:dyDescent="0.2">
      <c r="A222" s="117" t="s">
        <v>5459</v>
      </c>
      <c r="B222" s="117" t="s">
        <v>5459</v>
      </c>
      <c r="C222" s="128" t="s">
        <v>5459</v>
      </c>
      <c r="D222" s="133" t="s">
        <v>236</v>
      </c>
      <c r="E222" s="138" t="str">
        <f>+INDEX(F222:AB222,1,[3]BOD!$I$2-1)</f>
        <v/>
      </c>
      <c r="F222" s="140" t="s">
        <v>5459</v>
      </c>
      <c r="G222" s="144"/>
      <c r="H222" s="144" t="str">
        <f t="shared" si="3"/>
        <v/>
      </c>
      <c r="I222" s="144" t="str">
        <f t="shared" si="3"/>
        <v/>
      </c>
      <c r="J222" s="144"/>
      <c r="K222" s="144"/>
      <c r="L222" s="144"/>
      <c r="M222" s="144"/>
      <c r="N222" s="144"/>
      <c r="O222" s="144"/>
      <c r="P222" s="144"/>
      <c r="Q222" s="144"/>
      <c r="R222" s="144"/>
      <c r="S222" s="144"/>
      <c r="T222" s="144"/>
      <c r="U222" s="144"/>
      <c r="V222" s="144"/>
      <c r="W222" s="144"/>
      <c r="X222" s="144"/>
      <c r="Y222" s="144"/>
      <c r="Z222" s="144"/>
      <c r="AA222" s="144"/>
      <c r="AB222" s="144"/>
      <c r="AC222" s="135"/>
      <c r="AD222" s="129" t="s">
        <v>6309</v>
      </c>
      <c r="AE222" s="129" t="s">
        <v>2339</v>
      </c>
      <c r="AF222" s="130">
        <v>1</v>
      </c>
      <c r="AG222" s="129" t="s">
        <v>7256</v>
      </c>
      <c r="AH222" s="130">
        <v>45.75</v>
      </c>
      <c r="AI222" s="130">
        <v>45.75</v>
      </c>
    </row>
    <row r="223" spans="1:35" ht="10.5" customHeight="1" x14ac:dyDescent="0.2">
      <c r="A223" s="117" t="s">
        <v>2100</v>
      </c>
      <c r="B223" s="117" t="s">
        <v>2332</v>
      </c>
      <c r="C223" s="128">
        <v>1</v>
      </c>
      <c r="D223" s="133" t="s">
        <v>7389</v>
      </c>
      <c r="E223" s="138">
        <f>+INDEX(F223:AB223,1,[3]BOD!$I$2-1)</f>
        <v>47.23</v>
      </c>
      <c r="F223" s="140">
        <v>47.23</v>
      </c>
      <c r="G223" s="144"/>
      <c r="H223" s="144">
        <f t="shared" si="3"/>
        <v>236.14999999999998</v>
      </c>
      <c r="I223" s="144">
        <f t="shared" si="3"/>
        <v>236.14999999999998</v>
      </c>
      <c r="J223" s="144"/>
      <c r="K223" s="144"/>
      <c r="L223" s="144"/>
      <c r="M223" s="144"/>
      <c r="N223" s="144"/>
      <c r="O223" s="144"/>
      <c r="P223" s="144"/>
      <c r="Q223" s="144"/>
      <c r="R223" s="144"/>
      <c r="S223" s="144"/>
      <c r="T223" s="144"/>
      <c r="U223" s="144"/>
      <c r="V223" s="144"/>
      <c r="W223" s="144"/>
      <c r="X223" s="144"/>
      <c r="Y223" s="144"/>
      <c r="Z223" s="144"/>
      <c r="AA223" s="144"/>
      <c r="AB223" s="144"/>
      <c r="AC223" s="135"/>
      <c r="AD223" s="129" t="s">
        <v>5459</v>
      </c>
      <c r="AE223" s="129" t="s">
        <v>2351</v>
      </c>
      <c r="AF223" s="130" t="s">
        <v>5459</v>
      </c>
      <c r="AG223" s="129" t="s">
        <v>236</v>
      </c>
      <c r="AH223" s="130" t="s">
        <v>5459</v>
      </c>
      <c r="AI223" s="130" t="s">
        <v>5459</v>
      </c>
    </row>
    <row r="224" spans="1:35" ht="10.5" customHeight="1" x14ac:dyDescent="0.2">
      <c r="A224" s="117" t="s">
        <v>5459</v>
      </c>
      <c r="B224" s="117" t="s">
        <v>5459</v>
      </c>
      <c r="C224" s="128" t="s">
        <v>5459</v>
      </c>
      <c r="D224" s="133" t="s">
        <v>236</v>
      </c>
      <c r="E224" s="138" t="str">
        <f>+INDEX(F224:AB224,1,[3]BOD!$I$2-1)</f>
        <v/>
      </c>
      <c r="F224" s="140" t="s">
        <v>5459</v>
      </c>
      <c r="G224" s="144"/>
      <c r="H224" s="144" t="str">
        <f t="shared" si="3"/>
        <v/>
      </c>
      <c r="I224" s="144" t="str">
        <f t="shared" si="3"/>
        <v/>
      </c>
      <c r="J224" s="144"/>
      <c r="K224" s="144"/>
      <c r="L224" s="144"/>
      <c r="M224" s="144"/>
      <c r="N224" s="144"/>
      <c r="O224" s="144"/>
      <c r="P224" s="144"/>
      <c r="Q224" s="144"/>
      <c r="R224" s="144"/>
      <c r="S224" s="144"/>
      <c r="T224" s="144"/>
      <c r="U224" s="144"/>
      <c r="V224" s="144"/>
      <c r="W224" s="144"/>
      <c r="X224" s="144"/>
      <c r="Y224" s="144"/>
      <c r="Z224" s="144"/>
      <c r="AA224" s="144"/>
      <c r="AB224" s="144"/>
      <c r="AC224" s="135"/>
      <c r="AD224" s="129" t="s">
        <v>5287</v>
      </c>
      <c r="AE224" s="129" t="s">
        <v>2340</v>
      </c>
      <c r="AF224" s="130">
        <v>1</v>
      </c>
      <c r="AG224" s="129" t="s">
        <v>7256</v>
      </c>
      <c r="AH224" s="130">
        <v>50.32</v>
      </c>
      <c r="AI224" s="130">
        <v>50.32</v>
      </c>
    </row>
    <row r="225" spans="1:35" ht="10.5" customHeight="1" x14ac:dyDescent="0.2">
      <c r="A225" s="117" t="s">
        <v>7251</v>
      </c>
      <c r="B225" s="117" t="s">
        <v>2318</v>
      </c>
      <c r="C225" s="128"/>
      <c r="D225" s="133"/>
      <c r="E225" s="138"/>
      <c r="F225" s="140"/>
      <c r="G225" s="144"/>
      <c r="H225" s="144" t="str">
        <f t="shared" si="3"/>
        <v/>
      </c>
      <c r="I225" s="144" t="str">
        <f t="shared" si="3"/>
        <v/>
      </c>
      <c r="J225" s="144"/>
      <c r="K225" s="144"/>
      <c r="L225" s="144"/>
      <c r="M225" s="144"/>
      <c r="N225" s="144"/>
      <c r="O225" s="144"/>
      <c r="P225" s="144"/>
      <c r="Q225" s="144"/>
      <c r="R225" s="144"/>
      <c r="S225" s="144"/>
      <c r="T225" s="144"/>
      <c r="U225" s="144"/>
      <c r="V225" s="144"/>
      <c r="W225" s="144"/>
      <c r="X225" s="144"/>
      <c r="Y225" s="144"/>
      <c r="Z225" s="144"/>
      <c r="AA225" s="144"/>
      <c r="AB225" s="144"/>
      <c r="AC225" s="135"/>
      <c r="AD225" s="129" t="s">
        <v>5459</v>
      </c>
      <c r="AE225" s="129" t="s">
        <v>2351</v>
      </c>
      <c r="AF225" s="130" t="s">
        <v>5459</v>
      </c>
      <c r="AG225" s="129" t="s">
        <v>236</v>
      </c>
      <c r="AH225" s="130" t="s">
        <v>5459</v>
      </c>
      <c r="AI225" s="130" t="s">
        <v>5459</v>
      </c>
    </row>
    <row r="226" spans="1:35" ht="10.5" customHeight="1" x14ac:dyDescent="0.2">
      <c r="A226" s="117" t="s">
        <v>5459</v>
      </c>
      <c r="B226" s="117" t="s">
        <v>5459</v>
      </c>
      <c r="C226" s="128" t="s">
        <v>5459</v>
      </c>
      <c r="D226" s="133" t="s">
        <v>236</v>
      </c>
      <c r="E226" s="138" t="str">
        <f>+INDEX(F226:AB226,1,[3]BOD!$I$2-1)</f>
        <v/>
      </c>
      <c r="F226" s="140" t="s">
        <v>5459</v>
      </c>
      <c r="G226" s="144"/>
      <c r="H226" s="144" t="str">
        <f t="shared" si="3"/>
        <v/>
      </c>
      <c r="I226" s="144" t="str">
        <f t="shared" si="3"/>
        <v/>
      </c>
      <c r="J226" s="144"/>
      <c r="K226" s="144"/>
      <c r="L226" s="144"/>
      <c r="M226" s="144"/>
      <c r="N226" s="144"/>
      <c r="O226" s="144"/>
      <c r="P226" s="144"/>
      <c r="Q226" s="144"/>
      <c r="R226" s="144"/>
      <c r="S226" s="144"/>
      <c r="T226" s="144"/>
      <c r="U226" s="144"/>
      <c r="V226" s="144"/>
      <c r="W226" s="144"/>
      <c r="X226" s="144"/>
      <c r="Y226" s="144"/>
      <c r="Z226" s="144"/>
      <c r="AA226" s="144"/>
      <c r="AB226" s="144"/>
      <c r="AC226" s="135"/>
      <c r="AD226" s="129" t="s">
        <v>5288</v>
      </c>
      <c r="AE226" s="129" t="s">
        <v>2341</v>
      </c>
      <c r="AF226" s="130">
        <v>1</v>
      </c>
      <c r="AG226" s="129" t="s">
        <v>7256</v>
      </c>
      <c r="AH226" s="130">
        <v>54.9</v>
      </c>
      <c r="AI226" s="130">
        <v>54.9</v>
      </c>
    </row>
    <row r="227" spans="1:35" ht="10.5" customHeight="1" x14ac:dyDescent="0.2">
      <c r="A227" s="117" t="s">
        <v>7252</v>
      </c>
      <c r="B227" s="117" t="s">
        <v>2319</v>
      </c>
      <c r="C227" s="128">
        <v>1</v>
      </c>
      <c r="D227" s="133" t="s">
        <v>7389</v>
      </c>
      <c r="E227" s="138">
        <f>+INDEX(F227:AB227,1,[3]BOD!$I$2-1)</f>
        <v>23.38</v>
      </c>
      <c r="F227" s="140">
        <v>23.38</v>
      </c>
      <c r="G227" s="144"/>
      <c r="H227" s="144">
        <f t="shared" si="3"/>
        <v>116.89999999999999</v>
      </c>
      <c r="I227" s="144">
        <f t="shared" si="3"/>
        <v>116.89999999999999</v>
      </c>
      <c r="J227" s="144"/>
      <c r="K227" s="144"/>
      <c r="L227" s="144"/>
      <c r="M227" s="144"/>
      <c r="N227" s="144"/>
      <c r="O227" s="144"/>
      <c r="P227" s="144"/>
      <c r="Q227" s="144"/>
      <c r="R227" s="144"/>
      <c r="S227" s="144"/>
      <c r="T227" s="144"/>
      <c r="U227" s="144"/>
      <c r="V227" s="144"/>
      <c r="W227" s="144"/>
      <c r="X227" s="144"/>
      <c r="Y227" s="144"/>
      <c r="Z227" s="144"/>
      <c r="AA227" s="144"/>
      <c r="AB227" s="144"/>
      <c r="AC227" s="135"/>
      <c r="AD227" s="129" t="s">
        <v>5459</v>
      </c>
      <c r="AE227" s="129" t="s">
        <v>2351</v>
      </c>
      <c r="AF227" s="130" t="s">
        <v>5459</v>
      </c>
      <c r="AG227" s="129" t="s">
        <v>236</v>
      </c>
      <c r="AH227" s="130" t="s">
        <v>5459</v>
      </c>
      <c r="AI227" s="130" t="s">
        <v>5459</v>
      </c>
    </row>
    <row r="228" spans="1:35" ht="10.5" customHeight="1" x14ac:dyDescent="0.2">
      <c r="A228" s="117" t="s">
        <v>5459</v>
      </c>
      <c r="B228" s="117" t="s">
        <v>5459</v>
      </c>
      <c r="C228" s="128" t="s">
        <v>5459</v>
      </c>
      <c r="D228" s="133" t="s">
        <v>236</v>
      </c>
      <c r="E228" s="138" t="str">
        <f>+INDEX(F228:AB228,1,[3]BOD!$I$2-1)</f>
        <v/>
      </c>
      <c r="F228" s="140" t="s">
        <v>5459</v>
      </c>
      <c r="G228" s="144"/>
      <c r="H228" s="144" t="str">
        <f t="shared" si="3"/>
        <v/>
      </c>
      <c r="I228" s="144" t="str">
        <f t="shared" si="3"/>
        <v/>
      </c>
      <c r="J228" s="144"/>
      <c r="K228" s="144"/>
      <c r="L228" s="144"/>
      <c r="M228" s="144"/>
      <c r="N228" s="144"/>
      <c r="O228" s="144"/>
      <c r="P228" s="144"/>
      <c r="Q228" s="144"/>
      <c r="R228" s="144"/>
      <c r="S228" s="144"/>
      <c r="T228" s="144"/>
      <c r="U228" s="144"/>
      <c r="V228" s="144"/>
      <c r="W228" s="144"/>
      <c r="X228" s="144"/>
      <c r="Y228" s="144"/>
      <c r="Z228" s="144"/>
      <c r="AA228" s="144"/>
      <c r="AB228" s="144"/>
      <c r="AC228" s="135"/>
      <c r="AD228" s="129" t="s">
        <v>5289</v>
      </c>
      <c r="AE228" s="129" t="s">
        <v>2352</v>
      </c>
      <c r="AF228" s="130">
        <v>0</v>
      </c>
      <c r="AG228" s="129" t="s">
        <v>236</v>
      </c>
      <c r="AH228" s="130">
        <v>1924.12</v>
      </c>
      <c r="AI228" s="130">
        <v>0</v>
      </c>
    </row>
    <row r="229" spans="1:35" ht="10.5" customHeight="1" x14ac:dyDescent="0.2">
      <c r="A229" s="117" t="s">
        <v>7253</v>
      </c>
      <c r="B229" s="117" t="s">
        <v>2320</v>
      </c>
      <c r="C229" s="128">
        <v>1</v>
      </c>
      <c r="D229" s="133" t="s">
        <v>7389</v>
      </c>
      <c r="E229" s="138">
        <f>+INDEX(F229:AB229,1,[3]BOD!$I$2-1)</f>
        <v>23.64</v>
      </c>
      <c r="F229" s="140">
        <v>23.64</v>
      </c>
      <c r="G229" s="144"/>
      <c r="H229" s="144">
        <f t="shared" si="3"/>
        <v>118.2</v>
      </c>
      <c r="I229" s="144">
        <f t="shared" si="3"/>
        <v>118.2</v>
      </c>
      <c r="J229" s="144"/>
      <c r="K229" s="144"/>
      <c r="L229" s="144"/>
      <c r="M229" s="144"/>
      <c r="N229" s="144"/>
      <c r="O229" s="144"/>
      <c r="P229" s="144"/>
      <c r="Q229" s="144"/>
      <c r="R229" s="144"/>
      <c r="S229" s="144"/>
      <c r="T229" s="144"/>
      <c r="U229" s="144"/>
      <c r="V229" s="144"/>
      <c r="W229" s="144"/>
      <c r="X229" s="144"/>
      <c r="Y229" s="144"/>
      <c r="Z229" s="144"/>
      <c r="AA229" s="144"/>
      <c r="AB229" s="144"/>
      <c r="AC229" s="135"/>
      <c r="AD229" s="129" t="s">
        <v>5459</v>
      </c>
      <c r="AE229" s="129" t="s">
        <v>5459</v>
      </c>
      <c r="AF229" s="130" t="s">
        <v>5459</v>
      </c>
      <c r="AG229" s="129" t="s">
        <v>236</v>
      </c>
      <c r="AH229" s="130" t="s">
        <v>5459</v>
      </c>
      <c r="AI229" s="130" t="s">
        <v>5459</v>
      </c>
    </row>
    <row r="230" spans="1:35" ht="10.5" customHeight="1" x14ac:dyDescent="0.2">
      <c r="A230" s="117" t="s">
        <v>5459</v>
      </c>
      <c r="B230" s="117" t="s">
        <v>5459</v>
      </c>
      <c r="C230" s="128" t="s">
        <v>5459</v>
      </c>
      <c r="D230" s="133" t="s">
        <v>236</v>
      </c>
      <c r="E230" s="138" t="str">
        <f>+INDEX(F230:AB230,1,[3]BOD!$I$2-1)</f>
        <v/>
      </c>
      <c r="F230" s="140" t="s">
        <v>5459</v>
      </c>
      <c r="G230" s="144"/>
      <c r="H230" s="144" t="str">
        <f t="shared" si="3"/>
        <v/>
      </c>
      <c r="I230" s="144" t="str">
        <f t="shared" si="3"/>
        <v/>
      </c>
      <c r="J230" s="144"/>
      <c r="K230" s="144"/>
      <c r="L230" s="144"/>
      <c r="M230" s="144"/>
      <c r="N230" s="144"/>
      <c r="O230" s="144"/>
      <c r="P230" s="144"/>
      <c r="Q230" s="144"/>
      <c r="R230" s="144"/>
      <c r="S230" s="144"/>
      <c r="T230" s="144"/>
      <c r="U230" s="144"/>
      <c r="V230" s="144"/>
      <c r="W230" s="144"/>
      <c r="X230" s="144"/>
      <c r="Y230" s="144"/>
      <c r="Z230" s="144"/>
      <c r="AA230" s="144"/>
      <c r="AB230" s="144"/>
      <c r="AC230" s="135"/>
      <c r="AD230" s="129" t="s">
        <v>2438</v>
      </c>
      <c r="AE230" s="129" t="s">
        <v>2352</v>
      </c>
      <c r="AF230" s="130">
        <v>0</v>
      </c>
      <c r="AG230" s="129" t="s">
        <v>236</v>
      </c>
      <c r="AH230" s="130">
        <v>1924.12</v>
      </c>
      <c r="AI230" s="130">
        <v>0</v>
      </c>
    </row>
    <row r="231" spans="1:35" ht="10.5" customHeight="1" x14ac:dyDescent="0.2">
      <c r="A231" s="115" t="s">
        <v>7343</v>
      </c>
      <c r="B231" s="117" t="s">
        <v>2321</v>
      </c>
      <c r="C231" s="128">
        <v>1</v>
      </c>
      <c r="D231" s="133" t="s">
        <v>7389</v>
      </c>
      <c r="E231" s="138">
        <f>+INDEX(F231:AB231,1,[3]BOD!$I$2-1)</f>
        <v>25.264991141486451</v>
      </c>
      <c r="F231" s="140">
        <v>25.264991141486451</v>
      </c>
      <c r="G231" s="144"/>
      <c r="H231" s="144">
        <f t="shared" si="3"/>
        <v>126.32495570743225</v>
      </c>
      <c r="I231" s="144">
        <f t="shared" si="3"/>
        <v>126.32495570743225</v>
      </c>
      <c r="J231" s="144"/>
      <c r="K231" s="144"/>
      <c r="L231" s="144"/>
      <c r="M231" s="144"/>
      <c r="N231" s="144"/>
      <c r="O231" s="144"/>
      <c r="P231" s="144"/>
      <c r="Q231" s="144"/>
      <c r="R231" s="144"/>
      <c r="S231" s="144"/>
      <c r="T231" s="144"/>
      <c r="U231" s="144"/>
      <c r="V231" s="144"/>
      <c r="W231" s="144"/>
      <c r="X231" s="144"/>
      <c r="Y231" s="144"/>
      <c r="Z231" s="144"/>
      <c r="AA231" s="144"/>
      <c r="AB231" s="144"/>
      <c r="AC231" s="135"/>
      <c r="AD231" s="129" t="s">
        <v>5459</v>
      </c>
      <c r="AE231" s="129" t="s">
        <v>5459</v>
      </c>
      <c r="AF231" s="130" t="s">
        <v>5459</v>
      </c>
      <c r="AG231" s="129" t="s">
        <v>236</v>
      </c>
      <c r="AH231" s="130" t="s">
        <v>5459</v>
      </c>
      <c r="AI231" s="130" t="s">
        <v>5459</v>
      </c>
    </row>
    <row r="232" spans="1:35" ht="10.5" customHeight="1" x14ac:dyDescent="0.2">
      <c r="A232" s="117" t="s">
        <v>5459</v>
      </c>
      <c r="B232" s="117" t="s">
        <v>5459</v>
      </c>
      <c r="C232" s="128" t="s">
        <v>5459</v>
      </c>
      <c r="D232" s="133" t="s">
        <v>236</v>
      </c>
      <c r="E232" s="138" t="str">
        <f>+INDEX(F232:AB232,1,[3]BOD!$I$2-1)</f>
        <v/>
      </c>
      <c r="F232" s="140" t="s">
        <v>5459</v>
      </c>
      <c r="G232" s="144"/>
      <c r="H232" s="144" t="str">
        <f t="shared" si="3"/>
        <v/>
      </c>
      <c r="I232" s="144" t="str">
        <f t="shared" si="3"/>
        <v/>
      </c>
      <c r="J232" s="144"/>
      <c r="K232" s="144"/>
      <c r="L232" s="144"/>
      <c r="M232" s="144"/>
      <c r="N232" s="144"/>
      <c r="O232" s="144"/>
      <c r="P232" s="144"/>
      <c r="Q232" s="144"/>
      <c r="R232" s="144"/>
      <c r="S232" s="144"/>
      <c r="T232" s="144"/>
      <c r="U232" s="144"/>
      <c r="V232" s="144"/>
      <c r="W232" s="144"/>
      <c r="X232" s="144"/>
      <c r="Y232" s="144"/>
      <c r="Z232" s="144"/>
      <c r="AA232" s="144"/>
      <c r="AB232" s="144"/>
      <c r="AC232" s="135"/>
      <c r="AD232" s="129" t="s">
        <v>7564</v>
      </c>
      <c r="AE232" s="129" t="s">
        <v>2353</v>
      </c>
      <c r="AF232" s="130">
        <v>1</v>
      </c>
      <c r="AG232" s="129" t="s">
        <v>7256</v>
      </c>
      <c r="AH232" s="130">
        <v>69.86</v>
      </c>
      <c r="AI232" s="130">
        <v>69.86</v>
      </c>
    </row>
    <row r="233" spans="1:35" ht="10.5" customHeight="1" x14ac:dyDescent="0.2">
      <c r="A233" s="115" t="s">
        <v>7344</v>
      </c>
      <c r="B233" s="117" t="s">
        <v>2322</v>
      </c>
      <c r="C233" s="128">
        <v>1</v>
      </c>
      <c r="D233" s="133" t="s">
        <v>7389</v>
      </c>
      <c r="E233" s="138">
        <f>+INDEX(F233:AB233,1,[3]BOD!$I$2-1)</f>
        <v>26.29508036590072</v>
      </c>
      <c r="F233" s="140">
        <v>26.29508036590072</v>
      </c>
      <c r="G233" s="144"/>
      <c r="H233" s="144">
        <f t="shared" si="3"/>
        <v>131.4754018295036</v>
      </c>
      <c r="I233" s="144">
        <f t="shared" si="3"/>
        <v>131.4754018295036</v>
      </c>
      <c r="J233" s="144"/>
      <c r="K233" s="144"/>
      <c r="L233" s="144"/>
      <c r="M233" s="144"/>
      <c r="N233" s="144"/>
      <c r="O233" s="144"/>
      <c r="P233" s="144"/>
      <c r="Q233" s="144"/>
      <c r="R233" s="144"/>
      <c r="S233" s="144"/>
      <c r="T233" s="144"/>
      <c r="U233" s="144"/>
      <c r="V233" s="144"/>
      <c r="W233" s="144"/>
      <c r="X233" s="144"/>
      <c r="Y233" s="144"/>
      <c r="Z233" s="144"/>
      <c r="AA233" s="144"/>
      <c r="AB233" s="144"/>
      <c r="AC233" s="135"/>
      <c r="AD233" s="129" t="s">
        <v>5459</v>
      </c>
      <c r="AE233" s="129" t="s">
        <v>2357</v>
      </c>
      <c r="AF233" s="130" t="s">
        <v>5459</v>
      </c>
      <c r="AG233" s="129" t="s">
        <v>236</v>
      </c>
      <c r="AH233" s="130" t="s">
        <v>5459</v>
      </c>
      <c r="AI233" s="130" t="s">
        <v>5459</v>
      </c>
    </row>
    <row r="234" spans="1:35" ht="10.5" customHeight="1" x14ac:dyDescent="0.2">
      <c r="A234" s="117" t="s">
        <v>5459</v>
      </c>
      <c r="B234" s="117" t="s">
        <v>5459</v>
      </c>
      <c r="C234" s="128" t="s">
        <v>5459</v>
      </c>
      <c r="D234" s="133" t="s">
        <v>236</v>
      </c>
      <c r="E234" s="138" t="str">
        <f>+INDEX(F234:AB234,1,[3]BOD!$I$2-1)</f>
        <v/>
      </c>
      <c r="F234" s="140" t="s">
        <v>5459</v>
      </c>
      <c r="G234" s="144"/>
      <c r="H234" s="144" t="str">
        <f t="shared" si="3"/>
        <v/>
      </c>
      <c r="I234" s="144" t="str">
        <f t="shared" si="3"/>
        <v/>
      </c>
      <c r="J234" s="144"/>
      <c r="K234" s="144"/>
      <c r="L234" s="144"/>
      <c r="M234" s="144"/>
      <c r="N234" s="144"/>
      <c r="O234" s="144"/>
      <c r="P234" s="144"/>
      <c r="Q234" s="144"/>
      <c r="R234" s="144"/>
      <c r="S234" s="144"/>
      <c r="T234" s="144"/>
      <c r="U234" s="144"/>
      <c r="V234" s="144"/>
      <c r="W234" s="144"/>
      <c r="X234" s="144"/>
      <c r="Y234" s="144"/>
      <c r="Z234" s="144"/>
      <c r="AA234" s="144"/>
      <c r="AB234" s="144"/>
      <c r="AC234" s="135"/>
      <c r="AD234" s="129" t="s">
        <v>7565</v>
      </c>
      <c r="AE234" s="129" t="s">
        <v>2354</v>
      </c>
      <c r="AF234" s="130">
        <v>1</v>
      </c>
      <c r="AG234" s="129" t="s">
        <v>7256</v>
      </c>
      <c r="AH234" s="130">
        <v>91.15</v>
      </c>
      <c r="AI234" s="130">
        <v>91.15</v>
      </c>
    </row>
    <row r="235" spans="1:35" ht="10.5" customHeight="1" x14ac:dyDescent="0.2">
      <c r="A235" s="117" t="s">
        <v>7254</v>
      </c>
      <c r="B235" s="117" t="s">
        <v>2327</v>
      </c>
      <c r="C235" s="128"/>
      <c r="D235" s="133"/>
      <c r="E235" s="138"/>
      <c r="F235" s="140"/>
      <c r="G235" s="144"/>
      <c r="H235" s="144" t="str">
        <f t="shared" si="3"/>
        <v/>
      </c>
      <c r="I235" s="144" t="str">
        <f t="shared" si="3"/>
        <v/>
      </c>
      <c r="J235" s="144"/>
      <c r="K235" s="144"/>
      <c r="L235" s="144"/>
      <c r="M235" s="144"/>
      <c r="N235" s="144"/>
      <c r="O235" s="144"/>
      <c r="P235" s="144"/>
      <c r="Q235" s="144"/>
      <c r="R235" s="144"/>
      <c r="S235" s="144"/>
      <c r="T235" s="144"/>
      <c r="U235" s="144"/>
      <c r="V235" s="144"/>
      <c r="W235" s="144"/>
      <c r="X235" s="144"/>
      <c r="Y235" s="144"/>
      <c r="Z235" s="144"/>
      <c r="AA235" s="144"/>
      <c r="AB235" s="144"/>
      <c r="AC235" s="135"/>
      <c r="AD235" s="129" t="s">
        <v>5459</v>
      </c>
      <c r="AE235" s="129" t="s">
        <v>2357</v>
      </c>
      <c r="AF235" s="130" t="s">
        <v>5459</v>
      </c>
      <c r="AG235" s="129" t="s">
        <v>236</v>
      </c>
      <c r="AH235" s="130" t="s">
        <v>5459</v>
      </c>
      <c r="AI235" s="130" t="s">
        <v>5459</v>
      </c>
    </row>
    <row r="236" spans="1:35" ht="10.5" customHeight="1" x14ac:dyDescent="0.2">
      <c r="A236" s="117" t="s">
        <v>5459</v>
      </c>
      <c r="B236" s="117" t="s">
        <v>5459</v>
      </c>
      <c r="C236" s="128" t="s">
        <v>5459</v>
      </c>
      <c r="D236" s="133" t="s">
        <v>236</v>
      </c>
      <c r="E236" s="138" t="str">
        <f>+INDEX(F236:AB236,1,[3]BOD!$I$2-1)</f>
        <v/>
      </c>
      <c r="F236" s="140" t="s">
        <v>5459</v>
      </c>
      <c r="G236" s="144"/>
      <c r="H236" s="144" t="str">
        <f t="shared" si="3"/>
        <v/>
      </c>
      <c r="I236" s="144" t="str">
        <f t="shared" si="3"/>
        <v/>
      </c>
      <c r="J236" s="144"/>
      <c r="K236" s="144"/>
      <c r="L236" s="144"/>
      <c r="M236" s="144"/>
      <c r="N236" s="144"/>
      <c r="O236" s="144"/>
      <c r="P236" s="144"/>
      <c r="Q236" s="144"/>
      <c r="R236" s="144"/>
      <c r="S236" s="144"/>
      <c r="T236" s="144"/>
      <c r="U236" s="144"/>
      <c r="V236" s="144"/>
      <c r="W236" s="144"/>
      <c r="X236" s="144"/>
      <c r="Y236" s="144"/>
      <c r="Z236" s="144"/>
      <c r="AA236" s="144"/>
      <c r="AB236" s="144"/>
      <c r="AC236" s="135"/>
      <c r="AD236" s="129" t="s">
        <v>8381</v>
      </c>
      <c r="AE236" s="129" t="s">
        <v>2355</v>
      </c>
      <c r="AF236" s="130">
        <v>1</v>
      </c>
      <c r="AG236" s="129" t="s">
        <v>7256</v>
      </c>
      <c r="AH236" s="130">
        <v>112.65</v>
      </c>
      <c r="AI236" s="130">
        <v>112.65</v>
      </c>
    </row>
    <row r="237" spans="1:35" ht="10.5" customHeight="1" x14ac:dyDescent="0.2">
      <c r="A237" s="117" t="s">
        <v>7255</v>
      </c>
      <c r="B237" s="117" t="s">
        <v>2345</v>
      </c>
      <c r="C237" s="128">
        <v>1</v>
      </c>
      <c r="D237" s="133" t="s">
        <v>7256</v>
      </c>
      <c r="E237" s="138">
        <f>+INDEX(F237:AB237,1,[3]BOD!$I$2-1)</f>
        <v>27.5</v>
      </c>
      <c r="F237" s="140">
        <v>27.5</v>
      </c>
      <c r="G237" s="144"/>
      <c r="H237" s="144">
        <f t="shared" si="3"/>
        <v>137.5</v>
      </c>
      <c r="I237" s="144">
        <f t="shared" si="3"/>
        <v>137.5</v>
      </c>
      <c r="J237" s="144"/>
      <c r="K237" s="144"/>
      <c r="L237" s="144"/>
      <c r="M237" s="144"/>
      <c r="N237" s="144"/>
      <c r="O237" s="144"/>
      <c r="P237" s="144"/>
      <c r="Q237" s="144"/>
      <c r="R237" s="144"/>
      <c r="S237" s="144"/>
      <c r="T237" s="144"/>
      <c r="U237" s="144"/>
      <c r="V237" s="144"/>
      <c r="W237" s="144"/>
      <c r="X237" s="144"/>
      <c r="Y237" s="144"/>
      <c r="Z237" s="144"/>
      <c r="AA237" s="144"/>
      <c r="AB237" s="144"/>
      <c r="AC237" s="135"/>
      <c r="AD237" s="129" t="s">
        <v>5459</v>
      </c>
      <c r="AE237" s="129" t="s">
        <v>2357</v>
      </c>
      <c r="AF237" s="130" t="s">
        <v>5459</v>
      </c>
      <c r="AG237" s="129" t="s">
        <v>236</v>
      </c>
      <c r="AH237" s="130" t="s">
        <v>5459</v>
      </c>
      <c r="AI237" s="130" t="s">
        <v>5459</v>
      </c>
    </row>
    <row r="238" spans="1:35" ht="10.5" customHeight="1" x14ac:dyDescent="0.2">
      <c r="A238" s="117" t="s">
        <v>5459</v>
      </c>
      <c r="B238" s="117" t="s">
        <v>2333</v>
      </c>
      <c r="C238" s="128" t="s">
        <v>5459</v>
      </c>
      <c r="D238" s="133" t="s">
        <v>236</v>
      </c>
      <c r="E238" s="138" t="str">
        <f>+INDEX(F238:AB238,1,[3]BOD!$I$2-1)</f>
        <v/>
      </c>
      <c r="F238" s="140" t="s">
        <v>5459</v>
      </c>
      <c r="G238" s="144"/>
      <c r="H238" s="144" t="str">
        <f t="shared" si="3"/>
        <v/>
      </c>
      <c r="I238" s="144" t="str">
        <f t="shared" si="3"/>
        <v/>
      </c>
      <c r="J238" s="144"/>
      <c r="K238" s="144"/>
      <c r="L238" s="144"/>
      <c r="M238" s="144"/>
      <c r="N238" s="144"/>
      <c r="O238" s="144"/>
      <c r="P238" s="144"/>
      <c r="Q238" s="144"/>
      <c r="R238" s="144"/>
      <c r="S238" s="144"/>
      <c r="T238" s="144"/>
      <c r="U238" s="144"/>
      <c r="V238" s="144"/>
      <c r="W238" s="144"/>
      <c r="X238" s="144"/>
      <c r="Y238" s="144"/>
      <c r="Z238" s="144"/>
      <c r="AA238" s="144"/>
      <c r="AB238" s="144"/>
      <c r="AC238" s="135"/>
      <c r="AD238" s="129" t="s">
        <v>8382</v>
      </c>
      <c r="AE238" s="129" t="s">
        <v>2356</v>
      </c>
      <c r="AF238" s="130">
        <v>1</v>
      </c>
      <c r="AG238" s="129" t="s">
        <v>7256</v>
      </c>
      <c r="AH238" s="130">
        <v>136.65</v>
      </c>
      <c r="AI238" s="130">
        <v>136.65</v>
      </c>
    </row>
    <row r="239" spans="1:35" ht="10.5" customHeight="1" x14ac:dyDescent="0.2">
      <c r="A239" s="117" t="s">
        <v>7257</v>
      </c>
      <c r="B239" s="117" t="s">
        <v>2346</v>
      </c>
      <c r="C239" s="128">
        <v>1</v>
      </c>
      <c r="D239" s="133" t="s">
        <v>7256</v>
      </c>
      <c r="E239" s="138">
        <f>+INDEX(F239:AB239,1,[3]BOD!$I$2-1)</f>
        <v>30.8</v>
      </c>
      <c r="F239" s="140">
        <v>30.8</v>
      </c>
      <c r="G239" s="144"/>
      <c r="H239" s="144">
        <f t="shared" si="3"/>
        <v>154</v>
      </c>
      <c r="I239" s="144">
        <f t="shared" si="3"/>
        <v>154</v>
      </c>
      <c r="J239" s="144"/>
      <c r="K239" s="144"/>
      <c r="L239" s="144"/>
      <c r="M239" s="144"/>
      <c r="N239" s="144"/>
      <c r="O239" s="144"/>
      <c r="P239" s="144"/>
      <c r="Q239" s="144"/>
      <c r="R239" s="144"/>
      <c r="S239" s="144"/>
      <c r="T239" s="144"/>
      <c r="U239" s="144"/>
      <c r="V239" s="144"/>
      <c r="W239" s="144"/>
      <c r="X239" s="144"/>
      <c r="Y239" s="144"/>
      <c r="Z239" s="144"/>
      <c r="AA239" s="144"/>
      <c r="AB239" s="144"/>
      <c r="AC239" s="135"/>
      <c r="AD239" s="129" t="s">
        <v>5459</v>
      </c>
      <c r="AE239" s="129" t="s">
        <v>2357</v>
      </c>
      <c r="AF239" s="130" t="s">
        <v>5459</v>
      </c>
      <c r="AG239" s="129" t="s">
        <v>236</v>
      </c>
      <c r="AH239" s="130" t="s">
        <v>5459</v>
      </c>
      <c r="AI239" s="130" t="s">
        <v>5459</v>
      </c>
    </row>
    <row r="240" spans="1:35" ht="10.5" customHeight="1" x14ac:dyDescent="0.2">
      <c r="A240" s="117" t="s">
        <v>5459</v>
      </c>
      <c r="B240" s="117" t="s">
        <v>2333</v>
      </c>
      <c r="C240" s="128" t="s">
        <v>5459</v>
      </c>
      <c r="D240" s="133" t="s">
        <v>236</v>
      </c>
      <c r="E240" s="138" t="str">
        <f>+INDEX(F240:AB240,1,[3]BOD!$I$2-1)</f>
        <v/>
      </c>
      <c r="F240" s="140" t="s">
        <v>5459</v>
      </c>
      <c r="G240" s="144"/>
      <c r="H240" s="144" t="str">
        <f t="shared" si="3"/>
        <v/>
      </c>
      <c r="I240" s="144" t="str">
        <f t="shared" si="3"/>
        <v/>
      </c>
      <c r="J240" s="144"/>
      <c r="K240" s="144"/>
      <c r="L240" s="144"/>
      <c r="M240" s="144"/>
      <c r="N240" s="144"/>
      <c r="O240" s="144"/>
      <c r="P240" s="144"/>
      <c r="Q240" s="144"/>
      <c r="R240" s="144"/>
      <c r="S240" s="144"/>
      <c r="T240" s="144"/>
      <c r="U240" s="144"/>
      <c r="V240" s="144"/>
      <c r="W240" s="144"/>
      <c r="X240" s="144"/>
      <c r="Y240" s="144"/>
      <c r="Z240" s="144"/>
      <c r="AA240" s="144"/>
      <c r="AB240" s="144"/>
      <c r="AC240" s="135"/>
      <c r="AD240" s="129" t="s">
        <v>8383</v>
      </c>
      <c r="AE240" s="129" t="s">
        <v>2353</v>
      </c>
      <c r="AF240" s="130">
        <v>1</v>
      </c>
      <c r="AG240" s="129" t="s">
        <v>7256</v>
      </c>
      <c r="AH240" s="130">
        <v>84.86</v>
      </c>
      <c r="AI240" s="130">
        <v>84.86</v>
      </c>
    </row>
    <row r="241" spans="1:35" ht="10.5" customHeight="1" x14ac:dyDescent="0.2">
      <c r="A241" s="117" t="s">
        <v>7258</v>
      </c>
      <c r="B241" s="117" t="s">
        <v>2347</v>
      </c>
      <c r="C241" s="128">
        <v>1</v>
      </c>
      <c r="D241" s="133" t="s">
        <v>7256</v>
      </c>
      <c r="E241" s="138">
        <f>+INDEX(F241:AB241,1,[3]BOD!$I$2-1)</f>
        <v>33</v>
      </c>
      <c r="F241" s="140">
        <v>33</v>
      </c>
      <c r="G241" s="144"/>
      <c r="H241" s="144">
        <f t="shared" si="3"/>
        <v>165</v>
      </c>
      <c r="I241" s="144">
        <f t="shared" si="3"/>
        <v>165</v>
      </c>
      <c r="J241" s="144"/>
      <c r="K241" s="144"/>
      <c r="L241" s="144"/>
      <c r="M241" s="144"/>
      <c r="N241" s="144"/>
      <c r="O241" s="144"/>
      <c r="P241" s="144"/>
      <c r="Q241" s="144"/>
      <c r="R241" s="144"/>
      <c r="S241" s="144"/>
      <c r="T241" s="144"/>
      <c r="U241" s="144"/>
      <c r="V241" s="144"/>
      <c r="W241" s="144"/>
      <c r="X241" s="144"/>
      <c r="Y241" s="144"/>
      <c r="Z241" s="144"/>
      <c r="AA241" s="144"/>
      <c r="AB241" s="144"/>
      <c r="AC241" s="135"/>
      <c r="AD241" s="129" t="s">
        <v>5459</v>
      </c>
      <c r="AE241" s="129" t="s">
        <v>2358</v>
      </c>
      <c r="AF241" s="130" t="s">
        <v>5459</v>
      </c>
      <c r="AG241" s="129" t="s">
        <v>236</v>
      </c>
      <c r="AH241" s="130" t="s">
        <v>5459</v>
      </c>
      <c r="AI241" s="130" t="s">
        <v>5459</v>
      </c>
    </row>
    <row r="242" spans="1:35" ht="10.5" customHeight="1" x14ac:dyDescent="0.2">
      <c r="A242" s="117" t="s">
        <v>5459</v>
      </c>
      <c r="B242" s="117" t="s">
        <v>2333</v>
      </c>
      <c r="C242" s="128" t="s">
        <v>5459</v>
      </c>
      <c r="D242" s="133" t="s">
        <v>236</v>
      </c>
      <c r="E242" s="138" t="str">
        <f>+INDEX(F242:AB242,1,[3]BOD!$I$2-1)</f>
        <v/>
      </c>
      <c r="F242" s="140" t="s">
        <v>5459</v>
      </c>
      <c r="G242" s="144"/>
      <c r="H242" s="144" t="str">
        <f t="shared" si="3"/>
        <v/>
      </c>
      <c r="I242" s="144" t="str">
        <f t="shared" si="3"/>
        <v/>
      </c>
      <c r="J242" s="144"/>
      <c r="K242" s="144"/>
      <c r="L242" s="144"/>
      <c r="M242" s="144"/>
      <c r="N242" s="144"/>
      <c r="O242" s="144"/>
      <c r="P242" s="144"/>
      <c r="Q242" s="144"/>
      <c r="R242" s="144"/>
      <c r="S242" s="144"/>
      <c r="T242" s="144"/>
      <c r="U242" s="144"/>
      <c r="V242" s="144"/>
      <c r="W242" s="144"/>
      <c r="X242" s="144"/>
      <c r="Y242" s="144"/>
      <c r="Z242" s="144"/>
      <c r="AA242" s="144"/>
      <c r="AB242" s="144"/>
      <c r="AC242" s="135"/>
      <c r="AD242" s="129" t="s">
        <v>8384</v>
      </c>
      <c r="AE242" s="129" t="s">
        <v>2354</v>
      </c>
      <c r="AF242" s="130">
        <v>1</v>
      </c>
      <c r="AG242" s="129" t="s">
        <v>7256</v>
      </c>
      <c r="AH242" s="130">
        <v>106.15</v>
      </c>
      <c r="AI242" s="130">
        <v>106.15</v>
      </c>
    </row>
    <row r="243" spans="1:35" ht="10.5" customHeight="1" x14ac:dyDescent="0.2">
      <c r="A243" s="117" t="s">
        <v>7259</v>
      </c>
      <c r="B243" s="117" t="s">
        <v>2348</v>
      </c>
      <c r="C243" s="128">
        <v>1</v>
      </c>
      <c r="D243" s="133" t="s">
        <v>7256</v>
      </c>
      <c r="E243" s="138">
        <f>+INDEX(F243:AB243,1,[3]BOD!$I$2-1)</f>
        <v>37.4</v>
      </c>
      <c r="F243" s="140">
        <v>37.4</v>
      </c>
      <c r="G243" s="144"/>
      <c r="H243" s="144">
        <f t="shared" si="3"/>
        <v>187</v>
      </c>
      <c r="I243" s="144">
        <f t="shared" si="3"/>
        <v>187</v>
      </c>
      <c r="J243" s="144"/>
      <c r="K243" s="144"/>
      <c r="L243" s="144"/>
      <c r="M243" s="144"/>
      <c r="N243" s="144"/>
      <c r="O243" s="144"/>
      <c r="P243" s="144"/>
      <c r="Q243" s="144"/>
      <c r="R243" s="144"/>
      <c r="S243" s="144"/>
      <c r="T243" s="144"/>
      <c r="U243" s="144"/>
      <c r="V243" s="144"/>
      <c r="W243" s="144"/>
      <c r="X243" s="144"/>
      <c r="Y243" s="144"/>
      <c r="Z243" s="144"/>
      <c r="AA243" s="144"/>
      <c r="AB243" s="144"/>
      <c r="AC243" s="135"/>
      <c r="AD243" s="129" t="s">
        <v>5459</v>
      </c>
      <c r="AE243" s="129" t="s">
        <v>2358</v>
      </c>
      <c r="AF243" s="130" t="s">
        <v>5459</v>
      </c>
      <c r="AG243" s="129" t="s">
        <v>236</v>
      </c>
      <c r="AH243" s="130" t="s">
        <v>5459</v>
      </c>
      <c r="AI243" s="130" t="s">
        <v>5459</v>
      </c>
    </row>
    <row r="244" spans="1:35" ht="10.5" customHeight="1" x14ac:dyDescent="0.2">
      <c r="A244" s="117" t="s">
        <v>5459</v>
      </c>
      <c r="B244" s="117" t="s">
        <v>2333</v>
      </c>
      <c r="C244" s="128" t="s">
        <v>5459</v>
      </c>
      <c r="D244" s="133" t="s">
        <v>236</v>
      </c>
      <c r="E244" s="138" t="str">
        <f>+INDEX(F244:AB244,1,[3]BOD!$I$2-1)</f>
        <v/>
      </c>
      <c r="F244" s="140" t="s">
        <v>5459</v>
      </c>
      <c r="G244" s="144"/>
      <c r="H244" s="144" t="str">
        <f t="shared" si="3"/>
        <v/>
      </c>
      <c r="I244" s="144" t="str">
        <f t="shared" si="3"/>
        <v/>
      </c>
      <c r="J244" s="144"/>
      <c r="K244" s="144"/>
      <c r="L244" s="144"/>
      <c r="M244" s="144"/>
      <c r="N244" s="144"/>
      <c r="O244" s="144"/>
      <c r="P244" s="144"/>
      <c r="Q244" s="144"/>
      <c r="R244" s="144"/>
      <c r="S244" s="144"/>
      <c r="T244" s="144"/>
      <c r="U244" s="144"/>
      <c r="V244" s="144"/>
      <c r="W244" s="144"/>
      <c r="X244" s="144"/>
      <c r="Y244" s="144"/>
      <c r="Z244" s="144"/>
      <c r="AA244" s="144"/>
      <c r="AB244" s="144"/>
      <c r="AC244" s="135"/>
      <c r="AD244" s="129" t="s">
        <v>8385</v>
      </c>
      <c r="AE244" s="129" t="s">
        <v>2355</v>
      </c>
      <c r="AF244" s="130">
        <v>1</v>
      </c>
      <c r="AG244" s="129" t="s">
        <v>7256</v>
      </c>
      <c r="AH244" s="130">
        <v>127.65</v>
      </c>
      <c r="AI244" s="130">
        <v>127.65</v>
      </c>
    </row>
    <row r="245" spans="1:35" ht="10.5" customHeight="1" x14ac:dyDescent="0.2">
      <c r="A245" s="117" t="s">
        <v>5936</v>
      </c>
      <c r="B245" s="117" t="s">
        <v>2349</v>
      </c>
      <c r="C245" s="128">
        <v>1</v>
      </c>
      <c r="D245" s="133" t="s">
        <v>7256</v>
      </c>
      <c r="E245" s="138">
        <f>+INDEX(F245:AB245,1,[3]BOD!$I$2-1)</f>
        <v>41.8</v>
      </c>
      <c r="F245" s="140">
        <v>41.8</v>
      </c>
      <c r="G245" s="144"/>
      <c r="H245" s="144">
        <f t="shared" si="3"/>
        <v>209</v>
      </c>
      <c r="I245" s="144">
        <f t="shared" si="3"/>
        <v>209</v>
      </c>
      <c r="J245" s="144"/>
      <c r="K245" s="144"/>
      <c r="L245" s="144"/>
      <c r="M245" s="144"/>
      <c r="N245" s="144"/>
      <c r="O245" s="144"/>
      <c r="P245" s="144"/>
      <c r="Q245" s="144"/>
      <c r="R245" s="144"/>
      <c r="S245" s="144"/>
      <c r="T245" s="144"/>
      <c r="U245" s="144"/>
      <c r="V245" s="144"/>
      <c r="W245" s="144"/>
      <c r="X245" s="144"/>
      <c r="Y245" s="144"/>
      <c r="Z245" s="144"/>
      <c r="AA245" s="144"/>
      <c r="AB245" s="144"/>
      <c r="AC245" s="135"/>
      <c r="AD245" s="129" t="s">
        <v>5459</v>
      </c>
      <c r="AE245" s="129" t="s">
        <v>2358</v>
      </c>
      <c r="AF245" s="130" t="s">
        <v>5459</v>
      </c>
      <c r="AG245" s="129" t="s">
        <v>236</v>
      </c>
      <c r="AH245" s="130" t="s">
        <v>5459</v>
      </c>
      <c r="AI245" s="130" t="s">
        <v>5459</v>
      </c>
    </row>
    <row r="246" spans="1:35" ht="10.5" customHeight="1" x14ac:dyDescent="0.2">
      <c r="A246" s="117" t="s">
        <v>5459</v>
      </c>
      <c r="B246" s="117" t="s">
        <v>2333</v>
      </c>
      <c r="C246" s="128" t="s">
        <v>5459</v>
      </c>
      <c r="D246" s="133" t="s">
        <v>236</v>
      </c>
      <c r="E246" s="138" t="str">
        <f>+INDEX(F246:AB246,1,[3]BOD!$I$2-1)</f>
        <v/>
      </c>
      <c r="F246" s="140" t="s">
        <v>5459</v>
      </c>
      <c r="G246" s="144"/>
      <c r="H246" s="144" t="str">
        <f t="shared" si="3"/>
        <v/>
      </c>
      <c r="I246" s="144" t="str">
        <f t="shared" si="3"/>
        <v/>
      </c>
      <c r="J246" s="144"/>
      <c r="K246" s="144"/>
      <c r="L246" s="144"/>
      <c r="M246" s="144"/>
      <c r="N246" s="144"/>
      <c r="O246" s="144"/>
      <c r="P246" s="144"/>
      <c r="Q246" s="144"/>
      <c r="R246" s="144"/>
      <c r="S246" s="144"/>
      <c r="T246" s="144"/>
      <c r="U246" s="144"/>
      <c r="V246" s="144"/>
      <c r="W246" s="144"/>
      <c r="X246" s="144"/>
      <c r="Y246" s="144"/>
      <c r="Z246" s="144"/>
      <c r="AA246" s="144"/>
      <c r="AB246" s="144"/>
      <c r="AC246" s="135"/>
      <c r="AD246" s="129" t="s">
        <v>8386</v>
      </c>
      <c r="AE246" s="129" t="s">
        <v>2356</v>
      </c>
      <c r="AF246" s="130">
        <v>1</v>
      </c>
      <c r="AG246" s="129" t="s">
        <v>7256</v>
      </c>
      <c r="AH246" s="130">
        <v>151.65</v>
      </c>
      <c r="AI246" s="130">
        <v>151.65</v>
      </c>
    </row>
    <row r="247" spans="1:35" ht="10.5" customHeight="1" x14ac:dyDescent="0.2">
      <c r="A247" s="117" t="s">
        <v>4158</v>
      </c>
      <c r="B247" s="117" t="s">
        <v>2323</v>
      </c>
      <c r="C247" s="128">
        <v>1</v>
      </c>
      <c r="D247" s="133" t="s">
        <v>7256</v>
      </c>
      <c r="E247" s="138">
        <f>+INDEX(F247:AB247,1,[3]BOD!$I$2-1)</f>
        <v>50.62</v>
      </c>
      <c r="F247" s="140">
        <v>50.62</v>
      </c>
      <c r="G247" s="144"/>
      <c r="H247" s="144">
        <f t="shared" si="3"/>
        <v>253.1</v>
      </c>
      <c r="I247" s="144">
        <f t="shared" si="3"/>
        <v>253.1</v>
      </c>
      <c r="J247" s="144"/>
      <c r="K247" s="144"/>
      <c r="L247" s="144"/>
      <c r="M247" s="144"/>
      <c r="N247" s="144"/>
      <c r="O247" s="144"/>
      <c r="P247" s="144"/>
      <c r="Q247" s="144"/>
      <c r="R247" s="144"/>
      <c r="S247" s="144"/>
      <c r="T247" s="144"/>
      <c r="U247" s="144"/>
      <c r="V247" s="144"/>
      <c r="W247" s="144"/>
      <c r="X247" s="144"/>
      <c r="Y247" s="144"/>
      <c r="Z247" s="144"/>
      <c r="AA247" s="144"/>
      <c r="AB247" s="144"/>
      <c r="AC247" s="135"/>
      <c r="AD247" s="129" t="s">
        <v>5459</v>
      </c>
      <c r="AE247" s="129" t="s">
        <v>2358</v>
      </c>
      <c r="AF247" s="130" t="s">
        <v>5459</v>
      </c>
      <c r="AG247" s="129" t="s">
        <v>236</v>
      </c>
      <c r="AH247" s="130" t="s">
        <v>5459</v>
      </c>
      <c r="AI247" s="130" t="s">
        <v>5459</v>
      </c>
    </row>
    <row r="248" spans="1:35" ht="10.5" customHeight="1" x14ac:dyDescent="0.2">
      <c r="A248" s="117" t="s">
        <v>5459</v>
      </c>
      <c r="B248" s="117" t="s">
        <v>2333</v>
      </c>
      <c r="C248" s="128" t="s">
        <v>5459</v>
      </c>
      <c r="D248" s="133" t="s">
        <v>236</v>
      </c>
      <c r="E248" s="138" t="str">
        <f>+INDEX(F248:AB248,1,[3]BOD!$I$2-1)</f>
        <v/>
      </c>
      <c r="F248" s="140" t="s">
        <v>5459</v>
      </c>
      <c r="G248" s="144"/>
      <c r="H248" s="144" t="str">
        <f t="shared" si="3"/>
        <v/>
      </c>
      <c r="I248" s="144" t="str">
        <f t="shared" si="3"/>
        <v/>
      </c>
      <c r="J248" s="144"/>
      <c r="K248" s="144"/>
      <c r="L248" s="144"/>
      <c r="M248" s="144"/>
      <c r="N248" s="144"/>
      <c r="O248" s="144"/>
      <c r="P248" s="144"/>
      <c r="Q248" s="144"/>
      <c r="R248" s="144"/>
      <c r="S248" s="144"/>
      <c r="T248" s="144"/>
      <c r="U248" s="144"/>
      <c r="V248" s="144"/>
      <c r="W248" s="144"/>
      <c r="X248" s="144"/>
      <c r="Y248" s="144"/>
      <c r="Z248" s="144"/>
      <c r="AA248" s="144"/>
      <c r="AB248" s="144"/>
      <c r="AC248" s="135"/>
      <c r="AD248" s="129" t="s">
        <v>8387</v>
      </c>
      <c r="AE248" s="129" t="s">
        <v>2353</v>
      </c>
      <c r="AF248" s="130">
        <v>1</v>
      </c>
      <c r="AG248" s="129" t="s">
        <v>7256</v>
      </c>
      <c r="AH248" s="130">
        <v>182.8</v>
      </c>
      <c r="AI248" s="130">
        <v>182.8</v>
      </c>
    </row>
    <row r="249" spans="1:35" ht="10.5" customHeight="1" x14ac:dyDescent="0.2">
      <c r="A249" s="117" t="s">
        <v>5985</v>
      </c>
      <c r="B249" s="117" t="s">
        <v>2324</v>
      </c>
      <c r="C249" s="128">
        <v>1</v>
      </c>
      <c r="D249" s="133" t="s">
        <v>7256</v>
      </c>
      <c r="E249" s="138">
        <f>+INDEX(F249:AB249,1,[3]BOD!$I$2-1)</f>
        <v>61.86</v>
      </c>
      <c r="F249" s="140">
        <v>61.86</v>
      </c>
      <c r="G249" s="144"/>
      <c r="H249" s="144">
        <f t="shared" si="3"/>
        <v>309.3</v>
      </c>
      <c r="I249" s="144">
        <f t="shared" si="3"/>
        <v>309.3</v>
      </c>
      <c r="J249" s="144"/>
      <c r="K249" s="144"/>
      <c r="L249" s="144"/>
      <c r="M249" s="144"/>
      <c r="N249" s="144"/>
      <c r="O249" s="144"/>
      <c r="P249" s="144"/>
      <c r="Q249" s="144"/>
      <c r="R249" s="144"/>
      <c r="S249" s="144"/>
      <c r="T249" s="144"/>
      <c r="U249" s="144"/>
      <c r="V249" s="144"/>
      <c r="W249" s="144"/>
      <c r="X249" s="144"/>
      <c r="Y249" s="144"/>
      <c r="Z249" s="144"/>
      <c r="AA249" s="144"/>
      <c r="AB249" s="144"/>
      <c r="AC249" s="135"/>
      <c r="AD249" s="129" t="s">
        <v>5459</v>
      </c>
      <c r="AE249" s="129" t="s">
        <v>2359</v>
      </c>
      <c r="AF249" s="130" t="s">
        <v>5459</v>
      </c>
      <c r="AG249" s="129" t="s">
        <v>236</v>
      </c>
      <c r="AH249" s="130" t="s">
        <v>5459</v>
      </c>
      <c r="AI249" s="130" t="s">
        <v>5459</v>
      </c>
    </row>
    <row r="250" spans="1:35" ht="10.5" customHeight="1" x14ac:dyDescent="0.2">
      <c r="A250" s="117" t="s">
        <v>5459</v>
      </c>
      <c r="B250" s="117" t="s">
        <v>2333</v>
      </c>
      <c r="C250" s="128" t="s">
        <v>5459</v>
      </c>
      <c r="D250" s="133" t="s">
        <v>236</v>
      </c>
      <c r="E250" s="138" t="str">
        <f>+INDEX(F250:AB250,1,[3]BOD!$I$2-1)</f>
        <v/>
      </c>
      <c r="F250" s="140" t="s">
        <v>5459</v>
      </c>
      <c r="G250" s="144"/>
      <c r="H250" s="144" t="str">
        <f t="shared" si="3"/>
        <v/>
      </c>
      <c r="I250" s="144" t="str">
        <f t="shared" si="3"/>
        <v/>
      </c>
      <c r="J250" s="144"/>
      <c r="K250" s="144"/>
      <c r="L250" s="144"/>
      <c r="M250" s="144"/>
      <c r="N250" s="144"/>
      <c r="O250" s="144"/>
      <c r="P250" s="144"/>
      <c r="Q250" s="144"/>
      <c r="R250" s="144"/>
      <c r="S250" s="144"/>
      <c r="T250" s="144"/>
      <c r="U250" s="144"/>
      <c r="V250" s="144"/>
      <c r="W250" s="144"/>
      <c r="X250" s="144"/>
      <c r="Y250" s="144"/>
      <c r="Z250" s="144"/>
      <c r="AA250" s="144"/>
      <c r="AB250" s="144"/>
      <c r="AC250" s="135"/>
      <c r="AD250" s="129" t="s">
        <v>8388</v>
      </c>
      <c r="AE250" s="129" t="s">
        <v>2354</v>
      </c>
      <c r="AF250" s="130">
        <v>1</v>
      </c>
      <c r="AG250" s="129" t="s">
        <v>7256</v>
      </c>
      <c r="AH250" s="130">
        <v>231.01</v>
      </c>
      <c r="AI250" s="130">
        <v>231.01</v>
      </c>
    </row>
    <row r="251" spans="1:35" ht="10.5" customHeight="1" x14ac:dyDescent="0.2">
      <c r="A251" s="117" t="s">
        <v>5986</v>
      </c>
      <c r="B251" s="117" t="s">
        <v>2325</v>
      </c>
      <c r="C251" s="128">
        <v>1</v>
      </c>
      <c r="D251" s="133" t="s">
        <v>7256</v>
      </c>
      <c r="E251" s="138">
        <f>+INDEX(F251:AB251,1,[3]BOD!$I$2-1)</f>
        <v>69.8</v>
      </c>
      <c r="F251" s="140">
        <v>69.8</v>
      </c>
      <c r="G251" s="144"/>
      <c r="H251" s="144">
        <f t="shared" si="3"/>
        <v>349</v>
      </c>
      <c r="I251" s="144">
        <f t="shared" si="3"/>
        <v>349</v>
      </c>
      <c r="J251" s="144"/>
      <c r="K251" s="144"/>
      <c r="L251" s="144"/>
      <c r="M251" s="144"/>
      <c r="N251" s="144"/>
      <c r="O251" s="144"/>
      <c r="P251" s="144"/>
      <c r="Q251" s="144"/>
      <c r="R251" s="144"/>
      <c r="S251" s="144"/>
      <c r="T251" s="144"/>
      <c r="U251" s="144"/>
      <c r="V251" s="144"/>
      <c r="W251" s="144"/>
      <c r="X251" s="144"/>
      <c r="Y251" s="144"/>
      <c r="Z251" s="144"/>
      <c r="AA251" s="144"/>
      <c r="AB251" s="144"/>
      <c r="AC251" s="135"/>
      <c r="AD251" s="129" t="s">
        <v>5459</v>
      </c>
      <c r="AE251" s="129" t="s">
        <v>2359</v>
      </c>
      <c r="AF251" s="130" t="s">
        <v>5459</v>
      </c>
      <c r="AG251" s="129" t="s">
        <v>236</v>
      </c>
      <c r="AH251" s="130" t="s">
        <v>5459</v>
      </c>
      <c r="AI251" s="130" t="s">
        <v>5459</v>
      </c>
    </row>
    <row r="252" spans="1:35" ht="10.5" customHeight="1" x14ac:dyDescent="0.2">
      <c r="A252" s="117" t="s">
        <v>5459</v>
      </c>
      <c r="B252" s="117" t="s">
        <v>2333</v>
      </c>
      <c r="C252" s="128" t="s">
        <v>5459</v>
      </c>
      <c r="D252" s="133" t="s">
        <v>236</v>
      </c>
      <c r="E252" s="138" t="str">
        <f>+INDEX(F252:AB252,1,[3]BOD!$I$2-1)</f>
        <v/>
      </c>
      <c r="F252" s="140" t="s">
        <v>5459</v>
      </c>
      <c r="G252" s="144"/>
      <c r="H252" s="144" t="str">
        <f t="shared" si="3"/>
        <v/>
      </c>
      <c r="I252" s="144" t="str">
        <f t="shared" si="3"/>
        <v/>
      </c>
      <c r="J252" s="144"/>
      <c r="K252" s="144"/>
      <c r="L252" s="144"/>
      <c r="M252" s="144"/>
      <c r="N252" s="144"/>
      <c r="O252" s="144"/>
      <c r="P252" s="144"/>
      <c r="Q252" s="144"/>
      <c r="R252" s="144"/>
      <c r="S252" s="144"/>
      <c r="T252" s="144"/>
      <c r="U252" s="144"/>
      <c r="V252" s="144"/>
      <c r="W252" s="144"/>
      <c r="X252" s="144"/>
      <c r="Y252" s="144"/>
      <c r="Z252" s="144"/>
      <c r="AA252" s="144"/>
      <c r="AB252" s="144"/>
      <c r="AC252" s="135"/>
      <c r="AD252" s="129" t="s">
        <v>8389</v>
      </c>
      <c r="AE252" s="129" t="s">
        <v>2355</v>
      </c>
      <c r="AF252" s="130">
        <v>1</v>
      </c>
      <c r="AG252" s="129" t="s">
        <v>7256</v>
      </c>
      <c r="AH252" s="130">
        <v>282.06</v>
      </c>
      <c r="AI252" s="130">
        <v>282.06</v>
      </c>
    </row>
    <row r="253" spans="1:35" ht="10.5" customHeight="1" x14ac:dyDescent="0.2">
      <c r="A253" s="117" t="s">
        <v>5987</v>
      </c>
      <c r="B253" s="117" t="s">
        <v>2326</v>
      </c>
      <c r="C253" s="128">
        <v>1</v>
      </c>
      <c r="D253" s="133" t="s">
        <v>7256</v>
      </c>
      <c r="E253" s="138">
        <f>+INDEX(F253:AB253,1,[3]BOD!$I$2-1)</f>
        <v>80.8</v>
      </c>
      <c r="F253" s="140">
        <v>80.8</v>
      </c>
      <c r="G253" s="144"/>
      <c r="H253" s="144">
        <f t="shared" si="3"/>
        <v>404</v>
      </c>
      <c r="I253" s="144">
        <f t="shared" si="3"/>
        <v>404</v>
      </c>
      <c r="J253" s="144"/>
      <c r="K253" s="144"/>
      <c r="L253" s="144"/>
      <c r="M253" s="144"/>
      <c r="N253" s="144"/>
      <c r="O253" s="144"/>
      <c r="P253" s="144"/>
      <c r="Q253" s="144"/>
      <c r="R253" s="144"/>
      <c r="S253" s="144"/>
      <c r="T253" s="144"/>
      <c r="U253" s="144"/>
      <c r="V253" s="144"/>
      <c r="W253" s="144"/>
      <c r="X253" s="144"/>
      <c r="Y253" s="144"/>
      <c r="Z253" s="144"/>
      <c r="AA253" s="144"/>
      <c r="AB253" s="144"/>
      <c r="AC253" s="135"/>
      <c r="AD253" s="129" t="s">
        <v>5459</v>
      </c>
      <c r="AE253" s="129" t="s">
        <v>2359</v>
      </c>
      <c r="AF253" s="130" t="s">
        <v>5459</v>
      </c>
      <c r="AG253" s="129" t="s">
        <v>236</v>
      </c>
      <c r="AH253" s="130" t="s">
        <v>5459</v>
      </c>
      <c r="AI253" s="130" t="s">
        <v>5459</v>
      </c>
    </row>
    <row r="254" spans="1:35" ht="10.5" customHeight="1" x14ac:dyDescent="0.2">
      <c r="A254" s="117" t="s">
        <v>5459</v>
      </c>
      <c r="B254" s="117" t="s">
        <v>2333</v>
      </c>
      <c r="C254" s="128" t="s">
        <v>5459</v>
      </c>
      <c r="D254" s="133" t="s">
        <v>236</v>
      </c>
      <c r="E254" s="138" t="str">
        <f>+INDEX(F254:AB254,1,[3]BOD!$I$2-1)</f>
        <v/>
      </c>
      <c r="F254" s="140" t="s">
        <v>5459</v>
      </c>
      <c r="G254" s="144"/>
      <c r="H254" s="144" t="str">
        <f t="shared" si="3"/>
        <v/>
      </c>
      <c r="I254" s="144" t="str">
        <f t="shared" si="3"/>
        <v/>
      </c>
      <c r="J254" s="144"/>
      <c r="K254" s="144"/>
      <c r="L254" s="144"/>
      <c r="M254" s="144"/>
      <c r="N254" s="144"/>
      <c r="O254" s="144"/>
      <c r="P254" s="144"/>
      <c r="Q254" s="144"/>
      <c r="R254" s="144"/>
      <c r="S254" s="144"/>
      <c r="T254" s="144"/>
      <c r="U254" s="144"/>
      <c r="V254" s="144"/>
      <c r="W254" s="144"/>
      <c r="X254" s="144"/>
      <c r="Y254" s="144"/>
      <c r="Z254" s="144"/>
      <c r="AA254" s="144"/>
      <c r="AB254" s="144"/>
      <c r="AC254" s="135"/>
      <c r="AD254" s="129" t="s">
        <v>8390</v>
      </c>
      <c r="AE254" s="129" t="s">
        <v>2356</v>
      </c>
      <c r="AF254" s="130">
        <v>1</v>
      </c>
      <c r="AG254" s="129" t="s">
        <v>7256</v>
      </c>
      <c r="AH254" s="130">
        <v>347.63</v>
      </c>
      <c r="AI254" s="130">
        <v>347.63</v>
      </c>
    </row>
    <row r="255" spans="1:35" ht="10.5" customHeight="1" x14ac:dyDescent="0.2">
      <c r="A255" s="117" t="s">
        <v>5988</v>
      </c>
      <c r="B255" s="117" t="s">
        <v>2285</v>
      </c>
      <c r="C255" s="128">
        <v>1</v>
      </c>
      <c r="D255" s="133" t="s">
        <v>7256</v>
      </c>
      <c r="E255" s="138">
        <f>+INDEX(F255:AB255,1,[3]BOD!$I$2-1)</f>
        <v>75.92</v>
      </c>
      <c r="F255" s="140">
        <v>75.92</v>
      </c>
      <c r="G255" s="144"/>
      <c r="H255" s="144">
        <f t="shared" si="3"/>
        <v>379.6</v>
      </c>
      <c r="I255" s="144">
        <f t="shared" si="3"/>
        <v>379.6</v>
      </c>
      <c r="J255" s="144"/>
      <c r="K255" s="144"/>
      <c r="L255" s="144"/>
      <c r="M255" s="144"/>
      <c r="N255" s="144"/>
      <c r="O255" s="144"/>
      <c r="P255" s="144"/>
      <c r="Q255" s="144"/>
      <c r="R255" s="144"/>
      <c r="S255" s="144"/>
      <c r="T255" s="144"/>
      <c r="U255" s="144"/>
      <c r="V255" s="144"/>
      <c r="W255" s="144"/>
      <c r="X255" s="144"/>
      <c r="Y255" s="144"/>
      <c r="Z255" s="144"/>
      <c r="AA255" s="144"/>
      <c r="AB255" s="144"/>
      <c r="AC255" s="135"/>
      <c r="AD255" s="129" t="s">
        <v>5459</v>
      </c>
      <c r="AE255" s="129" t="s">
        <v>2359</v>
      </c>
      <c r="AF255" s="130" t="s">
        <v>5459</v>
      </c>
      <c r="AG255" s="129" t="s">
        <v>236</v>
      </c>
      <c r="AH255" s="130" t="s">
        <v>5459</v>
      </c>
      <c r="AI255" s="130" t="s">
        <v>5459</v>
      </c>
    </row>
    <row r="256" spans="1:35" ht="10.5" customHeight="1" x14ac:dyDescent="0.2">
      <c r="A256" s="117" t="s">
        <v>5459</v>
      </c>
      <c r="B256" s="117" t="s">
        <v>2333</v>
      </c>
      <c r="C256" s="128" t="s">
        <v>5459</v>
      </c>
      <c r="D256" s="133" t="s">
        <v>236</v>
      </c>
      <c r="E256" s="138" t="str">
        <f>+INDEX(F256:AB256,1,[3]BOD!$I$2-1)</f>
        <v/>
      </c>
      <c r="F256" s="140" t="s">
        <v>5459</v>
      </c>
      <c r="G256" s="144"/>
      <c r="H256" s="144" t="str">
        <f t="shared" si="3"/>
        <v/>
      </c>
      <c r="I256" s="144" t="str">
        <f t="shared" si="3"/>
        <v/>
      </c>
      <c r="J256" s="144"/>
      <c r="K256" s="144"/>
      <c r="L256" s="144"/>
      <c r="M256" s="144"/>
      <c r="N256" s="144"/>
      <c r="O256" s="144"/>
      <c r="P256" s="144"/>
      <c r="Q256" s="144"/>
      <c r="R256" s="144"/>
      <c r="S256" s="144"/>
      <c r="T256" s="144"/>
      <c r="U256" s="144"/>
      <c r="V256" s="144"/>
      <c r="W256" s="144"/>
      <c r="X256" s="144"/>
      <c r="Y256" s="144"/>
      <c r="Z256" s="144"/>
      <c r="AA256" s="144"/>
      <c r="AB256" s="144"/>
      <c r="AC256" s="135"/>
      <c r="AD256" s="129" t="s">
        <v>8391</v>
      </c>
      <c r="AE256" s="129" t="s">
        <v>2343</v>
      </c>
      <c r="AF256" s="130">
        <v>0</v>
      </c>
      <c r="AG256" s="129" t="s">
        <v>236</v>
      </c>
      <c r="AH256" s="130">
        <v>8698.0300000000007</v>
      </c>
      <c r="AI256" s="130">
        <v>0</v>
      </c>
    </row>
    <row r="257" spans="1:35" ht="10.5" customHeight="1" x14ac:dyDescent="0.2">
      <c r="A257" s="117" t="s">
        <v>5989</v>
      </c>
      <c r="B257" s="117" t="s">
        <v>2334</v>
      </c>
      <c r="C257" s="128"/>
      <c r="D257" s="133"/>
      <c r="E257" s="138"/>
      <c r="F257" s="140"/>
      <c r="G257" s="144"/>
      <c r="H257" s="144" t="str">
        <f t="shared" si="3"/>
        <v/>
      </c>
      <c r="I257" s="144" t="str">
        <f t="shared" si="3"/>
        <v/>
      </c>
      <c r="J257" s="144"/>
      <c r="K257" s="144"/>
      <c r="L257" s="144"/>
      <c r="M257" s="144"/>
      <c r="N257" s="144"/>
      <c r="O257" s="144"/>
      <c r="P257" s="144"/>
      <c r="Q257" s="144"/>
      <c r="R257" s="144"/>
      <c r="S257" s="144"/>
      <c r="T257" s="144"/>
      <c r="U257" s="144"/>
      <c r="V257" s="144"/>
      <c r="W257" s="144"/>
      <c r="X257" s="144"/>
      <c r="Y257" s="144"/>
      <c r="Z257" s="144"/>
      <c r="AA257" s="144"/>
      <c r="AB257" s="144"/>
      <c r="AC257" s="135"/>
      <c r="AD257" s="129" t="s">
        <v>5459</v>
      </c>
      <c r="AE257" s="129" t="s">
        <v>5459</v>
      </c>
      <c r="AF257" s="130" t="s">
        <v>5459</v>
      </c>
      <c r="AG257" s="129" t="s">
        <v>236</v>
      </c>
      <c r="AH257" s="130" t="s">
        <v>5459</v>
      </c>
      <c r="AI257" s="130" t="s">
        <v>5459</v>
      </c>
    </row>
    <row r="258" spans="1:35" ht="10.5" customHeight="1" x14ac:dyDescent="0.2">
      <c r="A258" s="117" t="s">
        <v>5459</v>
      </c>
      <c r="B258" s="117" t="s">
        <v>5459</v>
      </c>
      <c r="C258" s="128"/>
      <c r="D258" s="133"/>
      <c r="E258" s="138"/>
      <c r="F258" s="140"/>
      <c r="G258" s="144"/>
      <c r="H258" s="144" t="str">
        <f t="shared" si="3"/>
        <v/>
      </c>
      <c r="I258" s="144" t="str">
        <f t="shared" si="3"/>
        <v/>
      </c>
      <c r="J258" s="144"/>
      <c r="K258" s="144"/>
      <c r="L258" s="144"/>
      <c r="M258" s="144"/>
      <c r="N258" s="144"/>
      <c r="O258" s="144"/>
      <c r="P258" s="144"/>
      <c r="Q258" s="144"/>
      <c r="R258" s="144"/>
      <c r="S258" s="144"/>
      <c r="T258" s="144"/>
      <c r="U258" s="144"/>
      <c r="V258" s="144"/>
      <c r="W258" s="144"/>
      <c r="X258" s="144"/>
      <c r="Y258" s="144"/>
      <c r="Z258" s="144"/>
      <c r="AA258" s="144"/>
      <c r="AB258" s="144"/>
      <c r="AC258" s="135"/>
      <c r="AD258" s="129" t="s">
        <v>8392</v>
      </c>
      <c r="AE258" s="129" t="s">
        <v>2297</v>
      </c>
      <c r="AF258" s="130">
        <v>0</v>
      </c>
      <c r="AG258" s="129" t="s">
        <v>236</v>
      </c>
      <c r="AH258" s="130">
        <v>8610.58</v>
      </c>
      <c r="AI258" s="130">
        <v>0</v>
      </c>
    </row>
    <row r="259" spans="1:35" ht="10.5" customHeight="1" x14ac:dyDescent="0.2">
      <c r="A259" s="117" t="s">
        <v>5990</v>
      </c>
      <c r="B259" s="117" t="s">
        <v>2334</v>
      </c>
      <c r="C259" s="128"/>
      <c r="D259" s="133"/>
      <c r="E259" s="138"/>
      <c r="F259" s="140"/>
      <c r="G259" s="144"/>
      <c r="H259" s="144" t="str">
        <f t="shared" ref="H259:I322" si="4">+IF($F259&lt;&gt;"",$F259*5,"")</f>
        <v/>
      </c>
      <c r="I259" s="144" t="str">
        <f t="shared" si="4"/>
        <v/>
      </c>
      <c r="J259" s="144"/>
      <c r="K259" s="144"/>
      <c r="L259" s="144"/>
      <c r="M259" s="144"/>
      <c r="N259" s="144"/>
      <c r="O259" s="144"/>
      <c r="P259" s="144"/>
      <c r="Q259" s="144"/>
      <c r="R259" s="144"/>
      <c r="S259" s="144"/>
      <c r="T259" s="144"/>
      <c r="U259" s="144"/>
      <c r="V259" s="144"/>
      <c r="W259" s="144"/>
      <c r="X259" s="144"/>
      <c r="Y259" s="144"/>
      <c r="Z259" s="144"/>
      <c r="AA259" s="144"/>
      <c r="AB259" s="144"/>
      <c r="AC259" s="135"/>
      <c r="AD259" s="129" t="s">
        <v>5459</v>
      </c>
      <c r="AE259" s="129" t="s">
        <v>5459</v>
      </c>
      <c r="AF259" s="130" t="s">
        <v>5459</v>
      </c>
      <c r="AG259" s="129" t="s">
        <v>236</v>
      </c>
      <c r="AH259" s="130" t="s">
        <v>5459</v>
      </c>
      <c r="AI259" s="130" t="s">
        <v>5459</v>
      </c>
    </row>
    <row r="260" spans="1:35" ht="10.5" customHeight="1" x14ac:dyDescent="0.2">
      <c r="A260" s="117" t="s">
        <v>5459</v>
      </c>
      <c r="B260" s="117" t="s">
        <v>5459</v>
      </c>
      <c r="C260" s="128" t="s">
        <v>5459</v>
      </c>
      <c r="D260" s="133" t="s">
        <v>236</v>
      </c>
      <c r="E260" s="138" t="str">
        <f>+INDEX(F260:AB260,1,[3]BOD!$I$2-1)</f>
        <v/>
      </c>
      <c r="F260" s="140" t="s">
        <v>5459</v>
      </c>
      <c r="G260" s="144"/>
      <c r="H260" s="144" t="str">
        <f t="shared" si="4"/>
        <v/>
      </c>
      <c r="I260" s="144" t="str">
        <f t="shared" si="4"/>
        <v/>
      </c>
      <c r="J260" s="144"/>
      <c r="K260" s="144"/>
      <c r="L260" s="144"/>
      <c r="M260" s="144"/>
      <c r="N260" s="144"/>
      <c r="O260" s="144"/>
      <c r="P260" s="144"/>
      <c r="Q260" s="144"/>
      <c r="R260" s="144"/>
      <c r="S260" s="144"/>
      <c r="T260" s="144"/>
      <c r="U260" s="144"/>
      <c r="V260" s="144"/>
      <c r="W260" s="144"/>
      <c r="X260" s="144"/>
      <c r="Y260" s="144"/>
      <c r="Z260" s="144"/>
      <c r="AA260" s="144"/>
      <c r="AB260" s="144"/>
      <c r="AC260" s="135"/>
      <c r="AD260" s="129" t="s">
        <v>8393</v>
      </c>
      <c r="AE260" s="129" t="s">
        <v>2365</v>
      </c>
      <c r="AF260" s="130">
        <v>1</v>
      </c>
      <c r="AG260" s="129" t="s">
        <v>4699</v>
      </c>
      <c r="AH260" s="130">
        <v>1020</v>
      </c>
      <c r="AI260" s="130">
        <v>1020</v>
      </c>
    </row>
    <row r="261" spans="1:35" ht="10.5" customHeight="1" x14ac:dyDescent="0.2">
      <c r="A261" s="117" t="s">
        <v>5991</v>
      </c>
      <c r="B261" s="117" t="s">
        <v>2335</v>
      </c>
      <c r="C261" s="128">
        <v>1</v>
      </c>
      <c r="D261" s="133" t="s">
        <v>7256</v>
      </c>
      <c r="E261" s="138">
        <f>+INDEX(F261:AB261,1,[3]BOD!$I$2-1)</f>
        <v>34.369999999999997</v>
      </c>
      <c r="F261" s="140">
        <v>34.369999999999997</v>
      </c>
      <c r="G261" s="144"/>
      <c r="H261" s="144">
        <f t="shared" si="4"/>
        <v>171.85</v>
      </c>
      <c r="I261" s="144">
        <f t="shared" si="4"/>
        <v>171.85</v>
      </c>
      <c r="J261" s="144"/>
      <c r="K261" s="144"/>
      <c r="L261" s="144"/>
      <c r="M261" s="144"/>
      <c r="N261" s="144"/>
      <c r="O261" s="144"/>
      <c r="P261" s="144"/>
      <c r="Q261" s="144"/>
      <c r="R261" s="144"/>
      <c r="S261" s="144"/>
      <c r="T261" s="144"/>
      <c r="U261" s="144"/>
      <c r="V261" s="144"/>
      <c r="W261" s="144"/>
      <c r="X261" s="144"/>
      <c r="Y261" s="144"/>
      <c r="Z261" s="144"/>
      <c r="AA261" s="144"/>
      <c r="AB261" s="144"/>
      <c r="AC261" s="135"/>
      <c r="AD261" s="129" t="s">
        <v>5459</v>
      </c>
      <c r="AE261" s="129" t="s">
        <v>5459</v>
      </c>
      <c r="AF261" s="130" t="s">
        <v>5459</v>
      </c>
      <c r="AG261" s="129" t="s">
        <v>236</v>
      </c>
      <c r="AH261" s="130" t="s">
        <v>5459</v>
      </c>
      <c r="AI261" s="130" t="s">
        <v>5459</v>
      </c>
    </row>
    <row r="262" spans="1:35" ht="10.5" customHeight="1" x14ac:dyDescent="0.2">
      <c r="A262" s="117" t="s">
        <v>5459</v>
      </c>
      <c r="B262" s="117" t="s">
        <v>2350</v>
      </c>
      <c r="C262" s="128" t="s">
        <v>5459</v>
      </c>
      <c r="D262" s="133" t="s">
        <v>236</v>
      </c>
      <c r="E262" s="138" t="str">
        <f>+INDEX(F262:AB262,1,[3]BOD!$I$2-1)</f>
        <v/>
      </c>
      <c r="F262" s="140" t="s">
        <v>5459</v>
      </c>
      <c r="G262" s="144"/>
      <c r="H262" s="144" t="str">
        <f t="shared" si="4"/>
        <v/>
      </c>
      <c r="I262" s="144" t="str">
        <f t="shared" si="4"/>
        <v/>
      </c>
      <c r="J262" s="144"/>
      <c r="K262" s="144"/>
      <c r="L262" s="144"/>
      <c r="M262" s="144"/>
      <c r="N262" s="144"/>
      <c r="O262" s="144"/>
      <c r="P262" s="144"/>
      <c r="Q262" s="144"/>
      <c r="R262" s="144"/>
      <c r="S262" s="144"/>
      <c r="T262" s="144"/>
      <c r="U262" s="144"/>
      <c r="V262" s="144"/>
      <c r="W262" s="144"/>
      <c r="X262" s="144"/>
      <c r="Y262" s="144"/>
      <c r="Z262" s="144"/>
      <c r="AA262" s="144"/>
      <c r="AB262" s="144"/>
      <c r="AC262" s="135"/>
      <c r="AD262" s="129" t="s">
        <v>8394</v>
      </c>
      <c r="AE262" s="129" t="s">
        <v>2366</v>
      </c>
      <c r="AF262" s="130">
        <v>1</v>
      </c>
      <c r="AG262" s="129" t="s">
        <v>4699</v>
      </c>
      <c r="AH262" s="130">
        <v>1070</v>
      </c>
      <c r="AI262" s="130">
        <v>1070</v>
      </c>
    </row>
    <row r="263" spans="1:35" ht="10.5" customHeight="1" x14ac:dyDescent="0.2">
      <c r="A263" s="117" t="s">
        <v>7946</v>
      </c>
      <c r="B263" s="117" t="s">
        <v>2336</v>
      </c>
      <c r="C263" s="128">
        <v>1</v>
      </c>
      <c r="D263" s="133" t="s">
        <v>7256</v>
      </c>
      <c r="E263" s="138">
        <f>+INDEX(F263:AB263,1,[3]BOD!$I$2-1)</f>
        <v>36.04</v>
      </c>
      <c r="F263" s="140">
        <v>36.04</v>
      </c>
      <c r="G263" s="144"/>
      <c r="H263" s="144">
        <f t="shared" si="4"/>
        <v>180.2</v>
      </c>
      <c r="I263" s="144">
        <f t="shared" si="4"/>
        <v>180.2</v>
      </c>
      <c r="J263" s="144"/>
      <c r="K263" s="144"/>
      <c r="L263" s="144"/>
      <c r="M263" s="144"/>
      <c r="N263" s="144"/>
      <c r="O263" s="144"/>
      <c r="P263" s="144"/>
      <c r="Q263" s="144"/>
      <c r="R263" s="144"/>
      <c r="S263" s="144"/>
      <c r="T263" s="144"/>
      <c r="U263" s="144"/>
      <c r="V263" s="144"/>
      <c r="W263" s="144"/>
      <c r="X263" s="144"/>
      <c r="Y263" s="144"/>
      <c r="Z263" s="144"/>
      <c r="AA263" s="144"/>
      <c r="AB263" s="144"/>
      <c r="AC263" s="135"/>
      <c r="AD263" s="129" t="s">
        <v>5459</v>
      </c>
      <c r="AE263" s="129" t="s">
        <v>5459</v>
      </c>
      <c r="AF263" s="130" t="s">
        <v>5459</v>
      </c>
      <c r="AG263" s="129" t="s">
        <v>236</v>
      </c>
      <c r="AH263" s="130" t="s">
        <v>5459</v>
      </c>
      <c r="AI263" s="130" t="s">
        <v>5459</v>
      </c>
    </row>
    <row r="264" spans="1:35" ht="10.5" customHeight="1" x14ac:dyDescent="0.2">
      <c r="A264" s="117" t="s">
        <v>5459</v>
      </c>
      <c r="B264" s="117" t="s">
        <v>2350</v>
      </c>
      <c r="C264" s="128" t="s">
        <v>5459</v>
      </c>
      <c r="D264" s="133" t="s">
        <v>236</v>
      </c>
      <c r="E264" s="138" t="str">
        <f>+INDEX(F264:AB264,1,[3]BOD!$I$2-1)</f>
        <v/>
      </c>
      <c r="F264" s="140" t="s">
        <v>5459</v>
      </c>
      <c r="G264" s="144"/>
      <c r="H264" s="144" t="str">
        <f t="shared" si="4"/>
        <v/>
      </c>
      <c r="I264" s="144" t="str">
        <f t="shared" si="4"/>
        <v/>
      </c>
      <c r="J264" s="144"/>
      <c r="K264" s="144"/>
      <c r="L264" s="144"/>
      <c r="M264" s="144"/>
      <c r="N264" s="144"/>
      <c r="O264" s="144"/>
      <c r="P264" s="144"/>
      <c r="Q264" s="144"/>
      <c r="R264" s="144"/>
      <c r="S264" s="144"/>
      <c r="T264" s="144"/>
      <c r="U264" s="144"/>
      <c r="V264" s="144"/>
      <c r="W264" s="144"/>
      <c r="X264" s="144"/>
      <c r="Y264" s="144"/>
      <c r="Z264" s="144"/>
      <c r="AA264" s="144"/>
      <c r="AB264" s="144"/>
      <c r="AC264" s="135"/>
      <c r="AD264" s="129" t="s">
        <v>8395</v>
      </c>
      <c r="AE264" s="129" t="s">
        <v>2367</v>
      </c>
      <c r="AF264" s="130">
        <v>1</v>
      </c>
      <c r="AG264" s="129" t="s">
        <v>4699</v>
      </c>
      <c r="AH264" s="130">
        <v>1100</v>
      </c>
      <c r="AI264" s="130">
        <v>1100</v>
      </c>
    </row>
    <row r="265" spans="1:35" ht="10.5" customHeight="1" x14ac:dyDescent="0.2">
      <c r="A265" s="117" t="s">
        <v>6300</v>
      </c>
      <c r="B265" s="117" t="s">
        <v>2337</v>
      </c>
      <c r="C265" s="128">
        <v>1</v>
      </c>
      <c r="D265" s="133" t="s">
        <v>7256</v>
      </c>
      <c r="E265" s="138">
        <f>+INDEX(F265:AB265,1,[3]BOD!$I$2-1)</f>
        <v>37.700000000000003</v>
      </c>
      <c r="F265" s="140">
        <v>37.700000000000003</v>
      </c>
      <c r="G265" s="144"/>
      <c r="H265" s="144">
        <f t="shared" si="4"/>
        <v>188.5</v>
      </c>
      <c r="I265" s="144">
        <f t="shared" si="4"/>
        <v>188.5</v>
      </c>
      <c r="J265" s="144"/>
      <c r="K265" s="144"/>
      <c r="L265" s="144"/>
      <c r="M265" s="144"/>
      <c r="N265" s="144"/>
      <c r="O265" s="144"/>
      <c r="P265" s="144"/>
      <c r="Q265" s="144"/>
      <c r="R265" s="144"/>
      <c r="S265" s="144"/>
      <c r="T265" s="144"/>
      <c r="U265" s="144"/>
      <c r="V265" s="144"/>
      <c r="W265" s="144"/>
      <c r="X265" s="144"/>
      <c r="Y265" s="144"/>
      <c r="Z265" s="144"/>
      <c r="AA265" s="144"/>
      <c r="AB265" s="144"/>
      <c r="AC265" s="135"/>
      <c r="AD265" s="129" t="s">
        <v>5459</v>
      </c>
      <c r="AE265" s="129" t="s">
        <v>5459</v>
      </c>
      <c r="AF265" s="130" t="s">
        <v>5459</v>
      </c>
      <c r="AG265" s="129" t="s">
        <v>236</v>
      </c>
      <c r="AH265" s="130" t="s">
        <v>5459</v>
      </c>
      <c r="AI265" s="130" t="s">
        <v>5459</v>
      </c>
    </row>
    <row r="266" spans="1:35" ht="10.5" customHeight="1" x14ac:dyDescent="0.2">
      <c r="A266" s="117" t="s">
        <v>5459</v>
      </c>
      <c r="B266" s="117" t="s">
        <v>2350</v>
      </c>
      <c r="C266" s="128" t="s">
        <v>5459</v>
      </c>
      <c r="D266" s="133" t="s">
        <v>236</v>
      </c>
      <c r="E266" s="138" t="str">
        <f>+INDEX(F266:AB266,1,[3]BOD!$I$2-1)</f>
        <v/>
      </c>
      <c r="F266" s="140" t="s">
        <v>5459</v>
      </c>
      <c r="G266" s="144"/>
      <c r="H266" s="144" t="str">
        <f t="shared" si="4"/>
        <v/>
      </c>
      <c r="I266" s="144" t="str">
        <f t="shared" si="4"/>
        <v/>
      </c>
      <c r="J266" s="144"/>
      <c r="K266" s="144"/>
      <c r="L266" s="144"/>
      <c r="M266" s="144"/>
      <c r="N266" s="144"/>
      <c r="O266" s="144"/>
      <c r="P266" s="144"/>
      <c r="Q266" s="144"/>
      <c r="R266" s="144"/>
      <c r="S266" s="144"/>
      <c r="T266" s="144"/>
      <c r="U266" s="144"/>
      <c r="V266" s="144"/>
      <c r="W266" s="144"/>
      <c r="X266" s="144"/>
      <c r="Y266" s="144"/>
      <c r="Z266" s="144"/>
      <c r="AA266" s="144"/>
      <c r="AB266" s="144"/>
      <c r="AC266" s="135"/>
      <c r="AD266" s="129" t="s">
        <v>8396</v>
      </c>
      <c r="AE266" s="129" t="s">
        <v>2368</v>
      </c>
      <c r="AF266" s="130">
        <v>1</v>
      </c>
      <c r="AG266" s="129" t="s">
        <v>4699</v>
      </c>
      <c r="AH266" s="130">
        <v>1050</v>
      </c>
      <c r="AI266" s="130">
        <v>1050</v>
      </c>
    </row>
    <row r="267" spans="1:35" ht="10.5" customHeight="1" x14ac:dyDescent="0.2">
      <c r="A267" s="117" t="s">
        <v>6301</v>
      </c>
      <c r="B267" s="117" t="s">
        <v>2338</v>
      </c>
      <c r="C267" s="128">
        <v>1</v>
      </c>
      <c r="D267" s="133" t="s">
        <v>7256</v>
      </c>
      <c r="E267" s="138">
        <f>+INDEX(F267:AB267,1,[3]BOD!$I$2-1)</f>
        <v>40.19</v>
      </c>
      <c r="F267" s="140">
        <v>40.19</v>
      </c>
      <c r="G267" s="144"/>
      <c r="H267" s="144">
        <f t="shared" si="4"/>
        <v>200.95</v>
      </c>
      <c r="I267" s="144">
        <f t="shared" si="4"/>
        <v>200.95</v>
      </c>
      <c r="J267" s="144"/>
      <c r="K267" s="144"/>
      <c r="L267" s="144"/>
      <c r="M267" s="144"/>
      <c r="N267" s="144"/>
      <c r="O267" s="144"/>
      <c r="P267" s="144"/>
      <c r="Q267" s="144"/>
      <c r="R267" s="144"/>
      <c r="S267" s="144"/>
      <c r="T267" s="144"/>
      <c r="U267" s="144"/>
      <c r="V267" s="144"/>
      <c r="W267" s="144"/>
      <c r="X267" s="144"/>
      <c r="Y267" s="144"/>
      <c r="Z267" s="144"/>
      <c r="AA267" s="144"/>
      <c r="AB267" s="144"/>
      <c r="AC267" s="135"/>
      <c r="AD267" s="129" t="s">
        <v>5459</v>
      </c>
      <c r="AE267" s="129" t="s">
        <v>5459</v>
      </c>
      <c r="AF267" s="130" t="s">
        <v>5459</v>
      </c>
      <c r="AG267" s="129" t="s">
        <v>236</v>
      </c>
      <c r="AH267" s="130" t="s">
        <v>5459</v>
      </c>
      <c r="AI267" s="130" t="s">
        <v>5459</v>
      </c>
    </row>
    <row r="268" spans="1:35" ht="10.5" customHeight="1" x14ac:dyDescent="0.2">
      <c r="A268" s="117" t="s">
        <v>5459</v>
      </c>
      <c r="B268" s="117" t="s">
        <v>2350</v>
      </c>
      <c r="C268" s="128" t="s">
        <v>5459</v>
      </c>
      <c r="D268" s="133" t="s">
        <v>236</v>
      </c>
      <c r="E268" s="138" t="str">
        <f>+INDEX(F268:AB268,1,[3]BOD!$I$2-1)</f>
        <v/>
      </c>
      <c r="F268" s="140" t="s">
        <v>5459</v>
      </c>
      <c r="G268" s="144"/>
      <c r="H268" s="144" t="str">
        <f t="shared" si="4"/>
        <v/>
      </c>
      <c r="I268" s="144" t="str">
        <f t="shared" si="4"/>
        <v/>
      </c>
      <c r="J268" s="144"/>
      <c r="K268" s="144"/>
      <c r="L268" s="144"/>
      <c r="M268" s="144"/>
      <c r="N268" s="144"/>
      <c r="O268" s="144"/>
      <c r="P268" s="144"/>
      <c r="Q268" s="144"/>
      <c r="R268" s="144"/>
      <c r="S268" s="144"/>
      <c r="T268" s="144"/>
      <c r="U268" s="144"/>
      <c r="V268" s="144"/>
      <c r="W268" s="144"/>
      <c r="X268" s="144"/>
      <c r="Y268" s="144"/>
      <c r="Z268" s="144"/>
      <c r="AA268" s="144"/>
      <c r="AB268" s="144"/>
      <c r="AC268" s="135"/>
      <c r="AD268" s="129" t="s">
        <v>8397</v>
      </c>
      <c r="AE268" s="129" t="s">
        <v>2369</v>
      </c>
      <c r="AF268" s="130">
        <v>1</v>
      </c>
      <c r="AG268" s="129" t="s">
        <v>4699</v>
      </c>
      <c r="AH268" s="130">
        <v>1100</v>
      </c>
      <c r="AI268" s="130">
        <v>1100</v>
      </c>
    </row>
    <row r="269" spans="1:35" ht="10.5" customHeight="1" x14ac:dyDescent="0.2">
      <c r="A269" s="117" t="s">
        <v>6302</v>
      </c>
      <c r="B269" s="117" t="s">
        <v>2339</v>
      </c>
      <c r="C269" s="128">
        <v>1</v>
      </c>
      <c r="D269" s="133" t="s">
        <v>7256</v>
      </c>
      <c r="E269" s="138">
        <f>+INDEX(F269:AB269,1,[3]BOD!$I$2-1)</f>
        <v>41.17</v>
      </c>
      <c r="F269" s="140">
        <v>41.17</v>
      </c>
      <c r="G269" s="144"/>
      <c r="H269" s="144">
        <f t="shared" si="4"/>
        <v>205.85000000000002</v>
      </c>
      <c r="I269" s="144">
        <f t="shared" si="4"/>
        <v>205.85000000000002</v>
      </c>
      <c r="J269" s="144"/>
      <c r="K269" s="144"/>
      <c r="L269" s="144"/>
      <c r="M269" s="144"/>
      <c r="N269" s="144"/>
      <c r="O269" s="144"/>
      <c r="P269" s="144"/>
      <c r="Q269" s="144"/>
      <c r="R269" s="144"/>
      <c r="S269" s="144"/>
      <c r="T269" s="144"/>
      <c r="U269" s="144"/>
      <c r="V269" s="144"/>
      <c r="W269" s="144"/>
      <c r="X269" s="144"/>
      <c r="Y269" s="144"/>
      <c r="Z269" s="144"/>
      <c r="AA269" s="144"/>
      <c r="AB269" s="144"/>
      <c r="AC269" s="135"/>
      <c r="AD269" s="129" t="s">
        <v>5459</v>
      </c>
      <c r="AE269" s="129" t="s">
        <v>5459</v>
      </c>
      <c r="AF269" s="130" t="s">
        <v>5459</v>
      </c>
      <c r="AG269" s="129" t="s">
        <v>236</v>
      </c>
      <c r="AH269" s="130" t="s">
        <v>5459</v>
      </c>
      <c r="AI269" s="130" t="s">
        <v>5459</v>
      </c>
    </row>
    <row r="270" spans="1:35" ht="10.5" customHeight="1" x14ac:dyDescent="0.2">
      <c r="A270" s="117" t="s">
        <v>5459</v>
      </c>
      <c r="B270" s="117" t="s">
        <v>2350</v>
      </c>
      <c r="C270" s="128" t="s">
        <v>5459</v>
      </c>
      <c r="D270" s="133" t="s">
        <v>236</v>
      </c>
      <c r="E270" s="138" t="str">
        <f>+INDEX(F270:AB270,1,[3]BOD!$I$2-1)</f>
        <v/>
      </c>
      <c r="F270" s="140" t="s">
        <v>5459</v>
      </c>
      <c r="G270" s="144"/>
      <c r="H270" s="144" t="str">
        <f t="shared" si="4"/>
        <v/>
      </c>
      <c r="I270" s="144" t="str">
        <f t="shared" si="4"/>
        <v/>
      </c>
      <c r="J270" s="144"/>
      <c r="K270" s="144"/>
      <c r="L270" s="144"/>
      <c r="M270" s="144"/>
      <c r="N270" s="144"/>
      <c r="O270" s="144"/>
      <c r="P270" s="144"/>
      <c r="Q270" s="144"/>
      <c r="R270" s="144"/>
      <c r="S270" s="144"/>
      <c r="T270" s="144"/>
      <c r="U270" s="144"/>
      <c r="V270" s="144"/>
      <c r="W270" s="144"/>
      <c r="X270" s="144"/>
      <c r="Y270" s="144"/>
      <c r="Z270" s="144"/>
      <c r="AA270" s="144"/>
      <c r="AB270" s="144"/>
      <c r="AC270" s="135"/>
      <c r="AD270" s="129" t="s">
        <v>8398</v>
      </c>
      <c r="AE270" s="129" t="s">
        <v>2370</v>
      </c>
      <c r="AF270" s="130">
        <v>1</v>
      </c>
      <c r="AG270" s="129" t="s">
        <v>4699</v>
      </c>
      <c r="AH270" s="130">
        <v>1150</v>
      </c>
      <c r="AI270" s="130">
        <v>1150</v>
      </c>
    </row>
    <row r="271" spans="1:35" ht="10.5" customHeight="1" x14ac:dyDescent="0.2">
      <c r="A271" s="117" t="s">
        <v>6303</v>
      </c>
      <c r="B271" s="117" t="s">
        <v>2340</v>
      </c>
      <c r="C271" s="128">
        <v>1</v>
      </c>
      <c r="D271" s="133" t="s">
        <v>7256</v>
      </c>
      <c r="E271" s="138">
        <f>+INDEX(F271:AB271,1,[3]BOD!$I$2-1)</f>
        <v>43.46</v>
      </c>
      <c r="F271" s="140">
        <v>43.46</v>
      </c>
      <c r="G271" s="144"/>
      <c r="H271" s="144">
        <f t="shared" si="4"/>
        <v>217.3</v>
      </c>
      <c r="I271" s="144">
        <f t="shared" si="4"/>
        <v>217.3</v>
      </c>
      <c r="J271" s="144"/>
      <c r="K271" s="144"/>
      <c r="L271" s="144"/>
      <c r="M271" s="144"/>
      <c r="N271" s="144"/>
      <c r="O271" s="144"/>
      <c r="P271" s="144"/>
      <c r="Q271" s="144"/>
      <c r="R271" s="144"/>
      <c r="S271" s="144"/>
      <c r="T271" s="144"/>
      <c r="U271" s="144"/>
      <c r="V271" s="144"/>
      <c r="W271" s="144"/>
      <c r="X271" s="144"/>
      <c r="Y271" s="144"/>
      <c r="Z271" s="144"/>
      <c r="AA271" s="144"/>
      <c r="AB271" s="144"/>
      <c r="AC271" s="135"/>
      <c r="AD271" s="129" t="s">
        <v>5459</v>
      </c>
      <c r="AE271" s="129" t="s">
        <v>5459</v>
      </c>
      <c r="AF271" s="130" t="s">
        <v>5459</v>
      </c>
      <c r="AG271" s="129" t="s">
        <v>236</v>
      </c>
      <c r="AH271" s="130" t="s">
        <v>5459</v>
      </c>
      <c r="AI271" s="130" t="s">
        <v>5459</v>
      </c>
    </row>
    <row r="272" spans="1:35" ht="10.5" customHeight="1" x14ac:dyDescent="0.2">
      <c r="A272" s="117" t="s">
        <v>5459</v>
      </c>
      <c r="B272" s="117" t="s">
        <v>2350</v>
      </c>
      <c r="C272" s="128" t="s">
        <v>5459</v>
      </c>
      <c r="D272" s="133" t="s">
        <v>236</v>
      </c>
      <c r="E272" s="138" t="str">
        <f>+INDEX(F272:AB272,1,[3]BOD!$I$2-1)</f>
        <v/>
      </c>
      <c r="F272" s="140" t="s">
        <v>5459</v>
      </c>
      <c r="G272" s="144"/>
      <c r="H272" s="144" t="str">
        <f t="shared" si="4"/>
        <v/>
      </c>
      <c r="I272" s="144" t="str">
        <f t="shared" si="4"/>
        <v/>
      </c>
      <c r="J272" s="144"/>
      <c r="K272" s="144"/>
      <c r="L272" s="144"/>
      <c r="M272" s="144"/>
      <c r="N272" s="144"/>
      <c r="O272" s="144"/>
      <c r="P272" s="144"/>
      <c r="Q272" s="144"/>
      <c r="R272" s="144"/>
      <c r="S272" s="144"/>
      <c r="T272" s="144"/>
      <c r="U272" s="144"/>
      <c r="V272" s="144"/>
      <c r="W272" s="144"/>
      <c r="X272" s="144"/>
      <c r="Y272" s="144"/>
      <c r="Z272" s="144"/>
      <c r="AA272" s="144"/>
      <c r="AB272" s="144"/>
      <c r="AC272" s="135"/>
      <c r="AD272" s="129" t="s">
        <v>8399</v>
      </c>
      <c r="AE272" s="129" t="s">
        <v>2375</v>
      </c>
      <c r="AF272" s="130">
        <v>1</v>
      </c>
      <c r="AG272" s="129" t="s">
        <v>4699</v>
      </c>
      <c r="AH272" s="130">
        <v>287.98</v>
      </c>
      <c r="AI272" s="130">
        <v>287.98</v>
      </c>
    </row>
    <row r="273" spans="1:35" ht="10.5" customHeight="1" x14ac:dyDescent="0.2">
      <c r="A273" s="117" t="s">
        <v>6304</v>
      </c>
      <c r="B273" s="117" t="s">
        <v>2341</v>
      </c>
      <c r="C273" s="128">
        <v>1</v>
      </c>
      <c r="D273" s="133" t="s">
        <v>7256</v>
      </c>
      <c r="E273" s="138">
        <f>+INDEX(F273:AB273,1,[3]BOD!$I$2-1)</f>
        <v>45.75</v>
      </c>
      <c r="F273" s="140">
        <v>45.75</v>
      </c>
      <c r="G273" s="144"/>
      <c r="H273" s="144">
        <f t="shared" si="4"/>
        <v>228.75</v>
      </c>
      <c r="I273" s="144">
        <f t="shared" si="4"/>
        <v>228.75</v>
      </c>
      <c r="J273" s="144"/>
      <c r="K273" s="144"/>
      <c r="L273" s="144"/>
      <c r="M273" s="144"/>
      <c r="N273" s="144"/>
      <c r="O273" s="144"/>
      <c r="P273" s="144"/>
      <c r="Q273" s="144"/>
      <c r="R273" s="144"/>
      <c r="S273" s="144"/>
      <c r="T273" s="144"/>
      <c r="U273" s="144"/>
      <c r="V273" s="144"/>
      <c r="W273" s="144"/>
      <c r="X273" s="144"/>
      <c r="Y273" s="144"/>
      <c r="Z273" s="144"/>
      <c r="AA273" s="144"/>
      <c r="AB273" s="144"/>
      <c r="AC273" s="135"/>
      <c r="AD273" s="129" t="s">
        <v>5459</v>
      </c>
      <c r="AE273" s="129" t="s">
        <v>5459</v>
      </c>
      <c r="AF273" s="130" t="s">
        <v>5459</v>
      </c>
      <c r="AG273" s="129" t="s">
        <v>236</v>
      </c>
      <c r="AH273" s="130" t="s">
        <v>5459</v>
      </c>
      <c r="AI273" s="130" t="s">
        <v>5459</v>
      </c>
    </row>
    <row r="274" spans="1:35" ht="10.5" customHeight="1" x14ac:dyDescent="0.2">
      <c r="A274" s="117" t="s">
        <v>5459</v>
      </c>
      <c r="B274" s="117" t="s">
        <v>2350</v>
      </c>
      <c r="C274" s="128" t="s">
        <v>5459</v>
      </c>
      <c r="D274" s="133" t="s">
        <v>236</v>
      </c>
      <c r="E274" s="138" t="str">
        <f>+INDEX(F274:AB274,1,[3]BOD!$I$2-1)</f>
        <v/>
      </c>
      <c r="F274" s="140" t="s">
        <v>5459</v>
      </c>
      <c r="G274" s="144"/>
      <c r="H274" s="144" t="str">
        <f t="shared" si="4"/>
        <v/>
      </c>
      <c r="I274" s="144" t="str">
        <f t="shared" si="4"/>
        <v/>
      </c>
      <c r="J274" s="144"/>
      <c r="K274" s="144"/>
      <c r="L274" s="144"/>
      <c r="M274" s="144"/>
      <c r="N274" s="144"/>
      <c r="O274" s="144"/>
      <c r="P274" s="144"/>
      <c r="Q274" s="144"/>
      <c r="R274" s="144"/>
      <c r="S274" s="144"/>
      <c r="T274" s="144"/>
      <c r="U274" s="144"/>
      <c r="V274" s="144"/>
      <c r="W274" s="144"/>
      <c r="X274" s="144"/>
      <c r="Y274" s="144"/>
      <c r="Z274" s="144"/>
      <c r="AA274" s="144"/>
      <c r="AB274" s="144"/>
      <c r="AC274" s="135"/>
      <c r="AD274" s="129" t="s">
        <v>8400</v>
      </c>
      <c r="AE274" s="129" t="s">
        <v>2376</v>
      </c>
      <c r="AF274" s="130">
        <v>1</v>
      </c>
      <c r="AG274" s="129" t="s">
        <v>4699</v>
      </c>
      <c r="AH274" s="130">
        <v>314.16000000000003</v>
      </c>
      <c r="AI274" s="130">
        <v>314.16000000000003</v>
      </c>
    </row>
    <row r="275" spans="1:35" ht="10.5" customHeight="1" x14ac:dyDescent="0.2">
      <c r="A275" s="117" t="s">
        <v>6305</v>
      </c>
      <c r="B275" s="117" t="s">
        <v>2342</v>
      </c>
      <c r="C275" s="128">
        <v>1</v>
      </c>
      <c r="D275" s="133" t="s">
        <v>7256</v>
      </c>
      <c r="E275" s="138">
        <f>+INDEX(F275:AB275,1,[3]BOD!$I$2-1)</f>
        <v>49.18</v>
      </c>
      <c r="F275" s="140">
        <v>49.18</v>
      </c>
      <c r="G275" s="144"/>
      <c r="H275" s="144">
        <f t="shared" si="4"/>
        <v>245.9</v>
      </c>
      <c r="I275" s="144">
        <f t="shared" si="4"/>
        <v>245.9</v>
      </c>
      <c r="J275" s="144"/>
      <c r="K275" s="144"/>
      <c r="L275" s="144"/>
      <c r="M275" s="144"/>
      <c r="N275" s="144"/>
      <c r="O275" s="144"/>
      <c r="P275" s="144"/>
      <c r="Q275" s="144"/>
      <c r="R275" s="144"/>
      <c r="S275" s="144"/>
      <c r="T275" s="144"/>
      <c r="U275" s="144"/>
      <c r="V275" s="144"/>
      <c r="W275" s="144"/>
      <c r="X275" s="144"/>
      <c r="Y275" s="144"/>
      <c r="Z275" s="144"/>
      <c r="AA275" s="144"/>
      <c r="AB275" s="144"/>
      <c r="AC275" s="135"/>
      <c r="AD275" s="129" t="s">
        <v>5459</v>
      </c>
      <c r="AE275" s="129" t="s">
        <v>5459</v>
      </c>
      <c r="AF275" s="130" t="s">
        <v>5459</v>
      </c>
      <c r="AG275" s="129" t="s">
        <v>236</v>
      </c>
      <c r="AH275" s="130" t="s">
        <v>5459</v>
      </c>
      <c r="AI275" s="130" t="s">
        <v>5459</v>
      </c>
    </row>
    <row r="276" spans="1:35" ht="10.5" customHeight="1" x14ac:dyDescent="0.2">
      <c r="A276" s="117" t="s">
        <v>5459</v>
      </c>
      <c r="B276" s="117" t="s">
        <v>2350</v>
      </c>
      <c r="C276" s="128" t="s">
        <v>5459</v>
      </c>
      <c r="D276" s="133" t="s">
        <v>236</v>
      </c>
      <c r="E276" s="138" t="str">
        <f>+INDEX(F276:AB276,1,[3]BOD!$I$2-1)</f>
        <v/>
      </c>
      <c r="F276" s="140" t="s">
        <v>5459</v>
      </c>
      <c r="G276" s="144"/>
      <c r="H276" s="144" t="str">
        <f t="shared" si="4"/>
        <v/>
      </c>
      <c r="I276" s="144" t="str">
        <f t="shared" si="4"/>
        <v/>
      </c>
      <c r="J276" s="144"/>
      <c r="K276" s="144"/>
      <c r="L276" s="144"/>
      <c r="M276" s="144"/>
      <c r="N276" s="144"/>
      <c r="O276" s="144"/>
      <c r="P276" s="144"/>
      <c r="Q276" s="144"/>
      <c r="R276" s="144"/>
      <c r="S276" s="144"/>
      <c r="T276" s="144"/>
      <c r="U276" s="144"/>
      <c r="V276" s="144"/>
      <c r="W276" s="144"/>
      <c r="X276" s="144"/>
      <c r="Y276" s="144"/>
      <c r="Z276" s="144"/>
      <c r="AA276" s="144"/>
      <c r="AB276" s="144"/>
      <c r="AC276" s="135"/>
      <c r="AD276" s="129" t="s">
        <v>8401</v>
      </c>
      <c r="AE276" s="129" t="s">
        <v>2377</v>
      </c>
      <c r="AF276" s="130">
        <v>1</v>
      </c>
      <c r="AG276" s="129" t="s">
        <v>4699</v>
      </c>
      <c r="AH276" s="130">
        <v>340.34</v>
      </c>
      <c r="AI276" s="130">
        <v>340.34</v>
      </c>
    </row>
    <row r="277" spans="1:35" ht="10.5" customHeight="1" x14ac:dyDescent="0.2">
      <c r="A277" s="117" t="s">
        <v>6306</v>
      </c>
      <c r="B277" s="117" t="s">
        <v>2335</v>
      </c>
      <c r="C277" s="128">
        <v>1</v>
      </c>
      <c r="D277" s="133" t="s">
        <v>7256</v>
      </c>
      <c r="E277" s="138">
        <f>+INDEX(F277:AB277,1,[3]BOD!$I$2-1)</f>
        <v>37.700000000000003</v>
      </c>
      <c r="F277" s="140">
        <v>37.700000000000003</v>
      </c>
      <c r="G277" s="144"/>
      <c r="H277" s="144">
        <f t="shared" si="4"/>
        <v>188.5</v>
      </c>
      <c r="I277" s="144">
        <f t="shared" si="4"/>
        <v>188.5</v>
      </c>
      <c r="J277" s="144"/>
      <c r="K277" s="144"/>
      <c r="L277" s="144"/>
      <c r="M277" s="144"/>
      <c r="N277" s="144"/>
      <c r="O277" s="144"/>
      <c r="P277" s="144"/>
      <c r="Q277" s="144"/>
      <c r="R277" s="144"/>
      <c r="S277" s="144"/>
      <c r="T277" s="144"/>
      <c r="U277" s="144"/>
      <c r="V277" s="144"/>
      <c r="W277" s="144"/>
      <c r="X277" s="144"/>
      <c r="Y277" s="144"/>
      <c r="Z277" s="144"/>
      <c r="AA277" s="144"/>
      <c r="AB277" s="144"/>
      <c r="AC277" s="135"/>
      <c r="AD277" s="129" t="s">
        <v>5459</v>
      </c>
      <c r="AE277" s="129" t="s">
        <v>5459</v>
      </c>
      <c r="AF277" s="130" t="s">
        <v>5459</v>
      </c>
      <c r="AG277" s="129" t="s">
        <v>236</v>
      </c>
      <c r="AH277" s="130" t="s">
        <v>5459</v>
      </c>
      <c r="AI277" s="130" t="s">
        <v>5459</v>
      </c>
    </row>
    <row r="278" spans="1:35" ht="10.5" customHeight="1" x14ac:dyDescent="0.2">
      <c r="A278" s="117" t="s">
        <v>5459</v>
      </c>
      <c r="B278" s="117" t="s">
        <v>2351</v>
      </c>
      <c r="C278" s="128" t="s">
        <v>5459</v>
      </c>
      <c r="D278" s="133" t="s">
        <v>236</v>
      </c>
      <c r="E278" s="138" t="str">
        <f>+INDEX(F278:AB278,1,[3]BOD!$I$2-1)</f>
        <v/>
      </c>
      <c r="F278" s="140" t="s">
        <v>5459</v>
      </c>
      <c r="G278" s="144"/>
      <c r="H278" s="144" t="str">
        <f t="shared" si="4"/>
        <v/>
      </c>
      <c r="I278" s="144" t="str">
        <f t="shared" si="4"/>
        <v/>
      </c>
      <c r="J278" s="144"/>
      <c r="K278" s="144"/>
      <c r="L278" s="144"/>
      <c r="M278" s="144"/>
      <c r="N278" s="144"/>
      <c r="O278" s="144"/>
      <c r="P278" s="144"/>
      <c r="Q278" s="144"/>
      <c r="R278" s="144"/>
      <c r="S278" s="144"/>
      <c r="T278" s="144"/>
      <c r="U278" s="144"/>
      <c r="V278" s="144"/>
      <c r="W278" s="144"/>
      <c r="X278" s="144"/>
      <c r="Y278" s="144"/>
      <c r="Z278" s="144"/>
      <c r="AA278" s="144"/>
      <c r="AB278" s="144"/>
      <c r="AC278" s="135"/>
      <c r="AD278" s="129" t="s">
        <v>7857</v>
      </c>
      <c r="AE278" s="129" t="s">
        <v>2378</v>
      </c>
      <c r="AF278" s="130">
        <v>1</v>
      </c>
      <c r="AG278" s="129" t="s">
        <v>4699</v>
      </c>
      <c r="AH278" s="130">
        <v>366.52</v>
      </c>
      <c r="AI278" s="130">
        <v>366.52</v>
      </c>
    </row>
    <row r="279" spans="1:35" ht="10.5" customHeight="1" x14ac:dyDescent="0.2">
      <c r="A279" s="117" t="s">
        <v>6307</v>
      </c>
      <c r="B279" s="117" t="s">
        <v>2336</v>
      </c>
      <c r="C279" s="128">
        <v>1</v>
      </c>
      <c r="D279" s="133" t="s">
        <v>7256</v>
      </c>
      <c r="E279" s="138">
        <f>+INDEX(F279:AB279,1,[3]BOD!$I$2-1)</f>
        <v>41.03</v>
      </c>
      <c r="F279" s="140">
        <v>41.03</v>
      </c>
      <c r="G279" s="144"/>
      <c r="H279" s="144">
        <f t="shared" si="4"/>
        <v>205.15</v>
      </c>
      <c r="I279" s="144">
        <f t="shared" si="4"/>
        <v>205.15</v>
      </c>
      <c r="J279" s="144"/>
      <c r="K279" s="144"/>
      <c r="L279" s="144"/>
      <c r="M279" s="144"/>
      <c r="N279" s="144"/>
      <c r="O279" s="144"/>
      <c r="P279" s="144"/>
      <c r="Q279" s="144"/>
      <c r="R279" s="144"/>
      <c r="S279" s="144"/>
      <c r="T279" s="144"/>
      <c r="U279" s="144"/>
      <c r="V279" s="144"/>
      <c r="W279" s="144"/>
      <c r="X279" s="144"/>
      <c r="Y279" s="144"/>
      <c r="Z279" s="144"/>
      <c r="AA279" s="144"/>
      <c r="AB279" s="144"/>
      <c r="AC279" s="135"/>
      <c r="AD279" s="129" t="s">
        <v>5459</v>
      </c>
      <c r="AE279" s="129" t="s">
        <v>5459</v>
      </c>
      <c r="AF279" s="130" t="s">
        <v>5459</v>
      </c>
      <c r="AG279" s="129" t="s">
        <v>236</v>
      </c>
      <c r="AH279" s="130" t="s">
        <v>5459</v>
      </c>
      <c r="AI279" s="130" t="s">
        <v>5459</v>
      </c>
    </row>
    <row r="280" spans="1:35" ht="10.5" customHeight="1" x14ac:dyDescent="0.2">
      <c r="A280" s="117" t="s">
        <v>5459</v>
      </c>
      <c r="B280" s="117" t="s">
        <v>2351</v>
      </c>
      <c r="C280" s="128" t="s">
        <v>5459</v>
      </c>
      <c r="D280" s="133" t="s">
        <v>236</v>
      </c>
      <c r="E280" s="138" t="str">
        <f>+INDEX(F280:AB280,1,[3]BOD!$I$2-1)</f>
        <v/>
      </c>
      <c r="F280" s="140" t="s">
        <v>5459</v>
      </c>
      <c r="G280" s="144"/>
      <c r="H280" s="144" t="str">
        <f t="shared" si="4"/>
        <v/>
      </c>
      <c r="I280" s="144" t="str">
        <f t="shared" si="4"/>
        <v/>
      </c>
      <c r="J280" s="144"/>
      <c r="K280" s="144"/>
      <c r="L280" s="144"/>
      <c r="M280" s="144"/>
      <c r="N280" s="144"/>
      <c r="O280" s="144"/>
      <c r="P280" s="144"/>
      <c r="Q280" s="144"/>
      <c r="R280" s="144"/>
      <c r="S280" s="144"/>
      <c r="T280" s="144"/>
      <c r="U280" s="144"/>
      <c r="V280" s="144"/>
      <c r="W280" s="144"/>
      <c r="X280" s="144"/>
      <c r="Y280" s="144"/>
      <c r="Z280" s="144"/>
      <c r="AA280" s="144"/>
      <c r="AB280" s="144"/>
      <c r="AC280" s="135"/>
      <c r="AD280" s="129" t="s">
        <v>7858</v>
      </c>
      <c r="AE280" s="129" t="s">
        <v>2379</v>
      </c>
      <c r="AF280" s="130">
        <v>1</v>
      </c>
      <c r="AG280" s="129" t="s">
        <v>4699</v>
      </c>
      <c r="AH280" s="130">
        <v>392.7</v>
      </c>
      <c r="AI280" s="130">
        <v>392.7</v>
      </c>
    </row>
    <row r="281" spans="1:35" ht="10.5" customHeight="1" x14ac:dyDescent="0.2">
      <c r="A281" s="117" t="s">
        <v>6308</v>
      </c>
      <c r="B281" s="117" t="s">
        <v>2337</v>
      </c>
      <c r="C281" s="128">
        <v>1</v>
      </c>
      <c r="D281" s="133" t="s">
        <v>7256</v>
      </c>
      <c r="E281" s="138">
        <f>+INDEX(F281:AB281,1,[3]BOD!$I$2-1)</f>
        <v>44.35</v>
      </c>
      <c r="F281" s="140">
        <v>44.35</v>
      </c>
      <c r="G281" s="144"/>
      <c r="H281" s="144">
        <f t="shared" si="4"/>
        <v>221.75</v>
      </c>
      <c r="I281" s="144">
        <f t="shared" si="4"/>
        <v>221.75</v>
      </c>
      <c r="J281" s="144"/>
      <c r="K281" s="144"/>
      <c r="L281" s="144"/>
      <c r="M281" s="144"/>
      <c r="N281" s="144"/>
      <c r="O281" s="144"/>
      <c r="P281" s="144"/>
      <c r="Q281" s="144"/>
      <c r="R281" s="144"/>
      <c r="S281" s="144"/>
      <c r="T281" s="144"/>
      <c r="U281" s="144"/>
      <c r="V281" s="144"/>
      <c r="W281" s="144"/>
      <c r="X281" s="144"/>
      <c r="Y281" s="144"/>
      <c r="Z281" s="144"/>
      <c r="AA281" s="144"/>
      <c r="AB281" s="144"/>
      <c r="AC281" s="135"/>
      <c r="AD281" s="129" t="s">
        <v>5459</v>
      </c>
      <c r="AE281" s="129" t="s">
        <v>5459</v>
      </c>
      <c r="AF281" s="130" t="s">
        <v>5459</v>
      </c>
      <c r="AG281" s="129" t="s">
        <v>236</v>
      </c>
      <c r="AH281" s="130" t="s">
        <v>5459</v>
      </c>
      <c r="AI281" s="130" t="s">
        <v>5459</v>
      </c>
    </row>
    <row r="282" spans="1:35" ht="10.5" customHeight="1" x14ac:dyDescent="0.2">
      <c r="A282" s="117" t="s">
        <v>5459</v>
      </c>
      <c r="B282" s="117" t="s">
        <v>2351</v>
      </c>
      <c r="C282" s="128" t="s">
        <v>5459</v>
      </c>
      <c r="D282" s="133" t="s">
        <v>236</v>
      </c>
      <c r="E282" s="138" t="str">
        <f>+INDEX(F282:AB282,1,[3]BOD!$I$2-1)</f>
        <v/>
      </c>
      <c r="F282" s="140" t="s">
        <v>5459</v>
      </c>
      <c r="G282" s="144"/>
      <c r="H282" s="144" t="str">
        <f t="shared" si="4"/>
        <v/>
      </c>
      <c r="I282" s="144" t="str">
        <f t="shared" si="4"/>
        <v/>
      </c>
      <c r="J282" s="144"/>
      <c r="K282" s="144"/>
      <c r="L282" s="144"/>
      <c r="M282" s="144"/>
      <c r="N282" s="144"/>
      <c r="O282" s="144"/>
      <c r="P282" s="144"/>
      <c r="Q282" s="144"/>
      <c r="R282" s="144"/>
      <c r="S282" s="144"/>
      <c r="T282" s="144"/>
      <c r="U282" s="144"/>
      <c r="V282" s="144"/>
      <c r="W282" s="144"/>
      <c r="X282" s="144"/>
      <c r="Y282" s="144"/>
      <c r="Z282" s="144"/>
      <c r="AA282" s="144"/>
      <c r="AB282" s="144"/>
      <c r="AC282" s="135"/>
      <c r="AD282" s="129" t="s">
        <v>6626</v>
      </c>
      <c r="AE282" s="129" t="s">
        <v>2380</v>
      </c>
      <c r="AF282" s="130">
        <v>1</v>
      </c>
      <c r="AG282" s="129" t="s">
        <v>4699</v>
      </c>
      <c r="AH282" s="130">
        <v>418.88</v>
      </c>
      <c r="AI282" s="130">
        <v>418.88</v>
      </c>
    </row>
    <row r="283" spans="1:35" ht="10.5" customHeight="1" x14ac:dyDescent="0.2">
      <c r="A283" s="117" t="s">
        <v>6309</v>
      </c>
      <c r="B283" s="117" t="s">
        <v>2339</v>
      </c>
      <c r="C283" s="128">
        <v>1</v>
      </c>
      <c r="D283" s="133" t="s">
        <v>7256</v>
      </c>
      <c r="E283" s="138">
        <f>+INDEX(F283:AB283,1,[3]BOD!$I$2-1)</f>
        <v>45.75</v>
      </c>
      <c r="F283" s="140">
        <v>45.75</v>
      </c>
      <c r="G283" s="144"/>
      <c r="H283" s="144">
        <f t="shared" si="4"/>
        <v>228.75</v>
      </c>
      <c r="I283" s="144">
        <f t="shared" si="4"/>
        <v>228.75</v>
      </c>
      <c r="J283" s="144"/>
      <c r="K283" s="144"/>
      <c r="L283" s="144"/>
      <c r="M283" s="144"/>
      <c r="N283" s="144"/>
      <c r="O283" s="144"/>
      <c r="P283" s="144"/>
      <c r="Q283" s="144"/>
      <c r="R283" s="144"/>
      <c r="S283" s="144"/>
      <c r="T283" s="144"/>
      <c r="U283" s="144"/>
      <c r="V283" s="144"/>
      <c r="W283" s="144"/>
      <c r="X283" s="144"/>
      <c r="Y283" s="144"/>
      <c r="Z283" s="144"/>
      <c r="AA283" s="144"/>
      <c r="AB283" s="144"/>
      <c r="AC283" s="135"/>
      <c r="AD283" s="129" t="s">
        <v>5459</v>
      </c>
      <c r="AE283" s="129" t="s">
        <v>5459</v>
      </c>
      <c r="AF283" s="130" t="s">
        <v>5459</v>
      </c>
      <c r="AG283" s="129" t="s">
        <v>236</v>
      </c>
      <c r="AH283" s="130" t="s">
        <v>5459</v>
      </c>
      <c r="AI283" s="130" t="s">
        <v>5459</v>
      </c>
    </row>
    <row r="284" spans="1:35" ht="10.5" customHeight="1" x14ac:dyDescent="0.2">
      <c r="A284" s="117" t="s">
        <v>5459</v>
      </c>
      <c r="B284" s="117" t="s">
        <v>2351</v>
      </c>
      <c r="C284" s="128" t="s">
        <v>5459</v>
      </c>
      <c r="D284" s="133" t="s">
        <v>236</v>
      </c>
      <c r="E284" s="138" t="str">
        <f>+INDEX(F284:AB284,1,[3]BOD!$I$2-1)</f>
        <v/>
      </c>
      <c r="F284" s="140" t="s">
        <v>5459</v>
      </c>
      <c r="G284" s="144"/>
      <c r="H284" s="144" t="str">
        <f t="shared" si="4"/>
        <v/>
      </c>
      <c r="I284" s="144" t="str">
        <f t="shared" si="4"/>
        <v/>
      </c>
      <c r="J284" s="144"/>
      <c r="K284" s="144"/>
      <c r="L284" s="144"/>
      <c r="M284" s="144"/>
      <c r="N284" s="144"/>
      <c r="O284" s="144"/>
      <c r="P284" s="144"/>
      <c r="Q284" s="144"/>
      <c r="R284" s="144"/>
      <c r="S284" s="144"/>
      <c r="T284" s="144"/>
      <c r="U284" s="144"/>
      <c r="V284" s="144"/>
      <c r="W284" s="144"/>
      <c r="X284" s="144"/>
      <c r="Y284" s="144"/>
      <c r="Z284" s="144"/>
      <c r="AA284" s="144"/>
      <c r="AB284" s="144"/>
      <c r="AC284" s="135"/>
      <c r="AD284" s="129" t="s">
        <v>6627</v>
      </c>
      <c r="AE284" s="129" t="s">
        <v>2381</v>
      </c>
      <c r="AF284" s="130">
        <v>0</v>
      </c>
      <c r="AG284" s="129" t="s">
        <v>236</v>
      </c>
      <c r="AH284" s="130">
        <v>87.45</v>
      </c>
      <c r="AI284" s="130">
        <v>0</v>
      </c>
    </row>
    <row r="285" spans="1:35" ht="10.5" customHeight="1" x14ac:dyDescent="0.2">
      <c r="A285" s="117" t="s">
        <v>5287</v>
      </c>
      <c r="B285" s="117" t="s">
        <v>2340</v>
      </c>
      <c r="C285" s="128">
        <v>1</v>
      </c>
      <c r="D285" s="133" t="s">
        <v>7256</v>
      </c>
      <c r="E285" s="138">
        <f>+INDEX(F285:AB285,1,[3]BOD!$I$2-1)</f>
        <v>50.32</v>
      </c>
      <c r="F285" s="140">
        <v>50.32</v>
      </c>
      <c r="G285" s="144"/>
      <c r="H285" s="144">
        <f t="shared" si="4"/>
        <v>251.6</v>
      </c>
      <c r="I285" s="144">
        <f t="shared" si="4"/>
        <v>251.6</v>
      </c>
      <c r="J285" s="144"/>
      <c r="K285" s="144"/>
      <c r="L285" s="144"/>
      <c r="M285" s="144"/>
      <c r="N285" s="144"/>
      <c r="O285" s="144"/>
      <c r="P285" s="144"/>
      <c r="Q285" s="144"/>
      <c r="R285" s="144"/>
      <c r="S285" s="144"/>
      <c r="T285" s="144"/>
      <c r="U285" s="144"/>
      <c r="V285" s="144"/>
      <c r="W285" s="144"/>
      <c r="X285" s="144"/>
      <c r="Y285" s="144"/>
      <c r="Z285" s="144"/>
      <c r="AA285" s="144"/>
      <c r="AB285" s="144"/>
      <c r="AC285" s="135"/>
      <c r="AD285" s="129" t="s">
        <v>5459</v>
      </c>
      <c r="AE285" s="129" t="s">
        <v>5459</v>
      </c>
      <c r="AF285" s="130" t="s">
        <v>5459</v>
      </c>
      <c r="AG285" s="129" t="s">
        <v>236</v>
      </c>
      <c r="AH285" s="130" t="s">
        <v>5459</v>
      </c>
      <c r="AI285" s="130" t="s">
        <v>5459</v>
      </c>
    </row>
    <row r="286" spans="1:35" ht="10.5" customHeight="1" x14ac:dyDescent="0.2">
      <c r="A286" s="117" t="s">
        <v>5459</v>
      </c>
      <c r="B286" s="117" t="s">
        <v>2351</v>
      </c>
      <c r="C286" s="128" t="s">
        <v>5459</v>
      </c>
      <c r="D286" s="133" t="s">
        <v>236</v>
      </c>
      <c r="E286" s="138" t="str">
        <f>+INDEX(F286:AB286,1,[3]BOD!$I$2-1)</f>
        <v/>
      </c>
      <c r="F286" s="140" t="s">
        <v>5459</v>
      </c>
      <c r="G286" s="144"/>
      <c r="H286" s="144" t="str">
        <f t="shared" si="4"/>
        <v/>
      </c>
      <c r="I286" s="144" t="str">
        <f t="shared" si="4"/>
        <v/>
      </c>
      <c r="J286" s="144"/>
      <c r="K286" s="144"/>
      <c r="L286" s="144"/>
      <c r="M286" s="144"/>
      <c r="N286" s="144"/>
      <c r="O286" s="144"/>
      <c r="P286" s="144"/>
      <c r="Q286" s="144"/>
      <c r="R286" s="144"/>
      <c r="S286" s="144"/>
      <c r="T286" s="144"/>
      <c r="U286" s="144"/>
      <c r="V286" s="144"/>
      <c r="W286" s="144"/>
      <c r="X286" s="144"/>
      <c r="Y286" s="144"/>
      <c r="Z286" s="144"/>
      <c r="AA286" s="144"/>
      <c r="AB286" s="144"/>
      <c r="AC286" s="135"/>
      <c r="AD286" s="129" t="s">
        <v>6628</v>
      </c>
      <c r="AE286" s="129" t="s">
        <v>2382</v>
      </c>
      <c r="AF286" s="130">
        <v>1</v>
      </c>
      <c r="AG286" s="129" t="s">
        <v>7256</v>
      </c>
      <c r="AH286" s="130">
        <v>14.82</v>
      </c>
      <c r="AI286" s="130">
        <v>14.82</v>
      </c>
    </row>
    <row r="287" spans="1:35" ht="10.5" customHeight="1" x14ac:dyDescent="0.2">
      <c r="A287" s="117" t="s">
        <v>5288</v>
      </c>
      <c r="B287" s="117" t="s">
        <v>2341</v>
      </c>
      <c r="C287" s="128">
        <v>1</v>
      </c>
      <c r="D287" s="133" t="s">
        <v>7256</v>
      </c>
      <c r="E287" s="138">
        <f>+INDEX(F287:AB287,1,[3]BOD!$I$2-1)</f>
        <v>54.9</v>
      </c>
      <c r="F287" s="140">
        <v>54.9</v>
      </c>
      <c r="G287" s="144"/>
      <c r="H287" s="144">
        <f t="shared" si="4"/>
        <v>274.5</v>
      </c>
      <c r="I287" s="144">
        <f t="shared" si="4"/>
        <v>274.5</v>
      </c>
      <c r="J287" s="144"/>
      <c r="K287" s="144"/>
      <c r="L287" s="144"/>
      <c r="M287" s="144"/>
      <c r="N287" s="144"/>
      <c r="O287" s="144"/>
      <c r="P287" s="144"/>
      <c r="Q287" s="144"/>
      <c r="R287" s="144"/>
      <c r="S287" s="144"/>
      <c r="T287" s="144"/>
      <c r="U287" s="144"/>
      <c r="V287" s="144"/>
      <c r="W287" s="144"/>
      <c r="X287" s="144"/>
      <c r="Y287" s="144"/>
      <c r="Z287" s="144"/>
      <c r="AA287" s="144"/>
      <c r="AB287" s="144"/>
      <c r="AC287" s="135"/>
      <c r="AD287" s="129" t="s">
        <v>5459</v>
      </c>
      <c r="AE287" s="129" t="s">
        <v>5459</v>
      </c>
      <c r="AF287" s="130" t="s">
        <v>5459</v>
      </c>
      <c r="AG287" s="129" t="s">
        <v>236</v>
      </c>
      <c r="AH287" s="130" t="s">
        <v>5459</v>
      </c>
      <c r="AI287" s="130" t="s">
        <v>5459</v>
      </c>
    </row>
    <row r="288" spans="1:35" ht="10.5" customHeight="1" x14ac:dyDescent="0.2">
      <c r="A288" s="117" t="s">
        <v>5459</v>
      </c>
      <c r="B288" s="117" t="s">
        <v>2351</v>
      </c>
      <c r="C288" s="128" t="s">
        <v>5459</v>
      </c>
      <c r="D288" s="133" t="s">
        <v>236</v>
      </c>
      <c r="E288" s="138" t="str">
        <f>+INDEX(F288:AB288,1,[3]BOD!$I$2-1)</f>
        <v/>
      </c>
      <c r="F288" s="140" t="s">
        <v>5459</v>
      </c>
      <c r="G288" s="144"/>
      <c r="H288" s="144" t="str">
        <f t="shared" si="4"/>
        <v/>
      </c>
      <c r="I288" s="144" t="str">
        <f t="shared" si="4"/>
        <v/>
      </c>
      <c r="J288" s="144"/>
      <c r="K288" s="144"/>
      <c r="L288" s="144"/>
      <c r="M288" s="144"/>
      <c r="N288" s="144"/>
      <c r="O288" s="144"/>
      <c r="P288" s="144"/>
      <c r="Q288" s="144"/>
      <c r="R288" s="144"/>
      <c r="S288" s="144"/>
      <c r="T288" s="144"/>
      <c r="U288" s="144"/>
      <c r="V288" s="144"/>
      <c r="W288" s="144"/>
      <c r="X288" s="144"/>
      <c r="Y288" s="144"/>
      <c r="Z288" s="144"/>
      <c r="AA288" s="144"/>
      <c r="AB288" s="144"/>
      <c r="AC288" s="135"/>
      <c r="AD288" s="129" t="s">
        <v>6629</v>
      </c>
      <c r="AE288" s="129" t="s">
        <v>2383</v>
      </c>
      <c r="AF288" s="130">
        <v>1</v>
      </c>
      <c r="AG288" s="129" t="s">
        <v>7256</v>
      </c>
      <c r="AH288" s="130">
        <v>19.260000000000002</v>
      </c>
      <c r="AI288" s="130">
        <v>19.260000000000002</v>
      </c>
    </row>
    <row r="289" spans="1:35" ht="10.5" customHeight="1" x14ac:dyDescent="0.2">
      <c r="A289" s="117" t="s">
        <v>5289</v>
      </c>
      <c r="B289" s="117" t="s">
        <v>2352</v>
      </c>
      <c r="C289" s="128"/>
      <c r="D289" s="133"/>
      <c r="E289" s="138"/>
      <c r="F289" s="140"/>
      <c r="G289" s="144"/>
      <c r="H289" s="144" t="str">
        <f t="shared" si="4"/>
        <v/>
      </c>
      <c r="I289" s="144" t="str">
        <f t="shared" si="4"/>
        <v/>
      </c>
      <c r="J289" s="144"/>
      <c r="K289" s="144"/>
      <c r="L289" s="144"/>
      <c r="M289" s="144"/>
      <c r="N289" s="144"/>
      <c r="O289" s="144"/>
      <c r="P289" s="144"/>
      <c r="Q289" s="144"/>
      <c r="R289" s="144"/>
      <c r="S289" s="144"/>
      <c r="T289" s="144"/>
      <c r="U289" s="144"/>
      <c r="V289" s="144"/>
      <c r="W289" s="144"/>
      <c r="X289" s="144"/>
      <c r="Y289" s="144"/>
      <c r="Z289" s="144"/>
      <c r="AA289" s="144"/>
      <c r="AB289" s="144"/>
      <c r="AC289" s="135"/>
      <c r="AD289" s="129" t="s">
        <v>5459</v>
      </c>
      <c r="AE289" s="129" t="s">
        <v>5459</v>
      </c>
      <c r="AF289" s="130" t="s">
        <v>5459</v>
      </c>
      <c r="AG289" s="129" t="s">
        <v>236</v>
      </c>
      <c r="AH289" s="130" t="s">
        <v>5459</v>
      </c>
      <c r="AI289" s="130" t="s">
        <v>5459</v>
      </c>
    </row>
    <row r="290" spans="1:35" ht="10.5" customHeight="1" x14ac:dyDescent="0.2">
      <c r="A290" s="117" t="s">
        <v>5459</v>
      </c>
      <c r="B290" s="117" t="s">
        <v>5459</v>
      </c>
      <c r="C290" s="128"/>
      <c r="D290" s="133"/>
      <c r="E290" s="138"/>
      <c r="F290" s="140"/>
      <c r="G290" s="144"/>
      <c r="H290" s="144" t="str">
        <f t="shared" si="4"/>
        <v/>
      </c>
      <c r="I290" s="144" t="str">
        <f t="shared" si="4"/>
        <v/>
      </c>
      <c r="J290" s="144"/>
      <c r="K290" s="144"/>
      <c r="L290" s="144"/>
      <c r="M290" s="144"/>
      <c r="N290" s="144"/>
      <c r="O290" s="144"/>
      <c r="P290" s="144"/>
      <c r="Q290" s="144"/>
      <c r="R290" s="144"/>
      <c r="S290" s="144"/>
      <c r="T290" s="144"/>
      <c r="U290" s="144"/>
      <c r="V290" s="144"/>
      <c r="W290" s="144"/>
      <c r="X290" s="144"/>
      <c r="Y290" s="144"/>
      <c r="Z290" s="144"/>
      <c r="AA290" s="144"/>
      <c r="AB290" s="144"/>
      <c r="AC290" s="135"/>
      <c r="AD290" s="129" t="s">
        <v>6630</v>
      </c>
      <c r="AE290" s="129" t="s">
        <v>2384</v>
      </c>
      <c r="AF290" s="130">
        <v>1</v>
      </c>
      <c r="AG290" s="129" t="s">
        <v>7256</v>
      </c>
      <c r="AH290" s="130">
        <v>24.4</v>
      </c>
      <c r="AI290" s="130">
        <v>24.4</v>
      </c>
    </row>
    <row r="291" spans="1:35" ht="10.5" customHeight="1" x14ac:dyDescent="0.2">
      <c r="A291" s="117" t="s">
        <v>2438</v>
      </c>
      <c r="B291" s="117" t="s">
        <v>2352</v>
      </c>
      <c r="C291" s="128"/>
      <c r="D291" s="133"/>
      <c r="E291" s="138"/>
      <c r="F291" s="140"/>
      <c r="G291" s="144"/>
      <c r="H291" s="144" t="str">
        <f t="shared" si="4"/>
        <v/>
      </c>
      <c r="I291" s="144" t="str">
        <f t="shared" si="4"/>
        <v/>
      </c>
      <c r="J291" s="144"/>
      <c r="K291" s="144"/>
      <c r="L291" s="144"/>
      <c r="M291" s="144"/>
      <c r="N291" s="144"/>
      <c r="O291" s="144"/>
      <c r="P291" s="144"/>
      <c r="Q291" s="144"/>
      <c r="R291" s="144"/>
      <c r="S291" s="144"/>
      <c r="T291" s="144"/>
      <c r="U291" s="144"/>
      <c r="V291" s="144"/>
      <c r="W291" s="144"/>
      <c r="X291" s="144"/>
      <c r="Y291" s="144"/>
      <c r="Z291" s="144"/>
      <c r="AA291" s="144"/>
      <c r="AB291" s="144"/>
      <c r="AC291" s="135"/>
      <c r="AD291" s="129" t="s">
        <v>5459</v>
      </c>
      <c r="AE291" s="129" t="s">
        <v>5459</v>
      </c>
      <c r="AF291" s="130" t="s">
        <v>5459</v>
      </c>
      <c r="AG291" s="129" t="s">
        <v>236</v>
      </c>
      <c r="AH291" s="130" t="s">
        <v>5459</v>
      </c>
      <c r="AI291" s="130" t="s">
        <v>5459</v>
      </c>
    </row>
    <row r="292" spans="1:35" ht="10.5" customHeight="1" x14ac:dyDescent="0.2">
      <c r="A292" s="117" t="s">
        <v>5459</v>
      </c>
      <c r="B292" s="117" t="s">
        <v>5459</v>
      </c>
      <c r="C292" s="128" t="s">
        <v>5459</v>
      </c>
      <c r="D292" s="133" t="s">
        <v>236</v>
      </c>
      <c r="E292" s="138" t="str">
        <f>+INDEX(F292:AB292,1,[3]BOD!$I$2-1)</f>
        <v/>
      </c>
      <c r="F292" s="140" t="s">
        <v>5459</v>
      </c>
      <c r="G292" s="144"/>
      <c r="H292" s="144" t="str">
        <f t="shared" si="4"/>
        <v/>
      </c>
      <c r="I292" s="144" t="str">
        <f t="shared" si="4"/>
        <v/>
      </c>
      <c r="J292" s="144"/>
      <c r="K292" s="144"/>
      <c r="L292" s="144"/>
      <c r="M292" s="144"/>
      <c r="N292" s="144"/>
      <c r="O292" s="144"/>
      <c r="P292" s="144"/>
      <c r="Q292" s="144"/>
      <c r="R292" s="144"/>
      <c r="S292" s="144"/>
      <c r="T292" s="144"/>
      <c r="U292" s="144"/>
      <c r="V292" s="144"/>
      <c r="W292" s="144"/>
      <c r="X292" s="144"/>
      <c r="Y292" s="144"/>
      <c r="Z292" s="144"/>
      <c r="AA292" s="144"/>
      <c r="AB292" s="144"/>
      <c r="AC292" s="135"/>
      <c r="AD292" s="129" t="s">
        <v>6631</v>
      </c>
      <c r="AE292" s="129" t="s">
        <v>2385</v>
      </c>
      <c r="AF292" s="130">
        <v>1</v>
      </c>
      <c r="AG292" s="129" t="s">
        <v>7256</v>
      </c>
      <c r="AH292" s="130">
        <v>28.97</v>
      </c>
      <c r="AI292" s="130">
        <v>28.97</v>
      </c>
    </row>
    <row r="293" spans="1:35" ht="10.5" customHeight="1" x14ac:dyDescent="0.2">
      <c r="A293" s="117" t="s">
        <v>7564</v>
      </c>
      <c r="B293" s="117" t="s">
        <v>2353</v>
      </c>
      <c r="C293" s="128">
        <v>1</v>
      </c>
      <c r="D293" s="133" t="s">
        <v>7256</v>
      </c>
      <c r="E293" s="138">
        <f>+INDEX(F293:AB293,1,[3]BOD!$I$2-1)</f>
        <v>69.86</v>
      </c>
      <c r="F293" s="140">
        <v>69.86</v>
      </c>
      <c r="G293" s="144"/>
      <c r="H293" s="144">
        <f t="shared" si="4"/>
        <v>349.3</v>
      </c>
      <c r="I293" s="144">
        <f t="shared" si="4"/>
        <v>349.3</v>
      </c>
      <c r="J293" s="144"/>
      <c r="K293" s="144"/>
      <c r="L293" s="144"/>
      <c r="M293" s="144"/>
      <c r="N293" s="144"/>
      <c r="O293" s="144"/>
      <c r="P293" s="144"/>
      <c r="Q293" s="144"/>
      <c r="R293" s="144"/>
      <c r="S293" s="144"/>
      <c r="T293" s="144"/>
      <c r="U293" s="144"/>
      <c r="V293" s="144"/>
      <c r="W293" s="144"/>
      <c r="X293" s="144"/>
      <c r="Y293" s="144"/>
      <c r="Z293" s="144"/>
      <c r="AA293" s="144"/>
      <c r="AB293" s="144"/>
      <c r="AC293" s="135"/>
      <c r="AD293" s="129" t="s">
        <v>5459</v>
      </c>
      <c r="AE293" s="129" t="s">
        <v>5459</v>
      </c>
      <c r="AF293" s="130" t="s">
        <v>5459</v>
      </c>
      <c r="AG293" s="129" t="s">
        <v>236</v>
      </c>
      <c r="AH293" s="130" t="s">
        <v>5459</v>
      </c>
      <c r="AI293" s="130" t="s">
        <v>5459</v>
      </c>
    </row>
    <row r="294" spans="1:35" ht="10.5" customHeight="1" x14ac:dyDescent="0.2">
      <c r="A294" s="117" t="s">
        <v>5459</v>
      </c>
      <c r="B294" s="117" t="s">
        <v>2357</v>
      </c>
      <c r="C294" s="128" t="s">
        <v>5459</v>
      </c>
      <c r="D294" s="133" t="s">
        <v>236</v>
      </c>
      <c r="E294" s="138" t="str">
        <f>+INDEX(F294:AB294,1,[3]BOD!$I$2-1)</f>
        <v/>
      </c>
      <c r="F294" s="140" t="s">
        <v>5459</v>
      </c>
      <c r="G294" s="144"/>
      <c r="H294" s="144" t="str">
        <f t="shared" si="4"/>
        <v/>
      </c>
      <c r="I294" s="144" t="str">
        <f t="shared" si="4"/>
        <v/>
      </c>
      <c r="J294" s="144"/>
      <c r="K294" s="144"/>
      <c r="L294" s="144"/>
      <c r="M294" s="144"/>
      <c r="N294" s="144"/>
      <c r="O294" s="144"/>
      <c r="P294" s="144"/>
      <c r="Q294" s="144"/>
      <c r="R294" s="144"/>
      <c r="S294" s="144"/>
      <c r="T294" s="144"/>
      <c r="U294" s="144"/>
      <c r="V294" s="144"/>
      <c r="W294" s="144"/>
      <c r="X294" s="144"/>
      <c r="Y294" s="144"/>
      <c r="Z294" s="144"/>
      <c r="AA294" s="144"/>
      <c r="AB294" s="144"/>
      <c r="AC294" s="135"/>
      <c r="AD294" s="129" t="s">
        <v>6632</v>
      </c>
      <c r="AE294" s="129" t="s">
        <v>2386</v>
      </c>
      <c r="AF294" s="130">
        <v>0</v>
      </c>
      <c r="AG294" s="129" t="s">
        <v>236</v>
      </c>
      <c r="AH294" s="130">
        <v>875.94</v>
      </c>
      <c r="AI294" s="130">
        <v>0</v>
      </c>
    </row>
    <row r="295" spans="1:35" ht="10.5" customHeight="1" x14ac:dyDescent="0.2">
      <c r="A295" s="117" t="s">
        <v>7565</v>
      </c>
      <c r="B295" s="117" t="s">
        <v>2354</v>
      </c>
      <c r="C295" s="128">
        <v>1</v>
      </c>
      <c r="D295" s="133" t="s">
        <v>7256</v>
      </c>
      <c r="E295" s="138">
        <f>+INDEX(F295:AB295,1,[3]BOD!$I$2-1)</f>
        <v>91.15</v>
      </c>
      <c r="F295" s="140">
        <v>91.15</v>
      </c>
      <c r="G295" s="144"/>
      <c r="H295" s="144">
        <f t="shared" si="4"/>
        <v>455.75</v>
      </c>
      <c r="I295" s="144">
        <f t="shared" si="4"/>
        <v>455.75</v>
      </c>
      <c r="J295" s="144"/>
      <c r="K295" s="144"/>
      <c r="L295" s="144"/>
      <c r="M295" s="144"/>
      <c r="N295" s="144"/>
      <c r="O295" s="144"/>
      <c r="P295" s="144"/>
      <c r="Q295" s="144"/>
      <c r="R295" s="144"/>
      <c r="S295" s="144"/>
      <c r="T295" s="144"/>
      <c r="U295" s="144"/>
      <c r="V295" s="144"/>
      <c r="W295" s="144"/>
      <c r="X295" s="144"/>
      <c r="Y295" s="144"/>
      <c r="Z295" s="144"/>
      <c r="AA295" s="144"/>
      <c r="AB295" s="144"/>
      <c r="AC295" s="135"/>
      <c r="AD295" s="129" t="s">
        <v>5459</v>
      </c>
      <c r="AE295" s="129" t="s">
        <v>5459</v>
      </c>
      <c r="AF295" s="130" t="s">
        <v>5459</v>
      </c>
      <c r="AG295" s="129" t="s">
        <v>236</v>
      </c>
      <c r="AH295" s="130" t="s">
        <v>5459</v>
      </c>
      <c r="AI295" s="130" t="s">
        <v>5459</v>
      </c>
    </row>
    <row r="296" spans="1:35" ht="10.5" customHeight="1" x14ac:dyDescent="0.2">
      <c r="A296" s="117" t="s">
        <v>5459</v>
      </c>
      <c r="B296" s="117" t="s">
        <v>2357</v>
      </c>
      <c r="C296" s="128" t="s">
        <v>5459</v>
      </c>
      <c r="D296" s="133" t="s">
        <v>236</v>
      </c>
      <c r="E296" s="138" t="str">
        <f>+INDEX(F296:AB296,1,[3]BOD!$I$2-1)</f>
        <v/>
      </c>
      <c r="F296" s="140" t="s">
        <v>5459</v>
      </c>
      <c r="G296" s="144"/>
      <c r="H296" s="144" t="str">
        <f t="shared" si="4"/>
        <v/>
      </c>
      <c r="I296" s="144" t="str">
        <f t="shared" si="4"/>
        <v/>
      </c>
      <c r="J296" s="144"/>
      <c r="K296" s="144"/>
      <c r="L296" s="144"/>
      <c r="M296" s="144"/>
      <c r="N296" s="144"/>
      <c r="O296" s="144"/>
      <c r="P296" s="144"/>
      <c r="Q296" s="144"/>
      <c r="R296" s="144"/>
      <c r="S296" s="144"/>
      <c r="T296" s="144"/>
      <c r="U296" s="144"/>
      <c r="V296" s="144"/>
      <c r="W296" s="144"/>
      <c r="X296" s="144"/>
      <c r="Y296" s="144"/>
      <c r="Z296" s="144"/>
      <c r="AA296" s="144"/>
      <c r="AB296" s="144"/>
      <c r="AC296" s="135"/>
      <c r="AD296" s="129" t="s">
        <v>8488</v>
      </c>
      <c r="AE296" s="129" t="s">
        <v>2388</v>
      </c>
      <c r="AF296" s="130">
        <v>0</v>
      </c>
      <c r="AG296" s="129" t="s">
        <v>236</v>
      </c>
      <c r="AH296" s="130">
        <v>750</v>
      </c>
      <c r="AI296" s="130">
        <v>0</v>
      </c>
    </row>
    <row r="297" spans="1:35" ht="10.5" customHeight="1" x14ac:dyDescent="0.2">
      <c r="A297" s="117" t="s">
        <v>8381</v>
      </c>
      <c r="B297" s="117" t="s">
        <v>2355</v>
      </c>
      <c r="C297" s="128">
        <v>1</v>
      </c>
      <c r="D297" s="133" t="s">
        <v>7256</v>
      </c>
      <c r="E297" s="138">
        <f>+INDEX(F297:AB297,1,[3]BOD!$I$2-1)</f>
        <v>112.65</v>
      </c>
      <c r="F297" s="140">
        <v>112.65</v>
      </c>
      <c r="G297" s="144"/>
      <c r="H297" s="144">
        <f t="shared" si="4"/>
        <v>563.25</v>
      </c>
      <c r="I297" s="144">
        <f t="shared" si="4"/>
        <v>563.25</v>
      </c>
      <c r="J297" s="144"/>
      <c r="K297" s="144"/>
      <c r="L297" s="144"/>
      <c r="M297" s="144"/>
      <c r="N297" s="144"/>
      <c r="O297" s="144"/>
      <c r="P297" s="144"/>
      <c r="Q297" s="144"/>
      <c r="R297" s="144"/>
      <c r="S297" s="144"/>
      <c r="T297" s="144"/>
      <c r="U297" s="144"/>
      <c r="V297" s="144"/>
      <c r="W297" s="144"/>
      <c r="X297" s="144"/>
      <c r="Y297" s="144"/>
      <c r="Z297" s="144"/>
      <c r="AA297" s="144"/>
      <c r="AB297" s="144"/>
      <c r="AC297" s="135"/>
      <c r="AD297" s="129" t="s">
        <v>5459</v>
      </c>
      <c r="AE297" s="129" t="s">
        <v>5459</v>
      </c>
      <c r="AF297" s="130" t="s">
        <v>5459</v>
      </c>
      <c r="AG297" s="129" t="s">
        <v>236</v>
      </c>
      <c r="AH297" s="130" t="s">
        <v>5459</v>
      </c>
      <c r="AI297" s="130" t="s">
        <v>5459</v>
      </c>
    </row>
    <row r="298" spans="1:35" ht="10.5" customHeight="1" x14ac:dyDescent="0.2">
      <c r="A298" s="117" t="s">
        <v>5459</v>
      </c>
      <c r="B298" s="117" t="s">
        <v>2357</v>
      </c>
      <c r="C298" s="128" t="s">
        <v>5459</v>
      </c>
      <c r="D298" s="133" t="s">
        <v>236</v>
      </c>
      <c r="E298" s="138" t="str">
        <f>+INDEX(F298:AB298,1,[3]BOD!$I$2-1)</f>
        <v/>
      </c>
      <c r="F298" s="140" t="s">
        <v>5459</v>
      </c>
      <c r="G298" s="144"/>
      <c r="H298" s="144" t="str">
        <f t="shared" si="4"/>
        <v/>
      </c>
      <c r="I298" s="144" t="str">
        <f t="shared" si="4"/>
        <v/>
      </c>
      <c r="J298" s="144"/>
      <c r="K298" s="144"/>
      <c r="L298" s="144"/>
      <c r="M298" s="144"/>
      <c r="N298" s="144"/>
      <c r="O298" s="144"/>
      <c r="P298" s="144"/>
      <c r="Q298" s="144"/>
      <c r="R298" s="144"/>
      <c r="S298" s="144"/>
      <c r="T298" s="144"/>
      <c r="U298" s="144"/>
      <c r="V298" s="144"/>
      <c r="W298" s="144"/>
      <c r="X298" s="144"/>
      <c r="Y298" s="144"/>
      <c r="Z298" s="144"/>
      <c r="AA298" s="144"/>
      <c r="AB298" s="144"/>
      <c r="AC298" s="135"/>
      <c r="AD298" s="129" t="s">
        <v>8489</v>
      </c>
      <c r="AE298" s="129" t="s">
        <v>2389</v>
      </c>
      <c r="AF298" s="130">
        <v>1</v>
      </c>
      <c r="AG298" s="129" t="s">
        <v>4699</v>
      </c>
      <c r="AH298" s="130">
        <v>750</v>
      </c>
      <c r="AI298" s="130">
        <v>750</v>
      </c>
    </row>
    <row r="299" spans="1:35" ht="10.5" customHeight="1" x14ac:dyDescent="0.2">
      <c r="A299" s="117" t="s">
        <v>8382</v>
      </c>
      <c r="B299" s="117" t="s">
        <v>2356</v>
      </c>
      <c r="C299" s="128">
        <v>1</v>
      </c>
      <c r="D299" s="133" t="s">
        <v>7256</v>
      </c>
      <c r="E299" s="138">
        <f>+INDEX(F299:AB299,1,[3]BOD!$I$2-1)</f>
        <v>136.65</v>
      </c>
      <c r="F299" s="140">
        <v>136.65</v>
      </c>
      <c r="G299" s="144"/>
      <c r="H299" s="144">
        <f t="shared" si="4"/>
        <v>683.25</v>
      </c>
      <c r="I299" s="144">
        <f t="shared" si="4"/>
        <v>683.25</v>
      </c>
      <c r="J299" s="144"/>
      <c r="K299" s="144"/>
      <c r="L299" s="144"/>
      <c r="M299" s="144"/>
      <c r="N299" s="144"/>
      <c r="O299" s="144"/>
      <c r="P299" s="144"/>
      <c r="Q299" s="144"/>
      <c r="R299" s="144"/>
      <c r="S299" s="144"/>
      <c r="T299" s="144"/>
      <c r="U299" s="144"/>
      <c r="V299" s="144"/>
      <c r="W299" s="144"/>
      <c r="X299" s="144"/>
      <c r="Y299" s="144"/>
      <c r="Z299" s="144"/>
      <c r="AA299" s="144"/>
      <c r="AB299" s="144"/>
      <c r="AC299" s="135"/>
      <c r="AD299" s="129" t="s">
        <v>5459</v>
      </c>
      <c r="AE299" s="129" t="s">
        <v>5459</v>
      </c>
      <c r="AF299" s="130" t="s">
        <v>5459</v>
      </c>
      <c r="AG299" s="129" t="s">
        <v>236</v>
      </c>
      <c r="AH299" s="130" t="s">
        <v>5459</v>
      </c>
      <c r="AI299" s="130" t="s">
        <v>5459</v>
      </c>
    </row>
    <row r="300" spans="1:35" ht="10.5" customHeight="1" x14ac:dyDescent="0.2">
      <c r="A300" s="117" t="s">
        <v>5459</v>
      </c>
      <c r="B300" s="117" t="s">
        <v>2357</v>
      </c>
      <c r="C300" s="128" t="s">
        <v>5459</v>
      </c>
      <c r="D300" s="133" t="s">
        <v>236</v>
      </c>
      <c r="E300" s="138" t="str">
        <f>+INDEX(F300:AB300,1,[3]BOD!$I$2-1)</f>
        <v/>
      </c>
      <c r="F300" s="140" t="s">
        <v>5459</v>
      </c>
      <c r="G300" s="144"/>
      <c r="H300" s="144" t="str">
        <f t="shared" si="4"/>
        <v/>
      </c>
      <c r="I300" s="144" t="str">
        <f t="shared" si="4"/>
        <v/>
      </c>
      <c r="J300" s="144"/>
      <c r="K300" s="144"/>
      <c r="L300" s="144"/>
      <c r="M300" s="144"/>
      <c r="N300" s="144"/>
      <c r="O300" s="144"/>
      <c r="P300" s="144"/>
      <c r="Q300" s="144"/>
      <c r="R300" s="144"/>
      <c r="S300" s="144"/>
      <c r="T300" s="144"/>
      <c r="U300" s="144"/>
      <c r="V300" s="144"/>
      <c r="W300" s="144"/>
      <c r="X300" s="144"/>
      <c r="Y300" s="144"/>
      <c r="Z300" s="144"/>
      <c r="AA300" s="144"/>
      <c r="AB300" s="144"/>
      <c r="AC300" s="135"/>
      <c r="AD300" s="129" t="s">
        <v>8490</v>
      </c>
      <c r="AE300" s="129" t="s">
        <v>2392</v>
      </c>
      <c r="AF300" s="130">
        <v>0</v>
      </c>
      <c r="AG300" s="129" t="s">
        <v>236</v>
      </c>
      <c r="AH300" s="130">
        <v>125.94</v>
      </c>
      <c r="AI300" s="130">
        <v>0</v>
      </c>
    </row>
    <row r="301" spans="1:35" ht="10.5" customHeight="1" x14ac:dyDescent="0.2">
      <c r="A301" s="117" t="s">
        <v>8383</v>
      </c>
      <c r="B301" s="117" t="s">
        <v>2353</v>
      </c>
      <c r="C301" s="128">
        <v>1</v>
      </c>
      <c r="D301" s="133" t="s">
        <v>7256</v>
      </c>
      <c r="E301" s="138">
        <f>+INDEX(F301:AB301,1,[3]BOD!$I$2-1)</f>
        <v>84.86</v>
      </c>
      <c r="F301" s="140">
        <v>84.86</v>
      </c>
      <c r="G301" s="144"/>
      <c r="H301" s="144">
        <f t="shared" si="4"/>
        <v>424.3</v>
      </c>
      <c r="I301" s="144">
        <f t="shared" si="4"/>
        <v>424.3</v>
      </c>
      <c r="J301" s="144"/>
      <c r="K301" s="144"/>
      <c r="L301" s="144"/>
      <c r="M301" s="144"/>
      <c r="N301" s="144"/>
      <c r="O301" s="144"/>
      <c r="P301" s="144"/>
      <c r="Q301" s="144"/>
      <c r="R301" s="144"/>
      <c r="S301" s="144"/>
      <c r="T301" s="144"/>
      <c r="U301" s="144"/>
      <c r="V301" s="144"/>
      <c r="W301" s="144"/>
      <c r="X301" s="144"/>
      <c r="Y301" s="144"/>
      <c r="Z301" s="144"/>
      <c r="AA301" s="144"/>
      <c r="AB301" s="144"/>
      <c r="AC301" s="135"/>
      <c r="AD301" s="129" t="s">
        <v>5459</v>
      </c>
      <c r="AE301" s="129" t="s">
        <v>5459</v>
      </c>
      <c r="AF301" s="130" t="s">
        <v>5459</v>
      </c>
      <c r="AG301" s="129" t="s">
        <v>236</v>
      </c>
      <c r="AH301" s="130" t="s">
        <v>5459</v>
      </c>
      <c r="AI301" s="130" t="s">
        <v>5459</v>
      </c>
    </row>
    <row r="302" spans="1:35" ht="10.5" customHeight="1" x14ac:dyDescent="0.2">
      <c r="A302" s="117" t="s">
        <v>5459</v>
      </c>
      <c r="B302" s="117" t="s">
        <v>2358</v>
      </c>
      <c r="C302" s="128" t="s">
        <v>5459</v>
      </c>
      <c r="D302" s="133" t="s">
        <v>236</v>
      </c>
      <c r="E302" s="138" t="str">
        <f>+INDEX(F302:AB302,1,[3]BOD!$I$2-1)</f>
        <v/>
      </c>
      <c r="F302" s="140" t="s">
        <v>5459</v>
      </c>
      <c r="G302" s="144"/>
      <c r="H302" s="144" t="str">
        <f t="shared" si="4"/>
        <v/>
      </c>
      <c r="I302" s="144" t="str">
        <f t="shared" si="4"/>
        <v/>
      </c>
      <c r="J302" s="144"/>
      <c r="K302" s="144"/>
      <c r="L302" s="144"/>
      <c r="M302" s="144"/>
      <c r="N302" s="144"/>
      <c r="O302" s="144"/>
      <c r="P302" s="144"/>
      <c r="Q302" s="144"/>
      <c r="R302" s="144"/>
      <c r="S302" s="144"/>
      <c r="T302" s="144"/>
      <c r="U302" s="144"/>
      <c r="V302" s="144"/>
      <c r="W302" s="144"/>
      <c r="X302" s="144"/>
      <c r="Y302" s="144"/>
      <c r="Z302" s="144"/>
      <c r="AA302" s="144"/>
      <c r="AB302" s="144"/>
      <c r="AC302" s="135"/>
      <c r="AD302" s="129" t="s">
        <v>8491</v>
      </c>
      <c r="AE302" s="129" t="s">
        <v>2393</v>
      </c>
      <c r="AF302" s="130">
        <v>1</v>
      </c>
      <c r="AG302" s="129" t="s">
        <v>847</v>
      </c>
      <c r="AH302" s="130">
        <v>125.94</v>
      </c>
      <c r="AI302" s="130">
        <v>125.94</v>
      </c>
    </row>
    <row r="303" spans="1:35" ht="10.5" customHeight="1" x14ac:dyDescent="0.2">
      <c r="A303" s="117" t="s">
        <v>8384</v>
      </c>
      <c r="B303" s="117" t="s">
        <v>2354</v>
      </c>
      <c r="C303" s="128">
        <v>1</v>
      </c>
      <c r="D303" s="133" t="s">
        <v>7256</v>
      </c>
      <c r="E303" s="138">
        <f>+INDEX(F303:AB303,1,[3]BOD!$I$2-1)</f>
        <v>106.15</v>
      </c>
      <c r="F303" s="140">
        <v>106.15</v>
      </c>
      <c r="G303" s="144"/>
      <c r="H303" s="144">
        <f t="shared" si="4"/>
        <v>530.75</v>
      </c>
      <c r="I303" s="144">
        <f t="shared" si="4"/>
        <v>530.75</v>
      </c>
      <c r="J303" s="144"/>
      <c r="K303" s="144"/>
      <c r="L303" s="144"/>
      <c r="M303" s="144"/>
      <c r="N303" s="144"/>
      <c r="O303" s="144"/>
      <c r="P303" s="144"/>
      <c r="Q303" s="144"/>
      <c r="R303" s="144"/>
      <c r="S303" s="144"/>
      <c r="T303" s="144"/>
      <c r="U303" s="144"/>
      <c r="V303" s="144"/>
      <c r="W303" s="144"/>
      <c r="X303" s="144"/>
      <c r="Y303" s="144"/>
      <c r="Z303" s="144"/>
      <c r="AA303" s="144"/>
      <c r="AB303" s="144"/>
      <c r="AC303" s="135"/>
      <c r="AD303" s="129" t="s">
        <v>5459</v>
      </c>
      <c r="AE303" s="129" t="s">
        <v>2255</v>
      </c>
      <c r="AF303" s="130" t="s">
        <v>5459</v>
      </c>
      <c r="AG303" s="129" t="s">
        <v>236</v>
      </c>
      <c r="AH303" s="130" t="s">
        <v>5459</v>
      </c>
      <c r="AI303" s="130" t="s">
        <v>5459</v>
      </c>
    </row>
    <row r="304" spans="1:35" ht="10.5" customHeight="1" x14ac:dyDescent="0.2">
      <c r="A304" s="117" t="s">
        <v>5459</v>
      </c>
      <c r="B304" s="117" t="s">
        <v>2358</v>
      </c>
      <c r="C304" s="128" t="s">
        <v>5459</v>
      </c>
      <c r="D304" s="133" t="s">
        <v>236</v>
      </c>
      <c r="E304" s="138" t="str">
        <f>+INDEX(F304:AB304,1,[3]BOD!$I$2-1)</f>
        <v/>
      </c>
      <c r="F304" s="140" t="s">
        <v>5459</v>
      </c>
      <c r="G304" s="144"/>
      <c r="H304" s="144" t="str">
        <f t="shared" si="4"/>
        <v/>
      </c>
      <c r="I304" s="144" t="str">
        <f t="shared" si="4"/>
        <v/>
      </c>
      <c r="J304" s="144"/>
      <c r="K304" s="144"/>
      <c r="L304" s="144"/>
      <c r="M304" s="144"/>
      <c r="N304" s="144"/>
      <c r="O304" s="144"/>
      <c r="P304" s="144"/>
      <c r="Q304" s="144"/>
      <c r="R304" s="144"/>
      <c r="S304" s="144"/>
      <c r="T304" s="144"/>
      <c r="U304" s="144"/>
      <c r="V304" s="144"/>
      <c r="W304" s="144"/>
      <c r="X304" s="144"/>
      <c r="Y304" s="144"/>
      <c r="Z304" s="144"/>
      <c r="AA304" s="144"/>
      <c r="AB304" s="144"/>
      <c r="AC304" s="135"/>
      <c r="AD304" s="129" t="s">
        <v>8492</v>
      </c>
      <c r="AE304" s="129" t="s">
        <v>2344</v>
      </c>
      <c r="AF304" s="130">
        <v>0</v>
      </c>
      <c r="AG304" s="129" t="s">
        <v>236</v>
      </c>
      <c r="AH304" s="130">
        <v>4868.95</v>
      </c>
      <c r="AI304" s="130">
        <v>0</v>
      </c>
    </row>
    <row r="305" spans="1:35" ht="10.5" customHeight="1" x14ac:dyDescent="0.2">
      <c r="A305" s="117" t="s">
        <v>8385</v>
      </c>
      <c r="B305" s="117" t="s">
        <v>2355</v>
      </c>
      <c r="C305" s="128">
        <v>1</v>
      </c>
      <c r="D305" s="133" t="s">
        <v>7256</v>
      </c>
      <c r="E305" s="138">
        <f>+INDEX(F305:AB305,1,[3]BOD!$I$2-1)</f>
        <v>127.65</v>
      </c>
      <c r="F305" s="140">
        <v>127.65</v>
      </c>
      <c r="G305" s="144"/>
      <c r="H305" s="144">
        <f t="shared" si="4"/>
        <v>638.25</v>
      </c>
      <c r="I305" s="144">
        <f t="shared" si="4"/>
        <v>638.25</v>
      </c>
      <c r="J305" s="144"/>
      <c r="K305" s="144"/>
      <c r="L305" s="144"/>
      <c r="M305" s="144"/>
      <c r="N305" s="144"/>
      <c r="O305" s="144"/>
      <c r="P305" s="144"/>
      <c r="Q305" s="144"/>
      <c r="R305" s="144"/>
      <c r="S305" s="144"/>
      <c r="T305" s="144"/>
      <c r="U305" s="144"/>
      <c r="V305" s="144"/>
      <c r="W305" s="144"/>
      <c r="X305" s="144"/>
      <c r="Y305" s="144"/>
      <c r="Z305" s="144"/>
      <c r="AA305" s="144"/>
      <c r="AB305" s="144"/>
      <c r="AC305" s="135"/>
      <c r="AD305" s="129" t="s">
        <v>5459</v>
      </c>
      <c r="AE305" s="129" t="s">
        <v>5459</v>
      </c>
      <c r="AF305" s="130" t="s">
        <v>5459</v>
      </c>
      <c r="AG305" s="129" t="s">
        <v>236</v>
      </c>
      <c r="AH305" s="130" t="s">
        <v>5459</v>
      </c>
      <c r="AI305" s="130" t="s">
        <v>5459</v>
      </c>
    </row>
    <row r="306" spans="1:35" ht="10.5" customHeight="1" x14ac:dyDescent="0.2">
      <c r="A306" s="117" t="s">
        <v>5459</v>
      </c>
      <c r="B306" s="117" t="s">
        <v>2358</v>
      </c>
      <c r="C306" s="128" t="s">
        <v>5459</v>
      </c>
      <c r="D306" s="133" t="s">
        <v>236</v>
      </c>
      <c r="E306" s="138" t="str">
        <f>+INDEX(F306:AB306,1,[3]BOD!$I$2-1)</f>
        <v/>
      </c>
      <c r="F306" s="140" t="s">
        <v>5459</v>
      </c>
      <c r="G306" s="144"/>
      <c r="H306" s="144" t="str">
        <f t="shared" si="4"/>
        <v/>
      </c>
      <c r="I306" s="144" t="str">
        <f t="shared" si="4"/>
        <v/>
      </c>
      <c r="J306" s="144"/>
      <c r="K306" s="144"/>
      <c r="L306" s="144"/>
      <c r="M306" s="144"/>
      <c r="N306" s="144"/>
      <c r="O306" s="144"/>
      <c r="P306" s="144"/>
      <c r="Q306" s="144"/>
      <c r="R306" s="144"/>
      <c r="S306" s="144"/>
      <c r="T306" s="144"/>
      <c r="U306" s="144"/>
      <c r="V306" s="144"/>
      <c r="W306" s="144"/>
      <c r="X306" s="144"/>
      <c r="Y306" s="144"/>
      <c r="Z306" s="144"/>
      <c r="AA306" s="144"/>
      <c r="AB306" s="144"/>
      <c r="AC306" s="135"/>
      <c r="AD306" s="129" t="s">
        <v>8493</v>
      </c>
      <c r="AE306" s="129" t="s">
        <v>2396</v>
      </c>
      <c r="AF306" s="130">
        <v>0</v>
      </c>
      <c r="AG306" s="129" t="s">
        <v>236</v>
      </c>
      <c r="AH306" s="130">
        <v>3923.01</v>
      </c>
      <c r="AI306" s="130">
        <v>0</v>
      </c>
    </row>
    <row r="307" spans="1:35" ht="10.5" customHeight="1" x14ac:dyDescent="0.2">
      <c r="A307" s="117" t="s">
        <v>8386</v>
      </c>
      <c r="B307" s="117" t="s">
        <v>2356</v>
      </c>
      <c r="C307" s="128">
        <v>1</v>
      </c>
      <c r="D307" s="133" t="s">
        <v>7256</v>
      </c>
      <c r="E307" s="138">
        <f>+INDEX(F307:AB307,1,[3]BOD!$I$2-1)</f>
        <v>151.65</v>
      </c>
      <c r="F307" s="140">
        <v>151.65</v>
      </c>
      <c r="G307" s="144"/>
      <c r="H307" s="144">
        <f t="shared" si="4"/>
        <v>758.25</v>
      </c>
      <c r="I307" s="144">
        <f t="shared" si="4"/>
        <v>758.25</v>
      </c>
      <c r="J307" s="144"/>
      <c r="K307" s="144"/>
      <c r="L307" s="144"/>
      <c r="M307" s="144"/>
      <c r="N307" s="144"/>
      <c r="O307" s="144"/>
      <c r="P307" s="144"/>
      <c r="Q307" s="144"/>
      <c r="R307" s="144"/>
      <c r="S307" s="144"/>
      <c r="T307" s="144"/>
      <c r="U307" s="144"/>
      <c r="V307" s="144"/>
      <c r="W307" s="144"/>
      <c r="X307" s="144"/>
      <c r="Y307" s="144"/>
      <c r="Z307" s="144"/>
      <c r="AA307" s="144"/>
      <c r="AB307" s="144"/>
      <c r="AC307" s="135"/>
      <c r="AD307" s="129" t="s">
        <v>5459</v>
      </c>
      <c r="AE307" s="129" t="s">
        <v>5459</v>
      </c>
      <c r="AF307" s="130" t="s">
        <v>5459</v>
      </c>
      <c r="AG307" s="129" t="s">
        <v>236</v>
      </c>
      <c r="AH307" s="130" t="s">
        <v>5459</v>
      </c>
      <c r="AI307" s="130" t="s">
        <v>5459</v>
      </c>
    </row>
    <row r="308" spans="1:35" ht="10.5" customHeight="1" x14ac:dyDescent="0.2">
      <c r="A308" s="117" t="s">
        <v>5459</v>
      </c>
      <c r="B308" s="117" t="s">
        <v>2358</v>
      </c>
      <c r="C308" s="128" t="s">
        <v>5459</v>
      </c>
      <c r="D308" s="133" t="s">
        <v>236</v>
      </c>
      <c r="E308" s="138" t="str">
        <f>+INDEX(F308:AB308,1,[3]BOD!$I$2-1)</f>
        <v/>
      </c>
      <c r="F308" s="140" t="s">
        <v>5459</v>
      </c>
      <c r="G308" s="144"/>
      <c r="H308" s="144" t="str">
        <f t="shared" si="4"/>
        <v/>
      </c>
      <c r="I308" s="144" t="str">
        <f t="shared" si="4"/>
        <v/>
      </c>
      <c r="J308" s="144"/>
      <c r="K308" s="144"/>
      <c r="L308" s="144"/>
      <c r="M308" s="144"/>
      <c r="N308" s="144"/>
      <c r="O308" s="144"/>
      <c r="P308" s="144"/>
      <c r="Q308" s="144"/>
      <c r="R308" s="144"/>
      <c r="S308" s="144"/>
      <c r="T308" s="144"/>
      <c r="U308" s="144"/>
      <c r="V308" s="144"/>
      <c r="W308" s="144"/>
      <c r="X308" s="144"/>
      <c r="Y308" s="144"/>
      <c r="Z308" s="144"/>
      <c r="AA308" s="144"/>
      <c r="AB308" s="144"/>
      <c r="AC308" s="135"/>
      <c r="AD308" s="129" t="s">
        <v>8494</v>
      </c>
      <c r="AE308" s="129" t="s">
        <v>2407</v>
      </c>
      <c r="AF308" s="130">
        <v>1</v>
      </c>
      <c r="AG308" s="129" t="s">
        <v>7256</v>
      </c>
      <c r="AH308" s="130">
        <v>133.63</v>
      </c>
      <c r="AI308" s="130">
        <v>133.63</v>
      </c>
    </row>
    <row r="309" spans="1:35" ht="10.5" customHeight="1" x14ac:dyDescent="0.2">
      <c r="A309" s="117" t="s">
        <v>8387</v>
      </c>
      <c r="B309" s="117" t="s">
        <v>2353</v>
      </c>
      <c r="C309" s="128">
        <v>1</v>
      </c>
      <c r="D309" s="133" t="s">
        <v>7256</v>
      </c>
      <c r="E309" s="138">
        <f>+INDEX(F309:AB309,1,[3]BOD!$I$2-1)</f>
        <v>182.8</v>
      </c>
      <c r="F309" s="140">
        <v>182.8</v>
      </c>
      <c r="G309" s="144"/>
      <c r="H309" s="144">
        <f t="shared" si="4"/>
        <v>914</v>
      </c>
      <c r="I309" s="144">
        <f t="shared" si="4"/>
        <v>914</v>
      </c>
      <c r="J309" s="144"/>
      <c r="K309" s="144"/>
      <c r="L309" s="144"/>
      <c r="M309" s="144"/>
      <c r="N309" s="144"/>
      <c r="O309" s="144"/>
      <c r="P309" s="144"/>
      <c r="Q309" s="144"/>
      <c r="R309" s="144"/>
      <c r="S309" s="144"/>
      <c r="T309" s="144"/>
      <c r="U309" s="144"/>
      <c r="V309" s="144"/>
      <c r="W309" s="144"/>
      <c r="X309" s="144"/>
      <c r="Y309" s="144"/>
      <c r="Z309" s="144"/>
      <c r="AA309" s="144"/>
      <c r="AB309" s="144"/>
      <c r="AC309" s="135"/>
      <c r="AD309" s="129" t="s">
        <v>5459</v>
      </c>
      <c r="AE309" s="129" t="s">
        <v>2286</v>
      </c>
      <c r="AF309" s="130" t="s">
        <v>5459</v>
      </c>
      <c r="AG309" s="129" t="s">
        <v>236</v>
      </c>
      <c r="AH309" s="130" t="s">
        <v>5459</v>
      </c>
      <c r="AI309" s="130" t="s">
        <v>5459</v>
      </c>
    </row>
    <row r="310" spans="1:35" ht="10.5" customHeight="1" x14ac:dyDescent="0.2">
      <c r="A310" s="117" t="s">
        <v>5459</v>
      </c>
      <c r="B310" s="117" t="s">
        <v>2359</v>
      </c>
      <c r="C310" s="128" t="s">
        <v>5459</v>
      </c>
      <c r="D310" s="133" t="s">
        <v>236</v>
      </c>
      <c r="E310" s="138" t="str">
        <f>+INDEX(F310:AB310,1,[3]BOD!$I$2-1)</f>
        <v/>
      </c>
      <c r="F310" s="140" t="s">
        <v>5459</v>
      </c>
      <c r="G310" s="144"/>
      <c r="H310" s="144" t="str">
        <f t="shared" si="4"/>
        <v/>
      </c>
      <c r="I310" s="144" t="str">
        <f t="shared" si="4"/>
        <v/>
      </c>
      <c r="J310" s="144"/>
      <c r="K310" s="144"/>
      <c r="L310" s="144"/>
      <c r="M310" s="144"/>
      <c r="N310" s="144"/>
      <c r="O310" s="144"/>
      <c r="P310" s="144"/>
      <c r="Q310" s="144"/>
      <c r="R310" s="144"/>
      <c r="S310" s="144"/>
      <c r="T310" s="144"/>
      <c r="U310" s="144"/>
      <c r="V310" s="144"/>
      <c r="W310" s="144"/>
      <c r="X310" s="144"/>
      <c r="Y310" s="144"/>
      <c r="Z310" s="144"/>
      <c r="AA310" s="144"/>
      <c r="AB310" s="144"/>
      <c r="AC310" s="135"/>
      <c r="AD310" s="129" t="s">
        <v>8495</v>
      </c>
      <c r="AE310" s="129" t="s">
        <v>2408</v>
      </c>
      <c r="AF310" s="130">
        <v>1</v>
      </c>
      <c r="AG310" s="129" t="s">
        <v>7256</v>
      </c>
      <c r="AH310" s="130">
        <v>161</v>
      </c>
      <c r="AI310" s="130">
        <v>161</v>
      </c>
    </row>
    <row r="311" spans="1:35" ht="10.5" customHeight="1" x14ac:dyDescent="0.2">
      <c r="A311" s="117" t="s">
        <v>8388</v>
      </c>
      <c r="B311" s="117" t="s">
        <v>2354</v>
      </c>
      <c r="C311" s="128">
        <v>1</v>
      </c>
      <c r="D311" s="133" t="s">
        <v>7256</v>
      </c>
      <c r="E311" s="138">
        <f>+INDEX(F311:AB311,1,[3]BOD!$I$2-1)</f>
        <v>231.01</v>
      </c>
      <c r="F311" s="140">
        <v>231.01</v>
      </c>
      <c r="G311" s="144"/>
      <c r="H311" s="144">
        <f t="shared" si="4"/>
        <v>1155.05</v>
      </c>
      <c r="I311" s="144">
        <f t="shared" si="4"/>
        <v>1155.05</v>
      </c>
      <c r="J311" s="144"/>
      <c r="K311" s="144"/>
      <c r="L311" s="144"/>
      <c r="M311" s="144"/>
      <c r="N311" s="144"/>
      <c r="O311" s="144"/>
      <c r="P311" s="144"/>
      <c r="Q311" s="144"/>
      <c r="R311" s="144"/>
      <c r="S311" s="144"/>
      <c r="T311" s="144"/>
      <c r="U311" s="144"/>
      <c r="V311" s="144"/>
      <c r="W311" s="144"/>
      <c r="X311" s="144"/>
      <c r="Y311" s="144"/>
      <c r="Z311" s="144"/>
      <c r="AA311" s="144"/>
      <c r="AB311" s="144"/>
      <c r="AC311" s="135"/>
      <c r="AD311" s="129" t="s">
        <v>5459</v>
      </c>
      <c r="AE311" s="129" t="s">
        <v>2286</v>
      </c>
      <c r="AF311" s="130" t="s">
        <v>5459</v>
      </c>
      <c r="AG311" s="129" t="s">
        <v>236</v>
      </c>
      <c r="AH311" s="130" t="s">
        <v>5459</v>
      </c>
      <c r="AI311" s="130" t="s">
        <v>5459</v>
      </c>
    </row>
    <row r="312" spans="1:35" ht="10.5" customHeight="1" x14ac:dyDescent="0.2">
      <c r="A312" s="117" t="s">
        <v>5459</v>
      </c>
      <c r="B312" s="117" t="s">
        <v>2359</v>
      </c>
      <c r="C312" s="128" t="s">
        <v>5459</v>
      </c>
      <c r="D312" s="133" t="s">
        <v>236</v>
      </c>
      <c r="E312" s="138" t="str">
        <f>+INDEX(F312:AB312,1,[3]BOD!$I$2-1)</f>
        <v/>
      </c>
      <c r="F312" s="140" t="s">
        <v>5459</v>
      </c>
      <c r="G312" s="144"/>
      <c r="H312" s="144" t="str">
        <f t="shared" si="4"/>
        <v/>
      </c>
      <c r="I312" s="144" t="str">
        <f t="shared" si="4"/>
        <v/>
      </c>
      <c r="J312" s="144"/>
      <c r="K312" s="144"/>
      <c r="L312" s="144"/>
      <c r="M312" s="144"/>
      <c r="N312" s="144"/>
      <c r="O312" s="144"/>
      <c r="P312" s="144"/>
      <c r="Q312" s="144"/>
      <c r="R312" s="144"/>
      <c r="S312" s="144"/>
      <c r="T312" s="144"/>
      <c r="U312" s="144"/>
      <c r="V312" s="144"/>
      <c r="W312" s="144"/>
      <c r="X312" s="144"/>
      <c r="Y312" s="144"/>
      <c r="Z312" s="144"/>
      <c r="AA312" s="144"/>
      <c r="AB312" s="144"/>
      <c r="AC312" s="135"/>
      <c r="AD312" s="129" t="s">
        <v>8496</v>
      </c>
      <c r="AE312" s="129" t="s">
        <v>2409</v>
      </c>
      <c r="AF312" s="130">
        <v>1</v>
      </c>
      <c r="AG312" s="129" t="s">
        <v>7256</v>
      </c>
      <c r="AH312" s="130">
        <v>188.37</v>
      </c>
      <c r="AI312" s="130">
        <v>188.37</v>
      </c>
    </row>
    <row r="313" spans="1:35" ht="10.5" customHeight="1" x14ac:dyDescent="0.2">
      <c r="A313" s="117" t="s">
        <v>8389</v>
      </c>
      <c r="B313" s="117" t="s">
        <v>2355</v>
      </c>
      <c r="C313" s="128">
        <v>1</v>
      </c>
      <c r="D313" s="133" t="s">
        <v>7256</v>
      </c>
      <c r="E313" s="138">
        <f>+INDEX(F313:AB313,1,[3]BOD!$I$2-1)</f>
        <v>282.06</v>
      </c>
      <c r="F313" s="140">
        <v>282.06</v>
      </c>
      <c r="G313" s="144"/>
      <c r="H313" s="144">
        <f t="shared" si="4"/>
        <v>1410.3</v>
      </c>
      <c r="I313" s="144">
        <f t="shared" si="4"/>
        <v>1410.3</v>
      </c>
      <c r="J313" s="144"/>
      <c r="K313" s="144"/>
      <c r="L313" s="144"/>
      <c r="M313" s="144"/>
      <c r="N313" s="144"/>
      <c r="O313" s="144"/>
      <c r="P313" s="144"/>
      <c r="Q313" s="144"/>
      <c r="R313" s="144"/>
      <c r="S313" s="144"/>
      <c r="T313" s="144"/>
      <c r="U313" s="144"/>
      <c r="V313" s="144"/>
      <c r="W313" s="144"/>
      <c r="X313" s="144"/>
      <c r="Y313" s="144"/>
      <c r="Z313" s="144"/>
      <c r="AA313" s="144"/>
      <c r="AB313" s="144"/>
      <c r="AC313" s="135"/>
      <c r="AD313" s="129" t="s">
        <v>5459</v>
      </c>
      <c r="AE313" s="129" t="s">
        <v>2286</v>
      </c>
      <c r="AF313" s="130" t="s">
        <v>5459</v>
      </c>
      <c r="AG313" s="129" t="s">
        <v>236</v>
      </c>
      <c r="AH313" s="130" t="s">
        <v>5459</v>
      </c>
      <c r="AI313" s="130" t="s">
        <v>5459</v>
      </c>
    </row>
    <row r="314" spans="1:35" ht="10.5" customHeight="1" x14ac:dyDescent="0.2">
      <c r="A314" s="117" t="s">
        <v>5459</v>
      </c>
      <c r="B314" s="117" t="s">
        <v>2359</v>
      </c>
      <c r="C314" s="128" t="s">
        <v>5459</v>
      </c>
      <c r="D314" s="133" t="s">
        <v>236</v>
      </c>
      <c r="E314" s="138" t="str">
        <f>+INDEX(F314:AB314,1,[3]BOD!$I$2-1)</f>
        <v/>
      </c>
      <c r="F314" s="140" t="s">
        <v>5459</v>
      </c>
      <c r="G314" s="144"/>
      <c r="H314" s="144" t="str">
        <f t="shared" si="4"/>
        <v/>
      </c>
      <c r="I314" s="144" t="str">
        <f t="shared" si="4"/>
        <v/>
      </c>
      <c r="J314" s="144"/>
      <c r="K314" s="144"/>
      <c r="L314" s="144"/>
      <c r="M314" s="144"/>
      <c r="N314" s="144"/>
      <c r="O314" s="144"/>
      <c r="P314" s="144"/>
      <c r="Q314" s="144"/>
      <c r="R314" s="144"/>
      <c r="S314" s="144"/>
      <c r="T314" s="144"/>
      <c r="U314" s="144"/>
      <c r="V314" s="144"/>
      <c r="W314" s="144"/>
      <c r="X314" s="144"/>
      <c r="Y314" s="144"/>
      <c r="Z314" s="144"/>
      <c r="AA314" s="144"/>
      <c r="AB314" s="144"/>
      <c r="AC314" s="135"/>
      <c r="AD314" s="129" t="s">
        <v>8497</v>
      </c>
      <c r="AE314" s="129" t="s">
        <v>2410</v>
      </c>
      <c r="AF314" s="130">
        <v>1</v>
      </c>
      <c r="AG314" s="129" t="s">
        <v>7256</v>
      </c>
      <c r="AH314" s="130">
        <v>241.68</v>
      </c>
      <c r="AI314" s="130">
        <v>241.68</v>
      </c>
    </row>
    <row r="315" spans="1:35" ht="10.5" customHeight="1" x14ac:dyDescent="0.2">
      <c r="A315" s="117" t="s">
        <v>8390</v>
      </c>
      <c r="B315" s="117" t="s">
        <v>2356</v>
      </c>
      <c r="C315" s="128">
        <v>1</v>
      </c>
      <c r="D315" s="133" t="s">
        <v>7256</v>
      </c>
      <c r="E315" s="138">
        <f>+INDEX(F315:AB315,1,[3]BOD!$I$2-1)</f>
        <v>347.63</v>
      </c>
      <c r="F315" s="140">
        <v>347.63</v>
      </c>
      <c r="G315" s="144"/>
      <c r="H315" s="144">
        <f t="shared" si="4"/>
        <v>1738.15</v>
      </c>
      <c r="I315" s="144">
        <f t="shared" si="4"/>
        <v>1738.15</v>
      </c>
      <c r="J315" s="144"/>
      <c r="K315" s="144"/>
      <c r="L315" s="144"/>
      <c r="M315" s="144"/>
      <c r="N315" s="144"/>
      <c r="O315" s="144"/>
      <c r="P315" s="144"/>
      <c r="Q315" s="144"/>
      <c r="R315" s="144"/>
      <c r="S315" s="144"/>
      <c r="T315" s="144"/>
      <c r="U315" s="144"/>
      <c r="V315" s="144"/>
      <c r="W315" s="144"/>
      <c r="X315" s="144"/>
      <c r="Y315" s="144"/>
      <c r="Z315" s="144"/>
      <c r="AA315" s="144"/>
      <c r="AB315" s="144"/>
      <c r="AC315" s="135"/>
      <c r="AD315" s="129" t="s">
        <v>5459</v>
      </c>
      <c r="AE315" s="129" t="s">
        <v>2286</v>
      </c>
      <c r="AF315" s="130" t="s">
        <v>5459</v>
      </c>
      <c r="AG315" s="129" t="s">
        <v>236</v>
      </c>
      <c r="AH315" s="130" t="s">
        <v>5459</v>
      </c>
      <c r="AI315" s="130" t="s">
        <v>5459</v>
      </c>
    </row>
    <row r="316" spans="1:35" ht="10.5" customHeight="1" x14ac:dyDescent="0.2">
      <c r="A316" s="117" t="s">
        <v>5459</v>
      </c>
      <c r="B316" s="117" t="s">
        <v>2359</v>
      </c>
      <c r="C316" s="128" t="s">
        <v>5459</v>
      </c>
      <c r="D316" s="133" t="s">
        <v>236</v>
      </c>
      <c r="E316" s="138" t="str">
        <f>+INDEX(F316:AB316,1,[3]BOD!$I$2-1)</f>
        <v/>
      </c>
      <c r="F316" s="140" t="s">
        <v>5459</v>
      </c>
      <c r="G316" s="144"/>
      <c r="H316" s="144" t="str">
        <f t="shared" si="4"/>
        <v/>
      </c>
      <c r="I316" s="144" t="str">
        <f t="shared" si="4"/>
        <v/>
      </c>
      <c r="J316" s="144"/>
      <c r="K316" s="144"/>
      <c r="L316" s="144"/>
      <c r="M316" s="144"/>
      <c r="N316" s="144"/>
      <c r="O316" s="144"/>
      <c r="P316" s="144"/>
      <c r="Q316" s="144"/>
      <c r="R316" s="144"/>
      <c r="S316" s="144"/>
      <c r="T316" s="144"/>
      <c r="U316" s="144"/>
      <c r="V316" s="144"/>
      <c r="W316" s="144"/>
      <c r="X316" s="144"/>
      <c r="Y316" s="144"/>
      <c r="Z316" s="144"/>
      <c r="AA316" s="144"/>
      <c r="AB316" s="144"/>
      <c r="AC316" s="135"/>
      <c r="AD316" s="129" t="s">
        <v>7056</v>
      </c>
      <c r="AE316" s="129" t="s">
        <v>2411</v>
      </c>
      <c r="AF316" s="130">
        <v>1</v>
      </c>
      <c r="AG316" s="129" t="s">
        <v>7256</v>
      </c>
      <c r="AH316" s="130">
        <v>307.99</v>
      </c>
      <c r="AI316" s="130">
        <v>307.99</v>
      </c>
    </row>
    <row r="317" spans="1:35" ht="10.5" customHeight="1" x14ac:dyDescent="0.2">
      <c r="A317" s="117" t="s">
        <v>8391</v>
      </c>
      <c r="B317" s="117" t="s">
        <v>2360</v>
      </c>
      <c r="C317" s="128"/>
      <c r="D317" s="133"/>
      <c r="E317" s="138"/>
      <c r="F317" s="140"/>
      <c r="G317" s="144"/>
      <c r="H317" s="144" t="str">
        <f t="shared" si="4"/>
        <v/>
      </c>
      <c r="I317" s="144" t="str">
        <f t="shared" si="4"/>
        <v/>
      </c>
      <c r="J317" s="144"/>
      <c r="K317" s="144"/>
      <c r="L317" s="144"/>
      <c r="M317" s="144"/>
      <c r="N317" s="144"/>
      <c r="O317" s="144"/>
      <c r="P317" s="144"/>
      <c r="Q317" s="144"/>
      <c r="R317" s="144"/>
      <c r="S317" s="144"/>
      <c r="T317" s="144"/>
      <c r="U317" s="144"/>
      <c r="V317" s="144"/>
      <c r="W317" s="144"/>
      <c r="X317" s="144"/>
      <c r="Y317" s="144"/>
      <c r="Z317" s="144"/>
      <c r="AA317" s="144"/>
      <c r="AB317" s="144"/>
      <c r="AC317" s="135"/>
      <c r="AD317" s="129" t="s">
        <v>5459</v>
      </c>
      <c r="AE317" s="129" t="s">
        <v>2286</v>
      </c>
      <c r="AF317" s="130" t="s">
        <v>5459</v>
      </c>
      <c r="AG317" s="129" t="s">
        <v>236</v>
      </c>
      <c r="AH317" s="130" t="s">
        <v>5459</v>
      </c>
      <c r="AI317" s="130" t="s">
        <v>5459</v>
      </c>
    </row>
    <row r="318" spans="1:35" ht="10.5" customHeight="1" x14ac:dyDescent="0.2">
      <c r="A318" s="117" t="s">
        <v>5459</v>
      </c>
      <c r="B318" s="117" t="s">
        <v>5459</v>
      </c>
      <c r="C318" s="128"/>
      <c r="D318" s="133"/>
      <c r="E318" s="138"/>
      <c r="F318" s="140"/>
      <c r="G318" s="144"/>
      <c r="H318" s="144" t="str">
        <f t="shared" si="4"/>
        <v/>
      </c>
      <c r="I318" s="144" t="str">
        <f t="shared" si="4"/>
        <v/>
      </c>
      <c r="J318" s="144"/>
      <c r="K318" s="144"/>
      <c r="L318" s="144"/>
      <c r="M318" s="144"/>
      <c r="N318" s="144"/>
      <c r="O318" s="144"/>
      <c r="P318" s="144"/>
      <c r="Q318" s="144"/>
      <c r="R318" s="144"/>
      <c r="S318" s="144"/>
      <c r="T318" s="144"/>
      <c r="U318" s="144"/>
      <c r="V318" s="144"/>
      <c r="W318" s="144"/>
      <c r="X318" s="144"/>
      <c r="Y318" s="144"/>
      <c r="Z318" s="144"/>
      <c r="AA318" s="144"/>
      <c r="AB318" s="144"/>
      <c r="AC318" s="135"/>
      <c r="AD318" s="129" t="s">
        <v>7057</v>
      </c>
      <c r="AE318" s="129" t="s">
        <v>2397</v>
      </c>
      <c r="AF318" s="130">
        <v>1</v>
      </c>
      <c r="AG318" s="129" t="s">
        <v>7256</v>
      </c>
      <c r="AH318" s="130">
        <v>148.63</v>
      </c>
      <c r="AI318" s="130">
        <v>148.63</v>
      </c>
    </row>
    <row r="319" spans="1:35" ht="10.5" customHeight="1" x14ac:dyDescent="0.2">
      <c r="A319" s="117" t="s">
        <v>8392</v>
      </c>
      <c r="B319" s="117" t="s">
        <v>2297</v>
      </c>
      <c r="C319" s="128"/>
      <c r="D319" s="133"/>
      <c r="E319" s="138"/>
      <c r="F319" s="140"/>
      <c r="G319" s="144"/>
      <c r="H319" s="144" t="str">
        <f t="shared" si="4"/>
        <v/>
      </c>
      <c r="I319" s="144" t="str">
        <f t="shared" si="4"/>
        <v/>
      </c>
      <c r="J319" s="144"/>
      <c r="K319" s="144"/>
      <c r="L319" s="144"/>
      <c r="M319" s="144"/>
      <c r="N319" s="144"/>
      <c r="O319" s="144"/>
      <c r="P319" s="144"/>
      <c r="Q319" s="144"/>
      <c r="R319" s="144"/>
      <c r="S319" s="144"/>
      <c r="T319" s="144"/>
      <c r="U319" s="144"/>
      <c r="V319" s="144"/>
      <c r="W319" s="144"/>
      <c r="X319" s="144"/>
      <c r="Y319" s="144"/>
      <c r="Z319" s="144"/>
      <c r="AA319" s="144"/>
      <c r="AB319" s="144"/>
      <c r="AC319" s="135"/>
      <c r="AD319" s="129" t="s">
        <v>5459</v>
      </c>
      <c r="AE319" s="129" t="s">
        <v>2286</v>
      </c>
      <c r="AF319" s="130" t="s">
        <v>5459</v>
      </c>
      <c r="AG319" s="129" t="s">
        <v>236</v>
      </c>
      <c r="AH319" s="130" t="s">
        <v>5459</v>
      </c>
      <c r="AI319" s="130" t="s">
        <v>5459</v>
      </c>
    </row>
    <row r="320" spans="1:35" ht="10.5" customHeight="1" x14ac:dyDescent="0.2">
      <c r="A320" s="117" t="s">
        <v>5459</v>
      </c>
      <c r="B320" s="117" t="s">
        <v>5459</v>
      </c>
      <c r="C320" s="128" t="s">
        <v>5459</v>
      </c>
      <c r="D320" s="133" t="s">
        <v>236</v>
      </c>
      <c r="E320" s="138" t="str">
        <f>+INDEX(F320:AB320,1,[3]BOD!$I$2-1)</f>
        <v/>
      </c>
      <c r="F320" s="140" t="s">
        <v>5459</v>
      </c>
      <c r="G320" s="144"/>
      <c r="H320" s="144" t="str">
        <f t="shared" si="4"/>
        <v/>
      </c>
      <c r="I320" s="144" t="str">
        <f t="shared" si="4"/>
        <v/>
      </c>
      <c r="J320" s="144"/>
      <c r="K320" s="144"/>
      <c r="L320" s="144"/>
      <c r="M320" s="144"/>
      <c r="N320" s="144"/>
      <c r="O320" s="144"/>
      <c r="P320" s="144"/>
      <c r="Q320" s="144"/>
      <c r="R320" s="144"/>
      <c r="S320" s="144"/>
      <c r="T320" s="144"/>
      <c r="U320" s="144"/>
      <c r="V320" s="144"/>
      <c r="W320" s="144"/>
      <c r="X320" s="144"/>
      <c r="Y320" s="144"/>
      <c r="Z320" s="144"/>
      <c r="AA320" s="144"/>
      <c r="AB320" s="144"/>
      <c r="AC320" s="135"/>
      <c r="AD320" s="129" t="s">
        <v>6838</v>
      </c>
      <c r="AE320" s="129" t="s">
        <v>2398</v>
      </c>
      <c r="AF320" s="130">
        <v>1</v>
      </c>
      <c r="AG320" s="129" t="s">
        <v>7256</v>
      </c>
      <c r="AH320" s="130">
        <v>176</v>
      </c>
      <c r="AI320" s="130">
        <v>176</v>
      </c>
    </row>
    <row r="321" spans="1:35" ht="10.5" customHeight="1" x14ac:dyDescent="0.2">
      <c r="A321" s="117" t="s">
        <v>8393</v>
      </c>
      <c r="B321" s="117" t="s">
        <v>2365</v>
      </c>
      <c r="C321" s="128">
        <v>1</v>
      </c>
      <c r="D321" s="133" t="s">
        <v>4699</v>
      </c>
      <c r="E321" s="138">
        <f>+INDEX(F321:AB321,1,[3]BOD!$I$2-1)</f>
        <v>1020</v>
      </c>
      <c r="F321" s="140">
        <v>1020</v>
      </c>
      <c r="G321" s="144"/>
      <c r="H321" s="144">
        <f t="shared" si="4"/>
        <v>5100</v>
      </c>
      <c r="I321" s="144">
        <f t="shared" si="4"/>
        <v>5100</v>
      </c>
      <c r="J321" s="144"/>
      <c r="K321" s="144"/>
      <c r="L321" s="144"/>
      <c r="M321" s="144"/>
      <c r="N321" s="144"/>
      <c r="O321" s="144"/>
      <c r="P321" s="144"/>
      <c r="Q321" s="144"/>
      <c r="R321" s="144"/>
      <c r="S321" s="144"/>
      <c r="T321" s="144"/>
      <c r="U321" s="144"/>
      <c r="V321" s="144"/>
      <c r="W321" s="144"/>
      <c r="X321" s="144"/>
      <c r="Y321" s="144"/>
      <c r="Z321" s="144"/>
      <c r="AA321" s="144"/>
      <c r="AB321" s="144"/>
      <c r="AC321" s="135"/>
      <c r="AD321" s="129" t="s">
        <v>5459</v>
      </c>
      <c r="AE321" s="129" t="s">
        <v>2286</v>
      </c>
      <c r="AF321" s="130" t="s">
        <v>5459</v>
      </c>
      <c r="AG321" s="129" t="s">
        <v>236</v>
      </c>
      <c r="AH321" s="130" t="s">
        <v>5459</v>
      </c>
      <c r="AI321" s="130" t="s">
        <v>5459</v>
      </c>
    </row>
    <row r="322" spans="1:35" ht="10.5" customHeight="1" x14ac:dyDescent="0.2">
      <c r="A322" s="117" t="s">
        <v>5459</v>
      </c>
      <c r="B322" s="117" t="s">
        <v>5459</v>
      </c>
      <c r="C322" s="128" t="s">
        <v>5459</v>
      </c>
      <c r="D322" s="133" t="s">
        <v>236</v>
      </c>
      <c r="E322" s="138" t="str">
        <f>+INDEX(F322:AB322,1,[3]BOD!$I$2-1)</f>
        <v/>
      </c>
      <c r="F322" s="140" t="s">
        <v>5459</v>
      </c>
      <c r="G322" s="144"/>
      <c r="H322" s="144" t="str">
        <f t="shared" si="4"/>
        <v/>
      </c>
      <c r="I322" s="144" t="str">
        <f t="shared" si="4"/>
        <v/>
      </c>
      <c r="J322" s="144"/>
      <c r="K322" s="144"/>
      <c r="L322" s="144"/>
      <c r="M322" s="144"/>
      <c r="N322" s="144"/>
      <c r="O322" s="144"/>
      <c r="P322" s="144"/>
      <c r="Q322" s="144"/>
      <c r="R322" s="144"/>
      <c r="S322" s="144"/>
      <c r="T322" s="144"/>
      <c r="U322" s="144"/>
      <c r="V322" s="144"/>
      <c r="W322" s="144"/>
      <c r="X322" s="144"/>
      <c r="Y322" s="144"/>
      <c r="Z322" s="144"/>
      <c r="AA322" s="144"/>
      <c r="AB322" s="144"/>
      <c r="AC322" s="135"/>
      <c r="AD322" s="129" t="s">
        <v>6839</v>
      </c>
      <c r="AE322" s="129" t="s">
        <v>2399</v>
      </c>
      <c r="AF322" s="130">
        <v>1</v>
      </c>
      <c r="AG322" s="129" t="s">
        <v>7256</v>
      </c>
      <c r="AH322" s="130">
        <v>203.37</v>
      </c>
      <c r="AI322" s="130">
        <v>203.37</v>
      </c>
    </row>
    <row r="323" spans="1:35" ht="10.5" customHeight="1" x14ac:dyDescent="0.2">
      <c r="A323" s="117" t="s">
        <v>8394</v>
      </c>
      <c r="B323" s="117" t="s">
        <v>2366</v>
      </c>
      <c r="C323" s="128">
        <v>1</v>
      </c>
      <c r="D323" s="133" t="s">
        <v>4699</v>
      </c>
      <c r="E323" s="138">
        <f>+INDEX(F323:AB323,1,[3]BOD!$I$2-1)</f>
        <v>1070</v>
      </c>
      <c r="F323" s="140">
        <v>1070</v>
      </c>
      <c r="G323" s="144"/>
      <c r="H323" s="144">
        <f t="shared" ref="H323:I386" si="5">+IF($F323&lt;&gt;"",$F323*5,"")</f>
        <v>5350</v>
      </c>
      <c r="I323" s="144">
        <f t="shared" si="5"/>
        <v>5350</v>
      </c>
      <c r="J323" s="144"/>
      <c r="K323" s="144"/>
      <c r="L323" s="144"/>
      <c r="M323" s="144"/>
      <c r="N323" s="144"/>
      <c r="O323" s="144"/>
      <c r="P323" s="144"/>
      <c r="Q323" s="144"/>
      <c r="R323" s="144"/>
      <c r="S323" s="144"/>
      <c r="T323" s="144"/>
      <c r="U323" s="144"/>
      <c r="V323" s="144"/>
      <c r="W323" s="144"/>
      <c r="X323" s="144"/>
      <c r="Y323" s="144"/>
      <c r="Z323" s="144"/>
      <c r="AA323" s="144"/>
      <c r="AB323" s="144"/>
      <c r="AC323" s="135"/>
      <c r="AD323" s="129" t="s">
        <v>5459</v>
      </c>
      <c r="AE323" s="129" t="s">
        <v>2286</v>
      </c>
      <c r="AF323" s="130" t="s">
        <v>5459</v>
      </c>
      <c r="AG323" s="129" t="s">
        <v>236</v>
      </c>
      <c r="AH323" s="130" t="s">
        <v>5459</v>
      </c>
      <c r="AI323" s="130" t="s">
        <v>5459</v>
      </c>
    </row>
    <row r="324" spans="1:35" ht="10.5" customHeight="1" x14ac:dyDescent="0.2">
      <c r="A324" s="117" t="s">
        <v>5459</v>
      </c>
      <c r="B324" s="117" t="s">
        <v>5459</v>
      </c>
      <c r="C324" s="128" t="s">
        <v>5459</v>
      </c>
      <c r="D324" s="133" t="s">
        <v>236</v>
      </c>
      <c r="E324" s="138" t="str">
        <f>+INDEX(F324:AB324,1,[3]BOD!$I$2-1)</f>
        <v/>
      </c>
      <c r="F324" s="140" t="s">
        <v>5459</v>
      </c>
      <c r="G324" s="144"/>
      <c r="H324" s="144" t="str">
        <f t="shared" si="5"/>
        <v/>
      </c>
      <c r="I324" s="144" t="str">
        <f t="shared" si="5"/>
        <v/>
      </c>
      <c r="J324" s="144"/>
      <c r="K324" s="144"/>
      <c r="L324" s="144"/>
      <c r="M324" s="144"/>
      <c r="N324" s="144"/>
      <c r="O324" s="144"/>
      <c r="P324" s="144"/>
      <c r="Q324" s="144"/>
      <c r="R324" s="144"/>
      <c r="S324" s="144"/>
      <c r="T324" s="144"/>
      <c r="U324" s="144"/>
      <c r="V324" s="144"/>
      <c r="W324" s="144"/>
      <c r="X324" s="144"/>
      <c r="Y324" s="144"/>
      <c r="Z324" s="144"/>
      <c r="AA324" s="144"/>
      <c r="AB324" s="144"/>
      <c r="AC324" s="135"/>
      <c r="AD324" s="129" t="s">
        <v>6840</v>
      </c>
      <c r="AE324" s="129" t="s">
        <v>2400</v>
      </c>
      <c r="AF324" s="130">
        <v>1</v>
      </c>
      <c r="AG324" s="129" t="s">
        <v>7256</v>
      </c>
      <c r="AH324" s="130">
        <v>256.68</v>
      </c>
      <c r="AI324" s="130">
        <v>256.68</v>
      </c>
    </row>
    <row r="325" spans="1:35" ht="10.5" customHeight="1" x14ac:dyDescent="0.2">
      <c r="A325" s="117" t="s">
        <v>8395</v>
      </c>
      <c r="B325" s="117" t="s">
        <v>2367</v>
      </c>
      <c r="C325" s="128">
        <v>1</v>
      </c>
      <c r="D325" s="133" t="s">
        <v>4699</v>
      </c>
      <c r="E325" s="138">
        <f>+INDEX(F325:AB325,1,[3]BOD!$I$2-1)</f>
        <v>1100</v>
      </c>
      <c r="F325" s="140">
        <v>1100</v>
      </c>
      <c r="G325" s="144"/>
      <c r="H325" s="144">
        <f t="shared" si="5"/>
        <v>5500</v>
      </c>
      <c r="I325" s="144">
        <f t="shared" si="5"/>
        <v>5500</v>
      </c>
      <c r="J325" s="144"/>
      <c r="K325" s="144"/>
      <c r="L325" s="144"/>
      <c r="M325" s="144"/>
      <c r="N325" s="144"/>
      <c r="O325" s="144"/>
      <c r="P325" s="144"/>
      <c r="Q325" s="144"/>
      <c r="R325" s="144"/>
      <c r="S325" s="144"/>
      <c r="T325" s="144"/>
      <c r="U325" s="144"/>
      <c r="V325" s="144"/>
      <c r="W325" s="144"/>
      <c r="X325" s="144"/>
      <c r="Y325" s="144"/>
      <c r="Z325" s="144"/>
      <c r="AA325" s="144"/>
      <c r="AB325" s="144"/>
      <c r="AC325" s="135"/>
      <c r="AD325" s="129" t="s">
        <v>5459</v>
      </c>
      <c r="AE325" s="129" t="s">
        <v>2286</v>
      </c>
      <c r="AF325" s="130" t="s">
        <v>5459</v>
      </c>
      <c r="AG325" s="129" t="s">
        <v>236</v>
      </c>
      <c r="AH325" s="130" t="s">
        <v>5459</v>
      </c>
      <c r="AI325" s="130" t="s">
        <v>5459</v>
      </c>
    </row>
    <row r="326" spans="1:35" ht="10.5" customHeight="1" x14ac:dyDescent="0.2">
      <c r="A326" s="117" t="s">
        <v>5459</v>
      </c>
      <c r="B326" s="117" t="s">
        <v>5459</v>
      </c>
      <c r="C326" s="128" t="s">
        <v>5459</v>
      </c>
      <c r="D326" s="133" t="s">
        <v>236</v>
      </c>
      <c r="E326" s="138" t="str">
        <f>+INDEX(F326:AB326,1,[3]BOD!$I$2-1)</f>
        <v/>
      </c>
      <c r="F326" s="140" t="s">
        <v>5459</v>
      </c>
      <c r="G326" s="144"/>
      <c r="H326" s="144" t="str">
        <f t="shared" si="5"/>
        <v/>
      </c>
      <c r="I326" s="144" t="str">
        <f t="shared" si="5"/>
        <v/>
      </c>
      <c r="J326" s="144"/>
      <c r="K326" s="144"/>
      <c r="L326" s="144"/>
      <c r="M326" s="144"/>
      <c r="N326" s="144"/>
      <c r="O326" s="144"/>
      <c r="P326" s="144"/>
      <c r="Q326" s="144"/>
      <c r="R326" s="144"/>
      <c r="S326" s="144"/>
      <c r="T326" s="144"/>
      <c r="U326" s="144"/>
      <c r="V326" s="144"/>
      <c r="W326" s="144"/>
      <c r="X326" s="144"/>
      <c r="Y326" s="144"/>
      <c r="Z326" s="144"/>
      <c r="AA326" s="144"/>
      <c r="AB326" s="144"/>
      <c r="AC326" s="135"/>
      <c r="AD326" s="129" t="s">
        <v>5939</v>
      </c>
      <c r="AE326" s="129" t="s">
        <v>2401</v>
      </c>
      <c r="AF326" s="130">
        <v>1</v>
      </c>
      <c r="AG326" s="129" t="s">
        <v>7256</v>
      </c>
      <c r="AH326" s="130">
        <v>322.99</v>
      </c>
      <c r="AI326" s="130">
        <v>322.99</v>
      </c>
    </row>
    <row r="327" spans="1:35" ht="10.5" customHeight="1" x14ac:dyDescent="0.2">
      <c r="A327" s="117" t="s">
        <v>8396</v>
      </c>
      <c r="B327" s="117" t="s">
        <v>2368</v>
      </c>
      <c r="C327" s="128">
        <v>1</v>
      </c>
      <c r="D327" s="133" t="s">
        <v>4699</v>
      </c>
      <c r="E327" s="138">
        <f>+INDEX(F327:AB327,1,[3]BOD!$I$2-1)</f>
        <v>1050</v>
      </c>
      <c r="F327" s="140">
        <v>1050</v>
      </c>
      <c r="G327" s="144"/>
      <c r="H327" s="144">
        <f t="shared" si="5"/>
        <v>5250</v>
      </c>
      <c r="I327" s="144">
        <f t="shared" si="5"/>
        <v>5250</v>
      </c>
      <c r="J327" s="144"/>
      <c r="K327" s="144"/>
      <c r="L327" s="144"/>
      <c r="M327" s="144"/>
      <c r="N327" s="144"/>
      <c r="O327" s="144"/>
      <c r="P327" s="144"/>
      <c r="Q327" s="144"/>
      <c r="R327" s="144"/>
      <c r="S327" s="144"/>
      <c r="T327" s="144"/>
      <c r="U327" s="144"/>
      <c r="V327" s="144"/>
      <c r="W327" s="144"/>
      <c r="X327" s="144"/>
      <c r="Y327" s="144"/>
      <c r="Z327" s="144"/>
      <c r="AA327" s="144"/>
      <c r="AB327" s="144"/>
      <c r="AC327" s="135"/>
      <c r="AD327" s="129" t="s">
        <v>5459</v>
      </c>
      <c r="AE327" s="129" t="s">
        <v>2286</v>
      </c>
      <c r="AF327" s="130" t="s">
        <v>5459</v>
      </c>
      <c r="AG327" s="129" t="s">
        <v>236</v>
      </c>
      <c r="AH327" s="130" t="s">
        <v>5459</v>
      </c>
      <c r="AI327" s="130" t="s">
        <v>5459</v>
      </c>
    </row>
    <row r="328" spans="1:35" ht="10.5" customHeight="1" x14ac:dyDescent="0.2">
      <c r="A328" s="117" t="s">
        <v>5459</v>
      </c>
      <c r="B328" s="117" t="s">
        <v>5459</v>
      </c>
      <c r="C328" s="128" t="s">
        <v>5459</v>
      </c>
      <c r="D328" s="133" t="s">
        <v>236</v>
      </c>
      <c r="E328" s="138" t="str">
        <f>+INDEX(F328:AB328,1,[3]BOD!$I$2-1)</f>
        <v/>
      </c>
      <c r="F328" s="140" t="s">
        <v>5459</v>
      </c>
      <c r="G328" s="144"/>
      <c r="H328" s="144" t="str">
        <f t="shared" si="5"/>
        <v/>
      </c>
      <c r="I328" s="144" t="str">
        <f t="shared" si="5"/>
        <v/>
      </c>
      <c r="J328" s="144"/>
      <c r="K328" s="144"/>
      <c r="L328" s="144"/>
      <c r="M328" s="144"/>
      <c r="N328" s="144"/>
      <c r="O328" s="144"/>
      <c r="P328" s="144"/>
      <c r="Q328" s="144"/>
      <c r="R328" s="144"/>
      <c r="S328" s="144"/>
      <c r="T328" s="144"/>
      <c r="U328" s="144"/>
      <c r="V328" s="144"/>
      <c r="W328" s="144"/>
      <c r="X328" s="144"/>
      <c r="Y328" s="144"/>
      <c r="Z328" s="144"/>
      <c r="AA328" s="144"/>
      <c r="AB328" s="144"/>
      <c r="AC328" s="135"/>
      <c r="AD328" s="129" t="s">
        <v>5940</v>
      </c>
      <c r="AE328" s="129" t="s">
        <v>2402</v>
      </c>
      <c r="AF328" s="130">
        <v>1</v>
      </c>
      <c r="AG328" s="129" t="s">
        <v>7256</v>
      </c>
      <c r="AH328" s="130">
        <v>233.63</v>
      </c>
      <c r="AI328" s="130">
        <v>233.63</v>
      </c>
    </row>
    <row r="329" spans="1:35" ht="10.5" customHeight="1" x14ac:dyDescent="0.2">
      <c r="A329" s="117" t="s">
        <v>8397</v>
      </c>
      <c r="B329" s="117" t="s">
        <v>2369</v>
      </c>
      <c r="C329" s="128">
        <v>1</v>
      </c>
      <c r="D329" s="133" t="s">
        <v>4699</v>
      </c>
      <c r="E329" s="138">
        <f>+INDEX(F329:AB329,1,[3]BOD!$I$2-1)</f>
        <v>1100</v>
      </c>
      <c r="F329" s="140">
        <v>1100</v>
      </c>
      <c r="G329" s="144"/>
      <c r="H329" s="144">
        <f t="shared" si="5"/>
        <v>5500</v>
      </c>
      <c r="I329" s="144">
        <f t="shared" si="5"/>
        <v>5500</v>
      </c>
      <c r="J329" s="144"/>
      <c r="K329" s="144"/>
      <c r="L329" s="144"/>
      <c r="M329" s="144"/>
      <c r="N329" s="144"/>
      <c r="O329" s="144"/>
      <c r="P329" s="144"/>
      <c r="Q329" s="144"/>
      <c r="R329" s="144"/>
      <c r="S329" s="144"/>
      <c r="T329" s="144"/>
      <c r="U329" s="144"/>
      <c r="V329" s="144"/>
      <c r="W329" s="144"/>
      <c r="X329" s="144"/>
      <c r="Y329" s="144"/>
      <c r="Z329" s="144"/>
      <c r="AA329" s="144"/>
      <c r="AB329" s="144"/>
      <c r="AC329" s="135"/>
      <c r="AD329" s="129" t="s">
        <v>5459</v>
      </c>
      <c r="AE329" s="129" t="s">
        <v>2286</v>
      </c>
      <c r="AF329" s="130" t="s">
        <v>5459</v>
      </c>
      <c r="AG329" s="129" t="s">
        <v>236</v>
      </c>
      <c r="AH329" s="130" t="s">
        <v>5459</v>
      </c>
      <c r="AI329" s="130" t="s">
        <v>5459</v>
      </c>
    </row>
    <row r="330" spans="1:35" ht="10.5" customHeight="1" x14ac:dyDescent="0.2">
      <c r="A330" s="117" t="s">
        <v>5459</v>
      </c>
      <c r="B330" s="117" t="s">
        <v>5459</v>
      </c>
      <c r="C330" s="128" t="s">
        <v>5459</v>
      </c>
      <c r="D330" s="133" t="s">
        <v>236</v>
      </c>
      <c r="E330" s="138" t="str">
        <f>+INDEX(F330:AB330,1,[3]BOD!$I$2-1)</f>
        <v/>
      </c>
      <c r="F330" s="140" t="s">
        <v>5459</v>
      </c>
      <c r="G330" s="144"/>
      <c r="H330" s="144" t="str">
        <f t="shared" si="5"/>
        <v/>
      </c>
      <c r="I330" s="144" t="str">
        <f t="shared" si="5"/>
        <v/>
      </c>
      <c r="J330" s="144"/>
      <c r="K330" s="144"/>
      <c r="L330" s="144"/>
      <c r="M330" s="144"/>
      <c r="N330" s="144"/>
      <c r="O330" s="144"/>
      <c r="P330" s="144"/>
      <c r="Q330" s="144"/>
      <c r="R330" s="144"/>
      <c r="S330" s="144"/>
      <c r="T330" s="144"/>
      <c r="U330" s="144"/>
      <c r="V330" s="144"/>
      <c r="W330" s="144"/>
      <c r="X330" s="144"/>
      <c r="Y330" s="144"/>
      <c r="Z330" s="144"/>
      <c r="AA330" s="144"/>
      <c r="AB330" s="144"/>
      <c r="AC330" s="135"/>
      <c r="AD330" s="129" t="s">
        <v>5941</v>
      </c>
      <c r="AE330" s="129" t="s">
        <v>2403</v>
      </c>
      <c r="AF330" s="130">
        <v>1</v>
      </c>
      <c r="AG330" s="129" t="s">
        <v>7256</v>
      </c>
      <c r="AH330" s="130">
        <v>281</v>
      </c>
      <c r="AI330" s="130">
        <v>281</v>
      </c>
    </row>
    <row r="331" spans="1:35" ht="10.5" customHeight="1" x14ac:dyDescent="0.2">
      <c r="A331" s="117" t="s">
        <v>8398</v>
      </c>
      <c r="B331" s="117" t="s">
        <v>2370</v>
      </c>
      <c r="C331" s="128">
        <v>1</v>
      </c>
      <c r="D331" s="133" t="s">
        <v>4699</v>
      </c>
      <c r="E331" s="138">
        <f>+INDEX(F331:AB331,1,[3]BOD!$I$2-1)</f>
        <v>1150</v>
      </c>
      <c r="F331" s="140">
        <v>1150</v>
      </c>
      <c r="G331" s="144"/>
      <c r="H331" s="144">
        <f t="shared" si="5"/>
        <v>5750</v>
      </c>
      <c r="I331" s="144">
        <f t="shared" si="5"/>
        <v>5750</v>
      </c>
      <c r="J331" s="144"/>
      <c r="K331" s="144"/>
      <c r="L331" s="144"/>
      <c r="M331" s="144"/>
      <c r="N331" s="144"/>
      <c r="O331" s="144"/>
      <c r="P331" s="144"/>
      <c r="Q331" s="144"/>
      <c r="R331" s="144"/>
      <c r="S331" s="144"/>
      <c r="T331" s="144"/>
      <c r="U331" s="144"/>
      <c r="V331" s="144"/>
      <c r="W331" s="144"/>
      <c r="X331" s="144"/>
      <c r="Y331" s="144"/>
      <c r="Z331" s="144"/>
      <c r="AA331" s="144"/>
      <c r="AB331" s="144"/>
      <c r="AC331" s="135"/>
      <c r="AD331" s="129" t="s">
        <v>5459</v>
      </c>
      <c r="AE331" s="129" t="s">
        <v>2286</v>
      </c>
      <c r="AF331" s="130" t="s">
        <v>5459</v>
      </c>
      <c r="AG331" s="129" t="s">
        <v>236</v>
      </c>
      <c r="AH331" s="130" t="s">
        <v>5459</v>
      </c>
      <c r="AI331" s="130" t="s">
        <v>5459</v>
      </c>
    </row>
    <row r="332" spans="1:35" ht="10.5" customHeight="1" x14ac:dyDescent="0.2">
      <c r="A332" s="117" t="s">
        <v>5459</v>
      </c>
      <c r="B332" s="117" t="s">
        <v>5459</v>
      </c>
      <c r="C332" s="128" t="s">
        <v>5459</v>
      </c>
      <c r="D332" s="133" t="s">
        <v>236</v>
      </c>
      <c r="E332" s="138" t="str">
        <f>+INDEX(F332:AB332,1,[3]BOD!$I$2-1)</f>
        <v/>
      </c>
      <c r="F332" s="140" t="s">
        <v>5459</v>
      </c>
      <c r="G332" s="144"/>
      <c r="H332" s="144" t="str">
        <f t="shared" si="5"/>
        <v/>
      </c>
      <c r="I332" s="144" t="str">
        <f t="shared" si="5"/>
        <v/>
      </c>
      <c r="J332" s="144"/>
      <c r="K332" s="144"/>
      <c r="L332" s="144"/>
      <c r="M332" s="144"/>
      <c r="N332" s="144"/>
      <c r="O332" s="144"/>
      <c r="P332" s="144"/>
      <c r="Q332" s="144"/>
      <c r="R332" s="144"/>
      <c r="S332" s="144"/>
      <c r="T332" s="144"/>
      <c r="U332" s="144"/>
      <c r="V332" s="144"/>
      <c r="W332" s="144"/>
      <c r="X332" s="144"/>
      <c r="Y332" s="144"/>
      <c r="Z332" s="144"/>
      <c r="AA332" s="144"/>
      <c r="AB332" s="144"/>
      <c r="AC332" s="135"/>
      <c r="AD332" s="129" t="s">
        <v>5942</v>
      </c>
      <c r="AE332" s="129" t="s">
        <v>2404</v>
      </c>
      <c r="AF332" s="130">
        <v>1</v>
      </c>
      <c r="AG332" s="129" t="s">
        <v>7256</v>
      </c>
      <c r="AH332" s="130">
        <v>338.37</v>
      </c>
      <c r="AI332" s="130">
        <v>338.37</v>
      </c>
    </row>
    <row r="333" spans="1:35" ht="10.5" customHeight="1" x14ac:dyDescent="0.2">
      <c r="A333" s="117" t="s">
        <v>8399</v>
      </c>
      <c r="B333" s="117" t="s">
        <v>2375</v>
      </c>
      <c r="C333" s="128">
        <v>1</v>
      </c>
      <c r="D333" s="133" t="s">
        <v>4699</v>
      </c>
      <c r="E333" s="138">
        <f>+INDEX(F333:AB333,1,[3]BOD!$I$2-1)</f>
        <v>287.98</v>
      </c>
      <c r="F333" s="140">
        <v>287.98</v>
      </c>
      <c r="G333" s="144"/>
      <c r="H333" s="144">
        <f t="shared" si="5"/>
        <v>1439.9</v>
      </c>
      <c r="I333" s="144">
        <f t="shared" si="5"/>
        <v>1439.9</v>
      </c>
      <c r="J333" s="144"/>
      <c r="K333" s="144"/>
      <c r="L333" s="144"/>
      <c r="M333" s="144"/>
      <c r="N333" s="144"/>
      <c r="O333" s="144"/>
      <c r="P333" s="144"/>
      <c r="Q333" s="144"/>
      <c r="R333" s="144"/>
      <c r="S333" s="144"/>
      <c r="T333" s="144"/>
      <c r="U333" s="144"/>
      <c r="V333" s="144"/>
      <c r="W333" s="144"/>
      <c r="X333" s="144"/>
      <c r="Y333" s="144"/>
      <c r="Z333" s="144"/>
      <c r="AA333" s="144"/>
      <c r="AB333" s="144"/>
      <c r="AC333" s="135"/>
      <c r="AD333" s="129" t="s">
        <v>5459</v>
      </c>
      <c r="AE333" s="129" t="s">
        <v>2286</v>
      </c>
      <c r="AF333" s="130" t="s">
        <v>5459</v>
      </c>
      <c r="AG333" s="129" t="s">
        <v>236</v>
      </c>
      <c r="AH333" s="130" t="s">
        <v>5459</v>
      </c>
      <c r="AI333" s="130" t="s">
        <v>5459</v>
      </c>
    </row>
    <row r="334" spans="1:35" ht="10.5" customHeight="1" x14ac:dyDescent="0.2">
      <c r="A334" s="117" t="s">
        <v>5459</v>
      </c>
      <c r="B334" s="117" t="s">
        <v>5459</v>
      </c>
      <c r="C334" s="128" t="s">
        <v>5459</v>
      </c>
      <c r="D334" s="133" t="s">
        <v>236</v>
      </c>
      <c r="E334" s="138" t="str">
        <f>+INDEX(F334:AB334,1,[3]BOD!$I$2-1)</f>
        <v/>
      </c>
      <c r="F334" s="140" t="s">
        <v>5459</v>
      </c>
      <c r="G334" s="144"/>
      <c r="H334" s="144" t="str">
        <f t="shared" si="5"/>
        <v/>
      </c>
      <c r="I334" s="144" t="str">
        <f t="shared" si="5"/>
        <v/>
      </c>
      <c r="J334" s="144"/>
      <c r="K334" s="144"/>
      <c r="L334" s="144"/>
      <c r="M334" s="144"/>
      <c r="N334" s="144"/>
      <c r="O334" s="144"/>
      <c r="P334" s="144"/>
      <c r="Q334" s="144"/>
      <c r="R334" s="144"/>
      <c r="S334" s="144"/>
      <c r="T334" s="144"/>
      <c r="U334" s="144"/>
      <c r="V334" s="144"/>
      <c r="W334" s="144"/>
      <c r="X334" s="144"/>
      <c r="Y334" s="144"/>
      <c r="Z334" s="144"/>
      <c r="AA334" s="144"/>
      <c r="AB334" s="144"/>
      <c r="AC334" s="135"/>
      <c r="AD334" s="129" t="s">
        <v>5943</v>
      </c>
      <c r="AE334" s="129" t="s">
        <v>2405</v>
      </c>
      <c r="AF334" s="130">
        <v>1</v>
      </c>
      <c r="AG334" s="129" t="s">
        <v>7256</v>
      </c>
      <c r="AH334" s="130">
        <v>421.68</v>
      </c>
      <c r="AI334" s="130">
        <v>421.68</v>
      </c>
    </row>
    <row r="335" spans="1:35" ht="10.5" customHeight="1" x14ac:dyDescent="0.2">
      <c r="A335" s="117" t="s">
        <v>8400</v>
      </c>
      <c r="B335" s="117" t="s">
        <v>2376</v>
      </c>
      <c r="C335" s="128">
        <v>1</v>
      </c>
      <c r="D335" s="133" t="s">
        <v>4699</v>
      </c>
      <c r="E335" s="138">
        <f>+INDEX(F335:AB335,1,[3]BOD!$I$2-1)</f>
        <v>314.16000000000003</v>
      </c>
      <c r="F335" s="140">
        <v>314.16000000000003</v>
      </c>
      <c r="G335" s="144"/>
      <c r="H335" s="144">
        <f t="shared" si="5"/>
        <v>1570.8000000000002</v>
      </c>
      <c r="I335" s="144">
        <f t="shared" si="5"/>
        <v>1570.8000000000002</v>
      </c>
      <c r="J335" s="144"/>
      <c r="K335" s="144"/>
      <c r="L335" s="144"/>
      <c r="M335" s="144"/>
      <c r="N335" s="144"/>
      <c r="O335" s="144"/>
      <c r="P335" s="144"/>
      <c r="Q335" s="144"/>
      <c r="R335" s="144"/>
      <c r="S335" s="144"/>
      <c r="T335" s="144"/>
      <c r="U335" s="144"/>
      <c r="V335" s="144"/>
      <c r="W335" s="144"/>
      <c r="X335" s="144"/>
      <c r="Y335" s="144"/>
      <c r="Z335" s="144"/>
      <c r="AA335" s="144"/>
      <c r="AB335" s="144"/>
      <c r="AC335" s="135"/>
      <c r="AD335" s="129" t="s">
        <v>5459</v>
      </c>
      <c r="AE335" s="129" t="s">
        <v>2286</v>
      </c>
      <c r="AF335" s="130" t="s">
        <v>5459</v>
      </c>
      <c r="AG335" s="129" t="s">
        <v>236</v>
      </c>
      <c r="AH335" s="130" t="s">
        <v>5459</v>
      </c>
      <c r="AI335" s="130" t="s">
        <v>5459</v>
      </c>
    </row>
    <row r="336" spans="1:35" ht="10.5" customHeight="1" x14ac:dyDescent="0.2">
      <c r="A336" s="117" t="s">
        <v>5459</v>
      </c>
      <c r="B336" s="117" t="s">
        <v>5459</v>
      </c>
      <c r="C336" s="128" t="s">
        <v>5459</v>
      </c>
      <c r="D336" s="133" t="s">
        <v>236</v>
      </c>
      <c r="E336" s="138" t="str">
        <f>+INDEX(F336:AB336,1,[3]BOD!$I$2-1)</f>
        <v/>
      </c>
      <c r="F336" s="140" t="s">
        <v>5459</v>
      </c>
      <c r="G336" s="144"/>
      <c r="H336" s="144" t="str">
        <f t="shared" si="5"/>
        <v/>
      </c>
      <c r="I336" s="144" t="str">
        <f t="shared" si="5"/>
        <v/>
      </c>
      <c r="J336" s="144"/>
      <c r="K336" s="144"/>
      <c r="L336" s="144"/>
      <c r="M336" s="144"/>
      <c r="N336" s="144"/>
      <c r="O336" s="144"/>
      <c r="P336" s="144"/>
      <c r="Q336" s="144"/>
      <c r="R336" s="144"/>
      <c r="S336" s="144"/>
      <c r="T336" s="144"/>
      <c r="U336" s="144"/>
      <c r="V336" s="144"/>
      <c r="W336" s="144"/>
      <c r="X336" s="144"/>
      <c r="Y336" s="144"/>
      <c r="Z336" s="144"/>
      <c r="AA336" s="144"/>
      <c r="AB336" s="144"/>
      <c r="AC336" s="135"/>
      <c r="AD336" s="129" t="s">
        <v>5944</v>
      </c>
      <c r="AE336" s="129" t="s">
        <v>2406</v>
      </c>
      <c r="AF336" s="130">
        <v>1</v>
      </c>
      <c r="AG336" s="129" t="s">
        <v>7256</v>
      </c>
      <c r="AH336" s="130">
        <v>507.99</v>
      </c>
      <c r="AI336" s="130">
        <v>507.99</v>
      </c>
    </row>
    <row r="337" spans="1:35" ht="10.5" customHeight="1" x14ac:dyDescent="0.2">
      <c r="A337" s="117" t="s">
        <v>8401</v>
      </c>
      <c r="B337" s="117" t="s">
        <v>2377</v>
      </c>
      <c r="C337" s="128">
        <v>1</v>
      </c>
      <c r="D337" s="133" t="s">
        <v>4699</v>
      </c>
      <c r="E337" s="138">
        <f>+INDEX(F337:AB337,1,[3]BOD!$I$2-1)</f>
        <v>340.34</v>
      </c>
      <c r="F337" s="140">
        <v>340.34</v>
      </c>
      <c r="G337" s="144"/>
      <c r="H337" s="144">
        <f t="shared" si="5"/>
        <v>1701.6999999999998</v>
      </c>
      <c r="I337" s="144">
        <f t="shared" si="5"/>
        <v>1701.6999999999998</v>
      </c>
      <c r="J337" s="144"/>
      <c r="K337" s="144"/>
      <c r="L337" s="144"/>
      <c r="M337" s="144"/>
      <c r="N337" s="144"/>
      <c r="O337" s="144"/>
      <c r="P337" s="144"/>
      <c r="Q337" s="144"/>
      <c r="R337" s="144"/>
      <c r="S337" s="144"/>
      <c r="T337" s="144"/>
      <c r="U337" s="144"/>
      <c r="V337" s="144"/>
      <c r="W337" s="144"/>
      <c r="X337" s="144"/>
      <c r="Y337" s="144"/>
      <c r="Z337" s="144"/>
      <c r="AA337" s="144"/>
      <c r="AB337" s="144"/>
      <c r="AC337" s="135"/>
      <c r="AD337" s="129" t="s">
        <v>5459</v>
      </c>
      <c r="AE337" s="129" t="s">
        <v>2286</v>
      </c>
      <c r="AF337" s="130" t="s">
        <v>5459</v>
      </c>
      <c r="AG337" s="129" t="s">
        <v>236</v>
      </c>
      <c r="AH337" s="130" t="s">
        <v>5459</v>
      </c>
      <c r="AI337" s="130" t="s">
        <v>5459</v>
      </c>
    </row>
    <row r="338" spans="1:35" ht="10.5" customHeight="1" x14ac:dyDescent="0.2">
      <c r="A338" s="117" t="s">
        <v>5459</v>
      </c>
      <c r="B338" s="117" t="s">
        <v>5459</v>
      </c>
      <c r="C338" s="128" t="s">
        <v>5459</v>
      </c>
      <c r="D338" s="133" t="s">
        <v>236</v>
      </c>
      <c r="E338" s="138" t="str">
        <f>+INDEX(F338:AB338,1,[3]BOD!$I$2-1)</f>
        <v/>
      </c>
      <c r="F338" s="140" t="s">
        <v>5459</v>
      </c>
      <c r="G338" s="144"/>
      <c r="H338" s="144" t="str">
        <f t="shared" si="5"/>
        <v/>
      </c>
      <c r="I338" s="144" t="str">
        <f t="shared" si="5"/>
        <v/>
      </c>
      <c r="J338" s="144"/>
      <c r="K338" s="144"/>
      <c r="L338" s="144"/>
      <c r="M338" s="144"/>
      <c r="N338" s="144"/>
      <c r="O338" s="144"/>
      <c r="P338" s="144"/>
      <c r="Q338" s="144"/>
      <c r="R338" s="144"/>
      <c r="S338" s="144"/>
      <c r="T338" s="144"/>
      <c r="U338" s="144"/>
      <c r="V338" s="144"/>
      <c r="W338" s="144"/>
      <c r="X338" s="144"/>
      <c r="Y338" s="144"/>
      <c r="Z338" s="144"/>
      <c r="AA338" s="144"/>
      <c r="AB338" s="144"/>
      <c r="AC338" s="135"/>
      <c r="AD338" s="129" t="s">
        <v>5945</v>
      </c>
      <c r="AE338" s="129" t="s">
        <v>2412</v>
      </c>
      <c r="AF338" s="130">
        <v>0</v>
      </c>
      <c r="AG338" s="129" t="s">
        <v>236</v>
      </c>
      <c r="AH338" s="130">
        <v>820</v>
      </c>
      <c r="AI338" s="130">
        <v>0</v>
      </c>
    </row>
    <row r="339" spans="1:35" ht="10.5" customHeight="1" x14ac:dyDescent="0.2">
      <c r="A339" s="117" t="s">
        <v>7857</v>
      </c>
      <c r="B339" s="117" t="s">
        <v>2378</v>
      </c>
      <c r="C339" s="128">
        <v>1</v>
      </c>
      <c r="D339" s="133" t="s">
        <v>4699</v>
      </c>
      <c r="E339" s="138">
        <f>+INDEX(F339:AB339,1,[3]BOD!$I$2-1)</f>
        <v>366.52</v>
      </c>
      <c r="F339" s="140">
        <v>366.52</v>
      </c>
      <c r="G339" s="144"/>
      <c r="H339" s="144">
        <f t="shared" si="5"/>
        <v>1832.6</v>
      </c>
      <c r="I339" s="144">
        <f t="shared" si="5"/>
        <v>1832.6</v>
      </c>
      <c r="J339" s="144"/>
      <c r="K339" s="144"/>
      <c r="L339" s="144"/>
      <c r="M339" s="144"/>
      <c r="N339" s="144"/>
      <c r="O339" s="144"/>
      <c r="P339" s="144"/>
      <c r="Q339" s="144"/>
      <c r="R339" s="144"/>
      <c r="S339" s="144"/>
      <c r="T339" s="144"/>
      <c r="U339" s="144"/>
      <c r="V339" s="144"/>
      <c r="W339" s="144"/>
      <c r="X339" s="144"/>
      <c r="Y339" s="144"/>
      <c r="Z339" s="144"/>
      <c r="AA339" s="144"/>
      <c r="AB339" s="144"/>
      <c r="AC339" s="135"/>
      <c r="AD339" s="129" t="s">
        <v>5459</v>
      </c>
      <c r="AE339" s="129" t="s">
        <v>5459</v>
      </c>
      <c r="AF339" s="130" t="s">
        <v>5459</v>
      </c>
      <c r="AG339" s="129" t="s">
        <v>236</v>
      </c>
      <c r="AH339" s="130" t="s">
        <v>5459</v>
      </c>
      <c r="AI339" s="130" t="s">
        <v>5459</v>
      </c>
    </row>
    <row r="340" spans="1:35" ht="10.5" customHeight="1" x14ac:dyDescent="0.2">
      <c r="A340" s="117" t="s">
        <v>5459</v>
      </c>
      <c r="B340" s="117" t="s">
        <v>5459</v>
      </c>
      <c r="C340" s="128" t="s">
        <v>5459</v>
      </c>
      <c r="D340" s="133" t="s">
        <v>236</v>
      </c>
      <c r="E340" s="138" t="str">
        <f>+INDEX(F340:AB340,1,[3]BOD!$I$2-1)</f>
        <v/>
      </c>
      <c r="F340" s="140" t="s">
        <v>5459</v>
      </c>
      <c r="G340" s="144"/>
      <c r="H340" s="144" t="str">
        <f t="shared" si="5"/>
        <v/>
      </c>
      <c r="I340" s="144" t="str">
        <f t="shared" si="5"/>
        <v/>
      </c>
      <c r="J340" s="144"/>
      <c r="K340" s="144"/>
      <c r="L340" s="144"/>
      <c r="M340" s="144"/>
      <c r="N340" s="144"/>
      <c r="O340" s="144"/>
      <c r="P340" s="144"/>
      <c r="Q340" s="144"/>
      <c r="R340" s="144"/>
      <c r="S340" s="144"/>
      <c r="T340" s="144"/>
      <c r="U340" s="144"/>
      <c r="V340" s="144"/>
      <c r="W340" s="144"/>
      <c r="X340" s="144"/>
      <c r="Y340" s="144"/>
      <c r="Z340" s="144"/>
      <c r="AA340" s="144"/>
      <c r="AB340" s="144"/>
      <c r="AC340" s="135"/>
      <c r="AD340" s="129" t="s">
        <v>5946</v>
      </c>
      <c r="AE340" s="129" t="s">
        <v>2412</v>
      </c>
      <c r="AF340" s="130">
        <v>1</v>
      </c>
      <c r="AG340" s="129" t="s">
        <v>4699</v>
      </c>
      <c r="AH340" s="130">
        <v>820</v>
      </c>
      <c r="AI340" s="130">
        <v>820</v>
      </c>
    </row>
    <row r="341" spans="1:35" ht="10.5" customHeight="1" x14ac:dyDescent="0.2">
      <c r="A341" s="117" t="s">
        <v>7858</v>
      </c>
      <c r="B341" s="117" t="s">
        <v>2379</v>
      </c>
      <c r="C341" s="128">
        <v>1</v>
      </c>
      <c r="D341" s="133" t="s">
        <v>4699</v>
      </c>
      <c r="E341" s="138">
        <f>+INDEX(F341:AB341,1,[3]BOD!$I$2-1)</f>
        <v>392.7</v>
      </c>
      <c r="F341" s="140">
        <v>392.7</v>
      </c>
      <c r="G341" s="144"/>
      <c r="H341" s="144">
        <f t="shared" si="5"/>
        <v>1963.5</v>
      </c>
      <c r="I341" s="144">
        <f t="shared" si="5"/>
        <v>1963.5</v>
      </c>
      <c r="J341" s="144"/>
      <c r="K341" s="144"/>
      <c r="L341" s="144"/>
      <c r="M341" s="144"/>
      <c r="N341" s="144"/>
      <c r="O341" s="144"/>
      <c r="P341" s="144"/>
      <c r="Q341" s="144"/>
      <c r="R341" s="144"/>
      <c r="S341" s="144"/>
      <c r="T341" s="144"/>
      <c r="U341" s="144"/>
      <c r="V341" s="144"/>
      <c r="W341" s="144"/>
      <c r="X341" s="144"/>
      <c r="Y341" s="144"/>
      <c r="Z341" s="144"/>
      <c r="AA341" s="144"/>
      <c r="AB341" s="144"/>
      <c r="AC341" s="135"/>
      <c r="AD341" s="129" t="s">
        <v>5459</v>
      </c>
      <c r="AE341" s="129" t="s">
        <v>5459</v>
      </c>
      <c r="AF341" s="130" t="s">
        <v>5459</v>
      </c>
      <c r="AG341" s="129" t="s">
        <v>236</v>
      </c>
      <c r="AH341" s="130" t="s">
        <v>5459</v>
      </c>
      <c r="AI341" s="130" t="s">
        <v>5459</v>
      </c>
    </row>
    <row r="342" spans="1:35" ht="10.5" customHeight="1" x14ac:dyDescent="0.2">
      <c r="A342" s="117" t="s">
        <v>5459</v>
      </c>
      <c r="B342" s="117" t="s">
        <v>5459</v>
      </c>
      <c r="C342" s="128" t="s">
        <v>5459</v>
      </c>
      <c r="D342" s="133" t="s">
        <v>236</v>
      </c>
      <c r="E342" s="138" t="str">
        <f>+INDEX(F342:AB342,1,[3]BOD!$I$2-1)</f>
        <v/>
      </c>
      <c r="F342" s="140" t="s">
        <v>5459</v>
      </c>
      <c r="G342" s="144"/>
      <c r="H342" s="144" t="str">
        <f t="shared" si="5"/>
        <v/>
      </c>
      <c r="I342" s="144" t="str">
        <f t="shared" si="5"/>
        <v/>
      </c>
      <c r="J342" s="144"/>
      <c r="K342" s="144"/>
      <c r="L342" s="144"/>
      <c r="M342" s="144"/>
      <c r="N342" s="144"/>
      <c r="O342" s="144"/>
      <c r="P342" s="144"/>
      <c r="Q342" s="144"/>
      <c r="R342" s="144"/>
      <c r="S342" s="144"/>
      <c r="T342" s="144"/>
      <c r="U342" s="144"/>
      <c r="V342" s="144"/>
      <c r="W342" s="144"/>
      <c r="X342" s="144"/>
      <c r="Y342" s="144"/>
      <c r="Z342" s="144"/>
      <c r="AA342" s="144"/>
      <c r="AB342" s="144"/>
      <c r="AC342" s="135"/>
      <c r="AD342" s="129" t="s">
        <v>5947</v>
      </c>
      <c r="AE342" s="129" t="s">
        <v>2392</v>
      </c>
      <c r="AF342" s="130">
        <v>0</v>
      </c>
      <c r="AG342" s="129" t="s">
        <v>236</v>
      </c>
      <c r="AH342" s="130">
        <v>125.94</v>
      </c>
      <c r="AI342" s="130">
        <v>0</v>
      </c>
    </row>
    <row r="343" spans="1:35" ht="10.5" customHeight="1" x14ac:dyDescent="0.2">
      <c r="A343" s="117" t="s">
        <v>6626</v>
      </c>
      <c r="B343" s="117" t="s">
        <v>2380</v>
      </c>
      <c r="C343" s="128">
        <v>1</v>
      </c>
      <c r="D343" s="133" t="s">
        <v>4699</v>
      </c>
      <c r="E343" s="138">
        <f>+INDEX(F343:AB343,1,[3]BOD!$I$2-1)</f>
        <v>418.88</v>
      </c>
      <c r="F343" s="140">
        <v>418.88</v>
      </c>
      <c r="G343" s="144"/>
      <c r="H343" s="144">
        <f t="shared" si="5"/>
        <v>2094.4</v>
      </c>
      <c r="I343" s="144">
        <f t="shared" si="5"/>
        <v>2094.4</v>
      </c>
      <c r="J343" s="144"/>
      <c r="K343" s="144"/>
      <c r="L343" s="144"/>
      <c r="M343" s="144"/>
      <c r="N343" s="144"/>
      <c r="O343" s="144"/>
      <c r="P343" s="144"/>
      <c r="Q343" s="144"/>
      <c r="R343" s="144"/>
      <c r="S343" s="144"/>
      <c r="T343" s="144"/>
      <c r="U343" s="144"/>
      <c r="V343" s="144"/>
      <c r="W343" s="144"/>
      <c r="X343" s="144"/>
      <c r="Y343" s="144"/>
      <c r="Z343" s="144"/>
      <c r="AA343" s="144"/>
      <c r="AB343" s="144"/>
      <c r="AC343" s="135"/>
      <c r="AD343" s="129" t="s">
        <v>5459</v>
      </c>
      <c r="AE343" s="129" t="s">
        <v>5459</v>
      </c>
      <c r="AF343" s="130" t="s">
        <v>5459</v>
      </c>
      <c r="AG343" s="129" t="s">
        <v>236</v>
      </c>
      <c r="AH343" s="130" t="s">
        <v>5459</v>
      </c>
      <c r="AI343" s="130" t="s">
        <v>5459</v>
      </c>
    </row>
    <row r="344" spans="1:35" ht="10.5" customHeight="1" x14ac:dyDescent="0.2">
      <c r="A344" s="117" t="s">
        <v>5459</v>
      </c>
      <c r="B344" s="117" t="s">
        <v>5459</v>
      </c>
      <c r="C344" s="128" t="s">
        <v>5459</v>
      </c>
      <c r="D344" s="133" t="s">
        <v>236</v>
      </c>
      <c r="E344" s="138" t="str">
        <f>+INDEX(F344:AB344,1,[3]BOD!$I$2-1)</f>
        <v/>
      </c>
      <c r="F344" s="140" t="s">
        <v>5459</v>
      </c>
      <c r="G344" s="144"/>
      <c r="H344" s="144" t="str">
        <f t="shared" si="5"/>
        <v/>
      </c>
      <c r="I344" s="144" t="str">
        <f t="shared" si="5"/>
        <v/>
      </c>
      <c r="J344" s="144"/>
      <c r="K344" s="144"/>
      <c r="L344" s="144"/>
      <c r="M344" s="144"/>
      <c r="N344" s="144"/>
      <c r="O344" s="144"/>
      <c r="P344" s="144"/>
      <c r="Q344" s="144"/>
      <c r="R344" s="144"/>
      <c r="S344" s="144"/>
      <c r="T344" s="144"/>
      <c r="U344" s="144"/>
      <c r="V344" s="144"/>
      <c r="W344" s="144"/>
      <c r="X344" s="144"/>
      <c r="Y344" s="144"/>
      <c r="Z344" s="144"/>
      <c r="AA344" s="144"/>
      <c r="AB344" s="144"/>
      <c r="AC344" s="135"/>
      <c r="AD344" s="129" t="s">
        <v>5948</v>
      </c>
      <c r="AE344" s="129" t="s">
        <v>2393</v>
      </c>
      <c r="AF344" s="130">
        <v>1</v>
      </c>
      <c r="AG344" s="129" t="s">
        <v>847</v>
      </c>
      <c r="AH344" s="130">
        <v>125.94</v>
      </c>
      <c r="AI344" s="130">
        <v>125.94</v>
      </c>
    </row>
    <row r="345" spans="1:35" ht="10.5" customHeight="1" x14ac:dyDescent="0.2">
      <c r="A345" s="117" t="s">
        <v>6627</v>
      </c>
      <c r="B345" s="117" t="s">
        <v>2381</v>
      </c>
      <c r="C345" s="128"/>
      <c r="D345" s="133"/>
      <c r="E345" s="138"/>
      <c r="F345" s="140"/>
      <c r="G345" s="144"/>
      <c r="H345" s="144" t="str">
        <f t="shared" si="5"/>
        <v/>
      </c>
      <c r="I345" s="144" t="str">
        <f t="shared" si="5"/>
        <v/>
      </c>
      <c r="J345" s="144"/>
      <c r="K345" s="144"/>
      <c r="L345" s="144"/>
      <c r="M345" s="144"/>
      <c r="N345" s="144"/>
      <c r="O345" s="144"/>
      <c r="P345" s="144"/>
      <c r="Q345" s="144"/>
      <c r="R345" s="144"/>
      <c r="S345" s="144"/>
      <c r="T345" s="144"/>
      <c r="U345" s="144"/>
      <c r="V345" s="144"/>
      <c r="W345" s="144"/>
      <c r="X345" s="144"/>
      <c r="Y345" s="144"/>
      <c r="Z345" s="144"/>
      <c r="AA345" s="144"/>
      <c r="AB345" s="144"/>
      <c r="AC345" s="135"/>
      <c r="AD345" s="129" t="s">
        <v>5459</v>
      </c>
      <c r="AE345" s="129" t="s">
        <v>2255</v>
      </c>
      <c r="AF345" s="130" t="s">
        <v>5459</v>
      </c>
      <c r="AG345" s="129" t="s">
        <v>236</v>
      </c>
      <c r="AH345" s="130" t="s">
        <v>5459</v>
      </c>
      <c r="AI345" s="130" t="s">
        <v>5459</v>
      </c>
    </row>
    <row r="346" spans="1:35" ht="10.5" customHeight="1" x14ac:dyDescent="0.2">
      <c r="A346" s="117" t="s">
        <v>5459</v>
      </c>
      <c r="B346" s="117" t="s">
        <v>5459</v>
      </c>
      <c r="C346" s="128" t="s">
        <v>5459</v>
      </c>
      <c r="D346" s="133" t="s">
        <v>236</v>
      </c>
      <c r="E346" s="138" t="str">
        <f>+INDEX(F346:AB346,1,[3]BOD!$I$2-1)</f>
        <v/>
      </c>
      <c r="F346" s="140" t="s">
        <v>5459</v>
      </c>
      <c r="G346" s="144"/>
      <c r="H346" s="144" t="str">
        <f t="shared" si="5"/>
        <v/>
      </c>
      <c r="I346" s="144" t="str">
        <f t="shared" si="5"/>
        <v/>
      </c>
      <c r="J346" s="144"/>
      <c r="K346" s="144"/>
      <c r="L346" s="144"/>
      <c r="M346" s="144"/>
      <c r="N346" s="144"/>
      <c r="O346" s="144"/>
      <c r="P346" s="144"/>
      <c r="Q346" s="144"/>
      <c r="R346" s="144"/>
      <c r="S346" s="144"/>
      <c r="T346" s="144"/>
      <c r="U346" s="144"/>
      <c r="V346" s="144"/>
      <c r="W346" s="144"/>
      <c r="X346" s="144"/>
      <c r="Y346" s="144"/>
      <c r="Z346" s="144"/>
      <c r="AA346" s="144"/>
      <c r="AB346" s="144"/>
      <c r="AC346" s="135"/>
      <c r="AD346" s="129" t="s">
        <v>5949</v>
      </c>
      <c r="AE346" s="129" t="s">
        <v>2415</v>
      </c>
      <c r="AF346" s="130">
        <v>0</v>
      </c>
      <c r="AG346" s="129" t="s">
        <v>236</v>
      </c>
      <c r="AH346" s="130">
        <v>3799.28</v>
      </c>
      <c r="AI346" s="130">
        <v>0</v>
      </c>
    </row>
    <row r="347" spans="1:35" ht="10.5" customHeight="1" x14ac:dyDescent="0.2">
      <c r="A347" s="117" t="s">
        <v>6628</v>
      </c>
      <c r="B347" s="117" t="s">
        <v>2382</v>
      </c>
      <c r="C347" s="128">
        <v>1</v>
      </c>
      <c r="D347" s="133" t="s">
        <v>7256</v>
      </c>
      <c r="E347" s="138">
        <f>+INDEX(F347:AB347,1,[3]BOD!$I$2-1)</f>
        <v>14.82</v>
      </c>
      <c r="F347" s="140">
        <v>14.82</v>
      </c>
      <c r="G347" s="144"/>
      <c r="H347" s="144">
        <f t="shared" si="5"/>
        <v>74.099999999999994</v>
      </c>
      <c r="I347" s="144">
        <f t="shared" si="5"/>
        <v>74.099999999999994</v>
      </c>
      <c r="J347" s="144"/>
      <c r="K347" s="144"/>
      <c r="L347" s="144"/>
      <c r="M347" s="144"/>
      <c r="N347" s="144"/>
      <c r="O347" s="144"/>
      <c r="P347" s="144"/>
      <c r="Q347" s="144"/>
      <c r="R347" s="144"/>
      <c r="S347" s="144"/>
      <c r="T347" s="144"/>
      <c r="U347" s="144"/>
      <c r="V347" s="144"/>
      <c r="W347" s="144"/>
      <c r="X347" s="144"/>
      <c r="Y347" s="144"/>
      <c r="Z347" s="144"/>
      <c r="AA347" s="144"/>
      <c r="AB347" s="144"/>
      <c r="AC347" s="135"/>
      <c r="AD347" s="129" t="s">
        <v>5459</v>
      </c>
      <c r="AE347" s="129" t="s">
        <v>5459</v>
      </c>
      <c r="AF347" s="130" t="s">
        <v>5459</v>
      </c>
      <c r="AG347" s="129" t="s">
        <v>236</v>
      </c>
      <c r="AH347" s="130" t="s">
        <v>5459</v>
      </c>
      <c r="AI347" s="130" t="s">
        <v>5459</v>
      </c>
    </row>
    <row r="348" spans="1:35" ht="10.5" customHeight="1" x14ac:dyDescent="0.2">
      <c r="A348" s="117" t="s">
        <v>5459</v>
      </c>
      <c r="B348" s="117" t="s">
        <v>5459</v>
      </c>
      <c r="C348" s="128" t="s">
        <v>5459</v>
      </c>
      <c r="D348" s="133" t="s">
        <v>236</v>
      </c>
      <c r="E348" s="138" t="str">
        <f>+INDEX(F348:AB348,1,[3]BOD!$I$2-1)</f>
        <v/>
      </c>
      <c r="F348" s="140" t="s">
        <v>5459</v>
      </c>
      <c r="G348" s="144"/>
      <c r="H348" s="144" t="str">
        <f t="shared" si="5"/>
        <v/>
      </c>
      <c r="I348" s="144" t="str">
        <f t="shared" si="5"/>
        <v/>
      </c>
      <c r="J348" s="144"/>
      <c r="K348" s="144"/>
      <c r="L348" s="144"/>
      <c r="M348" s="144"/>
      <c r="N348" s="144"/>
      <c r="O348" s="144"/>
      <c r="P348" s="144"/>
      <c r="Q348" s="144"/>
      <c r="R348" s="144"/>
      <c r="S348" s="144"/>
      <c r="T348" s="144"/>
      <c r="U348" s="144"/>
      <c r="V348" s="144"/>
      <c r="W348" s="144"/>
      <c r="X348" s="144"/>
      <c r="Y348" s="144"/>
      <c r="Z348" s="144"/>
      <c r="AA348" s="144"/>
      <c r="AB348" s="144"/>
      <c r="AC348" s="135"/>
      <c r="AD348" s="129" t="s">
        <v>5950</v>
      </c>
      <c r="AE348" s="129" t="s">
        <v>2415</v>
      </c>
      <c r="AF348" s="130">
        <v>0</v>
      </c>
      <c r="AG348" s="129" t="s">
        <v>236</v>
      </c>
      <c r="AH348" s="130">
        <v>3799.28</v>
      </c>
      <c r="AI348" s="130">
        <v>0</v>
      </c>
    </row>
    <row r="349" spans="1:35" ht="10.5" customHeight="1" x14ac:dyDescent="0.2">
      <c r="A349" s="117" t="s">
        <v>6629</v>
      </c>
      <c r="B349" s="117" t="s">
        <v>2383</v>
      </c>
      <c r="C349" s="128">
        <v>1</v>
      </c>
      <c r="D349" s="133" t="s">
        <v>7256</v>
      </c>
      <c r="E349" s="138">
        <f>+INDEX(F349:AB349,1,[3]BOD!$I$2-1)</f>
        <v>19.260000000000002</v>
      </c>
      <c r="F349" s="140">
        <v>19.260000000000002</v>
      </c>
      <c r="G349" s="144"/>
      <c r="H349" s="144">
        <f t="shared" si="5"/>
        <v>96.300000000000011</v>
      </c>
      <c r="I349" s="144">
        <f t="shared" si="5"/>
        <v>96.300000000000011</v>
      </c>
      <c r="J349" s="144"/>
      <c r="K349" s="144"/>
      <c r="L349" s="144"/>
      <c r="M349" s="144"/>
      <c r="N349" s="144"/>
      <c r="O349" s="144"/>
      <c r="P349" s="144"/>
      <c r="Q349" s="144"/>
      <c r="R349" s="144"/>
      <c r="S349" s="144"/>
      <c r="T349" s="144"/>
      <c r="U349" s="144"/>
      <c r="V349" s="144"/>
      <c r="W349" s="144"/>
      <c r="X349" s="144"/>
      <c r="Y349" s="144"/>
      <c r="Z349" s="144"/>
      <c r="AA349" s="144"/>
      <c r="AB349" s="144"/>
      <c r="AC349" s="135"/>
      <c r="AD349" s="129" t="s">
        <v>5459</v>
      </c>
      <c r="AE349" s="129" t="s">
        <v>5459</v>
      </c>
      <c r="AF349" s="130" t="s">
        <v>5459</v>
      </c>
      <c r="AG349" s="129" t="s">
        <v>236</v>
      </c>
      <c r="AH349" s="130" t="s">
        <v>5459</v>
      </c>
      <c r="AI349" s="130" t="s">
        <v>5459</v>
      </c>
    </row>
    <row r="350" spans="1:35" ht="10.5" customHeight="1" x14ac:dyDescent="0.2">
      <c r="A350" s="117" t="s">
        <v>5459</v>
      </c>
      <c r="B350" s="117" t="s">
        <v>5459</v>
      </c>
      <c r="C350" s="128" t="s">
        <v>5459</v>
      </c>
      <c r="D350" s="133" t="s">
        <v>236</v>
      </c>
      <c r="E350" s="138" t="str">
        <f>+INDEX(F350:AB350,1,[3]BOD!$I$2-1)</f>
        <v/>
      </c>
      <c r="F350" s="140" t="s">
        <v>5459</v>
      </c>
      <c r="G350" s="144"/>
      <c r="H350" s="144" t="str">
        <f t="shared" si="5"/>
        <v/>
      </c>
      <c r="I350" s="144" t="str">
        <f t="shared" si="5"/>
        <v/>
      </c>
      <c r="J350" s="144"/>
      <c r="K350" s="144"/>
      <c r="L350" s="144"/>
      <c r="M350" s="144"/>
      <c r="N350" s="144"/>
      <c r="O350" s="144"/>
      <c r="P350" s="144"/>
      <c r="Q350" s="144"/>
      <c r="R350" s="144"/>
      <c r="S350" s="144"/>
      <c r="T350" s="144"/>
      <c r="U350" s="144"/>
      <c r="V350" s="144"/>
      <c r="W350" s="144"/>
      <c r="X350" s="144"/>
      <c r="Y350" s="144"/>
      <c r="Z350" s="144"/>
      <c r="AA350" s="144"/>
      <c r="AB350" s="144"/>
      <c r="AC350" s="135"/>
      <c r="AD350" s="129" t="s">
        <v>5951</v>
      </c>
      <c r="AE350" s="129" t="s">
        <v>2416</v>
      </c>
      <c r="AF350" s="130">
        <v>1</v>
      </c>
      <c r="AG350" s="129" t="s">
        <v>5086</v>
      </c>
      <c r="AH350" s="130">
        <v>208.33</v>
      </c>
      <c r="AI350" s="130">
        <v>208.33</v>
      </c>
    </row>
    <row r="351" spans="1:35" ht="10.5" customHeight="1" x14ac:dyDescent="0.2">
      <c r="A351" s="117" t="s">
        <v>6630</v>
      </c>
      <c r="B351" s="117" t="s">
        <v>2384</v>
      </c>
      <c r="C351" s="128">
        <v>1</v>
      </c>
      <c r="D351" s="133" t="s">
        <v>7256</v>
      </c>
      <c r="E351" s="138">
        <f>+INDEX(F351:AB351,1,[3]BOD!$I$2-1)</f>
        <v>24.4</v>
      </c>
      <c r="F351" s="140">
        <v>24.4</v>
      </c>
      <c r="G351" s="144"/>
      <c r="H351" s="144">
        <f t="shared" si="5"/>
        <v>122</v>
      </c>
      <c r="I351" s="144">
        <f t="shared" si="5"/>
        <v>122</v>
      </c>
      <c r="J351" s="144"/>
      <c r="K351" s="144"/>
      <c r="L351" s="144"/>
      <c r="M351" s="144"/>
      <c r="N351" s="144"/>
      <c r="O351" s="144"/>
      <c r="P351" s="144"/>
      <c r="Q351" s="144"/>
      <c r="R351" s="144"/>
      <c r="S351" s="144"/>
      <c r="T351" s="144"/>
      <c r="U351" s="144"/>
      <c r="V351" s="144"/>
      <c r="W351" s="144"/>
      <c r="X351" s="144"/>
      <c r="Y351" s="144"/>
      <c r="Z351" s="144"/>
      <c r="AA351" s="144"/>
      <c r="AB351" s="144"/>
      <c r="AC351" s="135"/>
      <c r="AD351" s="129" t="s">
        <v>5459</v>
      </c>
      <c r="AE351" s="129" t="s">
        <v>5459</v>
      </c>
      <c r="AF351" s="130" t="s">
        <v>5459</v>
      </c>
      <c r="AG351" s="129" t="s">
        <v>236</v>
      </c>
      <c r="AH351" s="130" t="s">
        <v>5459</v>
      </c>
      <c r="AI351" s="130" t="s">
        <v>5459</v>
      </c>
    </row>
    <row r="352" spans="1:35" ht="10.5" customHeight="1" x14ac:dyDescent="0.2">
      <c r="A352" s="117" t="s">
        <v>5459</v>
      </c>
      <c r="B352" s="117" t="s">
        <v>5459</v>
      </c>
      <c r="C352" s="128" t="s">
        <v>5459</v>
      </c>
      <c r="D352" s="133" t="s">
        <v>236</v>
      </c>
      <c r="E352" s="138" t="str">
        <f>+INDEX(F352:AB352,1,[3]BOD!$I$2-1)</f>
        <v/>
      </c>
      <c r="F352" s="140" t="s">
        <v>5459</v>
      </c>
      <c r="G352" s="144"/>
      <c r="H352" s="144" t="str">
        <f t="shared" si="5"/>
        <v/>
      </c>
      <c r="I352" s="144" t="str">
        <f t="shared" si="5"/>
        <v/>
      </c>
      <c r="J352" s="144"/>
      <c r="K352" s="144"/>
      <c r="L352" s="144"/>
      <c r="M352" s="144"/>
      <c r="N352" s="144"/>
      <c r="O352" s="144"/>
      <c r="P352" s="144"/>
      <c r="Q352" s="144"/>
      <c r="R352" s="144"/>
      <c r="S352" s="144"/>
      <c r="T352" s="144"/>
      <c r="U352" s="144"/>
      <c r="V352" s="144"/>
      <c r="W352" s="144"/>
      <c r="X352" s="144"/>
      <c r="Y352" s="144"/>
      <c r="Z352" s="144"/>
      <c r="AA352" s="144"/>
      <c r="AB352" s="144"/>
      <c r="AC352" s="135"/>
      <c r="AD352" s="129" t="s">
        <v>6938</v>
      </c>
      <c r="AE352" s="129" t="s">
        <v>2417</v>
      </c>
      <c r="AF352" s="130">
        <v>1</v>
      </c>
      <c r="AG352" s="129" t="s">
        <v>5086</v>
      </c>
      <c r="AH352" s="130">
        <v>240.58</v>
      </c>
      <c r="AI352" s="130">
        <v>240.58</v>
      </c>
    </row>
    <row r="353" spans="1:35" ht="10.5" customHeight="1" x14ac:dyDescent="0.2">
      <c r="A353" s="117" t="s">
        <v>6631</v>
      </c>
      <c r="B353" s="117" t="s">
        <v>2385</v>
      </c>
      <c r="C353" s="128">
        <v>1</v>
      </c>
      <c r="D353" s="133" t="s">
        <v>7256</v>
      </c>
      <c r="E353" s="138">
        <f>+INDEX(F353:AB353,1,[3]BOD!$I$2-1)</f>
        <v>28.97</v>
      </c>
      <c r="F353" s="140">
        <v>28.97</v>
      </c>
      <c r="G353" s="144"/>
      <c r="H353" s="144">
        <f t="shared" si="5"/>
        <v>144.85</v>
      </c>
      <c r="I353" s="144">
        <f t="shared" si="5"/>
        <v>144.85</v>
      </c>
      <c r="J353" s="144"/>
      <c r="K353" s="144"/>
      <c r="L353" s="144"/>
      <c r="M353" s="144"/>
      <c r="N353" s="144"/>
      <c r="O353" s="144"/>
      <c r="P353" s="144"/>
      <c r="Q353" s="144"/>
      <c r="R353" s="144"/>
      <c r="S353" s="144"/>
      <c r="T353" s="144"/>
      <c r="U353" s="144"/>
      <c r="V353" s="144"/>
      <c r="W353" s="144"/>
      <c r="X353" s="144"/>
      <c r="Y353" s="144"/>
      <c r="Z353" s="144"/>
      <c r="AA353" s="144"/>
      <c r="AB353" s="144"/>
      <c r="AC353" s="135"/>
      <c r="AD353" s="129" t="s">
        <v>5459</v>
      </c>
      <c r="AE353" s="129" t="s">
        <v>5459</v>
      </c>
      <c r="AF353" s="130" t="s">
        <v>5459</v>
      </c>
      <c r="AG353" s="129" t="s">
        <v>236</v>
      </c>
      <c r="AH353" s="130" t="s">
        <v>5459</v>
      </c>
      <c r="AI353" s="130" t="s">
        <v>5459</v>
      </c>
    </row>
    <row r="354" spans="1:35" ht="10.5" customHeight="1" x14ac:dyDescent="0.2">
      <c r="A354" s="117" t="s">
        <v>5459</v>
      </c>
      <c r="B354" s="117" t="s">
        <v>5459</v>
      </c>
      <c r="C354" s="128" t="s">
        <v>5459</v>
      </c>
      <c r="D354" s="133" t="s">
        <v>236</v>
      </c>
      <c r="E354" s="138" t="str">
        <f>+INDEX(F354:AB354,1,[3]BOD!$I$2-1)</f>
        <v/>
      </c>
      <c r="F354" s="140" t="s">
        <v>5459</v>
      </c>
      <c r="G354" s="144"/>
      <c r="H354" s="144" t="str">
        <f t="shared" si="5"/>
        <v/>
      </c>
      <c r="I354" s="144" t="str">
        <f t="shared" si="5"/>
        <v/>
      </c>
      <c r="J354" s="144"/>
      <c r="K354" s="144"/>
      <c r="L354" s="144"/>
      <c r="M354" s="144"/>
      <c r="N354" s="144"/>
      <c r="O354" s="144"/>
      <c r="P354" s="144"/>
      <c r="Q354" s="144"/>
      <c r="R354" s="144"/>
      <c r="S354" s="144"/>
      <c r="T354" s="144"/>
      <c r="U354" s="144"/>
      <c r="V354" s="144"/>
      <c r="W354" s="144"/>
      <c r="X354" s="144"/>
      <c r="Y354" s="144"/>
      <c r="Z354" s="144"/>
      <c r="AA354" s="144"/>
      <c r="AB354" s="144"/>
      <c r="AC354" s="135"/>
      <c r="AD354" s="129" t="s">
        <v>6939</v>
      </c>
      <c r="AE354" s="129" t="s">
        <v>2418</v>
      </c>
      <c r="AF354" s="130">
        <v>1</v>
      </c>
      <c r="AG354" s="129" t="s">
        <v>5086</v>
      </c>
      <c r="AH354" s="130">
        <v>272.83</v>
      </c>
      <c r="AI354" s="130">
        <v>272.83</v>
      </c>
    </row>
    <row r="355" spans="1:35" ht="10.5" customHeight="1" x14ac:dyDescent="0.2">
      <c r="A355" s="117" t="s">
        <v>6632</v>
      </c>
      <c r="B355" s="117" t="s">
        <v>2386</v>
      </c>
      <c r="C355" s="128"/>
      <c r="D355" s="133"/>
      <c r="E355" s="138"/>
      <c r="F355" s="140"/>
      <c r="G355" s="144"/>
      <c r="H355" s="144" t="str">
        <f t="shared" si="5"/>
        <v/>
      </c>
      <c r="I355" s="144" t="str">
        <f t="shared" si="5"/>
        <v/>
      </c>
      <c r="J355" s="144"/>
      <c r="K355" s="144"/>
      <c r="L355" s="144"/>
      <c r="M355" s="144"/>
      <c r="N355" s="144"/>
      <c r="O355" s="144"/>
      <c r="P355" s="144"/>
      <c r="Q355" s="144"/>
      <c r="R355" s="144"/>
      <c r="S355" s="144"/>
      <c r="T355" s="144"/>
      <c r="U355" s="144"/>
      <c r="V355" s="144"/>
      <c r="W355" s="144"/>
      <c r="X355" s="144"/>
      <c r="Y355" s="144"/>
      <c r="Z355" s="144"/>
      <c r="AA355" s="144"/>
      <c r="AB355" s="144"/>
      <c r="AC355" s="135"/>
      <c r="AD355" s="129" t="s">
        <v>5459</v>
      </c>
      <c r="AE355" s="129" t="s">
        <v>5459</v>
      </c>
      <c r="AF355" s="130" t="s">
        <v>5459</v>
      </c>
      <c r="AG355" s="129" t="s">
        <v>236</v>
      </c>
      <c r="AH355" s="130" t="s">
        <v>5459</v>
      </c>
      <c r="AI355" s="130" t="s">
        <v>5459</v>
      </c>
    </row>
    <row r="356" spans="1:35" ht="10.5" customHeight="1" x14ac:dyDescent="0.2">
      <c r="A356" s="117" t="s">
        <v>5459</v>
      </c>
      <c r="B356" s="117" t="s">
        <v>5459</v>
      </c>
      <c r="C356" s="128" t="s">
        <v>5459</v>
      </c>
      <c r="D356" s="133" t="s">
        <v>236</v>
      </c>
      <c r="E356" s="138" t="str">
        <f>+INDEX(F356:AB356,1,[3]BOD!$I$2-1)</f>
        <v/>
      </c>
      <c r="F356" s="140" t="s">
        <v>5459</v>
      </c>
      <c r="G356" s="144"/>
      <c r="H356" s="144" t="str">
        <f t="shared" si="5"/>
        <v/>
      </c>
      <c r="I356" s="144" t="str">
        <f t="shared" si="5"/>
        <v/>
      </c>
      <c r="J356" s="144"/>
      <c r="K356" s="144"/>
      <c r="L356" s="144"/>
      <c r="M356" s="144"/>
      <c r="N356" s="144"/>
      <c r="O356" s="144"/>
      <c r="P356" s="144"/>
      <c r="Q356" s="144"/>
      <c r="R356" s="144"/>
      <c r="S356" s="144"/>
      <c r="T356" s="144"/>
      <c r="U356" s="144"/>
      <c r="V356" s="144"/>
      <c r="W356" s="144"/>
      <c r="X356" s="144"/>
      <c r="Y356" s="144"/>
      <c r="Z356" s="144"/>
      <c r="AA356" s="144"/>
      <c r="AB356" s="144"/>
      <c r="AC356" s="135"/>
      <c r="AD356" s="129" t="s">
        <v>6940</v>
      </c>
      <c r="AE356" s="129" t="s">
        <v>2419</v>
      </c>
      <c r="AF356" s="130">
        <v>1</v>
      </c>
      <c r="AG356" s="129" t="s">
        <v>5086</v>
      </c>
      <c r="AH356" s="130">
        <v>305.08</v>
      </c>
      <c r="AI356" s="130">
        <v>305.08</v>
      </c>
    </row>
    <row r="357" spans="1:35" ht="10.5" customHeight="1" x14ac:dyDescent="0.2">
      <c r="A357" s="117" t="s">
        <v>8488</v>
      </c>
      <c r="B357" s="117" t="s">
        <v>2390</v>
      </c>
      <c r="C357" s="128"/>
      <c r="D357" s="133"/>
      <c r="E357" s="138"/>
      <c r="F357" s="140"/>
      <c r="G357" s="144"/>
      <c r="H357" s="144" t="str">
        <f t="shared" si="5"/>
        <v/>
      </c>
      <c r="I357" s="144" t="str">
        <f t="shared" si="5"/>
        <v/>
      </c>
      <c r="J357" s="144"/>
      <c r="K357" s="144"/>
      <c r="L357" s="144"/>
      <c r="M357" s="144"/>
      <c r="N357" s="144"/>
      <c r="O357" s="144"/>
      <c r="P357" s="144"/>
      <c r="Q357" s="144"/>
      <c r="R357" s="144"/>
      <c r="S357" s="144"/>
      <c r="T357" s="144"/>
      <c r="U357" s="144"/>
      <c r="V357" s="144"/>
      <c r="W357" s="144"/>
      <c r="X357" s="144"/>
      <c r="Y357" s="144"/>
      <c r="Z357" s="144"/>
      <c r="AA357" s="144"/>
      <c r="AB357" s="144"/>
      <c r="AC357" s="135"/>
      <c r="AD357" s="129" t="s">
        <v>5459</v>
      </c>
      <c r="AE357" s="129" t="s">
        <v>5459</v>
      </c>
      <c r="AF357" s="130" t="s">
        <v>5459</v>
      </c>
      <c r="AG357" s="129" t="s">
        <v>236</v>
      </c>
      <c r="AH357" s="130" t="s">
        <v>5459</v>
      </c>
      <c r="AI357" s="130" t="s">
        <v>5459</v>
      </c>
    </row>
    <row r="358" spans="1:35" ht="10.5" customHeight="1" x14ac:dyDescent="0.2">
      <c r="A358" s="117" t="s">
        <v>5459</v>
      </c>
      <c r="B358" s="117" t="s">
        <v>5459</v>
      </c>
      <c r="C358" s="128" t="s">
        <v>5459</v>
      </c>
      <c r="D358" s="133" t="s">
        <v>236</v>
      </c>
      <c r="E358" s="138" t="str">
        <f>+INDEX(F358:AB358,1,[3]BOD!$I$2-1)</f>
        <v/>
      </c>
      <c r="F358" s="140" t="s">
        <v>5459</v>
      </c>
      <c r="G358" s="144"/>
      <c r="H358" s="144" t="str">
        <f t="shared" si="5"/>
        <v/>
      </c>
      <c r="I358" s="144" t="str">
        <f t="shared" si="5"/>
        <v/>
      </c>
      <c r="J358" s="144"/>
      <c r="K358" s="144"/>
      <c r="L358" s="144"/>
      <c r="M358" s="144"/>
      <c r="N358" s="144"/>
      <c r="O358" s="144"/>
      <c r="P358" s="144"/>
      <c r="Q358" s="144"/>
      <c r="R358" s="144"/>
      <c r="S358" s="144"/>
      <c r="T358" s="144"/>
      <c r="U358" s="144"/>
      <c r="V358" s="144"/>
      <c r="W358" s="144"/>
      <c r="X358" s="144"/>
      <c r="Y358" s="144"/>
      <c r="Z358" s="144"/>
      <c r="AA358" s="144"/>
      <c r="AB358" s="144"/>
      <c r="AC358" s="135"/>
      <c r="AD358" s="129" t="s">
        <v>6941</v>
      </c>
      <c r="AE358" s="129" t="s">
        <v>2420</v>
      </c>
      <c r="AF358" s="130">
        <v>1</v>
      </c>
      <c r="AG358" s="129" t="s">
        <v>5086</v>
      </c>
      <c r="AH358" s="130">
        <v>250</v>
      </c>
      <c r="AI358" s="130">
        <v>250</v>
      </c>
    </row>
    <row r="359" spans="1:35" ht="10.5" customHeight="1" x14ac:dyDescent="0.2">
      <c r="A359" s="117" t="s">
        <v>8489</v>
      </c>
      <c r="B359" s="117" t="s">
        <v>2391</v>
      </c>
      <c r="C359" s="128">
        <v>1</v>
      </c>
      <c r="D359" s="133" t="s">
        <v>4699</v>
      </c>
      <c r="E359" s="138">
        <f>+INDEX(F359:AB359,1,[3]BOD!$I$2-1)</f>
        <v>750</v>
      </c>
      <c r="F359" s="140">
        <v>750</v>
      </c>
      <c r="G359" s="144"/>
      <c r="H359" s="144">
        <f t="shared" si="5"/>
        <v>3750</v>
      </c>
      <c r="I359" s="144">
        <f t="shared" si="5"/>
        <v>3750</v>
      </c>
      <c r="J359" s="144"/>
      <c r="K359" s="144"/>
      <c r="L359" s="144"/>
      <c r="M359" s="144"/>
      <c r="N359" s="144"/>
      <c r="O359" s="144"/>
      <c r="P359" s="144"/>
      <c r="Q359" s="144"/>
      <c r="R359" s="144"/>
      <c r="S359" s="144"/>
      <c r="T359" s="144"/>
      <c r="U359" s="144"/>
      <c r="V359" s="144"/>
      <c r="W359" s="144"/>
      <c r="X359" s="144"/>
      <c r="Y359" s="144"/>
      <c r="Z359" s="144"/>
      <c r="AA359" s="144"/>
      <c r="AB359" s="144"/>
      <c r="AC359" s="135"/>
      <c r="AD359" s="129" t="s">
        <v>5459</v>
      </c>
      <c r="AE359" s="129" t="s">
        <v>5459</v>
      </c>
      <c r="AF359" s="130" t="s">
        <v>5459</v>
      </c>
      <c r="AG359" s="129" t="s">
        <v>236</v>
      </c>
      <c r="AH359" s="130" t="s">
        <v>5459</v>
      </c>
      <c r="AI359" s="130" t="s">
        <v>5459</v>
      </c>
    </row>
    <row r="360" spans="1:35" ht="10.5" customHeight="1" x14ac:dyDescent="0.2">
      <c r="A360" s="117" t="s">
        <v>5459</v>
      </c>
      <c r="B360" s="117" t="s">
        <v>5459</v>
      </c>
      <c r="C360" s="128" t="s">
        <v>5459</v>
      </c>
      <c r="D360" s="133" t="s">
        <v>236</v>
      </c>
      <c r="E360" s="138" t="str">
        <f>+INDEX(F360:AB360,1,[3]BOD!$I$2-1)</f>
        <v/>
      </c>
      <c r="F360" s="140" t="s">
        <v>5459</v>
      </c>
      <c r="G360" s="144"/>
      <c r="H360" s="144" t="str">
        <f t="shared" si="5"/>
        <v/>
      </c>
      <c r="I360" s="144" t="str">
        <f t="shared" si="5"/>
        <v/>
      </c>
      <c r="J360" s="144"/>
      <c r="K360" s="144"/>
      <c r="L360" s="144"/>
      <c r="M360" s="144"/>
      <c r="N360" s="144"/>
      <c r="O360" s="144"/>
      <c r="P360" s="144"/>
      <c r="Q360" s="144"/>
      <c r="R360" s="144"/>
      <c r="S360" s="144"/>
      <c r="T360" s="144"/>
      <c r="U360" s="144"/>
      <c r="V360" s="144"/>
      <c r="W360" s="144"/>
      <c r="X360" s="144"/>
      <c r="Y360" s="144"/>
      <c r="Z360" s="144"/>
      <c r="AA360" s="144"/>
      <c r="AB360" s="144"/>
      <c r="AC360" s="135"/>
      <c r="AD360" s="129" t="s">
        <v>6942</v>
      </c>
      <c r="AE360" s="129" t="s">
        <v>2421</v>
      </c>
      <c r="AF360" s="130">
        <v>1</v>
      </c>
      <c r="AG360" s="129" t="s">
        <v>5086</v>
      </c>
      <c r="AH360" s="130">
        <v>288.7</v>
      </c>
      <c r="AI360" s="130">
        <v>288.7</v>
      </c>
    </row>
    <row r="361" spans="1:35" ht="10.5" customHeight="1" x14ac:dyDescent="0.2">
      <c r="A361" s="117" t="s">
        <v>8490</v>
      </c>
      <c r="B361" s="117" t="s">
        <v>2392</v>
      </c>
      <c r="C361" s="128"/>
      <c r="D361" s="133"/>
      <c r="E361" s="138"/>
      <c r="F361" s="140"/>
      <c r="G361" s="144"/>
      <c r="H361" s="144" t="str">
        <f t="shared" si="5"/>
        <v/>
      </c>
      <c r="I361" s="144" t="str">
        <f t="shared" si="5"/>
        <v/>
      </c>
      <c r="J361" s="144"/>
      <c r="K361" s="144"/>
      <c r="L361" s="144"/>
      <c r="M361" s="144"/>
      <c r="N361" s="144"/>
      <c r="O361" s="144"/>
      <c r="P361" s="144"/>
      <c r="Q361" s="144"/>
      <c r="R361" s="144"/>
      <c r="S361" s="144"/>
      <c r="T361" s="144"/>
      <c r="U361" s="144"/>
      <c r="V361" s="144"/>
      <c r="W361" s="144"/>
      <c r="X361" s="144"/>
      <c r="Y361" s="144"/>
      <c r="Z361" s="144"/>
      <c r="AA361" s="144"/>
      <c r="AB361" s="144"/>
      <c r="AC361" s="135"/>
      <c r="AD361" s="129" t="s">
        <v>5459</v>
      </c>
      <c r="AE361" s="129" t="s">
        <v>5459</v>
      </c>
      <c r="AF361" s="130" t="s">
        <v>5459</v>
      </c>
      <c r="AG361" s="129" t="s">
        <v>236</v>
      </c>
      <c r="AH361" s="130" t="s">
        <v>5459</v>
      </c>
      <c r="AI361" s="130" t="s">
        <v>5459</v>
      </c>
    </row>
    <row r="362" spans="1:35" ht="10.5" customHeight="1" x14ac:dyDescent="0.2">
      <c r="A362" s="117" t="s">
        <v>5459</v>
      </c>
      <c r="B362" s="117" t="s">
        <v>5459</v>
      </c>
      <c r="C362" s="128" t="s">
        <v>5459</v>
      </c>
      <c r="D362" s="133" t="s">
        <v>236</v>
      </c>
      <c r="E362" s="138" t="str">
        <f>+INDEX(F362:AB362,1,[3]BOD!$I$2-1)</f>
        <v/>
      </c>
      <c r="F362" s="140" t="s">
        <v>5459</v>
      </c>
      <c r="G362" s="144"/>
      <c r="H362" s="144" t="str">
        <f t="shared" si="5"/>
        <v/>
      </c>
      <c r="I362" s="144" t="str">
        <f t="shared" si="5"/>
        <v/>
      </c>
      <c r="J362" s="144"/>
      <c r="K362" s="144"/>
      <c r="L362" s="144"/>
      <c r="M362" s="144"/>
      <c r="N362" s="144"/>
      <c r="O362" s="144"/>
      <c r="P362" s="144"/>
      <c r="Q362" s="144"/>
      <c r="R362" s="144"/>
      <c r="S362" s="144"/>
      <c r="T362" s="144"/>
      <c r="U362" s="144"/>
      <c r="V362" s="144"/>
      <c r="W362" s="144"/>
      <c r="X362" s="144"/>
      <c r="Y362" s="144"/>
      <c r="Z362" s="144"/>
      <c r="AA362" s="144"/>
      <c r="AB362" s="144"/>
      <c r="AC362" s="135"/>
      <c r="AD362" s="129" t="s">
        <v>6943</v>
      </c>
      <c r="AE362" s="129" t="s">
        <v>2422</v>
      </c>
      <c r="AF362" s="130">
        <v>1</v>
      </c>
      <c r="AG362" s="129" t="s">
        <v>5086</v>
      </c>
      <c r="AH362" s="130">
        <v>327.39</v>
      </c>
      <c r="AI362" s="130">
        <v>327.39</v>
      </c>
    </row>
    <row r="363" spans="1:35" ht="10.5" customHeight="1" x14ac:dyDescent="0.2">
      <c r="A363" s="117" t="s">
        <v>8491</v>
      </c>
      <c r="B363" s="117" t="s">
        <v>2393</v>
      </c>
      <c r="C363" s="128">
        <v>1</v>
      </c>
      <c r="D363" s="133" t="s">
        <v>847</v>
      </c>
      <c r="E363" s="138">
        <f>+INDEX(F363:AB363,1,[3]BOD!$I$2-1)</f>
        <v>125.94</v>
      </c>
      <c r="F363" s="140">
        <v>125.94</v>
      </c>
      <c r="G363" s="144"/>
      <c r="H363" s="144">
        <f t="shared" si="5"/>
        <v>629.70000000000005</v>
      </c>
      <c r="I363" s="144">
        <f t="shared" si="5"/>
        <v>629.70000000000005</v>
      </c>
      <c r="J363" s="144"/>
      <c r="K363" s="144"/>
      <c r="L363" s="144"/>
      <c r="M363" s="144"/>
      <c r="N363" s="144"/>
      <c r="O363" s="144"/>
      <c r="P363" s="144"/>
      <c r="Q363" s="144"/>
      <c r="R363" s="144"/>
      <c r="S363" s="144"/>
      <c r="T363" s="144"/>
      <c r="U363" s="144"/>
      <c r="V363" s="144"/>
      <c r="W363" s="144"/>
      <c r="X363" s="144"/>
      <c r="Y363" s="144"/>
      <c r="Z363" s="144"/>
      <c r="AA363" s="144"/>
      <c r="AB363" s="144"/>
      <c r="AC363" s="135"/>
      <c r="AD363" s="129" t="s">
        <v>5459</v>
      </c>
      <c r="AE363" s="129" t="s">
        <v>5459</v>
      </c>
      <c r="AF363" s="130" t="s">
        <v>5459</v>
      </c>
      <c r="AG363" s="129" t="s">
        <v>236</v>
      </c>
      <c r="AH363" s="130" t="s">
        <v>5459</v>
      </c>
      <c r="AI363" s="130" t="s">
        <v>5459</v>
      </c>
    </row>
    <row r="364" spans="1:35" ht="10.5" customHeight="1" x14ac:dyDescent="0.2">
      <c r="A364" s="117" t="s">
        <v>5459</v>
      </c>
      <c r="B364" s="117" t="s">
        <v>2255</v>
      </c>
      <c r="C364" s="128" t="s">
        <v>5459</v>
      </c>
      <c r="D364" s="133" t="s">
        <v>236</v>
      </c>
      <c r="E364" s="138" t="str">
        <f>+INDEX(F364:AB364,1,[3]BOD!$I$2-1)</f>
        <v/>
      </c>
      <c r="F364" s="140" t="s">
        <v>5459</v>
      </c>
      <c r="G364" s="144"/>
      <c r="H364" s="144" t="str">
        <f t="shared" si="5"/>
        <v/>
      </c>
      <c r="I364" s="144" t="str">
        <f t="shared" si="5"/>
        <v/>
      </c>
      <c r="J364" s="144"/>
      <c r="K364" s="144"/>
      <c r="L364" s="144"/>
      <c r="M364" s="144"/>
      <c r="N364" s="144"/>
      <c r="O364" s="144"/>
      <c r="P364" s="144"/>
      <c r="Q364" s="144"/>
      <c r="R364" s="144"/>
      <c r="S364" s="144"/>
      <c r="T364" s="144"/>
      <c r="U364" s="144"/>
      <c r="V364" s="144"/>
      <c r="W364" s="144"/>
      <c r="X364" s="144"/>
      <c r="Y364" s="144"/>
      <c r="Z364" s="144"/>
      <c r="AA364" s="144"/>
      <c r="AB364" s="144"/>
      <c r="AC364" s="135"/>
      <c r="AD364" s="129" t="s">
        <v>6944</v>
      </c>
      <c r="AE364" s="129" t="s">
        <v>2423</v>
      </c>
      <c r="AF364" s="130">
        <v>1</v>
      </c>
      <c r="AG364" s="129" t="s">
        <v>5086</v>
      </c>
      <c r="AH364" s="130">
        <v>366.11</v>
      </c>
      <c r="AI364" s="130">
        <v>366.11</v>
      </c>
    </row>
    <row r="365" spans="1:35" ht="10.5" customHeight="1" x14ac:dyDescent="0.2">
      <c r="A365" s="115" t="s">
        <v>1195</v>
      </c>
      <c r="B365" s="117" t="s">
        <v>2387</v>
      </c>
      <c r="C365" s="128">
        <v>1</v>
      </c>
      <c r="D365" s="133" t="s">
        <v>1196</v>
      </c>
      <c r="E365" s="138">
        <f>+INDEX(F365:AB365,1,[3]BOD!$I$2-1)</f>
        <v>120</v>
      </c>
      <c r="F365" s="140">
        <v>120</v>
      </c>
      <c r="G365" s="144"/>
      <c r="H365" s="144">
        <f t="shared" si="5"/>
        <v>600</v>
      </c>
      <c r="I365" s="144">
        <f t="shared" si="5"/>
        <v>600</v>
      </c>
      <c r="J365" s="144"/>
      <c r="K365" s="144"/>
      <c r="L365" s="144"/>
      <c r="M365" s="144"/>
      <c r="N365" s="144"/>
      <c r="O365" s="144"/>
      <c r="P365" s="144"/>
      <c r="Q365" s="144"/>
      <c r="R365" s="144"/>
      <c r="S365" s="144"/>
      <c r="T365" s="144"/>
      <c r="U365" s="144"/>
      <c r="V365" s="144"/>
      <c r="W365" s="144"/>
      <c r="X365" s="144"/>
      <c r="Y365" s="144"/>
      <c r="Z365" s="144"/>
      <c r="AA365" s="144"/>
      <c r="AB365" s="144"/>
      <c r="AC365" s="135"/>
      <c r="AD365" s="129" t="s">
        <v>5459</v>
      </c>
      <c r="AE365" s="129" t="s">
        <v>5459</v>
      </c>
      <c r="AF365" s="130" t="s">
        <v>5459</v>
      </c>
      <c r="AG365" s="129" t="s">
        <v>236</v>
      </c>
      <c r="AH365" s="130" t="s">
        <v>5459</v>
      </c>
      <c r="AI365" s="130" t="s">
        <v>5459</v>
      </c>
    </row>
    <row r="366" spans="1:35" ht="10.5" customHeight="1" x14ac:dyDescent="0.2">
      <c r="A366" s="117" t="s">
        <v>5459</v>
      </c>
      <c r="B366" s="117" t="s">
        <v>5459</v>
      </c>
      <c r="C366" s="128" t="s">
        <v>5459</v>
      </c>
      <c r="D366" s="133" t="s">
        <v>236</v>
      </c>
      <c r="E366" s="138" t="str">
        <f>+INDEX(F366:AB366,1,[3]BOD!$I$2-1)</f>
        <v/>
      </c>
      <c r="F366" s="140" t="s">
        <v>5459</v>
      </c>
      <c r="G366" s="144"/>
      <c r="H366" s="144" t="str">
        <f t="shared" si="5"/>
        <v/>
      </c>
      <c r="I366" s="144" t="str">
        <f t="shared" si="5"/>
        <v/>
      </c>
      <c r="J366" s="144"/>
      <c r="K366" s="144"/>
      <c r="L366" s="144"/>
      <c r="M366" s="144"/>
      <c r="N366" s="144"/>
      <c r="O366" s="144"/>
      <c r="P366" s="144"/>
      <c r="Q366" s="144"/>
      <c r="R366" s="144"/>
      <c r="S366" s="144"/>
      <c r="T366" s="144"/>
      <c r="U366" s="144"/>
      <c r="V366" s="144"/>
      <c r="W366" s="144"/>
      <c r="X366" s="144"/>
      <c r="Y366" s="144"/>
      <c r="Z366" s="144"/>
      <c r="AA366" s="144"/>
      <c r="AB366" s="144"/>
      <c r="AC366" s="135"/>
      <c r="AD366" s="129" t="s">
        <v>6945</v>
      </c>
      <c r="AE366" s="129" t="s">
        <v>2424</v>
      </c>
      <c r="AF366" s="130">
        <v>1</v>
      </c>
      <c r="AG366" s="129" t="s">
        <v>5086</v>
      </c>
      <c r="AH366" s="130">
        <v>312.49</v>
      </c>
      <c r="AI366" s="130">
        <v>312.49</v>
      </c>
    </row>
    <row r="367" spans="1:35" ht="10.5" customHeight="1" x14ac:dyDescent="0.2">
      <c r="A367" s="117" t="s">
        <v>8492</v>
      </c>
      <c r="B367" s="117" t="s">
        <v>2394</v>
      </c>
      <c r="C367" s="128"/>
      <c r="D367" s="133"/>
      <c r="E367" s="138"/>
      <c r="F367" s="140"/>
      <c r="G367" s="144"/>
      <c r="H367" s="144" t="str">
        <f t="shared" si="5"/>
        <v/>
      </c>
      <c r="I367" s="144" t="str">
        <f t="shared" si="5"/>
        <v/>
      </c>
      <c r="J367" s="144"/>
      <c r="K367" s="144"/>
      <c r="L367" s="144"/>
      <c r="M367" s="144"/>
      <c r="N367" s="144"/>
      <c r="O367" s="144"/>
      <c r="P367" s="144"/>
      <c r="Q367" s="144"/>
      <c r="R367" s="144"/>
      <c r="S367" s="144"/>
      <c r="T367" s="144"/>
      <c r="U367" s="144"/>
      <c r="V367" s="144"/>
      <c r="W367" s="144"/>
      <c r="X367" s="144"/>
      <c r="Y367" s="144"/>
      <c r="Z367" s="144"/>
      <c r="AA367" s="144"/>
      <c r="AB367" s="144"/>
      <c r="AC367" s="135"/>
      <c r="AD367" s="129" t="s">
        <v>5459</v>
      </c>
      <c r="AE367" s="129" t="s">
        <v>5459</v>
      </c>
      <c r="AF367" s="130" t="s">
        <v>5459</v>
      </c>
      <c r="AG367" s="129" t="s">
        <v>236</v>
      </c>
      <c r="AH367" s="130" t="s">
        <v>5459</v>
      </c>
      <c r="AI367" s="130" t="s">
        <v>5459</v>
      </c>
    </row>
    <row r="368" spans="1:35" ht="10.5" customHeight="1" x14ac:dyDescent="0.2">
      <c r="A368" s="117" t="s">
        <v>5459</v>
      </c>
      <c r="B368" s="117" t="s">
        <v>5459</v>
      </c>
      <c r="C368" s="128"/>
      <c r="D368" s="133"/>
      <c r="E368" s="138"/>
      <c r="F368" s="140"/>
      <c r="G368" s="144"/>
      <c r="H368" s="144" t="str">
        <f t="shared" si="5"/>
        <v/>
      </c>
      <c r="I368" s="144" t="str">
        <f t="shared" si="5"/>
        <v/>
      </c>
      <c r="J368" s="144"/>
      <c r="K368" s="144"/>
      <c r="L368" s="144"/>
      <c r="M368" s="144"/>
      <c r="N368" s="144"/>
      <c r="O368" s="144"/>
      <c r="P368" s="144"/>
      <c r="Q368" s="144"/>
      <c r="R368" s="144"/>
      <c r="S368" s="144"/>
      <c r="T368" s="144"/>
      <c r="U368" s="144"/>
      <c r="V368" s="144"/>
      <c r="W368" s="144"/>
      <c r="X368" s="144"/>
      <c r="Y368" s="144"/>
      <c r="Z368" s="144"/>
      <c r="AA368" s="144"/>
      <c r="AB368" s="144"/>
      <c r="AC368" s="135"/>
      <c r="AD368" s="129" t="s">
        <v>6946</v>
      </c>
      <c r="AE368" s="129" t="s">
        <v>2425</v>
      </c>
      <c r="AF368" s="130">
        <v>1</v>
      </c>
      <c r="AG368" s="129" t="s">
        <v>5086</v>
      </c>
      <c r="AH368" s="130">
        <v>360.88</v>
      </c>
      <c r="AI368" s="130">
        <v>360.88</v>
      </c>
    </row>
    <row r="369" spans="1:35" ht="10.5" customHeight="1" x14ac:dyDescent="0.2">
      <c r="A369" s="117" t="s">
        <v>8493</v>
      </c>
      <c r="B369" s="117" t="s">
        <v>2396</v>
      </c>
      <c r="C369" s="128"/>
      <c r="D369" s="133"/>
      <c r="E369" s="138"/>
      <c r="F369" s="140"/>
      <c r="G369" s="144"/>
      <c r="H369" s="144" t="str">
        <f t="shared" si="5"/>
        <v/>
      </c>
      <c r="I369" s="144" t="str">
        <f t="shared" si="5"/>
        <v/>
      </c>
      <c r="J369" s="144"/>
      <c r="K369" s="144"/>
      <c r="L369" s="144"/>
      <c r="M369" s="144"/>
      <c r="N369" s="144"/>
      <c r="O369" s="144"/>
      <c r="P369" s="144"/>
      <c r="Q369" s="144"/>
      <c r="R369" s="144"/>
      <c r="S369" s="144"/>
      <c r="T369" s="144"/>
      <c r="U369" s="144"/>
      <c r="V369" s="144"/>
      <c r="W369" s="144"/>
      <c r="X369" s="144"/>
      <c r="Y369" s="144"/>
      <c r="Z369" s="144"/>
      <c r="AA369" s="144"/>
      <c r="AB369" s="144"/>
      <c r="AC369" s="135"/>
      <c r="AD369" s="129" t="s">
        <v>5459</v>
      </c>
      <c r="AE369" s="129" t="s">
        <v>5459</v>
      </c>
      <c r="AF369" s="130" t="s">
        <v>5459</v>
      </c>
      <c r="AG369" s="129" t="s">
        <v>236</v>
      </c>
      <c r="AH369" s="130" t="s">
        <v>5459</v>
      </c>
      <c r="AI369" s="130" t="s">
        <v>5459</v>
      </c>
    </row>
    <row r="370" spans="1:35" ht="10.5" customHeight="1" x14ac:dyDescent="0.2">
      <c r="A370" s="117" t="s">
        <v>5459</v>
      </c>
      <c r="B370" s="117" t="s">
        <v>5459</v>
      </c>
      <c r="C370" s="128" t="s">
        <v>5459</v>
      </c>
      <c r="D370" s="133" t="s">
        <v>236</v>
      </c>
      <c r="E370" s="138" t="str">
        <f>+INDEX(F370:AB370,1,[3]BOD!$I$2-1)</f>
        <v/>
      </c>
      <c r="F370" s="140" t="s">
        <v>5459</v>
      </c>
      <c r="G370" s="144"/>
      <c r="H370" s="144" t="str">
        <f t="shared" si="5"/>
        <v/>
      </c>
      <c r="I370" s="144" t="str">
        <f t="shared" si="5"/>
        <v/>
      </c>
      <c r="J370" s="144"/>
      <c r="K370" s="144"/>
      <c r="L370" s="144"/>
      <c r="M370" s="144"/>
      <c r="N370" s="144"/>
      <c r="O370" s="144"/>
      <c r="P370" s="144"/>
      <c r="Q370" s="144"/>
      <c r="R370" s="144"/>
      <c r="S370" s="144"/>
      <c r="T370" s="144"/>
      <c r="U370" s="144"/>
      <c r="V370" s="144"/>
      <c r="W370" s="144"/>
      <c r="X370" s="144"/>
      <c r="Y370" s="144"/>
      <c r="Z370" s="144"/>
      <c r="AA370" s="144"/>
      <c r="AB370" s="144"/>
      <c r="AC370" s="135"/>
      <c r="AD370" s="129" t="s">
        <v>6947</v>
      </c>
      <c r="AE370" s="129" t="s">
        <v>2426</v>
      </c>
      <c r="AF370" s="130">
        <v>1</v>
      </c>
      <c r="AG370" s="129" t="s">
        <v>5086</v>
      </c>
      <c r="AH370" s="130">
        <v>409.25</v>
      </c>
      <c r="AI370" s="130">
        <v>409.25</v>
      </c>
    </row>
    <row r="371" spans="1:35" ht="10.5" customHeight="1" x14ac:dyDescent="0.2">
      <c r="A371" s="115" t="s">
        <v>8494</v>
      </c>
      <c r="B371" s="117" t="s">
        <v>2407</v>
      </c>
      <c r="C371" s="128">
        <v>1</v>
      </c>
      <c r="D371" s="133" t="s">
        <v>7256</v>
      </c>
      <c r="E371" s="138">
        <f>+INDEX(F371:AB371,1,[3]BOD!$I$2-1)</f>
        <v>85.63</v>
      </c>
      <c r="F371" s="140">
        <v>85.63</v>
      </c>
      <c r="G371" s="144">
        <v>-2.6</v>
      </c>
      <c r="H371" s="144">
        <f t="shared" si="5"/>
        <v>428.15</v>
      </c>
      <c r="I371" s="144">
        <f t="shared" si="5"/>
        <v>428.15</v>
      </c>
      <c r="J371" s="144">
        <v>0.4</v>
      </c>
      <c r="K371" s="144"/>
      <c r="L371" s="144"/>
      <c r="M371" s="144"/>
      <c r="N371" s="144"/>
      <c r="O371" s="144"/>
      <c r="P371" s="144"/>
      <c r="Q371" s="144"/>
      <c r="R371" s="144"/>
      <c r="S371" s="144"/>
      <c r="T371" s="144"/>
      <c r="U371" s="144"/>
      <c r="V371" s="144"/>
      <c r="W371" s="144"/>
      <c r="X371" s="144"/>
      <c r="Y371" s="144"/>
      <c r="Z371" s="144"/>
      <c r="AA371" s="144"/>
      <c r="AB371" s="144"/>
      <c r="AC371" s="135"/>
      <c r="AD371" s="129" t="s">
        <v>5459</v>
      </c>
      <c r="AE371" s="129" t="s">
        <v>5459</v>
      </c>
      <c r="AF371" s="130" t="s">
        <v>5459</v>
      </c>
      <c r="AG371" s="129" t="s">
        <v>236</v>
      </c>
      <c r="AH371" s="130" t="s">
        <v>5459</v>
      </c>
      <c r="AI371" s="130" t="s">
        <v>5459</v>
      </c>
    </row>
    <row r="372" spans="1:35" ht="10.5" customHeight="1" x14ac:dyDescent="0.2">
      <c r="A372" s="117" t="s">
        <v>5459</v>
      </c>
      <c r="B372" s="117" t="s">
        <v>2287</v>
      </c>
      <c r="C372" s="128" t="s">
        <v>5459</v>
      </c>
      <c r="D372" s="133" t="s">
        <v>236</v>
      </c>
      <c r="E372" s="138" t="str">
        <f>+INDEX(F372:AB372,1,[3]BOD!$I$2-1)</f>
        <v/>
      </c>
      <c r="F372" s="140" t="s">
        <v>5459</v>
      </c>
      <c r="G372" s="144"/>
      <c r="H372" s="144" t="str">
        <f t="shared" si="5"/>
        <v/>
      </c>
      <c r="I372" s="144" t="str">
        <f t="shared" si="5"/>
        <v/>
      </c>
      <c r="J372" s="144"/>
      <c r="K372" s="144"/>
      <c r="L372" s="144"/>
      <c r="M372" s="144"/>
      <c r="N372" s="144"/>
      <c r="O372" s="144"/>
      <c r="P372" s="144"/>
      <c r="Q372" s="144"/>
      <c r="R372" s="144"/>
      <c r="S372" s="144"/>
      <c r="T372" s="144"/>
      <c r="U372" s="144"/>
      <c r="V372" s="144"/>
      <c r="W372" s="144"/>
      <c r="X372" s="144"/>
      <c r="Y372" s="144"/>
      <c r="Z372" s="144"/>
      <c r="AA372" s="144"/>
      <c r="AB372" s="144"/>
      <c r="AC372" s="135"/>
      <c r="AD372" s="129" t="s">
        <v>6948</v>
      </c>
      <c r="AE372" s="129" t="s">
        <v>2427</v>
      </c>
      <c r="AF372" s="130">
        <v>1</v>
      </c>
      <c r="AG372" s="129" t="s">
        <v>5086</v>
      </c>
      <c r="AH372" s="130">
        <v>457.64</v>
      </c>
      <c r="AI372" s="130">
        <v>457.64</v>
      </c>
    </row>
    <row r="373" spans="1:35" ht="10.5" customHeight="1" x14ac:dyDescent="0.2">
      <c r="A373" s="117" t="s">
        <v>8495</v>
      </c>
      <c r="B373" s="117" t="s">
        <v>2408</v>
      </c>
      <c r="C373" s="128">
        <v>1</v>
      </c>
      <c r="D373" s="133" t="s">
        <v>7256</v>
      </c>
      <c r="E373" s="138">
        <f>+INDEX(F373:AB373,1,[3]BOD!$I$2-1)</f>
        <v>89</v>
      </c>
      <c r="F373" s="140">
        <v>89</v>
      </c>
      <c r="G373" s="144">
        <v>-2.4</v>
      </c>
      <c r="H373" s="144">
        <f t="shared" si="5"/>
        <v>445</v>
      </c>
      <c r="I373" s="144">
        <f t="shared" si="5"/>
        <v>445</v>
      </c>
      <c r="J373" s="144">
        <v>0.6</v>
      </c>
      <c r="K373" s="144"/>
      <c r="L373" s="144"/>
      <c r="M373" s="144"/>
      <c r="N373" s="144"/>
      <c r="O373" s="144"/>
      <c r="P373" s="144"/>
      <c r="Q373" s="144"/>
      <c r="R373" s="144"/>
      <c r="S373" s="144"/>
      <c r="T373" s="144"/>
      <c r="U373" s="144"/>
      <c r="V373" s="144"/>
      <c r="W373" s="144"/>
      <c r="X373" s="144"/>
      <c r="Y373" s="144"/>
      <c r="Z373" s="144"/>
      <c r="AA373" s="144"/>
      <c r="AB373" s="144"/>
      <c r="AC373" s="135"/>
      <c r="AD373" s="129" t="s">
        <v>5459</v>
      </c>
      <c r="AE373" s="129" t="s">
        <v>5459</v>
      </c>
      <c r="AF373" s="130" t="s">
        <v>5459</v>
      </c>
      <c r="AG373" s="129" t="s">
        <v>236</v>
      </c>
      <c r="AH373" s="130" t="s">
        <v>5459</v>
      </c>
      <c r="AI373" s="130" t="s">
        <v>5459</v>
      </c>
    </row>
    <row r="374" spans="1:35" ht="10.5" customHeight="1" x14ac:dyDescent="0.2">
      <c r="A374" s="117" t="s">
        <v>5459</v>
      </c>
      <c r="B374" s="117" t="s">
        <v>2287</v>
      </c>
      <c r="C374" s="128" t="s">
        <v>5459</v>
      </c>
      <c r="D374" s="133" t="s">
        <v>236</v>
      </c>
      <c r="E374" s="138" t="str">
        <f>+INDEX(F374:AB374,1,[3]BOD!$I$2-1)</f>
        <v/>
      </c>
      <c r="F374" s="140" t="s">
        <v>5459</v>
      </c>
      <c r="G374" s="144"/>
      <c r="H374" s="144" t="str">
        <f t="shared" si="5"/>
        <v/>
      </c>
      <c r="I374" s="144" t="str">
        <f t="shared" si="5"/>
        <v/>
      </c>
      <c r="J374" s="144"/>
      <c r="K374" s="144"/>
      <c r="L374" s="144"/>
      <c r="M374" s="144"/>
      <c r="N374" s="144"/>
      <c r="O374" s="144"/>
      <c r="P374" s="144"/>
      <c r="Q374" s="144"/>
      <c r="R374" s="144"/>
      <c r="S374" s="144"/>
      <c r="T374" s="144"/>
      <c r="U374" s="144"/>
      <c r="V374" s="144"/>
      <c r="W374" s="144"/>
      <c r="X374" s="144"/>
      <c r="Y374" s="144"/>
      <c r="Z374" s="144"/>
      <c r="AA374" s="144"/>
      <c r="AB374" s="144"/>
      <c r="AC374" s="135"/>
      <c r="AD374" s="129" t="s">
        <v>6949</v>
      </c>
      <c r="AE374" s="129" t="s">
        <v>2428</v>
      </c>
      <c r="AF374" s="130">
        <v>0</v>
      </c>
      <c r="AG374" s="129" t="s">
        <v>236</v>
      </c>
      <c r="AH374" s="130">
        <v>715.4</v>
      </c>
      <c r="AI374" s="130">
        <v>0</v>
      </c>
    </row>
    <row r="375" spans="1:35" ht="10.5" customHeight="1" x14ac:dyDescent="0.2">
      <c r="A375" s="117" t="s">
        <v>8496</v>
      </c>
      <c r="B375" s="117" t="s">
        <v>2409</v>
      </c>
      <c r="C375" s="128">
        <v>1</v>
      </c>
      <c r="D375" s="133" t="s">
        <v>7256</v>
      </c>
      <c r="E375" s="138">
        <f>+INDEX(F375:AB375,1,[3]BOD!$I$2-1)</f>
        <v>92.37</v>
      </c>
      <c r="F375" s="140">
        <v>92.37</v>
      </c>
      <c r="G375" s="144">
        <v>-2.2000000000000002</v>
      </c>
      <c r="H375" s="144">
        <f t="shared" si="5"/>
        <v>461.85</v>
      </c>
      <c r="I375" s="144">
        <f t="shared" si="5"/>
        <v>461.85</v>
      </c>
      <c r="J375" s="144">
        <v>0.8</v>
      </c>
      <c r="K375" s="144"/>
      <c r="L375" s="144"/>
      <c r="M375" s="144"/>
      <c r="N375" s="144"/>
      <c r="O375" s="144"/>
      <c r="P375" s="144"/>
      <c r="Q375" s="144"/>
      <c r="R375" s="144"/>
      <c r="S375" s="144"/>
      <c r="T375" s="144"/>
      <c r="U375" s="144"/>
      <c r="V375" s="144"/>
      <c r="W375" s="144"/>
      <c r="X375" s="144"/>
      <c r="Y375" s="144"/>
      <c r="Z375" s="144"/>
      <c r="AA375" s="144"/>
      <c r="AB375" s="144"/>
      <c r="AC375" s="135"/>
      <c r="AD375" s="129" t="s">
        <v>5459</v>
      </c>
      <c r="AE375" s="129" t="s">
        <v>5459</v>
      </c>
      <c r="AF375" s="130" t="s">
        <v>5459</v>
      </c>
      <c r="AG375" s="129" t="s">
        <v>236</v>
      </c>
      <c r="AH375" s="130" t="s">
        <v>5459</v>
      </c>
      <c r="AI375" s="130" t="s">
        <v>5459</v>
      </c>
    </row>
    <row r="376" spans="1:35" ht="10.5" customHeight="1" x14ac:dyDescent="0.2">
      <c r="A376" s="117" t="s">
        <v>5459</v>
      </c>
      <c r="B376" s="117" t="s">
        <v>2287</v>
      </c>
      <c r="C376" s="128" t="s">
        <v>5459</v>
      </c>
      <c r="D376" s="133" t="s">
        <v>236</v>
      </c>
      <c r="E376" s="138" t="str">
        <f>+INDEX(F376:AB376,1,[3]BOD!$I$2-1)</f>
        <v/>
      </c>
      <c r="F376" s="140" t="s">
        <v>5459</v>
      </c>
      <c r="G376" s="144"/>
      <c r="H376" s="144" t="str">
        <f t="shared" si="5"/>
        <v/>
      </c>
      <c r="I376" s="144" t="str">
        <f t="shared" si="5"/>
        <v/>
      </c>
      <c r="J376" s="144"/>
      <c r="K376" s="144"/>
      <c r="L376" s="144"/>
      <c r="M376" s="144"/>
      <c r="N376" s="144"/>
      <c r="O376" s="144"/>
      <c r="P376" s="144"/>
      <c r="Q376" s="144"/>
      <c r="R376" s="144"/>
      <c r="S376" s="144"/>
      <c r="T376" s="144"/>
      <c r="U376" s="144"/>
      <c r="V376" s="144"/>
      <c r="W376" s="144"/>
      <c r="X376" s="144"/>
      <c r="Y376" s="144"/>
      <c r="Z376" s="144"/>
      <c r="AA376" s="144"/>
      <c r="AB376" s="144"/>
      <c r="AC376" s="135"/>
      <c r="AD376" s="129" t="s">
        <v>6950</v>
      </c>
      <c r="AE376" s="129" t="s">
        <v>2256</v>
      </c>
      <c r="AF376" s="130">
        <v>0</v>
      </c>
      <c r="AG376" s="129" t="s">
        <v>236</v>
      </c>
      <c r="AH376" s="130">
        <v>152.12</v>
      </c>
      <c r="AI376" s="130">
        <v>0</v>
      </c>
    </row>
    <row r="377" spans="1:35" ht="10.5" customHeight="1" x14ac:dyDescent="0.2">
      <c r="A377" s="117" t="s">
        <v>8497</v>
      </c>
      <c r="B377" s="117" t="s">
        <v>2410</v>
      </c>
      <c r="C377" s="128">
        <v>1</v>
      </c>
      <c r="D377" s="133" t="s">
        <v>7256</v>
      </c>
      <c r="E377" s="138">
        <f>+INDEX(F377:AB377,1,[3]BOD!$I$2-1)</f>
        <v>121.68</v>
      </c>
      <c r="F377" s="140">
        <v>121.68</v>
      </c>
      <c r="G377" s="144">
        <v>-2</v>
      </c>
      <c r="H377" s="144">
        <f t="shared" si="5"/>
        <v>608.40000000000009</v>
      </c>
      <c r="I377" s="144">
        <f t="shared" si="5"/>
        <v>608.40000000000009</v>
      </c>
      <c r="J377" s="144">
        <v>1</v>
      </c>
      <c r="K377" s="144"/>
      <c r="L377" s="144"/>
      <c r="M377" s="144"/>
      <c r="N377" s="144"/>
      <c r="O377" s="144"/>
      <c r="P377" s="144"/>
      <c r="Q377" s="144"/>
      <c r="R377" s="144"/>
      <c r="S377" s="144"/>
      <c r="T377" s="144"/>
      <c r="U377" s="144"/>
      <c r="V377" s="144"/>
      <c r="W377" s="144"/>
      <c r="X377" s="144"/>
      <c r="Y377" s="144"/>
      <c r="Z377" s="144"/>
      <c r="AA377" s="144"/>
      <c r="AB377" s="144"/>
      <c r="AC377" s="135"/>
      <c r="AD377" s="129" t="s">
        <v>5459</v>
      </c>
      <c r="AE377" s="129" t="s">
        <v>5459</v>
      </c>
      <c r="AF377" s="130" t="s">
        <v>5459</v>
      </c>
      <c r="AG377" s="129" t="s">
        <v>236</v>
      </c>
      <c r="AH377" s="130" t="s">
        <v>5459</v>
      </c>
      <c r="AI377" s="130" t="s">
        <v>5459</v>
      </c>
    </row>
    <row r="378" spans="1:35" ht="10.5" customHeight="1" x14ac:dyDescent="0.2">
      <c r="A378" s="117" t="s">
        <v>5459</v>
      </c>
      <c r="B378" s="117" t="s">
        <v>2287</v>
      </c>
      <c r="C378" s="128" t="s">
        <v>5459</v>
      </c>
      <c r="D378" s="133" t="s">
        <v>236</v>
      </c>
      <c r="E378" s="138" t="str">
        <f>+INDEX(F378:AB378,1,[3]BOD!$I$2-1)</f>
        <v/>
      </c>
      <c r="F378" s="140" t="s">
        <v>5459</v>
      </c>
      <c r="G378" s="144"/>
      <c r="H378" s="144" t="str">
        <f t="shared" si="5"/>
        <v/>
      </c>
      <c r="I378" s="144" t="str">
        <f t="shared" si="5"/>
        <v/>
      </c>
      <c r="J378" s="144"/>
      <c r="K378" s="144"/>
      <c r="L378" s="144"/>
      <c r="M378" s="144"/>
      <c r="N378" s="144"/>
      <c r="O378" s="144"/>
      <c r="P378" s="144"/>
      <c r="Q378" s="144"/>
      <c r="R378" s="144"/>
      <c r="S378" s="144"/>
      <c r="T378" s="144"/>
      <c r="U378" s="144"/>
      <c r="V378" s="144"/>
      <c r="W378" s="144"/>
      <c r="X378" s="144"/>
      <c r="Y378" s="144"/>
      <c r="Z378" s="144"/>
      <c r="AA378" s="144"/>
      <c r="AB378" s="144"/>
      <c r="AC378" s="135"/>
      <c r="AD378" s="129" t="s">
        <v>6951</v>
      </c>
      <c r="AE378" s="129" t="s">
        <v>2290</v>
      </c>
      <c r="AF378" s="130">
        <v>1</v>
      </c>
      <c r="AG378" s="129" t="s">
        <v>7256</v>
      </c>
      <c r="AH378" s="130">
        <v>152.12</v>
      </c>
      <c r="AI378" s="130">
        <v>152.12</v>
      </c>
    </row>
    <row r="379" spans="1:35" ht="10.5" customHeight="1" x14ac:dyDescent="0.2">
      <c r="A379" s="117" t="s">
        <v>7056</v>
      </c>
      <c r="B379" s="117" t="s">
        <v>2411</v>
      </c>
      <c r="C379" s="128">
        <v>1</v>
      </c>
      <c r="D379" s="133" t="s">
        <v>7256</v>
      </c>
      <c r="E379" s="138">
        <f>+INDEX(F379:AB379,1,[3]BOD!$I$2-1)</f>
        <v>163.99</v>
      </c>
      <c r="F379" s="140">
        <v>163.99</v>
      </c>
      <c r="G379" s="144">
        <v>-1.8</v>
      </c>
      <c r="H379" s="144">
        <f t="shared" si="5"/>
        <v>819.95</v>
      </c>
      <c r="I379" s="144">
        <f t="shared" si="5"/>
        <v>819.95</v>
      </c>
      <c r="J379" s="144">
        <v>1.2</v>
      </c>
      <c r="K379" s="144"/>
      <c r="L379" s="144"/>
      <c r="M379" s="144"/>
      <c r="N379" s="144"/>
      <c r="O379" s="144"/>
      <c r="P379" s="144"/>
      <c r="Q379" s="144"/>
      <c r="R379" s="144"/>
      <c r="S379" s="144"/>
      <c r="T379" s="144"/>
      <c r="U379" s="144"/>
      <c r="V379" s="144"/>
      <c r="W379" s="144"/>
      <c r="X379" s="144"/>
      <c r="Y379" s="144"/>
      <c r="Z379" s="144"/>
      <c r="AA379" s="144"/>
      <c r="AB379" s="144"/>
      <c r="AC379" s="135"/>
      <c r="AD379" s="129" t="s">
        <v>5459</v>
      </c>
      <c r="AE379" s="129" t="s">
        <v>5459</v>
      </c>
      <c r="AF379" s="130" t="s">
        <v>5459</v>
      </c>
      <c r="AG379" s="129" t="s">
        <v>236</v>
      </c>
      <c r="AH379" s="130" t="s">
        <v>5459</v>
      </c>
      <c r="AI379" s="130" t="s">
        <v>5459</v>
      </c>
    </row>
    <row r="380" spans="1:35" ht="10.5" customHeight="1" x14ac:dyDescent="0.2">
      <c r="A380" s="117" t="s">
        <v>5459</v>
      </c>
      <c r="B380" s="117" t="s">
        <v>2287</v>
      </c>
      <c r="C380" s="128" t="s">
        <v>5459</v>
      </c>
      <c r="D380" s="133" t="s">
        <v>236</v>
      </c>
      <c r="E380" s="138" t="str">
        <f>+INDEX(F380:AB380,1,[3]BOD!$I$2-1)</f>
        <v/>
      </c>
      <c r="F380" s="140" t="s">
        <v>5459</v>
      </c>
      <c r="G380" s="144"/>
      <c r="H380" s="144" t="str">
        <f t="shared" si="5"/>
        <v/>
      </c>
      <c r="I380" s="144" t="str">
        <f t="shared" si="5"/>
        <v/>
      </c>
      <c r="J380" s="144"/>
      <c r="K380" s="144"/>
      <c r="L380" s="144"/>
      <c r="M380" s="144"/>
      <c r="N380" s="144"/>
      <c r="O380" s="144"/>
      <c r="P380" s="144"/>
      <c r="Q380" s="144"/>
      <c r="R380" s="144"/>
      <c r="S380" s="144"/>
      <c r="T380" s="144"/>
      <c r="U380" s="144"/>
      <c r="V380" s="144"/>
      <c r="W380" s="144"/>
      <c r="X380" s="144"/>
      <c r="Y380" s="144"/>
      <c r="Z380" s="144"/>
      <c r="AA380" s="144"/>
      <c r="AB380" s="144"/>
      <c r="AC380" s="135"/>
      <c r="AD380" s="129" t="s">
        <v>5529</v>
      </c>
      <c r="AE380" s="129" t="s">
        <v>5530</v>
      </c>
      <c r="AF380" s="130">
        <v>0</v>
      </c>
      <c r="AG380" s="129" t="s">
        <v>236</v>
      </c>
      <c r="AH380" s="130">
        <v>263.27999999999997</v>
      </c>
      <c r="AI380" s="130">
        <v>0</v>
      </c>
    </row>
    <row r="381" spans="1:35" ht="10.5" customHeight="1" x14ac:dyDescent="0.2">
      <c r="A381" s="117" t="s">
        <v>7057</v>
      </c>
      <c r="B381" s="117" t="s">
        <v>2397</v>
      </c>
      <c r="C381" s="128">
        <v>1</v>
      </c>
      <c r="D381" s="133" t="s">
        <v>7256</v>
      </c>
      <c r="E381" s="138">
        <f>+INDEX(F381:AB381,1,[3]BOD!$I$2-1)</f>
        <v>100.63</v>
      </c>
      <c r="F381" s="140">
        <v>100.63</v>
      </c>
      <c r="G381" s="144">
        <v>-2.6</v>
      </c>
      <c r="H381" s="144">
        <f t="shared" si="5"/>
        <v>503.15</v>
      </c>
      <c r="I381" s="144">
        <f t="shared" si="5"/>
        <v>503.15</v>
      </c>
      <c r="J381" s="144">
        <v>0.4</v>
      </c>
      <c r="K381" s="144"/>
      <c r="L381" s="144"/>
      <c r="M381" s="144"/>
      <c r="N381" s="144"/>
      <c r="O381" s="144"/>
      <c r="P381" s="144"/>
      <c r="Q381" s="144"/>
      <c r="R381" s="144"/>
      <c r="S381" s="144"/>
      <c r="T381" s="144"/>
      <c r="U381" s="144"/>
      <c r="V381" s="144"/>
      <c r="W381" s="144"/>
      <c r="X381" s="144"/>
      <c r="Y381" s="144"/>
      <c r="Z381" s="144"/>
      <c r="AA381" s="144"/>
      <c r="AB381" s="144"/>
      <c r="AC381" s="135"/>
      <c r="AD381" s="129" t="s">
        <v>5459</v>
      </c>
      <c r="AE381" s="129" t="s">
        <v>5459</v>
      </c>
      <c r="AF381" s="130" t="s">
        <v>5459</v>
      </c>
      <c r="AG381" s="129" t="s">
        <v>236</v>
      </c>
      <c r="AH381" s="130" t="s">
        <v>5459</v>
      </c>
      <c r="AI381" s="130" t="s">
        <v>5459</v>
      </c>
    </row>
    <row r="382" spans="1:35" ht="10.5" customHeight="1" x14ac:dyDescent="0.2">
      <c r="A382" s="117" t="s">
        <v>5459</v>
      </c>
      <c r="B382" s="117" t="s">
        <v>2287</v>
      </c>
      <c r="C382" s="128" t="s">
        <v>5459</v>
      </c>
      <c r="D382" s="133" t="s">
        <v>236</v>
      </c>
      <c r="E382" s="138" t="str">
        <f>+INDEX(F382:AB382,1,[3]BOD!$I$2-1)</f>
        <v/>
      </c>
      <c r="F382" s="140" t="s">
        <v>5459</v>
      </c>
      <c r="G382" s="144"/>
      <c r="H382" s="144" t="str">
        <f t="shared" si="5"/>
        <v/>
      </c>
      <c r="I382" s="144" t="str">
        <f t="shared" si="5"/>
        <v/>
      </c>
      <c r="J382" s="144"/>
      <c r="K382" s="144"/>
      <c r="L382" s="144"/>
      <c r="M382" s="144"/>
      <c r="N382" s="144"/>
      <c r="O382" s="144"/>
      <c r="P382" s="144"/>
      <c r="Q382" s="144"/>
      <c r="R382" s="144"/>
      <c r="S382" s="144"/>
      <c r="T382" s="144"/>
      <c r="U382" s="144"/>
      <c r="V382" s="144"/>
      <c r="W382" s="144"/>
      <c r="X382" s="144"/>
      <c r="Y382" s="144"/>
      <c r="Z382" s="144"/>
      <c r="AA382" s="144"/>
      <c r="AB382" s="144"/>
      <c r="AC382" s="135"/>
      <c r="AD382" s="129" t="s">
        <v>5531</v>
      </c>
      <c r="AE382" s="129" t="s">
        <v>2291</v>
      </c>
      <c r="AF382" s="130">
        <v>1</v>
      </c>
      <c r="AG382" s="129" t="s">
        <v>5086</v>
      </c>
      <c r="AH382" s="130">
        <v>263.27999999999997</v>
      </c>
      <c r="AI382" s="130">
        <v>263.27999999999997</v>
      </c>
    </row>
    <row r="383" spans="1:35" ht="10.5" customHeight="1" x14ac:dyDescent="0.2">
      <c r="A383" s="117" t="s">
        <v>6838</v>
      </c>
      <c r="B383" s="117" t="s">
        <v>2398</v>
      </c>
      <c r="C383" s="128">
        <v>1</v>
      </c>
      <c r="D383" s="133" t="s">
        <v>7256</v>
      </c>
      <c r="E383" s="138">
        <f>+INDEX(F383:AB383,1,[3]BOD!$I$2-1)</f>
        <v>104</v>
      </c>
      <c r="F383" s="140">
        <v>104</v>
      </c>
      <c r="G383" s="144">
        <v>-2.4</v>
      </c>
      <c r="H383" s="144">
        <f t="shared" si="5"/>
        <v>520</v>
      </c>
      <c r="I383" s="144">
        <f t="shared" si="5"/>
        <v>520</v>
      </c>
      <c r="J383" s="144">
        <v>0.6</v>
      </c>
      <c r="K383" s="144"/>
      <c r="L383" s="144"/>
      <c r="M383" s="144"/>
      <c r="N383" s="144"/>
      <c r="O383" s="144"/>
      <c r="P383" s="144"/>
      <c r="Q383" s="144"/>
      <c r="R383" s="144"/>
      <c r="S383" s="144"/>
      <c r="T383" s="144"/>
      <c r="U383" s="144"/>
      <c r="V383" s="144"/>
      <c r="W383" s="144"/>
      <c r="X383" s="144"/>
      <c r="Y383" s="144"/>
      <c r="Z383" s="144"/>
      <c r="AA383" s="144"/>
      <c r="AB383" s="144"/>
      <c r="AC383" s="135"/>
      <c r="AD383" s="129" t="s">
        <v>5459</v>
      </c>
      <c r="AE383" s="129" t="s">
        <v>5459</v>
      </c>
      <c r="AF383" s="130" t="s">
        <v>5459</v>
      </c>
      <c r="AG383" s="129" t="s">
        <v>236</v>
      </c>
      <c r="AH383" s="130" t="s">
        <v>5459</v>
      </c>
      <c r="AI383" s="130" t="s">
        <v>5459</v>
      </c>
    </row>
    <row r="384" spans="1:35" ht="10.5" customHeight="1" x14ac:dyDescent="0.2">
      <c r="A384" s="117" t="s">
        <v>5459</v>
      </c>
      <c r="B384" s="117" t="s">
        <v>2287</v>
      </c>
      <c r="C384" s="128" t="s">
        <v>5459</v>
      </c>
      <c r="D384" s="133" t="s">
        <v>236</v>
      </c>
      <c r="E384" s="138" t="str">
        <f>+INDEX(F384:AB384,1,[3]BOD!$I$2-1)</f>
        <v/>
      </c>
      <c r="F384" s="140" t="s">
        <v>5459</v>
      </c>
      <c r="G384" s="144"/>
      <c r="H384" s="144" t="str">
        <f t="shared" si="5"/>
        <v/>
      </c>
      <c r="I384" s="144" t="str">
        <f t="shared" si="5"/>
        <v/>
      </c>
      <c r="J384" s="144"/>
      <c r="K384" s="144"/>
      <c r="L384" s="144"/>
      <c r="M384" s="144"/>
      <c r="N384" s="144"/>
      <c r="O384" s="144"/>
      <c r="P384" s="144"/>
      <c r="Q384" s="144"/>
      <c r="R384" s="144"/>
      <c r="S384" s="144"/>
      <c r="T384" s="144"/>
      <c r="U384" s="144"/>
      <c r="V384" s="144"/>
      <c r="W384" s="144"/>
      <c r="X384" s="144"/>
      <c r="Y384" s="144"/>
      <c r="Z384" s="144"/>
      <c r="AA384" s="144"/>
      <c r="AB384" s="144"/>
      <c r="AC384" s="135"/>
      <c r="AD384" s="129" t="s">
        <v>3185</v>
      </c>
      <c r="AE384" s="129" t="s">
        <v>2288</v>
      </c>
      <c r="AF384" s="130">
        <v>0</v>
      </c>
      <c r="AG384" s="129" t="s">
        <v>236</v>
      </c>
      <c r="AH384" s="130">
        <v>300</v>
      </c>
      <c r="AI384" s="130">
        <v>0</v>
      </c>
    </row>
    <row r="385" spans="1:35" ht="10.5" customHeight="1" x14ac:dyDescent="0.2">
      <c r="A385" s="117" t="s">
        <v>6839</v>
      </c>
      <c r="B385" s="117" t="s">
        <v>2399</v>
      </c>
      <c r="C385" s="128">
        <v>1</v>
      </c>
      <c r="D385" s="133" t="s">
        <v>7256</v>
      </c>
      <c r="E385" s="138">
        <f>+INDEX(F385:AB385,1,[3]BOD!$I$2-1)</f>
        <v>107.37</v>
      </c>
      <c r="F385" s="140">
        <v>107.37</v>
      </c>
      <c r="G385" s="144">
        <v>-2.2000000000000002</v>
      </c>
      <c r="H385" s="144">
        <f t="shared" si="5"/>
        <v>536.85</v>
      </c>
      <c r="I385" s="144">
        <f t="shared" si="5"/>
        <v>536.85</v>
      </c>
      <c r="J385" s="144">
        <v>0.8</v>
      </c>
      <c r="K385" s="144"/>
      <c r="L385" s="144"/>
      <c r="M385" s="144"/>
      <c r="N385" s="144"/>
      <c r="O385" s="144"/>
      <c r="P385" s="144"/>
      <c r="Q385" s="144"/>
      <c r="R385" s="144"/>
      <c r="S385" s="144"/>
      <c r="T385" s="144"/>
      <c r="U385" s="144"/>
      <c r="V385" s="144"/>
      <c r="W385" s="144"/>
      <c r="X385" s="144"/>
      <c r="Y385" s="144"/>
      <c r="Z385" s="144"/>
      <c r="AA385" s="144"/>
      <c r="AB385" s="144"/>
      <c r="AC385" s="135"/>
      <c r="AD385" s="129" t="s">
        <v>5459</v>
      </c>
      <c r="AE385" s="129" t="s">
        <v>5459</v>
      </c>
      <c r="AF385" s="130" t="s">
        <v>5459</v>
      </c>
      <c r="AG385" s="129" t="s">
        <v>236</v>
      </c>
      <c r="AH385" s="130" t="s">
        <v>5459</v>
      </c>
      <c r="AI385" s="130" t="s">
        <v>5459</v>
      </c>
    </row>
    <row r="386" spans="1:35" ht="10.5" customHeight="1" x14ac:dyDescent="0.2">
      <c r="A386" s="117" t="s">
        <v>5459</v>
      </c>
      <c r="B386" s="117" t="s">
        <v>2287</v>
      </c>
      <c r="C386" s="128" t="s">
        <v>5459</v>
      </c>
      <c r="D386" s="133" t="s">
        <v>236</v>
      </c>
      <c r="E386" s="138" t="str">
        <f>+INDEX(F386:AB386,1,[3]BOD!$I$2-1)</f>
        <v/>
      </c>
      <c r="F386" s="140" t="s">
        <v>5459</v>
      </c>
      <c r="G386" s="144"/>
      <c r="H386" s="144" t="str">
        <f t="shared" si="5"/>
        <v/>
      </c>
      <c r="I386" s="144" t="str">
        <f t="shared" si="5"/>
        <v/>
      </c>
      <c r="J386" s="144"/>
      <c r="K386" s="144"/>
      <c r="L386" s="144"/>
      <c r="M386" s="144"/>
      <c r="N386" s="144"/>
      <c r="O386" s="144"/>
      <c r="P386" s="144"/>
      <c r="Q386" s="144"/>
      <c r="R386" s="144"/>
      <c r="S386" s="144"/>
      <c r="T386" s="144"/>
      <c r="U386" s="144"/>
      <c r="V386" s="144"/>
      <c r="W386" s="144"/>
      <c r="X386" s="144"/>
      <c r="Y386" s="144"/>
      <c r="Z386" s="144"/>
      <c r="AA386" s="144"/>
      <c r="AB386" s="144"/>
      <c r="AC386" s="135"/>
      <c r="AD386" s="129" t="s">
        <v>7689</v>
      </c>
      <c r="AE386" s="129" t="s">
        <v>2292</v>
      </c>
      <c r="AF386" s="130">
        <v>1</v>
      </c>
      <c r="AG386" s="129" t="s">
        <v>5086</v>
      </c>
      <c r="AH386" s="130">
        <v>300</v>
      </c>
      <c r="AI386" s="130">
        <v>300</v>
      </c>
    </row>
    <row r="387" spans="1:35" ht="10.5" customHeight="1" x14ac:dyDescent="0.2">
      <c r="A387" s="117" t="s">
        <v>6840</v>
      </c>
      <c r="B387" s="117" t="s">
        <v>2400</v>
      </c>
      <c r="C387" s="128">
        <v>1</v>
      </c>
      <c r="D387" s="133" t="s">
        <v>7256</v>
      </c>
      <c r="E387" s="138">
        <f>+INDEX(F387:AB387,1,[3]BOD!$I$2-1)</f>
        <v>136.68</v>
      </c>
      <c r="F387" s="140">
        <v>136.68</v>
      </c>
      <c r="G387" s="144">
        <v>-2</v>
      </c>
      <c r="H387" s="144">
        <f t="shared" ref="H387:I450" si="6">+IF($F387&lt;&gt;"",$F387*5,"")</f>
        <v>683.40000000000009</v>
      </c>
      <c r="I387" s="144">
        <f t="shared" si="6"/>
        <v>683.40000000000009</v>
      </c>
      <c r="J387" s="144">
        <v>1</v>
      </c>
      <c r="K387" s="144"/>
      <c r="L387" s="144"/>
      <c r="M387" s="144"/>
      <c r="N387" s="144"/>
      <c r="O387" s="144"/>
      <c r="P387" s="144"/>
      <c r="Q387" s="144"/>
      <c r="R387" s="144"/>
      <c r="S387" s="144"/>
      <c r="T387" s="144"/>
      <c r="U387" s="144"/>
      <c r="V387" s="144"/>
      <c r="W387" s="144"/>
      <c r="X387" s="144"/>
      <c r="Y387" s="144"/>
      <c r="Z387" s="144"/>
      <c r="AA387" s="144"/>
      <c r="AB387" s="144"/>
      <c r="AC387" s="135"/>
      <c r="AD387" s="129" t="s">
        <v>5459</v>
      </c>
      <c r="AE387" s="129" t="s">
        <v>5459</v>
      </c>
      <c r="AF387" s="130" t="s">
        <v>5459</v>
      </c>
      <c r="AG387" s="129" t="s">
        <v>236</v>
      </c>
      <c r="AH387" s="130" t="s">
        <v>5459</v>
      </c>
      <c r="AI387" s="130" t="s">
        <v>5459</v>
      </c>
    </row>
    <row r="388" spans="1:35" ht="10.5" customHeight="1" x14ac:dyDescent="0.2">
      <c r="A388" s="117" t="s">
        <v>5459</v>
      </c>
      <c r="B388" s="117" t="s">
        <v>2287</v>
      </c>
      <c r="C388" s="128" t="s">
        <v>5459</v>
      </c>
      <c r="D388" s="133" t="s">
        <v>236</v>
      </c>
      <c r="E388" s="138" t="str">
        <f>+INDEX(F388:AB388,1,[3]BOD!$I$2-1)</f>
        <v/>
      </c>
      <c r="F388" s="140" t="s">
        <v>5459</v>
      </c>
      <c r="G388" s="144"/>
      <c r="H388" s="144" t="str">
        <f t="shared" si="6"/>
        <v/>
      </c>
      <c r="I388" s="144" t="str">
        <f t="shared" si="6"/>
        <v/>
      </c>
      <c r="J388" s="144"/>
      <c r="K388" s="144"/>
      <c r="L388" s="144"/>
      <c r="M388" s="144"/>
      <c r="N388" s="144"/>
      <c r="O388" s="144"/>
      <c r="P388" s="144"/>
      <c r="Q388" s="144"/>
      <c r="R388" s="144"/>
      <c r="S388" s="144"/>
      <c r="T388" s="144"/>
      <c r="U388" s="144"/>
      <c r="V388" s="144"/>
      <c r="W388" s="144"/>
      <c r="X388" s="144"/>
      <c r="Y388" s="144"/>
      <c r="Z388" s="144"/>
      <c r="AA388" s="144"/>
      <c r="AB388" s="144"/>
      <c r="AC388" s="135"/>
      <c r="AD388" s="129" t="s">
        <v>7690</v>
      </c>
      <c r="AE388" s="129" t="s">
        <v>7691</v>
      </c>
      <c r="AF388" s="130">
        <v>0</v>
      </c>
      <c r="AG388" s="129" t="s">
        <v>236</v>
      </c>
      <c r="AH388" s="130">
        <v>599.47</v>
      </c>
      <c r="AI388" s="130">
        <v>0</v>
      </c>
    </row>
    <row r="389" spans="1:35" ht="10.5" customHeight="1" x14ac:dyDescent="0.2">
      <c r="A389" s="117" t="s">
        <v>5939</v>
      </c>
      <c r="B389" s="117" t="s">
        <v>2401</v>
      </c>
      <c r="C389" s="128">
        <v>1</v>
      </c>
      <c r="D389" s="133" t="s">
        <v>7256</v>
      </c>
      <c r="E389" s="138">
        <f>+INDEX(F389:AB389,1,[3]BOD!$I$2-1)</f>
        <v>178.99</v>
      </c>
      <c r="F389" s="140">
        <v>178.99</v>
      </c>
      <c r="G389" s="144">
        <v>-1.8</v>
      </c>
      <c r="H389" s="144">
        <f t="shared" si="6"/>
        <v>894.95</v>
      </c>
      <c r="I389" s="144">
        <f t="shared" si="6"/>
        <v>894.95</v>
      </c>
      <c r="J389" s="144">
        <v>1.2</v>
      </c>
      <c r="K389" s="144"/>
      <c r="L389" s="144"/>
      <c r="M389" s="144"/>
      <c r="N389" s="144"/>
      <c r="O389" s="144"/>
      <c r="P389" s="144"/>
      <c r="Q389" s="144"/>
      <c r="R389" s="144"/>
      <c r="S389" s="144"/>
      <c r="T389" s="144"/>
      <c r="U389" s="144"/>
      <c r="V389" s="144"/>
      <c r="W389" s="144"/>
      <c r="X389" s="144"/>
      <c r="Y389" s="144"/>
      <c r="Z389" s="144"/>
      <c r="AA389" s="144"/>
      <c r="AB389" s="144"/>
      <c r="AC389" s="135"/>
      <c r="AD389" s="129" t="s">
        <v>5459</v>
      </c>
      <c r="AE389" s="129" t="s">
        <v>5459</v>
      </c>
      <c r="AF389" s="130" t="s">
        <v>5459</v>
      </c>
      <c r="AG389" s="129" t="s">
        <v>236</v>
      </c>
      <c r="AH389" s="130" t="s">
        <v>5459</v>
      </c>
      <c r="AI389" s="130" t="s">
        <v>5459</v>
      </c>
    </row>
    <row r="390" spans="1:35" ht="10.5" customHeight="1" x14ac:dyDescent="0.2">
      <c r="A390" s="117" t="s">
        <v>5459</v>
      </c>
      <c r="B390" s="117" t="s">
        <v>2287</v>
      </c>
      <c r="C390" s="128" t="s">
        <v>5459</v>
      </c>
      <c r="D390" s="133" t="s">
        <v>236</v>
      </c>
      <c r="E390" s="138" t="str">
        <f>+INDEX(F390:AB390,1,[3]BOD!$I$2-1)</f>
        <v/>
      </c>
      <c r="F390" s="140" t="s">
        <v>5459</v>
      </c>
      <c r="G390" s="144"/>
      <c r="H390" s="144" t="str">
        <f t="shared" si="6"/>
        <v/>
      </c>
      <c r="I390" s="144" t="str">
        <f t="shared" si="6"/>
        <v/>
      </c>
      <c r="J390" s="144"/>
      <c r="K390" s="144"/>
      <c r="L390" s="144"/>
      <c r="M390" s="144"/>
      <c r="N390" s="144"/>
      <c r="O390" s="144"/>
      <c r="P390" s="144"/>
      <c r="Q390" s="144"/>
      <c r="R390" s="144"/>
      <c r="S390" s="144"/>
      <c r="T390" s="144"/>
      <c r="U390" s="144"/>
      <c r="V390" s="144"/>
      <c r="W390" s="144"/>
      <c r="X390" s="144"/>
      <c r="Y390" s="144"/>
      <c r="Z390" s="144"/>
      <c r="AA390" s="144"/>
      <c r="AB390" s="144"/>
      <c r="AC390" s="135"/>
      <c r="AD390" s="129" t="s">
        <v>7692</v>
      </c>
      <c r="AE390" s="129" t="s">
        <v>7693</v>
      </c>
      <c r="AF390" s="130">
        <v>0</v>
      </c>
      <c r="AG390" s="129" t="s">
        <v>236</v>
      </c>
      <c r="AH390" s="130">
        <v>241.42</v>
      </c>
      <c r="AI390" s="130">
        <v>0</v>
      </c>
    </row>
    <row r="391" spans="1:35" ht="10.5" customHeight="1" x14ac:dyDescent="0.2">
      <c r="A391" s="117" t="s">
        <v>5940</v>
      </c>
      <c r="B391" s="117" t="s">
        <v>2402</v>
      </c>
      <c r="C391" s="128">
        <v>1</v>
      </c>
      <c r="D391" s="133" t="s">
        <v>7256</v>
      </c>
      <c r="E391" s="138">
        <f>+INDEX(F391:AB391,1,[3]BOD!$I$2-1)</f>
        <v>185.63</v>
      </c>
      <c r="F391" s="140">
        <v>185.63</v>
      </c>
      <c r="G391" s="144">
        <v>-2.6</v>
      </c>
      <c r="H391" s="144">
        <f t="shared" si="6"/>
        <v>928.15</v>
      </c>
      <c r="I391" s="144">
        <f t="shared" si="6"/>
        <v>928.15</v>
      </c>
      <c r="J391" s="144">
        <v>0.4</v>
      </c>
      <c r="K391" s="144"/>
      <c r="L391" s="144"/>
      <c r="M391" s="144"/>
      <c r="N391" s="144"/>
      <c r="O391" s="144"/>
      <c r="P391" s="144"/>
      <c r="Q391" s="144"/>
      <c r="R391" s="144"/>
      <c r="S391" s="144"/>
      <c r="T391" s="144"/>
      <c r="U391" s="144"/>
      <c r="V391" s="144"/>
      <c r="W391" s="144"/>
      <c r="X391" s="144"/>
      <c r="Y391" s="144"/>
      <c r="Z391" s="144"/>
      <c r="AA391" s="144"/>
      <c r="AB391" s="144"/>
      <c r="AC391" s="135"/>
      <c r="AD391" s="129" t="s">
        <v>5459</v>
      </c>
      <c r="AE391" s="129" t="s">
        <v>5459</v>
      </c>
      <c r="AF391" s="130" t="s">
        <v>5459</v>
      </c>
      <c r="AG391" s="129" t="s">
        <v>236</v>
      </c>
      <c r="AH391" s="130" t="s">
        <v>5459</v>
      </c>
      <c r="AI391" s="130" t="s">
        <v>5459</v>
      </c>
    </row>
    <row r="392" spans="1:35" ht="10.5" customHeight="1" x14ac:dyDescent="0.2">
      <c r="A392" s="117" t="s">
        <v>5459</v>
      </c>
      <c r="B392" s="117" t="s">
        <v>2287</v>
      </c>
      <c r="C392" s="128" t="s">
        <v>5459</v>
      </c>
      <c r="D392" s="133" t="s">
        <v>236</v>
      </c>
      <c r="E392" s="138" t="str">
        <f>+INDEX(F392:AB392,1,[3]BOD!$I$2-1)</f>
        <v/>
      </c>
      <c r="F392" s="140" t="s">
        <v>5459</v>
      </c>
      <c r="G392" s="144"/>
      <c r="H392" s="144" t="str">
        <f t="shared" si="6"/>
        <v/>
      </c>
      <c r="I392" s="144" t="str">
        <f t="shared" si="6"/>
        <v/>
      </c>
      <c r="J392" s="144"/>
      <c r="K392" s="144"/>
      <c r="L392" s="144"/>
      <c r="M392" s="144"/>
      <c r="N392" s="144"/>
      <c r="O392" s="144"/>
      <c r="P392" s="144"/>
      <c r="Q392" s="144"/>
      <c r="R392" s="144"/>
      <c r="S392" s="144"/>
      <c r="T392" s="144"/>
      <c r="U392" s="144"/>
      <c r="V392" s="144"/>
      <c r="W392" s="144"/>
      <c r="X392" s="144"/>
      <c r="Y392" s="144"/>
      <c r="Z392" s="144"/>
      <c r="AA392" s="144"/>
      <c r="AB392" s="144"/>
      <c r="AC392" s="135"/>
      <c r="AD392" s="129" t="s">
        <v>7694</v>
      </c>
      <c r="AE392" s="129" t="s">
        <v>7695</v>
      </c>
      <c r="AF392" s="130">
        <v>1</v>
      </c>
      <c r="AG392" s="129" t="s">
        <v>7389</v>
      </c>
      <c r="AH392" s="130">
        <v>45.44</v>
      </c>
      <c r="AI392" s="130">
        <v>45.44</v>
      </c>
    </row>
    <row r="393" spans="1:35" ht="10.5" customHeight="1" x14ac:dyDescent="0.2">
      <c r="A393" s="117" t="s">
        <v>5941</v>
      </c>
      <c r="B393" s="117" t="s">
        <v>2403</v>
      </c>
      <c r="C393" s="128">
        <v>1</v>
      </c>
      <c r="D393" s="133" t="s">
        <v>7256</v>
      </c>
      <c r="E393" s="138">
        <f>+INDEX(F393:AB393,1,[3]BOD!$I$2-1)</f>
        <v>209</v>
      </c>
      <c r="F393" s="140">
        <v>209</v>
      </c>
      <c r="G393" s="144">
        <v>-2.4</v>
      </c>
      <c r="H393" s="144">
        <f t="shared" si="6"/>
        <v>1045</v>
      </c>
      <c r="I393" s="144">
        <f t="shared" si="6"/>
        <v>1045</v>
      </c>
      <c r="J393" s="144">
        <v>0.6</v>
      </c>
      <c r="K393" s="144"/>
      <c r="L393" s="144"/>
      <c r="M393" s="144"/>
      <c r="N393" s="144"/>
      <c r="O393" s="144"/>
      <c r="P393" s="144"/>
      <c r="Q393" s="144"/>
      <c r="R393" s="144"/>
      <c r="S393" s="144"/>
      <c r="T393" s="144"/>
      <c r="U393" s="144"/>
      <c r="V393" s="144"/>
      <c r="W393" s="144"/>
      <c r="X393" s="144"/>
      <c r="Y393" s="144"/>
      <c r="Z393" s="144"/>
      <c r="AA393" s="144"/>
      <c r="AB393" s="144"/>
      <c r="AC393" s="135"/>
      <c r="AD393" s="129" t="s">
        <v>5459</v>
      </c>
      <c r="AE393" s="129" t="s">
        <v>5459</v>
      </c>
      <c r="AF393" s="130" t="s">
        <v>5459</v>
      </c>
      <c r="AG393" s="129" t="s">
        <v>236</v>
      </c>
      <c r="AH393" s="130" t="s">
        <v>5459</v>
      </c>
      <c r="AI393" s="130" t="s">
        <v>5459</v>
      </c>
    </row>
    <row r="394" spans="1:35" ht="10.5" customHeight="1" x14ac:dyDescent="0.2">
      <c r="A394" s="117" t="s">
        <v>5459</v>
      </c>
      <c r="B394" s="117" t="s">
        <v>2287</v>
      </c>
      <c r="C394" s="128" t="s">
        <v>5459</v>
      </c>
      <c r="D394" s="133" t="s">
        <v>236</v>
      </c>
      <c r="E394" s="138" t="str">
        <f>+INDEX(F394:AB394,1,[3]BOD!$I$2-1)</f>
        <v/>
      </c>
      <c r="F394" s="140" t="s">
        <v>5459</v>
      </c>
      <c r="G394" s="144"/>
      <c r="H394" s="144" t="str">
        <f t="shared" si="6"/>
        <v/>
      </c>
      <c r="I394" s="144" t="str">
        <f t="shared" si="6"/>
        <v/>
      </c>
      <c r="J394" s="144"/>
      <c r="K394" s="144"/>
      <c r="L394" s="144"/>
      <c r="M394" s="144"/>
      <c r="N394" s="144"/>
      <c r="O394" s="144"/>
      <c r="P394" s="144"/>
      <c r="Q394" s="144"/>
      <c r="R394" s="144"/>
      <c r="S394" s="144"/>
      <c r="T394" s="144"/>
      <c r="U394" s="144"/>
      <c r="V394" s="144"/>
      <c r="W394" s="144"/>
      <c r="X394" s="144"/>
      <c r="Y394" s="144"/>
      <c r="Z394" s="144"/>
      <c r="AA394" s="144"/>
      <c r="AB394" s="144"/>
      <c r="AC394" s="135"/>
      <c r="AD394" s="129" t="s">
        <v>7696</v>
      </c>
      <c r="AE394" s="129" t="s">
        <v>7697</v>
      </c>
      <c r="AF394" s="130">
        <v>1</v>
      </c>
      <c r="AG394" s="129" t="s">
        <v>7389</v>
      </c>
      <c r="AH394" s="130">
        <v>47.12</v>
      </c>
      <c r="AI394" s="130">
        <v>47.12</v>
      </c>
    </row>
    <row r="395" spans="1:35" ht="10.5" customHeight="1" x14ac:dyDescent="0.2">
      <c r="A395" s="117" t="s">
        <v>5942</v>
      </c>
      <c r="B395" s="117" t="s">
        <v>2404</v>
      </c>
      <c r="C395" s="128">
        <v>1</v>
      </c>
      <c r="D395" s="133" t="s">
        <v>7256</v>
      </c>
      <c r="E395" s="138">
        <f>+INDEX(F395:AB395,1,[3]BOD!$I$2-1)</f>
        <v>242.37</v>
      </c>
      <c r="F395" s="140">
        <v>242.37</v>
      </c>
      <c r="G395" s="144">
        <v>-2.2000000000000002</v>
      </c>
      <c r="H395" s="144">
        <f t="shared" si="6"/>
        <v>1211.8499999999999</v>
      </c>
      <c r="I395" s="144">
        <f t="shared" si="6"/>
        <v>1211.8499999999999</v>
      </c>
      <c r="J395" s="144">
        <v>0.8</v>
      </c>
      <c r="K395" s="144"/>
      <c r="L395" s="144"/>
      <c r="M395" s="144"/>
      <c r="N395" s="144"/>
      <c r="O395" s="144"/>
      <c r="P395" s="144"/>
      <c r="Q395" s="144"/>
      <c r="R395" s="144"/>
      <c r="S395" s="144"/>
      <c r="T395" s="144"/>
      <c r="U395" s="144"/>
      <c r="V395" s="144"/>
      <c r="W395" s="144"/>
      <c r="X395" s="144"/>
      <c r="Y395" s="144"/>
      <c r="Z395" s="144"/>
      <c r="AA395" s="144"/>
      <c r="AB395" s="144"/>
      <c r="AC395" s="135"/>
      <c r="AD395" s="129" t="s">
        <v>5459</v>
      </c>
      <c r="AE395" s="129" t="s">
        <v>5459</v>
      </c>
      <c r="AF395" s="130" t="s">
        <v>5459</v>
      </c>
      <c r="AG395" s="129" t="s">
        <v>236</v>
      </c>
      <c r="AH395" s="130" t="s">
        <v>5459</v>
      </c>
      <c r="AI395" s="130" t="s">
        <v>5459</v>
      </c>
    </row>
    <row r="396" spans="1:35" ht="10.5" customHeight="1" x14ac:dyDescent="0.2">
      <c r="A396" s="117" t="s">
        <v>5459</v>
      </c>
      <c r="B396" s="117" t="s">
        <v>2287</v>
      </c>
      <c r="C396" s="128" t="s">
        <v>5459</v>
      </c>
      <c r="D396" s="133" t="s">
        <v>236</v>
      </c>
      <c r="E396" s="138" t="str">
        <f>+INDEX(F396:AB396,1,[3]BOD!$I$2-1)</f>
        <v/>
      </c>
      <c r="F396" s="140" t="s">
        <v>5459</v>
      </c>
      <c r="G396" s="144"/>
      <c r="H396" s="144" t="str">
        <f t="shared" si="6"/>
        <v/>
      </c>
      <c r="I396" s="144" t="str">
        <f t="shared" si="6"/>
        <v/>
      </c>
      <c r="J396" s="144"/>
      <c r="K396" s="144"/>
      <c r="L396" s="144"/>
      <c r="M396" s="144"/>
      <c r="N396" s="144"/>
      <c r="O396" s="144"/>
      <c r="P396" s="144"/>
      <c r="Q396" s="144"/>
      <c r="R396" s="144"/>
      <c r="S396" s="144"/>
      <c r="T396" s="144"/>
      <c r="U396" s="144"/>
      <c r="V396" s="144"/>
      <c r="W396" s="144"/>
      <c r="X396" s="144"/>
      <c r="Y396" s="144"/>
      <c r="Z396" s="144"/>
      <c r="AA396" s="144"/>
      <c r="AB396" s="144"/>
      <c r="AC396" s="135"/>
      <c r="AD396" s="129" t="s">
        <v>7698</v>
      </c>
      <c r="AE396" s="129" t="s">
        <v>7699</v>
      </c>
      <c r="AF396" s="130">
        <v>1</v>
      </c>
      <c r="AG396" s="129" t="s">
        <v>7389</v>
      </c>
      <c r="AH396" s="130">
        <v>48.09</v>
      </c>
      <c r="AI396" s="130">
        <v>48.09</v>
      </c>
    </row>
    <row r="397" spans="1:35" ht="10.5" customHeight="1" x14ac:dyDescent="0.2">
      <c r="A397" s="117" t="s">
        <v>5943</v>
      </c>
      <c r="B397" s="117" t="s">
        <v>2405</v>
      </c>
      <c r="C397" s="128">
        <v>1</v>
      </c>
      <c r="D397" s="133" t="s">
        <v>7256</v>
      </c>
      <c r="E397" s="138">
        <f>+INDEX(F397:AB397,1,[3]BOD!$I$2-1)</f>
        <v>301.68</v>
      </c>
      <c r="F397" s="140">
        <v>301.68</v>
      </c>
      <c r="G397" s="144">
        <v>-2</v>
      </c>
      <c r="H397" s="144">
        <f t="shared" si="6"/>
        <v>1508.4</v>
      </c>
      <c r="I397" s="144">
        <f t="shared" si="6"/>
        <v>1508.4</v>
      </c>
      <c r="J397" s="144">
        <v>1</v>
      </c>
      <c r="K397" s="144"/>
      <c r="L397" s="144"/>
      <c r="M397" s="144"/>
      <c r="N397" s="144"/>
      <c r="O397" s="144"/>
      <c r="P397" s="144"/>
      <c r="Q397" s="144"/>
      <c r="R397" s="144"/>
      <c r="S397" s="144"/>
      <c r="T397" s="144"/>
      <c r="U397" s="144"/>
      <c r="V397" s="144"/>
      <c r="W397" s="144"/>
      <c r="X397" s="144"/>
      <c r="Y397" s="144"/>
      <c r="Z397" s="144"/>
      <c r="AA397" s="144"/>
      <c r="AB397" s="144"/>
      <c r="AC397" s="135"/>
      <c r="AD397" s="129" t="s">
        <v>5459</v>
      </c>
      <c r="AE397" s="129" t="s">
        <v>5459</v>
      </c>
      <c r="AF397" s="130" t="s">
        <v>5459</v>
      </c>
      <c r="AG397" s="129" t="s">
        <v>236</v>
      </c>
      <c r="AH397" s="130" t="s">
        <v>5459</v>
      </c>
      <c r="AI397" s="130" t="s">
        <v>5459</v>
      </c>
    </row>
    <row r="398" spans="1:35" ht="10.5" customHeight="1" x14ac:dyDescent="0.2">
      <c r="A398" s="117" t="s">
        <v>5459</v>
      </c>
      <c r="B398" s="117" t="s">
        <v>2287</v>
      </c>
      <c r="C398" s="128" t="s">
        <v>5459</v>
      </c>
      <c r="D398" s="133" t="s">
        <v>236</v>
      </c>
      <c r="E398" s="138" t="str">
        <f>+INDEX(F398:AB398,1,[3]BOD!$I$2-1)</f>
        <v/>
      </c>
      <c r="F398" s="140" t="s">
        <v>5459</v>
      </c>
      <c r="G398" s="144"/>
      <c r="H398" s="144" t="str">
        <f t="shared" si="6"/>
        <v/>
      </c>
      <c r="I398" s="144" t="str">
        <f t="shared" si="6"/>
        <v/>
      </c>
      <c r="J398" s="144"/>
      <c r="K398" s="144"/>
      <c r="L398" s="144"/>
      <c r="M398" s="144"/>
      <c r="N398" s="144"/>
      <c r="O398" s="144"/>
      <c r="P398" s="144"/>
      <c r="Q398" s="144"/>
      <c r="R398" s="144"/>
      <c r="S398" s="144"/>
      <c r="T398" s="144"/>
      <c r="U398" s="144"/>
      <c r="V398" s="144"/>
      <c r="W398" s="144"/>
      <c r="X398" s="144"/>
      <c r="Y398" s="144"/>
      <c r="Z398" s="144"/>
      <c r="AA398" s="144"/>
      <c r="AB398" s="144"/>
      <c r="AC398" s="135"/>
      <c r="AD398" s="129" t="s">
        <v>7700</v>
      </c>
      <c r="AE398" s="129" t="s">
        <v>1226</v>
      </c>
      <c r="AF398" s="130">
        <v>1</v>
      </c>
      <c r="AG398" s="129" t="s">
        <v>7389</v>
      </c>
      <c r="AH398" s="130">
        <v>49.15</v>
      </c>
      <c r="AI398" s="130">
        <v>49.15</v>
      </c>
    </row>
    <row r="399" spans="1:35" ht="10.5" customHeight="1" x14ac:dyDescent="0.2">
      <c r="A399" s="117" t="s">
        <v>5944</v>
      </c>
      <c r="B399" s="117" t="s">
        <v>2406</v>
      </c>
      <c r="C399" s="128">
        <v>1</v>
      </c>
      <c r="D399" s="133" t="s">
        <v>7256</v>
      </c>
      <c r="E399" s="138">
        <f>+INDEX(F399:AB399,1,[3]BOD!$I$2-1)</f>
        <v>363.99</v>
      </c>
      <c r="F399" s="140">
        <v>363.99</v>
      </c>
      <c r="G399" s="144">
        <v>-1.8</v>
      </c>
      <c r="H399" s="144">
        <f t="shared" si="6"/>
        <v>1819.95</v>
      </c>
      <c r="I399" s="144">
        <f t="shared" si="6"/>
        <v>1819.95</v>
      </c>
      <c r="J399" s="144">
        <v>1.2</v>
      </c>
      <c r="K399" s="144"/>
      <c r="L399" s="144"/>
      <c r="M399" s="144"/>
      <c r="N399" s="144"/>
      <c r="O399" s="144"/>
      <c r="P399" s="144"/>
      <c r="Q399" s="144"/>
      <c r="R399" s="144"/>
      <c r="S399" s="144"/>
      <c r="T399" s="144"/>
      <c r="U399" s="144"/>
      <c r="V399" s="144"/>
      <c r="W399" s="144"/>
      <c r="X399" s="144"/>
      <c r="Y399" s="144"/>
      <c r="Z399" s="144"/>
      <c r="AA399" s="144"/>
      <c r="AB399" s="144"/>
      <c r="AC399" s="135"/>
      <c r="AD399" s="129" t="s">
        <v>5459</v>
      </c>
      <c r="AE399" s="129" t="s">
        <v>5459</v>
      </c>
      <c r="AF399" s="130" t="s">
        <v>5459</v>
      </c>
      <c r="AG399" s="129" t="s">
        <v>236</v>
      </c>
      <c r="AH399" s="130" t="s">
        <v>5459</v>
      </c>
      <c r="AI399" s="130" t="s">
        <v>5459</v>
      </c>
    </row>
    <row r="400" spans="1:35" ht="10.5" customHeight="1" x14ac:dyDescent="0.2">
      <c r="A400" s="117" t="s">
        <v>5459</v>
      </c>
      <c r="B400" s="117" t="s">
        <v>2287</v>
      </c>
      <c r="C400" s="128" t="s">
        <v>5459</v>
      </c>
      <c r="D400" s="133" t="s">
        <v>236</v>
      </c>
      <c r="E400" s="138" t="str">
        <f>+INDEX(F400:AB400,1,[3]BOD!$I$2-1)</f>
        <v/>
      </c>
      <c r="F400" s="140" t="s">
        <v>5459</v>
      </c>
      <c r="G400" s="144"/>
      <c r="H400" s="144" t="str">
        <f t="shared" si="6"/>
        <v/>
      </c>
      <c r="I400" s="144" t="str">
        <f t="shared" si="6"/>
        <v/>
      </c>
      <c r="J400" s="144"/>
      <c r="K400" s="144"/>
      <c r="L400" s="144"/>
      <c r="M400" s="144"/>
      <c r="N400" s="144"/>
      <c r="O400" s="144"/>
      <c r="P400" s="144"/>
      <c r="Q400" s="144"/>
      <c r="R400" s="144"/>
      <c r="S400" s="144"/>
      <c r="T400" s="144"/>
      <c r="U400" s="144"/>
      <c r="V400" s="144"/>
      <c r="W400" s="144"/>
      <c r="X400" s="144"/>
      <c r="Y400" s="144"/>
      <c r="Z400" s="144"/>
      <c r="AA400" s="144"/>
      <c r="AB400" s="144"/>
      <c r="AC400" s="135"/>
      <c r="AD400" s="129" t="s">
        <v>1227</v>
      </c>
      <c r="AE400" s="129" t="s">
        <v>1228</v>
      </c>
      <c r="AF400" s="130">
        <v>1</v>
      </c>
      <c r="AG400" s="129" t="s">
        <v>7389</v>
      </c>
      <c r="AH400" s="130">
        <v>51.62</v>
      </c>
      <c r="AI400" s="130">
        <v>51.62</v>
      </c>
    </row>
    <row r="401" spans="1:35" ht="10.5" customHeight="1" x14ac:dyDescent="0.2">
      <c r="A401" s="117" t="s">
        <v>5945</v>
      </c>
      <c r="B401" s="117" t="s">
        <v>2412</v>
      </c>
      <c r="C401" s="128"/>
      <c r="D401" s="133"/>
      <c r="E401" s="138"/>
      <c r="F401" s="140"/>
      <c r="G401" s="144"/>
      <c r="H401" s="144" t="str">
        <f t="shared" si="6"/>
        <v/>
      </c>
      <c r="I401" s="144" t="str">
        <f t="shared" si="6"/>
        <v/>
      </c>
      <c r="J401" s="144"/>
      <c r="K401" s="144"/>
      <c r="L401" s="144"/>
      <c r="M401" s="144"/>
      <c r="N401" s="144"/>
      <c r="O401" s="144"/>
      <c r="P401" s="144"/>
      <c r="Q401" s="144"/>
      <c r="R401" s="144"/>
      <c r="S401" s="144"/>
      <c r="T401" s="144"/>
      <c r="U401" s="144"/>
      <c r="V401" s="144"/>
      <c r="W401" s="144"/>
      <c r="X401" s="144"/>
      <c r="Y401" s="144"/>
      <c r="Z401" s="144"/>
      <c r="AA401" s="144"/>
      <c r="AB401" s="144"/>
      <c r="AC401" s="135"/>
      <c r="AD401" s="129" t="s">
        <v>5459</v>
      </c>
      <c r="AE401" s="129" t="s">
        <v>5459</v>
      </c>
      <c r="AF401" s="130" t="s">
        <v>5459</v>
      </c>
      <c r="AG401" s="129" t="s">
        <v>236</v>
      </c>
      <c r="AH401" s="130" t="s">
        <v>5459</v>
      </c>
      <c r="AI401" s="130" t="s">
        <v>5459</v>
      </c>
    </row>
    <row r="402" spans="1:35" ht="10.5" customHeight="1" x14ac:dyDescent="0.2">
      <c r="A402" s="117" t="s">
        <v>5459</v>
      </c>
      <c r="B402" s="117" t="s">
        <v>5459</v>
      </c>
      <c r="C402" s="128" t="s">
        <v>5459</v>
      </c>
      <c r="D402" s="133" t="s">
        <v>236</v>
      </c>
      <c r="E402" s="138" t="str">
        <f>+INDEX(F402:AB402,1,[3]BOD!$I$2-1)</f>
        <v/>
      </c>
      <c r="F402" s="140" t="s">
        <v>5459</v>
      </c>
      <c r="G402" s="144"/>
      <c r="H402" s="144" t="str">
        <f t="shared" si="6"/>
        <v/>
      </c>
      <c r="I402" s="144" t="str">
        <f t="shared" si="6"/>
        <v/>
      </c>
      <c r="J402" s="144"/>
      <c r="K402" s="144"/>
      <c r="L402" s="144"/>
      <c r="M402" s="144"/>
      <c r="N402" s="144"/>
      <c r="O402" s="144"/>
      <c r="P402" s="144"/>
      <c r="Q402" s="144"/>
      <c r="R402" s="144"/>
      <c r="S402" s="144"/>
      <c r="T402" s="144"/>
      <c r="U402" s="144"/>
      <c r="V402" s="144"/>
      <c r="W402" s="144"/>
      <c r="X402" s="144"/>
      <c r="Y402" s="144"/>
      <c r="Z402" s="144"/>
      <c r="AA402" s="144"/>
      <c r="AB402" s="144"/>
      <c r="AC402" s="135"/>
      <c r="AD402" s="129" t="s">
        <v>1229</v>
      </c>
      <c r="AE402" s="129" t="s">
        <v>1230</v>
      </c>
      <c r="AF402" s="130">
        <v>0</v>
      </c>
      <c r="AG402" s="129" t="s">
        <v>236</v>
      </c>
      <c r="AH402" s="130">
        <v>358.05</v>
      </c>
      <c r="AI402" s="130">
        <v>0</v>
      </c>
    </row>
    <row r="403" spans="1:35" ht="10.5" customHeight="1" x14ac:dyDescent="0.2">
      <c r="A403" s="115" t="s">
        <v>5946</v>
      </c>
      <c r="B403" s="117" t="s">
        <v>2412</v>
      </c>
      <c r="C403" s="128">
        <v>1</v>
      </c>
      <c r="D403" s="133" t="s">
        <v>4699</v>
      </c>
      <c r="E403" s="138">
        <f>+INDEX(F403:AB403,1,[3]BOD!$I$2-1)</f>
        <v>820</v>
      </c>
      <c r="F403" s="140">
        <v>820</v>
      </c>
      <c r="G403" s="144"/>
      <c r="H403" s="144">
        <f t="shared" si="6"/>
        <v>4100</v>
      </c>
      <c r="I403" s="144">
        <f t="shared" si="6"/>
        <v>4100</v>
      </c>
      <c r="J403" s="144"/>
      <c r="K403" s="144"/>
      <c r="L403" s="144"/>
      <c r="M403" s="144"/>
      <c r="N403" s="144"/>
      <c r="O403" s="144"/>
      <c r="P403" s="144"/>
      <c r="Q403" s="144"/>
      <c r="R403" s="144"/>
      <c r="S403" s="144"/>
      <c r="T403" s="144"/>
      <c r="U403" s="144"/>
      <c r="V403" s="144"/>
      <c r="W403" s="144"/>
      <c r="X403" s="144"/>
      <c r="Y403" s="144"/>
      <c r="Z403" s="144"/>
      <c r="AA403" s="144"/>
      <c r="AB403" s="144"/>
      <c r="AC403" s="135"/>
      <c r="AD403" s="129" t="s">
        <v>5459</v>
      </c>
      <c r="AE403" s="129" t="s">
        <v>5459</v>
      </c>
      <c r="AF403" s="130" t="s">
        <v>5459</v>
      </c>
      <c r="AG403" s="129" t="s">
        <v>236</v>
      </c>
      <c r="AH403" s="130" t="s">
        <v>5459</v>
      </c>
      <c r="AI403" s="130" t="s">
        <v>5459</v>
      </c>
    </row>
    <row r="404" spans="1:35" ht="10.5" customHeight="1" x14ac:dyDescent="0.2">
      <c r="A404" s="117" t="s">
        <v>5459</v>
      </c>
      <c r="B404" s="117" t="s">
        <v>5459</v>
      </c>
      <c r="C404" s="128" t="s">
        <v>5459</v>
      </c>
      <c r="D404" s="133" t="s">
        <v>236</v>
      </c>
      <c r="E404" s="138" t="str">
        <f>+INDEX(F404:AB404,1,[3]BOD!$I$2-1)</f>
        <v/>
      </c>
      <c r="F404" s="140" t="s">
        <v>5459</v>
      </c>
      <c r="G404" s="144"/>
      <c r="H404" s="144" t="str">
        <f t="shared" si="6"/>
        <v/>
      </c>
      <c r="I404" s="144" t="str">
        <f t="shared" si="6"/>
        <v/>
      </c>
      <c r="J404" s="144"/>
      <c r="K404" s="144"/>
      <c r="L404" s="144"/>
      <c r="M404" s="144"/>
      <c r="N404" s="144"/>
      <c r="O404" s="144"/>
      <c r="P404" s="144"/>
      <c r="Q404" s="144"/>
      <c r="R404" s="144"/>
      <c r="S404" s="144"/>
      <c r="T404" s="144"/>
      <c r="U404" s="144"/>
      <c r="V404" s="144"/>
      <c r="W404" s="144"/>
      <c r="X404" s="144"/>
      <c r="Y404" s="144"/>
      <c r="Z404" s="144"/>
      <c r="AA404" s="144"/>
      <c r="AB404" s="144"/>
      <c r="AC404" s="135"/>
      <c r="AD404" s="129" t="s">
        <v>1231</v>
      </c>
      <c r="AE404" s="129" t="s">
        <v>7695</v>
      </c>
      <c r="AF404" s="130">
        <v>1</v>
      </c>
      <c r="AG404" s="129" t="s">
        <v>7389</v>
      </c>
      <c r="AH404" s="130">
        <v>59.44</v>
      </c>
      <c r="AI404" s="130">
        <v>59.44</v>
      </c>
    </row>
    <row r="405" spans="1:35" ht="10.5" customHeight="1" x14ac:dyDescent="0.2">
      <c r="A405" s="117" t="s">
        <v>5947</v>
      </c>
      <c r="B405" s="117" t="s">
        <v>2392</v>
      </c>
      <c r="C405" s="128"/>
      <c r="D405" s="133"/>
      <c r="E405" s="138"/>
      <c r="F405" s="140"/>
      <c r="G405" s="144"/>
      <c r="H405" s="144" t="str">
        <f t="shared" si="6"/>
        <v/>
      </c>
      <c r="I405" s="144" t="str">
        <f t="shared" si="6"/>
        <v/>
      </c>
      <c r="J405" s="144"/>
      <c r="K405" s="144"/>
      <c r="L405" s="144"/>
      <c r="M405" s="144"/>
      <c r="N405" s="144"/>
      <c r="O405" s="144"/>
      <c r="P405" s="144"/>
      <c r="Q405" s="144"/>
      <c r="R405" s="144"/>
      <c r="S405" s="144"/>
      <c r="T405" s="144"/>
      <c r="U405" s="144"/>
      <c r="V405" s="144"/>
      <c r="W405" s="144"/>
      <c r="X405" s="144"/>
      <c r="Y405" s="144"/>
      <c r="Z405" s="144"/>
      <c r="AA405" s="144"/>
      <c r="AB405" s="144"/>
      <c r="AC405" s="135"/>
      <c r="AD405" s="129" t="s">
        <v>5459</v>
      </c>
      <c r="AE405" s="129" t="s">
        <v>5459</v>
      </c>
      <c r="AF405" s="130" t="s">
        <v>5459</v>
      </c>
      <c r="AG405" s="129" t="s">
        <v>236</v>
      </c>
      <c r="AH405" s="130" t="s">
        <v>5459</v>
      </c>
      <c r="AI405" s="130" t="s">
        <v>5459</v>
      </c>
    </row>
    <row r="406" spans="1:35" ht="10.5" customHeight="1" x14ac:dyDescent="0.2">
      <c r="A406" s="117" t="s">
        <v>5459</v>
      </c>
      <c r="B406" s="117" t="s">
        <v>5459</v>
      </c>
      <c r="C406" s="128" t="s">
        <v>5459</v>
      </c>
      <c r="D406" s="133" t="s">
        <v>236</v>
      </c>
      <c r="E406" s="138" t="str">
        <f>+INDEX(F406:AB406,1,[3]BOD!$I$2-1)</f>
        <v/>
      </c>
      <c r="F406" s="140" t="s">
        <v>5459</v>
      </c>
      <c r="G406" s="144"/>
      <c r="H406" s="144" t="str">
        <f t="shared" si="6"/>
        <v/>
      </c>
      <c r="I406" s="144" t="str">
        <f t="shared" si="6"/>
        <v/>
      </c>
      <c r="J406" s="144"/>
      <c r="K406" s="144"/>
      <c r="L406" s="144"/>
      <c r="M406" s="144"/>
      <c r="N406" s="144"/>
      <c r="O406" s="144"/>
      <c r="P406" s="144"/>
      <c r="Q406" s="144"/>
      <c r="R406" s="144"/>
      <c r="S406" s="144"/>
      <c r="T406" s="144"/>
      <c r="U406" s="144"/>
      <c r="V406" s="144"/>
      <c r="W406" s="144"/>
      <c r="X406" s="144"/>
      <c r="Y406" s="144"/>
      <c r="Z406" s="144"/>
      <c r="AA406" s="144"/>
      <c r="AB406" s="144"/>
      <c r="AC406" s="135"/>
      <c r="AD406" s="129" t="s">
        <v>1232</v>
      </c>
      <c r="AE406" s="129" t="s">
        <v>7697</v>
      </c>
      <c r="AF406" s="130">
        <v>1</v>
      </c>
      <c r="AG406" s="129" t="s">
        <v>7389</v>
      </c>
      <c r="AH406" s="130">
        <v>61.12</v>
      </c>
      <c r="AI406" s="130">
        <v>61.12</v>
      </c>
    </row>
    <row r="407" spans="1:35" ht="10.5" customHeight="1" x14ac:dyDescent="0.2">
      <c r="A407" s="117" t="s">
        <v>5948</v>
      </c>
      <c r="B407" s="117" t="s">
        <v>2395</v>
      </c>
      <c r="C407" s="128">
        <v>1</v>
      </c>
      <c r="D407" s="133" t="s">
        <v>847</v>
      </c>
      <c r="E407" s="138">
        <f>+INDEX(F407:AB407,1,[3]BOD!$I$2-1)</f>
        <v>125.94</v>
      </c>
      <c r="F407" s="140">
        <v>125.94</v>
      </c>
      <c r="G407" s="144"/>
      <c r="H407" s="144">
        <f t="shared" si="6"/>
        <v>629.70000000000005</v>
      </c>
      <c r="I407" s="144">
        <f t="shared" si="6"/>
        <v>629.70000000000005</v>
      </c>
      <c r="J407" s="144"/>
      <c r="K407" s="144"/>
      <c r="L407" s="144"/>
      <c r="M407" s="144"/>
      <c r="N407" s="144"/>
      <c r="O407" s="144"/>
      <c r="P407" s="144"/>
      <c r="Q407" s="144"/>
      <c r="R407" s="144"/>
      <c r="S407" s="144"/>
      <c r="T407" s="144"/>
      <c r="U407" s="144"/>
      <c r="V407" s="144"/>
      <c r="W407" s="144"/>
      <c r="X407" s="144"/>
      <c r="Y407" s="144"/>
      <c r="Z407" s="144"/>
      <c r="AA407" s="144"/>
      <c r="AB407" s="144"/>
      <c r="AC407" s="135"/>
      <c r="AD407" s="129" t="s">
        <v>5459</v>
      </c>
      <c r="AE407" s="129" t="s">
        <v>5459</v>
      </c>
      <c r="AF407" s="130" t="s">
        <v>5459</v>
      </c>
      <c r="AG407" s="129" t="s">
        <v>236</v>
      </c>
      <c r="AH407" s="130" t="s">
        <v>5459</v>
      </c>
      <c r="AI407" s="130" t="s">
        <v>5459</v>
      </c>
    </row>
    <row r="408" spans="1:35" ht="10.5" customHeight="1" x14ac:dyDescent="0.2">
      <c r="A408" s="117" t="s">
        <v>5459</v>
      </c>
      <c r="B408" s="117" t="s">
        <v>2413</v>
      </c>
      <c r="C408" s="128" t="s">
        <v>5459</v>
      </c>
      <c r="D408" s="133" t="s">
        <v>236</v>
      </c>
      <c r="E408" s="138" t="str">
        <f>+INDEX(F408:AB408,1,[3]BOD!$I$2-1)</f>
        <v/>
      </c>
      <c r="F408" s="140" t="s">
        <v>5459</v>
      </c>
      <c r="G408" s="144"/>
      <c r="H408" s="144" t="str">
        <f t="shared" si="6"/>
        <v/>
      </c>
      <c r="I408" s="144" t="str">
        <f t="shared" si="6"/>
        <v/>
      </c>
      <c r="J408" s="144"/>
      <c r="K408" s="144"/>
      <c r="L408" s="144"/>
      <c r="M408" s="144"/>
      <c r="N408" s="144"/>
      <c r="O408" s="144"/>
      <c r="P408" s="144"/>
      <c r="Q408" s="144"/>
      <c r="R408" s="144"/>
      <c r="S408" s="144"/>
      <c r="T408" s="144"/>
      <c r="U408" s="144"/>
      <c r="V408" s="144"/>
      <c r="W408" s="144"/>
      <c r="X408" s="144"/>
      <c r="Y408" s="144"/>
      <c r="Z408" s="144"/>
      <c r="AA408" s="144"/>
      <c r="AB408" s="144"/>
      <c r="AC408" s="135"/>
      <c r="AD408" s="129" t="s">
        <v>1233</v>
      </c>
      <c r="AE408" s="129" t="s">
        <v>7699</v>
      </c>
      <c r="AF408" s="130">
        <v>1</v>
      </c>
      <c r="AG408" s="129" t="s">
        <v>7389</v>
      </c>
      <c r="AH408" s="130">
        <v>73.150000000000006</v>
      </c>
      <c r="AI408" s="130">
        <v>73.150000000000006</v>
      </c>
    </row>
    <row r="409" spans="1:35" ht="10.5" customHeight="1" x14ac:dyDescent="0.2">
      <c r="A409" s="115" t="s">
        <v>1197</v>
      </c>
      <c r="B409" s="117" t="s">
        <v>2414</v>
      </c>
      <c r="C409" s="128">
        <v>1</v>
      </c>
      <c r="D409" s="133" t="s">
        <v>1196</v>
      </c>
      <c r="E409" s="138">
        <f>+INDEX(F409:AB409,1,[3]BOD!$I$2-1)</f>
        <v>120</v>
      </c>
      <c r="F409" s="140">
        <v>120</v>
      </c>
      <c r="G409" s="144"/>
      <c r="H409" s="144">
        <f t="shared" si="6"/>
        <v>600</v>
      </c>
      <c r="I409" s="144">
        <f t="shared" si="6"/>
        <v>600</v>
      </c>
      <c r="J409" s="144"/>
      <c r="K409" s="144"/>
      <c r="L409" s="144"/>
      <c r="M409" s="144"/>
      <c r="N409" s="144"/>
      <c r="O409" s="144"/>
      <c r="P409" s="144"/>
      <c r="Q409" s="144"/>
      <c r="R409" s="144"/>
      <c r="S409" s="144"/>
      <c r="T409" s="144"/>
      <c r="U409" s="144"/>
      <c r="V409" s="144"/>
      <c r="W409" s="144"/>
      <c r="X409" s="144"/>
      <c r="Y409" s="144"/>
      <c r="Z409" s="144"/>
      <c r="AA409" s="144"/>
      <c r="AB409" s="144"/>
      <c r="AC409" s="135"/>
      <c r="AD409" s="129" t="s">
        <v>5459</v>
      </c>
      <c r="AE409" s="129" t="s">
        <v>5459</v>
      </c>
      <c r="AF409" s="130" t="s">
        <v>5459</v>
      </c>
      <c r="AG409" s="129" t="s">
        <v>236</v>
      </c>
      <c r="AH409" s="130" t="s">
        <v>5459</v>
      </c>
      <c r="AI409" s="130" t="s">
        <v>5459</v>
      </c>
    </row>
    <row r="410" spans="1:35" ht="10.5" customHeight="1" x14ac:dyDescent="0.2">
      <c r="A410" s="117"/>
      <c r="B410" s="117"/>
      <c r="C410" s="128"/>
      <c r="D410" s="133"/>
      <c r="E410" s="138">
        <f>+INDEX(F410:AB410,1,[3]BOD!$I$2-1)</f>
        <v>0</v>
      </c>
      <c r="F410" s="140"/>
      <c r="G410" s="144"/>
      <c r="H410" s="144" t="str">
        <f t="shared" si="6"/>
        <v/>
      </c>
      <c r="I410" s="144" t="str">
        <f t="shared" si="6"/>
        <v/>
      </c>
      <c r="J410" s="144"/>
      <c r="K410" s="144"/>
      <c r="L410" s="144"/>
      <c r="M410" s="144"/>
      <c r="N410" s="144"/>
      <c r="O410" s="144"/>
      <c r="P410" s="144"/>
      <c r="Q410" s="144"/>
      <c r="R410" s="144"/>
      <c r="S410" s="144"/>
      <c r="T410" s="144"/>
      <c r="U410" s="144"/>
      <c r="V410" s="144"/>
      <c r="W410" s="144"/>
      <c r="X410" s="144"/>
      <c r="Y410" s="144"/>
      <c r="Z410" s="144"/>
      <c r="AA410" s="144"/>
      <c r="AB410" s="144"/>
      <c r="AC410" s="135"/>
      <c r="AD410" s="129" t="s">
        <v>1234</v>
      </c>
      <c r="AE410" s="129" t="s">
        <v>1226</v>
      </c>
      <c r="AF410" s="130">
        <v>1</v>
      </c>
      <c r="AG410" s="129" t="s">
        <v>7389</v>
      </c>
      <c r="AH410" s="130">
        <v>80.62</v>
      </c>
      <c r="AI410" s="130">
        <v>80.62</v>
      </c>
    </row>
    <row r="411" spans="1:35" ht="10.5" customHeight="1" x14ac:dyDescent="0.2">
      <c r="A411" s="117" t="s">
        <v>5949</v>
      </c>
      <c r="B411" s="117" t="s">
        <v>2415</v>
      </c>
      <c r="C411" s="128"/>
      <c r="D411" s="133"/>
      <c r="E411" s="138"/>
      <c r="F411" s="140"/>
      <c r="G411" s="144"/>
      <c r="H411" s="144" t="str">
        <f t="shared" si="6"/>
        <v/>
      </c>
      <c r="I411" s="144" t="str">
        <f t="shared" si="6"/>
        <v/>
      </c>
      <c r="J411" s="144"/>
      <c r="K411" s="144"/>
      <c r="L411" s="144"/>
      <c r="M411" s="144"/>
      <c r="N411" s="144"/>
      <c r="O411" s="144"/>
      <c r="P411" s="144"/>
      <c r="Q411" s="144"/>
      <c r="R411" s="144"/>
      <c r="S411" s="144"/>
      <c r="T411" s="144"/>
      <c r="U411" s="144"/>
      <c r="V411" s="144"/>
      <c r="W411" s="144"/>
      <c r="X411" s="144"/>
      <c r="Y411" s="144"/>
      <c r="Z411" s="144"/>
      <c r="AA411" s="144"/>
      <c r="AB411" s="144"/>
      <c r="AC411" s="135"/>
      <c r="AD411" s="129" t="s">
        <v>5459</v>
      </c>
      <c r="AE411" s="129" t="s">
        <v>5459</v>
      </c>
      <c r="AF411" s="130" t="s">
        <v>5459</v>
      </c>
      <c r="AG411" s="129" t="s">
        <v>236</v>
      </c>
      <c r="AH411" s="130" t="s">
        <v>5459</v>
      </c>
      <c r="AI411" s="130" t="s">
        <v>5459</v>
      </c>
    </row>
    <row r="412" spans="1:35" ht="10.5" customHeight="1" x14ac:dyDescent="0.2">
      <c r="A412" s="117" t="s">
        <v>5459</v>
      </c>
      <c r="B412" s="117" t="s">
        <v>5459</v>
      </c>
      <c r="C412" s="128" t="s">
        <v>5459</v>
      </c>
      <c r="D412" s="133" t="s">
        <v>236</v>
      </c>
      <c r="E412" s="138" t="str">
        <f>+INDEX(F412:AB412,1,[3]BOD!$I$2-1)</f>
        <v/>
      </c>
      <c r="F412" s="140" t="s">
        <v>5459</v>
      </c>
      <c r="G412" s="144"/>
      <c r="H412" s="144" t="str">
        <f t="shared" si="6"/>
        <v/>
      </c>
      <c r="I412" s="144" t="str">
        <f t="shared" si="6"/>
        <v/>
      </c>
      <c r="J412" s="144"/>
      <c r="K412" s="144"/>
      <c r="L412" s="144"/>
      <c r="M412" s="144"/>
      <c r="N412" s="144"/>
      <c r="O412" s="144"/>
      <c r="P412" s="144"/>
      <c r="Q412" s="144"/>
      <c r="R412" s="144"/>
      <c r="S412" s="144"/>
      <c r="T412" s="144"/>
      <c r="U412" s="144"/>
      <c r="V412" s="144"/>
      <c r="W412" s="144"/>
      <c r="X412" s="144"/>
      <c r="Y412" s="144"/>
      <c r="Z412" s="144"/>
      <c r="AA412" s="144"/>
      <c r="AB412" s="144"/>
      <c r="AC412" s="135"/>
      <c r="AD412" s="129" t="s">
        <v>1235</v>
      </c>
      <c r="AE412" s="129" t="s">
        <v>1228</v>
      </c>
      <c r="AF412" s="130">
        <v>1</v>
      </c>
      <c r="AG412" s="129" t="s">
        <v>7389</v>
      </c>
      <c r="AH412" s="130">
        <v>83.72</v>
      </c>
      <c r="AI412" s="130">
        <v>83.72</v>
      </c>
    </row>
    <row r="413" spans="1:35" ht="10.5" customHeight="1" x14ac:dyDescent="0.2">
      <c r="A413" s="117" t="s">
        <v>5950</v>
      </c>
      <c r="B413" s="117" t="s">
        <v>2415</v>
      </c>
      <c r="C413" s="128"/>
      <c r="D413" s="133"/>
      <c r="E413" s="138"/>
      <c r="F413" s="140"/>
      <c r="G413" s="144"/>
      <c r="H413" s="144" t="str">
        <f t="shared" si="6"/>
        <v/>
      </c>
      <c r="I413" s="144" t="str">
        <f t="shared" si="6"/>
        <v/>
      </c>
      <c r="J413" s="144"/>
      <c r="K413" s="144"/>
      <c r="L413" s="144"/>
      <c r="M413" s="144"/>
      <c r="N413" s="144"/>
      <c r="O413" s="144"/>
      <c r="P413" s="144"/>
      <c r="Q413" s="144"/>
      <c r="R413" s="144"/>
      <c r="S413" s="144"/>
      <c r="T413" s="144"/>
      <c r="U413" s="144"/>
      <c r="V413" s="144"/>
      <c r="W413" s="144"/>
      <c r="X413" s="144"/>
      <c r="Y413" s="144"/>
      <c r="Z413" s="144"/>
      <c r="AA413" s="144"/>
      <c r="AB413" s="144"/>
      <c r="AC413" s="135"/>
    </row>
    <row r="414" spans="1:35" ht="10.5" customHeight="1" x14ac:dyDescent="0.2">
      <c r="A414" s="117" t="s">
        <v>5459</v>
      </c>
      <c r="B414" s="117" t="s">
        <v>5459</v>
      </c>
      <c r="C414" s="128" t="s">
        <v>5459</v>
      </c>
      <c r="D414" s="133" t="s">
        <v>236</v>
      </c>
      <c r="E414" s="138" t="str">
        <f>+INDEX(F414:AB414,1,[3]BOD!$I$2-1)</f>
        <v/>
      </c>
      <c r="F414" s="140" t="s">
        <v>5459</v>
      </c>
      <c r="G414" s="144"/>
      <c r="H414" s="144" t="str">
        <f t="shared" si="6"/>
        <v/>
      </c>
      <c r="I414" s="144" t="str">
        <f t="shared" si="6"/>
        <v/>
      </c>
      <c r="J414" s="144"/>
      <c r="K414" s="144"/>
      <c r="L414" s="144"/>
      <c r="M414" s="144"/>
      <c r="N414" s="144"/>
      <c r="O414" s="144"/>
      <c r="P414" s="144"/>
      <c r="Q414" s="144"/>
      <c r="R414" s="144"/>
      <c r="S414" s="144"/>
      <c r="T414" s="144"/>
      <c r="U414" s="144"/>
      <c r="V414" s="144"/>
      <c r="W414" s="144"/>
      <c r="X414" s="144"/>
      <c r="Y414" s="144"/>
      <c r="Z414" s="144"/>
      <c r="AA414" s="144"/>
      <c r="AB414" s="144"/>
      <c r="AC414" s="135"/>
    </row>
    <row r="415" spans="1:35" ht="10.5" customHeight="1" x14ac:dyDescent="0.2">
      <c r="A415" s="117" t="s">
        <v>5951</v>
      </c>
      <c r="B415" s="117" t="s">
        <v>2416</v>
      </c>
      <c r="C415" s="128">
        <v>1</v>
      </c>
      <c r="D415" s="133" t="s">
        <v>5086</v>
      </c>
      <c r="E415" s="138">
        <f>+INDEX(F415:AB415,1,[3]BOD!$I$2-1)</f>
        <v>208.33</v>
      </c>
      <c r="F415" s="140">
        <v>208.33</v>
      </c>
      <c r="G415" s="144"/>
      <c r="H415" s="144">
        <f t="shared" si="6"/>
        <v>1041.6500000000001</v>
      </c>
      <c r="I415" s="144">
        <f t="shared" si="6"/>
        <v>1041.6500000000001</v>
      </c>
      <c r="J415" s="144"/>
      <c r="K415" s="144"/>
      <c r="L415" s="144"/>
      <c r="M415" s="144"/>
      <c r="N415" s="144"/>
      <c r="O415" s="144"/>
      <c r="P415" s="144"/>
      <c r="Q415" s="144"/>
      <c r="R415" s="144"/>
      <c r="S415" s="144"/>
      <c r="T415" s="144"/>
      <c r="U415" s="144"/>
      <c r="V415" s="144"/>
      <c r="W415" s="144"/>
      <c r="X415" s="144"/>
      <c r="Y415" s="144"/>
      <c r="Z415" s="144"/>
      <c r="AA415" s="144"/>
      <c r="AB415" s="144"/>
      <c r="AC415" s="135"/>
    </row>
    <row r="416" spans="1:35" ht="10.5" customHeight="1" x14ac:dyDescent="0.2">
      <c r="A416" s="117" t="s">
        <v>5459</v>
      </c>
      <c r="B416" s="117" t="s">
        <v>5459</v>
      </c>
      <c r="C416" s="128" t="s">
        <v>5459</v>
      </c>
      <c r="D416" s="133" t="s">
        <v>236</v>
      </c>
      <c r="E416" s="138" t="str">
        <f>+INDEX(F416:AB416,1,[3]BOD!$I$2-1)</f>
        <v/>
      </c>
      <c r="F416" s="140" t="s">
        <v>5459</v>
      </c>
      <c r="G416" s="144"/>
      <c r="H416" s="144" t="str">
        <f t="shared" si="6"/>
        <v/>
      </c>
      <c r="I416" s="144" t="str">
        <f t="shared" si="6"/>
        <v/>
      </c>
      <c r="J416" s="144"/>
      <c r="K416" s="144"/>
      <c r="L416" s="144"/>
      <c r="M416" s="144"/>
      <c r="N416" s="144"/>
      <c r="O416" s="144"/>
      <c r="P416" s="144"/>
      <c r="Q416" s="144"/>
      <c r="R416" s="144"/>
      <c r="S416" s="144"/>
      <c r="T416" s="144"/>
      <c r="U416" s="144"/>
      <c r="V416" s="144"/>
      <c r="W416" s="144"/>
      <c r="X416" s="144"/>
      <c r="Y416" s="144"/>
      <c r="Z416" s="144"/>
      <c r="AA416" s="144"/>
      <c r="AB416" s="144"/>
      <c r="AC416" s="135"/>
    </row>
    <row r="417" spans="1:29" ht="10.5" customHeight="1" x14ac:dyDescent="0.2">
      <c r="A417" s="117" t="s">
        <v>6938</v>
      </c>
      <c r="B417" s="117" t="s">
        <v>2417</v>
      </c>
      <c r="C417" s="128">
        <v>1</v>
      </c>
      <c r="D417" s="133" t="s">
        <v>5086</v>
      </c>
      <c r="E417" s="138">
        <f>+INDEX(F417:AB417,1,[3]BOD!$I$2-1)</f>
        <v>240.58</v>
      </c>
      <c r="F417" s="140">
        <v>240.58</v>
      </c>
      <c r="G417" s="144"/>
      <c r="H417" s="144">
        <f t="shared" si="6"/>
        <v>1202.9000000000001</v>
      </c>
      <c r="I417" s="144">
        <f t="shared" si="6"/>
        <v>1202.9000000000001</v>
      </c>
      <c r="J417" s="144"/>
      <c r="K417" s="144"/>
      <c r="L417" s="144"/>
      <c r="M417" s="144"/>
      <c r="N417" s="144"/>
      <c r="O417" s="144"/>
      <c r="P417" s="144"/>
      <c r="Q417" s="144"/>
      <c r="R417" s="144"/>
      <c r="S417" s="144"/>
      <c r="T417" s="144"/>
      <c r="U417" s="144"/>
      <c r="V417" s="144"/>
      <c r="W417" s="144"/>
      <c r="X417" s="144"/>
      <c r="Y417" s="144"/>
      <c r="Z417" s="144"/>
      <c r="AA417" s="144"/>
      <c r="AB417" s="144"/>
      <c r="AC417" s="135"/>
    </row>
    <row r="418" spans="1:29" ht="10.5" customHeight="1" x14ac:dyDescent="0.2">
      <c r="A418" s="117" t="s">
        <v>5459</v>
      </c>
      <c r="B418" s="117" t="s">
        <v>5459</v>
      </c>
      <c r="C418" s="128" t="s">
        <v>5459</v>
      </c>
      <c r="D418" s="133" t="s">
        <v>236</v>
      </c>
      <c r="E418" s="138" t="str">
        <f>+INDEX(F418:AB418,1,[3]BOD!$I$2-1)</f>
        <v/>
      </c>
      <c r="F418" s="140" t="s">
        <v>5459</v>
      </c>
      <c r="G418" s="144"/>
      <c r="H418" s="144" t="str">
        <f t="shared" si="6"/>
        <v/>
      </c>
      <c r="I418" s="144" t="str">
        <f t="shared" si="6"/>
        <v/>
      </c>
      <c r="J418" s="144"/>
      <c r="K418" s="144"/>
      <c r="L418" s="144"/>
      <c r="M418" s="144"/>
      <c r="N418" s="144"/>
      <c r="O418" s="144"/>
      <c r="P418" s="144"/>
      <c r="Q418" s="144"/>
      <c r="R418" s="144"/>
      <c r="S418" s="144"/>
      <c r="T418" s="144"/>
      <c r="U418" s="144"/>
      <c r="V418" s="144"/>
      <c r="W418" s="144"/>
      <c r="X418" s="144"/>
      <c r="Y418" s="144"/>
      <c r="Z418" s="144"/>
      <c r="AA418" s="144"/>
      <c r="AB418" s="144"/>
      <c r="AC418" s="135"/>
    </row>
    <row r="419" spans="1:29" ht="10.5" customHeight="1" x14ac:dyDescent="0.2">
      <c r="A419" s="117" t="s">
        <v>6939</v>
      </c>
      <c r="B419" s="117" t="s">
        <v>2418</v>
      </c>
      <c r="C419" s="128">
        <v>1</v>
      </c>
      <c r="D419" s="133" t="s">
        <v>5086</v>
      </c>
      <c r="E419" s="138">
        <f>+INDEX(F419:AB419,1,[3]BOD!$I$2-1)</f>
        <v>272.83</v>
      </c>
      <c r="F419" s="140">
        <v>272.83</v>
      </c>
      <c r="G419" s="144"/>
      <c r="H419" s="144">
        <f t="shared" si="6"/>
        <v>1364.1499999999999</v>
      </c>
      <c r="I419" s="144">
        <f t="shared" si="6"/>
        <v>1364.1499999999999</v>
      </c>
      <c r="J419" s="144"/>
      <c r="K419" s="144"/>
      <c r="L419" s="144"/>
      <c r="M419" s="144"/>
      <c r="N419" s="144"/>
      <c r="O419" s="144"/>
      <c r="P419" s="144"/>
      <c r="Q419" s="144"/>
      <c r="R419" s="144"/>
      <c r="S419" s="144"/>
      <c r="T419" s="144"/>
      <c r="U419" s="144"/>
      <c r="V419" s="144"/>
      <c r="W419" s="144"/>
      <c r="X419" s="144"/>
      <c r="Y419" s="144"/>
      <c r="Z419" s="144"/>
      <c r="AA419" s="144"/>
      <c r="AB419" s="144"/>
      <c r="AC419" s="135"/>
    </row>
    <row r="420" spans="1:29" ht="10.5" customHeight="1" x14ac:dyDescent="0.2">
      <c r="A420" s="117" t="s">
        <v>5459</v>
      </c>
      <c r="B420" s="117" t="s">
        <v>5459</v>
      </c>
      <c r="C420" s="128" t="s">
        <v>5459</v>
      </c>
      <c r="D420" s="133" t="s">
        <v>236</v>
      </c>
      <c r="E420" s="138" t="str">
        <f>+INDEX(F420:AB420,1,[3]BOD!$I$2-1)</f>
        <v/>
      </c>
      <c r="F420" s="140" t="s">
        <v>5459</v>
      </c>
      <c r="G420" s="144"/>
      <c r="H420" s="144" t="str">
        <f t="shared" si="6"/>
        <v/>
      </c>
      <c r="I420" s="144" t="str">
        <f t="shared" si="6"/>
        <v/>
      </c>
      <c r="J420" s="144"/>
      <c r="K420" s="144"/>
      <c r="L420" s="144"/>
      <c r="M420" s="144"/>
      <c r="N420" s="144"/>
      <c r="O420" s="144"/>
      <c r="P420" s="144"/>
      <c r="Q420" s="144"/>
      <c r="R420" s="144"/>
      <c r="S420" s="144"/>
      <c r="T420" s="144"/>
      <c r="U420" s="144"/>
      <c r="V420" s="144"/>
      <c r="W420" s="144"/>
      <c r="X420" s="144"/>
      <c r="Y420" s="144"/>
      <c r="Z420" s="144"/>
      <c r="AA420" s="144"/>
      <c r="AB420" s="144"/>
      <c r="AC420" s="135"/>
    </row>
    <row r="421" spans="1:29" ht="10.5" customHeight="1" x14ac:dyDescent="0.2">
      <c r="A421" s="117" t="s">
        <v>6940</v>
      </c>
      <c r="B421" s="117" t="s">
        <v>2419</v>
      </c>
      <c r="C421" s="128">
        <v>1</v>
      </c>
      <c r="D421" s="133" t="s">
        <v>5086</v>
      </c>
      <c r="E421" s="138">
        <f>+INDEX(F421:AB421,1,[3]BOD!$I$2-1)</f>
        <v>305.08</v>
      </c>
      <c r="F421" s="140">
        <v>305.08</v>
      </c>
      <c r="G421" s="144"/>
      <c r="H421" s="144">
        <f t="shared" si="6"/>
        <v>1525.3999999999999</v>
      </c>
      <c r="I421" s="144">
        <f t="shared" si="6"/>
        <v>1525.3999999999999</v>
      </c>
      <c r="J421" s="144"/>
      <c r="K421" s="144"/>
      <c r="L421" s="144"/>
      <c r="M421" s="144"/>
      <c r="N421" s="144"/>
      <c r="O421" s="144"/>
      <c r="P421" s="144"/>
      <c r="Q421" s="144"/>
      <c r="R421" s="144"/>
      <c r="S421" s="144"/>
      <c r="T421" s="144"/>
      <c r="U421" s="144"/>
      <c r="V421" s="144"/>
      <c r="W421" s="144"/>
      <c r="X421" s="144"/>
      <c r="Y421" s="144"/>
      <c r="Z421" s="144"/>
      <c r="AA421" s="144"/>
      <c r="AB421" s="144"/>
      <c r="AC421" s="135"/>
    </row>
    <row r="422" spans="1:29" ht="10.5" customHeight="1" x14ac:dyDescent="0.2">
      <c r="A422" s="117" t="s">
        <v>5459</v>
      </c>
      <c r="B422" s="117" t="s">
        <v>5459</v>
      </c>
      <c r="C422" s="128" t="s">
        <v>5459</v>
      </c>
      <c r="D422" s="133" t="s">
        <v>236</v>
      </c>
      <c r="E422" s="138" t="str">
        <f>+INDEX(F422:AB422,1,[3]BOD!$I$2-1)</f>
        <v/>
      </c>
      <c r="F422" s="140" t="s">
        <v>5459</v>
      </c>
      <c r="G422" s="144"/>
      <c r="H422" s="144" t="str">
        <f t="shared" si="6"/>
        <v/>
      </c>
      <c r="I422" s="144" t="str">
        <f t="shared" si="6"/>
        <v/>
      </c>
      <c r="J422" s="144"/>
      <c r="K422" s="144"/>
      <c r="L422" s="144"/>
      <c r="M422" s="144"/>
      <c r="N422" s="144"/>
      <c r="O422" s="144"/>
      <c r="P422" s="144"/>
      <c r="Q422" s="144"/>
      <c r="R422" s="144"/>
      <c r="S422" s="144"/>
      <c r="T422" s="144"/>
      <c r="U422" s="144"/>
      <c r="V422" s="144"/>
      <c r="W422" s="144"/>
      <c r="X422" s="144"/>
      <c r="Y422" s="144"/>
      <c r="Z422" s="144"/>
      <c r="AA422" s="144"/>
      <c r="AB422" s="144"/>
      <c r="AC422" s="135"/>
    </row>
    <row r="423" spans="1:29" ht="10.5" customHeight="1" x14ac:dyDescent="0.2">
      <c r="A423" s="117" t="s">
        <v>6941</v>
      </c>
      <c r="B423" s="117" t="s">
        <v>2420</v>
      </c>
      <c r="C423" s="128">
        <v>1</v>
      </c>
      <c r="D423" s="133" t="s">
        <v>5086</v>
      </c>
      <c r="E423" s="138">
        <f>+INDEX(F423:AB423,1,[3]BOD!$I$2-1)</f>
        <v>250</v>
      </c>
      <c r="F423" s="140">
        <v>250</v>
      </c>
      <c r="G423" s="144"/>
      <c r="H423" s="144">
        <f t="shared" si="6"/>
        <v>1250</v>
      </c>
      <c r="I423" s="144">
        <f t="shared" si="6"/>
        <v>1250</v>
      </c>
      <c r="J423" s="144"/>
      <c r="K423" s="144"/>
      <c r="L423" s="144"/>
      <c r="M423" s="144"/>
      <c r="N423" s="144"/>
      <c r="O423" s="144"/>
      <c r="P423" s="144"/>
      <c r="Q423" s="144"/>
      <c r="R423" s="144"/>
      <c r="S423" s="144"/>
      <c r="T423" s="144"/>
      <c r="U423" s="144"/>
      <c r="V423" s="144"/>
      <c r="W423" s="144"/>
      <c r="X423" s="144"/>
      <c r="Y423" s="144"/>
      <c r="Z423" s="144"/>
      <c r="AA423" s="144"/>
      <c r="AB423" s="144"/>
      <c r="AC423" s="135"/>
    </row>
    <row r="424" spans="1:29" ht="10.5" customHeight="1" x14ac:dyDescent="0.2">
      <c r="A424" s="117" t="s">
        <v>5459</v>
      </c>
      <c r="B424" s="117" t="s">
        <v>5459</v>
      </c>
      <c r="C424" s="128" t="s">
        <v>5459</v>
      </c>
      <c r="D424" s="133" t="s">
        <v>236</v>
      </c>
      <c r="E424" s="138" t="str">
        <f>+INDEX(F424:AB424,1,[3]BOD!$I$2-1)</f>
        <v/>
      </c>
      <c r="F424" s="140" t="s">
        <v>5459</v>
      </c>
      <c r="G424" s="144"/>
      <c r="H424" s="144" t="str">
        <f t="shared" si="6"/>
        <v/>
      </c>
      <c r="I424" s="144" t="str">
        <f t="shared" si="6"/>
        <v/>
      </c>
      <c r="J424" s="144"/>
      <c r="K424" s="144"/>
      <c r="L424" s="144"/>
      <c r="M424" s="144"/>
      <c r="N424" s="144"/>
      <c r="O424" s="144"/>
      <c r="P424" s="144"/>
      <c r="Q424" s="144"/>
      <c r="R424" s="144"/>
      <c r="S424" s="144"/>
      <c r="T424" s="144"/>
      <c r="U424" s="144"/>
      <c r="V424" s="144"/>
      <c r="W424" s="144"/>
      <c r="X424" s="144"/>
      <c r="Y424" s="144"/>
      <c r="Z424" s="144"/>
      <c r="AA424" s="144"/>
      <c r="AB424" s="144"/>
      <c r="AC424" s="135"/>
    </row>
    <row r="425" spans="1:29" ht="10.5" customHeight="1" x14ac:dyDescent="0.2">
      <c r="A425" s="117" t="s">
        <v>6942</v>
      </c>
      <c r="B425" s="117" t="s">
        <v>2421</v>
      </c>
      <c r="C425" s="128">
        <v>1</v>
      </c>
      <c r="D425" s="133" t="s">
        <v>5086</v>
      </c>
      <c r="E425" s="138">
        <f>+INDEX(F425:AB425,1,[3]BOD!$I$2-1)</f>
        <v>288.7</v>
      </c>
      <c r="F425" s="140">
        <v>288.7</v>
      </c>
      <c r="G425" s="144"/>
      <c r="H425" s="144">
        <f t="shared" si="6"/>
        <v>1443.5</v>
      </c>
      <c r="I425" s="144">
        <f t="shared" si="6"/>
        <v>1443.5</v>
      </c>
      <c r="J425" s="144"/>
      <c r="K425" s="144"/>
      <c r="L425" s="144"/>
      <c r="M425" s="144"/>
      <c r="N425" s="144"/>
      <c r="O425" s="144"/>
      <c r="P425" s="144"/>
      <c r="Q425" s="144"/>
      <c r="R425" s="144"/>
      <c r="S425" s="144"/>
      <c r="T425" s="144"/>
      <c r="U425" s="144"/>
      <c r="V425" s="144"/>
      <c r="W425" s="144"/>
      <c r="X425" s="144"/>
      <c r="Y425" s="144"/>
      <c r="Z425" s="144"/>
      <c r="AA425" s="144"/>
      <c r="AB425" s="144"/>
      <c r="AC425" s="135"/>
    </row>
    <row r="426" spans="1:29" ht="10.5" customHeight="1" x14ac:dyDescent="0.2">
      <c r="A426" s="117" t="s">
        <v>5459</v>
      </c>
      <c r="B426" s="117" t="s">
        <v>5459</v>
      </c>
      <c r="C426" s="128" t="s">
        <v>5459</v>
      </c>
      <c r="D426" s="133" t="s">
        <v>236</v>
      </c>
      <c r="E426" s="138" t="str">
        <f>+INDEX(F426:AB426,1,[3]BOD!$I$2-1)</f>
        <v/>
      </c>
      <c r="F426" s="140" t="s">
        <v>5459</v>
      </c>
      <c r="G426" s="144"/>
      <c r="H426" s="144" t="str">
        <f t="shared" si="6"/>
        <v/>
      </c>
      <c r="I426" s="144" t="str">
        <f t="shared" si="6"/>
        <v/>
      </c>
      <c r="J426" s="144"/>
      <c r="K426" s="144"/>
      <c r="L426" s="144"/>
      <c r="M426" s="144"/>
      <c r="N426" s="144"/>
      <c r="O426" s="144"/>
      <c r="P426" s="144"/>
      <c r="Q426" s="144"/>
      <c r="R426" s="144"/>
      <c r="S426" s="144"/>
      <c r="T426" s="144"/>
      <c r="U426" s="144"/>
      <c r="V426" s="144"/>
      <c r="W426" s="144"/>
      <c r="X426" s="144"/>
      <c r="Y426" s="144"/>
      <c r="Z426" s="144"/>
      <c r="AA426" s="144"/>
      <c r="AB426" s="144"/>
      <c r="AC426" s="135"/>
    </row>
    <row r="427" spans="1:29" ht="10.5" customHeight="1" x14ac:dyDescent="0.2">
      <c r="A427" s="117" t="s">
        <v>6943</v>
      </c>
      <c r="B427" s="117" t="s">
        <v>2422</v>
      </c>
      <c r="C427" s="128">
        <v>1</v>
      </c>
      <c r="D427" s="133" t="s">
        <v>5086</v>
      </c>
      <c r="E427" s="138">
        <f>+INDEX(F427:AB427,1,[3]BOD!$I$2-1)</f>
        <v>327.39</v>
      </c>
      <c r="F427" s="140">
        <v>327.39</v>
      </c>
      <c r="G427" s="144"/>
      <c r="H427" s="144">
        <f t="shared" si="6"/>
        <v>1636.9499999999998</v>
      </c>
      <c r="I427" s="144">
        <f t="shared" si="6"/>
        <v>1636.9499999999998</v>
      </c>
      <c r="J427" s="144"/>
      <c r="K427" s="144"/>
      <c r="L427" s="144"/>
      <c r="M427" s="144"/>
      <c r="N427" s="144"/>
      <c r="O427" s="144"/>
      <c r="P427" s="144"/>
      <c r="Q427" s="144"/>
      <c r="R427" s="144"/>
      <c r="S427" s="144"/>
      <c r="T427" s="144"/>
      <c r="U427" s="144"/>
      <c r="V427" s="144"/>
      <c r="W427" s="144"/>
      <c r="X427" s="144"/>
      <c r="Y427" s="144"/>
      <c r="Z427" s="144"/>
      <c r="AA427" s="144"/>
      <c r="AB427" s="144"/>
      <c r="AC427" s="135"/>
    </row>
    <row r="428" spans="1:29" ht="10.5" customHeight="1" x14ac:dyDescent="0.2">
      <c r="A428" s="117" t="s">
        <v>5459</v>
      </c>
      <c r="B428" s="117" t="s">
        <v>5459</v>
      </c>
      <c r="C428" s="128" t="s">
        <v>5459</v>
      </c>
      <c r="D428" s="133" t="s">
        <v>236</v>
      </c>
      <c r="E428" s="138" t="str">
        <f>+INDEX(F428:AB428,1,[3]BOD!$I$2-1)</f>
        <v/>
      </c>
      <c r="F428" s="140" t="s">
        <v>5459</v>
      </c>
      <c r="G428" s="144"/>
      <c r="H428" s="144" t="str">
        <f t="shared" si="6"/>
        <v/>
      </c>
      <c r="I428" s="144" t="str">
        <f t="shared" si="6"/>
        <v/>
      </c>
      <c r="J428" s="144"/>
      <c r="K428" s="144"/>
      <c r="L428" s="144"/>
      <c r="M428" s="144"/>
      <c r="N428" s="144"/>
      <c r="O428" s="144"/>
      <c r="P428" s="144"/>
      <c r="Q428" s="144"/>
      <c r="R428" s="144"/>
      <c r="S428" s="144"/>
      <c r="T428" s="144"/>
      <c r="U428" s="144"/>
      <c r="V428" s="144"/>
      <c r="W428" s="144"/>
      <c r="X428" s="144"/>
      <c r="Y428" s="144"/>
      <c r="Z428" s="144"/>
      <c r="AA428" s="144"/>
      <c r="AB428" s="144"/>
      <c r="AC428" s="135"/>
    </row>
    <row r="429" spans="1:29" ht="10.5" customHeight="1" x14ac:dyDescent="0.2">
      <c r="A429" s="117" t="s">
        <v>6944</v>
      </c>
      <c r="B429" s="117" t="s">
        <v>2423</v>
      </c>
      <c r="C429" s="128">
        <v>1</v>
      </c>
      <c r="D429" s="133" t="s">
        <v>5086</v>
      </c>
      <c r="E429" s="138">
        <f>+INDEX(F429:AB429,1,[3]BOD!$I$2-1)</f>
        <v>366.11</v>
      </c>
      <c r="F429" s="140">
        <v>366.11</v>
      </c>
      <c r="G429" s="144"/>
      <c r="H429" s="144">
        <f t="shared" si="6"/>
        <v>1830.5500000000002</v>
      </c>
      <c r="I429" s="144">
        <f t="shared" si="6"/>
        <v>1830.5500000000002</v>
      </c>
      <c r="J429" s="144"/>
      <c r="K429" s="144"/>
      <c r="L429" s="144"/>
      <c r="M429" s="144"/>
      <c r="N429" s="144"/>
      <c r="O429" s="144"/>
      <c r="P429" s="144"/>
      <c r="Q429" s="144"/>
      <c r="R429" s="144"/>
      <c r="S429" s="144"/>
      <c r="T429" s="144"/>
      <c r="U429" s="144"/>
      <c r="V429" s="144"/>
      <c r="W429" s="144"/>
      <c r="X429" s="144"/>
      <c r="Y429" s="144"/>
      <c r="Z429" s="144"/>
      <c r="AA429" s="144"/>
      <c r="AB429" s="144"/>
      <c r="AC429" s="135"/>
    </row>
    <row r="430" spans="1:29" ht="10.5" customHeight="1" x14ac:dyDescent="0.2">
      <c r="A430" s="117" t="s">
        <v>5459</v>
      </c>
      <c r="B430" s="117" t="s">
        <v>5459</v>
      </c>
      <c r="C430" s="128" t="s">
        <v>5459</v>
      </c>
      <c r="D430" s="133" t="s">
        <v>236</v>
      </c>
      <c r="E430" s="138" t="str">
        <f>+INDEX(F430:AB430,1,[3]BOD!$I$2-1)</f>
        <v/>
      </c>
      <c r="F430" s="140" t="s">
        <v>5459</v>
      </c>
      <c r="G430" s="144"/>
      <c r="H430" s="144" t="str">
        <f t="shared" si="6"/>
        <v/>
      </c>
      <c r="I430" s="144" t="str">
        <f t="shared" si="6"/>
        <v/>
      </c>
      <c r="J430" s="144"/>
      <c r="K430" s="144"/>
      <c r="L430" s="144"/>
      <c r="M430" s="144"/>
      <c r="N430" s="144"/>
      <c r="O430" s="144"/>
      <c r="P430" s="144"/>
      <c r="Q430" s="144"/>
      <c r="R430" s="144"/>
      <c r="S430" s="144"/>
      <c r="T430" s="144"/>
      <c r="U430" s="144"/>
      <c r="V430" s="144"/>
      <c r="W430" s="144"/>
      <c r="X430" s="144"/>
      <c r="Y430" s="144"/>
      <c r="Z430" s="144"/>
      <c r="AA430" s="144"/>
      <c r="AB430" s="144"/>
      <c r="AC430" s="135"/>
    </row>
    <row r="431" spans="1:29" ht="10.5" customHeight="1" x14ac:dyDescent="0.2">
      <c r="A431" s="117" t="s">
        <v>6945</v>
      </c>
      <c r="B431" s="117" t="s">
        <v>2424</v>
      </c>
      <c r="C431" s="128">
        <v>1</v>
      </c>
      <c r="D431" s="133" t="s">
        <v>5086</v>
      </c>
      <c r="E431" s="138">
        <f>+INDEX(F431:AB431,1,[3]BOD!$I$2-1)</f>
        <v>312.49</v>
      </c>
      <c r="F431" s="140">
        <v>312.49</v>
      </c>
      <c r="G431" s="144"/>
      <c r="H431" s="144">
        <f t="shared" si="6"/>
        <v>1562.45</v>
      </c>
      <c r="I431" s="144">
        <f t="shared" si="6"/>
        <v>1562.45</v>
      </c>
      <c r="J431" s="144"/>
      <c r="K431" s="144"/>
      <c r="L431" s="144"/>
      <c r="M431" s="144"/>
      <c r="N431" s="144"/>
      <c r="O431" s="144"/>
      <c r="P431" s="144"/>
      <c r="Q431" s="144"/>
      <c r="R431" s="144"/>
      <c r="S431" s="144"/>
      <c r="T431" s="144"/>
      <c r="U431" s="144"/>
      <c r="V431" s="144"/>
      <c r="W431" s="144"/>
      <c r="X431" s="144"/>
      <c r="Y431" s="144"/>
      <c r="Z431" s="144"/>
      <c r="AA431" s="144"/>
      <c r="AB431" s="144"/>
      <c r="AC431" s="135"/>
    </row>
    <row r="432" spans="1:29" ht="10.5" customHeight="1" x14ac:dyDescent="0.2">
      <c r="A432" s="117" t="s">
        <v>5459</v>
      </c>
      <c r="B432" s="117" t="s">
        <v>5459</v>
      </c>
      <c r="C432" s="128" t="s">
        <v>5459</v>
      </c>
      <c r="D432" s="133" t="s">
        <v>236</v>
      </c>
      <c r="E432" s="138" t="str">
        <f>+INDEX(F432:AB432,1,[3]BOD!$I$2-1)</f>
        <v/>
      </c>
      <c r="F432" s="140" t="s">
        <v>5459</v>
      </c>
      <c r="G432" s="144"/>
      <c r="H432" s="144" t="str">
        <f t="shared" si="6"/>
        <v/>
      </c>
      <c r="I432" s="144" t="str">
        <f t="shared" si="6"/>
        <v/>
      </c>
      <c r="J432" s="144"/>
      <c r="K432" s="144"/>
      <c r="L432" s="144"/>
      <c r="M432" s="144"/>
      <c r="N432" s="144"/>
      <c r="O432" s="144"/>
      <c r="P432" s="144"/>
      <c r="Q432" s="144"/>
      <c r="R432" s="144"/>
      <c r="S432" s="144"/>
      <c r="T432" s="144"/>
      <c r="U432" s="144"/>
      <c r="V432" s="144"/>
      <c r="W432" s="144"/>
      <c r="X432" s="144"/>
      <c r="Y432" s="144"/>
      <c r="Z432" s="144"/>
      <c r="AA432" s="144"/>
      <c r="AB432" s="144"/>
      <c r="AC432" s="135"/>
    </row>
    <row r="433" spans="1:29" ht="10.5" customHeight="1" x14ac:dyDescent="0.2">
      <c r="A433" s="117" t="s">
        <v>6946</v>
      </c>
      <c r="B433" s="117" t="s">
        <v>2425</v>
      </c>
      <c r="C433" s="128">
        <v>1</v>
      </c>
      <c r="D433" s="133" t="s">
        <v>5086</v>
      </c>
      <c r="E433" s="138">
        <f>+INDEX(F433:AB433,1,[3]BOD!$I$2-1)</f>
        <v>360.88</v>
      </c>
      <c r="F433" s="140">
        <v>360.88</v>
      </c>
      <c r="G433" s="144"/>
      <c r="H433" s="144">
        <f t="shared" si="6"/>
        <v>1804.4</v>
      </c>
      <c r="I433" s="144">
        <f t="shared" si="6"/>
        <v>1804.4</v>
      </c>
      <c r="J433" s="144"/>
      <c r="K433" s="144"/>
      <c r="L433" s="144"/>
      <c r="M433" s="144"/>
      <c r="N433" s="144"/>
      <c r="O433" s="144"/>
      <c r="P433" s="144"/>
      <c r="Q433" s="144"/>
      <c r="R433" s="144"/>
      <c r="S433" s="144"/>
      <c r="T433" s="144"/>
      <c r="U433" s="144"/>
      <c r="V433" s="144"/>
      <c r="W433" s="144"/>
      <c r="X433" s="144"/>
      <c r="Y433" s="144"/>
      <c r="Z433" s="144"/>
      <c r="AA433" s="144"/>
      <c r="AB433" s="144"/>
      <c r="AC433" s="135"/>
    </row>
    <row r="434" spans="1:29" ht="10.5" customHeight="1" x14ac:dyDescent="0.2">
      <c r="A434" s="117" t="s">
        <v>5459</v>
      </c>
      <c r="B434" s="117" t="s">
        <v>5459</v>
      </c>
      <c r="C434" s="128" t="s">
        <v>5459</v>
      </c>
      <c r="D434" s="133" t="s">
        <v>236</v>
      </c>
      <c r="E434" s="138" t="str">
        <f>+INDEX(F434:AB434,1,[3]BOD!$I$2-1)</f>
        <v/>
      </c>
      <c r="F434" s="140" t="s">
        <v>5459</v>
      </c>
      <c r="G434" s="144"/>
      <c r="H434" s="144" t="str">
        <f t="shared" si="6"/>
        <v/>
      </c>
      <c r="I434" s="144" t="str">
        <f t="shared" si="6"/>
        <v/>
      </c>
      <c r="J434" s="144"/>
      <c r="K434" s="144"/>
      <c r="L434" s="144"/>
      <c r="M434" s="144"/>
      <c r="N434" s="144"/>
      <c r="O434" s="144"/>
      <c r="P434" s="144"/>
      <c r="Q434" s="144"/>
      <c r="R434" s="144"/>
      <c r="S434" s="144"/>
      <c r="T434" s="144"/>
      <c r="U434" s="144"/>
      <c r="V434" s="144"/>
      <c r="W434" s="144"/>
      <c r="X434" s="144"/>
      <c r="Y434" s="144"/>
      <c r="Z434" s="144"/>
      <c r="AA434" s="144"/>
      <c r="AB434" s="144"/>
      <c r="AC434" s="135"/>
    </row>
    <row r="435" spans="1:29" ht="10.5" customHeight="1" x14ac:dyDescent="0.2">
      <c r="A435" s="117" t="s">
        <v>6947</v>
      </c>
      <c r="B435" s="117" t="s">
        <v>2426</v>
      </c>
      <c r="C435" s="128">
        <v>1</v>
      </c>
      <c r="D435" s="133" t="s">
        <v>5086</v>
      </c>
      <c r="E435" s="138">
        <f>+INDEX(F435:AB435,1,[3]BOD!$I$2-1)</f>
        <v>409.25</v>
      </c>
      <c r="F435" s="140">
        <v>409.25</v>
      </c>
      <c r="G435" s="144"/>
      <c r="H435" s="144">
        <f t="shared" si="6"/>
        <v>2046.25</v>
      </c>
      <c r="I435" s="144">
        <f t="shared" si="6"/>
        <v>2046.25</v>
      </c>
      <c r="J435" s="144"/>
      <c r="K435" s="144"/>
      <c r="L435" s="144"/>
      <c r="M435" s="144"/>
      <c r="N435" s="144"/>
      <c r="O435" s="144"/>
      <c r="P435" s="144"/>
      <c r="Q435" s="144"/>
      <c r="R435" s="144"/>
      <c r="S435" s="144"/>
      <c r="T435" s="144"/>
      <c r="U435" s="144"/>
      <c r="V435" s="144"/>
      <c r="W435" s="144"/>
      <c r="X435" s="144"/>
      <c r="Y435" s="144"/>
      <c r="Z435" s="144"/>
      <c r="AA435" s="144"/>
      <c r="AB435" s="144"/>
      <c r="AC435" s="135"/>
    </row>
    <row r="436" spans="1:29" ht="10.5" customHeight="1" x14ac:dyDescent="0.2">
      <c r="A436" s="117" t="s">
        <v>5459</v>
      </c>
      <c r="B436" s="117" t="s">
        <v>5459</v>
      </c>
      <c r="C436" s="128" t="s">
        <v>5459</v>
      </c>
      <c r="D436" s="133" t="s">
        <v>236</v>
      </c>
      <c r="E436" s="138" t="str">
        <f>+INDEX(F436:AB436,1,[3]BOD!$I$2-1)</f>
        <v/>
      </c>
      <c r="F436" s="140" t="s">
        <v>5459</v>
      </c>
      <c r="G436" s="144"/>
      <c r="H436" s="144" t="str">
        <f t="shared" si="6"/>
        <v/>
      </c>
      <c r="I436" s="144" t="str">
        <f t="shared" si="6"/>
        <v/>
      </c>
      <c r="J436" s="144"/>
      <c r="K436" s="144"/>
      <c r="L436" s="144"/>
      <c r="M436" s="144"/>
      <c r="N436" s="144"/>
      <c r="O436" s="144"/>
      <c r="P436" s="144"/>
      <c r="Q436" s="144"/>
      <c r="R436" s="144"/>
      <c r="S436" s="144"/>
      <c r="T436" s="144"/>
      <c r="U436" s="144"/>
      <c r="V436" s="144"/>
      <c r="W436" s="144"/>
      <c r="X436" s="144"/>
      <c r="Y436" s="144"/>
      <c r="Z436" s="144"/>
      <c r="AA436" s="144"/>
      <c r="AB436" s="144"/>
      <c r="AC436" s="135"/>
    </row>
    <row r="437" spans="1:29" ht="10.5" customHeight="1" x14ac:dyDescent="0.2">
      <c r="A437" s="117" t="s">
        <v>6948</v>
      </c>
      <c r="B437" s="117" t="s">
        <v>2427</v>
      </c>
      <c r="C437" s="128">
        <v>1</v>
      </c>
      <c r="D437" s="133" t="s">
        <v>5086</v>
      </c>
      <c r="E437" s="138">
        <f>+INDEX(F437:AB437,1,[3]BOD!$I$2-1)</f>
        <v>457.64</v>
      </c>
      <c r="F437" s="140">
        <v>457.64</v>
      </c>
      <c r="G437" s="144"/>
      <c r="H437" s="144">
        <f t="shared" si="6"/>
        <v>2288.1999999999998</v>
      </c>
      <c r="I437" s="144">
        <f t="shared" si="6"/>
        <v>2288.1999999999998</v>
      </c>
      <c r="J437" s="144"/>
      <c r="K437" s="144"/>
      <c r="L437" s="144"/>
      <c r="M437" s="144"/>
      <c r="N437" s="144"/>
      <c r="O437" s="144"/>
      <c r="P437" s="144"/>
      <c r="Q437" s="144"/>
      <c r="R437" s="144"/>
      <c r="S437" s="144"/>
      <c r="T437" s="144"/>
      <c r="U437" s="144"/>
      <c r="V437" s="144"/>
      <c r="W437" s="144"/>
      <c r="X437" s="144"/>
      <c r="Y437" s="144"/>
      <c r="Z437" s="144"/>
      <c r="AA437" s="144"/>
      <c r="AB437" s="144"/>
      <c r="AC437" s="135"/>
    </row>
    <row r="438" spans="1:29" ht="10.5" customHeight="1" x14ac:dyDescent="0.2">
      <c r="A438" s="117" t="s">
        <v>5459</v>
      </c>
      <c r="B438" s="117" t="s">
        <v>5459</v>
      </c>
      <c r="C438" s="128" t="s">
        <v>5459</v>
      </c>
      <c r="D438" s="133" t="s">
        <v>236</v>
      </c>
      <c r="E438" s="138" t="str">
        <f>+INDEX(F438:AB438,1,[3]BOD!$I$2-1)</f>
        <v/>
      </c>
      <c r="F438" s="140" t="s">
        <v>5459</v>
      </c>
      <c r="G438" s="144"/>
      <c r="H438" s="144" t="str">
        <f t="shared" si="6"/>
        <v/>
      </c>
      <c r="I438" s="144" t="str">
        <f t="shared" si="6"/>
        <v/>
      </c>
      <c r="J438" s="144"/>
      <c r="K438" s="144"/>
      <c r="L438" s="144"/>
      <c r="M438" s="144"/>
      <c r="N438" s="144"/>
      <c r="O438" s="144"/>
      <c r="P438" s="144"/>
      <c r="Q438" s="144"/>
      <c r="R438" s="144"/>
      <c r="S438" s="144"/>
      <c r="T438" s="144"/>
      <c r="U438" s="144"/>
      <c r="V438" s="144"/>
      <c r="W438" s="144"/>
      <c r="X438" s="144"/>
      <c r="Y438" s="144"/>
      <c r="Z438" s="144"/>
      <c r="AA438" s="144"/>
      <c r="AB438" s="144"/>
      <c r="AC438" s="135"/>
    </row>
    <row r="439" spans="1:29" ht="10.5" customHeight="1" x14ac:dyDescent="0.2">
      <c r="A439" s="117" t="s">
        <v>6949</v>
      </c>
      <c r="B439" s="117" t="s">
        <v>2428</v>
      </c>
      <c r="C439" s="128"/>
      <c r="D439" s="133"/>
      <c r="E439" s="138"/>
      <c r="F439" s="140"/>
      <c r="G439" s="144"/>
      <c r="H439" s="144" t="str">
        <f t="shared" si="6"/>
        <v/>
      </c>
      <c r="I439" s="144" t="str">
        <f t="shared" si="6"/>
        <v/>
      </c>
      <c r="J439" s="144"/>
      <c r="K439" s="144"/>
      <c r="L439" s="144"/>
      <c r="M439" s="144"/>
      <c r="N439" s="144"/>
      <c r="O439" s="144"/>
      <c r="P439" s="144"/>
      <c r="Q439" s="144"/>
      <c r="R439" s="144"/>
      <c r="S439" s="144"/>
      <c r="T439" s="144"/>
      <c r="U439" s="144"/>
      <c r="V439" s="144"/>
      <c r="W439" s="144"/>
      <c r="X439" s="144"/>
      <c r="Y439" s="144"/>
      <c r="Z439" s="144"/>
      <c r="AA439" s="144"/>
      <c r="AB439" s="144"/>
      <c r="AC439" s="135"/>
    </row>
    <row r="440" spans="1:29" ht="10.5" customHeight="1" x14ac:dyDescent="0.2">
      <c r="A440" s="117" t="s">
        <v>5459</v>
      </c>
      <c r="B440" s="117" t="s">
        <v>5459</v>
      </c>
      <c r="C440" s="128"/>
      <c r="D440" s="133"/>
      <c r="E440" s="138"/>
      <c r="F440" s="140"/>
      <c r="G440" s="144"/>
      <c r="H440" s="144" t="str">
        <f t="shared" si="6"/>
        <v/>
      </c>
      <c r="I440" s="144" t="str">
        <f t="shared" si="6"/>
        <v/>
      </c>
      <c r="J440" s="144"/>
      <c r="K440" s="144"/>
      <c r="L440" s="144"/>
      <c r="M440" s="144"/>
      <c r="N440" s="144"/>
      <c r="O440" s="144"/>
      <c r="P440" s="144"/>
      <c r="Q440" s="144"/>
      <c r="R440" s="144"/>
      <c r="S440" s="144"/>
      <c r="T440" s="144"/>
      <c r="U440" s="144"/>
      <c r="V440" s="144"/>
      <c r="W440" s="144"/>
      <c r="X440" s="144"/>
      <c r="Y440" s="144"/>
      <c r="Z440" s="144"/>
      <c r="AA440" s="144"/>
      <c r="AB440" s="144"/>
      <c r="AC440" s="135"/>
    </row>
    <row r="441" spans="1:29" ht="10.5" customHeight="1" x14ac:dyDescent="0.2">
      <c r="A441" s="117" t="s">
        <v>6950</v>
      </c>
      <c r="B441" s="117" t="s">
        <v>2256</v>
      </c>
      <c r="C441" s="128"/>
      <c r="D441" s="133"/>
      <c r="E441" s="138"/>
      <c r="F441" s="140"/>
      <c r="G441" s="144"/>
      <c r="H441" s="144" t="str">
        <f t="shared" si="6"/>
        <v/>
      </c>
      <c r="I441" s="144" t="str">
        <f t="shared" si="6"/>
        <v/>
      </c>
      <c r="J441" s="144"/>
      <c r="K441" s="144"/>
      <c r="L441" s="144"/>
      <c r="M441" s="144"/>
      <c r="N441" s="144"/>
      <c r="O441" s="144"/>
      <c r="P441" s="144"/>
      <c r="Q441" s="144"/>
      <c r="R441" s="144"/>
      <c r="S441" s="144"/>
      <c r="T441" s="144"/>
      <c r="U441" s="144"/>
      <c r="V441" s="144"/>
      <c r="W441" s="144"/>
      <c r="X441" s="144"/>
      <c r="Y441" s="144"/>
      <c r="Z441" s="144"/>
      <c r="AA441" s="144"/>
      <c r="AB441" s="144"/>
      <c r="AC441" s="135"/>
    </row>
    <row r="442" spans="1:29" ht="10.5" customHeight="1" x14ac:dyDescent="0.2">
      <c r="A442" s="117" t="s">
        <v>5459</v>
      </c>
      <c r="B442" s="117" t="s">
        <v>5459</v>
      </c>
      <c r="C442" s="128" t="s">
        <v>5459</v>
      </c>
      <c r="D442" s="133" t="s">
        <v>236</v>
      </c>
      <c r="E442" s="138" t="str">
        <f>+INDEX(F442:AB442,1,[3]BOD!$I$2-1)</f>
        <v/>
      </c>
      <c r="F442" s="140" t="s">
        <v>5459</v>
      </c>
      <c r="G442" s="144"/>
      <c r="H442" s="144" t="str">
        <f t="shared" si="6"/>
        <v/>
      </c>
      <c r="I442" s="144" t="str">
        <f t="shared" si="6"/>
        <v/>
      </c>
      <c r="J442" s="144"/>
      <c r="K442" s="144"/>
      <c r="L442" s="144"/>
      <c r="M442" s="144"/>
      <c r="N442" s="144"/>
      <c r="O442" s="144"/>
      <c r="P442" s="144"/>
      <c r="Q442" s="144"/>
      <c r="R442" s="144"/>
      <c r="S442" s="144"/>
      <c r="T442" s="144"/>
      <c r="U442" s="144"/>
      <c r="V442" s="144"/>
      <c r="W442" s="144"/>
      <c r="X442" s="144"/>
      <c r="Y442" s="144"/>
      <c r="Z442" s="144"/>
      <c r="AA442" s="144"/>
      <c r="AB442" s="144"/>
      <c r="AC442" s="135"/>
    </row>
    <row r="443" spans="1:29" ht="10.5" customHeight="1" x14ac:dyDescent="0.2">
      <c r="A443" s="117" t="s">
        <v>6951</v>
      </c>
      <c r="B443" s="117" t="s">
        <v>2429</v>
      </c>
      <c r="C443" s="128">
        <v>1</v>
      </c>
      <c r="D443" s="133" t="s">
        <v>7256</v>
      </c>
      <c r="E443" s="138">
        <f>+INDEX(F443:AB443,1,[3]BOD!$I$2-1)</f>
        <v>152.12</v>
      </c>
      <c r="F443" s="140">
        <v>152.12</v>
      </c>
      <c r="G443" s="144"/>
      <c r="H443" s="144">
        <f t="shared" si="6"/>
        <v>760.6</v>
      </c>
      <c r="I443" s="144">
        <f t="shared" si="6"/>
        <v>760.6</v>
      </c>
      <c r="J443" s="144"/>
      <c r="K443" s="144"/>
      <c r="L443" s="144"/>
      <c r="M443" s="144"/>
      <c r="N443" s="144"/>
      <c r="O443" s="144"/>
      <c r="P443" s="144"/>
      <c r="Q443" s="144"/>
      <c r="R443" s="144"/>
      <c r="S443" s="144"/>
      <c r="T443" s="144"/>
      <c r="U443" s="144"/>
      <c r="V443" s="144"/>
      <c r="W443" s="144"/>
      <c r="X443" s="144"/>
      <c r="Y443" s="144"/>
      <c r="Z443" s="144"/>
      <c r="AA443" s="144"/>
      <c r="AB443" s="144"/>
      <c r="AC443" s="135"/>
    </row>
    <row r="444" spans="1:29" ht="10.5" customHeight="1" x14ac:dyDescent="0.2">
      <c r="A444" s="117" t="s">
        <v>5459</v>
      </c>
      <c r="B444" s="117" t="s">
        <v>5459</v>
      </c>
      <c r="C444" s="128" t="s">
        <v>5459</v>
      </c>
      <c r="D444" s="133" t="s">
        <v>236</v>
      </c>
      <c r="E444" s="138" t="str">
        <f>+INDEX(F444:AB444,1,[3]BOD!$I$2-1)</f>
        <v/>
      </c>
      <c r="F444" s="140" t="s">
        <v>5459</v>
      </c>
      <c r="G444" s="144"/>
      <c r="H444" s="144" t="str">
        <f t="shared" si="6"/>
        <v/>
      </c>
      <c r="I444" s="144" t="str">
        <f t="shared" si="6"/>
        <v/>
      </c>
      <c r="J444" s="144"/>
      <c r="K444" s="144"/>
      <c r="L444" s="144"/>
      <c r="M444" s="144"/>
      <c r="N444" s="144"/>
      <c r="O444" s="144"/>
      <c r="P444" s="144"/>
      <c r="Q444" s="144"/>
      <c r="R444" s="144"/>
      <c r="S444" s="144"/>
      <c r="T444" s="144"/>
      <c r="U444" s="144"/>
      <c r="V444" s="144"/>
      <c r="W444" s="144"/>
      <c r="X444" s="144"/>
      <c r="Y444" s="144"/>
      <c r="Z444" s="144"/>
      <c r="AA444" s="144"/>
      <c r="AB444" s="144"/>
      <c r="AC444" s="135"/>
    </row>
    <row r="445" spans="1:29" ht="10.5" customHeight="1" x14ac:dyDescent="0.2">
      <c r="A445" s="117" t="s">
        <v>5529</v>
      </c>
      <c r="B445" s="117" t="s">
        <v>5530</v>
      </c>
      <c r="C445" s="128"/>
      <c r="D445" s="133"/>
      <c r="E445" s="138"/>
      <c r="F445" s="140"/>
      <c r="G445" s="144"/>
      <c r="H445" s="144" t="str">
        <f t="shared" si="6"/>
        <v/>
      </c>
      <c r="I445" s="144" t="str">
        <f t="shared" si="6"/>
        <v/>
      </c>
      <c r="J445" s="144"/>
      <c r="K445" s="144"/>
      <c r="L445" s="144"/>
      <c r="M445" s="144"/>
      <c r="N445" s="144"/>
      <c r="O445" s="144"/>
      <c r="P445" s="144"/>
      <c r="Q445" s="144"/>
      <c r="R445" s="144"/>
      <c r="S445" s="144"/>
      <c r="T445" s="144"/>
      <c r="U445" s="144"/>
      <c r="V445" s="144"/>
      <c r="W445" s="144"/>
      <c r="X445" s="144"/>
      <c r="Y445" s="144"/>
      <c r="Z445" s="144"/>
      <c r="AA445" s="144"/>
      <c r="AB445" s="144"/>
      <c r="AC445" s="135"/>
    </row>
    <row r="446" spans="1:29" ht="10.5" customHeight="1" x14ac:dyDescent="0.2">
      <c r="A446" s="117" t="s">
        <v>5459</v>
      </c>
      <c r="B446" s="117" t="s">
        <v>5459</v>
      </c>
      <c r="C446" s="128" t="s">
        <v>5459</v>
      </c>
      <c r="D446" s="133" t="s">
        <v>236</v>
      </c>
      <c r="E446" s="138" t="str">
        <f>+INDEX(F446:AB446,1,[3]BOD!$I$2-1)</f>
        <v/>
      </c>
      <c r="F446" s="140" t="s">
        <v>5459</v>
      </c>
      <c r="G446" s="144"/>
      <c r="H446" s="144" t="str">
        <f t="shared" si="6"/>
        <v/>
      </c>
      <c r="I446" s="144" t="str">
        <f t="shared" si="6"/>
        <v/>
      </c>
      <c r="J446" s="144"/>
      <c r="K446" s="144"/>
      <c r="L446" s="144"/>
      <c r="M446" s="144"/>
      <c r="N446" s="144"/>
      <c r="O446" s="144"/>
      <c r="P446" s="144"/>
      <c r="Q446" s="144"/>
      <c r="R446" s="144"/>
      <c r="S446" s="144"/>
      <c r="T446" s="144"/>
      <c r="U446" s="144"/>
      <c r="V446" s="144"/>
      <c r="W446" s="144"/>
      <c r="X446" s="144"/>
      <c r="Y446" s="144"/>
      <c r="Z446" s="144"/>
      <c r="AA446" s="144"/>
      <c r="AB446" s="144"/>
      <c r="AC446" s="135"/>
    </row>
    <row r="447" spans="1:29" ht="10.5" customHeight="1" x14ac:dyDescent="0.2">
      <c r="A447" s="117" t="s">
        <v>5531</v>
      </c>
      <c r="B447" s="117" t="s">
        <v>2430</v>
      </c>
      <c r="C447" s="128">
        <v>1</v>
      </c>
      <c r="D447" s="133" t="s">
        <v>5086</v>
      </c>
      <c r="E447" s="138">
        <f>+INDEX(F447:AB447,1,[3]BOD!$I$2-1)</f>
        <v>263.27999999999997</v>
      </c>
      <c r="F447" s="140">
        <v>263.27999999999997</v>
      </c>
      <c r="G447" s="144"/>
      <c r="H447" s="144">
        <f t="shared" si="6"/>
        <v>1316.3999999999999</v>
      </c>
      <c r="I447" s="144">
        <f t="shared" si="6"/>
        <v>1316.3999999999999</v>
      </c>
      <c r="J447" s="144"/>
      <c r="K447" s="144"/>
      <c r="L447" s="144"/>
      <c r="M447" s="144"/>
      <c r="N447" s="144"/>
      <c r="O447" s="144"/>
      <c r="P447" s="144"/>
      <c r="Q447" s="144"/>
      <c r="R447" s="144"/>
      <c r="S447" s="144"/>
      <c r="T447" s="144"/>
      <c r="U447" s="144"/>
      <c r="V447" s="144"/>
      <c r="W447" s="144"/>
      <c r="X447" s="144"/>
      <c r="Y447" s="144"/>
      <c r="Z447" s="144"/>
      <c r="AA447" s="144"/>
      <c r="AB447" s="144"/>
      <c r="AC447" s="135"/>
    </row>
    <row r="448" spans="1:29" ht="10.5" customHeight="1" x14ac:dyDescent="0.2">
      <c r="A448" s="117" t="s">
        <v>5459</v>
      </c>
      <c r="B448" s="117" t="s">
        <v>5459</v>
      </c>
      <c r="C448" s="128" t="s">
        <v>5459</v>
      </c>
      <c r="D448" s="133" t="s">
        <v>236</v>
      </c>
      <c r="E448" s="138" t="str">
        <f>+INDEX(F448:AB448,1,[3]BOD!$I$2-1)</f>
        <v/>
      </c>
      <c r="F448" s="140" t="s">
        <v>5459</v>
      </c>
      <c r="G448" s="144"/>
      <c r="H448" s="144" t="str">
        <f t="shared" si="6"/>
        <v/>
      </c>
      <c r="I448" s="144" t="str">
        <f t="shared" si="6"/>
        <v/>
      </c>
      <c r="J448" s="144"/>
      <c r="K448" s="144"/>
      <c r="L448" s="144"/>
      <c r="M448" s="144"/>
      <c r="N448" s="144"/>
      <c r="O448" s="144"/>
      <c r="P448" s="144"/>
      <c r="Q448" s="144"/>
      <c r="R448" s="144"/>
      <c r="S448" s="144"/>
      <c r="T448" s="144"/>
      <c r="U448" s="144"/>
      <c r="V448" s="144"/>
      <c r="W448" s="144"/>
      <c r="X448" s="144"/>
      <c r="Y448" s="144"/>
      <c r="Z448" s="144"/>
      <c r="AA448" s="144"/>
      <c r="AB448" s="144"/>
      <c r="AC448" s="135"/>
    </row>
    <row r="449" spans="1:29" ht="10.5" customHeight="1" x14ac:dyDescent="0.2">
      <c r="A449" s="117" t="s">
        <v>3185</v>
      </c>
      <c r="B449" s="117" t="s">
        <v>2431</v>
      </c>
      <c r="C449" s="128"/>
      <c r="D449" s="133"/>
      <c r="E449" s="138"/>
      <c r="F449" s="140"/>
      <c r="G449" s="144"/>
      <c r="H449" s="144" t="str">
        <f t="shared" si="6"/>
        <v/>
      </c>
      <c r="I449" s="144" t="str">
        <f t="shared" si="6"/>
        <v/>
      </c>
      <c r="J449" s="144"/>
      <c r="K449" s="144"/>
      <c r="L449" s="144"/>
      <c r="M449" s="144"/>
      <c r="N449" s="144"/>
      <c r="O449" s="144"/>
      <c r="P449" s="144"/>
      <c r="Q449" s="144"/>
      <c r="R449" s="144"/>
      <c r="S449" s="144"/>
      <c r="T449" s="144"/>
      <c r="U449" s="144"/>
      <c r="V449" s="144"/>
      <c r="W449" s="144"/>
      <c r="X449" s="144"/>
      <c r="Y449" s="144"/>
      <c r="Z449" s="144"/>
      <c r="AA449" s="144"/>
      <c r="AB449" s="144"/>
      <c r="AC449" s="135"/>
    </row>
    <row r="450" spans="1:29" ht="10.5" customHeight="1" x14ac:dyDescent="0.2">
      <c r="A450" s="117" t="s">
        <v>5459</v>
      </c>
      <c r="B450" s="117" t="s">
        <v>5459</v>
      </c>
      <c r="C450" s="128" t="s">
        <v>5459</v>
      </c>
      <c r="D450" s="133" t="s">
        <v>236</v>
      </c>
      <c r="E450" s="138" t="str">
        <f>+INDEX(F450:AB450,1,[3]BOD!$I$2-1)</f>
        <v/>
      </c>
      <c r="F450" s="140" t="s">
        <v>5459</v>
      </c>
      <c r="G450" s="144"/>
      <c r="H450" s="144" t="str">
        <f t="shared" si="6"/>
        <v/>
      </c>
      <c r="I450" s="144" t="str">
        <f t="shared" si="6"/>
        <v/>
      </c>
      <c r="J450" s="144"/>
      <c r="K450" s="144"/>
      <c r="L450" s="144"/>
      <c r="M450" s="144"/>
      <c r="N450" s="144"/>
      <c r="O450" s="144"/>
      <c r="P450" s="144"/>
      <c r="Q450" s="144"/>
      <c r="R450" s="144"/>
      <c r="S450" s="144"/>
      <c r="T450" s="144"/>
      <c r="U450" s="144"/>
      <c r="V450" s="144"/>
      <c r="W450" s="144"/>
      <c r="X450" s="144"/>
      <c r="Y450" s="144"/>
      <c r="Z450" s="144"/>
      <c r="AA450" s="144"/>
      <c r="AB450" s="144"/>
      <c r="AC450" s="135"/>
    </row>
    <row r="451" spans="1:29" ht="10.5" customHeight="1" x14ac:dyDescent="0.2">
      <c r="A451" s="117" t="s">
        <v>7689</v>
      </c>
      <c r="B451" s="117" t="s">
        <v>2432</v>
      </c>
      <c r="C451" s="128">
        <v>1</v>
      </c>
      <c r="D451" s="133" t="s">
        <v>5086</v>
      </c>
      <c r="E451" s="138">
        <f>+INDEX(F451:AB451,1,[3]BOD!$I$2-1)</f>
        <v>180</v>
      </c>
      <c r="F451" s="140">
        <v>180</v>
      </c>
      <c r="G451" s="144"/>
      <c r="H451" s="144">
        <f t="shared" ref="H451:I477" si="7">+IF($F451&lt;&gt;"",$F451*5,"")</f>
        <v>900</v>
      </c>
      <c r="I451" s="144">
        <f t="shared" si="7"/>
        <v>900</v>
      </c>
      <c r="J451" s="144"/>
      <c r="K451" s="144"/>
      <c r="L451" s="144"/>
      <c r="M451" s="144"/>
      <c r="N451" s="144"/>
      <c r="O451" s="144"/>
      <c r="P451" s="144"/>
      <c r="Q451" s="144"/>
      <c r="R451" s="144"/>
      <c r="S451" s="144"/>
      <c r="T451" s="144"/>
      <c r="U451" s="144"/>
      <c r="V451" s="144"/>
      <c r="W451" s="144"/>
      <c r="X451" s="144"/>
      <c r="Y451" s="144"/>
      <c r="Z451" s="144"/>
      <c r="AA451" s="144"/>
      <c r="AB451" s="144"/>
      <c r="AC451" s="135"/>
    </row>
    <row r="452" spans="1:29" ht="10.5" customHeight="1" x14ac:dyDescent="0.2">
      <c r="A452" s="117" t="s">
        <v>5459</v>
      </c>
      <c r="B452" s="117" t="s">
        <v>5459</v>
      </c>
      <c r="C452" s="128" t="s">
        <v>5459</v>
      </c>
      <c r="D452" s="133" t="s">
        <v>236</v>
      </c>
      <c r="E452" s="138" t="str">
        <f>+INDEX(F452:AB452,1,[3]BOD!$I$2-1)</f>
        <v/>
      </c>
      <c r="F452" s="140" t="s">
        <v>5459</v>
      </c>
      <c r="G452" s="144"/>
      <c r="H452" s="144" t="str">
        <f t="shared" si="7"/>
        <v/>
      </c>
      <c r="I452" s="144" t="str">
        <f t="shared" si="7"/>
        <v/>
      </c>
      <c r="J452" s="144"/>
      <c r="K452" s="144"/>
      <c r="L452" s="144"/>
      <c r="M452" s="144"/>
      <c r="N452" s="144"/>
      <c r="O452" s="144"/>
      <c r="P452" s="144"/>
      <c r="Q452" s="144"/>
      <c r="R452" s="144"/>
      <c r="S452" s="144"/>
      <c r="T452" s="144"/>
      <c r="U452" s="144"/>
      <c r="V452" s="144"/>
      <c r="W452" s="144"/>
      <c r="X452" s="144"/>
      <c r="Y452" s="144"/>
      <c r="Z452" s="144"/>
      <c r="AA452" s="144"/>
      <c r="AB452" s="144"/>
      <c r="AC452" s="135"/>
    </row>
    <row r="453" spans="1:29" ht="10.5" customHeight="1" x14ac:dyDescent="0.2">
      <c r="A453" s="117" t="s">
        <v>7690</v>
      </c>
      <c r="B453" s="117" t="s">
        <v>2433</v>
      </c>
      <c r="C453" s="128"/>
      <c r="D453" s="133"/>
      <c r="E453" s="138"/>
      <c r="F453" s="140"/>
      <c r="G453" s="144"/>
      <c r="H453" s="144" t="str">
        <f t="shared" si="7"/>
        <v/>
      </c>
      <c r="I453" s="144" t="str">
        <f t="shared" si="7"/>
        <v/>
      </c>
      <c r="J453" s="144"/>
      <c r="K453" s="144"/>
      <c r="L453" s="144"/>
      <c r="M453" s="144"/>
      <c r="N453" s="144"/>
      <c r="O453" s="144"/>
      <c r="P453" s="144"/>
      <c r="Q453" s="144"/>
      <c r="R453" s="144"/>
      <c r="S453" s="144"/>
      <c r="T453" s="144"/>
      <c r="U453" s="144"/>
      <c r="V453" s="144"/>
      <c r="W453" s="144"/>
      <c r="X453" s="144"/>
      <c r="Y453" s="144"/>
      <c r="Z453" s="144"/>
      <c r="AA453" s="144"/>
      <c r="AB453" s="144"/>
      <c r="AC453" s="135"/>
    </row>
    <row r="454" spans="1:29" ht="10.5" customHeight="1" x14ac:dyDescent="0.2">
      <c r="A454" s="117" t="s">
        <v>5459</v>
      </c>
      <c r="B454" s="117" t="s">
        <v>5459</v>
      </c>
      <c r="C454" s="128"/>
      <c r="D454" s="133"/>
      <c r="E454" s="138"/>
      <c r="F454" s="140"/>
      <c r="G454" s="144"/>
      <c r="H454" s="144" t="str">
        <f t="shared" si="7"/>
        <v/>
      </c>
      <c r="I454" s="144" t="str">
        <f t="shared" si="7"/>
        <v/>
      </c>
      <c r="J454" s="144"/>
      <c r="K454" s="144"/>
      <c r="L454" s="144"/>
      <c r="M454" s="144"/>
      <c r="N454" s="144"/>
      <c r="O454" s="144"/>
      <c r="P454" s="144"/>
      <c r="Q454" s="144"/>
      <c r="R454" s="144"/>
      <c r="S454" s="144"/>
      <c r="T454" s="144"/>
      <c r="U454" s="144"/>
      <c r="V454" s="144"/>
      <c r="W454" s="144"/>
      <c r="X454" s="144"/>
      <c r="Y454" s="144"/>
      <c r="Z454" s="144"/>
      <c r="AA454" s="144"/>
      <c r="AB454" s="144"/>
      <c r="AC454" s="135"/>
    </row>
    <row r="455" spans="1:29" ht="10.5" customHeight="1" x14ac:dyDescent="0.2">
      <c r="A455" s="117" t="s">
        <v>7692</v>
      </c>
      <c r="B455" s="117" t="s">
        <v>2434</v>
      </c>
      <c r="C455" s="128"/>
      <c r="D455" s="133"/>
      <c r="E455" s="138"/>
      <c r="F455" s="140"/>
      <c r="G455" s="144"/>
      <c r="H455" s="144" t="str">
        <f t="shared" si="7"/>
        <v/>
      </c>
      <c r="I455" s="144" t="str">
        <f t="shared" si="7"/>
        <v/>
      </c>
      <c r="J455" s="144"/>
      <c r="K455" s="144"/>
      <c r="L455" s="144"/>
      <c r="M455" s="144"/>
      <c r="N455" s="144"/>
      <c r="O455" s="144"/>
      <c r="P455" s="144"/>
      <c r="Q455" s="144"/>
      <c r="R455" s="144"/>
      <c r="S455" s="144"/>
      <c r="T455" s="144"/>
      <c r="U455" s="144"/>
      <c r="V455" s="144"/>
      <c r="W455" s="144"/>
      <c r="X455" s="144"/>
      <c r="Y455" s="144"/>
      <c r="Z455" s="144"/>
      <c r="AA455" s="144"/>
      <c r="AB455" s="144"/>
      <c r="AC455" s="135"/>
    </row>
    <row r="456" spans="1:29" ht="10.5" customHeight="1" x14ac:dyDescent="0.2">
      <c r="A456" s="117" t="s">
        <v>5459</v>
      </c>
      <c r="B456" s="117" t="s">
        <v>5459</v>
      </c>
      <c r="C456" s="128" t="s">
        <v>5459</v>
      </c>
      <c r="D456" s="133" t="s">
        <v>236</v>
      </c>
      <c r="E456" s="138" t="str">
        <f>+INDEX(F456:AB456,1,[3]BOD!$I$2-1)</f>
        <v/>
      </c>
      <c r="F456" s="140" t="s">
        <v>5459</v>
      </c>
      <c r="G456" s="144"/>
      <c r="H456" s="144" t="str">
        <f t="shared" si="7"/>
        <v/>
      </c>
      <c r="I456" s="144" t="str">
        <f t="shared" si="7"/>
        <v/>
      </c>
      <c r="J456" s="144"/>
      <c r="K456" s="144"/>
      <c r="L456" s="144"/>
      <c r="M456" s="144"/>
      <c r="N456" s="144"/>
      <c r="O456" s="144"/>
      <c r="P456" s="144"/>
      <c r="Q456" s="144"/>
      <c r="R456" s="144"/>
      <c r="S456" s="144"/>
      <c r="T456" s="144"/>
      <c r="U456" s="144"/>
      <c r="V456" s="144"/>
      <c r="W456" s="144"/>
      <c r="X456" s="144"/>
      <c r="Y456" s="144"/>
      <c r="Z456" s="144"/>
      <c r="AA456" s="144"/>
      <c r="AB456" s="144"/>
      <c r="AC456" s="135"/>
    </row>
    <row r="457" spans="1:29" ht="10.5" customHeight="1" x14ac:dyDescent="0.2">
      <c r="A457" s="117" t="s">
        <v>7694</v>
      </c>
      <c r="B457" s="117" t="s">
        <v>7695</v>
      </c>
      <c r="C457" s="128">
        <v>1</v>
      </c>
      <c r="D457" s="133" t="s">
        <v>7389</v>
      </c>
      <c r="E457" s="138">
        <f>+INDEX(F457:AB457,1,[3]BOD!$I$2-1)</f>
        <v>45.44</v>
      </c>
      <c r="F457" s="140">
        <v>45.44</v>
      </c>
      <c r="G457" s="144"/>
      <c r="H457" s="144">
        <f t="shared" si="7"/>
        <v>227.2</v>
      </c>
      <c r="I457" s="144">
        <f t="shared" si="7"/>
        <v>227.2</v>
      </c>
      <c r="J457" s="144"/>
      <c r="K457" s="144"/>
      <c r="L457" s="144"/>
      <c r="M457" s="144"/>
      <c r="N457" s="144"/>
      <c r="O457" s="144"/>
      <c r="P457" s="144"/>
      <c r="Q457" s="144"/>
      <c r="R457" s="144"/>
      <c r="S457" s="144"/>
      <c r="T457" s="144"/>
      <c r="U457" s="144"/>
      <c r="V457" s="144"/>
      <c r="W457" s="144"/>
      <c r="X457" s="144"/>
      <c r="Y457" s="144"/>
      <c r="Z457" s="144"/>
      <c r="AA457" s="144"/>
      <c r="AB457" s="144"/>
      <c r="AC457" s="135"/>
    </row>
    <row r="458" spans="1:29" ht="10.5" customHeight="1" x14ac:dyDescent="0.2">
      <c r="A458" s="117" t="s">
        <v>5459</v>
      </c>
      <c r="B458" s="117" t="s">
        <v>5459</v>
      </c>
      <c r="C458" s="128" t="s">
        <v>5459</v>
      </c>
      <c r="D458" s="133" t="s">
        <v>236</v>
      </c>
      <c r="E458" s="138" t="str">
        <f>+INDEX(F458:AB458,1,[3]BOD!$I$2-1)</f>
        <v/>
      </c>
      <c r="F458" s="140" t="s">
        <v>5459</v>
      </c>
      <c r="G458" s="144"/>
      <c r="H458" s="144" t="str">
        <f t="shared" si="7"/>
        <v/>
      </c>
      <c r="I458" s="144" t="str">
        <f t="shared" si="7"/>
        <v/>
      </c>
      <c r="J458" s="144"/>
      <c r="K458" s="144"/>
      <c r="L458" s="144"/>
      <c r="M458" s="144"/>
      <c r="N458" s="144"/>
      <c r="O458" s="144"/>
      <c r="P458" s="144"/>
      <c r="Q458" s="144"/>
      <c r="R458" s="144"/>
      <c r="S458" s="144"/>
      <c r="T458" s="144"/>
      <c r="U458" s="144"/>
      <c r="V458" s="144"/>
      <c r="W458" s="144"/>
      <c r="X458" s="144"/>
      <c r="Y458" s="144"/>
      <c r="Z458" s="144"/>
      <c r="AA458" s="144"/>
      <c r="AB458" s="144"/>
      <c r="AC458" s="135"/>
    </row>
    <row r="459" spans="1:29" ht="10.5" customHeight="1" x14ac:dyDescent="0.2">
      <c r="A459" s="117" t="s">
        <v>7696</v>
      </c>
      <c r="B459" s="117" t="s">
        <v>7697</v>
      </c>
      <c r="C459" s="128">
        <v>1</v>
      </c>
      <c r="D459" s="133" t="s">
        <v>7389</v>
      </c>
      <c r="E459" s="138">
        <f>+INDEX(F459:AB459,1,[3]BOD!$I$2-1)</f>
        <v>47.12</v>
      </c>
      <c r="F459" s="140">
        <v>47.12</v>
      </c>
      <c r="G459" s="144"/>
      <c r="H459" s="144">
        <f t="shared" si="7"/>
        <v>235.6</v>
      </c>
      <c r="I459" s="144">
        <f t="shared" si="7"/>
        <v>235.6</v>
      </c>
      <c r="J459" s="144"/>
      <c r="K459" s="144"/>
      <c r="L459" s="144"/>
      <c r="M459" s="144"/>
      <c r="N459" s="144"/>
      <c r="O459" s="144"/>
      <c r="P459" s="144"/>
      <c r="Q459" s="144"/>
      <c r="R459" s="144"/>
      <c r="S459" s="144"/>
      <c r="T459" s="144"/>
      <c r="U459" s="144"/>
      <c r="V459" s="144"/>
      <c r="W459" s="144"/>
      <c r="X459" s="144"/>
      <c r="Y459" s="144"/>
      <c r="Z459" s="144"/>
      <c r="AA459" s="144"/>
      <c r="AB459" s="144"/>
      <c r="AC459" s="135"/>
    </row>
    <row r="460" spans="1:29" ht="10.5" customHeight="1" x14ac:dyDescent="0.2">
      <c r="A460" s="117" t="s">
        <v>5459</v>
      </c>
      <c r="B460" s="117" t="s">
        <v>5459</v>
      </c>
      <c r="C460" s="128" t="s">
        <v>5459</v>
      </c>
      <c r="D460" s="133" t="s">
        <v>236</v>
      </c>
      <c r="E460" s="138" t="str">
        <f>+INDEX(F460:AB460,1,[3]BOD!$I$2-1)</f>
        <v/>
      </c>
      <c r="F460" s="140" t="s">
        <v>5459</v>
      </c>
      <c r="G460" s="144"/>
      <c r="H460" s="144" t="str">
        <f t="shared" si="7"/>
        <v/>
      </c>
      <c r="I460" s="144" t="str">
        <f t="shared" si="7"/>
        <v/>
      </c>
      <c r="J460" s="144"/>
      <c r="K460" s="144"/>
      <c r="L460" s="144"/>
      <c r="M460" s="144"/>
      <c r="N460" s="144"/>
      <c r="O460" s="144"/>
      <c r="P460" s="144"/>
      <c r="Q460" s="144"/>
      <c r="R460" s="144"/>
      <c r="S460" s="144"/>
      <c r="T460" s="144"/>
      <c r="U460" s="144"/>
      <c r="V460" s="144"/>
      <c r="W460" s="144"/>
      <c r="X460" s="144"/>
      <c r="Y460" s="144"/>
      <c r="Z460" s="144"/>
      <c r="AA460" s="144"/>
      <c r="AB460" s="144"/>
      <c r="AC460" s="135"/>
    </row>
    <row r="461" spans="1:29" ht="10.5" customHeight="1" x14ac:dyDescent="0.2">
      <c r="A461" s="117" t="s">
        <v>7698</v>
      </c>
      <c r="B461" s="117" t="s">
        <v>7699</v>
      </c>
      <c r="C461" s="128">
        <v>1</v>
      </c>
      <c r="D461" s="133" t="s">
        <v>7389</v>
      </c>
      <c r="E461" s="138">
        <f>+INDEX(F461:AB461,1,[3]BOD!$I$2-1)</f>
        <v>48.09</v>
      </c>
      <c r="F461" s="140">
        <v>48.09</v>
      </c>
      <c r="G461" s="144"/>
      <c r="H461" s="144">
        <f t="shared" si="7"/>
        <v>240.45000000000002</v>
      </c>
      <c r="I461" s="144">
        <f t="shared" si="7"/>
        <v>240.45000000000002</v>
      </c>
      <c r="J461" s="144"/>
      <c r="K461" s="144"/>
      <c r="L461" s="144"/>
      <c r="M461" s="144"/>
      <c r="N461" s="144"/>
      <c r="O461" s="144"/>
      <c r="P461" s="144"/>
      <c r="Q461" s="144"/>
      <c r="R461" s="144"/>
      <c r="S461" s="144"/>
      <c r="T461" s="144"/>
      <c r="U461" s="144"/>
      <c r="V461" s="144"/>
      <c r="W461" s="144"/>
      <c r="X461" s="144"/>
      <c r="Y461" s="144"/>
      <c r="Z461" s="144"/>
      <c r="AA461" s="144"/>
      <c r="AB461" s="144"/>
      <c r="AC461" s="135"/>
    </row>
    <row r="462" spans="1:29" ht="10.5" customHeight="1" x14ac:dyDescent="0.2">
      <c r="A462" s="117" t="s">
        <v>5459</v>
      </c>
      <c r="B462" s="117" t="s">
        <v>5459</v>
      </c>
      <c r="C462" s="128" t="s">
        <v>5459</v>
      </c>
      <c r="D462" s="133" t="s">
        <v>236</v>
      </c>
      <c r="E462" s="138" t="str">
        <f>+INDEX(F462:AB462,1,[3]BOD!$I$2-1)</f>
        <v/>
      </c>
      <c r="F462" s="140" t="s">
        <v>5459</v>
      </c>
      <c r="G462" s="144"/>
      <c r="H462" s="144" t="str">
        <f t="shared" si="7"/>
        <v/>
      </c>
      <c r="I462" s="144" t="str">
        <f t="shared" si="7"/>
        <v/>
      </c>
      <c r="J462" s="144"/>
      <c r="K462" s="144"/>
      <c r="L462" s="144"/>
      <c r="M462" s="144"/>
      <c r="N462" s="144"/>
      <c r="O462" s="144"/>
      <c r="P462" s="144"/>
      <c r="Q462" s="144"/>
      <c r="R462" s="144"/>
      <c r="S462" s="144"/>
      <c r="T462" s="144"/>
      <c r="U462" s="144"/>
      <c r="V462" s="144"/>
      <c r="W462" s="144"/>
      <c r="X462" s="144"/>
      <c r="Y462" s="144"/>
      <c r="Z462" s="144"/>
      <c r="AA462" s="144"/>
      <c r="AB462" s="144"/>
      <c r="AC462" s="135"/>
    </row>
    <row r="463" spans="1:29" ht="10.5" customHeight="1" x14ac:dyDescent="0.2">
      <c r="A463" s="117" t="s">
        <v>7700</v>
      </c>
      <c r="B463" s="117" t="s">
        <v>1226</v>
      </c>
      <c r="C463" s="128">
        <v>1</v>
      </c>
      <c r="D463" s="133" t="s">
        <v>7389</v>
      </c>
      <c r="E463" s="138">
        <f>+INDEX(F463:AB463,1,[3]BOD!$I$2-1)</f>
        <v>49.15</v>
      </c>
      <c r="F463" s="140">
        <v>49.15</v>
      </c>
      <c r="G463" s="144"/>
      <c r="H463" s="144">
        <f t="shared" si="7"/>
        <v>245.75</v>
      </c>
      <c r="I463" s="144">
        <f t="shared" si="7"/>
        <v>245.75</v>
      </c>
      <c r="J463" s="144"/>
      <c r="K463" s="144"/>
      <c r="L463" s="144"/>
      <c r="M463" s="144"/>
      <c r="N463" s="144"/>
      <c r="O463" s="144"/>
      <c r="P463" s="144"/>
      <c r="Q463" s="144"/>
      <c r="R463" s="144"/>
      <c r="S463" s="144"/>
      <c r="T463" s="144"/>
      <c r="U463" s="144"/>
      <c r="V463" s="144"/>
      <c r="W463" s="144"/>
      <c r="X463" s="144"/>
      <c r="Y463" s="144"/>
      <c r="Z463" s="144"/>
      <c r="AA463" s="144"/>
      <c r="AB463" s="144"/>
      <c r="AC463" s="135"/>
    </row>
    <row r="464" spans="1:29" ht="10.5" customHeight="1" x14ac:dyDescent="0.2">
      <c r="A464" s="117" t="s">
        <v>5459</v>
      </c>
      <c r="B464" s="117" t="s">
        <v>5459</v>
      </c>
      <c r="C464" s="128" t="s">
        <v>5459</v>
      </c>
      <c r="D464" s="133" t="s">
        <v>236</v>
      </c>
      <c r="E464" s="138" t="str">
        <f>+INDEX(F464:AB464,1,[3]BOD!$I$2-1)</f>
        <v/>
      </c>
      <c r="F464" s="140" t="s">
        <v>5459</v>
      </c>
      <c r="G464" s="144"/>
      <c r="H464" s="144" t="str">
        <f t="shared" si="7"/>
        <v/>
      </c>
      <c r="I464" s="144" t="str">
        <f t="shared" si="7"/>
        <v/>
      </c>
      <c r="J464" s="144"/>
      <c r="K464" s="144"/>
      <c r="L464" s="144"/>
      <c r="M464" s="144"/>
      <c r="N464" s="144"/>
      <c r="O464" s="144"/>
      <c r="P464" s="144"/>
      <c r="Q464" s="144"/>
      <c r="R464" s="144"/>
      <c r="S464" s="144"/>
      <c r="T464" s="144"/>
      <c r="U464" s="144"/>
      <c r="V464" s="144"/>
      <c r="W464" s="144"/>
      <c r="X464" s="144"/>
      <c r="Y464" s="144"/>
      <c r="Z464" s="144"/>
      <c r="AA464" s="144"/>
      <c r="AB464" s="144"/>
      <c r="AC464" s="135"/>
    </row>
    <row r="465" spans="1:29" ht="10.5" customHeight="1" x14ac:dyDescent="0.2">
      <c r="A465" s="117" t="s">
        <v>1227</v>
      </c>
      <c r="B465" s="117" t="s">
        <v>1228</v>
      </c>
      <c r="C465" s="128">
        <v>1</v>
      </c>
      <c r="D465" s="133" t="s">
        <v>7389</v>
      </c>
      <c r="E465" s="138">
        <f>+INDEX(F465:AB465,1,[3]BOD!$I$2-1)</f>
        <v>51.62</v>
      </c>
      <c r="F465" s="140">
        <v>51.62</v>
      </c>
      <c r="G465" s="144"/>
      <c r="H465" s="144">
        <f t="shared" si="7"/>
        <v>258.09999999999997</v>
      </c>
      <c r="I465" s="144">
        <f t="shared" si="7"/>
        <v>258.09999999999997</v>
      </c>
      <c r="J465" s="144"/>
      <c r="K465" s="144"/>
      <c r="L465" s="144"/>
      <c r="M465" s="144"/>
      <c r="N465" s="144"/>
      <c r="O465" s="144"/>
      <c r="P465" s="144"/>
      <c r="Q465" s="144"/>
      <c r="R465" s="144"/>
      <c r="S465" s="144"/>
      <c r="T465" s="144"/>
      <c r="U465" s="144"/>
      <c r="V465" s="144"/>
      <c r="W465" s="144"/>
      <c r="X465" s="144"/>
      <c r="Y465" s="144"/>
      <c r="Z465" s="144"/>
      <c r="AA465" s="144"/>
      <c r="AB465" s="144"/>
      <c r="AC465" s="135"/>
    </row>
    <row r="466" spans="1:29" ht="10.5" customHeight="1" x14ac:dyDescent="0.2">
      <c r="A466" s="117" t="s">
        <v>5459</v>
      </c>
      <c r="B466" s="117" t="s">
        <v>5459</v>
      </c>
      <c r="C466" s="128" t="s">
        <v>5459</v>
      </c>
      <c r="D466" s="133" t="s">
        <v>236</v>
      </c>
      <c r="E466" s="138" t="str">
        <f>+INDEX(F466:AB466,1,[3]BOD!$I$2-1)</f>
        <v/>
      </c>
      <c r="F466" s="140" t="s">
        <v>5459</v>
      </c>
      <c r="G466" s="144"/>
      <c r="H466" s="144" t="str">
        <f t="shared" si="7"/>
        <v/>
      </c>
      <c r="I466" s="144" t="str">
        <f t="shared" si="7"/>
        <v/>
      </c>
      <c r="J466" s="144"/>
      <c r="K466" s="144"/>
      <c r="L466" s="144"/>
      <c r="M466" s="144"/>
      <c r="N466" s="144"/>
      <c r="O466" s="144"/>
      <c r="P466" s="144"/>
      <c r="Q466" s="144"/>
      <c r="R466" s="144"/>
      <c r="S466" s="144"/>
      <c r="T466" s="144"/>
      <c r="U466" s="144"/>
      <c r="V466" s="144"/>
      <c r="W466" s="144"/>
      <c r="X466" s="144"/>
      <c r="Y466" s="144"/>
      <c r="Z466" s="144"/>
      <c r="AA466" s="144"/>
      <c r="AB466" s="144"/>
      <c r="AC466" s="135"/>
    </row>
    <row r="467" spans="1:29" ht="10.5" customHeight="1" x14ac:dyDescent="0.2">
      <c r="A467" s="117" t="s">
        <v>1229</v>
      </c>
      <c r="B467" s="117" t="s">
        <v>2435</v>
      </c>
      <c r="C467" s="128"/>
      <c r="D467" s="133"/>
      <c r="E467" s="138"/>
      <c r="F467" s="140"/>
      <c r="G467" s="144"/>
      <c r="H467" s="144" t="str">
        <f t="shared" si="7"/>
        <v/>
      </c>
      <c r="I467" s="144" t="str">
        <f t="shared" si="7"/>
        <v/>
      </c>
      <c r="J467" s="144"/>
      <c r="K467" s="144"/>
      <c r="L467" s="144"/>
      <c r="M467" s="144"/>
      <c r="N467" s="144"/>
      <c r="O467" s="144"/>
      <c r="P467" s="144"/>
      <c r="Q467" s="144"/>
      <c r="R467" s="144"/>
      <c r="S467" s="144"/>
      <c r="T467" s="144"/>
      <c r="U467" s="144"/>
      <c r="V467" s="144"/>
      <c r="W467" s="144"/>
      <c r="X467" s="144"/>
      <c r="Y467" s="144"/>
      <c r="Z467" s="144"/>
      <c r="AA467" s="144"/>
      <c r="AB467" s="144"/>
      <c r="AC467" s="135"/>
    </row>
    <row r="468" spans="1:29" ht="10.5" customHeight="1" x14ac:dyDescent="0.2">
      <c r="A468" s="117" t="s">
        <v>5459</v>
      </c>
      <c r="B468" s="117" t="s">
        <v>5459</v>
      </c>
      <c r="C468" s="128" t="s">
        <v>5459</v>
      </c>
      <c r="D468" s="133" t="s">
        <v>236</v>
      </c>
      <c r="E468" s="138" t="str">
        <f>+INDEX(F468:AB468,1,[3]BOD!$I$2-1)</f>
        <v/>
      </c>
      <c r="F468" s="140" t="s">
        <v>5459</v>
      </c>
      <c r="G468" s="144"/>
      <c r="H468" s="144" t="str">
        <f t="shared" si="7"/>
        <v/>
      </c>
      <c r="I468" s="144" t="str">
        <f t="shared" si="7"/>
        <v/>
      </c>
      <c r="J468" s="144"/>
      <c r="K468" s="144"/>
      <c r="L468" s="144"/>
      <c r="M468" s="144"/>
      <c r="N468" s="144"/>
      <c r="O468" s="144"/>
      <c r="P468" s="144"/>
      <c r="Q468" s="144"/>
      <c r="R468" s="144"/>
      <c r="S468" s="144"/>
      <c r="T468" s="144"/>
      <c r="U468" s="144"/>
      <c r="V468" s="144"/>
      <c r="W468" s="144"/>
      <c r="X468" s="144"/>
      <c r="Y468" s="144"/>
      <c r="Z468" s="144"/>
      <c r="AA468" s="144"/>
      <c r="AB468" s="144"/>
      <c r="AC468" s="135"/>
    </row>
    <row r="469" spans="1:29" ht="10.5" customHeight="1" x14ac:dyDescent="0.2">
      <c r="A469" s="117" t="s">
        <v>1231</v>
      </c>
      <c r="B469" s="117" t="s">
        <v>7695</v>
      </c>
      <c r="C469" s="128">
        <v>1</v>
      </c>
      <c r="D469" s="133" t="s">
        <v>7389</v>
      </c>
      <c r="E469" s="138">
        <f>+INDEX(F469:AB469,1,[3]BOD!$I$2-1)</f>
        <v>59.44</v>
      </c>
      <c r="F469" s="140">
        <v>59.44</v>
      </c>
      <c r="G469" s="144"/>
      <c r="H469" s="144">
        <f t="shared" si="7"/>
        <v>297.2</v>
      </c>
      <c r="I469" s="144">
        <f t="shared" si="7"/>
        <v>297.2</v>
      </c>
      <c r="J469" s="144"/>
      <c r="K469" s="144"/>
      <c r="L469" s="144"/>
      <c r="M469" s="144"/>
      <c r="N469" s="144"/>
      <c r="O469" s="144"/>
      <c r="P469" s="144"/>
      <c r="Q469" s="144"/>
      <c r="R469" s="144"/>
      <c r="S469" s="144"/>
      <c r="T469" s="144"/>
      <c r="U469" s="144"/>
      <c r="V469" s="144"/>
      <c r="W469" s="144"/>
      <c r="X469" s="144"/>
      <c r="Y469" s="144"/>
      <c r="Z469" s="144"/>
      <c r="AA469" s="144"/>
      <c r="AB469" s="144"/>
      <c r="AC469" s="135"/>
    </row>
    <row r="470" spans="1:29" ht="10.5" customHeight="1" x14ac:dyDescent="0.2">
      <c r="A470" s="117" t="s">
        <v>5459</v>
      </c>
      <c r="B470" s="117" t="s">
        <v>5459</v>
      </c>
      <c r="C470" s="128" t="s">
        <v>5459</v>
      </c>
      <c r="D470" s="133" t="s">
        <v>236</v>
      </c>
      <c r="E470" s="138" t="str">
        <f>+INDEX(F470:AB470,1,[3]BOD!$I$2-1)</f>
        <v/>
      </c>
      <c r="F470" s="140" t="s">
        <v>5459</v>
      </c>
      <c r="G470" s="144"/>
      <c r="H470" s="144" t="str">
        <f t="shared" si="7"/>
        <v/>
      </c>
      <c r="I470" s="144" t="str">
        <f t="shared" si="7"/>
        <v/>
      </c>
      <c r="J470" s="144"/>
      <c r="K470" s="144"/>
      <c r="L470" s="144"/>
      <c r="M470" s="144"/>
      <c r="N470" s="144"/>
      <c r="O470" s="144"/>
      <c r="P470" s="144"/>
      <c r="Q470" s="144"/>
      <c r="R470" s="144"/>
      <c r="S470" s="144"/>
      <c r="T470" s="144"/>
      <c r="U470" s="144"/>
      <c r="V470" s="144"/>
      <c r="W470" s="144"/>
      <c r="X470" s="144"/>
      <c r="Y470" s="144"/>
      <c r="Z470" s="144"/>
      <c r="AA470" s="144"/>
      <c r="AB470" s="144"/>
      <c r="AC470" s="135"/>
    </row>
    <row r="471" spans="1:29" ht="10.5" customHeight="1" x14ac:dyDescent="0.2">
      <c r="A471" s="117" t="s">
        <v>1232</v>
      </c>
      <c r="B471" s="117" t="s">
        <v>7697</v>
      </c>
      <c r="C471" s="128">
        <v>1</v>
      </c>
      <c r="D471" s="133" t="s">
        <v>7389</v>
      </c>
      <c r="E471" s="138">
        <f>+INDEX(F471:AB471,1,[3]BOD!$I$2-1)</f>
        <v>61.12</v>
      </c>
      <c r="F471" s="140">
        <v>61.12</v>
      </c>
      <c r="G471" s="144"/>
      <c r="H471" s="144">
        <f t="shared" si="7"/>
        <v>305.59999999999997</v>
      </c>
      <c r="I471" s="144">
        <f t="shared" si="7"/>
        <v>305.59999999999997</v>
      </c>
      <c r="J471" s="144"/>
      <c r="K471" s="144"/>
      <c r="L471" s="144"/>
      <c r="M471" s="144"/>
      <c r="N471" s="144"/>
      <c r="O471" s="144"/>
      <c r="P471" s="144"/>
      <c r="Q471" s="144"/>
      <c r="R471" s="144"/>
      <c r="S471" s="144"/>
      <c r="T471" s="144"/>
      <c r="U471" s="144"/>
      <c r="V471" s="144"/>
      <c r="W471" s="144"/>
      <c r="X471" s="144"/>
      <c r="Y471" s="144"/>
      <c r="Z471" s="144"/>
      <c r="AA471" s="144"/>
      <c r="AB471" s="144"/>
      <c r="AC471" s="135"/>
    </row>
    <row r="472" spans="1:29" ht="10.5" customHeight="1" x14ac:dyDescent="0.2">
      <c r="A472" s="117" t="s">
        <v>5459</v>
      </c>
      <c r="B472" s="117" t="s">
        <v>5459</v>
      </c>
      <c r="C472" s="128" t="s">
        <v>5459</v>
      </c>
      <c r="D472" s="133" t="s">
        <v>236</v>
      </c>
      <c r="E472" s="138" t="str">
        <f>+INDEX(F472:AB472,1,[3]BOD!$I$2-1)</f>
        <v/>
      </c>
      <c r="F472" s="140" t="s">
        <v>5459</v>
      </c>
      <c r="G472" s="144"/>
      <c r="H472" s="144" t="str">
        <f t="shared" si="7"/>
        <v/>
      </c>
      <c r="I472" s="144" t="str">
        <f t="shared" si="7"/>
        <v/>
      </c>
      <c r="J472" s="144"/>
      <c r="K472" s="144"/>
      <c r="L472" s="144"/>
      <c r="M472" s="144"/>
      <c r="N472" s="144"/>
      <c r="O472" s="144"/>
      <c r="P472" s="144"/>
      <c r="Q472" s="144"/>
      <c r="R472" s="144"/>
      <c r="S472" s="144"/>
      <c r="T472" s="144"/>
      <c r="U472" s="144"/>
      <c r="V472" s="144"/>
      <c r="W472" s="144"/>
      <c r="X472" s="144"/>
      <c r="Y472" s="144"/>
      <c r="Z472" s="144"/>
      <c r="AA472" s="144"/>
      <c r="AB472" s="144"/>
      <c r="AC472" s="135"/>
    </row>
    <row r="473" spans="1:29" ht="10.5" customHeight="1" x14ac:dyDescent="0.2">
      <c r="A473" s="117" t="s">
        <v>1233</v>
      </c>
      <c r="B473" s="117" t="s">
        <v>7699</v>
      </c>
      <c r="C473" s="128">
        <v>1</v>
      </c>
      <c r="D473" s="133" t="s">
        <v>7389</v>
      </c>
      <c r="E473" s="138">
        <f>+INDEX(F473:AB473,1,[3]BOD!$I$2-1)</f>
        <v>73.150000000000006</v>
      </c>
      <c r="F473" s="140">
        <v>73.150000000000006</v>
      </c>
      <c r="G473" s="144"/>
      <c r="H473" s="144">
        <f t="shared" si="7"/>
        <v>365.75</v>
      </c>
      <c r="I473" s="144">
        <f t="shared" si="7"/>
        <v>365.75</v>
      </c>
      <c r="J473" s="144"/>
      <c r="K473" s="144"/>
      <c r="L473" s="144"/>
      <c r="M473" s="144"/>
      <c r="N473" s="144"/>
      <c r="O473" s="144"/>
      <c r="P473" s="144"/>
      <c r="Q473" s="144"/>
      <c r="R473" s="144"/>
      <c r="S473" s="144"/>
      <c r="T473" s="144"/>
      <c r="U473" s="144"/>
      <c r="V473" s="144"/>
      <c r="W473" s="144"/>
      <c r="X473" s="144"/>
      <c r="Y473" s="144"/>
      <c r="Z473" s="144"/>
      <c r="AA473" s="144"/>
      <c r="AB473" s="144"/>
      <c r="AC473" s="135"/>
    </row>
    <row r="474" spans="1:29" ht="10.5" customHeight="1" x14ac:dyDescent="0.2">
      <c r="A474" s="117" t="s">
        <v>5459</v>
      </c>
      <c r="B474" s="117" t="s">
        <v>5459</v>
      </c>
      <c r="C474" s="128" t="s">
        <v>5459</v>
      </c>
      <c r="D474" s="133" t="s">
        <v>236</v>
      </c>
      <c r="E474" s="138" t="str">
        <f>+INDEX(F474:AB474,1,[3]BOD!$I$2-1)</f>
        <v/>
      </c>
      <c r="F474" s="140" t="s">
        <v>5459</v>
      </c>
      <c r="G474" s="144"/>
      <c r="H474" s="144" t="str">
        <f t="shared" si="7"/>
        <v/>
      </c>
      <c r="I474" s="144" t="str">
        <f t="shared" si="7"/>
        <v/>
      </c>
      <c r="J474" s="144"/>
      <c r="K474" s="144"/>
      <c r="L474" s="144"/>
      <c r="M474" s="144"/>
      <c r="N474" s="144"/>
      <c r="O474" s="144"/>
      <c r="P474" s="144"/>
      <c r="Q474" s="144"/>
      <c r="R474" s="144"/>
      <c r="S474" s="144"/>
      <c r="T474" s="144"/>
      <c r="U474" s="144"/>
      <c r="V474" s="144"/>
      <c r="W474" s="144"/>
      <c r="X474" s="144"/>
      <c r="Y474" s="144"/>
      <c r="Z474" s="144"/>
      <c r="AA474" s="144"/>
      <c r="AB474" s="144"/>
      <c r="AC474" s="135"/>
    </row>
    <row r="475" spans="1:29" ht="10.5" customHeight="1" x14ac:dyDescent="0.2">
      <c r="A475" s="117" t="s">
        <v>1234</v>
      </c>
      <c r="B475" s="117" t="s">
        <v>1226</v>
      </c>
      <c r="C475" s="128">
        <v>1</v>
      </c>
      <c r="D475" s="133" t="s">
        <v>7389</v>
      </c>
      <c r="E475" s="138">
        <f>+INDEX(F475:AB475,1,[3]BOD!$I$2-1)</f>
        <v>80.62</v>
      </c>
      <c r="F475" s="140">
        <v>80.62</v>
      </c>
      <c r="G475" s="144"/>
      <c r="H475" s="144">
        <f t="shared" si="7"/>
        <v>403.1</v>
      </c>
      <c r="I475" s="144">
        <f t="shared" si="7"/>
        <v>403.1</v>
      </c>
      <c r="J475" s="144"/>
      <c r="K475" s="144"/>
      <c r="L475" s="144"/>
      <c r="M475" s="144"/>
      <c r="N475" s="144"/>
      <c r="O475" s="144"/>
      <c r="P475" s="144"/>
      <c r="Q475" s="144"/>
      <c r="R475" s="144"/>
      <c r="S475" s="144"/>
      <c r="T475" s="144"/>
      <c r="U475" s="144"/>
      <c r="V475" s="144"/>
      <c r="W475" s="144"/>
      <c r="X475" s="144"/>
      <c r="Y475" s="144"/>
      <c r="Z475" s="144"/>
      <c r="AA475" s="144"/>
      <c r="AB475" s="144"/>
      <c r="AC475" s="135"/>
    </row>
    <row r="476" spans="1:29" ht="10.5" customHeight="1" x14ac:dyDescent="0.2">
      <c r="A476" s="117" t="s">
        <v>5459</v>
      </c>
      <c r="B476" s="117" t="s">
        <v>5459</v>
      </c>
      <c r="C476" s="128" t="s">
        <v>5459</v>
      </c>
      <c r="D476" s="133" t="s">
        <v>236</v>
      </c>
      <c r="E476" s="138" t="str">
        <f>+INDEX(F476:AB476,1,[3]BOD!$I$2-1)</f>
        <v/>
      </c>
      <c r="F476" s="140" t="s">
        <v>5459</v>
      </c>
      <c r="G476" s="144"/>
      <c r="H476" s="144" t="str">
        <f t="shared" si="7"/>
        <v/>
      </c>
      <c r="I476" s="144" t="str">
        <f t="shared" si="7"/>
        <v/>
      </c>
      <c r="J476" s="144"/>
      <c r="K476" s="144"/>
      <c r="L476" s="144"/>
      <c r="M476" s="144"/>
      <c r="N476" s="144"/>
      <c r="O476" s="144"/>
      <c r="P476" s="144"/>
      <c r="Q476" s="144"/>
      <c r="R476" s="144"/>
      <c r="S476" s="144"/>
      <c r="T476" s="144"/>
      <c r="U476" s="144"/>
      <c r="V476" s="144"/>
      <c r="W476" s="144"/>
      <c r="X476" s="144"/>
      <c r="Y476" s="144"/>
      <c r="Z476" s="144"/>
      <c r="AA476" s="144"/>
      <c r="AB476" s="144"/>
      <c r="AC476" s="135"/>
    </row>
    <row r="477" spans="1:29" ht="10.5" customHeight="1" x14ac:dyDescent="0.2">
      <c r="A477" s="117" t="s">
        <v>1235</v>
      </c>
      <c r="B477" s="117" t="s">
        <v>1228</v>
      </c>
      <c r="C477" s="128">
        <v>1</v>
      </c>
      <c r="D477" s="133" t="s">
        <v>7389</v>
      </c>
      <c r="E477" s="138">
        <f>+INDEX(F477:AB477,1,[3]BOD!$I$2-1)</f>
        <v>83.72</v>
      </c>
      <c r="F477" s="140">
        <v>83.72</v>
      </c>
      <c r="G477" s="144"/>
      <c r="H477" s="144">
        <f t="shared" si="7"/>
        <v>418.6</v>
      </c>
      <c r="I477" s="144">
        <f t="shared" si="7"/>
        <v>418.6</v>
      </c>
      <c r="J477" s="144"/>
      <c r="K477" s="144"/>
      <c r="L477" s="144"/>
      <c r="M477" s="144"/>
      <c r="N477" s="144"/>
      <c r="O477" s="144"/>
      <c r="P477" s="144"/>
      <c r="Q477" s="144"/>
      <c r="R477" s="144"/>
      <c r="S477" s="144"/>
      <c r="T477" s="144"/>
      <c r="U477" s="144"/>
      <c r="V477" s="144"/>
      <c r="W477" s="144"/>
      <c r="X477" s="144"/>
      <c r="Y477" s="144"/>
      <c r="Z477" s="144"/>
      <c r="AA477" s="144"/>
      <c r="AB477" s="144"/>
      <c r="AC477" s="135"/>
    </row>
    <row r="478" spans="1:29" ht="10.5" customHeight="1" x14ac:dyDescent="0.2">
      <c r="A478" s="117" t="s">
        <v>5459</v>
      </c>
      <c r="B478" s="117" t="s">
        <v>5459</v>
      </c>
      <c r="C478" s="128" t="s">
        <v>5459</v>
      </c>
      <c r="D478" s="133" t="s">
        <v>236</v>
      </c>
      <c r="E478" s="139" t="str">
        <f>+INDEX(F478:AB478,1,[3]BOD!$I$2-1)</f>
        <v/>
      </c>
      <c r="F478" s="141" t="s">
        <v>5459</v>
      </c>
      <c r="G478" s="144"/>
      <c r="H478" s="144" t="str">
        <f>+IF($F478&lt;&gt;"",$F478*5,"")</f>
        <v/>
      </c>
      <c r="I478" s="144" t="str">
        <f>+IF($F478&lt;&gt;"",$F478*5,"")</f>
        <v/>
      </c>
      <c r="J478" s="144"/>
      <c r="K478" s="144"/>
      <c r="L478" s="144"/>
      <c r="M478" s="144"/>
      <c r="N478" s="144"/>
      <c r="O478" s="144"/>
      <c r="P478" s="144"/>
      <c r="Q478" s="144"/>
      <c r="R478" s="144"/>
      <c r="S478" s="144"/>
      <c r="T478" s="144"/>
      <c r="U478" s="144"/>
      <c r="V478" s="144"/>
      <c r="W478" s="144"/>
      <c r="X478" s="144"/>
      <c r="Y478" s="144"/>
      <c r="Z478" s="144"/>
      <c r="AA478" s="144"/>
      <c r="AB478" s="144"/>
      <c r="AC478" s="135"/>
    </row>
  </sheetData>
  <phoneticPr fontId="4" type="noConversion"/>
  <pageMargins left="0.78740157499999996" right="0.22" top="0.984251969" bottom="0.37" header="0.4921259845" footer="0.2"/>
  <pageSetup paperSize="9" orientation="portrait" r:id="rId1"/>
  <headerFooter alignWithMargins="0">
    <oddHeader>&amp;L&amp;"Arial,Fett"&amp;24BK&amp;C&amp;"Arial,Fett"&amp;14Wallman
 price per unit&amp;Rpage &amp;P/&amp;NSeite
&amp;D
&amp;Z&amp;F/&amp;A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2]!SichtenProfileEnde">
                <anchor moveWithCells="1" sizeWithCells="1">
                  <from>
                    <xdr:col>1</xdr:col>
                    <xdr:colOff>0</xdr:colOff>
                    <xdr:row>0</xdr:row>
                    <xdr:rowOff>142875</xdr:rowOff>
                  </from>
                  <to>
                    <xdr:col>1</xdr:col>
                    <xdr:colOff>952500</xdr:colOff>
                    <xdr:row>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
  <dimension ref="A1:Q21406"/>
  <sheetViews>
    <sheetView showGridLines="0" zoomScale="80" zoomScaleNormal="80" workbookViewId="0">
      <selection activeCell="C2405" sqref="C2405"/>
    </sheetView>
  </sheetViews>
  <sheetFormatPr baseColWidth="10" defaultRowHeight="12.75" x14ac:dyDescent="0.2"/>
  <cols>
    <col min="1" max="1" width="10.42578125" style="1" customWidth="1"/>
    <col min="2" max="2" width="27.42578125" style="1" customWidth="1"/>
    <col min="3" max="3" width="23.28515625" style="90" customWidth="1"/>
    <col min="4" max="6" width="23.28515625" style="7" customWidth="1"/>
    <col min="7" max="7" width="17.85546875" customWidth="1"/>
    <col min="8" max="8" width="22" style="7" customWidth="1"/>
    <col min="9" max="9" width="23.28515625" style="4" customWidth="1"/>
    <col min="10" max="17" width="23.28515625" style="7" customWidth="1"/>
    <col min="18" max="16384" width="11.42578125" style="7"/>
  </cols>
  <sheetData>
    <row r="1" spans="1:17" s="1" customFormat="1" ht="24" customHeight="1" x14ac:dyDescent="0.2">
      <c r="B1" s="1">
        <v>1</v>
      </c>
      <c r="C1" s="1">
        <f t="shared" ref="C1:Q1" si="0">+B1+1</f>
        <v>2</v>
      </c>
      <c r="D1" s="1">
        <f t="shared" si="0"/>
        <v>3</v>
      </c>
      <c r="E1" s="1">
        <f t="shared" si="0"/>
        <v>4</v>
      </c>
      <c r="F1" s="1">
        <f t="shared" si="0"/>
        <v>5</v>
      </c>
      <c r="G1" s="1">
        <v>6</v>
      </c>
      <c r="H1" s="1">
        <f t="shared" si="0"/>
        <v>7</v>
      </c>
      <c r="I1" s="1">
        <f t="shared" si="0"/>
        <v>8</v>
      </c>
      <c r="J1" s="1">
        <f t="shared" si="0"/>
        <v>9</v>
      </c>
      <c r="K1" s="1">
        <f t="shared" si="0"/>
        <v>10</v>
      </c>
      <c r="L1" s="1">
        <f t="shared" si="0"/>
        <v>11</v>
      </c>
      <c r="M1" s="1">
        <f t="shared" si="0"/>
        <v>12</v>
      </c>
      <c r="N1" s="1">
        <f t="shared" si="0"/>
        <v>13</v>
      </c>
      <c r="O1" s="1">
        <f t="shared" si="0"/>
        <v>14</v>
      </c>
      <c r="P1" s="1">
        <f t="shared" si="0"/>
        <v>15</v>
      </c>
      <c r="Q1" s="1">
        <f t="shared" si="0"/>
        <v>16</v>
      </c>
    </row>
    <row r="2" spans="1:17" x14ac:dyDescent="0.2">
      <c r="B2" s="1" t="s">
        <v>3163</v>
      </c>
      <c r="C2" s="90" t="s">
        <v>3164</v>
      </c>
      <c r="D2" s="8" t="s">
        <v>3165</v>
      </c>
      <c r="E2" s="8" t="s">
        <v>3166</v>
      </c>
      <c r="F2" s="7" t="s">
        <v>3167</v>
      </c>
      <c r="G2" s="7" t="s">
        <v>7979</v>
      </c>
      <c r="H2" s="7" t="s">
        <v>5788</v>
      </c>
      <c r="I2" s="4" t="s">
        <v>4971</v>
      </c>
      <c r="J2" s="7" t="s">
        <v>4034</v>
      </c>
      <c r="K2" s="7" t="s">
        <v>7119</v>
      </c>
    </row>
    <row r="3" spans="1:17" x14ac:dyDescent="0.2">
      <c r="A3" s="1">
        <f ca="1">CELL("row",C3)-2</f>
        <v>1</v>
      </c>
      <c r="B3" s="73" t="s">
        <v>5176</v>
      </c>
      <c r="C3" s="82"/>
      <c r="D3" s="4"/>
      <c r="E3" s="4"/>
      <c r="F3" s="71"/>
      <c r="G3" s="4"/>
      <c r="H3" s="4"/>
      <c r="J3" s="4"/>
      <c r="K3" s="4"/>
      <c r="L3" s="4"/>
      <c r="M3" s="4"/>
      <c r="N3" s="4"/>
      <c r="O3" s="4"/>
      <c r="P3" s="4"/>
      <c r="Q3" s="4"/>
    </row>
    <row r="4" spans="1:17" ht="25.5" x14ac:dyDescent="0.2">
      <c r="A4" s="1">
        <f t="shared" ref="A4:A70" ca="1" si="1">CELL("row",C4)-2</f>
        <v>2</v>
      </c>
      <c r="B4" s="1" t="s">
        <v>3168</v>
      </c>
      <c r="C4" s="82" t="s">
        <v>83</v>
      </c>
      <c r="D4" s="4" t="s">
        <v>3169</v>
      </c>
      <c r="E4" s="4" t="s">
        <v>3170</v>
      </c>
      <c r="F4" s="71" t="s">
        <v>1980</v>
      </c>
      <c r="G4" s="4" t="s">
        <v>7980</v>
      </c>
      <c r="H4" s="4" t="s">
        <v>5789</v>
      </c>
      <c r="I4" s="4" t="s">
        <v>1315</v>
      </c>
      <c r="J4" s="4" t="s">
        <v>4035</v>
      </c>
      <c r="K4" s="4" t="s">
        <v>2116</v>
      </c>
      <c r="L4" s="4"/>
      <c r="M4" s="4"/>
      <c r="N4" s="4"/>
      <c r="O4" s="4"/>
      <c r="P4" s="4"/>
      <c r="Q4" s="4"/>
    </row>
    <row r="5" spans="1:17" ht="25.5" x14ac:dyDescent="0.2">
      <c r="A5" s="1">
        <f t="shared" ca="1" si="1"/>
        <v>3</v>
      </c>
      <c r="B5" s="1" t="s">
        <v>3171</v>
      </c>
      <c r="C5" s="82" t="s">
        <v>3560</v>
      </c>
      <c r="D5" s="4" t="s">
        <v>3172</v>
      </c>
      <c r="E5" s="4" t="s">
        <v>3173</v>
      </c>
      <c r="F5" s="71" t="s">
        <v>1981</v>
      </c>
      <c r="G5" s="4" t="s">
        <v>7981</v>
      </c>
      <c r="H5" s="4" t="s">
        <v>5790</v>
      </c>
      <c r="I5" s="4" t="s">
        <v>3612</v>
      </c>
      <c r="J5" s="4" t="s">
        <v>4036</v>
      </c>
      <c r="K5" s="4"/>
      <c r="L5" s="4"/>
      <c r="M5" s="4"/>
      <c r="N5" s="4"/>
      <c r="O5" s="4"/>
      <c r="P5" s="4"/>
      <c r="Q5" s="4"/>
    </row>
    <row r="6" spans="1:17" ht="25.5" x14ac:dyDescent="0.2">
      <c r="A6" s="1">
        <f t="shared" ca="1" si="1"/>
        <v>4</v>
      </c>
      <c r="B6" s="1" t="s">
        <v>6957</v>
      </c>
      <c r="C6" s="82" t="s">
        <v>3561</v>
      </c>
      <c r="D6" s="4" t="s">
        <v>933</v>
      </c>
      <c r="E6" s="4" t="s">
        <v>934</v>
      </c>
      <c r="F6" s="71" t="s">
        <v>1982</v>
      </c>
      <c r="G6" s="4" t="s">
        <v>7982</v>
      </c>
      <c r="H6" s="4"/>
      <c r="I6" s="4" t="s">
        <v>1987</v>
      </c>
      <c r="J6" s="4" t="s">
        <v>4037</v>
      </c>
      <c r="K6" s="4"/>
      <c r="L6" s="4"/>
      <c r="M6" s="4"/>
      <c r="N6" s="4"/>
      <c r="O6" s="4"/>
      <c r="P6" s="4"/>
      <c r="Q6" s="4"/>
    </row>
    <row r="7" spans="1:17" ht="25.5" x14ac:dyDescent="0.2">
      <c r="A7" s="1">
        <f t="shared" ca="1" si="1"/>
        <v>5</v>
      </c>
      <c r="B7" s="1" t="s">
        <v>935</v>
      </c>
      <c r="C7" s="82" t="s">
        <v>3562</v>
      </c>
      <c r="D7" s="4" t="s">
        <v>936</v>
      </c>
      <c r="E7" s="4" t="s">
        <v>4553</v>
      </c>
      <c r="F7" s="71" t="s">
        <v>1983</v>
      </c>
      <c r="G7" s="4" t="s">
        <v>7983</v>
      </c>
      <c r="H7" s="4"/>
      <c r="I7" s="4" t="s">
        <v>1988</v>
      </c>
      <c r="J7" s="4" t="s">
        <v>4038</v>
      </c>
      <c r="K7" s="4"/>
      <c r="L7" s="4"/>
      <c r="M7" s="4"/>
      <c r="N7" s="4"/>
      <c r="O7" s="4"/>
      <c r="P7" s="4"/>
      <c r="Q7" s="4"/>
    </row>
    <row r="8" spans="1:17" x14ac:dyDescent="0.2">
      <c r="A8" s="1">
        <f t="shared" ca="1" si="1"/>
        <v>6</v>
      </c>
      <c r="B8" s="1" t="s">
        <v>7799</v>
      </c>
      <c r="C8" s="82" t="s">
        <v>6031</v>
      </c>
      <c r="D8" s="4" t="s">
        <v>7800</v>
      </c>
      <c r="E8" s="4" t="s">
        <v>7801</v>
      </c>
      <c r="F8" s="71" t="s">
        <v>1984</v>
      </c>
      <c r="G8" s="4" t="s">
        <v>7984</v>
      </c>
      <c r="H8" s="4"/>
      <c r="I8" s="4" t="s">
        <v>1989</v>
      </c>
      <c r="J8" s="4" t="s">
        <v>4039</v>
      </c>
      <c r="K8" s="4"/>
      <c r="L8" s="4"/>
      <c r="M8" s="4"/>
      <c r="N8" s="4"/>
      <c r="O8" s="4"/>
      <c r="P8" s="4"/>
      <c r="Q8" s="4"/>
    </row>
    <row r="9" spans="1:17" ht="25.5" x14ac:dyDescent="0.2">
      <c r="A9" s="1">
        <f t="shared" ca="1" si="1"/>
        <v>7</v>
      </c>
      <c r="B9" s="1" t="s">
        <v>7864</v>
      </c>
      <c r="C9" s="82" t="s">
        <v>7865</v>
      </c>
      <c r="D9" s="4" t="s">
        <v>7866</v>
      </c>
      <c r="E9" s="4" t="s">
        <v>7867</v>
      </c>
      <c r="F9" s="71" t="s">
        <v>1985</v>
      </c>
      <c r="G9" s="4" t="s">
        <v>7363</v>
      </c>
      <c r="H9" s="4"/>
      <c r="I9" s="4" t="s">
        <v>1990</v>
      </c>
      <c r="J9" s="4" t="s">
        <v>4040</v>
      </c>
      <c r="K9" s="4"/>
      <c r="L9" s="4"/>
      <c r="M9" s="4"/>
      <c r="N9" s="4"/>
      <c r="O9" s="4"/>
      <c r="P9" s="4"/>
      <c r="Q9" s="4"/>
    </row>
    <row r="10" spans="1:17" ht="25.5" x14ac:dyDescent="0.2">
      <c r="A10" s="1">
        <f t="shared" ca="1" si="1"/>
        <v>8</v>
      </c>
      <c r="B10" s="1" t="s">
        <v>7868</v>
      </c>
      <c r="C10" s="82" t="s">
        <v>3563</v>
      </c>
      <c r="D10" s="6" t="s">
        <v>7869</v>
      </c>
      <c r="E10" s="4" t="s">
        <v>7870</v>
      </c>
      <c r="F10" s="71" t="s">
        <v>1986</v>
      </c>
      <c r="G10" s="4" t="s">
        <v>7364</v>
      </c>
      <c r="H10" s="4"/>
      <c r="I10" s="4" t="s">
        <v>1991</v>
      </c>
      <c r="J10" s="4" t="s">
        <v>2209</v>
      </c>
      <c r="K10" s="4"/>
      <c r="L10" s="4"/>
      <c r="M10" s="4"/>
      <c r="N10" s="4"/>
      <c r="O10" s="4"/>
      <c r="P10" s="4"/>
      <c r="Q10" s="4"/>
    </row>
    <row r="11" spans="1:17" ht="25.5" x14ac:dyDescent="0.2">
      <c r="A11" s="1">
        <f t="shared" ca="1" si="1"/>
        <v>9</v>
      </c>
      <c r="B11" s="1" t="s">
        <v>7871</v>
      </c>
      <c r="C11" s="82" t="s">
        <v>3564</v>
      </c>
      <c r="D11" s="4" t="s">
        <v>7872</v>
      </c>
      <c r="E11" s="4" t="s">
        <v>7873</v>
      </c>
      <c r="F11" s="71" t="s">
        <v>5872</v>
      </c>
      <c r="G11" s="4" t="s">
        <v>7365</v>
      </c>
      <c r="H11" s="4"/>
      <c r="I11" s="4" t="s">
        <v>1992</v>
      </c>
      <c r="J11" s="4" t="s">
        <v>4041</v>
      </c>
      <c r="K11" s="4"/>
      <c r="L11" s="4"/>
      <c r="M11" s="4"/>
      <c r="N11" s="4"/>
      <c r="O11" s="4"/>
      <c r="P11" s="4"/>
      <c r="Q11" s="4"/>
    </row>
    <row r="12" spans="1:17" x14ac:dyDescent="0.2">
      <c r="A12" s="1">
        <f t="shared" ca="1" si="1"/>
        <v>10</v>
      </c>
      <c r="B12" s="1" t="s">
        <v>7874</v>
      </c>
      <c r="C12" s="82" t="s">
        <v>3565</v>
      </c>
      <c r="D12" s="4" t="s">
        <v>1423</v>
      </c>
      <c r="E12" s="4" t="s">
        <v>1424</v>
      </c>
      <c r="F12" s="71" t="s">
        <v>5873</v>
      </c>
      <c r="G12" s="4" t="s">
        <v>7366</v>
      </c>
      <c r="H12" s="4"/>
      <c r="I12" s="4" t="s">
        <v>1316</v>
      </c>
      <c r="J12" s="4" t="s">
        <v>4042</v>
      </c>
      <c r="K12" s="4"/>
      <c r="L12" s="4"/>
      <c r="M12" s="4"/>
      <c r="N12" s="4"/>
      <c r="O12" s="4"/>
      <c r="P12" s="4"/>
      <c r="Q12" s="4"/>
    </row>
    <row r="13" spans="1:17" x14ac:dyDescent="0.2">
      <c r="A13" s="1">
        <f t="shared" ca="1" si="1"/>
        <v>11</v>
      </c>
      <c r="B13" s="2" t="s">
        <v>1425</v>
      </c>
      <c r="C13" s="82" t="s">
        <v>3566</v>
      </c>
      <c r="D13" s="4" t="s">
        <v>1426</v>
      </c>
      <c r="E13" s="4" t="s">
        <v>1339</v>
      </c>
      <c r="F13" s="71" t="s">
        <v>5874</v>
      </c>
      <c r="G13" s="4" t="s">
        <v>7367</v>
      </c>
      <c r="H13" s="4"/>
      <c r="I13" s="4" t="s">
        <v>1993</v>
      </c>
      <c r="J13" s="4" t="s">
        <v>4043</v>
      </c>
      <c r="K13" s="6"/>
      <c r="L13" s="6"/>
      <c r="M13" s="6"/>
      <c r="N13" s="6"/>
      <c r="O13" s="6"/>
      <c r="P13" s="6"/>
      <c r="Q13" s="6"/>
    </row>
    <row r="14" spans="1:17" ht="25.5" x14ac:dyDescent="0.2">
      <c r="A14" s="1">
        <f t="shared" ca="1" si="1"/>
        <v>12</v>
      </c>
      <c r="B14" s="1" t="s">
        <v>5177</v>
      </c>
      <c r="C14" s="82" t="s">
        <v>7198</v>
      </c>
      <c r="D14" s="4"/>
      <c r="E14" s="4"/>
      <c r="F14" s="71"/>
      <c r="G14" s="4"/>
      <c r="H14" s="4"/>
      <c r="I14" s="4" t="s">
        <v>1317</v>
      </c>
      <c r="J14" s="6"/>
      <c r="K14" s="6"/>
      <c r="L14" s="6"/>
      <c r="M14" s="6"/>
      <c r="N14" s="6"/>
      <c r="O14" s="6"/>
      <c r="P14" s="6"/>
      <c r="Q14" s="6"/>
    </row>
    <row r="15" spans="1:17" ht="25.5" x14ac:dyDescent="0.2">
      <c r="A15" s="1">
        <f t="shared" ca="1" si="1"/>
        <v>13</v>
      </c>
      <c r="B15" s="1" t="s">
        <v>1340</v>
      </c>
      <c r="C15" s="82" t="s">
        <v>1341</v>
      </c>
      <c r="D15" s="6" t="s">
        <v>1342</v>
      </c>
      <c r="E15" s="6" t="s">
        <v>1343</v>
      </c>
      <c r="F15" s="71" t="s">
        <v>5875</v>
      </c>
      <c r="G15" s="4" t="s">
        <v>6006</v>
      </c>
      <c r="H15" s="4"/>
      <c r="I15" s="4" t="s">
        <v>1994</v>
      </c>
      <c r="J15" s="4" t="s">
        <v>2900</v>
      </c>
      <c r="K15" s="6"/>
      <c r="L15" s="6"/>
      <c r="M15" s="6"/>
      <c r="N15" s="6"/>
      <c r="O15" s="6"/>
      <c r="P15" s="6"/>
      <c r="Q15" s="6"/>
    </row>
    <row r="16" spans="1:17" ht="25.5" x14ac:dyDescent="0.2">
      <c r="A16" s="1">
        <f t="shared" ca="1" si="1"/>
        <v>14</v>
      </c>
      <c r="B16" s="2" t="s">
        <v>1344</v>
      </c>
      <c r="C16" s="82" t="s">
        <v>3567</v>
      </c>
      <c r="D16" s="6" t="s">
        <v>7947</v>
      </c>
      <c r="E16" s="4" t="s">
        <v>7948</v>
      </c>
      <c r="F16" s="71" t="s">
        <v>5876</v>
      </c>
      <c r="G16" s="4" t="s">
        <v>6007</v>
      </c>
      <c r="H16" s="4"/>
      <c r="I16" s="4" t="s">
        <v>1318</v>
      </c>
      <c r="J16" s="4" t="s">
        <v>2901</v>
      </c>
      <c r="K16" s="6"/>
      <c r="L16" s="6"/>
      <c r="M16" s="6"/>
      <c r="N16" s="6"/>
      <c r="O16" s="6"/>
      <c r="P16" s="6"/>
      <c r="Q16" s="6"/>
    </row>
    <row r="17" spans="1:17" ht="25.5" x14ac:dyDescent="0.2">
      <c r="A17" s="1">
        <f t="shared" ca="1" si="1"/>
        <v>15</v>
      </c>
      <c r="B17" s="2" t="s">
        <v>6932</v>
      </c>
      <c r="C17" s="82" t="s">
        <v>3568</v>
      </c>
      <c r="D17" s="6" t="s">
        <v>6933</v>
      </c>
      <c r="E17" s="6" t="s">
        <v>655</v>
      </c>
      <c r="F17" s="71" t="s">
        <v>5877</v>
      </c>
      <c r="G17" s="4" t="s">
        <v>6008</v>
      </c>
      <c r="H17" s="4"/>
      <c r="I17" s="4" t="s">
        <v>6936</v>
      </c>
      <c r="J17" s="4" t="s">
        <v>2902</v>
      </c>
      <c r="K17" s="4"/>
      <c r="L17" s="4"/>
      <c r="M17" s="4"/>
      <c r="N17" s="4"/>
      <c r="O17" s="4"/>
      <c r="P17" s="4"/>
      <c r="Q17" s="4"/>
    </row>
    <row r="18" spans="1:17" x14ac:dyDescent="0.2">
      <c r="A18" s="1">
        <f t="shared" ca="1" si="1"/>
        <v>16</v>
      </c>
      <c r="B18" s="1" t="s">
        <v>656</v>
      </c>
      <c r="C18" s="82" t="s">
        <v>3935</v>
      </c>
      <c r="D18" s="6" t="s">
        <v>657</v>
      </c>
      <c r="E18" s="4" t="s">
        <v>658</v>
      </c>
      <c r="F18" s="71" t="s">
        <v>3385</v>
      </c>
      <c r="G18" s="4" t="s">
        <v>6009</v>
      </c>
      <c r="H18" s="4"/>
      <c r="I18" s="4" t="s">
        <v>2151</v>
      </c>
      <c r="J18" s="4" t="s">
        <v>2903</v>
      </c>
      <c r="K18" s="4"/>
      <c r="L18" s="4"/>
      <c r="M18" s="4"/>
      <c r="N18" s="4"/>
      <c r="O18" s="4"/>
      <c r="P18" s="4"/>
      <c r="Q18" s="4"/>
    </row>
    <row r="19" spans="1:17" x14ac:dyDescent="0.2">
      <c r="A19" s="1">
        <f t="shared" ca="1" si="1"/>
        <v>17</v>
      </c>
      <c r="B19" s="1" t="s">
        <v>659</v>
      </c>
      <c r="C19" s="82" t="s">
        <v>3936</v>
      </c>
      <c r="D19" s="6" t="s">
        <v>660</v>
      </c>
      <c r="E19" s="4" t="s">
        <v>661</v>
      </c>
      <c r="F19" s="71" t="s">
        <v>3386</v>
      </c>
      <c r="G19" s="4" t="s">
        <v>6010</v>
      </c>
      <c r="H19" s="4"/>
      <c r="I19" s="4" t="s">
        <v>2152</v>
      </c>
      <c r="J19" s="4" t="s">
        <v>2904</v>
      </c>
      <c r="K19" s="4"/>
      <c r="L19" s="4"/>
      <c r="M19" s="4"/>
      <c r="N19" s="4"/>
      <c r="O19" s="4"/>
      <c r="P19" s="4"/>
      <c r="Q19" s="4"/>
    </row>
    <row r="20" spans="1:17" x14ac:dyDescent="0.2">
      <c r="A20" s="1">
        <f t="shared" ca="1" si="1"/>
        <v>18</v>
      </c>
      <c r="B20" s="1" t="s">
        <v>662</v>
      </c>
      <c r="C20" s="82" t="s">
        <v>3937</v>
      </c>
      <c r="D20" s="6" t="s">
        <v>1258</v>
      </c>
      <c r="E20" s="4" t="s">
        <v>1259</v>
      </c>
      <c r="F20" s="71" t="s">
        <v>1113</v>
      </c>
      <c r="G20" s="4" t="s">
        <v>6011</v>
      </c>
      <c r="H20" s="4"/>
      <c r="I20" s="4" t="s">
        <v>2153</v>
      </c>
      <c r="J20" s="4" t="s">
        <v>2905</v>
      </c>
      <c r="K20" s="4"/>
      <c r="L20" s="4"/>
      <c r="M20" s="4"/>
      <c r="N20" s="4"/>
      <c r="O20" s="4"/>
      <c r="P20" s="4"/>
      <c r="Q20" s="4"/>
    </row>
    <row r="21" spans="1:17" x14ac:dyDescent="0.2">
      <c r="A21" s="1">
        <f t="shared" ca="1" si="1"/>
        <v>19</v>
      </c>
      <c r="B21" s="2" t="s">
        <v>1260</v>
      </c>
      <c r="C21" s="82" t="s">
        <v>1260</v>
      </c>
      <c r="D21" s="6" t="s">
        <v>3469</v>
      </c>
      <c r="E21" s="6" t="s">
        <v>1260</v>
      </c>
      <c r="F21" s="71" t="s">
        <v>1260</v>
      </c>
      <c r="G21" s="71" t="s">
        <v>6012</v>
      </c>
      <c r="H21" s="4"/>
      <c r="I21" s="4" t="s">
        <v>1319</v>
      </c>
      <c r="J21" s="4" t="s">
        <v>1260</v>
      </c>
      <c r="K21" s="4"/>
      <c r="L21" s="4"/>
      <c r="M21" s="4"/>
      <c r="N21" s="4"/>
      <c r="O21" s="4"/>
      <c r="P21" s="4"/>
      <c r="Q21" s="4"/>
    </row>
    <row r="22" spans="1:17" ht="38.25" x14ac:dyDescent="0.2">
      <c r="A22" s="1">
        <f t="shared" ca="1" si="1"/>
        <v>20</v>
      </c>
      <c r="B22" s="1" t="s">
        <v>7999</v>
      </c>
      <c r="C22" s="82" t="s">
        <v>3569</v>
      </c>
      <c r="D22" s="4" t="s">
        <v>8000</v>
      </c>
      <c r="E22" s="4" t="s">
        <v>8001</v>
      </c>
      <c r="F22" s="71" t="s">
        <v>1114</v>
      </c>
      <c r="G22" s="4" t="s">
        <v>6013</v>
      </c>
      <c r="H22" s="4"/>
      <c r="I22" s="4" t="s">
        <v>1320</v>
      </c>
      <c r="J22" s="4" t="s">
        <v>7405</v>
      </c>
      <c r="K22" s="6"/>
      <c r="L22" s="6"/>
      <c r="M22" s="6"/>
      <c r="N22" s="6"/>
      <c r="O22" s="6"/>
      <c r="P22" s="6"/>
      <c r="Q22" s="6"/>
    </row>
    <row r="23" spans="1:17" ht="38.25" x14ac:dyDescent="0.2">
      <c r="A23" s="1">
        <f t="shared" ca="1" si="1"/>
        <v>21</v>
      </c>
      <c r="B23" s="2" t="s">
        <v>8002</v>
      </c>
      <c r="C23" s="82" t="s">
        <v>3570</v>
      </c>
      <c r="D23" s="4" t="s">
        <v>8003</v>
      </c>
      <c r="E23" s="6" t="s">
        <v>8004</v>
      </c>
      <c r="F23" s="71" t="s">
        <v>1115</v>
      </c>
      <c r="G23" s="4" t="s">
        <v>3093</v>
      </c>
      <c r="H23" s="4"/>
      <c r="I23" s="4" t="s">
        <v>1321</v>
      </c>
      <c r="J23" s="4" t="s">
        <v>2906</v>
      </c>
      <c r="K23" s="6"/>
      <c r="L23" s="6"/>
      <c r="M23" s="6"/>
      <c r="N23" s="6"/>
      <c r="O23" s="6"/>
      <c r="P23" s="6"/>
      <c r="Q23" s="6"/>
    </row>
    <row r="24" spans="1:17" ht="25.5" x14ac:dyDescent="0.2">
      <c r="A24" s="1">
        <f t="shared" ca="1" si="1"/>
        <v>22</v>
      </c>
      <c r="B24" s="2" t="s">
        <v>8005</v>
      </c>
      <c r="C24" s="82" t="s">
        <v>7779</v>
      </c>
      <c r="D24" s="6" t="s">
        <v>8007</v>
      </c>
      <c r="E24" s="6" t="s">
        <v>8008</v>
      </c>
      <c r="F24" s="71" t="s">
        <v>8006</v>
      </c>
      <c r="G24" s="4" t="s">
        <v>3094</v>
      </c>
      <c r="H24" s="4"/>
      <c r="I24" s="4" t="s">
        <v>2154</v>
      </c>
      <c r="J24" s="4" t="s">
        <v>2907</v>
      </c>
      <c r="K24" s="4"/>
      <c r="L24" s="4"/>
      <c r="M24" s="4"/>
      <c r="N24" s="4"/>
      <c r="O24" s="4"/>
      <c r="P24" s="4"/>
      <c r="Q24" s="4"/>
    </row>
    <row r="25" spans="1:17" x14ac:dyDescent="0.2">
      <c r="A25" s="1">
        <f t="shared" ca="1" si="1"/>
        <v>23</v>
      </c>
      <c r="B25" s="1" t="s">
        <v>8009</v>
      </c>
      <c r="C25" s="82" t="s">
        <v>8009</v>
      </c>
      <c r="D25" s="6" t="s">
        <v>164</v>
      </c>
      <c r="E25" s="4" t="s">
        <v>8009</v>
      </c>
      <c r="F25" s="71" t="s">
        <v>8009</v>
      </c>
      <c r="G25" s="4" t="s">
        <v>8009</v>
      </c>
      <c r="H25" s="4"/>
      <c r="I25" s="4" t="s">
        <v>2155</v>
      </c>
      <c r="J25" s="4" t="s">
        <v>8009</v>
      </c>
      <c r="K25" s="6"/>
      <c r="L25" s="6"/>
      <c r="M25" s="6"/>
      <c r="N25" s="6"/>
      <c r="O25" s="6"/>
      <c r="P25" s="6"/>
      <c r="Q25" s="6"/>
    </row>
    <row r="26" spans="1:17" x14ac:dyDescent="0.2">
      <c r="A26" s="1">
        <f t="shared" ca="1" si="1"/>
        <v>24</v>
      </c>
      <c r="B26" s="2" t="s">
        <v>165</v>
      </c>
      <c r="C26" s="82" t="s">
        <v>3571</v>
      </c>
      <c r="D26" s="6" t="s">
        <v>166</v>
      </c>
      <c r="E26" s="6" t="s">
        <v>167</v>
      </c>
      <c r="F26" s="71" t="s">
        <v>165</v>
      </c>
      <c r="G26" s="4" t="s">
        <v>3095</v>
      </c>
      <c r="H26" s="4"/>
      <c r="I26" s="4" t="s">
        <v>3095</v>
      </c>
      <c r="J26" s="4" t="s">
        <v>2908</v>
      </c>
      <c r="K26" s="6"/>
      <c r="L26" s="6"/>
      <c r="M26" s="6"/>
      <c r="N26" s="6"/>
      <c r="O26" s="6"/>
      <c r="P26" s="6"/>
      <c r="Q26" s="6"/>
    </row>
    <row r="27" spans="1:17" x14ac:dyDescent="0.2">
      <c r="A27" s="1">
        <f t="shared" ca="1" si="1"/>
        <v>25</v>
      </c>
      <c r="B27" s="2" t="s">
        <v>168</v>
      </c>
      <c r="C27" s="82" t="s">
        <v>5505</v>
      </c>
      <c r="D27" s="6" t="s">
        <v>170</v>
      </c>
      <c r="E27" s="6" t="s">
        <v>171</v>
      </c>
      <c r="F27" s="71" t="s">
        <v>169</v>
      </c>
      <c r="G27" s="4" t="s">
        <v>3096</v>
      </c>
      <c r="H27" s="4"/>
      <c r="I27" s="4" t="s">
        <v>2156</v>
      </c>
      <c r="J27" s="6"/>
      <c r="K27" s="6"/>
      <c r="L27" s="6"/>
      <c r="M27" s="6"/>
      <c r="N27" s="6"/>
      <c r="O27" s="6"/>
      <c r="P27" s="6"/>
      <c r="Q27" s="6"/>
    </row>
    <row r="28" spans="1:17" x14ac:dyDescent="0.2">
      <c r="A28" s="1">
        <f t="shared" ca="1" si="1"/>
        <v>26</v>
      </c>
      <c r="B28" s="2" t="s">
        <v>172</v>
      </c>
      <c r="C28" s="82" t="s">
        <v>3572</v>
      </c>
      <c r="D28" s="6" t="s">
        <v>173</v>
      </c>
      <c r="E28" s="6" t="s">
        <v>174</v>
      </c>
      <c r="F28" s="71" t="s">
        <v>1116</v>
      </c>
      <c r="G28" s="4" t="s">
        <v>3097</v>
      </c>
      <c r="H28" s="4"/>
      <c r="I28" s="4" t="s">
        <v>2157</v>
      </c>
      <c r="J28" s="4" t="s">
        <v>2909</v>
      </c>
      <c r="K28" s="6"/>
      <c r="L28" s="6"/>
      <c r="M28" s="6"/>
      <c r="N28" s="6"/>
      <c r="O28" s="6"/>
      <c r="P28" s="6"/>
      <c r="Q28" s="6"/>
    </row>
    <row r="29" spans="1:17" ht="25.5" x14ac:dyDescent="0.2">
      <c r="A29" s="1">
        <f t="shared" ca="1" si="1"/>
        <v>27</v>
      </c>
      <c r="B29" s="1" t="s">
        <v>5196</v>
      </c>
      <c r="C29" s="82" t="s">
        <v>3573</v>
      </c>
      <c r="D29" s="6" t="s">
        <v>7114</v>
      </c>
      <c r="E29" s="6" t="s">
        <v>7115</v>
      </c>
      <c r="F29" s="71" t="s">
        <v>3969</v>
      </c>
      <c r="G29" s="4" t="s">
        <v>3098</v>
      </c>
      <c r="H29" s="4"/>
      <c r="I29" s="4" t="s">
        <v>2158</v>
      </c>
      <c r="J29" s="4" t="s">
        <v>2910</v>
      </c>
      <c r="K29" s="4"/>
      <c r="L29" s="4"/>
      <c r="M29" s="4"/>
      <c r="N29" s="4"/>
      <c r="O29" s="4"/>
      <c r="P29" s="4"/>
      <c r="Q29" s="4"/>
    </row>
    <row r="30" spans="1:17" ht="25.5" x14ac:dyDescent="0.2">
      <c r="A30" s="1">
        <f t="shared" ca="1" si="1"/>
        <v>28</v>
      </c>
      <c r="B30" s="1" t="s">
        <v>5197</v>
      </c>
      <c r="C30" s="82" t="s">
        <v>3574</v>
      </c>
      <c r="D30" s="6" t="s">
        <v>7116</v>
      </c>
      <c r="E30" s="4" t="s">
        <v>7117</v>
      </c>
      <c r="F30" s="71" t="s">
        <v>3970</v>
      </c>
      <c r="G30" s="4" t="s">
        <v>3099</v>
      </c>
      <c r="H30" s="4"/>
      <c r="I30" s="4" t="s">
        <v>2159</v>
      </c>
      <c r="J30" s="4" t="s">
        <v>2911</v>
      </c>
      <c r="K30" s="6"/>
      <c r="L30" s="6"/>
      <c r="M30" s="6"/>
      <c r="N30" s="6"/>
      <c r="O30" s="6"/>
      <c r="P30" s="6"/>
      <c r="Q30" s="6"/>
    </row>
    <row r="31" spans="1:17" x14ac:dyDescent="0.2">
      <c r="A31" s="1">
        <f t="shared" ca="1" si="1"/>
        <v>29</v>
      </c>
      <c r="B31" s="1" t="s">
        <v>5195</v>
      </c>
      <c r="C31" s="82" t="s">
        <v>6039</v>
      </c>
      <c r="D31" s="6"/>
      <c r="E31" s="4"/>
      <c r="F31" s="71"/>
      <c r="G31" s="4" t="s">
        <v>3100</v>
      </c>
      <c r="H31" s="4"/>
      <c r="I31" s="4" t="s">
        <v>2160</v>
      </c>
      <c r="J31" s="4" t="s">
        <v>2912</v>
      </c>
      <c r="K31" s="6"/>
      <c r="L31" s="6"/>
      <c r="M31" s="6"/>
      <c r="N31" s="6"/>
      <c r="O31" s="6"/>
      <c r="P31" s="6"/>
      <c r="Q31" s="6"/>
    </row>
    <row r="32" spans="1:17" ht="25.5" x14ac:dyDescent="0.2">
      <c r="A32" s="1">
        <f t="shared" ca="1" si="1"/>
        <v>30</v>
      </c>
      <c r="B32" s="1" t="s">
        <v>2956</v>
      </c>
      <c r="C32" s="82" t="s">
        <v>6040</v>
      </c>
      <c r="D32" s="6"/>
      <c r="E32" s="4"/>
      <c r="F32" s="71"/>
      <c r="G32" s="4" t="s">
        <v>3101</v>
      </c>
      <c r="H32" s="4"/>
      <c r="I32" s="4" t="s">
        <v>1322</v>
      </c>
      <c r="J32" s="4" t="s">
        <v>2913</v>
      </c>
      <c r="K32" s="6"/>
      <c r="L32" s="6"/>
      <c r="M32" s="6"/>
      <c r="N32" s="6"/>
      <c r="O32" s="6"/>
      <c r="P32" s="6"/>
      <c r="Q32" s="6"/>
    </row>
    <row r="33" spans="1:17" ht="38.25" x14ac:dyDescent="0.2">
      <c r="A33" s="1">
        <f t="shared" ca="1" si="1"/>
        <v>31</v>
      </c>
      <c r="B33" s="2" t="s">
        <v>2643</v>
      </c>
      <c r="C33" s="82" t="s">
        <v>6042</v>
      </c>
      <c r="D33" s="6" t="s">
        <v>2644</v>
      </c>
      <c r="E33" s="6" t="s">
        <v>2645</v>
      </c>
      <c r="F33" s="71" t="s">
        <v>4235</v>
      </c>
      <c r="G33" s="4" t="s">
        <v>5390</v>
      </c>
      <c r="H33" s="4"/>
      <c r="I33" s="4" t="s">
        <v>2161</v>
      </c>
      <c r="J33" s="4" t="s">
        <v>2914</v>
      </c>
      <c r="K33" s="4"/>
      <c r="L33" s="4"/>
      <c r="M33" s="4"/>
      <c r="N33" s="4"/>
      <c r="O33" s="4"/>
      <c r="P33" s="4"/>
      <c r="Q33" s="4"/>
    </row>
    <row r="34" spans="1:17" ht="38.25" x14ac:dyDescent="0.2">
      <c r="A34" s="1">
        <f t="shared" ca="1" si="1"/>
        <v>32</v>
      </c>
      <c r="B34" s="1" t="s">
        <v>2646</v>
      </c>
      <c r="C34" s="82" t="s">
        <v>6041</v>
      </c>
      <c r="D34" s="4" t="s">
        <v>1644</v>
      </c>
      <c r="E34" s="4" t="s">
        <v>1645</v>
      </c>
      <c r="F34" s="71" t="s">
        <v>4236</v>
      </c>
      <c r="G34" s="4" t="s">
        <v>5391</v>
      </c>
      <c r="H34" s="4"/>
      <c r="I34" s="4" t="s">
        <v>2162</v>
      </c>
      <c r="J34" s="4" t="s">
        <v>2915</v>
      </c>
      <c r="K34" s="4"/>
      <c r="L34" s="4"/>
      <c r="M34" s="4"/>
      <c r="N34" s="4"/>
      <c r="O34" s="4"/>
      <c r="P34" s="4"/>
      <c r="Q34" s="4"/>
    </row>
    <row r="35" spans="1:17" ht="38.25" x14ac:dyDescent="0.2">
      <c r="A35" s="1">
        <f t="shared" ca="1" si="1"/>
        <v>33</v>
      </c>
      <c r="B35" s="1" t="s">
        <v>3077</v>
      </c>
      <c r="C35" s="82" t="s">
        <v>6032</v>
      </c>
      <c r="D35" s="6" t="s">
        <v>2644</v>
      </c>
      <c r="E35" s="6" t="s">
        <v>2645</v>
      </c>
      <c r="F35" s="71" t="s">
        <v>4235</v>
      </c>
      <c r="G35" s="4" t="s">
        <v>5392</v>
      </c>
      <c r="H35" s="4"/>
      <c r="I35" s="4" t="s">
        <v>2161</v>
      </c>
      <c r="J35" s="4" t="s">
        <v>2914</v>
      </c>
      <c r="K35" s="4"/>
      <c r="L35" s="4"/>
      <c r="M35" s="4"/>
      <c r="N35" s="4"/>
      <c r="O35" s="4"/>
      <c r="P35" s="4"/>
      <c r="Q35" s="4"/>
    </row>
    <row r="36" spans="1:17" ht="25.5" x14ac:dyDescent="0.2">
      <c r="A36" s="1">
        <f t="shared" ca="1" si="1"/>
        <v>34</v>
      </c>
      <c r="B36" s="1" t="s">
        <v>3078</v>
      </c>
      <c r="C36" s="82" t="s">
        <v>6033</v>
      </c>
      <c r="D36" s="4" t="s">
        <v>1644</v>
      </c>
      <c r="E36" s="4" t="s">
        <v>1645</v>
      </c>
      <c r="F36" s="71" t="s">
        <v>4236</v>
      </c>
      <c r="G36" s="4" t="s">
        <v>5527</v>
      </c>
      <c r="H36" s="4"/>
      <c r="I36" s="4" t="s">
        <v>2162</v>
      </c>
      <c r="J36" s="4" t="s">
        <v>2915</v>
      </c>
      <c r="K36" s="4"/>
      <c r="L36" s="4"/>
      <c r="M36" s="4"/>
      <c r="N36" s="4"/>
      <c r="O36" s="4"/>
      <c r="P36" s="4"/>
      <c r="Q36" s="4"/>
    </row>
    <row r="37" spans="1:17" ht="25.5" x14ac:dyDescent="0.2">
      <c r="A37" s="1">
        <f t="shared" ca="1" si="1"/>
        <v>35</v>
      </c>
      <c r="B37" s="1" t="s">
        <v>1646</v>
      </c>
      <c r="C37" s="82" t="s">
        <v>6043</v>
      </c>
      <c r="D37" s="6" t="s">
        <v>1647</v>
      </c>
      <c r="E37" s="4" t="s">
        <v>1648</v>
      </c>
      <c r="F37" s="71" t="s">
        <v>4237</v>
      </c>
      <c r="G37" s="4" t="s">
        <v>5528</v>
      </c>
      <c r="H37" s="4"/>
      <c r="I37" s="4" t="s">
        <v>1323</v>
      </c>
      <c r="J37" s="4" t="s">
        <v>2916</v>
      </c>
      <c r="K37" s="4"/>
      <c r="L37" s="4"/>
      <c r="M37" s="4"/>
      <c r="N37" s="4"/>
      <c r="O37" s="4"/>
      <c r="P37" s="4"/>
      <c r="Q37" s="4"/>
    </row>
    <row r="38" spans="1:17" ht="25.5" x14ac:dyDescent="0.2">
      <c r="A38" s="1">
        <f t="shared" ca="1" si="1"/>
        <v>36</v>
      </c>
      <c r="B38" s="2" t="s">
        <v>1649</v>
      </c>
      <c r="C38" s="82" t="s">
        <v>6044</v>
      </c>
      <c r="D38" s="4" t="s">
        <v>2861</v>
      </c>
      <c r="E38" s="4" t="s">
        <v>2862</v>
      </c>
      <c r="F38" s="71" t="s">
        <v>4238</v>
      </c>
      <c r="G38" s="4" t="s">
        <v>6209</v>
      </c>
      <c r="H38" s="4"/>
      <c r="I38" s="4" t="s">
        <v>1324</v>
      </c>
      <c r="J38" s="4" t="s">
        <v>2917</v>
      </c>
      <c r="K38" s="4"/>
      <c r="L38" s="4"/>
      <c r="M38" s="4"/>
      <c r="N38" s="4"/>
      <c r="O38" s="4"/>
      <c r="P38" s="4"/>
      <c r="Q38" s="4"/>
    </row>
    <row r="39" spans="1:17" ht="38.25" x14ac:dyDescent="0.2">
      <c r="A39" s="1">
        <f t="shared" ca="1" si="1"/>
        <v>37</v>
      </c>
      <c r="B39" s="1" t="s">
        <v>2863</v>
      </c>
      <c r="C39" s="82" t="s">
        <v>6045</v>
      </c>
      <c r="D39" s="4" t="s">
        <v>667</v>
      </c>
      <c r="E39" s="4" t="s">
        <v>668</v>
      </c>
      <c r="F39" s="71" t="s">
        <v>4239</v>
      </c>
      <c r="G39" s="4" t="s">
        <v>6210</v>
      </c>
      <c r="H39" s="4"/>
      <c r="I39" s="4" t="s">
        <v>4149</v>
      </c>
      <c r="J39" s="4"/>
      <c r="K39" s="4"/>
      <c r="L39" s="4"/>
      <c r="M39" s="4"/>
      <c r="N39" s="4"/>
      <c r="O39" s="4"/>
      <c r="P39" s="4"/>
      <c r="Q39" s="4"/>
    </row>
    <row r="40" spans="1:17" x14ac:dyDescent="0.2">
      <c r="A40" s="1">
        <f t="shared" ca="1" si="1"/>
        <v>38</v>
      </c>
      <c r="B40" s="1" t="s">
        <v>6836</v>
      </c>
      <c r="C40" s="82" t="s">
        <v>6046</v>
      </c>
      <c r="D40" s="4" t="s">
        <v>2526</v>
      </c>
      <c r="E40" s="4" t="s">
        <v>2527</v>
      </c>
      <c r="F40" s="71" t="s">
        <v>2528</v>
      </c>
      <c r="G40" s="4" t="s">
        <v>2529</v>
      </c>
      <c r="H40" s="4"/>
      <c r="I40" s="4" t="s">
        <v>1325</v>
      </c>
      <c r="J40" s="4" t="s">
        <v>2918</v>
      </c>
      <c r="K40" s="6"/>
      <c r="L40" s="6"/>
      <c r="M40" s="6"/>
      <c r="N40" s="6"/>
      <c r="O40" s="6"/>
      <c r="P40" s="6"/>
      <c r="Q40" s="6"/>
    </row>
    <row r="41" spans="1:17" x14ac:dyDescent="0.2">
      <c r="A41" s="1">
        <f t="shared" ca="1" si="1"/>
        <v>39</v>
      </c>
      <c r="B41" s="1" t="s">
        <v>2525</v>
      </c>
      <c r="C41" s="82" t="s">
        <v>6046</v>
      </c>
      <c r="D41" s="4" t="s">
        <v>2526</v>
      </c>
      <c r="E41" s="4" t="s">
        <v>2527</v>
      </c>
      <c r="F41" s="71" t="s">
        <v>2528</v>
      </c>
      <c r="G41" s="4" t="s">
        <v>2529</v>
      </c>
      <c r="H41" s="4"/>
      <c r="I41" s="4" t="s">
        <v>1325</v>
      </c>
      <c r="J41" s="4" t="s">
        <v>2918</v>
      </c>
      <c r="K41" s="6"/>
      <c r="L41" s="6"/>
      <c r="M41" s="6"/>
      <c r="N41" s="6"/>
      <c r="O41" s="6"/>
      <c r="P41" s="6"/>
      <c r="Q41" s="6"/>
    </row>
    <row r="42" spans="1:17" ht="25.5" x14ac:dyDescent="0.2">
      <c r="A42" s="1">
        <f t="shared" ca="1" si="1"/>
        <v>40</v>
      </c>
      <c r="B42" s="1" t="s">
        <v>6837</v>
      </c>
      <c r="C42" s="82" t="s">
        <v>6047</v>
      </c>
      <c r="D42" s="6" t="s">
        <v>669</v>
      </c>
      <c r="E42" s="6" t="s">
        <v>670</v>
      </c>
      <c r="F42" s="71" t="s">
        <v>4240</v>
      </c>
      <c r="G42" s="4" t="s">
        <v>6211</v>
      </c>
      <c r="H42" s="4"/>
      <c r="I42" s="4" t="s">
        <v>6211</v>
      </c>
      <c r="J42" s="4" t="s">
        <v>4444</v>
      </c>
      <c r="K42" s="6"/>
      <c r="L42" s="6"/>
      <c r="M42" s="6"/>
      <c r="N42" s="6"/>
      <c r="O42" s="6"/>
      <c r="P42" s="6"/>
      <c r="Q42" s="6"/>
    </row>
    <row r="43" spans="1:17" ht="25.5" x14ac:dyDescent="0.2">
      <c r="A43" s="1">
        <f t="shared" ca="1" si="1"/>
        <v>41</v>
      </c>
      <c r="B43" s="1" t="s">
        <v>6837</v>
      </c>
      <c r="C43" s="82" t="s">
        <v>6047</v>
      </c>
      <c r="D43" s="6" t="s">
        <v>669</v>
      </c>
      <c r="E43" s="6" t="s">
        <v>670</v>
      </c>
      <c r="F43" s="71" t="s">
        <v>4240</v>
      </c>
      <c r="G43" s="4" t="s">
        <v>6211</v>
      </c>
      <c r="H43" s="4"/>
      <c r="I43" s="4" t="s">
        <v>6211</v>
      </c>
      <c r="J43" s="4" t="s">
        <v>4444</v>
      </c>
      <c r="K43" s="6"/>
      <c r="L43" s="6"/>
      <c r="M43" s="6"/>
      <c r="N43" s="6"/>
      <c r="O43" s="6"/>
      <c r="P43" s="6"/>
      <c r="Q43" s="6"/>
    </row>
    <row r="44" spans="1:17" x14ac:dyDescent="0.2">
      <c r="A44" s="1">
        <f t="shared" ca="1" si="1"/>
        <v>42</v>
      </c>
      <c r="B44" s="2" t="s">
        <v>671</v>
      </c>
      <c r="C44" s="82" t="s">
        <v>6048</v>
      </c>
      <c r="D44" s="6" t="s">
        <v>672</v>
      </c>
      <c r="E44" s="6" t="s">
        <v>673</v>
      </c>
      <c r="F44" s="71" t="s">
        <v>4241</v>
      </c>
      <c r="G44" s="4" t="s">
        <v>6212</v>
      </c>
      <c r="H44" s="4"/>
      <c r="I44" s="4" t="s">
        <v>4150</v>
      </c>
      <c r="J44" s="4" t="s">
        <v>4445</v>
      </c>
      <c r="K44" s="4"/>
      <c r="L44" s="4"/>
      <c r="M44" s="4"/>
      <c r="N44" s="4"/>
      <c r="O44" s="4"/>
      <c r="P44" s="4"/>
      <c r="Q44" s="4"/>
    </row>
    <row r="45" spans="1:17" x14ac:dyDescent="0.2">
      <c r="A45" s="1">
        <f t="shared" ca="1" si="1"/>
        <v>43</v>
      </c>
      <c r="B45" s="1" t="s">
        <v>674</v>
      </c>
      <c r="C45" s="82" t="s">
        <v>6049</v>
      </c>
      <c r="D45" s="4" t="s">
        <v>675</v>
      </c>
      <c r="E45" s="4" t="s">
        <v>334</v>
      </c>
      <c r="F45" s="71" t="s">
        <v>4242</v>
      </c>
      <c r="G45" s="4" t="s">
        <v>6213</v>
      </c>
      <c r="H45" s="4"/>
      <c r="I45" s="4" t="s">
        <v>3371</v>
      </c>
      <c r="J45" s="4" t="s">
        <v>3688</v>
      </c>
      <c r="K45" s="6"/>
      <c r="L45" s="6"/>
      <c r="M45" s="6"/>
      <c r="N45" s="6"/>
      <c r="O45" s="6"/>
      <c r="P45" s="6"/>
      <c r="Q45" s="6"/>
    </row>
    <row r="46" spans="1:17" x14ac:dyDescent="0.2">
      <c r="A46" s="1">
        <f t="shared" ca="1" si="1"/>
        <v>44</v>
      </c>
      <c r="B46" s="2" t="s">
        <v>335</v>
      </c>
      <c r="C46" s="82" t="s">
        <v>5180</v>
      </c>
      <c r="D46" s="6" t="s">
        <v>336</v>
      </c>
      <c r="E46" s="6" t="s">
        <v>337</v>
      </c>
      <c r="F46" s="71" t="s">
        <v>336</v>
      </c>
      <c r="G46" s="4" t="s">
        <v>6214</v>
      </c>
      <c r="H46" s="4"/>
      <c r="I46" s="4" t="s">
        <v>3372</v>
      </c>
      <c r="J46" s="4" t="s">
        <v>3689</v>
      </c>
      <c r="K46" s="6"/>
      <c r="L46" s="6"/>
      <c r="M46" s="6"/>
      <c r="N46" s="6"/>
      <c r="O46" s="6"/>
      <c r="P46" s="6"/>
      <c r="Q46" s="6"/>
    </row>
    <row r="47" spans="1:17" ht="25.5" x14ac:dyDescent="0.2">
      <c r="A47" s="1">
        <f t="shared" ca="1" si="1"/>
        <v>45</v>
      </c>
      <c r="B47" s="1" t="s">
        <v>338</v>
      </c>
      <c r="C47" s="82" t="s">
        <v>5181</v>
      </c>
      <c r="D47" s="6" t="s">
        <v>339</v>
      </c>
      <c r="E47" s="6" t="s">
        <v>340</v>
      </c>
      <c r="F47" s="71" t="s">
        <v>4243</v>
      </c>
      <c r="G47" s="4" t="s">
        <v>6215</v>
      </c>
      <c r="H47" s="4"/>
      <c r="I47" s="4" t="s">
        <v>3373</v>
      </c>
      <c r="J47" s="4" t="s">
        <v>3690</v>
      </c>
      <c r="K47" s="4"/>
      <c r="L47" s="4"/>
      <c r="M47" s="4"/>
      <c r="N47" s="4"/>
      <c r="O47" s="4"/>
      <c r="P47" s="4"/>
      <c r="Q47" s="4"/>
    </row>
    <row r="48" spans="1:17" ht="25.5" x14ac:dyDescent="0.2">
      <c r="A48" s="1">
        <f t="shared" ca="1" si="1"/>
        <v>46</v>
      </c>
      <c r="B48" s="1" t="s">
        <v>341</v>
      </c>
      <c r="C48" s="82" t="s">
        <v>5182</v>
      </c>
      <c r="D48" s="4" t="s">
        <v>342</v>
      </c>
      <c r="E48" s="4" t="s">
        <v>343</v>
      </c>
      <c r="F48" s="71" t="s">
        <v>4244</v>
      </c>
      <c r="G48" s="4" t="s">
        <v>6216</v>
      </c>
      <c r="H48" s="6"/>
      <c r="I48" s="4" t="s">
        <v>3374</v>
      </c>
      <c r="J48" s="4"/>
      <c r="K48" s="4"/>
      <c r="L48" s="4"/>
      <c r="M48" s="4"/>
      <c r="N48" s="4"/>
      <c r="O48" s="4"/>
      <c r="P48" s="4"/>
      <c r="Q48" s="4"/>
    </row>
    <row r="49" spans="1:17" ht="25.5" x14ac:dyDescent="0.2">
      <c r="A49" s="1">
        <f t="shared" ca="1" si="1"/>
        <v>47</v>
      </c>
      <c r="B49" s="1" t="s">
        <v>4052</v>
      </c>
      <c r="C49" s="82" t="s">
        <v>6901</v>
      </c>
      <c r="D49" s="6" t="s">
        <v>4053</v>
      </c>
      <c r="E49" s="4" t="s">
        <v>343</v>
      </c>
      <c r="F49" s="71" t="s">
        <v>4245</v>
      </c>
      <c r="G49" s="4" t="s">
        <v>8098</v>
      </c>
      <c r="H49" s="6"/>
      <c r="I49" s="4" t="s">
        <v>1326</v>
      </c>
      <c r="J49" s="4"/>
      <c r="K49" s="4"/>
      <c r="L49" s="4"/>
      <c r="M49" s="4"/>
      <c r="N49" s="4"/>
      <c r="O49" s="4"/>
      <c r="P49" s="4"/>
      <c r="Q49" s="4"/>
    </row>
    <row r="50" spans="1:17" ht="25.5" x14ac:dyDescent="0.2">
      <c r="A50" s="1">
        <f t="shared" ca="1" si="1"/>
        <v>48</v>
      </c>
      <c r="B50" s="1" t="s">
        <v>4054</v>
      </c>
      <c r="C50" s="82" t="s">
        <v>6293</v>
      </c>
      <c r="D50" s="4" t="s">
        <v>4055</v>
      </c>
      <c r="E50" s="4" t="s">
        <v>4056</v>
      </c>
      <c r="F50" s="71" t="s">
        <v>4246</v>
      </c>
      <c r="G50" s="4" t="s">
        <v>8099</v>
      </c>
      <c r="H50" s="6"/>
      <c r="I50" s="4" t="s">
        <v>3375</v>
      </c>
      <c r="J50" s="4"/>
      <c r="K50" s="4"/>
      <c r="L50" s="4"/>
      <c r="M50" s="4"/>
      <c r="N50" s="4"/>
      <c r="O50" s="4"/>
      <c r="P50" s="4"/>
      <c r="Q50" s="4"/>
    </row>
    <row r="51" spans="1:17" x14ac:dyDescent="0.2">
      <c r="A51" s="1">
        <v>49</v>
      </c>
      <c r="B51" s="1" t="s">
        <v>5506</v>
      </c>
      <c r="C51" s="82" t="s">
        <v>5507</v>
      </c>
      <c r="D51" s="4"/>
      <c r="E51" s="4"/>
      <c r="F51" s="71"/>
      <c r="G51" s="4"/>
      <c r="H51" s="6"/>
      <c r="I51" s="4" t="s">
        <v>1327</v>
      </c>
      <c r="J51" s="4"/>
      <c r="K51" s="4"/>
      <c r="L51" s="4"/>
      <c r="M51" s="4"/>
      <c r="N51" s="4"/>
      <c r="O51" s="4"/>
      <c r="P51" s="4"/>
      <c r="Q51" s="4"/>
    </row>
    <row r="52" spans="1:17" x14ac:dyDescent="0.2">
      <c r="A52" s="1">
        <f t="shared" ca="1" si="1"/>
        <v>50</v>
      </c>
      <c r="B52" s="73" t="s">
        <v>4057</v>
      </c>
      <c r="C52" s="82"/>
      <c r="D52" s="4"/>
      <c r="E52" s="4"/>
      <c r="F52" s="71"/>
      <c r="G52" s="6"/>
      <c r="H52" s="6"/>
      <c r="J52" s="4"/>
      <c r="K52" s="4"/>
      <c r="L52" s="4"/>
      <c r="M52" s="4"/>
      <c r="N52" s="4"/>
      <c r="O52" s="4"/>
      <c r="P52" s="4"/>
      <c r="Q52" s="4"/>
    </row>
    <row r="53" spans="1:17" x14ac:dyDescent="0.2">
      <c r="A53" s="1">
        <f t="shared" ca="1" si="1"/>
        <v>51</v>
      </c>
      <c r="B53" s="1" t="s">
        <v>4058</v>
      </c>
      <c r="C53" s="82" t="s">
        <v>4059</v>
      </c>
      <c r="D53" s="4" t="s">
        <v>4060</v>
      </c>
      <c r="E53" s="4" t="s">
        <v>4061</v>
      </c>
      <c r="F53" s="71" t="s">
        <v>4603</v>
      </c>
      <c r="G53" s="4" t="s">
        <v>8100</v>
      </c>
      <c r="H53" s="4"/>
      <c r="I53" s="4" t="s">
        <v>3376</v>
      </c>
      <c r="J53" s="4" t="s">
        <v>3691</v>
      </c>
      <c r="K53" s="4"/>
      <c r="L53" s="4"/>
      <c r="M53" s="4"/>
      <c r="N53" s="4"/>
      <c r="O53" s="4"/>
      <c r="P53" s="4"/>
      <c r="Q53" s="4"/>
    </row>
    <row r="54" spans="1:17" ht="25.5" x14ac:dyDescent="0.2">
      <c r="A54" s="1">
        <f t="shared" ca="1" si="1"/>
        <v>52</v>
      </c>
      <c r="B54" s="1" t="s">
        <v>4062</v>
      </c>
      <c r="C54" s="82" t="s">
        <v>8481</v>
      </c>
      <c r="D54" s="4" t="s">
        <v>5992</v>
      </c>
      <c r="E54" s="6" t="s">
        <v>5993</v>
      </c>
      <c r="F54" s="71" t="s">
        <v>4604</v>
      </c>
      <c r="G54" s="4" t="s">
        <v>8101</v>
      </c>
      <c r="H54" s="4"/>
      <c r="I54" s="4" t="s">
        <v>1328</v>
      </c>
      <c r="J54" s="4" t="s">
        <v>3692</v>
      </c>
      <c r="K54" s="4"/>
      <c r="L54" s="4"/>
      <c r="M54" s="4"/>
      <c r="N54" s="4"/>
      <c r="O54" s="4"/>
      <c r="P54" s="4"/>
      <c r="Q54" s="4"/>
    </row>
    <row r="55" spans="1:17" x14ac:dyDescent="0.2">
      <c r="A55" s="1">
        <f t="shared" ca="1" si="1"/>
        <v>53</v>
      </c>
      <c r="B55" s="1" t="s">
        <v>5994</v>
      </c>
      <c r="C55" s="82" t="s">
        <v>8482</v>
      </c>
      <c r="D55" s="4" t="s">
        <v>5995</v>
      </c>
      <c r="E55" s="4" t="s">
        <v>5996</v>
      </c>
      <c r="F55" s="71" t="s">
        <v>4605</v>
      </c>
      <c r="G55" s="4" t="s">
        <v>8102</v>
      </c>
      <c r="H55" s="4"/>
      <c r="I55" s="4" t="s">
        <v>3377</v>
      </c>
      <c r="J55" s="4" t="s">
        <v>1853</v>
      </c>
      <c r="K55" s="4"/>
      <c r="L55" s="4"/>
      <c r="M55" s="4"/>
      <c r="N55" s="4"/>
      <c r="O55" s="4"/>
      <c r="P55" s="4"/>
      <c r="Q55" s="4"/>
    </row>
    <row r="56" spans="1:17" x14ac:dyDescent="0.2">
      <c r="A56" s="1">
        <f t="shared" ca="1" si="1"/>
        <v>54</v>
      </c>
      <c r="B56" s="2" t="s">
        <v>5997</v>
      </c>
      <c r="C56" s="82" t="s">
        <v>6611</v>
      </c>
      <c r="D56" s="4" t="s">
        <v>5998</v>
      </c>
      <c r="E56" s="4" t="s">
        <v>5999</v>
      </c>
      <c r="F56" s="71" t="s">
        <v>4606</v>
      </c>
      <c r="G56" s="4" t="s">
        <v>8103</v>
      </c>
      <c r="H56" s="4"/>
      <c r="I56" s="4" t="s">
        <v>1329</v>
      </c>
      <c r="J56" s="4" t="s">
        <v>3693</v>
      </c>
      <c r="K56" s="4"/>
      <c r="L56" s="4"/>
      <c r="M56" s="4"/>
      <c r="N56" s="4"/>
      <c r="O56" s="4"/>
      <c r="P56" s="4"/>
      <c r="Q56" s="4"/>
    </row>
    <row r="57" spans="1:17" ht="204" x14ac:dyDescent="0.2">
      <c r="A57" s="1">
        <f t="shared" ca="1" si="1"/>
        <v>55</v>
      </c>
      <c r="B57" s="1" t="s">
        <v>5478</v>
      </c>
      <c r="C57" s="82" t="s">
        <v>5437</v>
      </c>
      <c r="D57" s="6" t="s">
        <v>6000</v>
      </c>
      <c r="E57" s="4" t="s">
        <v>8329</v>
      </c>
      <c r="F57" s="71" t="s">
        <v>5926</v>
      </c>
      <c r="G57" s="4" t="s">
        <v>1198</v>
      </c>
      <c r="H57" s="4"/>
      <c r="I57" s="4" t="s">
        <v>1330</v>
      </c>
      <c r="J57" s="4" t="s">
        <v>3546</v>
      </c>
      <c r="K57" s="4"/>
      <c r="L57" s="4"/>
      <c r="M57" s="4"/>
      <c r="N57" s="4"/>
      <c r="O57" s="4"/>
      <c r="P57" s="4"/>
      <c r="Q57" s="4"/>
    </row>
    <row r="58" spans="1:17" x14ac:dyDescent="0.2">
      <c r="A58" s="1">
        <f t="shared" ref="A58" ca="1" si="2">CELL("row",C58)-2</f>
        <v>56</v>
      </c>
      <c r="B58" s="2" t="s">
        <v>9040</v>
      </c>
      <c r="C58" s="145" t="s">
        <v>9039</v>
      </c>
      <c r="D58" s="6"/>
      <c r="E58" s="4"/>
      <c r="F58" s="71"/>
      <c r="G58" s="4"/>
      <c r="H58" s="4"/>
      <c r="J58" s="4"/>
      <c r="K58" s="4"/>
      <c r="L58" s="4"/>
      <c r="M58" s="4"/>
      <c r="N58" s="4"/>
      <c r="O58" s="4"/>
      <c r="P58" s="4"/>
      <c r="Q58" s="4"/>
    </row>
    <row r="59" spans="1:17" ht="140.25" x14ac:dyDescent="0.2">
      <c r="A59" s="1">
        <f t="shared" ca="1" si="1"/>
        <v>57</v>
      </c>
      <c r="B59" s="2" t="s">
        <v>7118</v>
      </c>
      <c r="C59" s="82" t="s">
        <v>913</v>
      </c>
      <c r="D59" s="6" t="s">
        <v>6384</v>
      </c>
      <c r="E59" s="4"/>
      <c r="F59" s="71" t="s">
        <v>705</v>
      </c>
      <c r="G59" s="4" t="s">
        <v>7759</v>
      </c>
      <c r="H59" s="4"/>
      <c r="I59" s="4" t="s">
        <v>1331</v>
      </c>
      <c r="J59" s="4" t="s">
        <v>1852</v>
      </c>
      <c r="K59" s="4"/>
      <c r="L59" s="4"/>
      <c r="M59" s="4"/>
      <c r="N59" s="4"/>
      <c r="O59" s="4"/>
      <c r="P59" s="4"/>
      <c r="Q59" s="4"/>
    </row>
    <row r="60" spans="1:17" ht="38.25" x14ac:dyDescent="0.2">
      <c r="A60" s="1">
        <f t="shared" ca="1" si="1"/>
        <v>58</v>
      </c>
      <c r="B60" s="1" t="s">
        <v>6385</v>
      </c>
      <c r="C60" s="82" t="s">
        <v>6386</v>
      </c>
      <c r="D60" s="4" t="s">
        <v>6387</v>
      </c>
      <c r="E60" s="4" t="s">
        <v>7333</v>
      </c>
      <c r="F60" s="71" t="s">
        <v>706</v>
      </c>
      <c r="G60" s="4" t="s">
        <v>7760</v>
      </c>
      <c r="H60" s="4"/>
      <c r="I60" s="4" t="s">
        <v>4924</v>
      </c>
      <c r="J60" s="4" t="s">
        <v>3694</v>
      </c>
      <c r="K60" s="4"/>
      <c r="L60" s="4"/>
      <c r="M60" s="4"/>
      <c r="N60" s="4"/>
      <c r="O60" s="4"/>
      <c r="P60" s="4"/>
      <c r="Q60" s="4"/>
    </row>
    <row r="61" spans="1:17" x14ac:dyDescent="0.2">
      <c r="A61" s="1">
        <f t="shared" ca="1" si="1"/>
        <v>59</v>
      </c>
      <c r="B61" s="2" t="s">
        <v>7334</v>
      </c>
      <c r="C61" s="82" t="s">
        <v>914</v>
      </c>
      <c r="D61" s="6" t="s">
        <v>7335</v>
      </c>
      <c r="E61" s="6" t="s">
        <v>7336</v>
      </c>
      <c r="F61" s="71" t="s">
        <v>707</v>
      </c>
      <c r="G61" s="4" t="s">
        <v>7761</v>
      </c>
      <c r="H61" s="4"/>
      <c r="I61" s="4" t="s">
        <v>1332</v>
      </c>
      <c r="J61" s="4" t="s">
        <v>3696</v>
      </c>
      <c r="K61" s="4"/>
      <c r="L61" s="4"/>
      <c r="M61" s="4"/>
      <c r="N61" s="4"/>
      <c r="O61" s="4"/>
      <c r="P61" s="4"/>
      <c r="Q61" s="4"/>
    </row>
    <row r="62" spans="1:17" x14ac:dyDescent="0.2">
      <c r="A62" s="1">
        <f t="shared" ca="1" si="1"/>
        <v>60</v>
      </c>
      <c r="B62" s="1" t="s">
        <v>7337</v>
      </c>
      <c r="C62" s="82" t="s">
        <v>915</v>
      </c>
      <c r="D62" s="4" t="s">
        <v>7047</v>
      </c>
      <c r="E62" s="4" t="s">
        <v>2677</v>
      </c>
      <c r="F62" s="71" t="s">
        <v>708</v>
      </c>
      <c r="G62" s="4" t="s">
        <v>7762</v>
      </c>
      <c r="H62" s="4"/>
      <c r="I62" s="4" t="s">
        <v>1333</v>
      </c>
      <c r="J62" s="4" t="s">
        <v>3695</v>
      </c>
      <c r="K62" s="4"/>
      <c r="L62" s="4"/>
      <c r="M62" s="4"/>
      <c r="N62" s="4"/>
      <c r="O62" s="4"/>
      <c r="P62" s="4"/>
      <c r="Q62" s="4"/>
    </row>
    <row r="63" spans="1:17" x14ac:dyDescent="0.2">
      <c r="A63" s="1">
        <f t="shared" ca="1" si="1"/>
        <v>61</v>
      </c>
      <c r="B63" s="1" t="s">
        <v>2678</v>
      </c>
      <c r="C63" s="82" t="s">
        <v>2679</v>
      </c>
      <c r="D63" s="4" t="s">
        <v>2680</v>
      </c>
      <c r="E63" s="4" t="s">
        <v>2681</v>
      </c>
      <c r="F63" s="71" t="s">
        <v>709</v>
      </c>
      <c r="G63" s="4" t="s">
        <v>7763</v>
      </c>
      <c r="H63" s="4"/>
      <c r="I63" s="4" t="s">
        <v>1334</v>
      </c>
      <c r="J63" s="4" t="s">
        <v>2678</v>
      </c>
      <c r="K63" s="4"/>
      <c r="L63" s="4"/>
      <c r="M63" s="4"/>
      <c r="N63" s="4"/>
      <c r="O63" s="4"/>
      <c r="P63" s="4"/>
      <c r="Q63" s="4"/>
    </row>
    <row r="64" spans="1:17" x14ac:dyDescent="0.2">
      <c r="A64" s="1">
        <f t="shared" ca="1" si="1"/>
        <v>62</v>
      </c>
      <c r="B64" s="1" t="s">
        <v>1826</v>
      </c>
      <c r="C64" s="82" t="s">
        <v>1827</v>
      </c>
      <c r="D64" s="4" t="s">
        <v>1826</v>
      </c>
      <c r="E64" s="4" t="s">
        <v>1828</v>
      </c>
      <c r="F64" s="71" t="s">
        <v>1826</v>
      </c>
      <c r="G64" s="4" t="s">
        <v>7769</v>
      </c>
      <c r="H64" s="6"/>
      <c r="I64" s="4" t="s">
        <v>1335</v>
      </c>
      <c r="J64" s="4" t="s">
        <v>1826</v>
      </c>
      <c r="K64" s="4"/>
      <c r="L64" s="4"/>
      <c r="M64" s="4"/>
      <c r="N64" s="4"/>
      <c r="O64" s="4"/>
      <c r="P64" s="4"/>
      <c r="Q64" s="4"/>
    </row>
    <row r="65" spans="1:17" x14ac:dyDescent="0.2">
      <c r="A65" s="1">
        <f t="shared" ca="1" si="1"/>
        <v>63</v>
      </c>
      <c r="B65" s="1" t="s">
        <v>1829</v>
      </c>
      <c r="C65" s="82" t="s">
        <v>916</v>
      </c>
      <c r="D65" s="4" t="s">
        <v>1830</v>
      </c>
      <c r="E65" s="4" t="s">
        <v>1831</v>
      </c>
      <c r="F65" s="71" t="s">
        <v>710</v>
      </c>
      <c r="G65" s="4" t="s">
        <v>7770</v>
      </c>
      <c r="H65" s="6"/>
      <c r="I65" s="4" t="s">
        <v>1336</v>
      </c>
      <c r="J65" s="4" t="s">
        <v>3698</v>
      </c>
      <c r="K65" s="4"/>
      <c r="L65" s="4"/>
      <c r="M65" s="4"/>
      <c r="N65" s="4"/>
      <c r="O65" s="4"/>
      <c r="P65" s="4"/>
      <c r="Q65" s="4"/>
    </row>
    <row r="66" spans="1:17" x14ac:dyDescent="0.2">
      <c r="A66" s="1">
        <f t="shared" ca="1" si="1"/>
        <v>64</v>
      </c>
      <c r="B66" s="2" t="s">
        <v>4058</v>
      </c>
      <c r="C66" s="82" t="s">
        <v>7199</v>
      </c>
      <c r="D66" s="4" t="s">
        <v>1832</v>
      </c>
      <c r="E66" s="4" t="s">
        <v>1833</v>
      </c>
      <c r="F66" s="71" t="s">
        <v>4603</v>
      </c>
      <c r="G66" s="4" t="s">
        <v>7771</v>
      </c>
      <c r="H66" s="4"/>
      <c r="I66" s="4" t="s">
        <v>344</v>
      </c>
      <c r="J66" s="4" t="s">
        <v>3697</v>
      </c>
      <c r="K66" s="4"/>
      <c r="L66" s="4"/>
      <c r="M66" s="4"/>
      <c r="N66" s="4"/>
      <c r="O66" s="4"/>
      <c r="P66" s="4"/>
      <c r="Q66" s="4"/>
    </row>
    <row r="67" spans="1:17" x14ac:dyDescent="0.2">
      <c r="A67" s="1">
        <f t="shared" ca="1" si="1"/>
        <v>65</v>
      </c>
      <c r="B67" s="1" t="s">
        <v>3551</v>
      </c>
      <c r="C67" s="82" t="s">
        <v>1834</v>
      </c>
      <c r="D67" s="6" t="s">
        <v>1835</v>
      </c>
      <c r="E67" s="6" t="s">
        <v>1836</v>
      </c>
      <c r="F67" s="71" t="s">
        <v>711</v>
      </c>
      <c r="G67" s="4" t="s">
        <v>7772</v>
      </c>
      <c r="H67" s="6"/>
      <c r="I67" s="4" t="s">
        <v>345</v>
      </c>
      <c r="J67" s="4" t="s">
        <v>3699</v>
      </c>
      <c r="K67" s="4"/>
      <c r="L67" s="4"/>
      <c r="M67" s="4"/>
      <c r="N67" s="4"/>
      <c r="O67" s="4"/>
      <c r="P67" s="4"/>
      <c r="Q67" s="4"/>
    </row>
    <row r="68" spans="1:17" ht="25.5" x14ac:dyDescent="0.2">
      <c r="A68" s="1">
        <f ca="1">CELL("row",C68)-2</f>
        <v>66</v>
      </c>
      <c r="B68" s="1" t="s">
        <v>3552</v>
      </c>
      <c r="C68" s="82" t="s">
        <v>3553</v>
      </c>
      <c r="D68" s="4" t="s">
        <v>3554</v>
      </c>
      <c r="E68" s="4" t="s">
        <v>3555</v>
      </c>
      <c r="F68" s="71" t="s">
        <v>3556</v>
      </c>
      <c r="G68" s="4" t="s">
        <v>3557</v>
      </c>
      <c r="H68" s="6"/>
      <c r="I68" s="4" t="s">
        <v>345</v>
      </c>
      <c r="J68" s="4" t="s">
        <v>3699</v>
      </c>
      <c r="K68" s="4"/>
      <c r="L68" s="4"/>
      <c r="M68" s="4"/>
      <c r="N68" s="4"/>
      <c r="O68" s="4"/>
      <c r="P68" s="4"/>
      <c r="Q68" s="4"/>
    </row>
    <row r="69" spans="1:17" ht="25.5" x14ac:dyDescent="0.2">
      <c r="A69" s="1">
        <f t="shared" ca="1" si="1"/>
        <v>67</v>
      </c>
      <c r="B69" s="1" t="s">
        <v>1837</v>
      </c>
      <c r="C69" s="82" t="s">
        <v>917</v>
      </c>
      <c r="D69" s="4" t="s">
        <v>1838</v>
      </c>
      <c r="E69" s="4" t="s">
        <v>1839</v>
      </c>
      <c r="F69" s="71" t="s">
        <v>4612</v>
      </c>
      <c r="G69" s="4" t="s">
        <v>7773</v>
      </c>
      <c r="H69" s="4"/>
      <c r="I69" s="4" t="s">
        <v>346</v>
      </c>
      <c r="J69" s="4" t="s">
        <v>8513</v>
      </c>
      <c r="K69" s="4"/>
      <c r="L69" s="4"/>
      <c r="M69" s="4"/>
      <c r="N69" s="4"/>
      <c r="O69" s="4"/>
      <c r="P69" s="4"/>
      <c r="Q69" s="4"/>
    </row>
    <row r="70" spans="1:17" ht="25.5" x14ac:dyDescent="0.2">
      <c r="A70" s="1">
        <f t="shared" ca="1" si="1"/>
        <v>68</v>
      </c>
      <c r="B70" s="2" t="s">
        <v>3186</v>
      </c>
      <c r="C70" s="82" t="s">
        <v>7200</v>
      </c>
      <c r="D70" s="6" t="s">
        <v>2957</v>
      </c>
      <c r="E70" s="6" t="s">
        <v>2958</v>
      </c>
      <c r="F70" s="71" t="s">
        <v>712</v>
      </c>
      <c r="G70" s="4" t="s">
        <v>7774</v>
      </c>
      <c r="H70" s="4"/>
      <c r="I70" s="4" t="s">
        <v>347</v>
      </c>
      <c r="J70" s="4" t="s">
        <v>8512</v>
      </c>
      <c r="K70" s="4"/>
      <c r="L70" s="4"/>
      <c r="M70" s="4"/>
      <c r="N70" s="4"/>
      <c r="O70" s="4"/>
      <c r="P70" s="4"/>
      <c r="Q70" s="4"/>
    </row>
    <row r="71" spans="1:17" x14ac:dyDescent="0.2">
      <c r="A71" s="1">
        <f t="shared" ref="A71" ca="1" si="3">CELL("row",C71)-2</f>
        <v>69</v>
      </c>
      <c r="B71" s="2" t="s">
        <v>8921</v>
      </c>
      <c r="C71" s="82" t="s">
        <v>2960</v>
      </c>
      <c r="D71" s="6" t="s">
        <v>2961</v>
      </c>
      <c r="E71" s="6" t="s">
        <v>2962</v>
      </c>
      <c r="F71" s="71" t="s">
        <v>713</v>
      </c>
      <c r="G71" s="4" t="s">
        <v>7775</v>
      </c>
      <c r="H71" s="4"/>
      <c r="I71" s="4" t="s">
        <v>348</v>
      </c>
      <c r="J71" s="4" t="s">
        <v>7224</v>
      </c>
      <c r="K71" s="4"/>
      <c r="L71" s="4"/>
      <c r="M71" s="4"/>
      <c r="N71" s="4"/>
      <c r="O71" s="4"/>
      <c r="P71" s="4"/>
      <c r="Q71" s="4"/>
    </row>
    <row r="72" spans="1:17" x14ac:dyDescent="0.2">
      <c r="A72" s="1">
        <f t="shared" ref="A72:A136" ca="1" si="4">CELL("row",C72)-2</f>
        <v>70</v>
      </c>
      <c r="B72" s="2" t="s">
        <v>2959</v>
      </c>
      <c r="C72" s="82" t="s">
        <v>2960</v>
      </c>
      <c r="D72" s="6" t="s">
        <v>2961</v>
      </c>
      <c r="E72" s="6" t="s">
        <v>2962</v>
      </c>
      <c r="F72" s="71" t="s">
        <v>713</v>
      </c>
      <c r="G72" s="4" t="s">
        <v>7775</v>
      </c>
      <c r="H72" s="4"/>
      <c r="I72" s="4" t="s">
        <v>348</v>
      </c>
      <c r="J72" s="4" t="s">
        <v>7224</v>
      </c>
      <c r="K72" s="4"/>
      <c r="L72" s="4"/>
      <c r="M72" s="4"/>
      <c r="N72" s="4"/>
      <c r="O72" s="4"/>
      <c r="P72" s="4"/>
      <c r="Q72" s="4"/>
    </row>
    <row r="73" spans="1:17" ht="25.5" x14ac:dyDescent="0.2">
      <c r="A73" s="1">
        <f t="shared" ca="1" si="4"/>
        <v>71</v>
      </c>
      <c r="B73" s="2" t="s">
        <v>2963</v>
      </c>
      <c r="C73" s="82" t="s">
        <v>4531</v>
      </c>
      <c r="D73" s="6" t="s">
        <v>2964</v>
      </c>
      <c r="E73" s="6" t="s">
        <v>2965</v>
      </c>
      <c r="F73" s="71" t="s">
        <v>714</v>
      </c>
      <c r="G73" s="4" t="s">
        <v>7776</v>
      </c>
      <c r="H73" s="4"/>
      <c r="I73" s="4" t="s">
        <v>349</v>
      </c>
      <c r="J73" s="4"/>
      <c r="K73" s="4"/>
      <c r="L73" s="4"/>
      <c r="M73" s="4"/>
      <c r="N73" s="4"/>
      <c r="O73" s="4"/>
      <c r="P73" s="4"/>
      <c r="Q73" s="4"/>
    </row>
    <row r="74" spans="1:17" ht="25.5" x14ac:dyDescent="0.2">
      <c r="A74" s="1">
        <f t="shared" ca="1" si="4"/>
        <v>72</v>
      </c>
      <c r="B74" s="2" t="s">
        <v>9038</v>
      </c>
      <c r="C74" s="82" t="s">
        <v>4532</v>
      </c>
      <c r="D74" s="6" t="s">
        <v>2966</v>
      </c>
      <c r="E74" s="6" t="s">
        <v>2967</v>
      </c>
      <c r="F74" s="71" t="s">
        <v>715</v>
      </c>
      <c r="G74" s="4" t="s">
        <v>7073</v>
      </c>
      <c r="H74" s="4"/>
      <c r="I74" s="4" t="s">
        <v>1337</v>
      </c>
      <c r="J74" s="4" t="s">
        <v>7225</v>
      </c>
      <c r="K74" s="4"/>
      <c r="L74" s="4"/>
      <c r="M74" s="4"/>
      <c r="N74" s="4"/>
      <c r="O74" s="4"/>
      <c r="P74" s="4"/>
      <c r="Q74" s="4"/>
    </row>
    <row r="75" spans="1:17" x14ac:dyDescent="0.2">
      <c r="A75" s="1">
        <f t="shared" ca="1" si="4"/>
        <v>73</v>
      </c>
      <c r="B75" s="2" t="s">
        <v>2968</v>
      </c>
      <c r="C75" s="82" t="s">
        <v>2969</v>
      </c>
      <c r="D75" s="6" t="s">
        <v>2969</v>
      </c>
      <c r="E75" s="6" t="s">
        <v>2970</v>
      </c>
      <c r="F75" s="71" t="s">
        <v>716</v>
      </c>
      <c r="G75" s="4" t="s">
        <v>7074</v>
      </c>
      <c r="H75" s="4"/>
      <c r="I75" s="4" t="s">
        <v>7074</v>
      </c>
      <c r="J75" s="4" t="s">
        <v>7226</v>
      </c>
      <c r="K75" s="4"/>
      <c r="L75" s="4"/>
      <c r="M75" s="4"/>
      <c r="N75" s="4"/>
      <c r="O75" s="4"/>
      <c r="P75" s="4"/>
      <c r="Q75" s="4"/>
    </row>
    <row r="76" spans="1:17" x14ac:dyDescent="0.2">
      <c r="A76" s="1">
        <f t="shared" ca="1" si="4"/>
        <v>74</v>
      </c>
      <c r="B76" s="2" t="s">
        <v>2971</v>
      </c>
      <c r="C76" s="82" t="s">
        <v>4533</v>
      </c>
      <c r="D76" s="6" t="s">
        <v>4429</v>
      </c>
      <c r="E76" s="6" t="s">
        <v>4430</v>
      </c>
      <c r="F76" s="71" t="s">
        <v>717</v>
      </c>
      <c r="G76" s="4" t="s">
        <v>7075</v>
      </c>
      <c r="H76" s="4"/>
      <c r="I76" s="4" t="s">
        <v>1338</v>
      </c>
      <c r="J76" s="4" t="s">
        <v>7227</v>
      </c>
      <c r="K76" s="4"/>
      <c r="L76" s="4"/>
      <c r="M76" s="4"/>
      <c r="N76" s="4"/>
      <c r="O76" s="4"/>
      <c r="P76" s="4"/>
      <c r="Q76" s="4"/>
    </row>
    <row r="77" spans="1:17" ht="102" x14ac:dyDescent="0.2">
      <c r="A77" s="1">
        <f t="shared" ca="1" si="4"/>
        <v>75</v>
      </c>
      <c r="B77" s="1" t="s">
        <v>4534</v>
      </c>
      <c r="C77" s="82" t="s">
        <v>3602</v>
      </c>
      <c r="D77" s="6" t="s">
        <v>274</v>
      </c>
      <c r="E77" s="6" t="s">
        <v>4431</v>
      </c>
      <c r="F77" s="72" t="s">
        <v>4610</v>
      </c>
      <c r="G77" s="4" t="s">
        <v>3687</v>
      </c>
      <c r="H77" s="4"/>
      <c r="I77" s="4" t="s">
        <v>4345</v>
      </c>
      <c r="J77" s="1" t="s">
        <v>4534</v>
      </c>
      <c r="K77" s="4"/>
      <c r="L77" s="4"/>
      <c r="M77" s="4"/>
      <c r="N77" s="4"/>
      <c r="O77" s="4"/>
      <c r="P77" s="4"/>
      <c r="Q77" s="4"/>
    </row>
    <row r="78" spans="1:17" ht="25.5" x14ac:dyDescent="0.2">
      <c r="A78" s="1">
        <f t="shared" ca="1" si="4"/>
        <v>76</v>
      </c>
      <c r="B78" s="1" t="s">
        <v>4480</v>
      </c>
      <c r="C78" s="82" t="s">
        <v>8483</v>
      </c>
      <c r="D78" s="4" t="s">
        <v>4481</v>
      </c>
      <c r="E78" s="4" t="s">
        <v>4482</v>
      </c>
      <c r="F78" s="71" t="s">
        <v>4611</v>
      </c>
      <c r="G78" s="4"/>
      <c r="H78" s="4"/>
      <c r="I78" s="4" t="s">
        <v>350</v>
      </c>
      <c r="J78" s="4" t="s">
        <v>6506</v>
      </c>
      <c r="K78" s="4"/>
      <c r="L78" s="4"/>
      <c r="M78" s="4"/>
      <c r="N78" s="4"/>
      <c r="O78" s="4"/>
      <c r="P78" s="4"/>
      <c r="Q78" s="4"/>
    </row>
    <row r="79" spans="1:17" ht="25.5" x14ac:dyDescent="0.2">
      <c r="A79" s="1">
        <f ca="1">CELL("row",C79)-2</f>
        <v>77</v>
      </c>
      <c r="B79" s="1" t="s">
        <v>3558</v>
      </c>
      <c r="C79" s="82" t="s">
        <v>3559</v>
      </c>
      <c r="D79" s="4"/>
      <c r="E79" s="4"/>
      <c r="F79" s="71"/>
      <c r="G79" s="4"/>
      <c r="H79" s="4"/>
      <c r="I79" s="4" t="s">
        <v>4346</v>
      </c>
      <c r="J79" s="4" t="s">
        <v>6506</v>
      </c>
      <c r="K79" s="4"/>
      <c r="L79" s="4"/>
      <c r="M79" s="4"/>
      <c r="N79" s="4"/>
      <c r="O79" s="4"/>
      <c r="P79" s="4"/>
      <c r="Q79" s="4"/>
    </row>
    <row r="80" spans="1:17" x14ac:dyDescent="0.2">
      <c r="A80" s="1">
        <f t="shared" ca="1" si="4"/>
        <v>78</v>
      </c>
      <c r="B80" s="73" t="s">
        <v>1151</v>
      </c>
      <c r="C80" s="82"/>
      <c r="D80" s="4"/>
      <c r="E80" s="4"/>
      <c r="F80" s="71"/>
      <c r="G80" s="4"/>
      <c r="H80" s="4"/>
      <c r="J80" s="4"/>
      <c r="K80" s="4"/>
      <c r="L80" s="4"/>
      <c r="M80" s="4"/>
      <c r="N80" s="4"/>
      <c r="O80" s="4"/>
      <c r="P80" s="4"/>
      <c r="Q80" s="4"/>
    </row>
    <row r="81" spans="1:17" x14ac:dyDescent="0.2">
      <c r="A81" s="1">
        <f t="shared" ca="1" si="4"/>
        <v>79</v>
      </c>
      <c r="B81" s="1" t="s">
        <v>1152</v>
      </c>
      <c r="C81" s="82" t="s">
        <v>8484</v>
      </c>
      <c r="D81" s="4"/>
      <c r="E81" s="4"/>
      <c r="F81" s="71"/>
      <c r="G81" s="4"/>
      <c r="H81" s="4"/>
      <c r="I81" s="4" t="s">
        <v>4347</v>
      </c>
      <c r="J81" s="4" t="s">
        <v>7378</v>
      </c>
      <c r="K81" s="4"/>
      <c r="L81" s="4"/>
      <c r="M81" s="4"/>
      <c r="N81" s="4"/>
      <c r="O81" s="4"/>
      <c r="P81" s="4"/>
      <c r="Q81" s="4"/>
    </row>
    <row r="82" spans="1:17" x14ac:dyDescent="0.2">
      <c r="A82" s="1">
        <f t="shared" ca="1" si="4"/>
        <v>80</v>
      </c>
      <c r="B82" s="1" t="s">
        <v>2980</v>
      </c>
      <c r="C82" s="82" t="s">
        <v>8485</v>
      </c>
      <c r="D82" s="4"/>
      <c r="E82" s="4"/>
      <c r="F82" s="71"/>
      <c r="G82" s="4"/>
      <c r="H82" s="4"/>
      <c r="I82" s="4" t="s">
        <v>4348</v>
      </c>
      <c r="J82" s="4" t="s">
        <v>7379</v>
      </c>
      <c r="K82" s="4"/>
      <c r="L82" s="4"/>
      <c r="M82" s="4"/>
      <c r="N82" s="4"/>
      <c r="O82" s="4"/>
      <c r="P82" s="4"/>
      <c r="Q82" s="4"/>
    </row>
    <row r="83" spans="1:17" x14ac:dyDescent="0.2">
      <c r="A83" s="1">
        <f t="shared" ca="1" si="4"/>
        <v>81</v>
      </c>
      <c r="B83" s="1" t="s">
        <v>2981</v>
      </c>
      <c r="C83" s="82" t="s">
        <v>8486</v>
      </c>
      <c r="D83" s="4"/>
      <c r="E83" s="4"/>
      <c r="F83" s="71"/>
      <c r="G83" s="4"/>
      <c r="H83" s="4"/>
      <c r="I83" s="4" t="s">
        <v>4349</v>
      </c>
      <c r="J83" s="4" t="s">
        <v>7384</v>
      </c>
      <c r="K83" s="4"/>
      <c r="L83" s="4"/>
      <c r="M83" s="4"/>
      <c r="N83" s="4"/>
      <c r="O83" s="4"/>
      <c r="P83" s="4"/>
      <c r="Q83" s="4"/>
    </row>
    <row r="84" spans="1:17" x14ac:dyDescent="0.2">
      <c r="A84" s="1">
        <f t="shared" ca="1" si="4"/>
        <v>82</v>
      </c>
      <c r="B84" s="1" t="s">
        <v>2982</v>
      </c>
      <c r="C84" s="82" t="s">
        <v>8487</v>
      </c>
      <c r="D84" s="4"/>
      <c r="E84" s="4"/>
      <c r="F84" s="71"/>
      <c r="G84" s="4"/>
      <c r="H84" s="4"/>
      <c r="I84" s="4" t="s">
        <v>4350</v>
      </c>
      <c r="J84" s="4" t="s">
        <v>7380</v>
      </c>
      <c r="K84" s="4"/>
      <c r="L84" s="4"/>
      <c r="M84" s="4"/>
      <c r="N84" s="4"/>
      <c r="O84" s="4"/>
      <c r="P84" s="4"/>
      <c r="Q84" s="4"/>
    </row>
    <row r="85" spans="1:17" x14ac:dyDescent="0.2">
      <c r="A85" s="1">
        <f t="shared" ca="1" si="4"/>
        <v>83</v>
      </c>
      <c r="B85" s="1" t="s">
        <v>2983</v>
      </c>
      <c r="C85" s="82" t="s">
        <v>4182</v>
      </c>
      <c r="D85" s="4"/>
      <c r="E85" s="4"/>
      <c r="F85" s="71"/>
      <c r="G85" s="4"/>
      <c r="H85" s="4"/>
      <c r="I85" s="4" t="s">
        <v>4351</v>
      </c>
      <c r="J85" s="4" t="s">
        <v>7381</v>
      </c>
      <c r="K85" s="4"/>
      <c r="L85" s="4"/>
      <c r="M85" s="4"/>
      <c r="N85" s="4"/>
      <c r="O85" s="4"/>
      <c r="P85" s="4"/>
      <c r="Q85" s="4"/>
    </row>
    <row r="86" spans="1:17" ht="25.5" x14ac:dyDescent="0.2">
      <c r="A86" s="1">
        <f t="shared" ca="1" si="4"/>
        <v>84</v>
      </c>
      <c r="B86" s="1" t="s">
        <v>2984</v>
      </c>
      <c r="C86" s="82" t="s">
        <v>4183</v>
      </c>
      <c r="D86" s="4"/>
      <c r="E86" s="4"/>
      <c r="F86" s="71"/>
      <c r="G86" s="4"/>
      <c r="H86" s="4"/>
      <c r="I86" s="4" t="s">
        <v>4352</v>
      </c>
      <c r="J86" s="4" t="s">
        <v>7382</v>
      </c>
      <c r="K86" s="4"/>
      <c r="L86" s="4"/>
      <c r="M86" s="4"/>
      <c r="N86" s="4"/>
      <c r="O86" s="4"/>
      <c r="P86" s="4"/>
      <c r="Q86" s="4"/>
    </row>
    <row r="87" spans="1:17" x14ac:dyDescent="0.2">
      <c r="A87" s="1">
        <f t="shared" ca="1" si="4"/>
        <v>85</v>
      </c>
      <c r="B87" s="1" t="s">
        <v>2985</v>
      </c>
      <c r="C87" s="82" t="s">
        <v>4184</v>
      </c>
      <c r="D87" s="4"/>
      <c r="E87" s="4"/>
      <c r="F87" s="71"/>
      <c r="G87" s="4"/>
      <c r="H87" s="4"/>
      <c r="I87" s="4" t="s">
        <v>4353</v>
      </c>
      <c r="J87" s="4" t="s">
        <v>7383</v>
      </c>
      <c r="K87" s="4"/>
      <c r="L87" s="4"/>
      <c r="M87" s="4"/>
      <c r="N87" s="4"/>
      <c r="O87" s="4"/>
      <c r="P87" s="4"/>
      <c r="Q87" s="4"/>
    </row>
    <row r="88" spans="1:17" x14ac:dyDescent="0.2">
      <c r="A88" s="1">
        <f t="shared" ca="1" si="4"/>
        <v>86</v>
      </c>
      <c r="B88" s="1" t="s">
        <v>2986</v>
      </c>
      <c r="C88" s="82" t="s">
        <v>4185</v>
      </c>
      <c r="D88" s="4"/>
      <c r="E88" s="4"/>
      <c r="F88" s="71"/>
      <c r="G88" s="4"/>
      <c r="H88" s="4"/>
      <c r="I88" s="4" t="s">
        <v>3637</v>
      </c>
      <c r="J88" s="4" t="s">
        <v>7385</v>
      </c>
      <c r="K88" s="4"/>
      <c r="L88" s="4"/>
      <c r="M88" s="4"/>
      <c r="N88" s="4"/>
      <c r="O88" s="4"/>
      <c r="P88" s="4"/>
      <c r="Q88" s="4"/>
    </row>
    <row r="89" spans="1:17" x14ac:dyDescent="0.2">
      <c r="A89" s="1">
        <f t="shared" ca="1" si="4"/>
        <v>87</v>
      </c>
      <c r="B89" s="1" t="s">
        <v>2987</v>
      </c>
      <c r="C89" s="82" t="s">
        <v>4186</v>
      </c>
      <c r="D89" s="4"/>
      <c r="E89" s="4"/>
      <c r="F89" s="71"/>
      <c r="G89" s="4"/>
      <c r="H89" s="4"/>
      <c r="I89" s="4" t="s">
        <v>3638</v>
      </c>
      <c r="J89" s="4" t="s">
        <v>7386</v>
      </c>
      <c r="K89" s="4"/>
      <c r="L89" s="4"/>
      <c r="M89" s="4"/>
      <c r="N89" s="4"/>
      <c r="O89" s="4"/>
      <c r="P89" s="4"/>
      <c r="Q89" s="4"/>
    </row>
    <row r="90" spans="1:17" x14ac:dyDescent="0.2">
      <c r="A90" s="1">
        <f t="shared" ca="1" si="4"/>
        <v>88</v>
      </c>
      <c r="B90" s="1" t="s">
        <v>5284</v>
      </c>
      <c r="C90" s="82" t="s">
        <v>4187</v>
      </c>
      <c r="D90" s="4"/>
      <c r="E90" s="4"/>
      <c r="F90" s="71"/>
      <c r="G90" s="4"/>
      <c r="H90" s="4"/>
      <c r="I90" s="4" t="s">
        <v>3639</v>
      </c>
      <c r="J90" s="4" t="s">
        <v>7855</v>
      </c>
      <c r="K90" s="4"/>
      <c r="L90" s="4"/>
      <c r="M90" s="4"/>
      <c r="N90" s="4"/>
      <c r="O90" s="4"/>
      <c r="P90" s="4"/>
      <c r="Q90" s="4"/>
    </row>
    <row r="91" spans="1:17" x14ac:dyDescent="0.2">
      <c r="A91" s="1">
        <f t="shared" ca="1" si="4"/>
        <v>89</v>
      </c>
      <c r="B91" s="1" t="s">
        <v>5285</v>
      </c>
      <c r="C91" s="82" t="s">
        <v>4188</v>
      </c>
      <c r="D91" s="4"/>
      <c r="E91" s="4"/>
      <c r="F91" s="71"/>
      <c r="G91" s="4"/>
      <c r="H91" s="4"/>
      <c r="I91" s="4" t="s">
        <v>3640</v>
      </c>
      <c r="J91" s="4" t="s">
        <v>7856</v>
      </c>
      <c r="K91" s="4"/>
      <c r="L91" s="4"/>
      <c r="M91" s="4"/>
      <c r="N91" s="4"/>
      <c r="O91" s="4"/>
      <c r="P91" s="4"/>
      <c r="Q91" s="4"/>
    </row>
    <row r="92" spans="1:17" x14ac:dyDescent="0.2">
      <c r="A92" s="1">
        <f t="shared" ca="1" si="4"/>
        <v>90</v>
      </c>
      <c r="B92" s="1" t="s">
        <v>1846</v>
      </c>
      <c r="C92" s="82" t="s">
        <v>4189</v>
      </c>
      <c r="D92" s="4"/>
      <c r="E92" s="4"/>
      <c r="F92" s="71"/>
      <c r="G92" s="4"/>
      <c r="H92" s="4"/>
      <c r="I92" s="4" t="s">
        <v>3641</v>
      </c>
      <c r="J92" s="4" t="s">
        <v>514</v>
      </c>
      <c r="K92" s="4"/>
      <c r="L92" s="4"/>
      <c r="M92" s="4"/>
      <c r="N92" s="4"/>
      <c r="O92" s="4"/>
      <c r="P92" s="4"/>
      <c r="Q92" s="4"/>
    </row>
    <row r="93" spans="1:17" x14ac:dyDescent="0.2">
      <c r="A93" s="1">
        <f t="shared" ca="1" si="4"/>
        <v>91</v>
      </c>
      <c r="B93" s="1" t="s">
        <v>2101</v>
      </c>
      <c r="C93" s="82" t="s">
        <v>2026</v>
      </c>
      <c r="D93" s="4"/>
      <c r="E93" s="4"/>
      <c r="F93" s="71"/>
      <c r="G93" s="4"/>
      <c r="H93" s="4"/>
      <c r="I93" s="4" t="s">
        <v>3642</v>
      </c>
      <c r="J93" s="4" t="s">
        <v>515</v>
      </c>
      <c r="K93" s="4"/>
      <c r="L93" s="4"/>
      <c r="M93" s="4"/>
      <c r="N93" s="4"/>
      <c r="O93" s="4"/>
      <c r="P93" s="4"/>
      <c r="Q93" s="4"/>
    </row>
    <row r="94" spans="1:17" x14ac:dyDescent="0.2">
      <c r="A94" s="1">
        <f t="shared" ca="1" si="4"/>
        <v>92</v>
      </c>
      <c r="B94" s="1" t="s">
        <v>2102</v>
      </c>
      <c r="C94" s="82" t="s">
        <v>2027</v>
      </c>
      <c r="D94" s="4"/>
      <c r="E94" s="4"/>
      <c r="F94" s="71"/>
      <c r="G94" s="4"/>
      <c r="H94" s="4"/>
      <c r="I94" s="4" t="s">
        <v>3643</v>
      </c>
      <c r="J94" s="4" t="s">
        <v>516</v>
      </c>
      <c r="K94" s="4"/>
      <c r="L94" s="4"/>
      <c r="M94" s="4"/>
      <c r="N94" s="4"/>
      <c r="O94" s="4"/>
      <c r="P94" s="4"/>
      <c r="Q94" s="4"/>
    </row>
    <row r="95" spans="1:17" x14ac:dyDescent="0.2">
      <c r="A95" s="1">
        <f t="shared" ca="1" si="4"/>
        <v>93</v>
      </c>
      <c r="B95" s="1" t="s">
        <v>2103</v>
      </c>
      <c r="C95" s="82" t="s">
        <v>2028</v>
      </c>
      <c r="D95" s="4"/>
      <c r="E95" s="4"/>
      <c r="F95" s="71"/>
      <c r="G95" s="4"/>
      <c r="H95" s="4"/>
      <c r="I95" s="4" t="s">
        <v>3644</v>
      </c>
      <c r="J95" s="4" t="s">
        <v>517</v>
      </c>
      <c r="K95" s="4"/>
      <c r="L95" s="4"/>
      <c r="M95" s="4"/>
      <c r="N95" s="4"/>
      <c r="O95" s="4"/>
      <c r="P95" s="4"/>
      <c r="Q95" s="4"/>
    </row>
    <row r="96" spans="1:17" x14ac:dyDescent="0.2">
      <c r="A96" s="1">
        <f t="shared" ca="1" si="4"/>
        <v>94</v>
      </c>
      <c r="B96" s="1" t="s">
        <v>2104</v>
      </c>
      <c r="C96" s="82" t="s">
        <v>2029</v>
      </c>
      <c r="D96" s="4"/>
      <c r="E96" s="4"/>
      <c r="F96" s="71"/>
      <c r="G96" s="4"/>
      <c r="H96" s="4"/>
      <c r="I96" s="4" t="s">
        <v>3645</v>
      </c>
      <c r="J96" s="4" t="s">
        <v>518</v>
      </c>
      <c r="K96" s="4"/>
      <c r="L96" s="4"/>
      <c r="M96" s="4"/>
      <c r="N96" s="4"/>
      <c r="O96" s="4"/>
      <c r="P96" s="4"/>
      <c r="Q96" s="4"/>
    </row>
    <row r="97" spans="1:17" x14ac:dyDescent="0.2">
      <c r="A97" s="1">
        <f t="shared" ca="1" si="4"/>
        <v>95</v>
      </c>
      <c r="B97" s="1" t="s">
        <v>2105</v>
      </c>
      <c r="C97" s="82" t="s">
        <v>2030</v>
      </c>
      <c r="D97" s="4"/>
      <c r="E97" s="4"/>
      <c r="F97" s="71"/>
      <c r="G97" s="4"/>
      <c r="H97" s="4"/>
      <c r="I97" s="4" t="s">
        <v>3646</v>
      </c>
      <c r="J97" s="4" t="s">
        <v>6207</v>
      </c>
      <c r="K97" s="4"/>
      <c r="L97" s="4"/>
      <c r="M97" s="4"/>
      <c r="N97" s="4"/>
      <c r="O97" s="4"/>
      <c r="P97" s="4"/>
      <c r="Q97" s="4"/>
    </row>
    <row r="98" spans="1:17" x14ac:dyDescent="0.2">
      <c r="A98" s="1">
        <f t="shared" ca="1" si="4"/>
        <v>96</v>
      </c>
      <c r="B98" s="1" t="s">
        <v>2106</v>
      </c>
      <c r="C98" s="82" t="s">
        <v>2031</v>
      </c>
      <c r="D98" s="4"/>
      <c r="E98" s="4"/>
      <c r="F98" s="71"/>
      <c r="G98" s="4"/>
      <c r="H98" s="4"/>
      <c r="I98" s="4" t="s">
        <v>3647</v>
      </c>
      <c r="J98" s="4" t="s">
        <v>6208</v>
      </c>
      <c r="K98" s="4"/>
      <c r="L98" s="4"/>
      <c r="M98" s="4"/>
      <c r="N98" s="4"/>
      <c r="O98" s="4"/>
      <c r="P98" s="4"/>
      <c r="Q98" s="4"/>
    </row>
    <row r="99" spans="1:17" x14ac:dyDescent="0.2">
      <c r="A99" s="1">
        <f t="shared" ca="1" si="4"/>
        <v>97</v>
      </c>
      <c r="B99" s="1" t="s">
        <v>2107</v>
      </c>
      <c r="C99" s="82" t="s">
        <v>2032</v>
      </c>
      <c r="D99" s="4"/>
      <c r="E99" s="4"/>
      <c r="F99" s="71"/>
      <c r="G99" s="4"/>
      <c r="H99" s="4"/>
      <c r="I99" s="4" t="s">
        <v>3648</v>
      </c>
      <c r="J99" s="4" t="s">
        <v>5384</v>
      </c>
      <c r="K99" s="4"/>
      <c r="L99" s="4"/>
      <c r="M99" s="4"/>
      <c r="N99" s="4"/>
      <c r="O99" s="4"/>
      <c r="P99" s="4"/>
      <c r="Q99" s="4"/>
    </row>
    <row r="100" spans="1:17" x14ac:dyDescent="0.2">
      <c r="A100" s="1">
        <f t="shared" ca="1" si="4"/>
        <v>98</v>
      </c>
      <c r="B100" s="1" t="s">
        <v>2108</v>
      </c>
      <c r="C100" s="82" t="s">
        <v>2033</v>
      </c>
      <c r="D100" s="4"/>
      <c r="E100" s="4"/>
      <c r="F100" s="71"/>
      <c r="G100" s="4"/>
      <c r="H100" s="4"/>
      <c r="I100" s="4" t="s">
        <v>3649</v>
      </c>
      <c r="J100" s="4" t="s">
        <v>5385</v>
      </c>
      <c r="K100" s="4"/>
      <c r="L100" s="4"/>
      <c r="M100" s="4"/>
      <c r="N100" s="4"/>
      <c r="O100" s="4"/>
      <c r="P100" s="4"/>
      <c r="Q100" s="4"/>
    </row>
    <row r="101" spans="1:17" x14ac:dyDescent="0.2">
      <c r="A101" s="1">
        <f t="shared" ca="1" si="4"/>
        <v>99</v>
      </c>
      <c r="B101" s="1" t="s">
        <v>2109</v>
      </c>
      <c r="C101" s="82" t="s">
        <v>2034</v>
      </c>
      <c r="D101" s="4"/>
      <c r="E101" s="4"/>
      <c r="F101" s="71"/>
      <c r="G101" s="4"/>
      <c r="H101" s="4"/>
      <c r="I101" s="4" t="s">
        <v>3650</v>
      </c>
      <c r="J101" s="4" t="s">
        <v>3708</v>
      </c>
      <c r="K101" s="4"/>
      <c r="L101" s="4"/>
      <c r="M101" s="4"/>
      <c r="N101" s="4"/>
      <c r="O101" s="4"/>
      <c r="P101" s="4"/>
      <c r="Q101" s="4"/>
    </row>
    <row r="102" spans="1:17" ht="25.5" x14ac:dyDescent="0.2">
      <c r="A102" s="1">
        <f t="shared" ca="1" si="4"/>
        <v>100</v>
      </c>
      <c r="B102" s="1" t="s">
        <v>2110</v>
      </c>
      <c r="C102" s="82" t="s">
        <v>2035</v>
      </c>
      <c r="D102" s="4"/>
      <c r="E102" s="4"/>
      <c r="F102" s="71"/>
      <c r="G102" s="4"/>
      <c r="H102" s="4"/>
      <c r="I102" s="4" t="s">
        <v>3651</v>
      </c>
      <c r="J102" s="4" t="s">
        <v>3709</v>
      </c>
      <c r="K102" s="4"/>
      <c r="L102" s="4"/>
      <c r="M102" s="4"/>
      <c r="N102" s="4"/>
      <c r="O102" s="4"/>
      <c r="P102" s="4"/>
      <c r="Q102" s="4"/>
    </row>
    <row r="103" spans="1:17" ht="25.5" x14ac:dyDescent="0.2">
      <c r="A103" s="1">
        <f t="shared" ca="1" si="4"/>
        <v>101</v>
      </c>
      <c r="B103" s="1" t="s">
        <v>2111</v>
      </c>
      <c r="C103" s="82" t="s">
        <v>2036</v>
      </c>
      <c r="D103" s="4"/>
      <c r="E103" s="4"/>
      <c r="F103" s="71"/>
      <c r="G103" s="4"/>
      <c r="H103" s="4"/>
      <c r="I103" s="4" t="s">
        <v>3652</v>
      </c>
      <c r="J103" s="4" t="s">
        <v>1427</v>
      </c>
      <c r="K103" s="4"/>
      <c r="L103" s="4"/>
      <c r="M103" s="4"/>
      <c r="N103" s="4"/>
      <c r="O103" s="4"/>
      <c r="P103" s="4"/>
      <c r="Q103" s="4"/>
    </row>
    <row r="104" spans="1:17" x14ac:dyDescent="0.2">
      <c r="A104" s="1">
        <f t="shared" ca="1" si="4"/>
        <v>102</v>
      </c>
      <c r="B104" s="1" t="s">
        <v>239</v>
      </c>
      <c r="C104" s="82" t="s">
        <v>2037</v>
      </c>
      <c r="D104" s="4"/>
      <c r="E104" s="4"/>
      <c r="F104" s="71"/>
      <c r="G104" s="4"/>
      <c r="H104" s="4"/>
      <c r="I104" s="4" t="s">
        <v>3653</v>
      </c>
      <c r="J104" s="4" t="s">
        <v>1428</v>
      </c>
      <c r="K104" s="4"/>
      <c r="L104" s="4"/>
      <c r="M104" s="4"/>
      <c r="N104" s="4"/>
      <c r="O104" s="4"/>
      <c r="P104" s="4"/>
      <c r="Q104" s="4"/>
    </row>
    <row r="105" spans="1:17" x14ac:dyDescent="0.2">
      <c r="A105" s="1">
        <f t="shared" ca="1" si="4"/>
        <v>103</v>
      </c>
      <c r="B105" s="1" t="s">
        <v>240</v>
      </c>
      <c r="C105" s="82" t="s">
        <v>2038</v>
      </c>
      <c r="D105" s="4"/>
      <c r="E105" s="4"/>
      <c r="F105" s="71"/>
      <c r="G105" s="4"/>
      <c r="H105" s="4"/>
      <c r="I105" s="4" t="s">
        <v>3654</v>
      </c>
      <c r="J105" s="4" t="s">
        <v>118</v>
      </c>
      <c r="K105" s="4"/>
      <c r="L105" s="4"/>
      <c r="M105" s="4"/>
      <c r="N105" s="4"/>
      <c r="O105" s="4"/>
      <c r="P105" s="4"/>
      <c r="Q105" s="4"/>
    </row>
    <row r="106" spans="1:17" x14ac:dyDescent="0.2">
      <c r="A106" s="1">
        <f t="shared" ca="1" si="4"/>
        <v>104</v>
      </c>
      <c r="B106" s="1" t="s">
        <v>241</v>
      </c>
      <c r="C106" s="82" t="s">
        <v>2039</v>
      </c>
      <c r="D106" s="4"/>
      <c r="E106" s="4"/>
      <c r="F106" s="71"/>
      <c r="G106" s="4"/>
      <c r="H106" s="4"/>
      <c r="I106" s="4" t="s">
        <v>351</v>
      </c>
      <c r="J106" s="4" t="s">
        <v>119</v>
      </c>
      <c r="K106" s="4"/>
      <c r="L106" s="4"/>
      <c r="M106" s="4"/>
      <c r="N106" s="4"/>
      <c r="O106" s="4"/>
      <c r="P106" s="4"/>
      <c r="Q106" s="4"/>
    </row>
    <row r="107" spans="1:17" x14ac:dyDescent="0.2">
      <c r="A107" s="1">
        <f t="shared" ca="1" si="4"/>
        <v>105</v>
      </c>
      <c r="B107" s="1" t="s">
        <v>242</v>
      </c>
      <c r="C107" s="82" t="s">
        <v>2040</v>
      </c>
      <c r="D107" s="4"/>
      <c r="E107" s="4"/>
      <c r="F107" s="71"/>
      <c r="G107" s="4"/>
      <c r="H107" s="4"/>
      <c r="I107" s="4" t="s">
        <v>352</v>
      </c>
      <c r="J107" s="4" t="s">
        <v>120</v>
      </c>
      <c r="K107" s="4"/>
      <c r="L107" s="4"/>
      <c r="M107" s="4"/>
      <c r="N107" s="4"/>
      <c r="O107" s="4"/>
      <c r="P107" s="4"/>
      <c r="Q107" s="4"/>
    </row>
    <row r="108" spans="1:17" x14ac:dyDescent="0.2">
      <c r="A108" s="1">
        <f t="shared" ca="1" si="4"/>
        <v>106</v>
      </c>
      <c r="B108" s="1" t="s">
        <v>243</v>
      </c>
      <c r="C108" s="82" t="s">
        <v>2041</v>
      </c>
      <c r="D108" s="4"/>
      <c r="E108" s="4"/>
      <c r="F108" s="71"/>
      <c r="G108" s="4"/>
      <c r="H108" s="4"/>
      <c r="I108" s="4" t="s">
        <v>3655</v>
      </c>
      <c r="J108" s="4" t="s">
        <v>121</v>
      </c>
      <c r="K108" s="4"/>
      <c r="L108" s="4"/>
      <c r="M108" s="4"/>
      <c r="N108" s="4"/>
      <c r="O108" s="4"/>
      <c r="P108" s="4"/>
      <c r="Q108" s="4"/>
    </row>
    <row r="109" spans="1:17" x14ac:dyDescent="0.2">
      <c r="A109" s="1">
        <f t="shared" ca="1" si="4"/>
        <v>107</v>
      </c>
      <c r="B109" s="1" t="s">
        <v>244</v>
      </c>
      <c r="C109" s="82" t="s">
        <v>2042</v>
      </c>
      <c r="D109" s="4"/>
      <c r="E109" s="4"/>
      <c r="F109" s="71"/>
      <c r="G109" s="4"/>
      <c r="H109" s="4"/>
      <c r="I109" s="4" t="s">
        <v>3656</v>
      </c>
      <c r="J109" s="4" t="s">
        <v>122</v>
      </c>
      <c r="K109" s="4"/>
      <c r="L109" s="4"/>
      <c r="M109" s="4"/>
      <c r="N109" s="4"/>
      <c r="O109" s="4"/>
      <c r="P109" s="4"/>
      <c r="Q109" s="4"/>
    </row>
    <row r="110" spans="1:17" x14ac:dyDescent="0.2">
      <c r="A110" s="1">
        <f t="shared" ca="1" si="4"/>
        <v>108</v>
      </c>
      <c r="B110" s="1" t="s">
        <v>245</v>
      </c>
      <c r="C110" s="82" t="s">
        <v>2043</v>
      </c>
      <c r="D110" s="4"/>
      <c r="E110" s="4"/>
      <c r="F110" s="71"/>
      <c r="G110" s="4"/>
      <c r="H110" s="4"/>
      <c r="I110" s="4" t="s">
        <v>3657</v>
      </c>
      <c r="J110" s="4" t="s">
        <v>123</v>
      </c>
      <c r="K110" s="4"/>
      <c r="L110" s="4"/>
      <c r="M110" s="4"/>
      <c r="N110" s="4"/>
      <c r="O110" s="4"/>
      <c r="P110" s="4"/>
      <c r="Q110" s="4"/>
    </row>
    <row r="111" spans="1:17" x14ac:dyDescent="0.2">
      <c r="A111" s="1">
        <f t="shared" ca="1" si="4"/>
        <v>109</v>
      </c>
      <c r="B111" s="1" t="s">
        <v>246</v>
      </c>
      <c r="C111" s="82" t="s">
        <v>2044</v>
      </c>
      <c r="D111" s="4"/>
      <c r="E111" s="4"/>
      <c r="F111" s="71"/>
      <c r="G111" s="4"/>
      <c r="H111" s="4"/>
      <c r="I111" s="4" t="s">
        <v>4862</v>
      </c>
      <c r="J111" s="4"/>
      <c r="K111" s="4"/>
      <c r="L111" s="4"/>
      <c r="M111" s="4"/>
      <c r="N111" s="4"/>
      <c r="O111" s="4"/>
      <c r="P111" s="4"/>
      <c r="Q111" s="4"/>
    </row>
    <row r="112" spans="1:17" x14ac:dyDescent="0.2">
      <c r="A112" s="1">
        <f t="shared" ca="1" si="4"/>
        <v>110</v>
      </c>
      <c r="B112" s="1" t="s">
        <v>247</v>
      </c>
      <c r="C112" s="82" t="s">
        <v>2045</v>
      </c>
      <c r="D112" s="4"/>
      <c r="E112" s="4"/>
      <c r="F112" s="71"/>
      <c r="G112" s="4"/>
      <c r="H112" s="4"/>
      <c r="I112" s="4" t="s">
        <v>3658</v>
      </c>
      <c r="J112" s="4"/>
      <c r="K112" s="4"/>
      <c r="L112" s="4"/>
      <c r="M112" s="4"/>
      <c r="N112" s="4"/>
      <c r="O112" s="4"/>
      <c r="P112" s="4"/>
      <c r="Q112" s="4"/>
    </row>
    <row r="113" spans="1:17" x14ac:dyDescent="0.2">
      <c r="A113" s="1">
        <f t="shared" ca="1" si="4"/>
        <v>111</v>
      </c>
      <c r="B113" s="1" t="s">
        <v>248</v>
      </c>
      <c r="C113" s="82" t="s">
        <v>2046</v>
      </c>
      <c r="D113" s="4"/>
      <c r="E113" s="4"/>
      <c r="F113" s="71"/>
      <c r="G113" s="4"/>
      <c r="H113" s="4"/>
      <c r="I113" s="4" t="s">
        <v>4863</v>
      </c>
      <c r="J113" s="4" t="s">
        <v>124</v>
      </c>
      <c r="K113" s="4"/>
      <c r="L113" s="4"/>
      <c r="M113" s="4"/>
      <c r="N113" s="4"/>
      <c r="O113" s="4"/>
      <c r="P113" s="4"/>
      <c r="Q113" s="4"/>
    </row>
    <row r="114" spans="1:17" x14ac:dyDescent="0.2">
      <c r="A114" s="1">
        <f t="shared" ca="1" si="4"/>
        <v>112</v>
      </c>
      <c r="B114" s="1" t="s">
        <v>249</v>
      </c>
      <c r="C114" s="82" t="s">
        <v>2047</v>
      </c>
      <c r="D114" s="4"/>
      <c r="E114" s="4"/>
      <c r="F114" s="71"/>
      <c r="G114" s="4"/>
      <c r="H114" s="4"/>
      <c r="I114" s="4" t="s">
        <v>4864</v>
      </c>
      <c r="J114" s="4" t="s">
        <v>125</v>
      </c>
      <c r="K114" s="4"/>
      <c r="L114" s="4"/>
      <c r="M114" s="4"/>
      <c r="N114" s="4"/>
      <c r="O114" s="4"/>
      <c r="P114" s="4"/>
      <c r="Q114" s="4"/>
    </row>
    <row r="115" spans="1:17" x14ac:dyDescent="0.2">
      <c r="A115" s="1">
        <f t="shared" ca="1" si="4"/>
        <v>113</v>
      </c>
      <c r="B115" s="1" t="s">
        <v>250</v>
      </c>
      <c r="C115" s="82" t="s">
        <v>2048</v>
      </c>
      <c r="D115" s="4"/>
      <c r="E115" s="4"/>
      <c r="F115" s="71"/>
      <c r="G115" s="4"/>
      <c r="H115" s="4"/>
      <c r="I115" s="4" t="s">
        <v>4865</v>
      </c>
      <c r="J115" s="4"/>
      <c r="K115" s="4"/>
      <c r="L115" s="4"/>
      <c r="M115" s="4"/>
      <c r="N115" s="4"/>
      <c r="O115" s="4"/>
      <c r="P115" s="4"/>
      <c r="Q115" s="4"/>
    </row>
    <row r="116" spans="1:17" x14ac:dyDescent="0.2">
      <c r="A116" s="1">
        <f t="shared" ca="1" si="4"/>
        <v>114</v>
      </c>
      <c r="B116" s="1" t="s">
        <v>251</v>
      </c>
      <c r="C116" s="82" t="s">
        <v>2049</v>
      </c>
      <c r="D116" s="4"/>
      <c r="E116" s="4"/>
      <c r="F116" s="71"/>
      <c r="G116" s="4"/>
      <c r="H116" s="4"/>
      <c r="I116" s="4" t="s">
        <v>4866</v>
      </c>
      <c r="J116" s="4" t="s">
        <v>3060</v>
      </c>
      <c r="K116" s="4"/>
      <c r="L116" s="4"/>
      <c r="M116" s="4"/>
      <c r="N116" s="4"/>
      <c r="O116" s="4"/>
      <c r="P116" s="4"/>
      <c r="Q116" s="4"/>
    </row>
    <row r="117" spans="1:17" x14ac:dyDescent="0.2">
      <c r="A117" s="1">
        <f t="shared" ca="1" si="4"/>
        <v>115</v>
      </c>
      <c r="B117" s="1" t="s">
        <v>252</v>
      </c>
      <c r="C117" s="82" t="s">
        <v>2050</v>
      </c>
      <c r="D117" s="4"/>
      <c r="E117" s="4"/>
      <c r="F117" s="71"/>
      <c r="G117" s="4"/>
      <c r="H117" s="4"/>
      <c r="I117" s="4" t="s">
        <v>3659</v>
      </c>
      <c r="J117" s="4"/>
      <c r="K117" s="4"/>
      <c r="L117" s="4"/>
      <c r="M117" s="4"/>
      <c r="N117" s="4"/>
      <c r="O117" s="4"/>
      <c r="P117" s="4"/>
      <c r="Q117" s="4"/>
    </row>
    <row r="118" spans="1:17" x14ac:dyDescent="0.2">
      <c r="A118" s="1">
        <f t="shared" ca="1" si="4"/>
        <v>116</v>
      </c>
      <c r="B118" s="1" t="s">
        <v>253</v>
      </c>
      <c r="C118" s="82" t="s">
        <v>2051</v>
      </c>
      <c r="D118" s="4"/>
      <c r="E118" s="4"/>
      <c r="F118" s="71"/>
      <c r="G118" s="4"/>
      <c r="H118" s="4"/>
      <c r="I118" s="4" t="s">
        <v>4867</v>
      </c>
      <c r="J118" s="4"/>
      <c r="K118" s="4"/>
      <c r="L118" s="4"/>
      <c r="M118" s="4"/>
      <c r="N118" s="4"/>
      <c r="O118" s="4"/>
      <c r="P118" s="4"/>
      <c r="Q118" s="4"/>
    </row>
    <row r="119" spans="1:17" x14ac:dyDescent="0.2">
      <c r="A119" s="1">
        <f t="shared" ca="1" si="4"/>
        <v>117</v>
      </c>
      <c r="B119" s="1" t="s">
        <v>938</v>
      </c>
      <c r="C119" s="82" t="s">
        <v>2052</v>
      </c>
      <c r="D119" s="4"/>
      <c r="E119" s="4"/>
      <c r="F119" s="71"/>
      <c r="G119" s="4"/>
      <c r="H119" s="4"/>
      <c r="I119" s="4" t="s">
        <v>3660</v>
      </c>
      <c r="J119" s="4"/>
      <c r="K119" s="4"/>
      <c r="L119" s="4"/>
      <c r="M119" s="4"/>
      <c r="N119" s="4"/>
      <c r="O119" s="4"/>
      <c r="P119" s="4"/>
      <c r="Q119" s="4"/>
    </row>
    <row r="120" spans="1:17" x14ac:dyDescent="0.2">
      <c r="A120" s="1">
        <f t="shared" ca="1" si="4"/>
        <v>118</v>
      </c>
      <c r="B120" s="1" t="s">
        <v>939</v>
      </c>
      <c r="C120" s="82" t="s">
        <v>2053</v>
      </c>
      <c r="D120" s="4"/>
      <c r="E120" s="4"/>
      <c r="F120" s="71"/>
      <c r="G120" s="4"/>
      <c r="H120" s="4"/>
      <c r="I120" s="4" t="s">
        <v>3661</v>
      </c>
      <c r="J120" s="4" t="s">
        <v>126</v>
      </c>
      <c r="K120" s="4"/>
      <c r="L120" s="4"/>
      <c r="M120" s="4"/>
      <c r="N120" s="4"/>
      <c r="O120" s="4"/>
      <c r="P120" s="4"/>
      <c r="Q120" s="4"/>
    </row>
    <row r="121" spans="1:17" x14ac:dyDescent="0.2">
      <c r="A121" s="1">
        <f t="shared" ca="1" si="4"/>
        <v>119</v>
      </c>
      <c r="B121" s="1" t="s">
        <v>940</v>
      </c>
      <c r="C121" s="82" t="s">
        <v>2054</v>
      </c>
      <c r="D121" s="4"/>
      <c r="E121" s="4"/>
      <c r="F121" s="71"/>
      <c r="G121" s="4"/>
      <c r="H121" s="4"/>
      <c r="I121" s="4" t="s">
        <v>3662</v>
      </c>
      <c r="J121" s="4" t="s">
        <v>127</v>
      </c>
      <c r="K121" s="4"/>
      <c r="L121" s="4"/>
      <c r="M121" s="4"/>
      <c r="N121" s="4"/>
      <c r="O121" s="4"/>
      <c r="P121" s="4"/>
      <c r="Q121" s="4"/>
    </row>
    <row r="122" spans="1:17" x14ac:dyDescent="0.2">
      <c r="A122" s="1">
        <f t="shared" ca="1" si="4"/>
        <v>120</v>
      </c>
      <c r="B122" s="1" t="s">
        <v>941</v>
      </c>
      <c r="C122" s="82" t="s">
        <v>2055</v>
      </c>
      <c r="D122" s="4"/>
      <c r="E122" s="4"/>
      <c r="F122" s="71"/>
      <c r="G122" s="4"/>
      <c r="H122" s="4"/>
      <c r="I122" s="4" t="s">
        <v>6615</v>
      </c>
      <c r="J122" s="4" t="s">
        <v>128</v>
      </c>
      <c r="K122" s="4"/>
      <c r="L122" s="4"/>
      <c r="M122" s="4"/>
      <c r="N122" s="4"/>
      <c r="O122" s="4"/>
      <c r="P122" s="4"/>
      <c r="Q122" s="4"/>
    </row>
    <row r="123" spans="1:17" x14ac:dyDescent="0.2">
      <c r="A123" s="1">
        <f t="shared" ca="1" si="4"/>
        <v>121</v>
      </c>
      <c r="B123" s="1" t="s">
        <v>1799</v>
      </c>
      <c r="C123" s="82" t="s">
        <v>8262</v>
      </c>
      <c r="D123" s="4"/>
      <c r="E123" s="4"/>
      <c r="F123" s="71"/>
      <c r="G123" s="4"/>
      <c r="H123" s="4"/>
      <c r="I123" s="4" t="s">
        <v>3663</v>
      </c>
      <c r="J123" s="4" t="s">
        <v>129</v>
      </c>
      <c r="K123" s="4"/>
      <c r="L123" s="4"/>
      <c r="M123" s="4"/>
      <c r="N123" s="4"/>
      <c r="O123" s="4"/>
      <c r="P123" s="4"/>
      <c r="Q123" s="4"/>
    </row>
    <row r="124" spans="1:17" x14ac:dyDescent="0.2">
      <c r="A124" s="1">
        <f t="shared" ca="1" si="4"/>
        <v>122</v>
      </c>
      <c r="B124" s="1" t="s">
        <v>7962</v>
      </c>
      <c r="C124" s="82" t="s">
        <v>2056</v>
      </c>
      <c r="D124" s="4"/>
      <c r="E124" s="4"/>
      <c r="F124" s="71"/>
      <c r="G124" s="4"/>
      <c r="H124" s="4"/>
      <c r="I124" s="4" t="s">
        <v>3095</v>
      </c>
      <c r="J124" s="4" t="s">
        <v>130</v>
      </c>
      <c r="K124" s="4"/>
      <c r="L124" s="4"/>
      <c r="M124" s="4"/>
      <c r="N124" s="4"/>
      <c r="O124" s="4"/>
      <c r="P124" s="4"/>
      <c r="Q124" s="4"/>
    </row>
    <row r="125" spans="1:17" x14ac:dyDescent="0.2">
      <c r="A125" s="1">
        <f t="shared" ca="1" si="4"/>
        <v>123</v>
      </c>
      <c r="B125" s="1" t="s">
        <v>7963</v>
      </c>
      <c r="C125" s="82" t="s">
        <v>2057</v>
      </c>
      <c r="D125" s="4"/>
      <c r="E125" s="4"/>
      <c r="F125" s="71"/>
      <c r="G125" s="4"/>
      <c r="H125" s="4"/>
      <c r="I125" s="4" t="s">
        <v>6616</v>
      </c>
      <c r="J125" s="4" t="s">
        <v>131</v>
      </c>
      <c r="K125" s="4"/>
      <c r="L125" s="4"/>
      <c r="M125" s="4"/>
      <c r="N125" s="4"/>
      <c r="O125" s="4"/>
      <c r="P125" s="4"/>
      <c r="Q125" s="4"/>
    </row>
    <row r="126" spans="1:17" x14ac:dyDescent="0.2">
      <c r="A126" s="1">
        <f t="shared" ca="1" si="4"/>
        <v>124</v>
      </c>
      <c r="B126" s="1" t="s">
        <v>4195</v>
      </c>
      <c r="C126" s="82" t="s">
        <v>2058</v>
      </c>
      <c r="D126" s="4"/>
      <c r="E126" s="4"/>
      <c r="F126" s="71"/>
      <c r="G126" s="4"/>
      <c r="H126" s="4"/>
      <c r="I126" s="4" t="s">
        <v>6617</v>
      </c>
      <c r="J126" s="4" t="s">
        <v>132</v>
      </c>
      <c r="K126" s="4"/>
      <c r="L126" s="4"/>
      <c r="M126" s="4"/>
      <c r="N126" s="4"/>
      <c r="O126" s="4"/>
      <c r="P126" s="4"/>
      <c r="Q126" s="4"/>
    </row>
    <row r="127" spans="1:17" x14ac:dyDescent="0.2">
      <c r="A127" s="1">
        <f t="shared" ca="1" si="4"/>
        <v>125</v>
      </c>
      <c r="B127" s="1" t="s">
        <v>6962</v>
      </c>
      <c r="C127" s="82" t="s">
        <v>2059</v>
      </c>
      <c r="D127" s="4"/>
      <c r="E127" s="4"/>
      <c r="F127" s="71"/>
      <c r="G127" s="4"/>
      <c r="H127" s="4"/>
      <c r="I127" s="4" t="s">
        <v>3664</v>
      </c>
      <c r="J127" s="4" t="s">
        <v>133</v>
      </c>
      <c r="K127" s="4"/>
      <c r="L127" s="4"/>
      <c r="M127" s="4"/>
      <c r="N127" s="4"/>
      <c r="O127" s="4"/>
      <c r="P127" s="4"/>
      <c r="Q127" s="4"/>
    </row>
    <row r="128" spans="1:17" x14ac:dyDescent="0.2">
      <c r="A128" s="1">
        <f t="shared" ca="1" si="4"/>
        <v>126</v>
      </c>
      <c r="B128" s="1" t="s">
        <v>1842</v>
      </c>
      <c r="C128" s="82" t="s">
        <v>2060</v>
      </c>
      <c r="D128" s="4"/>
      <c r="E128" s="4"/>
      <c r="F128" s="71"/>
      <c r="G128" s="4"/>
      <c r="H128" s="4"/>
      <c r="I128" s="4" t="s">
        <v>6618</v>
      </c>
      <c r="J128" s="4" t="s">
        <v>134</v>
      </c>
      <c r="K128" s="4"/>
      <c r="L128" s="4"/>
      <c r="M128" s="4"/>
      <c r="N128" s="4"/>
      <c r="O128" s="4"/>
      <c r="P128" s="4"/>
      <c r="Q128" s="4"/>
    </row>
    <row r="129" spans="1:17" x14ac:dyDescent="0.2">
      <c r="A129" s="1">
        <f t="shared" ca="1" si="4"/>
        <v>127</v>
      </c>
      <c r="B129" s="1" t="s">
        <v>7964</v>
      </c>
      <c r="C129" s="82" t="s">
        <v>3571</v>
      </c>
      <c r="D129" s="4"/>
      <c r="E129" s="4"/>
      <c r="F129" s="71"/>
      <c r="G129" s="4"/>
      <c r="H129" s="4"/>
      <c r="I129" s="4" t="s">
        <v>3095</v>
      </c>
      <c r="J129" s="4" t="s">
        <v>2908</v>
      </c>
      <c r="K129" s="4"/>
      <c r="L129" s="4"/>
      <c r="M129" s="4"/>
      <c r="N129" s="4"/>
      <c r="O129" s="4"/>
      <c r="P129" s="4"/>
      <c r="Q129" s="4"/>
    </row>
    <row r="130" spans="1:17" x14ac:dyDescent="0.2">
      <c r="A130" s="1">
        <f t="shared" ca="1" si="4"/>
        <v>128</v>
      </c>
      <c r="B130" s="1" t="s">
        <v>7965</v>
      </c>
      <c r="C130" s="82" t="s">
        <v>2061</v>
      </c>
      <c r="D130" s="4"/>
      <c r="E130" s="4"/>
      <c r="F130" s="71"/>
      <c r="G130" s="4"/>
      <c r="H130" s="4"/>
      <c r="I130" s="4" t="s">
        <v>3665</v>
      </c>
      <c r="J130" s="4" t="s">
        <v>8519</v>
      </c>
      <c r="K130" s="4"/>
      <c r="L130" s="4"/>
      <c r="M130" s="4"/>
      <c r="N130" s="4"/>
      <c r="O130" s="4"/>
      <c r="P130" s="4"/>
      <c r="Q130" s="4"/>
    </row>
    <row r="131" spans="1:17" x14ac:dyDescent="0.2">
      <c r="A131" s="1">
        <f t="shared" ca="1" si="4"/>
        <v>129</v>
      </c>
      <c r="B131" s="1" t="s">
        <v>5773</v>
      </c>
      <c r="C131" s="82" t="s">
        <v>1401</v>
      </c>
      <c r="D131" s="4"/>
      <c r="E131" s="4"/>
      <c r="F131" s="71"/>
      <c r="G131" s="4"/>
      <c r="H131" s="4"/>
      <c r="I131" s="4" t="s">
        <v>6619</v>
      </c>
      <c r="J131" s="4" t="s">
        <v>135</v>
      </c>
      <c r="K131" s="4"/>
      <c r="L131" s="4"/>
      <c r="M131" s="4"/>
      <c r="N131" s="4"/>
      <c r="O131" s="4"/>
      <c r="P131" s="4"/>
      <c r="Q131" s="4"/>
    </row>
    <row r="132" spans="1:17" x14ac:dyDescent="0.2">
      <c r="A132" s="1">
        <f t="shared" ca="1" si="4"/>
        <v>130</v>
      </c>
      <c r="B132" s="1" t="s">
        <v>5774</v>
      </c>
      <c r="C132" s="82" t="s">
        <v>1402</v>
      </c>
      <c r="D132" s="4"/>
      <c r="E132" s="4"/>
      <c r="F132" s="71"/>
      <c r="G132" s="4"/>
      <c r="H132" s="4"/>
      <c r="I132" s="4" t="s">
        <v>6620</v>
      </c>
      <c r="J132" s="4" t="s">
        <v>136</v>
      </c>
      <c r="K132" s="4"/>
      <c r="L132" s="4"/>
      <c r="M132" s="4"/>
      <c r="N132" s="4"/>
      <c r="O132" s="4"/>
      <c r="P132" s="4"/>
      <c r="Q132" s="4"/>
    </row>
    <row r="133" spans="1:17" x14ac:dyDescent="0.2">
      <c r="A133" s="1">
        <f t="shared" ca="1" si="4"/>
        <v>131</v>
      </c>
      <c r="B133" s="1" t="s">
        <v>5775</v>
      </c>
      <c r="C133" s="82" t="s">
        <v>1391</v>
      </c>
      <c r="D133" s="4"/>
      <c r="E133" s="4"/>
      <c r="F133" s="71"/>
      <c r="G133" s="4"/>
      <c r="H133" s="4"/>
      <c r="I133" s="4" t="s">
        <v>8070</v>
      </c>
      <c r="J133" s="4" t="s">
        <v>137</v>
      </c>
      <c r="K133" s="4"/>
      <c r="L133" s="4"/>
      <c r="M133" s="4"/>
      <c r="N133" s="4"/>
      <c r="O133" s="4"/>
      <c r="P133" s="4"/>
      <c r="Q133" s="4"/>
    </row>
    <row r="134" spans="1:17" x14ac:dyDescent="0.2">
      <c r="A134" s="1">
        <f t="shared" ca="1" si="4"/>
        <v>132</v>
      </c>
      <c r="B134" s="1" t="s">
        <v>5776</v>
      </c>
      <c r="C134" s="82" t="s">
        <v>1392</v>
      </c>
      <c r="D134" s="4"/>
      <c r="E134" s="4"/>
      <c r="F134" s="71"/>
      <c r="G134" s="4"/>
      <c r="H134" s="4"/>
      <c r="I134" s="4" t="s">
        <v>8071</v>
      </c>
      <c r="J134" s="4" t="s">
        <v>138</v>
      </c>
      <c r="K134" s="4"/>
      <c r="L134" s="4"/>
      <c r="M134" s="4"/>
      <c r="N134" s="4"/>
      <c r="O134" s="4"/>
      <c r="P134" s="4"/>
      <c r="Q134" s="4"/>
    </row>
    <row r="135" spans="1:17" x14ac:dyDescent="0.2">
      <c r="A135" s="1">
        <f t="shared" ca="1" si="4"/>
        <v>133</v>
      </c>
      <c r="B135" s="1" t="s">
        <v>5777</v>
      </c>
      <c r="C135" s="82" t="s">
        <v>3450</v>
      </c>
      <c r="D135" s="4"/>
      <c r="E135" s="4"/>
      <c r="F135" s="71"/>
      <c r="G135" s="4"/>
      <c r="H135" s="4"/>
      <c r="I135" s="4" t="s">
        <v>8072</v>
      </c>
      <c r="J135" s="4" t="s">
        <v>139</v>
      </c>
      <c r="K135" s="4"/>
      <c r="L135" s="4"/>
      <c r="M135" s="4"/>
      <c r="N135" s="4"/>
      <c r="O135" s="4"/>
      <c r="P135" s="4"/>
      <c r="Q135" s="4"/>
    </row>
    <row r="136" spans="1:17" x14ac:dyDescent="0.2">
      <c r="A136" s="1">
        <f t="shared" ca="1" si="4"/>
        <v>134</v>
      </c>
      <c r="B136" s="1" t="s">
        <v>7970</v>
      </c>
      <c r="C136" s="82" t="s">
        <v>3451</v>
      </c>
      <c r="D136" s="4"/>
      <c r="E136" s="4"/>
      <c r="F136" s="71"/>
      <c r="G136" s="4"/>
      <c r="H136" s="4"/>
      <c r="I136" s="4" t="s">
        <v>8073</v>
      </c>
      <c r="J136" s="4" t="s">
        <v>140</v>
      </c>
      <c r="K136" s="4"/>
      <c r="L136" s="4"/>
      <c r="M136" s="4"/>
      <c r="N136" s="4"/>
      <c r="O136" s="4"/>
      <c r="P136" s="4"/>
      <c r="Q136" s="4"/>
    </row>
    <row r="137" spans="1:17" x14ac:dyDescent="0.2">
      <c r="A137" s="1">
        <f t="shared" ref="A137:A200" ca="1" si="5">CELL("row",C137)-2</f>
        <v>135</v>
      </c>
      <c r="B137" s="1" t="s">
        <v>7971</v>
      </c>
      <c r="C137" s="82" t="s">
        <v>3452</v>
      </c>
      <c r="D137" s="4"/>
      <c r="E137" s="4"/>
      <c r="F137" s="71"/>
      <c r="G137" s="4"/>
      <c r="H137" s="4"/>
      <c r="I137" s="4" t="s">
        <v>8074</v>
      </c>
      <c r="J137" s="4" t="s">
        <v>141</v>
      </c>
      <c r="K137" s="4"/>
      <c r="L137" s="4"/>
      <c r="M137" s="4"/>
      <c r="N137" s="4"/>
      <c r="O137" s="4"/>
      <c r="P137" s="4"/>
      <c r="Q137" s="4"/>
    </row>
    <row r="138" spans="1:17" x14ac:dyDescent="0.2">
      <c r="A138" s="1">
        <f t="shared" ca="1" si="5"/>
        <v>136</v>
      </c>
      <c r="B138" s="1" t="s">
        <v>7972</v>
      </c>
      <c r="C138" s="82" t="s">
        <v>3453</v>
      </c>
      <c r="D138" s="4"/>
      <c r="E138" s="4"/>
      <c r="F138" s="71"/>
      <c r="G138" s="4"/>
      <c r="H138" s="4"/>
      <c r="I138" s="4" t="s">
        <v>8075</v>
      </c>
      <c r="J138" s="4" t="s">
        <v>142</v>
      </c>
      <c r="K138" s="4"/>
      <c r="L138" s="4"/>
      <c r="M138" s="4"/>
      <c r="N138" s="4"/>
      <c r="O138" s="4"/>
      <c r="P138" s="4"/>
      <c r="Q138" s="4"/>
    </row>
    <row r="139" spans="1:17" x14ac:dyDescent="0.2">
      <c r="A139" s="1">
        <f t="shared" ca="1" si="5"/>
        <v>137</v>
      </c>
      <c r="B139" s="1" t="s">
        <v>2530</v>
      </c>
      <c r="C139" s="82" t="s">
        <v>2679</v>
      </c>
      <c r="D139" s="4"/>
      <c r="E139" s="4"/>
      <c r="F139" s="71"/>
      <c r="G139" s="4"/>
      <c r="H139" s="4"/>
      <c r="I139" s="4" t="s">
        <v>3666</v>
      </c>
      <c r="J139" s="4" t="s">
        <v>2678</v>
      </c>
      <c r="K139" s="4"/>
      <c r="L139" s="4"/>
      <c r="M139" s="4"/>
      <c r="N139" s="4"/>
      <c r="O139" s="4"/>
      <c r="P139" s="4"/>
      <c r="Q139" s="4"/>
    </row>
    <row r="140" spans="1:17" x14ac:dyDescent="0.2">
      <c r="A140" s="1">
        <f t="shared" ca="1" si="5"/>
        <v>138</v>
      </c>
      <c r="B140" s="1" t="s">
        <v>2531</v>
      </c>
      <c r="C140" s="82" t="s">
        <v>8263</v>
      </c>
      <c r="D140" s="4"/>
      <c r="E140" s="4"/>
      <c r="F140" s="71"/>
      <c r="G140" s="4"/>
      <c r="H140" s="4"/>
      <c r="I140" s="4" t="s">
        <v>3667</v>
      </c>
      <c r="J140" s="4" t="s">
        <v>143</v>
      </c>
      <c r="K140" s="4"/>
      <c r="L140" s="4"/>
      <c r="M140" s="4"/>
      <c r="N140" s="4"/>
      <c r="O140" s="4"/>
      <c r="P140" s="4"/>
      <c r="Q140" s="4"/>
    </row>
    <row r="141" spans="1:17" x14ac:dyDescent="0.2">
      <c r="A141" s="1">
        <f t="shared" ca="1" si="5"/>
        <v>139</v>
      </c>
      <c r="B141" s="1" t="s">
        <v>4486</v>
      </c>
      <c r="C141" s="82" t="s">
        <v>4079</v>
      </c>
      <c r="D141" s="4"/>
      <c r="E141" s="4"/>
      <c r="F141" s="71"/>
      <c r="G141" s="4"/>
      <c r="H141" s="4"/>
      <c r="I141" s="4" t="s">
        <v>3668</v>
      </c>
      <c r="J141" s="4" t="s">
        <v>144</v>
      </c>
      <c r="K141" s="4"/>
      <c r="L141" s="4"/>
      <c r="M141" s="4"/>
      <c r="N141" s="4"/>
      <c r="O141" s="4"/>
      <c r="P141" s="4"/>
      <c r="Q141" s="4"/>
    </row>
    <row r="142" spans="1:17" x14ac:dyDescent="0.2">
      <c r="A142" s="1">
        <f t="shared" ca="1" si="5"/>
        <v>140</v>
      </c>
      <c r="B142" s="1" t="s">
        <v>7973</v>
      </c>
      <c r="C142" s="82" t="s">
        <v>5174</v>
      </c>
      <c r="D142" s="4"/>
      <c r="E142" s="4"/>
      <c r="F142" s="71"/>
      <c r="G142" s="4"/>
      <c r="H142" s="4"/>
      <c r="I142" s="4" t="s">
        <v>3669</v>
      </c>
      <c r="J142" s="4" t="s">
        <v>145</v>
      </c>
      <c r="K142" s="4"/>
      <c r="L142" s="4"/>
      <c r="M142" s="4"/>
      <c r="N142" s="4"/>
      <c r="O142" s="4"/>
      <c r="P142" s="4"/>
      <c r="Q142" s="4"/>
    </row>
    <row r="143" spans="1:17" x14ac:dyDescent="0.2">
      <c r="A143" s="1">
        <f t="shared" ca="1" si="5"/>
        <v>141</v>
      </c>
      <c r="B143" s="1" t="s">
        <v>7974</v>
      </c>
      <c r="C143" s="82" t="s">
        <v>6813</v>
      </c>
      <c r="D143" s="4"/>
      <c r="E143" s="4"/>
      <c r="F143" s="71"/>
      <c r="G143" s="4"/>
      <c r="H143" s="4"/>
      <c r="I143" s="4" t="s">
        <v>3012</v>
      </c>
      <c r="J143" s="4" t="s">
        <v>146</v>
      </c>
      <c r="K143" s="4"/>
      <c r="L143" s="4"/>
      <c r="M143" s="4"/>
      <c r="N143" s="4"/>
      <c r="O143" s="4"/>
      <c r="P143" s="4"/>
      <c r="Q143" s="4"/>
    </row>
    <row r="144" spans="1:17" x14ac:dyDescent="0.2">
      <c r="A144" s="1">
        <f t="shared" ca="1" si="5"/>
        <v>142</v>
      </c>
      <c r="B144" s="1" t="s">
        <v>7975</v>
      </c>
      <c r="C144" s="82" t="s">
        <v>8264</v>
      </c>
      <c r="D144" s="4"/>
      <c r="E144" s="4"/>
      <c r="F144" s="71"/>
      <c r="G144" s="4"/>
      <c r="H144" s="4"/>
      <c r="I144" s="4" t="s">
        <v>3013</v>
      </c>
      <c r="J144" s="4" t="s">
        <v>147</v>
      </c>
      <c r="K144" s="4"/>
      <c r="L144" s="4"/>
      <c r="M144" s="4"/>
      <c r="N144" s="4"/>
      <c r="O144" s="4"/>
      <c r="P144" s="4"/>
      <c r="Q144" s="4"/>
    </row>
    <row r="145" spans="1:17" x14ac:dyDescent="0.2">
      <c r="A145" s="1">
        <f t="shared" ca="1" si="5"/>
        <v>143</v>
      </c>
      <c r="B145" s="1" t="s">
        <v>7976</v>
      </c>
      <c r="C145" s="82" t="s">
        <v>7977</v>
      </c>
      <c r="D145" s="4"/>
      <c r="E145" s="4"/>
      <c r="F145" s="71"/>
      <c r="G145" s="4"/>
      <c r="H145" s="4"/>
      <c r="I145" s="4" t="s">
        <v>3014</v>
      </c>
      <c r="J145" s="4" t="s">
        <v>148</v>
      </c>
      <c r="K145" s="4"/>
      <c r="L145" s="4"/>
      <c r="M145" s="4"/>
      <c r="N145" s="4"/>
      <c r="O145" s="4"/>
      <c r="P145" s="4"/>
      <c r="Q145" s="4"/>
    </row>
    <row r="146" spans="1:17" x14ac:dyDescent="0.2">
      <c r="A146" s="1">
        <f t="shared" ca="1" si="5"/>
        <v>144</v>
      </c>
      <c r="B146" s="1" t="s">
        <v>7978</v>
      </c>
      <c r="C146" s="82" t="s">
        <v>3630</v>
      </c>
      <c r="D146" s="4"/>
      <c r="E146" s="4"/>
      <c r="F146" s="71"/>
      <c r="G146" s="4"/>
      <c r="H146" s="4"/>
      <c r="I146" s="4" t="s">
        <v>3015</v>
      </c>
      <c r="J146" s="4"/>
      <c r="K146" s="4"/>
      <c r="L146" s="4"/>
      <c r="M146" s="4"/>
      <c r="N146" s="4"/>
      <c r="O146" s="4"/>
      <c r="P146" s="4"/>
      <c r="Q146" s="4"/>
    </row>
    <row r="147" spans="1:17" x14ac:dyDescent="0.2">
      <c r="A147" s="1">
        <f t="shared" ca="1" si="5"/>
        <v>145</v>
      </c>
      <c r="B147" s="1" t="s">
        <v>3631</v>
      </c>
      <c r="C147" s="82" t="s">
        <v>3632</v>
      </c>
      <c r="D147" s="4"/>
      <c r="E147" s="4"/>
      <c r="F147" s="71"/>
      <c r="G147" s="4"/>
      <c r="H147" s="4"/>
      <c r="I147" s="4" t="s">
        <v>3016</v>
      </c>
      <c r="J147" s="4"/>
      <c r="K147" s="4"/>
      <c r="L147" s="4"/>
      <c r="M147" s="4"/>
      <c r="N147" s="4"/>
      <c r="O147" s="4"/>
      <c r="P147" s="4"/>
      <c r="Q147" s="4"/>
    </row>
    <row r="148" spans="1:17" ht="25.5" x14ac:dyDescent="0.2">
      <c r="A148" s="1">
        <f t="shared" ca="1" si="5"/>
        <v>146</v>
      </c>
      <c r="B148" s="1" t="s">
        <v>8176</v>
      </c>
      <c r="C148" s="82" t="s">
        <v>5175</v>
      </c>
      <c r="D148" s="4"/>
      <c r="E148" s="4"/>
      <c r="F148" s="71"/>
      <c r="G148" s="4"/>
      <c r="H148" s="4"/>
      <c r="I148" s="4" t="s">
        <v>3017</v>
      </c>
      <c r="J148" s="4"/>
      <c r="K148" s="4"/>
      <c r="L148" s="4"/>
      <c r="M148" s="4"/>
      <c r="N148" s="4"/>
      <c r="O148" s="4"/>
      <c r="P148" s="4"/>
      <c r="Q148" s="4"/>
    </row>
    <row r="149" spans="1:17" x14ac:dyDescent="0.2">
      <c r="A149" s="1">
        <f t="shared" ca="1" si="5"/>
        <v>147</v>
      </c>
      <c r="B149" s="1" t="s">
        <v>8930</v>
      </c>
      <c r="C149" s="82" t="s">
        <v>3378</v>
      </c>
      <c r="D149" s="4"/>
      <c r="E149" s="4"/>
      <c r="F149" s="71"/>
      <c r="G149" s="4"/>
      <c r="H149" s="4"/>
      <c r="I149" s="4" t="s">
        <v>3018</v>
      </c>
      <c r="J149" s="4" t="s">
        <v>149</v>
      </c>
      <c r="K149" s="4"/>
      <c r="L149" s="4"/>
      <c r="M149" s="4"/>
      <c r="N149" s="4"/>
      <c r="O149" s="4"/>
      <c r="P149" s="4"/>
      <c r="Q149" s="4"/>
    </row>
    <row r="150" spans="1:17" ht="25.5" x14ac:dyDescent="0.2">
      <c r="A150" s="1">
        <f t="shared" ca="1" si="5"/>
        <v>148</v>
      </c>
      <c r="B150" s="1" t="s">
        <v>4001</v>
      </c>
      <c r="C150" s="82" t="s">
        <v>3379</v>
      </c>
      <c r="D150" s="4"/>
      <c r="E150" s="4"/>
      <c r="F150" s="71"/>
      <c r="G150" s="4"/>
      <c r="H150" s="4"/>
      <c r="I150" s="4" t="s">
        <v>3019</v>
      </c>
      <c r="J150" s="4"/>
      <c r="K150" s="4"/>
      <c r="L150" s="4"/>
      <c r="M150" s="4"/>
      <c r="N150" s="4"/>
      <c r="O150" s="4"/>
      <c r="P150" s="4"/>
      <c r="Q150" s="4"/>
    </row>
    <row r="151" spans="1:17" x14ac:dyDescent="0.2">
      <c r="A151" s="1">
        <f t="shared" ca="1" si="5"/>
        <v>149</v>
      </c>
      <c r="B151" s="1" t="s">
        <v>4002</v>
      </c>
      <c r="C151" s="82" t="s">
        <v>3380</v>
      </c>
      <c r="D151" s="4"/>
      <c r="E151" s="4"/>
      <c r="F151" s="71"/>
      <c r="G151" s="4"/>
      <c r="H151" s="4"/>
      <c r="I151" s="4" t="s">
        <v>3020</v>
      </c>
      <c r="J151" s="4" t="s">
        <v>150</v>
      </c>
      <c r="K151" s="4"/>
      <c r="L151" s="4"/>
      <c r="M151" s="4"/>
      <c r="N151" s="4"/>
      <c r="O151" s="4"/>
      <c r="P151" s="4"/>
      <c r="Q151" s="4"/>
    </row>
    <row r="152" spans="1:17" ht="25.5" x14ac:dyDescent="0.2">
      <c r="A152" s="1">
        <f t="shared" ca="1" si="5"/>
        <v>150</v>
      </c>
      <c r="B152" s="1" t="s">
        <v>4003</v>
      </c>
      <c r="C152" s="82" t="s">
        <v>3381</v>
      </c>
      <c r="D152" s="4"/>
      <c r="E152" s="4"/>
      <c r="F152" s="71"/>
      <c r="G152" s="4"/>
      <c r="H152" s="4"/>
      <c r="I152" s="4" t="s">
        <v>3021</v>
      </c>
      <c r="J152" s="4"/>
      <c r="K152" s="4"/>
      <c r="L152" s="4"/>
      <c r="M152" s="4"/>
      <c r="N152" s="4"/>
      <c r="O152" s="4"/>
      <c r="P152" s="4"/>
      <c r="Q152" s="4"/>
    </row>
    <row r="153" spans="1:17" x14ac:dyDescent="0.2">
      <c r="A153" s="1">
        <f t="shared" ca="1" si="5"/>
        <v>151</v>
      </c>
      <c r="B153" s="1" t="s">
        <v>4004</v>
      </c>
      <c r="C153" s="82" t="s">
        <v>3382</v>
      </c>
      <c r="D153" s="4"/>
      <c r="E153" s="4"/>
      <c r="F153" s="71"/>
      <c r="G153" s="4"/>
      <c r="H153" s="4"/>
      <c r="I153" s="4" t="s">
        <v>3022</v>
      </c>
      <c r="J153" s="4" t="s">
        <v>151</v>
      </c>
      <c r="K153" s="4"/>
      <c r="L153" s="4"/>
      <c r="M153" s="4"/>
      <c r="N153" s="4"/>
      <c r="O153" s="4"/>
      <c r="P153" s="4"/>
      <c r="Q153" s="4"/>
    </row>
    <row r="154" spans="1:17" ht="25.5" x14ac:dyDescent="0.2">
      <c r="A154" s="1">
        <f t="shared" ca="1" si="5"/>
        <v>152</v>
      </c>
      <c r="B154" s="1" t="s">
        <v>4005</v>
      </c>
      <c r="C154" s="82" t="s">
        <v>3383</v>
      </c>
      <c r="D154" s="4"/>
      <c r="E154" s="4"/>
      <c r="F154" s="71"/>
      <c r="G154" s="4"/>
      <c r="H154" s="4"/>
      <c r="I154" s="4" t="s">
        <v>3023</v>
      </c>
      <c r="J154" s="4"/>
      <c r="K154" s="4"/>
      <c r="L154" s="4"/>
      <c r="M154" s="4"/>
      <c r="N154" s="4"/>
      <c r="O154" s="4"/>
      <c r="P154" s="4"/>
      <c r="Q154" s="4"/>
    </row>
    <row r="155" spans="1:17" x14ac:dyDescent="0.2">
      <c r="A155" s="1">
        <f t="shared" ca="1" si="5"/>
        <v>153</v>
      </c>
      <c r="B155" s="1" t="s">
        <v>4006</v>
      </c>
      <c r="C155" s="82" t="s">
        <v>4006</v>
      </c>
      <c r="D155" s="4"/>
      <c r="E155" s="4"/>
      <c r="F155" s="71"/>
      <c r="G155" s="4"/>
      <c r="H155" s="4"/>
      <c r="I155" s="4" t="s">
        <v>3024</v>
      </c>
      <c r="J155" s="4" t="s">
        <v>4006</v>
      </c>
      <c r="K155" s="4"/>
      <c r="L155" s="4"/>
      <c r="M155" s="4"/>
      <c r="N155" s="4"/>
      <c r="O155" s="4"/>
      <c r="P155" s="4"/>
      <c r="Q155" s="4"/>
    </row>
    <row r="156" spans="1:17" x14ac:dyDescent="0.2">
      <c r="A156" s="1">
        <f t="shared" ca="1" si="5"/>
        <v>154</v>
      </c>
      <c r="B156" s="1" t="s">
        <v>4007</v>
      </c>
      <c r="C156" s="82" t="s">
        <v>3384</v>
      </c>
      <c r="D156" s="4"/>
      <c r="E156" s="4"/>
      <c r="F156" s="71"/>
      <c r="G156" s="4"/>
      <c r="H156" s="4"/>
      <c r="I156" s="4" t="s">
        <v>3025</v>
      </c>
      <c r="J156" s="4" t="s">
        <v>6963</v>
      </c>
      <c r="K156" s="4"/>
      <c r="L156" s="4"/>
      <c r="M156" s="4"/>
      <c r="N156" s="4"/>
      <c r="O156" s="4"/>
      <c r="P156" s="4"/>
      <c r="Q156" s="4"/>
    </row>
    <row r="157" spans="1:17" ht="25.5" x14ac:dyDescent="0.2">
      <c r="A157" s="1">
        <f t="shared" ca="1" si="5"/>
        <v>155</v>
      </c>
      <c r="B157" s="1" t="s">
        <v>2514</v>
      </c>
      <c r="C157" s="82" t="s">
        <v>4498</v>
      </c>
      <c r="D157" s="4"/>
      <c r="E157" s="4"/>
      <c r="F157" s="71"/>
      <c r="G157" s="4"/>
      <c r="H157" s="4"/>
      <c r="I157" s="4" t="s">
        <v>3026</v>
      </c>
      <c r="J157" s="4"/>
      <c r="K157" s="4"/>
      <c r="L157" s="4"/>
      <c r="M157" s="4"/>
      <c r="N157" s="4"/>
      <c r="O157" s="4"/>
      <c r="P157" s="4"/>
      <c r="Q157" s="4"/>
    </row>
    <row r="158" spans="1:17" ht="25.5" x14ac:dyDescent="0.2">
      <c r="A158" s="1">
        <f t="shared" ca="1" si="5"/>
        <v>156</v>
      </c>
      <c r="B158" s="1" t="s">
        <v>2515</v>
      </c>
      <c r="C158" s="82" t="s">
        <v>4499</v>
      </c>
      <c r="D158" s="4"/>
      <c r="E158" s="4"/>
      <c r="F158" s="71"/>
      <c r="G158" s="4"/>
      <c r="H158" s="4"/>
      <c r="I158" s="4" t="s">
        <v>3027</v>
      </c>
      <c r="J158" s="4"/>
      <c r="K158" s="4"/>
      <c r="L158" s="4"/>
      <c r="M158" s="4"/>
      <c r="N158" s="4"/>
      <c r="O158" s="4"/>
      <c r="P158" s="4"/>
      <c r="Q158" s="4"/>
    </row>
    <row r="159" spans="1:17" ht="38.25" x14ac:dyDescent="0.2">
      <c r="A159" s="1">
        <f t="shared" ca="1" si="5"/>
        <v>157</v>
      </c>
      <c r="B159" s="1" t="s">
        <v>6282</v>
      </c>
      <c r="C159" s="82" t="s">
        <v>7201</v>
      </c>
      <c r="D159" s="4"/>
      <c r="E159" s="4"/>
      <c r="F159" s="71"/>
      <c r="G159" s="4"/>
      <c r="H159" s="4"/>
      <c r="I159" s="4" t="s">
        <v>3028</v>
      </c>
      <c r="J159" s="4"/>
      <c r="K159" s="4"/>
      <c r="L159" s="4"/>
      <c r="M159" s="4"/>
      <c r="N159" s="4"/>
      <c r="O159" s="4"/>
      <c r="P159" s="4"/>
      <c r="Q159" s="4"/>
    </row>
    <row r="160" spans="1:17" ht="25.5" x14ac:dyDescent="0.2">
      <c r="A160" s="1">
        <f t="shared" ca="1" si="5"/>
        <v>158</v>
      </c>
      <c r="B160" s="1" t="s">
        <v>6283</v>
      </c>
      <c r="C160" s="82" t="s">
        <v>4500</v>
      </c>
      <c r="D160" s="4"/>
      <c r="E160" s="4"/>
      <c r="F160" s="71"/>
      <c r="G160" s="4"/>
      <c r="H160" s="4"/>
      <c r="I160" s="4" t="s">
        <v>3029</v>
      </c>
      <c r="J160" s="4"/>
      <c r="K160" s="4"/>
      <c r="L160" s="4"/>
      <c r="M160" s="4"/>
      <c r="N160" s="4"/>
      <c r="O160" s="4"/>
      <c r="P160" s="4"/>
      <c r="Q160" s="4"/>
    </row>
    <row r="161" spans="1:17" ht="38.25" x14ac:dyDescent="0.2">
      <c r="A161" s="1">
        <f t="shared" ca="1" si="5"/>
        <v>159</v>
      </c>
      <c r="B161" s="1" t="s">
        <v>6072</v>
      </c>
      <c r="C161" s="82" t="s">
        <v>4501</v>
      </c>
      <c r="D161" s="4"/>
      <c r="E161" s="4"/>
      <c r="F161" s="71"/>
      <c r="G161" s="4"/>
      <c r="H161" s="4"/>
      <c r="I161" s="4" t="s">
        <v>3030</v>
      </c>
      <c r="J161" s="4"/>
      <c r="K161" s="4"/>
      <c r="L161" s="4"/>
      <c r="M161" s="4"/>
      <c r="N161" s="4"/>
      <c r="O161" s="4"/>
      <c r="P161" s="4"/>
      <c r="Q161" s="4"/>
    </row>
    <row r="162" spans="1:17" x14ac:dyDescent="0.2">
      <c r="A162" s="1">
        <f t="shared" ca="1" si="5"/>
        <v>160</v>
      </c>
      <c r="B162" s="1" t="s">
        <v>6284</v>
      </c>
      <c r="C162" s="82" t="s">
        <v>4502</v>
      </c>
      <c r="D162" s="4"/>
      <c r="E162" s="4"/>
      <c r="F162" s="71"/>
      <c r="G162" s="4"/>
      <c r="H162" s="4"/>
      <c r="I162" s="4" t="s">
        <v>3031</v>
      </c>
      <c r="J162" s="4"/>
      <c r="K162" s="4"/>
      <c r="L162" s="4"/>
      <c r="M162" s="4"/>
      <c r="N162" s="4"/>
      <c r="O162" s="4"/>
      <c r="P162" s="4"/>
      <c r="Q162" s="4"/>
    </row>
    <row r="163" spans="1:17" ht="25.5" x14ac:dyDescent="0.2">
      <c r="A163" s="1">
        <f t="shared" ca="1" si="5"/>
        <v>161</v>
      </c>
      <c r="B163" s="1" t="s">
        <v>6285</v>
      </c>
      <c r="C163" s="82" t="s">
        <v>4503</v>
      </c>
      <c r="D163" s="4"/>
      <c r="E163" s="4"/>
      <c r="F163" s="71"/>
      <c r="G163" s="4"/>
      <c r="H163" s="4"/>
      <c r="I163" s="4" t="s">
        <v>3032</v>
      </c>
      <c r="J163" s="4"/>
      <c r="K163" s="4"/>
      <c r="L163" s="4"/>
      <c r="M163" s="4"/>
      <c r="N163" s="4"/>
      <c r="O163" s="4"/>
      <c r="P163" s="4"/>
      <c r="Q163" s="4"/>
    </row>
    <row r="164" spans="1:17" ht="25.5" x14ac:dyDescent="0.2">
      <c r="A164" s="1">
        <f t="shared" ca="1" si="5"/>
        <v>162</v>
      </c>
      <c r="B164" s="1" t="s">
        <v>6286</v>
      </c>
      <c r="C164" s="118" t="s">
        <v>3538</v>
      </c>
      <c r="D164" s="4"/>
      <c r="E164" s="4"/>
      <c r="F164" s="71"/>
      <c r="G164" s="4"/>
      <c r="H164" s="4"/>
      <c r="I164" s="4" t="s">
        <v>3033</v>
      </c>
      <c r="J164" s="4" t="s">
        <v>5191</v>
      </c>
      <c r="K164" s="4"/>
      <c r="L164" s="4"/>
      <c r="M164" s="4"/>
      <c r="N164" s="4"/>
      <c r="O164" s="4"/>
      <c r="P164" s="4"/>
      <c r="Q164" s="4"/>
    </row>
    <row r="165" spans="1:17" ht="25.5" x14ac:dyDescent="0.2">
      <c r="A165" s="1">
        <f t="shared" ca="1" si="5"/>
        <v>163</v>
      </c>
      <c r="B165" s="1" t="s">
        <v>6287</v>
      </c>
      <c r="C165" s="118" t="s">
        <v>3539</v>
      </c>
      <c r="D165" s="4"/>
      <c r="E165" s="4"/>
      <c r="F165" s="71"/>
      <c r="G165" s="4"/>
      <c r="H165" s="4"/>
      <c r="I165" s="4" t="s">
        <v>3034</v>
      </c>
      <c r="J165" s="4" t="s">
        <v>5192</v>
      </c>
      <c r="K165" s="4"/>
      <c r="L165" s="4"/>
      <c r="M165" s="4"/>
      <c r="N165" s="4"/>
      <c r="O165" s="4"/>
      <c r="P165" s="4"/>
      <c r="Q165" s="4"/>
    </row>
    <row r="166" spans="1:17" ht="25.5" x14ac:dyDescent="0.2">
      <c r="A166" s="1">
        <f t="shared" ca="1" si="5"/>
        <v>164</v>
      </c>
      <c r="B166" s="1" t="s">
        <v>2498</v>
      </c>
      <c r="C166" s="82" t="s">
        <v>8260</v>
      </c>
      <c r="D166" s="4"/>
      <c r="E166" s="4"/>
      <c r="F166" s="71"/>
      <c r="G166" s="4"/>
      <c r="H166" s="4"/>
      <c r="I166" s="4" t="s">
        <v>3035</v>
      </c>
      <c r="J166" s="4"/>
      <c r="K166" s="4"/>
      <c r="L166" s="4"/>
      <c r="M166" s="4"/>
      <c r="N166" s="4"/>
      <c r="O166" s="4"/>
      <c r="P166" s="4"/>
      <c r="Q166" s="4"/>
    </row>
    <row r="167" spans="1:17" x14ac:dyDescent="0.2">
      <c r="A167" s="1">
        <f t="shared" ca="1" si="5"/>
        <v>165</v>
      </c>
      <c r="B167" s="1" t="s">
        <v>2499</v>
      </c>
      <c r="C167" s="82" t="s">
        <v>8261</v>
      </c>
      <c r="D167" s="4"/>
      <c r="E167" s="4"/>
      <c r="F167" s="71"/>
      <c r="G167" s="4"/>
      <c r="H167" s="4"/>
      <c r="I167" s="4" t="s">
        <v>3036</v>
      </c>
      <c r="J167" s="4"/>
      <c r="K167" s="4"/>
      <c r="L167" s="4"/>
      <c r="M167" s="4"/>
      <c r="N167" s="4"/>
      <c r="O167" s="4"/>
      <c r="P167" s="4"/>
      <c r="Q167" s="4"/>
    </row>
    <row r="168" spans="1:17" x14ac:dyDescent="0.2">
      <c r="A168" s="1">
        <f t="shared" ca="1" si="5"/>
        <v>166</v>
      </c>
      <c r="B168" s="1" t="s">
        <v>2500</v>
      </c>
      <c r="C168" s="82" t="s">
        <v>4224</v>
      </c>
      <c r="D168" s="4"/>
      <c r="E168" s="4"/>
      <c r="F168" s="71"/>
      <c r="G168" s="4"/>
      <c r="H168" s="4"/>
      <c r="I168" s="4" t="s">
        <v>3037</v>
      </c>
      <c r="J168" s="4"/>
      <c r="K168" s="4"/>
      <c r="L168" s="4"/>
      <c r="M168" s="4"/>
      <c r="N168" s="4"/>
      <c r="O168" s="4"/>
      <c r="P168" s="4"/>
      <c r="Q168" s="4"/>
    </row>
    <row r="169" spans="1:17" x14ac:dyDescent="0.2">
      <c r="A169" s="1">
        <f t="shared" ca="1" si="5"/>
        <v>167</v>
      </c>
      <c r="B169" s="1" t="s">
        <v>2501</v>
      </c>
      <c r="C169" s="82" t="s">
        <v>370</v>
      </c>
      <c r="D169" s="4"/>
      <c r="E169" s="4"/>
      <c r="F169" s="71"/>
      <c r="G169" s="4"/>
      <c r="H169" s="4"/>
      <c r="I169" s="4" t="s">
        <v>3038</v>
      </c>
      <c r="J169" s="4" t="s">
        <v>3723</v>
      </c>
      <c r="K169" s="4"/>
      <c r="L169" s="4"/>
      <c r="M169" s="4"/>
      <c r="N169" s="4"/>
      <c r="O169" s="4"/>
      <c r="P169" s="4"/>
      <c r="Q169" s="4"/>
    </row>
    <row r="170" spans="1:17" ht="25.5" x14ac:dyDescent="0.2">
      <c r="A170" s="1">
        <f t="shared" ca="1" si="5"/>
        <v>168</v>
      </c>
      <c r="B170" s="1" t="s">
        <v>2502</v>
      </c>
      <c r="C170" s="82" t="s">
        <v>371</v>
      </c>
      <c r="D170" s="4"/>
      <c r="E170" s="4"/>
      <c r="F170" s="71"/>
      <c r="G170" s="4"/>
      <c r="H170" s="4"/>
      <c r="I170" s="4" t="s">
        <v>3039</v>
      </c>
      <c r="J170" s="4" t="s">
        <v>2087</v>
      </c>
      <c r="K170" s="4"/>
      <c r="L170" s="4"/>
      <c r="M170" s="4"/>
      <c r="N170" s="4"/>
      <c r="O170" s="4"/>
      <c r="P170" s="4"/>
      <c r="Q170" s="4"/>
    </row>
    <row r="171" spans="1:17" x14ac:dyDescent="0.2">
      <c r="A171" s="1">
        <f t="shared" ca="1" si="5"/>
        <v>169</v>
      </c>
      <c r="B171" s="1" t="s">
        <v>2503</v>
      </c>
      <c r="C171" s="82" t="s">
        <v>372</v>
      </c>
      <c r="D171" s="4"/>
      <c r="E171" s="4"/>
      <c r="F171" s="71"/>
      <c r="G171" s="4"/>
      <c r="H171" s="4"/>
      <c r="I171" s="4" t="s">
        <v>3040</v>
      </c>
      <c r="J171" s="4" t="s">
        <v>5189</v>
      </c>
      <c r="K171" s="4"/>
      <c r="L171" s="4"/>
      <c r="M171" s="4"/>
      <c r="N171" s="4"/>
      <c r="O171" s="4"/>
      <c r="P171" s="4"/>
      <c r="Q171" s="4"/>
    </row>
    <row r="172" spans="1:17" x14ac:dyDescent="0.2">
      <c r="A172" s="1">
        <f t="shared" ca="1" si="5"/>
        <v>170</v>
      </c>
      <c r="B172" s="1" t="s">
        <v>2504</v>
      </c>
      <c r="C172" s="82" t="s">
        <v>2505</v>
      </c>
      <c r="D172" s="4"/>
      <c r="E172" s="4"/>
      <c r="F172" s="71"/>
      <c r="G172" s="4"/>
      <c r="H172" s="4"/>
      <c r="I172" s="4" t="s">
        <v>3041</v>
      </c>
      <c r="J172" s="4" t="s">
        <v>4508</v>
      </c>
      <c r="K172" s="4"/>
      <c r="L172" s="4"/>
      <c r="M172" s="4"/>
      <c r="N172" s="4"/>
      <c r="O172" s="4"/>
      <c r="P172" s="4"/>
      <c r="Q172" s="4"/>
    </row>
    <row r="173" spans="1:17" x14ac:dyDescent="0.2">
      <c r="A173" s="1">
        <f t="shared" ca="1" si="5"/>
        <v>171</v>
      </c>
      <c r="B173" s="1" t="s">
        <v>2506</v>
      </c>
      <c r="C173" s="82" t="s">
        <v>3540</v>
      </c>
      <c r="D173" s="4"/>
      <c r="E173" s="4"/>
      <c r="F173" s="71"/>
      <c r="G173" s="4"/>
      <c r="H173" s="4"/>
      <c r="I173" s="4" t="s">
        <v>3042</v>
      </c>
      <c r="J173" s="4" t="s">
        <v>4509</v>
      </c>
      <c r="K173" s="4"/>
      <c r="L173" s="4"/>
      <c r="M173" s="4"/>
      <c r="N173" s="4"/>
      <c r="O173" s="4"/>
      <c r="P173" s="4"/>
      <c r="Q173" s="4"/>
    </row>
    <row r="174" spans="1:17" x14ac:dyDescent="0.2">
      <c r="A174" s="1">
        <f t="shared" ca="1" si="5"/>
        <v>172</v>
      </c>
      <c r="B174" s="1" t="s">
        <v>2507</v>
      </c>
      <c r="C174" s="82" t="s">
        <v>3965</v>
      </c>
      <c r="D174" s="4"/>
      <c r="E174" s="4"/>
      <c r="F174" s="71"/>
      <c r="G174" s="4"/>
      <c r="H174" s="4"/>
      <c r="I174" s="4" t="s">
        <v>3043</v>
      </c>
      <c r="J174" s="4" t="s">
        <v>4510</v>
      </c>
      <c r="K174" s="4"/>
      <c r="L174" s="4"/>
      <c r="M174" s="4"/>
      <c r="N174" s="4"/>
      <c r="O174" s="4"/>
      <c r="P174" s="4"/>
      <c r="Q174" s="4"/>
    </row>
    <row r="175" spans="1:17" x14ac:dyDescent="0.2">
      <c r="A175" s="1">
        <f t="shared" ca="1" si="5"/>
        <v>173</v>
      </c>
      <c r="B175" s="1" t="s">
        <v>2508</v>
      </c>
      <c r="C175" s="82" t="s">
        <v>3966</v>
      </c>
      <c r="D175" s="4"/>
      <c r="E175" s="4"/>
      <c r="F175" s="71"/>
      <c r="G175" s="4"/>
      <c r="H175" s="4"/>
      <c r="I175" s="4" t="s">
        <v>3044</v>
      </c>
      <c r="J175" s="4" t="s">
        <v>4511</v>
      </c>
      <c r="K175" s="4"/>
      <c r="L175" s="4"/>
      <c r="M175" s="4"/>
      <c r="N175" s="4"/>
      <c r="O175" s="4"/>
      <c r="P175" s="4"/>
      <c r="Q175" s="4"/>
    </row>
    <row r="176" spans="1:17" x14ac:dyDescent="0.2">
      <c r="A176" s="1">
        <f t="shared" ca="1" si="5"/>
        <v>174</v>
      </c>
      <c r="B176" s="73" t="s">
        <v>233</v>
      </c>
      <c r="C176" s="4"/>
      <c r="D176" s="4"/>
      <c r="E176" s="4"/>
      <c r="F176" s="71"/>
      <c r="G176" s="4"/>
      <c r="H176" s="4"/>
      <c r="J176" s="4"/>
      <c r="K176" s="4"/>
      <c r="L176" s="4"/>
      <c r="M176" s="4"/>
      <c r="N176" s="4"/>
      <c r="O176" s="4"/>
      <c r="P176" s="4"/>
      <c r="Q176" s="4"/>
    </row>
    <row r="177" spans="1:17" x14ac:dyDescent="0.2">
      <c r="A177" s="1">
        <f t="shared" ca="1" si="5"/>
        <v>175</v>
      </c>
      <c r="B177" s="10" t="s">
        <v>2941</v>
      </c>
      <c r="C177" s="82" t="s">
        <v>3454</v>
      </c>
      <c r="D177" s="4"/>
      <c r="E177" s="4"/>
      <c r="F177" s="71"/>
      <c r="G177" s="4"/>
      <c r="H177" s="4"/>
      <c r="I177" s="4" t="s">
        <v>3045</v>
      </c>
      <c r="J177" s="4"/>
      <c r="K177" s="4"/>
      <c r="L177" s="4"/>
      <c r="M177" s="4"/>
      <c r="N177" s="4"/>
      <c r="O177" s="4"/>
      <c r="P177" s="4"/>
      <c r="Q177" s="4"/>
    </row>
    <row r="178" spans="1:17" x14ac:dyDescent="0.2">
      <c r="A178" s="1">
        <f t="shared" ca="1" si="5"/>
        <v>176</v>
      </c>
      <c r="B178" s="1" t="s">
        <v>553</v>
      </c>
      <c r="C178" s="82" t="s">
        <v>1062</v>
      </c>
      <c r="D178" s="4"/>
      <c r="E178" s="4"/>
      <c r="F178" s="71"/>
      <c r="G178" s="4"/>
      <c r="H178" s="4"/>
      <c r="I178" s="4" t="s">
        <v>1861</v>
      </c>
      <c r="J178" s="4" t="s">
        <v>5190</v>
      </c>
      <c r="K178" s="4"/>
      <c r="L178" s="4"/>
      <c r="M178" s="4"/>
      <c r="N178" s="4"/>
      <c r="O178" s="4"/>
      <c r="P178" s="4"/>
      <c r="Q178" s="4"/>
    </row>
    <row r="179" spans="1:17" x14ac:dyDescent="0.2">
      <c r="A179" s="1">
        <f t="shared" ca="1" si="5"/>
        <v>177</v>
      </c>
      <c r="B179" s="1" t="s">
        <v>554</v>
      </c>
      <c r="C179" s="82" t="s">
        <v>8308</v>
      </c>
      <c r="D179" s="4"/>
      <c r="E179" s="4"/>
      <c r="F179" s="71"/>
      <c r="G179" s="4"/>
      <c r="H179" s="4"/>
      <c r="I179" s="4" t="s">
        <v>3046</v>
      </c>
      <c r="J179" s="4" t="s">
        <v>2210</v>
      </c>
      <c r="K179" s="4"/>
      <c r="L179" s="4"/>
      <c r="M179" s="4"/>
      <c r="N179" s="4"/>
      <c r="O179" s="4"/>
      <c r="P179" s="4"/>
      <c r="Q179" s="4"/>
    </row>
    <row r="180" spans="1:17" x14ac:dyDescent="0.2">
      <c r="A180" s="1">
        <f t="shared" ca="1" si="5"/>
        <v>178</v>
      </c>
      <c r="B180" s="1" t="s">
        <v>555</v>
      </c>
      <c r="C180" s="82" t="s">
        <v>3502</v>
      </c>
      <c r="D180" s="4"/>
      <c r="E180" s="4"/>
      <c r="F180" s="71"/>
      <c r="G180" s="4"/>
      <c r="H180" s="4"/>
      <c r="I180" s="4" t="s">
        <v>3047</v>
      </c>
      <c r="J180" s="4" t="s">
        <v>7062</v>
      </c>
      <c r="K180" s="4"/>
      <c r="L180" s="4"/>
      <c r="M180" s="4"/>
      <c r="N180" s="4"/>
      <c r="O180" s="4"/>
      <c r="P180" s="4"/>
      <c r="Q180" s="4"/>
    </row>
    <row r="181" spans="1:17" x14ac:dyDescent="0.2">
      <c r="A181" s="1">
        <f t="shared" ca="1" si="5"/>
        <v>179</v>
      </c>
      <c r="B181" s="1" t="s">
        <v>43</v>
      </c>
      <c r="C181" s="82" t="s">
        <v>8309</v>
      </c>
      <c r="D181" s="4"/>
      <c r="E181" s="4"/>
      <c r="F181" s="71"/>
      <c r="G181" s="4"/>
      <c r="H181" s="4"/>
      <c r="I181" s="4" t="s">
        <v>3048</v>
      </c>
      <c r="J181" s="4" t="s">
        <v>7862</v>
      </c>
      <c r="K181" s="4"/>
      <c r="L181" s="4"/>
      <c r="M181" s="4"/>
      <c r="N181" s="4"/>
      <c r="O181" s="4"/>
      <c r="P181" s="4"/>
      <c r="Q181" s="4"/>
    </row>
    <row r="182" spans="1:17" x14ac:dyDescent="0.2">
      <c r="A182" s="1">
        <f t="shared" ca="1" si="5"/>
        <v>180</v>
      </c>
      <c r="B182" s="1" t="s">
        <v>556</v>
      </c>
      <c r="C182" s="82" t="s">
        <v>8310</v>
      </c>
      <c r="D182" s="4"/>
      <c r="E182" s="4"/>
      <c r="F182" s="71"/>
      <c r="G182" s="4"/>
      <c r="H182" s="4"/>
      <c r="I182" s="4" t="s">
        <v>3049</v>
      </c>
      <c r="J182" s="4" t="s">
        <v>7863</v>
      </c>
      <c r="K182" s="4"/>
      <c r="L182" s="4"/>
      <c r="M182" s="4"/>
      <c r="N182" s="4"/>
      <c r="O182" s="4"/>
      <c r="P182" s="4"/>
      <c r="Q182" s="4"/>
    </row>
    <row r="183" spans="1:17" x14ac:dyDescent="0.2">
      <c r="A183" s="1">
        <f t="shared" ca="1" si="5"/>
        <v>181</v>
      </c>
      <c r="B183" s="1" t="s">
        <v>557</v>
      </c>
      <c r="C183" s="82" t="s">
        <v>3455</v>
      </c>
      <c r="D183" s="4"/>
      <c r="E183" s="4"/>
      <c r="F183" s="71"/>
      <c r="G183" s="4"/>
      <c r="H183" s="4"/>
      <c r="I183" s="4" t="s">
        <v>1552</v>
      </c>
      <c r="J183" s="4" t="s">
        <v>5607</v>
      </c>
      <c r="K183" s="4"/>
      <c r="L183" s="4"/>
      <c r="M183" s="4"/>
      <c r="N183" s="4"/>
      <c r="O183" s="4"/>
      <c r="P183" s="4"/>
      <c r="Q183" s="4"/>
    </row>
    <row r="184" spans="1:17" x14ac:dyDescent="0.2">
      <c r="A184" s="1">
        <f t="shared" ca="1" si="5"/>
        <v>182</v>
      </c>
      <c r="B184" s="1" t="s">
        <v>6244</v>
      </c>
      <c r="C184" s="82" t="s">
        <v>373</v>
      </c>
      <c r="D184" s="4"/>
      <c r="E184" s="4"/>
      <c r="F184" s="71"/>
      <c r="G184" s="4"/>
      <c r="H184" s="4"/>
      <c r="I184" s="4" t="s">
        <v>1553</v>
      </c>
      <c r="J184" s="4" t="s">
        <v>5608</v>
      </c>
      <c r="K184" s="4"/>
      <c r="L184" s="4"/>
      <c r="M184" s="4"/>
      <c r="N184" s="4"/>
      <c r="O184" s="4"/>
      <c r="P184" s="4"/>
      <c r="Q184" s="4"/>
    </row>
    <row r="185" spans="1:17" x14ac:dyDescent="0.2">
      <c r="A185" s="1">
        <f t="shared" ca="1" si="5"/>
        <v>183</v>
      </c>
      <c r="B185" s="1" t="s">
        <v>6245</v>
      </c>
      <c r="C185" s="82" t="s">
        <v>374</v>
      </c>
      <c r="D185" s="4"/>
      <c r="E185" s="4"/>
      <c r="F185" s="71"/>
      <c r="G185" s="4"/>
      <c r="H185" s="4"/>
      <c r="I185" s="4" t="s">
        <v>1554</v>
      </c>
      <c r="J185" s="4" t="s">
        <v>5609</v>
      </c>
      <c r="K185" s="4"/>
      <c r="L185" s="4"/>
      <c r="M185" s="4"/>
      <c r="N185" s="4"/>
      <c r="O185" s="4"/>
      <c r="P185" s="4"/>
      <c r="Q185" s="4"/>
    </row>
    <row r="186" spans="1:17" x14ac:dyDescent="0.2">
      <c r="A186" s="1">
        <f t="shared" ca="1" si="5"/>
        <v>184</v>
      </c>
      <c r="B186" s="1" t="s">
        <v>6246</v>
      </c>
      <c r="C186" s="82" t="s">
        <v>6084</v>
      </c>
      <c r="D186" s="4"/>
      <c r="E186" s="4"/>
      <c r="F186" s="71"/>
      <c r="G186" s="4"/>
      <c r="H186" s="4"/>
      <c r="I186" s="4" t="s">
        <v>6084</v>
      </c>
      <c r="J186" s="4" t="s">
        <v>6084</v>
      </c>
      <c r="K186" s="4"/>
      <c r="L186" s="4"/>
      <c r="M186" s="4"/>
      <c r="N186" s="4"/>
      <c r="O186" s="4"/>
      <c r="P186" s="4"/>
      <c r="Q186" s="4"/>
    </row>
    <row r="187" spans="1:17" x14ac:dyDescent="0.2">
      <c r="A187" s="1">
        <f t="shared" ca="1" si="5"/>
        <v>185</v>
      </c>
      <c r="B187" s="1" t="s">
        <v>6247</v>
      </c>
      <c r="C187" s="82" t="s">
        <v>1063</v>
      </c>
      <c r="D187" s="4"/>
      <c r="E187" s="4"/>
      <c r="F187" s="71"/>
      <c r="G187" s="4"/>
      <c r="H187" s="4"/>
      <c r="I187" s="82" t="s">
        <v>1555</v>
      </c>
      <c r="J187" s="4"/>
      <c r="K187" s="4"/>
      <c r="L187" s="4"/>
      <c r="M187" s="4"/>
      <c r="N187" s="4"/>
      <c r="O187" s="4"/>
      <c r="P187" s="4"/>
      <c r="Q187" s="4"/>
    </row>
    <row r="188" spans="1:17" x14ac:dyDescent="0.2">
      <c r="A188" s="1">
        <f t="shared" ca="1" si="5"/>
        <v>186</v>
      </c>
      <c r="B188" s="1" t="s">
        <v>6248</v>
      </c>
      <c r="C188" s="82" t="s">
        <v>1064</v>
      </c>
      <c r="D188" s="4"/>
      <c r="E188" s="4"/>
      <c r="F188" s="71"/>
      <c r="G188" s="4"/>
      <c r="H188" s="4"/>
      <c r="I188" s="82" t="s">
        <v>1556</v>
      </c>
      <c r="J188" s="4"/>
      <c r="K188" s="4"/>
      <c r="L188" s="4"/>
      <c r="M188" s="4"/>
      <c r="N188" s="4"/>
      <c r="O188" s="4"/>
      <c r="P188" s="4"/>
      <c r="Q188" s="4"/>
    </row>
    <row r="189" spans="1:17" x14ac:dyDescent="0.2">
      <c r="A189" s="1">
        <f t="shared" ca="1" si="5"/>
        <v>187</v>
      </c>
      <c r="B189" s="1" t="s">
        <v>234</v>
      </c>
      <c r="C189" s="82" t="s">
        <v>4804</v>
      </c>
      <c r="D189" s="4"/>
      <c r="E189" s="4"/>
      <c r="F189" s="71"/>
      <c r="G189" s="4"/>
      <c r="H189" s="4"/>
      <c r="I189" s="4" t="s">
        <v>1557</v>
      </c>
      <c r="J189" s="4" t="s">
        <v>6964</v>
      </c>
      <c r="K189" s="4"/>
      <c r="L189" s="4"/>
      <c r="M189" s="4"/>
      <c r="N189" s="4"/>
      <c r="O189" s="4"/>
      <c r="P189" s="4"/>
      <c r="Q189" s="4"/>
    </row>
    <row r="190" spans="1:17" x14ac:dyDescent="0.2">
      <c r="A190" s="1">
        <f t="shared" ca="1" si="5"/>
        <v>188</v>
      </c>
      <c r="B190" s="1" t="s">
        <v>1850</v>
      </c>
      <c r="C190" s="82" t="s">
        <v>3603</v>
      </c>
      <c r="D190" s="4"/>
      <c r="E190" s="4"/>
      <c r="F190" s="71"/>
      <c r="G190" s="4"/>
      <c r="H190" s="4"/>
      <c r="I190" s="4" t="s">
        <v>1558</v>
      </c>
      <c r="J190" s="4"/>
      <c r="K190" s="4"/>
      <c r="L190" s="4"/>
      <c r="M190" s="4"/>
      <c r="N190" s="4"/>
      <c r="O190" s="4"/>
      <c r="P190" s="4"/>
      <c r="Q190" s="4"/>
    </row>
    <row r="191" spans="1:17" x14ac:dyDescent="0.2">
      <c r="A191" s="1">
        <f t="shared" ca="1" si="5"/>
        <v>189</v>
      </c>
      <c r="B191" s="1" t="s">
        <v>44</v>
      </c>
      <c r="C191" s="82" t="s">
        <v>375</v>
      </c>
      <c r="D191" s="4"/>
      <c r="E191" s="4"/>
      <c r="F191" s="71"/>
      <c r="G191" s="4"/>
      <c r="H191" s="4"/>
      <c r="I191" s="4" t="s">
        <v>1559</v>
      </c>
      <c r="J191" s="4"/>
      <c r="K191" s="4"/>
      <c r="L191" s="4"/>
      <c r="M191" s="4"/>
      <c r="N191" s="4"/>
      <c r="O191" s="4"/>
      <c r="P191" s="4"/>
      <c r="Q191" s="4"/>
    </row>
    <row r="192" spans="1:17" x14ac:dyDescent="0.2">
      <c r="A192" s="1">
        <f t="shared" ca="1" si="5"/>
        <v>190</v>
      </c>
      <c r="B192" s="1" t="s">
        <v>45</v>
      </c>
      <c r="C192" s="82" t="s">
        <v>376</v>
      </c>
      <c r="D192" s="4"/>
      <c r="E192" s="4"/>
      <c r="F192" s="71"/>
      <c r="G192" s="4"/>
      <c r="H192" s="4"/>
      <c r="I192" s="4" t="s">
        <v>1560</v>
      </c>
      <c r="J192" s="4"/>
      <c r="K192" s="4"/>
      <c r="L192" s="4"/>
      <c r="M192" s="4"/>
      <c r="N192" s="4"/>
      <c r="O192" s="4"/>
      <c r="P192" s="4"/>
      <c r="Q192" s="4"/>
    </row>
    <row r="193" spans="1:17" x14ac:dyDescent="0.2">
      <c r="A193" s="1">
        <f t="shared" ca="1" si="5"/>
        <v>191</v>
      </c>
      <c r="B193" s="1" t="s">
        <v>46</v>
      </c>
      <c r="C193" s="82" t="s">
        <v>377</v>
      </c>
      <c r="D193" s="4"/>
      <c r="E193" s="4"/>
      <c r="F193" s="71"/>
      <c r="G193" s="4"/>
      <c r="H193" s="4"/>
      <c r="I193" s="4" t="s">
        <v>1561</v>
      </c>
      <c r="J193" s="4" t="s">
        <v>5610</v>
      </c>
      <c r="K193" s="4"/>
      <c r="L193" s="4"/>
      <c r="M193" s="4"/>
      <c r="N193" s="4"/>
      <c r="O193" s="4"/>
      <c r="P193" s="4"/>
      <c r="Q193" s="4"/>
    </row>
    <row r="194" spans="1:17" x14ac:dyDescent="0.2">
      <c r="A194" s="1">
        <f t="shared" ca="1" si="5"/>
        <v>192</v>
      </c>
      <c r="B194" s="1" t="s">
        <v>47</v>
      </c>
      <c r="C194" s="82" t="s">
        <v>378</v>
      </c>
      <c r="D194" s="4"/>
      <c r="E194" s="4"/>
      <c r="F194" s="71"/>
      <c r="G194" s="4"/>
      <c r="H194" s="4"/>
      <c r="I194" s="4" t="s">
        <v>1562</v>
      </c>
      <c r="J194" s="4"/>
      <c r="K194" s="4"/>
      <c r="L194" s="4"/>
      <c r="M194" s="4"/>
      <c r="N194" s="4"/>
      <c r="O194" s="4"/>
      <c r="P194" s="4"/>
      <c r="Q194" s="4"/>
    </row>
    <row r="195" spans="1:17" x14ac:dyDescent="0.2">
      <c r="A195" s="1">
        <f t="shared" ca="1" si="5"/>
        <v>193</v>
      </c>
      <c r="B195" s="1" t="s">
        <v>48</v>
      </c>
      <c r="C195" s="82" t="s">
        <v>379</v>
      </c>
      <c r="D195" s="4"/>
      <c r="E195" s="4"/>
      <c r="F195" s="71"/>
      <c r="G195" s="4"/>
      <c r="H195" s="4"/>
      <c r="I195" s="4" t="s">
        <v>1563</v>
      </c>
      <c r="J195" s="4" t="s">
        <v>6965</v>
      </c>
      <c r="K195" s="4"/>
      <c r="L195" s="4"/>
      <c r="M195" s="4"/>
      <c r="N195" s="4"/>
      <c r="O195" s="4"/>
      <c r="P195" s="4"/>
      <c r="Q195" s="4"/>
    </row>
    <row r="196" spans="1:17" x14ac:dyDescent="0.2">
      <c r="A196" s="1">
        <f t="shared" ca="1" si="5"/>
        <v>194</v>
      </c>
      <c r="B196" s="1" t="s">
        <v>49</v>
      </c>
      <c r="C196" s="82" t="s">
        <v>380</v>
      </c>
      <c r="D196" s="4"/>
      <c r="E196" s="4"/>
      <c r="F196" s="71"/>
      <c r="G196" s="4"/>
      <c r="H196" s="4"/>
      <c r="I196" s="4" t="s">
        <v>1564</v>
      </c>
      <c r="J196" s="4" t="s">
        <v>6966</v>
      </c>
      <c r="K196" s="4"/>
      <c r="L196" s="4"/>
      <c r="M196" s="4"/>
      <c r="N196" s="4"/>
      <c r="O196" s="4"/>
      <c r="P196" s="4"/>
      <c r="Q196" s="4"/>
    </row>
    <row r="197" spans="1:17" x14ac:dyDescent="0.2">
      <c r="A197" s="1">
        <f t="shared" ca="1" si="5"/>
        <v>195</v>
      </c>
      <c r="B197" s="1" t="s">
        <v>234</v>
      </c>
      <c r="C197" s="82" t="s">
        <v>4804</v>
      </c>
      <c r="D197" s="4"/>
      <c r="E197" s="4"/>
      <c r="F197" s="71"/>
      <c r="G197" s="4"/>
      <c r="H197" s="4"/>
      <c r="I197" s="4" t="s">
        <v>1557</v>
      </c>
      <c r="J197" s="4" t="s">
        <v>6964</v>
      </c>
      <c r="K197" s="4"/>
      <c r="L197" s="4"/>
      <c r="M197" s="4"/>
      <c r="N197" s="4"/>
      <c r="O197" s="4"/>
      <c r="P197" s="4"/>
      <c r="Q197" s="4"/>
    </row>
    <row r="198" spans="1:17" x14ac:dyDescent="0.2">
      <c r="A198" s="1">
        <f t="shared" ca="1" si="5"/>
        <v>196</v>
      </c>
      <c r="B198" s="1" t="s">
        <v>4805</v>
      </c>
      <c r="C198" s="82" t="s">
        <v>4806</v>
      </c>
      <c r="D198" s="4"/>
      <c r="E198" s="4"/>
      <c r="F198" s="71"/>
      <c r="G198" s="4"/>
      <c r="H198" s="4"/>
      <c r="I198" s="4" t="s">
        <v>1565</v>
      </c>
      <c r="J198" s="4" t="s">
        <v>6967</v>
      </c>
      <c r="K198" s="4"/>
      <c r="L198" s="4"/>
      <c r="M198" s="4"/>
      <c r="N198" s="4"/>
      <c r="O198" s="4"/>
      <c r="P198" s="4"/>
      <c r="Q198" s="4"/>
    </row>
    <row r="199" spans="1:17" ht="25.5" x14ac:dyDescent="0.2">
      <c r="A199" s="1">
        <f t="shared" ca="1" si="5"/>
        <v>197</v>
      </c>
      <c r="B199" s="1" t="s">
        <v>8520</v>
      </c>
      <c r="C199" s="82" t="s">
        <v>3503</v>
      </c>
      <c r="D199" s="4"/>
      <c r="E199" s="4"/>
      <c r="F199" s="71"/>
      <c r="G199" s="4"/>
      <c r="H199" s="4"/>
      <c r="I199" s="4" t="s">
        <v>1566</v>
      </c>
      <c r="J199" s="4"/>
      <c r="K199" s="4"/>
      <c r="L199" s="4"/>
      <c r="M199" s="4"/>
      <c r="N199" s="4"/>
      <c r="O199" s="4"/>
      <c r="P199" s="4"/>
      <c r="Q199" s="4"/>
    </row>
    <row r="200" spans="1:17" ht="38.25" x14ac:dyDescent="0.2">
      <c r="A200" s="1">
        <f t="shared" ca="1" si="5"/>
        <v>198</v>
      </c>
      <c r="B200" s="1" t="s">
        <v>4063</v>
      </c>
      <c r="C200" s="82" t="s">
        <v>1026</v>
      </c>
      <c r="D200" s="4"/>
      <c r="E200" s="4"/>
      <c r="F200" s="71"/>
      <c r="G200" s="4"/>
      <c r="H200" s="4"/>
      <c r="I200" s="4" t="s">
        <v>1567</v>
      </c>
      <c r="J200" s="4"/>
      <c r="K200" s="4"/>
      <c r="L200" s="4"/>
      <c r="M200" s="4"/>
      <c r="N200" s="4"/>
      <c r="O200" s="4"/>
      <c r="P200" s="4"/>
      <c r="Q200" s="4"/>
    </row>
    <row r="201" spans="1:17" ht="51" x14ac:dyDescent="0.2">
      <c r="A201" s="1">
        <f t="shared" ref="A201:A264" ca="1" si="6">CELL("row",C201)-2</f>
        <v>199</v>
      </c>
      <c r="B201" s="1" t="s">
        <v>3737</v>
      </c>
      <c r="C201" s="82" t="s">
        <v>1027</v>
      </c>
      <c r="D201" s="4"/>
      <c r="E201" s="4"/>
      <c r="F201" s="71"/>
      <c r="G201" s="4"/>
      <c r="H201" s="4"/>
      <c r="I201" s="4" t="s">
        <v>522</v>
      </c>
      <c r="J201" s="4"/>
      <c r="K201" s="4"/>
      <c r="L201" s="4"/>
      <c r="M201" s="4"/>
      <c r="N201" s="4"/>
      <c r="O201" s="4"/>
      <c r="P201" s="4"/>
      <c r="Q201" s="4"/>
    </row>
    <row r="202" spans="1:17" ht="51" x14ac:dyDescent="0.2">
      <c r="A202" s="1">
        <f t="shared" ca="1" si="6"/>
        <v>200</v>
      </c>
      <c r="B202" s="1" t="s">
        <v>3738</v>
      </c>
      <c r="C202" s="82" t="s">
        <v>1028</v>
      </c>
      <c r="D202" s="4"/>
      <c r="E202" s="4"/>
      <c r="F202" s="71"/>
      <c r="G202" s="4"/>
      <c r="H202" s="4"/>
      <c r="I202" s="4" t="s">
        <v>523</v>
      </c>
      <c r="J202" s="4"/>
      <c r="K202" s="4"/>
      <c r="L202" s="4"/>
      <c r="M202" s="4"/>
      <c r="N202" s="4"/>
      <c r="O202" s="4"/>
      <c r="P202" s="4"/>
      <c r="Q202" s="4"/>
    </row>
    <row r="203" spans="1:17" ht="51" x14ac:dyDescent="0.2">
      <c r="A203" s="1">
        <f t="shared" ca="1" si="6"/>
        <v>201</v>
      </c>
      <c r="B203" s="1" t="s">
        <v>3739</v>
      </c>
      <c r="C203" s="82" t="s">
        <v>1029</v>
      </c>
      <c r="D203" s="4"/>
      <c r="E203" s="4"/>
      <c r="F203" s="71"/>
      <c r="G203" s="4"/>
      <c r="H203" s="4"/>
      <c r="I203" s="4" t="s">
        <v>524</v>
      </c>
      <c r="J203" s="4"/>
      <c r="K203" s="4"/>
      <c r="L203" s="4"/>
      <c r="M203" s="4"/>
      <c r="N203" s="4"/>
      <c r="O203" s="4"/>
      <c r="P203" s="4"/>
      <c r="Q203" s="4"/>
    </row>
    <row r="204" spans="1:17" ht="51" x14ac:dyDescent="0.2">
      <c r="A204" s="1">
        <f t="shared" ca="1" si="6"/>
        <v>202</v>
      </c>
      <c r="B204" s="1" t="s">
        <v>4009</v>
      </c>
      <c r="C204" s="82" t="s">
        <v>1030</v>
      </c>
      <c r="D204" s="4"/>
      <c r="E204" s="4"/>
      <c r="F204" s="71"/>
      <c r="G204" s="4"/>
      <c r="H204" s="4"/>
      <c r="I204" s="4" t="s">
        <v>196</v>
      </c>
      <c r="J204" s="4"/>
      <c r="K204" s="4"/>
      <c r="L204" s="4"/>
      <c r="M204" s="4"/>
      <c r="N204" s="4"/>
      <c r="O204" s="4"/>
      <c r="P204" s="4"/>
      <c r="Q204" s="4"/>
    </row>
    <row r="205" spans="1:17" x14ac:dyDescent="0.2">
      <c r="A205" s="1">
        <f t="shared" ca="1" si="6"/>
        <v>203</v>
      </c>
      <c r="B205" s="1" t="s">
        <v>4802</v>
      </c>
      <c r="C205" s="82" t="s">
        <v>526</v>
      </c>
      <c r="D205" s="4"/>
      <c r="E205" s="4"/>
      <c r="F205" s="71"/>
      <c r="G205" s="4"/>
      <c r="H205" s="4"/>
      <c r="I205" s="4" t="s">
        <v>197</v>
      </c>
      <c r="J205" s="4" t="s">
        <v>6968</v>
      </c>
      <c r="K205" s="4"/>
      <c r="L205" s="4"/>
      <c r="M205" s="4"/>
      <c r="N205" s="4"/>
      <c r="O205" s="4"/>
      <c r="P205" s="4"/>
      <c r="Q205" s="4"/>
    </row>
    <row r="206" spans="1:17" ht="25.5" x14ac:dyDescent="0.2">
      <c r="A206" s="1">
        <f t="shared" ca="1" si="6"/>
        <v>204</v>
      </c>
      <c r="B206" s="1" t="s">
        <v>4010</v>
      </c>
      <c r="C206" s="82" t="s">
        <v>1034</v>
      </c>
      <c r="D206" s="4"/>
      <c r="E206" s="4"/>
      <c r="F206" s="71"/>
      <c r="G206" s="4"/>
      <c r="H206" s="4"/>
      <c r="I206" s="4" t="s">
        <v>198</v>
      </c>
      <c r="J206" s="4"/>
      <c r="K206" s="4"/>
      <c r="L206" s="4"/>
      <c r="M206" s="4"/>
      <c r="N206" s="4"/>
      <c r="O206" s="4"/>
      <c r="P206" s="4"/>
      <c r="Q206" s="4"/>
    </row>
    <row r="207" spans="1:17" ht="25.5" x14ac:dyDescent="0.2">
      <c r="A207" s="1">
        <f t="shared" ca="1" si="6"/>
        <v>205</v>
      </c>
      <c r="B207" s="1" t="s">
        <v>4011</v>
      </c>
      <c r="C207" s="82" t="s">
        <v>527</v>
      </c>
      <c r="D207" s="4"/>
      <c r="E207" s="4"/>
      <c r="F207" s="71"/>
      <c r="G207" s="4"/>
      <c r="H207" s="4"/>
      <c r="I207" s="4" t="s">
        <v>199</v>
      </c>
      <c r="J207" s="4"/>
      <c r="K207" s="4"/>
      <c r="L207" s="4"/>
      <c r="M207" s="4"/>
      <c r="N207" s="4"/>
      <c r="O207" s="4"/>
      <c r="P207" s="4"/>
      <c r="Q207" s="4"/>
    </row>
    <row r="208" spans="1:17" ht="38.25" x14ac:dyDescent="0.2">
      <c r="A208" s="1">
        <f t="shared" ca="1" si="6"/>
        <v>206</v>
      </c>
      <c r="B208" s="1" t="s">
        <v>4012</v>
      </c>
      <c r="C208" s="82" t="s">
        <v>7203</v>
      </c>
      <c r="D208" s="4"/>
      <c r="E208" s="4"/>
      <c r="F208" s="71"/>
      <c r="G208" s="4"/>
      <c r="H208" s="4"/>
      <c r="I208" s="4" t="s">
        <v>200</v>
      </c>
      <c r="J208" s="4"/>
      <c r="K208" s="4"/>
      <c r="L208" s="4"/>
      <c r="M208" s="4"/>
      <c r="N208" s="4"/>
      <c r="O208" s="4"/>
      <c r="P208" s="4"/>
      <c r="Q208" s="4"/>
    </row>
    <row r="209" spans="1:17" ht="38.25" x14ac:dyDescent="0.2">
      <c r="A209" s="1">
        <f t="shared" ca="1" si="6"/>
        <v>207</v>
      </c>
      <c r="B209" s="1" t="s">
        <v>1245</v>
      </c>
      <c r="C209" s="82" t="s">
        <v>1035</v>
      </c>
      <c r="D209" s="4"/>
      <c r="E209" s="4"/>
      <c r="F209" s="71"/>
      <c r="G209" s="4"/>
      <c r="H209" s="4"/>
      <c r="I209" s="4" t="s">
        <v>201</v>
      </c>
      <c r="J209" s="4" t="s">
        <v>5193</v>
      </c>
      <c r="K209" s="4"/>
      <c r="L209" s="4"/>
      <c r="M209" s="4"/>
      <c r="N209" s="4"/>
      <c r="O209" s="4"/>
      <c r="P209" s="4"/>
      <c r="Q209" s="4"/>
    </row>
    <row r="210" spans="1:17" ht="51" x14ac:dyDescent="0.2">
      <c r="A210" s="1">
        <f t="shared" ca="1" si="6"/>
        <v>208</v>
      </c>
      <c r="B210" s="1" t="s">
        <v>1246</v>
      </c>
      <c r="C210" s="82" t="s">
        <v>1036</v>
      </c>
      <c r="D210" s="4"/>
      <c r="E210" s="4"/>
      <c r="F210" s="71"/>
      <c r="G210" s="4"/>
      <c r="H210" s="4"/>
      <c r="I210" s="4" t="s">
        <v>202</v>
      </c>
      <c r="J210" s="4"/>
      <c r="K210" s="4"/>
      <c r="L210" s="4"/>
      <c r="M210" s="4"/>
      <c r="N210" s="4"/>
      <c r="O210" s="4"/>
      <c r="P210" s="4"/>
      <c r="Q210" s="4"/>
    </row>
    <row r="211" spans="1:17" ht="38.25" x14ac:dyDescent="0.2">
      <c r="A211" s="1">
        <f t="shared" ca="1" si="6"/>
        <v>209</v>
      </c>
      <c r="B211" s="1" t="s">
        <v>3633</v>
      </c>
      <c r="C211" s="82" t="s">
        <v>1037</v>
      </c>
      <c r="D211" s="4"/>
      <c r="E211" s="4"/>
      <c r="F211" s="71"/>
      <c r="G211" s="4"/>
      <c r="H211" s="4"/>
      <c r="I211" s="4" t="s">
        <v>203</v>
      </c>
      <c r="J211" s="4" t="s">
        <v>5194</v>
      </c>
      <c r="K211" s="4"/>
      <c r="L211" s="4"/>
      <c r="M211" s="4"/>
      <c r="N211" s="4"/>
      <c r="O211" s="4"/>
      <c r="P211" s="4"/>
      <c r="Q211" s="4"/>
    </row>
    <row r="212" spans="1:17" ht="38.25" x14ac:dyDescent="0.2">
      <c r="A212" s="1">
        <f t="shared" ca="1" si="6"/>
        <v>210</v>
      </c>
      <c r="B212" s="1" t="s">
        <v>3634</v>
      </c>
      <c r="C212" s="82" t="s">
        <v>1800</v>
      </c>
      <c r="D212" s="4"/>
      <c r="E212" s="4"/>
      <c r="F212" s="71"/>
      <c r="G212" s="4"/>
      <c r="H212" s="4"/>
      <c r="I212" s="4" t="s">
        <v>204</v>
      </c>
      <c r="J212" s="4" t="s">
        <v>6351</v>
      </c>
      <c r="K212" s="4"/>
      <c r="L212" s="4"/>
      <c r="M212" s="4"/>
      <c r="N212" s="4"/>
      <c r="O212" s="4"/>
      <c r="P212" s="4"/>
      <c r="Q212" s="4"/>
    </row>
    <row r="213" spans="1:17" ht="25.5" x14ac:dyDescent="0.2">
      <c r="A213" s="1">
        <f t="shared" ca="1" si="6"/>
        <v>211</v>
      </c>
      <c r="B213" s="1" t="s">
        <v>3635</v>
      </c>
      <c r="C213" s="82" t="s">
        <v>1038</v>
      </c>
      <c r="D213" s="4"/>
      <c r="E213" s="4"/>
      <c r="F213" s="71"/>
      <c r="G213" s="4"/>
      <c r="H213" s="4"/>
      <c r="I213" s="4" t="s">
        <v>205</v>
      </c>
      <c r="J213" s="4" t="s">
        <v>6352</v>
      </c>
      <c r="K213" s="4"/>
      <c r="L213" s="4"/>
      <c r="M213" s="4"/>
      <c r="N213" s="4"/>
      <c r="O213" s="4"/>
      <c r="P213" s="4"/>
      <c r="Q213" s="4"/>
    </row>
    <row r="214" spans="1:17" ht="38.25" x14ac:dyDescent="0.2">
      <c r="A214" s="1">
        <f t="shared" ca="1" si="6"/>
        <v>212</v>
      </c>
      <c r="B214" s="1" t="s">
        <v>3636</v>
      </c>
      <c r="C214" s="82" t="s">
        <v>1039</v>
      </c>
      <c r="D214" s="4"/>
      <c r="E214" s="4"/>
      <c r="F214" s="71"/>
      <c r="G214" s="4"/>
      <c r="H214" s="4"/>
      <c r="I214" s="4" t="s">
        <v>206</v>
      </c>
      <c r="J214" s="4" t="s">
        <v>6353</v>
      </c>
      <c r="K214" s="4"/>
      <c r="L214" s="4"/>
      <c r="M214" s="4"/>
      <c r="N214" s="4"/>
      <c r="O214" s="4"/>
      <c r="P214" s="4"/>
      <c r="Q214" s="4"/>
    </row>
    <row r="215" spans="1:17" ht="38.25" x14ac:dyDescent="0.2">
      <c r="A215" s="1">
        <f t="shared" ca="1" si="6"/>
        <v>213</v>
      </c>
      <c r="B215" s="1" t="s">
        <v>3575</v>
      </c>
      <c r="C215" s="82" t="s">
        <v>1040</v>
      </c>
      <c r="D215" s="4"/>
      <c r="E215" s="4"/>
      <c r="F215" s="71"/>
      <c r="G215" s="4"/>
      <c r="H215" s="4"/>
      <c r="I215" s="4" t="s">
        <v>207</v>
      </c>
      <c r="J215" s="4"/>
      <c r="K215" s="4"/>
      <c r="L215" s="4"/>
      <c r="M215" s="4"/>
      <c r="N215" s="4"/>
      <c r="O215" s="4"/>
      <c r="P215" s="4"/>
      <c r="Q215" s="4"/>
    </row>
    <row r="216" spans="1:17" ht="51" x14ac:dyDescent="0.2">
      <c r="A216" s="1">
        <f t="shared" ca="1" si="6"/>
        <v>214</v>
      </c>
      <c r="B216" s="1" t="s">
        <v>3576</v>
      </c>
      <c r="C216" s="82" t="s">
        <v>7106</v>
      </c>
      <c r="D216" s="4"/>
      <c r="E216" s="4"/>
      <c r="F216" s="71"/>
      <c r="G216" s="4"/>
      <c r="H216" s="4"/>
      <c r="I216" s="4" t="s">
        <v>208</v>
      </c>
      <c r="J216" s="4"/>
      <c r="K216" s="4"/>
      <c r="L216" s="4"/>
      <c r="M216" s="4"/>
      <c r="N216" s="4"/>
      <c r="O216" s="4"/>
      <c r="P216" s="4"/>
      <c r="Q216" s="4"/>
    </row>
    <row r="217" spans="1:17" ht="38.25" x14ac:dyDescent="0.2">
      <c r="A217" s="1">
        <f t="shared" ca="1" si="6"/>
        <v>215</v>
      </c>
      <c r="B217" s="1" t="s">
        <v>3577</v>
      </c>
      <c r="C217" s="82" t="s">
        <v>7202</v>
      </c>
      <c r="D217" s="4"/>
      <c r="E217" s="4"/>
      <c r="F217" s="71"/>
      <c r="G217" s="4"/>
      <c r="H217" s="4"/>
      <c r="I217" s="4" t="s">
        <v>209</v>
      </c>
      <c r="J217" s="4" t="s">
        <v>6354</v>
      </c>
      <c r="K217" s="4"/>
      <c r="L217" s="4"/>
      <c r="M217" s="4"/>
      <c r="N217" s="4"/>
      <c r="O217" s="4"/>
      <c r="P217" s="4"/>
      <c r="Q217" s="4"/>
    </row>
    <row r="218" spans="1:17" ht="25.5" x14ac:dyDescent="0.2">
      <c r="A218" s="1">
        <f t="shared" ca="1" si="6"/>
        <v>216</v>
      </c>
      <c r="B218" s="1" t="s">
        <v>3578</v>
      </c>
      <c r="C218" s="82" t="s">
        <v>1041</v>
      </c>
      <c r="D218" s="4"/>
      <c r="E218" s="4"/>
      <c r="F218" s="71"/>
      <c r="G218" s="4"/>
      <c r="H218" s="4"/>
      <c r="I218" s="4" t="s">
        <v>210</v>
      </c>
      <c r="J218" s="4"/>
      <c r="K218" s="4"/>
      <c r="L218" s="4"/>
      <c r="M218" s="4"/>
      <c r="N218" s="4"/>
      <c r="O218" s="4"/>
      <c r="P218" s="4"/>
      <c r="Q218" s="4"/>
    </row>
    <row r="219" spans="1:17" ht="51" x14ac:dyDescent="0.2">
      <c r="A219" s="1">
        <f t="shared" ca="1" si="6"/>
        <v>217</v>
      </c>
      <c r="B219" s="1" t="s">
        <v>5159</v>
      </c>
      <c r="C219" s="82" t="s">
        <v>7204</v>
      </c>
      <c r="D219" s="4"/>
      <c r="E219" s="4"/>
      <c r="F219" s="71"/>
      <c r="G219" s="4"/>
      <c r="H219" s="4"/>
      <c r="I219" s="4" t="s">
        <v>211</v>
      </c>
      <c r="J219" s="4"/>
      <c r="K219" s="4"/>
      <c r="L219" s="4"/>
      <c r="M219" s="4"/>
      <c r="N219" s="4"/>
      <c r="O219" s="4"/>
      <c r="P219" s="4"/>
      <c r="Q219" s="4"/>
    </row>
    <row r="220" spans="1:17" ht="38.25" x14ac:dyDescent="0.2">
      <c r="A220" s="1">
        <f t="shared" ca="1" si="6"/>
        <v>218</v>
      </c>
      <c r="B220" s="1" t="s">
        <v>5160</v>
      </c>
      <c r="C220" s="82" t="s">
        <v>1042</v>
      </c>
      <c r="D220" s="4"/>
      <c r="E220" s="4"/>
      <c r="F220" s="71"/>
      <c r="G220" s="4"/>
      <c r="H220" s="4"/>
      <c r="I220" s="4" t="s">
        <v>212</v>
      </c>
      <c r="J220" s="4"/>
      <c r="K220" s="4"/>
      <c r="L220" s="4"/>
      <c r="M220" s="4"/>
      <c r="N220" s="4"/>
      <c r="O220" s="4"/>
      <c r="P220" s="4"/>
      <c r="Q220" s="4"/>
    </row>
    <row r="221" spans="1:17" ht="25.5" x14ac:dyDescent="0.2">
      <c r="A221" s="1">
        <f t="shared" ca="1" si="6"/>
        <v>219</v>
      </c>
      <c r="B221" s="1" t="s">
        <v>6064</v>
      </c>
      <c r="C221" s="82" t="s">
        <v>1043</v>
      </c>
      <c r="D221" s="4"/>
      <c r="E221" s="4"/>
      <c r="F221" s="71"/>
      <c r="G221" s="4"/>
      <c r="H221" s="4"/>
      <c r="I221" s="4" t="s">
        <v>213</v>
      </c>
      <c r="J221" s="4"/>
      <c r="K221" s="4"/>
      <c r="L221" s="4"/>
      <c r="M221" s="4"/>
      <c r="N221" s="4"/>
      <c r="O221" s="4"/>
      <c r="P221" s="4"/>
      <c r="Q221" s="4"/>
    </row>
    <row r="222" spans="1:17" ht="38.25" x14ac:dyDescent="0.2">
      <c r="A222" s="1">
        <f t="shared" ca="1" si="6"/>
        <v>220</v>
      </c>
      <c r="B222" s="1" t="s">
        <v>6065</v>
      </c>
      <c r="C222" s="82" t="s">
        <v>1031</v>
      </c>
      <c r="D222" s="4"/>
      <c r="E222" s="4"/>
      <c r="F222" s="71"/>
      <c r="G222" s="4"/>
      <c r="H222" s="4"/>
      <c r="I222" s="4" t="s">
        <v>214</v>
      </c>
      <c r="J222" s="4"/>
      <c r="K222" s="4"/>
      <c r="L222" s="4"/>
      <c r="M222" s="4"/>
      <c r="N222" s="4"/>
      <c r="O222" s="4"/>
      <c r="P222" s="4"/>
      <c r="Q222" s="4"/>
    </row>
    <row r="223" spans="1:17" ht="38.25" x14ac:dyDescent="0.2">
      <c r="A223" s="1">
        <f t="shared" ca="1" si="6"/>
        <v>221</v>
      </c>
      <c r="B223" s="1" t="s">
        <v>5380</v>
      </c>
      <c r="C223" s="118" t="s">
        <v>1032</v>
      </c>
      <c r="D223" s="4"/>
      <c r="E223" s="4"/>
      <c r="F223" s="71"/>
      <c r="G223" s="4"/>
      <c r="H223" s="4"/>
      <c r="I223" s="4" t="s">
        <v>215</v>
      </c>
      <c r="J223" s="4"/>
      <c r="K223" s="4"/>
      <c r="L223" s="4"/>
      <c r="M223" s="4"/>
      <c r="N223" s="4"/>
      <c r="O223" s="4"/>
      <c r="P223" s="4"/>
      <c r="Q223" s="4"/>
    </row>
    <row r="224" spans="1:17" ht="25.5" x14ac:dyDescent="0.2">
      <c r="A224" s="1">
        <f t="shared" ca="1" si="6"/>
        <v>222</v>
      </c>
      <c r="B224" s="1" t="s">
        <v>5381</v>
      </c>
      <c r="C224" s="118" t="s">
        <v>1033</v>
      </c>
      <c r="D224" s="4"/>
      <c r="E224" s="4"/>
      <c r="F224" s="71"/>
      <c r="G224" s="4"/>
      <c r="H224" s="4"/>
      <c r="I224" s="4" t="s">
        <v>216</v>
      </c>
      <c r="J224" s="4"/>
      <c r="K224" s="4"/>
      <c r="L224" s="4"/>
      <c r="M224" s="4"/>
      <c r="N224" s="4"/>
      <c r="O224" s="4"/>
      <c r="P224" s="4"/>
      <c r="Q224" s="4"/>
    </row>
    <row r="225" spans="1:17" ht="25.5" x14ac:dyDescent="0.2">
      <c r="A225" s="1">
        <f t="shared" ca="1" si="6"/>
        <v>223</v>
      </c>
      <c r="B225" s="1" t="s">
        <v>4736</v>
      </c>
      <c r="C225" s="82" t="s">
        <v>7107</v>
      </c>
      <c r="D225" s="4"/>
      <c r="E225" s="4"/>
      <c r="F225" s="71"/>
      <c r="G225" s="4"/>
      <c r="H225" s="4"/>
      <c r="I225" s="4" t="s">
        <v>217</v>
      </c>
      <c r="J225" s="4"/>
      <c r="K225" s="4"/>
      <c r="L225" s="4"/>
      <c r="M225" s="4"/>
      <c r="N225" s="4"/>
      <c r="O225" s="4"/>
      <c r="P225" s="4"/>
      <c r="Q225" s="4"/>
    </row>
    <row r="226" spans="1:17" ht="38.25" x14ac:dyDescent="0.2">
      <c r="A226" s="1">
        <f t="shared" ca="1" si="6"/>
        <v>224</v>
      </c>
      <c r="B226" s="1" t="s">
        <v>4737</v>
      </c>
      <c r="C226" s="82" t="s">
        <v>7108</v>
      </c>
      <c r="D226" s="4"/>
      <c r="E226" s="4"/>
      <c r="F226" s="71"/>
      <c r="G226" s="4"/>
      <c r="H226" s="4"/>
      <c r="I226" s="4" t="s">
        <v>218</v>
      </c>
      <c r="J226" s="4"/>
      <c r="K226" s="4"/>
      <c r="L226" s="4"/>
      <c r="M226" s="4"/>
      <c r="N226" s="4"/>
      <c r="O226" s="4"/>
      <c r="P226" s="4"/>
      <c r="Q226" s="4"/>
    </row>
    <row r="227" spans="1:17" ht="25.5" x14ac:dyDescent="0.2">
      <c r="A227" s="1">
        <f t="shared" ca="1" si="6"/>
        <v>225</v>
      </c>
      <c r="B227" s="1" t="s">
        <v>4738</v>
      </c>
      <c r="C227" s="82" t="s">
        <v>7205</v>
      </c>
      <c r="D227" s="4"/>
      <c r="E227" s="4"/>
      <c r="F227" s="71"/>
      <c r="G227" s="4"/>
      <c r="H227" s="4"/>
      <c r="I227" s="4" t="s">
        <v>218</v>
      </c>
      <c r="J227" s="4"/>
      <c r="K227" s="4"/>
      <c r="L227" s="4"/>
      <c r="M227" s="4"/>
      <c r="N227" s="4"/>
      <c r="O227" s="4"/>
      <c r="P227" s="4"/>
      <c r="Q227" s="4"/>
    </row>
    <row r="228" spans="1:17" x14ac:dyDescent="0.2">
      <c r="A228" s="1">
        <f t="shared" ca="1" si="6"/>
        <v>226</v>
      </c>
      <c r="B228" s="1" t="s">
        <v>4739</v>
      </c>
      <c r="C228" s="82" t="s">
        <v>6199</v>
      </c>
      <c r="D228" s="4"/>
      <c r="E228" s="4"/>
      <c r="F228" s="71"/>
      <c r="G228" s="4"/>
      <c r="H228" s="4"/>
      <c r="I228" s="4" t="s">
        <v>219</v>
      </c>
      <c r="J228" s="4"/>
      <c r="K228" s="4"/>
      <c r="L228" s="4"/>
      <c r="M228" s="4"/>
      <c r="N228" s="4"/>
      <c r="O228" s="4"/>
      <c r="P228" s="4"/>
      <c r="Q228" s="4"/>
    </row>
    <row r="229" spans="1:17" x14ac:dyDescent="0.2">
      <c r="A229" s="1">
        <f t="shared" ca="1" si="6"/>
        <v>227</v>
      </c>
      <c r="B229" s="1" t="s">
        <v>2813</v>
      </c>
      <c r="C229" s="91" t="s">
        <v>7109</v>
      </c>
      <c r="D229" s="4"/>
      <c r="E229" s="4"/>
      <c r="F229" s="71"/>
      <c r="G229" s="4"/>
      <c r="H229" s="4"/>
      <c r="I229" s="4" t="s">
        <v>220</v>
      </c>
      <c r="J229" s="4"/>
      <c r="K229" s="4"/>
      <c r="L229" s="4"/>
      <c r="M229" s="4"/>
      <c r="N229" s="4"/>
      <c r="O229" s="4"/>
      <c r="P229" s="4"/>
      <c r="Q229" s="4"/>
    </row>
    <row r="230" spans="1:17" x14ac:dyDescent="0.2">
      <c r="A230" s="1">
        <f t="shared" ca="1" si="6"/>
        <v>228</v>
      </c>
      <c r="B230" s="1" t="s">
        <v>4740</v>
      </c>
      <c r="C230" s="82" t="s">
        <v>6200</v>
      </c>
      <c r="D230" s="4"/>
      <c r="E230" s="4"/>
      <c r="F230" s="71"/>
      <c r="G230" s="4"/>
      <c r="H230" s="4"/>
      <c r="I230" s="4" t="s">
        <v>221</v>
      </c>
      <c r="J230" s="4" t="s">
        <v>6355</v>
      </c>
      <c r="K230" s="4"/>
      <c r="L230" s="4"/>
      <c r="M230" s="4"/>
      <c r="N230" s="4"/>
      <c r="O230" s="4"/>
      <c r="P230" s="4"/>
      <c r="Q230" s="4"/>
    </row>
    <row r="231" spans="1:17" ht="25.5" x14ac:dyDescent="0.2">
      <c r="A231" s="1">
        <f t="shared" ca="1" si="6"/>
        <v>229</v>
      </c>
      <c r="B231" s="1" t="s">
        <v>4741</v>
      </c>
      <c r="C231" s="82" t="s">
        <v>6201</v>
      </c>
      <c r="D231" s="4"/>
      <c r="E231" s="4"/>
      <c r="F231" s="71"/>
      <c r="G231" s="4"/>
      <c r="H231" s="4"/>
      <c r="I231" s="4" t="s">
        <v>222</v>
      </c>
      <c r="J231" s="4"/>
      <c r="K231" s="4"/>
      <c r="L231" s="4"/>
      <c r="M231" s="4"/>
      <c r="N231" s="4"/>
      <c r="O231" s="4"/>
      <c r="P231" s="4"/>
      <c r="Q231" s="4"/>
    </row>
    <row r="232" spans="1:17" ht="38.25" x14ac:dyDescent="0.2">
      <c r="A232" s="1">
        <f t="shared" ca="1" si="6"/>
        <v>230</v>
      </c>
      <c r="B232" s="1" t="s">
        <v>4742</v>
      </c>
      <c r="C232" s="82" t="s">
        <v>6202</v>
      </c>
      <c r="D232" s="4"/>
      <c r="E232" s="4"/>
      <c r="F232" s="71"/>
      <c r="G232" s="4"/>
      <c r="H232" s="4"/>
      <c r="I232" s="4" t="s">
        <v>223</v>
      </c>
      <c r="J232" s="4"/>
      <c r="K232" s="4"/>
      <c r="L232" s="4"/>
      <c r="M232" s="4"/>
      <c r="N232" s="4"/>
      <c r="O232" s="4"/>
      <c r="P232" s="4"/>
      <c r="Q232" s="4"/>
    </row>
    <row r="233" spans="1:17" ht="25.5" x14ac:dyDescent="0.2">
      <c r="A233" s="1">
        <f t="shared" ca="1" si="6"/>
        <v>231</v>
      </c>
      <c r="B233" s="1" t="s">
        <v>4743</v>
      </c>
      <c r="C233" s="82" t="s">
        <v>4029</v>
      </c>
      <c r="D233" s="4"/>
      <c r="E233" s="4"/>
      <c r="F233" s="71"/>
      <c r="G233" s="4"/>
      <c r="H233" s="4"/>
      <c r="I233" s="4" t="s">
        <v>224</v>
      </c>
      <c r="J233" s="4"/>
      <c r="K233" s="4"/>
      <c r="L233" s="4"/>
      <c r="M233" s="4"/>
      <c r="N233" s="4"/>
      <c r="O233" s="4"/>
      <c r="P233" s="4"/>
      <c r="Q233" s="4"/>
    </row>
    <row r="234" spans="1:17" x14ac:dyDescent="0.2">
      <c r="A234" s="1">
        <f t="shared" ca="1" si="6"/>
        <v>232</v>
      </c>
      <c r="B234" s="1" t="s">
        <v>4744</v>
      </c>
      <c r="C234" s="82" t="s">
        <v>4030</v>
      </c>
      <c r="D234" s="4"/>
      <c r="E234" s="4"/>
      <c r="F234" s="71"/>
      <c r="G234" s="4"/>
      <c r="H234" s="4"/>
      <c r="I234" s="4" t="s">
        <v>225</v>
      </c>
      <c r="J234" s="4" t="s">
        <v>6356</v>
      </c>
      <c r="K234" s="4"/>
      <c r="L234" s="4"/>
      <c r="M234" s="4"/>
      <c r="N234" s="4"/>
      <c r="O234" s="4"/>
      <c r="P234" s="4"/>
      <c r="Q234" s="4"/>
    </row>
    <row r="235" spans="1:17" x14ac:dyDescent="0.2">
      <c r="A235" s="1">
        <f t="shared" ca="1" si="6"/>
        <v>233</v>
      </c>
      <c r="B235" s="1" t="s">
        <v>4745</v>
      </c>
      <c r="C235" s="95" t="s">
        <v>546</v>
      </c>
      <c r="D235" s="4"/>
      <c r="E235" s="4"/>
      <c r="F235" s="71"/>
      <c r="G235" s="4"/>
      <c r="H235" s="4"/>
      <c r="I235" s="4" t="s">
        <v>226</v>
      </c>
      <c r="J235" s="4" t="s">
        <v>6357</v>
      </c>
      <c r="K235" s="4"/>
      <c r="L235" s="4"/>
      <c r="M235" s="4"/>
      <c r="N235" s="4"/>
      <c r="O235" s="4"/>
      <c r="P235" s="4"/>
      <c r="Q235" s="4"/>
    </row>
    <row r="236" spans="1:17" ht="38.25" x14ac:dyDescent="0.2">
      <c r="A236" s="1">
        <f t="shared" ca="1" si="6"/>
        <v>234</v>
      </c>
      <c r="B236" s="1" t="s">
        <v>2571</v>
      </c>
      <c r="C236" s="82" t="s">
        <v>3971</v>
      </c>
      <c r="D236" s="4"/>
      <c r="E236" s="4"/>
      <c r="F236" s="71"/>
      <c r="G236" s="4"/>
      <c r="H236" s="4"/>
      <c r="I236" s="82" t="s">
        <v>5188</v>
      </c>
      <c r="J236" s="4"/>
      <c r="K236" s="4"/>
      <c r="L236" s="4"/>
      <c r="M236" s="4"/>
      <c r="N236" s="4"/>
      <c r="O236" s="4"/>
      <c r="P236" s="4"/>
      <c r="Q236" s="4"/>
    </row>
    <row r="237" spans="1:17" ht="51" x14ac:dyDescent="0.2">
      <c r="A237" s="1">
        <f t="shared" ca="1" si="6"/>
        <v>235</v>
      </c>
      <c r="B237" s="1" t="s">
        <v>2572</v>
      </c>
      <c r="C237" s="82" t="s">
        <v>3972</v>
      </c>
      <c r="D237" s="4"/>
      <c r="E237" s="4"/>
      <c r="F237" s="71"/>
      <c r="G237" s="4"/>
      <c r="H237" s="4"/>
      <c r="I237" s="82" t="s">
        <v>5953</v>
      </c>
      <c r="J237" s="4"/>
      <c r="K237" s="4"/>
      <c r="L237" s="4"/>
      <c r="M237" s="4"/>
      <c r="N237" s="4"/>
      <c r="O237" s="4"/>
      <c r="P237" s="4"/>
      <c r="Q237" s="4"/>
    </row>
    <row r="238" spans="1:17" ht="51" x14ac:dyDescent="0.2">
      <c r="A238" s="1">
        <f t="shared" ca="1" si="6"/>
        <v>236</v>
      </c>
      <c r="B238" s="1" t="s">
        <v>2573</v>
      </c>
      <c r="C238" s="82" t="s">
        <v>3973</v>
      </c>
      <c r="D238" s="4"/>
      <c r="E238" s="4"/>
      <c r="F238" s="71"/>
      <c r="G238" s="4"/>
      <c r="H238" s="4"/>
      <c r="I238" s="82" t="s">
        <v>5954</v>
      </c>
      <c r="J238" s="4"/>
      <c r="K238" s="4"/>
      <c r="L238" s="4"/>
      <c r="M238" s="4"/>
      <c r="N238" s="4"/>
      <c r="O238" s="4"/>
      <c r="P238" s="4"/>
      <c r="Q238" s="4"/>
    </row>
    <row r="239" spans="1:17" ht="51" x14ac:dyDescent="0.2">
      <c r="A239" s="1">
        <f t="shared" ca="1" si="6"/>
        <v>237</v>
      </c>
      <c r="B239" s="1" t="s">
        <v>2574</v>
      </c>
      <c r="C239" s="82" t="s">
        <v>3974</v>
      </c>
      <c r="D239" s="4"/>
      <c r="E239" s="4"/>
      <c r="F239" s="71"/>
      <c r="G239" s="4"/>
      <c r="H239" s="4"/>
      <c r="I239" s="82" t="s">
        <v>5955</v>
      </c>
      <c r="J239" s="4"/>
      <c r="K239" s="4"/>
      <c r="L239" s="4"/>
      <c r="M239" s="4"/>
      <c r="N239" s="4"/>
      <c r="O239" s="4"/>
      <c r="P239" s="4"/>
      <c r="Q239" s="4"/>
    </row>
    <row r="240" spans="1:17" ht="51" x14ac:dyDescent="0.2">
      <c r="A240" s="1">
        <f t="shared" ca="1" si="6"/>
        <v>238</v>
      </c>
      <c r="B240" s="1" t="s">
        <v>3089</v>
      </c>
      <c r="C240" s="82" t="s">
        <v>8402</v>
      </c>
      <c r="D240" s="4"/>
      <c r="E240" s="4"/>
      <c r="F240" s="71"/>
      <c r="G240" s="4"/>
      <c r="H240" s="4"/>
      <c r="I240" s="82" t="s">
        <v>5956</v>
      </c>
      <c r="J240" s="4"/>
      <c r="K240" s="4"/>
      <c r="L240" s="4"/>
      <c r="M240" s="4"/>
      <c r="N240" s="4"/>
      <c r="O240" s="4"/>
      <c r="P240" s="4"/>
      <c r="Q240" s="4"/>
    </row>
    <row r="241" spans="1:17" ht="51" x14ac:dyDescent="0.2">
      <c r="A241" s="1">
        <f t="shared" ca="1" si="6"/>
        <v>239</v>
      </c>
      <c r="B241" s="1" t="s">
        <v>3090</v>
      </c>
      <c r="C241" s="82" t="s">
        <v>8403</v>
      </c>
      <c r="D241" s="4"/>
      <c r="E241" s="4"/>
      <c r="F241" s="71"/>
      <c r="G241" s="4"/>
      <c r="H241" s="4"/>
      <c r="I241" s="82" t="s">
        <v>2112</v>
      </c>
      <c r="J241" s="4"/>
      <c r="K241" s="4"/>
      <c r="L241" s="4"/>
      <c r="M241" s="4"/>
      <c r="N241" s="4"/>
      <c r="O241" s="4"/>
      <c r="P241" s="4"/>
      <c r="Q241" s="4"/>
    </row>
    <row r="242" spans="1:17" ht="25.5" x14ac:dyDescent="0.2">
      <c r="A242" s="1">
        <f t="shared" ca="1" si="6"/>
        <v>240</v>
      </c>
      <c r="B242" s="1" t="s">
        <v>1581</v>
      </c>
      <c r="C242" s="82" t="s">
        <v>7206</v>
      </c>
      <c r="D242" s="4"/>
      <c r="E242" s="4"/>
      <c r="F242" s="71"/>
      <c r="G242" s="4"/>
      <c r="H242" s="4"/>
      <c r="I242" s="82" t="s">
        <v>2113</v>
      </c>
      <c r="J242" s="4"/>
      <c r="K242" s="4"/>
      <c r="L242" s="4"/>
      <c r="M242" s="4"/>
      <c r="N242" s="4"/>
      <c r="O242" s="4"/>
      <c r="P242" s="4"/>
      <c r="Q242" s="4"/>
    </row>
    <row r="243" spans="1:17" ht="38.25" x14ac:dyDescent="0.2">
      <c r="A243" s="1">
        <f t="shared" ca="1" si="6"/>
        <v>241</v>
      </c>
      <c r="B243" s="1" t="s">
        <v>1582</v>
      </c>
      <c r="C243" s="82" t="s">
        <v>8404</v>
      </c>
      <c r="D243" s="4"/>
      <c r="E243" s="4"/>
      <c r="F243" s="71"/>
      <c r="G243" s="4"/>
      <c r="H243" s="4"/>
      <c r="I243" s="82" t="s">
        <v>2114</v>
      </c>
      <c r="J243" s="4"/>
      <c r="K243" s="4"/>
      <c r="L243" s="4"/>
      <c r="M243" s="4"/>
      <c r="N243" s="4"/>
      <c r="O243" s="4"/>
      <c r="P243" s="4"/>
      <c r="Q243" s="4"/>
    </row>
    <row r="244" spans="1:17" ht="38.25" x14ac:dyDescent="0.2">
      <c r="A244" s="1">
        <f t="shared" ca="1" si="6"/>
        <v>242</v>
      </c>
      <c r="B244" s="1" t="s">
        <v>3160</v>
      </c>
      <c r="C244" s="82" t="s">
        <v>7207</v>
      </c>
      <c r="D244" s="4"/>
      <c r="E244" s="4"/>
      <c r="F244" s="71"/>
      <c r="G244" s="4"/>
      <c r="H244" s="4"/>
      <c r="I244" s="82" t="s">
        <v>2115</v>
      </c>
      <c r="J244" s="4"/>
      <c r="K244" s="4"/>
      <c r="L244" s="4"/>
      <c r="M244" s="4"/>
      <c r="N244" s="4"/>
      <c r="O244" s="4"/>
      <c r="P244" s="4"/>
      <c r="Q244" s="4"/>
    </row>
    <row r="245" spans="1:17" ht="51" x14ac:dyDescent="0.2">
      <c r="A245" s="1">
        <f t="shared" ca="1" si="6"/>
        <v>243</v>
      </c>
      <c r="B245" s="1" t="s">
        <v>3161</v>
      </c>
      <c r="C245" s="82" t="s">
        <v>8405</v>
      </c>
      <c r="D245" s="4"/>
      <c r="E245" s="4"/>
      <c r="F245" s="71"/>
      <c r="G245" s="4"/>
      <c r="H245" s="4"/>
      <c r="I245" s="82" t="s">
        <v>3782</v>
      </c>
      <c r="J245" s="4"/>
      <c r="K245" s="4"/>
      <c r="L245" s="4"/>
      <c r="M245" s="4"/>
      <c r="N245" s="4"/>
      <c r="O245" s="4"/>
      <c r="P245" s="4"/>
      <c r="Q245" s="4"/>
    </row>
    <row r="246" spans="1:17" ht="38.25" x14ac:dyDescent="0.2">
      <c r="A246" s="1">
        <f t="shared" ca="1" si="6"/>
        <v>244</v>
      </c>
      <c r="B246" s="1" t="s">
        <v>3162</v>
      </c>
      <c r="C246" s="82" t="s">
        <v>4157</v>
      </c>
      <c r="D246" s="4"/>
      <c r="E246" s="4"/>
      <c r="F246" s="71"/>
      <c r="G246" s="4"/>
      <c r="H246" s="4"/>
      <c r="I246" s="82" t="s">
        <v>3783</v>
      </c>
      <c r="J246" s="4"/>
      <c r="K246" s="4"/>
      <c r="L246" s="4"/>
      <c r="M246" s="4"/>
      <c r="N246" s="4"/>
      <c r="O246" s="4"/>
      <c r="P246" s="4"/>
      <c r="Q246" s="4"/>
    </row>
    <row r="247" spans="1:17" ht="51" x14ac:dyDescent="0.2">
      <c r="A247" s="1">
        <f t="shared" ca="1" si="6"/>
        <v>245</v>
      </c>
      <c r="B247" s="1" t="s">
        <v>1399</v>
      </c>
      <c r="C247" s="82" t="s">
        <v>4223</v>
      </c>
      <c r="D247" s="4"/>
      <c r="E247" s="4"/>
      <c r="F247" s="71"/>
      <c r="G247" s="4"/>
      <c r="H247" s="4"/>
      <c r="I247" s="82" t="s">
        <v>3784</v>
      </c>
      <c r="J247" s="4"/>
      <c r="K247" s="4"/>
      <c r="L247" s="4"/>
      <c r="M247" s="4"/>
      <c r="N247" s="4"/>
      <c r="O247" s="4"/>
      <c r="P247" s="4"/>
      <c r="Q247" s="4"/>
    </row>
    <row r="248" spans="1:17" ht="38.25" x14ac:dyDescent="0.2">
      <c r="A248" s="1">
        <f t="shared" ca="1" si="6"/>
        <v>246</v>
      </c>
      <c r="B248" s="1" t="s">
        <v>1400</v>
      </c>
      <c r="C248" s="82" t="s">
        <v>8406</v>
      </c>
      <c r="D248" s="4"/>
      <c r="E248" s="4"/>
      <c r="F248" s="71"/>
      <c r="G248" s="4"/>
      <c r="H248" s="4"/>
      <c r="I248" s="82" t="s">
        <v>3785</v>
      </c>
      <c r="J248" s="4"/>
      <c r="K248" s="4"/>
      <c r="L248" s="4"/>
      <c r="M248" s="4"/>
      <c r="N248" s="4"/>
      <c r="O248" s="4"/>
      <c r="P248" s="4"/>
      <c r="Q248" s="4"/>
    </row>
    <row r="249" spans="1:17" ht="51" x14ac:dyDescent="0.2">
      <c r="A249" s="1">
        <f t="shared" ca="1" si="6"/>
        <v>247</v>
      </c>
      <c r="B249" s="1" t="s">
        <v>1079</v>
      </c>
      <c r="C249" s="82" t="s">
        <v>3933</v>
      </c>
      <c r="D249" s="4"/>
      <c r="E249" s="4"/>
      <c r="F249" s="71"/>
      <c r="G249" s="4"/>
      <c r="H249" s="4"/>
      <c r="I249" s="82" t="s">
        <v>1479</v>
      </c>
      <c r="J249" s="4"/>
      <c r="K249" s="4"/>
      <c r="L249" s="4"/>
      <c r="M249" s="4"/>
      <c r="N249" s="4"/>
      <c r="O249" s="4"/>
      <c r="P249" s="4"/>
      <c r="Q249" s="4"/>
    </row>
    <row r="250" spans="1:17" ht="25.5" x14ac:dyDescent="0.2">
      <c r="A250" s="1">
        <f t="shared" ca="1" si="6"/>
        <v>248</v>
      </c>
      <c r="B250" s="1" t="s">
        <v>1080</v>
      </c>
      <c r="C250" s="82" t="s">
        <v>4155</v>
      </c>
      <c r="D250" s="4"/>
      <c r="E250" s="4"/>
      <c r="F250" s="71"/>
      <c r="G250" s="4"/>
      <c r="H250" s="4"/>
      <c r="I250" s="82" t="s">
        <v>1480</v>
      </c>
      <c r="J250" s="4"/>
      <c r="K250" s="4"/>
      <c r="L250" s="4"/>
      <c r="M250" s="4"/>
      <c r="N250" s="4"/>
      <c r="O250" s="4"/>
      <c r="P250" s="4"/>
      <c r="Q250" s="4"/>
    </row>
    <row r="251" spans="1:17" ht="51" x14ac:dyDescent="0.2">
      <c r="A251" s="1">
        <f t="shared" ca="1" si="6"/>
        <v>249</v>
      </c>
      <c r="B251" s="1" t="s">
        <v>1081</v>
      </c>
      <c r="C251" s="82" t="s">
        <v>4156</v>
      </c>
      <c r="D251" s="4"/>
      <c r="E251" s="4"/>
      <c r="F251" s="71"/>
      <c r="G251" s="4"/>
      <c r="H251" s="4"/>
      <c r="I251" s="82" t="s">
        <v>1481</v>
      </c>
      <c r="J251" s="4"/>
      <c r="K251" s="4"/>
      <c r="L251" s="4"/>
      <c r="M251" s="4"/>
      <c r="N251" s="4"/>
      <c r="O251" s="4"/>
      <c r="P251" s="4"/>
      <c r="Q251" s="4"/>
    </row>
    <row r="252" spans="1:17" ht="38.25" x14ac:dyDescent="0.2">
      <c r="A252" s="1">
        <f t="shared" ca="1" si="6"/>
        <v>250</v>
      </c>
      <c r="B252" s="1" t="s">
        <v>7815</v>
      </c>
      <c r="C252" s="82" t="s">
        <v>8407</v>
      </c>
      <c r="D252" s="4"/>
      <c r="E252" s="4"/>
      <c r="F252" s="71"/>
      <c r="G252" s="4"/>
      <c r="H252" s="4"/>
      <c r="I252" s="82" t="s">
        <v>1482</v>
      </c>
      <c r="J252" s="4"/>
      <c r="K252" s="4"/>
      <c r="L252" s="4"/>
      <c r="M252" s="4"/>
      <c r="N252" s="4"/>
      <c r="O252" s="4"/>
      <c r="P252" s="4"/>
      <c r="Q252" s="4"/>
    </row>
    <row r="253" spans="1:17" ht="51" x14ac:dyDescent="0.2">
      <c r="A253" s="1">
        <f t="shared" ca="1" si="6"/>
        <v>251</v>
      </c>
      <c r="B253" s="1" t="s">
        <v>3110</v>
      </c>
      <c r="C253" s="82" t="s">
        <v>8408</v>
      </c>
      <c r="D253" s="4"/>
      <c r="E253" s="4"/>
      <c r="F253" s="71"/>
      <c r="G253" s="4"/>
      <c r="H253" s="4"/>
      <c r="I253" s="82" t="s">
        <v>1483</v>
      </c>
      <c r="J253" s="4"/>
      <c r="K253" s="4"/>
      <c r="L253" s="4"/>
      <c r="M253" s="4"/>
      <c r="N253" s="4"/>
      <c r="O253" s="4"/>
      <c r="P253" s="4"/>
      <c r="Q253" s="4"/>
    </row>
    <row r="254" spans="1:17" ht="38.25" x14ac:dyDescent="0.2">
      <c r="A254" s="1">
        <f t="shared" ca="1" si="6"/>
        <v>252</v>
      </c>
      <c r="B254" s="1" t="s">
        <v>84</v>
      </c>
      <c r="C254" s="82" t="s">
        <v>6493</v>
      </c>
      <c r="D254" s="4"/>
      <c r="E254" s="4"/>
      <c r="F254" s="71"/>
      <c r="G254" s="4"/>
      <c r="H254" s="4"/>
      <c r="I254" s="82" t="s">
        <v>1484</v>
      </c>
      <c r="J254" s="4"/>
      <c r="K254" s="4"/>
      <c r="L254" s="4"/>
      <c r="M254" s="4"/>
      <c r="N254" s="4"/>
      <c r="O254" s="4"/>
      <c r="P254" s="4"/>
      <c r="Q254" s="4"/>
    </row>
    <row r="255" spans="1:17" ht="38.25" x14ac:dyDescent="0.2">
      <c r="A255" s="1">
        <f t="shared" ca="1" si="6"/>
        <v>253</v>
      </c>
      <c r="B255" s="1" t="s">
        <v>85</v>
      </c>
      <c r="C255" s="82" t="s">
        <v>6494</v>
      </c>
      <c r="D255" s="4"/>
      <c r="E255" s="4"/>
      <c r="F255" s="71"/>
      <c r="G255" s="4"/>
      <c r="H255" s="4"/>
      <c r="I255" s="82" t="s">
        <v>1485</v>
      </c>
      <c r="J255" s="4"/>
      <c r="K255" s="4"/>
      <c r="L255" s="4"/>
      <c r="M255" s="4"/>
      <c r="N255" s="4"/>
      <c r="O255" s="4"/>
      <c r="P255" s="4"/>
      <c r="Q255" s="4"/>
    </row>
    <row r="256" spans="1:17" ht="63.75" x14ac:dyDescent="0.2">
      <c r="A256" s="1">
        <f t="shared" ca="1" si="6"/>
        <v>254</v>
      </c>
      <c r="B256" s="1" t="s">
        <v>1969</v>
      </c>
      <c r="C256" s="82" t="s">
        <v>7208</v>
      </c>
      <c r="D256" s="4"/>
      <c r="E256" s="4"/>
      <c r="F256" s="71"/>
      <c r="G256" s="4"/>
      <c r="H256" s="4"/>
      <c r="I256" s="82" t="s">
        <v>1486</v>
      </c>
      <c r="J256" s="4"/>
      <c r="K256" s="4"/>
      <c r="L256" s="4"/>
      <c r="M256" s="4"/>
      <c r="N256" s="4"/>
      <c r="O256" s="4"/>
      <c r="P256" s="4"/>
      <c r="Q256" s="4"/>
    </row>
    <row r="257" spans="1:17" ht="51" x14ac:dyDescent="0.2">
      <c r="A257" s="1">
        <f t="shared" ca="1" si="6"/>
        <v>255</v>
      </c>
      <c r="B257" s="1" t="s">
        <v>4168</v>
      </c>
      <c r="C257" s="82" t="s">
        <v>6495</v>
      </c>
      <c r="D257" s="4"/>
      <c r="E257" s="4"/>
      <c r="F257" s="71"/>
      <c r="G257" s="4"/>
      <c r="H257" s="4"/>
      <c r="I257" s="82" t="s">
        <v>1487</v>
      </c>
      <c r="J257" s="4"/>
      <c r="K257" s="4"/>
      <c r="L257" s="4"/>
      <c r="M257" s="4"/>
      <c r="N257" s="4"/>
      <c r="O257" s="4"/>
      <c r="P257" s="4"/>
      <c r="Q257" s="4"/>
    </row>
    <row r="258" spans="1:17" ht="38.25" x14ac:dyDescent="0.2">
      <c r="A258" s="1">
        <f t="shared" ca="1" si="6"/>
        <v>256</v>
      </c>
      <c r="B258" s="1" t="s">
        <v>4169</v>
      </c>
      <c r="C258" s="82" t="s">
        <v>6496</v>
      </c>
      <c r="D258" s="4"/>
      <c r="E258" s="4"/>
      <c r="F258" s="71"/>
      <c r="G258" s="4"/>
      <c r="H258" s="4"/>
      <c r="I258" s="82" t="s">
        <v>1488</v>
      </c>
      <c r="J258" s="4"/>
      <c r="K258" s="4"/>
      <c r="L258" s="4"/>
      <c r="M258" s="4"/>
      <c r="N258" s="4"/>
      <c r="O258" s="4"/>
      <c r="P258" s="4"/>
      <c r="Q258" s="4"/>
    </row>
    <row r="259" spans="1:17" ht="51" x14ac:dyDescent="0.2">
      <c r="A259" s="1">
        <f t="shared" ca="1" si="6"/>
        <v>257</v>
      </c>
      <c r="B259" s="1" t="s">
        <v>4170</v>
      </c>
      <c r="C259" s="82" t="s">
        <v>6497</v>
      </c>
      <c r="D259" s="4"/>
      <c r="E259" s="4"/>
      <c r="F259" s="71"/>
      <c r="G259" s="4"/>
      <c r="H259" s="4"/>
      <c r="I259" s="82" t="s">
        <v>1489</v>
      </c>
      <c r="J259" s="4"/>
      <c r="K259" s="4"/>
      <c r="L259" s="4"/>
      <c r="M259" s="4"/>
      <c r="N259" s="4"/>
      <c r="O259" s="4"/>
      <c r="P259" s="4"/>
      <c r="Q259" s="4"/>
    </row>
    <row r="260" spans="1:17" ht="38.25" x14ac:dyDescent="0.2">
      <c r="A260" s="1">
        <f t="shared" ca="1" si="6"/>
        <v>258</v>
      </c>
      <c r="B260" s="1" t="s">
        <v>4171</v>
      </c>
      <c r="C260" s="82" t="s">
        <v>4153</v>
      </c>
      <c r="D260" s="4"/>
      <c r="E260" s="4"/>
      <c r="F260" s="71"/>
      <c r="G260" s="4"/>
      <c r="H260" s="4"/>
      <c r="I260" s="82" t="s">
        <v>1490</v>
      </c>
      <c r="J260" s="4"/>
      <c r="K260" s="4"/>
      <c r="L260" s="4"/>
      <c r="M260" s="4"/>
      <c r="N260" s="4"/>
      <c r="O260" s="4"/>
      <c r="P260" s="4"/>
      <c r="Q260" s="4"/>
    </row>
    <row r="261" spans="1:17" ht="38.25" x14ac:dyDescent="0.2">
      <c r="A261" s="1">
        <f t="shared" ca="1" si="6"/>
        <v>259</v>
      </c>
      <c r="B261" s="1" t="s">
        <v>1951</v>
      </c>
      <c r="C261" s="82" t="s">
        <v>4154</v>
      </c>
      <c r="D261" s="4"/>
      <c r="E261" s="4"/>
      <c r="F261" s="71"/>
      <c r="G261" s="4"/>
      <c r="H261" s="4"/>
      <c r="I261" s="82" t="s">
        <v>1491</v>
      </c>
      <c r="J261" s="4"/>
      <c r="K261" s="4"/>
      <c r="L261" s="4"/>
      <c r="M261" s="4"/>
      <c r="N261" s="4"/>
      <c r="O261" s="4"/>
      <c r="P261" s="4"/>
      <c r="Q261" s="4"/>
    </row>
    <row r="262" spans="1:17" ht="38.25" x14ac:dyDescent="0.2">
      <c r="A262" s="1">
        <f t="shared" ca="1" si="6"/>
        <v>260</v>
      </c>
      <c r="B262" s="1" t="s">
        <v>1952</v>
      </c>
      <c r="C262" s="82" t="s">
        <v>5778</v>
      </c>
      <c r="D262" s="4"/>
      <c r="E262" s="4"/>
      <c r="F262" s="71"/>
      <c r="G262" s="4"/>
      <c r="H262" s="4"/>
      <c r="I262" s="82" t="s">
        <v>1492</v>
      </c>
      <c r="J262" s="4"/>
      <c r="K262" s="4"/>
      <c r="L262" s="4"/>
      <c r="M262" s="4"/>
      <c r="N262" s="4"/>
      <c r="O262" s="4"/>
      <c r="P262" s="4"/>
      <c r="Q262" s="4"/>
    </row>
    <row r="263" spans="1:17" ht="25.5" x14ac:dyDescent="0.2">
      <c r="A263" s="1">
        <f t="shared" ca="1" si="6"/>
        <v>261</v>
      </c>
      <c r="B263" s="1" t="s">
        <v>1953</v>
      </c>
      <c r="C263" s="82" t="s">
        <v>5779</v>
      </c>
      <c r="D263" s="4"/>
      <c r="E263" s="4"/>
      <c r="F263" s="71"/>
      <c r="G263" s="4"/>
      <c r="H263" s="4"/>
      <c r="I263" s="82" t="s">
        <v>1493</v>
      </c>
      <c r="J263" s="4"/>
      <c r="K263" s="4"/>
      <c r="L263" s="4"/>
      <c r="M263" s="4"/>
      <c r="N263" s="4"/>
      <c r="O263" s="4"/>
      <c r="P263" s="4"/>
      <c r="Q263" s="4"/>
    </row>
    <row r="264" spans="1:17" ht="51" x14ac:dyDescent="0.2">
      <c r="A264" s="1">
        <f t="shared" ca="1" si="6"/>
        <v>262</v>
      </c>
      <c r="B264" s="1" t="s">
        <v>5798</v>
      </c>
      <c r="C264" s="82" t="s">
        <v>3720</v>
      </c>
      <c r="D264" s="4"/>
      <c r="E264" s="4"/>
      <c r="F264" s="71"/>
      <c r="G264" s="4"/>
      <c r="H264" s="4"/>
      <c r="I264" s="82" t="s">
        <v>609</v>
      </c>
      <c r="J264" s="4"/>
      <c r="K264" s="4"/>
      <c r="L264" s="4"/>
      <c r="M264" s="4"/>
      <c r="N264" s="4"/>
      <c r="O264" s="4"/>
      <c r="P264" s="4"/>
      <c r="Q264" s="4"/>
    </row>
    <row r="265" spans="1:17" x14ac:dyDescent="0.2">
      <c r="A265" s="1">
        <f t="shared" ref="A265:A330" ca="1" si="7">CELL("row",C265)-2</f>
        <v>263</v>
      </c>
      <c r="B265" s="1" t="s">
        <v>5799</v>
      </c>
      <c r="C265" s="82" t="s">
        <v>7209</v>
      </c>
      <c r="D265" s="4"/>
      <c r="E265" s="4"/>
      <c r="F265" s="71"/>
      <c r="G265" s="4"/>
      <c r="H265" s="4"/>
      <c r="I265" s="82" t="s">
        <v>7209</v>
      </c>
      <c r="J265" s="82" t="s">
        <v>2212</v>
      </c>
      <c r="K265" s="4"/>
      <c r="L265" s="4"/>
      <c r="M265" s="4"/>
      <c r="N265" s="4"/>
      <c r="O265" s="4"/>
      <c r="P265" s="4"/>
      <c r="Q265" s="4"/>
    </row>
    <row r="266" spans="1:17" x14ac:dyDescent="0.2">
      <c r="A266" s="1">
        <f t="shared" ca="1" si="7"/>
        <v>264</v>
      </c>
      <c r="B266" s="1" t="s">
        <v>539</v>
      </c>
      <c r="C266" s="91" t="s">
        <v>7210</v>
      </c>
      <c r="D266" s="4"/>
      <c r="E266" s="4"/>
      <c r="F266" s="71"/>
      <c r="G266" s="4"/>
      <c r="H266" s="4"/>
      <c r="I266" s="91" t="s">
        <v>7210</v>
      </c>
      <c r="J266" s="91" t="s">
        <v>2213</v>
      </c>
      <c r="K266" s="4"/>
      <c r="L266" s="4"/>
      <c r="M266" s="4"/>
      <c r="N266" s="4"/>
      <c r="O266" s="4"/>
      <c r="P266" s="4"/>
      <c r="Q266" s="4"/>
    </row>
    <row r="267" spans="1:17" x14ac:dyDescent="0.2">
      <c r="A267" s="1">
        <f t="shared" ca="1" si="7"/>
        <v>265</v>
      </c>
      <c r="B267" s="1" t="s">
        <v>540</v>
      </c>
      <c r="C267" s="82" t="s">
        <v>540</v>
      </c>
      <c r="D267" s="4"/>
      <c r="E267" s="4"/>
      <c r="F267" s="71"/>
      <c r="G267" s="4"/>
      <c r="H267" s="4"/>
      <c r="I267" s="82" t="s">
        <v>540</v>
      </c>
      <c r="J267" s="82" t="s">
        <v>540</v>
      </c>
      <c r="K267" s="4"/>
      <c r="L267" s="4"/>
      <c r="M267" s="4"/>
      <c r="N267" s="4"/>
      <c r="O267" s="4"/>
      <c r="P267" s="4"/>
      <c r="Q267" s="4"/>
    </row>
    <row r="268" spans="1:17" x14ac:dyDescent="0.2">
      <c r="A268" s="1">
        <f t="shared" ca="1" si="7"/>
        <v>266</v>
      </c>
      <c r="B268" s="1" t="s">
        <v>541</v>
      </c>
      <c r="C268" s="82" t="s">
        <v>7211</v>
      </c>
      <c r="D268" s="4"/>
      <c r="E268" s="4"/>
      <c r="F268" s="71"/>
      <c r="G268" s="4"/>
      <c r="H268" s="4"/>
      <c r="I268" s="82" t="s">
        <v>7211</v>
      </c>
      <c r="J268" s="82" t="s">
        <v>2214</v>
      </c>
      <c r="K268" s="4"/>
      <c r="L268" s="4"/>
      <c r="M268" s="4"/>
      <c r="N268" s="4"/>
      <c r="O268" s="4"/>
      <c r="P268" s="4"/>
      <c r="Q268" s="4"/>
    </row>
    <row r="269" spans="1:17" x14ac:dyDescent="0.2">
      <c r="A269" s="1">
        <f t="shared" ca="1" si="7"/>
        <v>267</v>
      </c>
      <c r="B269" s="1" t="s">
        <v>542</v>
      </c>
      <c r="C269" s="82" t="s">
        <v>2898</v>
      </c>
      <c r="D269" s="4"/>
      <c r="E269" s="4"/>
      <c r="F269" s="71"/>
      <c r="G269" s="4"/>
      <c r="H269" s="4"/>
      <c r="I269" s="82" t="s">
        <v>2898</v>
      </c>
      <c r="J269" s="82" t="s">
        <v>2215</v>
      </c>
      <c r="K269" s="4"/>
      <c r="L269" s="4"/>
      <c r="M269" s="4"/>
      <c r="N269" s="4"/>
      <c r="O269" s="4"/>
      <c r="P269" s="4"/>
      <c r="Q269" s="4"/>
    </row>
    <row r="270" spans="1:17" x14ac:dyDescent="0.2">
      <c r="A270" s="1">
        <f t="shared" ca="1" si="7"/>
        <v>268</v>
      </c>
      <c r="B270" s="1" t="s">
        <v>2899</v>
      </c>
      <c r="C270" s="82" t="s">
        <v>4821</v>
      </c>
      <c r="D270" s="4"/>
      <c r="E270" s="4"/>
      <c r="F270" s="71"/>
      <c r="G270" s="4"/>
      <c r="H270" s="4"/>
      <c r="I270" s="82" t="s">
        <v>4821</v>
      </c>
      <c r="J270" s="82" t="s">
        <v>2216</v>
      </c>
      <c r="K270" s="4"/>
      <c r="L270" s="4"/>
      <c r="M270" s="4"/>
      <c r="N270" s="4"/>
      <c r="O270" s="4"/>
      <c r="P270" s="4"/>
      <c r="Q270" s="4"/>
    </row>
    <row r="271" spans="1:17" x14ac:dyDescent="0.2">
      <c r="A271" s="1">
        <f t="shared" ca="1" si="7"/>
        <v>269</v>
      </c>
      <c r="B271" s="1" t="s">
        <v>4822</v>
      </c>
      <c r="C271" s="82" t="s">
        <v>4822</v>
      </c>
      <c r="D271" s="4"/>
      <c r="E271" s="4"/>
      <c r="F271" s="71"/>
      <c r="G271" s="4"/>
      <c r="H271" s="4"/>
      <c r="I271" s="82" t="s">
        <v>4822</v>
      </c>
      <c r="J271" s="82" t="s">
        <v>4822</v>
      </c>
      <c r="K271" s="4"/>
      <c r="L271" s="4"/>
      <c r="M271" s="4"/>
      <c r="N271" s="4"/>
      <c r="O271" s="4"/>
      <c r="P271" s="4"/>
      <c r="Q271" s="4"/>
    </row>
    <row r="272" spans="1:17" x14ac:dyDescent="0.2">
      <c r="A272" s="1">
        <f t="shared" ca="1" si="7"/>
        <v>270</v>
      </c>
      <c r="B272" s="1" t="s">
        <v>4823</v>
      </c>
      <c r="C272" s="82" t="s">
        <v>4824</v>
      </c>
      <c r="D272" s="4"/>
      <c r="E272" s="4"/>
      <c r="F272" s="71"/>
      <c r="G272" s="4"/>
      <c r="H272" s="4"/>
      <c r="I272" s="82" t="s">
        <v>4824</v>
      </c>
      <c r="J272" s="4"/>
      <c r="K272" s="4"/>
      <c r="L272" s="4"/>
      <c r="M272" s="4"/>
      <c r="N272" s="4"/>
      <c r="O272" s="4"/>
      <c r="P272" s="4"/>
      <c r="Q272" s="4"/>
    </row>
    <row r="273" spans="1:17" x14ac:dyDescent="0.2">
      <c r="A273" s="1">
        <f t="shared" ca="1" si="7"/>
        <v>271</v>
      </c>
      <c r="B273" s="1" t="s">
        <v>4825</v>
      </c>
      <c r="C273" s="82" t="s">
        <v>3721</v>
      </c>
      <c r="D273" s="4"/>
      <c r="E273" s="4"/>
      <c r="F273" s="71"/>
      <c r="G273" s="4"/>
      <c r="H273" s="4"/>
      <c r="I273" s="82" t="s">
        <v>3721</v>
      </c>
      <c r="J273" s="4" t="s">
        <v>2217</v>
      </c>
      <c r="K273" s="4"/>
      <c r="L273" s="4"/>
      <c r="M273" s="4"/>
      <c r="N273" s="4"/>
      <c r="O273" s="4"/>
      <c r="P273" s="4"/>
      <c r="Q273" s="4"/>
    </row>
    <row r="274" spans="1:17" x14ac:dyDescent="0.2">
      <c r="A274" s="1">
        <f t="shared" ca="1" si="7"/>
        <v>272</v>
      </c>
      <c r="B274" s="1" t="s">
        <v>4826</v>
      </c>
      <c r="C274" s="82" t="s">
        <v>3722</v>
      </c>
      <c r="D274" s="4"/>
      <c r="E274" s="4"/>
      <c r="F274" s="71"/>
      <c r="G274" s="4"/>
      <c r="H274" s="4"/>
      <c r="I274" s="82" t="s">
        <v>3722</v>
      </c>
      <c r="J274" s="4"/>
      <c r="K274" s="4"/>
      <c r="L274" s="4"/>
      <c r="M274" s="4"/>
      <c r="N274" s="4"/>
      <c r="O274" s="4"/>
      <c r="P274" s="4"/>
      <c r="Q274" s="4"/>
    </row>
    <row r="275" spans="1:17" x14ac:dyDescent="0.2">
      <c r="A275" s="1">
        <f t="shared" ca="1" si="7"/>
        <v>273</v>
      </c>
      <c r="B275" s="1" t="s">
        <v>4827</v>
      </c>
      <c r="C275" s="82" t="s">
        <v>4827</v>
      </c>
      <c r="D275" s="4"/>
      <c r="E275" s="4"/>
      <c r="F275" s="71"/>
      <c r="G275" s="4"/>
      <c r="H275" s="4"/>
      <c r="I275" s="82" t="s">
        <v>4827</v>
      </c>
      <c r="J275" s="82" t="s">
        <v>4827</v>
      </c>
      <c r="K275" s="4"/>
      <c r="L275" s="4"/>
      <c r="M275" s="4"/>
      <c r="N275" s="4"/>
      <c r="O275" s="4"/>
      <c r="P275" s="4"/>
      <c r="Q275" s="4"/>
    </row>
    <row r="276" spans="1:17" x14ac:dyDescent="0.2">
      <c r="A276" s="1">
        <f t="shared" ca="1" si="7"/>
        <v>274</v>
      </c>
      <c r="B276" s="1" t="s">
        <v>3504</v>
      </c>
      <c r="C276" s="82" t="s">
        <v>3505</v>
      </c>
      <c r="D276" s="4"/>
      <c r="E276" s="4"/>
      <c r="F276" s="71"/>
      <c r="G276" s="4"/>
      <c r="H276" s="4"/>
      <c r="I276" s="82" t="s">
        <v>3505</v>
      </c>
      <c r="J276" s="82" t="s">
        <v>2211</v>
      </c>
      <c r="K276" s="4"/>
      <c r="L276" s="4"/>
      <c r="M276" s="4"/>
      <c r="N276" s="4"/>
      <c r="O276" s="4"/>
      <c r="P276" s="4"/>
      <c r="Q276" s="4"/>
    </row>
    <row r="277" spans="1:17" x14ac:dyDescent="0.2">
      <c r="A277" s="1">
        <f t="shared" ca="1" si="7"/>
        <v>275</v>
      </c>
      <c r="B277" s="1" t="s">
        <v>3506</v>
      </c>
      <c r="C277" s="82" t="s">
        <v>3506</v>
      </c>
      <c r="D277" s="4"/>
      <c r="E277" s="4"/>
      <c r="F277" s="71"/>
      <c r="G277" s="4"/>
      <c r="H277" s="4"/>
      <c r="I277" s="82" t="s">
        <v>3506</v>
      </c>
      <c r="J277" s="82" t="s">
        <v>3506</v>
      </c>
      <c r="K277" s="4"/>
      <c r="L277" s="4"/>
      <c r="M277" s="4"/>
      <c r="N277" s="4"/>
      <c r="O277" s="4"/>
      <c r="P277" s="4"/>
      <c r="Q277" s="4"/>
    </row>
    <row r="278" spans="1:17" x14ac:dyDescent="0.2">
      <c r="A278" s="1">
        <f t="shared" ca="1" si="7"/>
        <v>276</v>
      </c>
      <c r="B278" s="1" t="s">
        <v>3507</v>
      </c>
      <c r="C278" s="82" t="s">
        <v>3934</v>
      </c>
      <c r="D278" s="4"/>
      <c r="E278" s="4"/>
      <c r="F278" s="71"/>
      <c r="G278" s="4"/>
      <c r="H278" s="4"/>
      <c r="I278" s="82" t="s">
        <v>3934</v>
      </c>
      <c r="J278" s="4"/>
      <c r="K278" s="4"/>
      <c r="L278" s="4"/>
      <c r="M278" s="4"/>
      <c r="N278" s="4"/>
      <c r="O278" s="4"/>
      <c r="P278" s="4"/>
      <c r="Q278" s="4"/>
    </row>
    <row r="279" spans="1:17" x14ac:dyDescent="0.2">
      <c r="A279" s="1">
        <f t="shared" ca="1" si="7"/>
        <v>277</v>
      </c>
      <c r="B279" s="1" t="s">
        <v>3508</v>
      </c>
      <c r="C279" s="82" t="s">
        <v>3508</v>
      </c>
      <c r="D279" s="4"/>
      <c r="E279" s="4"/>
      <c r="F279" s="71"/>
      <c r="G279" s="4"/>
      <c r="H279" s="4"/>
      <c r="I279" s="82" t="s">
        <v>3508</v>
      </c>
      <c r="J279" s="4"/>
      <c r="K279" s="4"/>
      <c r="L279" s="4"/>
      <c r="M279" s="4"/>
      <c r="N279" s="4"/>
      <c r="O279" s="4"/>
      <c r="P279" s="4"/>
      <c r="Q279" s="4"/>
    </row>
    <row r="280" spans="1:17" x14ac:dyDescent="0.2">
      <c r="A280" s="1">
        <f t="shared" ca="1" si="7"/>
        <v>278</v>
      </c>
      <c r="B280" s="1" t="s">
        <v>3509</v>
      </c>
      <c r="C280" s="82" t="s">
        <v>1132</v>
      </c>
      <c r="D280" s="4"/>
      <c r="E280" s="4"/>
      <c r="F280" s="71"/>
      <c r="G280" s="4"/>
      <c r="H280" s="4"/>
      <c r="I280" s="82" t="s">
        <v>1132</v>
      </c>
      <c r="J280" s="4"/>
      <c r="K280" s="4"/>
      <c r="L280" s="4"/>
      <c r="M280" s="4"/>
      <c r="N280" s="4"/>
      <c r="O280" s="4"/>
      <c r="P280" s="4"/>
      <c r="Q280" s="4"/>
    </row>
    <row r="281" spans="1:17" x14ac:dyDescent="0.2">
      <c r="A281" s="1">
        <f t="shared" ca="1" si="7"/>
        <v>279</v>
      </c>
      <c r="B281" s="1" t="s">
        <v>1133</v>
      </c>
      <c r="C281" s="82" t="s">
        <v>1133</v>
      </c>
      <c r="D281" s="4"/>
      <c r="E281" s="4"/>
      <c r="F281" s="71"/>
      <c r="G281" s="4"/>
      <c r="H281" s="4"/>
      <c r="I281" s="82" t="s">
        <v>1133</v>
      </c>
      <c r="J281" s="4" t="s">
        <v>1133</v>
      </c>
      <c r="K281" s="4"/>
      <c r="L281" s="4"/>
      <c r="M281" s="4"/>
      <c r="N281" s="4"/>
      <c r="O281" s="4"/>
      <c r="P281" s="4"/>
      <c r="Q281" s="4"/>
    </row>
    <row r="282" spans="1:17" x14ac:dyDescent="0.2">
      <c r="A282" s="1">
        <f t="shared" ca="1" si="7"/>
        <v>280</v>
      </c>
      <c r="B282" s="1" t="s">
        <v>1134</v>
      </c>
      <c r="C282" s="82" t="s">
        <v>7212</v>
      </c>
      <c r="D282" s="4"/>
      <c r="E282" s="4"/>
      <c r="F282" s="71"/>
      <c r="G282" s="4"/>
      <c r="H282" s="4"/>
      <c r="I282" s="82" t="s">
        <v>7212</v>
      </c>
      <c r="J282" s="4" t="s">
        <v>2218</v>
      </c>
      <c r="K282" s="4"/>
      <c r="L282" s="4"/>
      <c r="M282" s="4"/>
      <c r="N282" s="4"/>
      <c r="O282" s="4"/>
      <c r="P282" s="4"/>
      <c r="Q282" s="4"/>
    </row>
    <row r="283" spans="1:17" x14ac:dyDescent="0.2">
      <c r="A283" s="1">
        <f t="shared" ca="1" si="7"/>
        <v>281</v>
      </c>
      <c r="B283" s="1" t="s">
        <v>1135</v>
      </c>
      <c r="C283" s="82" t="s">
        <v>7213</v>
      </c>
      <c r="D283" s="4"/>
      <c r="E283" s="4"/>
      <c r="F283" s="71"/>
      <c r="G283" s="4"/>
      <c r="H283" s="4"/>
      <c r="I283" s="82" t="s">
        <v>7213</v>
      </c>
      <c r="J283" s="4"/>
      <c r="K283" s="4"/>
      <c r="L283" s="4"/>
      <c r="M283" s="4"/>
      <c r="N283" s="4"/>
      <c r="O283" s="4"/>
      <c r="P283" s="4"/>
      <c r="Q283" s="4"/>
    </row>
    <row r="284" spans="1:17" x14ac:dyDescent="0.2">
      <c r="A284" s="1">
        <f t="shared" ca="1" si="7"/>
        <v>282</v>
      </c>
      <c r="B284" s="1" t="s">
        <v>1136</v>
      </c>
      <c r="C284" s="82" t="s">
        <v>1137</v>
      </c>
      <c r="D284" s="4"/>
      <c r="E284" s="4"/>
      <c r="F284" s="71"/>
      <c r="G284" s="4"/>
      <c r="H284" s="4"/>
      <c r="I284" s="82" t="s">
        <v>1137</v>
      </c>
      <c r="J284" s="4"/>
      <c r="K284" s="4"/>
      <c r="L284" s="4"/>
      <c r="M284" s="4"/>
      <c r="N284" s="4"/>
      <c r="O284" s="4"/>
      <c r="P284" s="4"/>
      <c r="Q284" s="4"/>
    </row>
    <row r="285" spans="1:17" x14ac:dyDescent="0.2">
      <c r="A285" s="1">
        <f t="shared" ca="1" si="7"/>
        <v>283</v>
      </c>
      <c r="B285" s="1" t="s">
        <v>1138</v>
      </c>
      <c r="C285" s="82" t="s">
        <v>1139</v>
      </c>
      <c r="D285" s="4"/>
      <c r="E285" s="4"/>
      <c r="F285" s="71"/>
      <c r="G285" s="4"/>
      <c r="H285" s="4"/>
      <c r="I285" s="82" t="s">
        <v>1139</v>
      </c>
      <c r="J285" s="4"/>
      <c r="K285" s="4"/>
      <c r="L285" s="4"/>
      <c r="M285" s="4"/>
      <c r="N285" s="4"/>
      <c r="O285" s="4"/>
      <c r="P285" s="4"/>
      <c r="Q285" s="4"/>
    </row>
    <row r="286" spans="1:17" x14ac:dyDescent="0.2">
      <c r="A286" s="1">
        <f t="shared" ca="1" si="7"/>
        <v>284</v>
      </c>
      <c r="B286" s="1" t="s">
        <v>1140</v>
      </c>
      <c r="C286" s="82" t="s">
        <v>1141</v>
      </c>
      <c r="D286" s="4"/>
      <c r="E286" s="4"/>
      <c r="F286" s="71"/>
      <c r="G286" s="4"/>
      <c r="H286" s="4"/>
      <c r="I286" s="82" t="s">
        <v>1141</v>
      </c>
      <c r="J286" s="4"/>
      <c r="K286" s="4"/>
      <c r="L286" s="4"/>
      <c r="M286" s="4"/>
      <c r="N286" s="4"/>
      <c r="O286" s="4"/>
      <c r="P286" s="4"/>
      <c r="Q286" s="4"/>
    </row>
    <row r="287" spans="1:17" x14ac:dyDescent="0.2">
      <c r="A287" s="1">
        <f t="shared" ca="1" si="7"/>
        <v>285</v>
      </c>
      <c r="B287" s="1" t="s">
        <v>1142</v>
      </c>
      <c r="C287" s="82" t="s">
        <v>1143</v>
      </c>
      <c r="D287" s="4"/>
      <c r="E287" s="4"/>
      <c r="F287" s="71"/>
      <c r="G287" s="4"/>
      <c r="H287" s="4"/>
      <c r="I287" s="82" t="s">
        <v>1143</v>
      </c>
      <c r="J287" s="4"/>
      <c r="K287" s="4"/>
      <c r="L287" s="4"/>
      <c r="M287" s="4"/>
      <c r="N287" s="4"/>
      <c r="O287" s="4"/>
      <c r="P287" s="4"/>
      <c r="Q287" s="4"/>
    </row>
    <row r="288" spans="1:17" x14ac:dyDescent="0.2">
      <c r="A288" s="1">
        <f t="shared" ca="1" si="7"/>
        <v>286</v>
      </c>
      <c r="B288" s="1" t="s">
        <v>1144</v>
      </c>
      <c r="C288" s="82" t="s">
        <v>1145</v>
      </c>
      <c r="D288" s="4"/>
      <c r="E288" s="4"/>
      <c r="F288" s="71"/>
      <c r="G288" s="4"/>
      <c r="H288" s="4"/>
      <c r="I288" s="82" t="s">
        <v>1145</v>
      </c>
      <c r="J288" s="4"/>
      <c r="K288" s="4"/>
      <c r="L288" s="4"/>
      <c r="M288" s="4"/>
      <c r="N288" s="4"/>
      <c r="O288" s="4"/>
      <c r="P288" s="4"/>
      <c r="Q288" s="4"/>
    </row>
    <row r="289" spans="1:17" x14ac:dyDescent="0.2">
      <c r="A289" s="1">
        <f t="shared" ca="1" si="7"/>
        <v>287</v>
      </c>
      <c r="B289" s="1" t="s">
        <v>1146</v>
      </c>
      <c r="C289" s="82" t="s">
        <v>3152</v>
      </c>
      <c r="D289" s="4"/>
      <c r="E289" s="4"/>
      <c r="F289" s="71"/>
      <c r="G289" s="4"/>
      <c r="H289" s="4"/>
      <c r="I289" s="82" t="s">
        <v>3152</v>
      </c>
      <c r="J289" s="4"/>
      <c r="K289" s="4"/>
      <c r="L289" s="4"/>
      <c r="M289" s="4"/>
      <c r="N289" s="4"/>
      <c r="O289" s="4"/>
      <c r="P289" s="4"/>
      <c r="Q289" s="4"/>
    </row>
    <row r="290" spans="1:17" x14ac:dyDescent="0.2">
      <c r="A290" s="1">
        <f t="shared" ca="1" si="7"/>
        <v>288</v>
      </c>
      <c r="B290" s="1" t="s">
        <v>1147</v>
      </c>
      <c r="C290" s="82" t="s">
        <v>1147</v>
      </c>
      <c r="D290" s="4"/>
      <c r="E290" s="4"/>
      <c r="F290" s="71"/>
      <c r="G290" s="4"/>
      <c r="H290" s="4"/>
      <c r="I290" s="82" t="s">
        <v>1147</v>
      </c>
      <c r="J290" s="4"/>
      <c r="K290" s="4"/>
      <c r="L290" s="4"/>
      <c r="M290" s="4"/>
      <c r="N290" s="4"/>
      <c r="O290" s="4"/>
      <c r="P290" s="4"/>
      <c r="Q290" s="4"/>
    </row>
    <row r="291" spans="1:17" x14ac:dyDescent="0.2">
      <c r="A291" s="1">
        <f t="shared" ca="1" si="7"/>
        <v>289</v>
      </c>
      <c r="B291" s="1" t="s">
        <v>62</v>
      </c>
      <c r="C291" s="82" t="s">
        <v>5780</v>
      </c>
      <c r="D291" s="4"/>
      <c r="E291" s="4"/>
      <c r="F291" s="71"/>
      <c r="G291" s="4"/>
      <c r="H291" s="4"/>
      <c r="I291" s="4" t="s">
        <v>610</v>
      </c>
      <c r="J291" s="4"/>
      <c r="K291" s="4"/>
      <c r="L291" s="4"/>
      <c r="M291" s="4"/>
      <c r="N291" s="4"/>
      <c r="O291" s="4"/>
      <c r="P291" s="4"/>
      <c r="Q291" s="4"/>
    </row>
    <row r="292" spans="1:17" x14ac:dyDescent="0.2">
      <c r="A292" s="1">
        <f t="shared" ref="A292" ca="1" si="8">CELL("row",C292)-2</f>
        <v>290</v>
      </c>
      <c r="B292" s="1" t="s">
        <v>9021</v>
      </c>
      <c r="C292" s="145" t="s">
        <v>9022</v>
      </c>
      <c r="D292" s="4"/>
      <c r="E292" s="4"/>
      <c r="F292" s="71"/>
      <c r="G292" s="4"/>
      <c r="H292" s="4"/>
      <c r="I292" s="4" t="s">
        <v>9023</v>
      </c>
      <c r="J292" s="4" t="s">
        <v>9024</v>
      </c>
      <c r="K292" s="4"/>
      <c r="L292" s="4"/>
      <c r="M292" s="4"/>
      <c r="N292" s="4"/>
      <c r="O292" s="4"/>
      <c r="P292" s="4"/>
      <c r="Q292" s="4"/>
    </row>
    <row r="293" spans="1:17" x14ac:dyDescent="0.2">
      <c r="A293" s="1">
        <f t="shared" ca="1" si="7"/>
        <v>291</v>
      </c>
      <c r="B293" s="1" t="s">
        <v>63</v>
      </c>
      <c r="C293" s="82" t="s">
        <v>64</v>
      </c>
      <c r="D293" s="4"/>
      <c r="E293" s="4"/>
      <c r="F293" s="71"/>
      <c r="G293" s="4"/>
      <c r="H293" s="4"/>
      <c r="I293" s="4" t="s">
        <v>611</v>
      </c>
      <c r="J293" s="4" t="s">
        <v>923</v>
      </c>
      <c r="K293" s="4"/>
      <c r="L293" s="4"/>
      <c r="M293" s="4"/>
      <c r="N293" s="4"/>
      <c r="O293" s="4"/>
      <c r="P293" s="4"/>
      <c r="Q293" s="4"/>
    </row>
    <row r="294" spans="1:17" x14ac:dyDescent="0.2">
      <c r="A294" s="1">
        <f t="shared" ca="1" si="7"/>
        <v>292</v>
      </c>
      <c r="B294" s="1" t="s">
        <v>156</v>
      </c>
      <c r="C294" s="82" t="s">
        <v>154</v>
      </c>
      <c r="D294" s="4"/>
      <c r="E294" s="4"/>
      <c r="F294" s="71"/>
      <c r="G294" s="4"/>
      <c r="H294" s="4"/>
      <c r="I294" s="4" t="s">
        <v>1863</v>
      </c>
      <c r="J294" s="4" t="s">
        <v>921</v>
      </c>
      <c r="K294" s="4"/>
      <c r="L294" s="4"/>
      <c r="M294" s="4"/>
      <c r="N294" s="4"/>
      <c r="O294" s="4"/>
      <c r="P294" s="4"/>
      <c r="Q294" s="4"/>
    </row>
    <row r="295" spans="1:17" x14ac:dyDescent="0.2">
      <c r="A295" s="1">
        <f t="shared" ca="1" si="7"/>
        <v>293</v>
      </c>
      <c r="B295" s="1" t="s">
        <v>1759</v>
      </c>
      <c r="C295" s="82" t="s">
        <v>79</v>
      </c>
      <c r="D295" s="4"/>
      <c r="E295" s="4"/>
      <c r="F295" s="71"/>
      <c r="G295" s="4"/>
      <c r="H295" s="4"/>
      <c r="I295" s="4" t="s">
        <v>612</v>
      </c>
      <c r="J295" s="4" t="s">
        <v>7878</v>
      </c>
      <c r="K295" s="4"/>
      <c r="L295" s="4"/>
      <c r="M295" s="4"/>
      <c r="N295" s="4"/>
      <c r="O295" s="4"/>
      <c r="P295" s="4"/>
      <c r="Q295" s="4"/>
    </row>
    <row r="296" spans="1:17" x14ac:dyDescent="0.2">
      <c r="A296" s="1">
        <f t="shared" ca="1" si="7"/>
        <v>294</v>
      </c>
      <c r="B296" s="1" t="s">
        <v>1825</v>
      </c>
      <c r="C296" s="82" t="s">
        <v>5781</v>
      </c>
      <c r="D296" s="4"/>
      <c r="E296" s="4"/>
      <c r="F296" s="71"/>
      <c r="G296" s="4"/>
      <c r="H296" s="4"/>
      <c r="I296" s="4" t="s">
        <v>613</v>
      </c>
      <c r="J296" s="4" t="s">
        <v>922</v>
      </c>
      <c r="K296" s="4"/>
      <c r="L296" s="4"/>
      <c r="M296" s="4"/>
      <c r="N296" s="4"/>
      <c r="O296" s="4"/>
      <c r="P296" s="4"/>
      <c r="Q296" s="4"/>
    </row>
    <row r="297" spans="1:17" x14ac:dyDescent="0.2">
      <c r="A297" s="1">
        <f t="shared" ca="1" si="7"/>
        <v>295</v>
      </c>
      <c r="B297" s="1" t="s">
        <v>65</v>
      </c>
      <c r="C297" s="89" t="s">
        <v>65</v>
      </c>
      <c r="D297" s="4"/>
      <c r="E297" s="4"/>
      <c r="F297" s="71"/>
      <c r="G297" s="4"/>
      <c r="H297" s="4"/>
      <c r="I297" s="4" t="s">
        <v>614</v>
      </c>
      <c r="J297" s="4" t="s">
        <v>920</v>
      </c>
      <c r="K297" s="4"/>
      <c r="L297" s="4"/>
      <c r="M297" s="4"/>
      <c r="N297" s="4"/>
      <c r="O297" s="4"/>
      <c r="P297" s="4"/>
      <c r="Q297" s="4"/>
    </row>
    <row r="298" spans="1:17" x14ac:dyDescent="0.2">
      <c r="A298" s="1">
        <f t="shared" ca="1" si="7"/>
        <v>296</v>
      </c>
      <c r="B298" s="1" t="s">
        <v>66</v>
      </c>
      <c r="C298" s="89" t="s">
        <v>66</v>
      </c>
      <c r="D298" s="4"/>
      <c r="E298" s="4"/>
      <c r="F298" s="71"/>
      <c r="G298" s="4"/>
      <c r="H298" s="4"/>
      <c r="I298" s="4" t="s">
        <v>615</v>
      </c>
      <c r="J298" s="4" t="s">
        <v>919</v>
      </c>
      <c r="K298" s="4"/>
      <c r="L298" s="4"/>
      <c r="M298" s="4"/>
      <c r="N298" s="4"/>
      <c r="O298" s="4"/>
      <c r="P298" s="4"/>
      <c r="Q298" s="4"/>
    </row>
    <row r="299" spans="1:17" x14ac:dyDescent="0.2">
      <c r="A299" s="1">
        <f t="shared" ca="1" si="7"/>
        <v>297</v>
      </c>
      <c r="B299" s="1" t="s">
        <v>67</v>
      </c>
      <c r="C299" s="82" t="s">
        <v>80</v>
      </c>
      <c r="D299" s="4"/>
      <c r="E299" s="4"/>
      <c r="F299" s="71"/>
      <c r="G299" s="4"/>
      <c r="H299" s="4"/>
      <c r="I299" s="4" t="s">
        <v>616</v>
      </c>
      <c r="J299" s="82" t="s">
        <v>5915</v>
      </c>
      <c r="K299" s="4"/>
      <c r="L299" s="4"/>
      <c r="M299" s="4"/>
      <c r="N299" s="4"/>
      <c r="O299" s="4"/>
      <c r="P299" s="4"/>
      <c r="Q299" s="4"/>
    </row>
    <row r="300" spans="1:17" x14ac:dyDescent="0.2">
      <c r="A300" s="1">
        <f t="shared" ca="1" si="7"/>
        <v>298</v>
      </c>
      <c r="B300" s="1" t="s">
        <v>68</v>
      </c>
      <c r="C300" s="82" t="s">
        <v>81</v>
      </c>
      <c r="D300" s="4"/>
      <c r="E300" s="4"/>
      <c r="F300" s="71"/>
      <c r="G300" s="4"/>
      <c r="H300" s="4"/>
      <c r="I300" s="4" t="s">
        <v>617</v>
      </c>
      <c r="J300" s="82" t="s">
        <v>5916</v>
      </c>
      <c r="K300" s="4"/>
      <c r="L300" s="4"/>
      <c r="M300" s="4"/>
      <c r="N300" s="4"/>
      <c r="O300" s="4"/>
      <c r="P300" s="4"/>
      <c r="Q300" s="4"/>
    </row>
    <row r="301" spans="1:17" x14ac:dyDescent="0.2">
      <c r="A301" s="1">
        <f t="shared" ca="1" si="7"/>
        <v>299</v>
      </c>
      <c r="B301" s="1" t="s">
        <v>69</v>
      </c>
      <c r="C301" s="82" t="s">
        <v>353</v>
      </c>
      <c r="D301" s="4"/>
      <c r="E301" s="4"/>
      <c r="F301" s="71"/>
      <c r="G301" s="4"/>
      <c r="H301" s="4"/>
      <c r="I301" s="4" t="s">
        <v>618</v>
      </c>
      <c r="J301" s="82" t="s">
        <v>5917</v>
      </c>
      <c r="K301" s="4"/>
      <c r="L301" s="4"/>
      <c r="M301" s="4"/>
      <c r="N301" s="4"/>
      <c r="O301" s="4"/>
      <c r="P301" s="4"/>
      <c r="Q301" s="4"/>
    </row>
    <row r="302" spans="1:17" x14ac:dyDescent="0.2">
      <c r="A302" s="1">
        <f t="shared" ca="1" si="7"/>
        <v>300</v>
      </c>
      <c r="B302" s="1" t="s">
        <v>70</v>
      </c>
      <c r="C302" s="82" t="s">
        <v>354</v>
      </c>
      <c r="D302" s="4"/>
      <c r="E302" s="4"/>
      <c r="F302" s="71"/>
      <c r="G302" s="4"/>
      <c r="H302" s="4"/>
      <c r="I302" s="4" t="s">
        <v>619</v>
      </c>
      <c r="J302" s="82" t="s">
        <v>5918</v>
      </c>
      <c r="K302" s="4"/>
      <c r="L302" s="4"/>
      <c r="M302" s="4"/>
      <c r="N302" s="4"/>
      <c r="O302" s="4"/>
      <c r="P302" s="4"/>
      <c r="Q302" s="4"/>
    </row>
    <row r="303" spans="1:17" x14ac:dyDescent="0.2">
      <c r="A303" s="1">
        <f t="shared" ca="1" si="7"/>
        <v>301</v>
      </c>
      <c r="B303" s="1" t="s">
        <v>71</v>
      </c>
      <c r="C303" s="82" t="s">
        <v>355</v>
      </c>
      <c r="D303" s="4"/>
      <c r="E303" s="4"/>
      <c r="F303" s="71"/>
      <c r="G303" s="4"/>
      <c r="H303" s="4"/>
      <c r="I303" s="4" t="s">
        <v>620</v>
      </c>
      <c r="J303" s="82" t="s">
        <v>5919</v>
      </c>
      <c r="K303" s="4"/>
      <c r="L303" s="4"/>
      <c r="M303" s="4"/>
      <c r="N303" s="4"/>
      <c r="O303" s="4"/>
      <c r="P303" s="4"/>
      <c r="Q303" s="4"/>
    </row>
    <row r="304" spans="1:17" x14ac:dyDescent="0.2">
      <c r="A304" s="1">
        <f t="shared" ca="1" si="7"/>
        <v>302</v>
      </c>
      <c r="B304" s="1" t="s">
        <v>72</v>
      </c>
      <c r="C304" s="82" t="s">
        <v>356</v>
      </c>
      <c r="D304" s="4"/>
      <c r="E304" s="4"/>
      <c r="F304" s="71"/>
      <c r="G304" s="4"/>
      <c r="H304" s="4"/>
      <c r="I304" s="4" t="s">
        <v>621</v>
      </c>
      <c r="J304" s="82" t="s">
        <v>5920</v>
      </c>
      <c r="K304" s="4"/>
      <c r="L304" s="4"/>
      <c r="M304" s="4"/>
      <c r="N304" s="4"/>
      <c r="O304" s="4"/>
      <c r="P304" s="4"/>
      <c r="Q304" s="4"/>
    </row>
    <row r="305" spans="1:17" x14ac:dyDescent="0.2">
      <c r="A305" s="1">
        <f t="shared" ca="1" si="7"/>
        <v>303</v>
      </c>
      <c r="B305" s="1" t="s">
        <v>73</v>
      </c>
      <c r="C305" s="82" t="s">
        <v>5782</v>
      </c>
      <c r="D305" s="4"/>
      <c r="E305" s="4"/>
      <c r="F305" s="71"/>
      <c r="G305" s="4"/>
      <c r="H305" s="4"/>
      <c r="I305" s="4" t="s">
        <v>622</v>
      </c>
      <c r="J305" s="4" t="s">
        <v>5921</v>
      </c>
      <c r="K305" s="4"/>
      <c r="L305" s="4"/>
      <c r="M305" s="4"/>
      <c r="N305" s="4"/>
      <c r="O305" s="4"/>
      <c r="P305" s="4"/>
      <c r="Q305" s="4"/>
    </row>
    <row r="306" spans="1:17" x14ac:dyDescent="0.2">
      <c r="A306" s="1">
        <f t="shared" ca="1" si="7"/>
        <v>304</v>
      </c>
      <c r="B306" s="1" t="s">
        <v>74</v>
      </c>
      <c r="C306" s="82" t="s">
        <v>5783</v>
      </c>
      <c r="D306" s="4"/>
      <c r="E306" s="4"/>
      <c r="F306" s="71"/>
      <c r="G306" s="4"/>
      <c r="H306" s="4"/>
      <c r="I306" s="4" t="s">
        <v>623</v>
      </c>
      <c r="J306" s="4" t="s">
        <v>5922</v>
      </c>
      <c r="K306" s="4"/>
      <c r="L306" s="4"/>
      <c r="M306" s="4"/>
      <c r="N306" s="4"/>
      <c r="O306" s="4"/>
      <c r="P306" s="4"/>
      <c r="Q306" s="4"/>
    </row>
    <row r="307" spans="1:17" x14ac:dyDescent="0.2">
      <c r="A307" s="1">
        <f t="shared" ca="1" si="7"/>
        <v>305</v>
      </c>
      <c r="B307" s="1" t="s">
        <v>75</v>
      </c>
      <c r="C307" s="82" t="s">
        <v>5784</v>
      </c>
      <c r="D307" s="4"/>
      <c r="E307" s="4"/>
      <c r="F307" s="71"/>
      <c r="G307" s="4"/>
      <c r="H307" s="4"/>
      <c r="I307" s="4" t="s">
        <v>624</v>
      </c>
      <c r="J307" s="4" t="s">
        <v>5923</v>
      </c>
      <c r="K307" s="4"/>
      <c r="L307" s="4"/>
      <c r="M307" s="4"/>
      <c r="N307" s="4"/>
      <c r="O307" s="4"/>
      <c r="P307" s="4"/>
      <c r="Q307" s="4"/>
    </row>
    <row r="308" spans="1:17" x14ac:dyDescent="0.2">
      <c r="A308" s="1">
        <f t="shared" ca="1" si="7"/>
        <v>306</v>
      </c>
      <c r="B308" s="1" t="s">
        <v>76</v>
      </c>
      <c r="C308" s="82" t="s">
        <v>7214</v>
      </c>
      <c r="D308" s="4"/>
      <c r="E308" s="4"/>
      <c r="F308" s="71"/>
      <c r="G308" s="4"/>
      <c r="H308" s="4"/>
      <c r="I308" s="4" t="s">
        <v>625</v>
      </c>
      <c r="J308" s="4" t="s">
        <v>3587</v>
      </c>
      <c r="K308" s="4"/>
      <c r="L308" s="4"/>
      <c r="M308" s="4"/>
      <c r="N308" s="4"/>
      <c r="O308" s="4"/>
      <c r="P308" s="4"/>
      <c r="Q308" s="4"/>
    </row>
    <row r="309" spans="1:17" x14ac:dyDescent="0.2">
      <c r="A309" s="1">
        <f t="shared" ca="1" si="7"/>
        <v>307</v>
      </c>
      <c r="B309" s="1" t="s">
        <v>77</v>
      </c>
      <c r="C309" s="82" t="s">
        <v>357</v>
      </c>
      <c r="D309" s="4"/>
      <c r="E309" s="4"/>
      <c r="F309" s="71"/>
      <c r="G309" s="4"/>
      <c r="H309" s="4"/>
      <c r="I309" s="4" t="s">
        <v>626</v>
      </c>
      <c r="J309" s="4"/>
      <c r="K309" s="4"/>
      <c r="L309" s="4"/>
      <c r="M309" s="4"/>
      <c r="N309" s="4"/>
      <c r="O309" s="4"/>
      <c r="P309" s="4"/>
      <c r="Q309" s="4"/>
    </row>
    <row r="310" spans="1:17" x14ac:dyDescent="0.2">
      <c r="A310" s="1">
        <f ca="1">CELL("row",C310)-2</f>
        <v>308</v>
      </c>
      <c r="B310" s="1" t="s">
        <v>2857</v>
      </c>
      <c r="C310" s="82" t="s">
        <v>2858</v>
      </c>
      <c r="D310" s="4"/>
      <c r="E310" s="4"/>
      <c r="F310" s="71"/>
      <c r="G310" s="4"/>
      <c r="H310" s="4"/>
      <c r="I310" s="4" t="s">
        <v>627</v>
      </c>
      <c r="J310" s="4"/>
      <c r="K310" s="4"/>
      <c r="L310" s="4"/>
      <c r="M310" s="4"/>
      <c r="N310" s="4"/>
      <c r="O310" s="4"/>
      <c r="P310" s="4"/>
      <c r="Q310" s="4"/>
    </row>
    <row r="311" spans="1:17" x14ac:dyDescent="0.2">
      <c r="A311" s="1">
        <f t="shared" ca="1" si="7"/>
        <v>309</v>
      </c>
      <c r="B311" s="1" t="s">
        <v>78</v>
      </c>
      <c r="C311" s="82" t="s">
        <v>358</v>
      </c>
      <c r="D311" s="4"/>
      <c r="E311" s="4"/>
      <c r="F311" s="71"/>
      <c r="G311" s="4"/>
      <c r="H311" s="4"/>
      <c r="I311" s="4" t="s">
        <v>628</v>
      </c>
      <c r="J311" s="4" t="s">
        <v>3588</v>
      </c>
      <c r="K311" s="4"/>
      <c r="L311" s="4"/>
      <c r="M311" s="4"/>
      <c r="N311" s="4"/>
      <c r="O311" s="4"/>
      <c r="P311" s="4"/>
      <c r="Q311" s="4"/>
    </row>
    <row r="312" spans="1:17" x14ac:dyDescent="0.2">
      <c r="A312" s="1">
        <f t="shared" ca="1" si="7"/>
        <v>310</v>
      </c>
      <c r="B312" s="1" t="s">
        <v>359</v>
      </c>
      <c r="C312" s="82" t="s">
        <v>4522</v>
      </c>
      <c r="D312" s="4"/>
      <c r="E312" s="4"/>
      <c r="F312" s="71"/>
      <c r="G312" s="4"/>
      <c r="H312" s="4"/>
      <c r="I312" s="4" t="s">
        <v>629</v>
      </c>
      <c r="J312" s="4" t="s">
        <v>3591</v>
      </c>
      <c r="K312" s="4"/>
      <c r="L312" s="4"/>
      <c r="M312" s="4"/>
      <c r="N312" s="4"/>
      <c r="O312" s="4"/>
      <c r="P312" s="4"/>
      <c r="Q312" s="4"/>
    </row>
    <row r="313" spans="1:17" x14ac:dyDescent="0.2">
      <c r="A313" s="1">
        <f t="shared" ca="1" si="7"/>
        <v>311</v>
      </c>
      <c r="B313" s="1" t="s">
        <v>1845</v>
      </c>
      <c r="C313" s="82" t="s">
        <v>7729</v>
      </c>
      <c r="D313" s="4"/>
      <c r="E313" s="4"/>
      <c r="F313" s="71"/>
      <c r="G313" s="4"/>
      <c r="H313" s="4"/>
      <c r="I313" s="4" t="s">
        <v>630</v>
      </c>
      <c r="J313" s="4" t="s">
        <v>7403</v>
      </c>
      <c r="K313" s="4"/>
      <c r="L313" s="4"/>
      <c r="M313" s="4"/>
      <c r="N313" s="4"/>
      <c r="O313" s="4"/>
      <c r="P313" s="4"/>
      <c r="Q313" s="4"/>
    </row>
    <row r="314" spans="1:17" x14ac:dyDescent="0.2">
      <c r="A314" s="1">
        <f t="shared" ca="1" si="7"/>
        <v>312</v>
      </c>
      <c r="B314" s="1" t="s">
        <v>360</v>
      </c>
      <c r="C314" s="82" t="s">
        <v>7730</v>
      </c>
      <c r="D314" s="4"/>
      <c r="E314" s="4"/>
      <c r="F314" s="71"/>
      <c r="G314" s="4"/>
      <c r="H314" s="4"/>
      <c r="I314" s="4" t="s">
        <v>631</v>
      </c>
      <c r="J314" s="4" t="s">
        <v>3589</v>
      </c>
      <c r="K314" s="4"/>
      <c r="L314" s="4"/>
      <c r="M314" s="4"/>
      <c r="N314" s="4"/>
      <c r="O314" s="4"/>
      <c r="P314" s="4"/>
      <c r="Q314" s="4"/>
    </row>
    <row r="315" spans="1:17" x14ac:dyDescent="0.2">
      <c r="A315" s="1">
        <f t="shared" ca="1" si="7"/>
        <v>313</v>
      </c>
      <c r="B315" s="1" t="s">
        <v>4526</v>
      </c>
      <c r="C315" s="89" t="s">
        <v>4526</v>
      </c>
      <c r="D315" s="4"/>
      <c r="E315" s="4"/>
      <c r="F315" s="71"/>
      <c r="G315" s="4"/>
      <c r="H315" s="4"/>
      <c r="I315" s="4" t="s">
        <v>632</v>
      </c>
      <c r="J315" s="4" t="s">
        <v>3590</v>
      </c>
      <c r="K315" s="4"/>
      <c r="L315" s="4"/>
      <c r="M315" s="4"/>
      <c r="N315" s="4"/>
      <c r="O315" s="4"/>
      <c r="P315" s="4"/>
      <c r="Q315" s="4"/>
    </row>
    <row r="316" spans="1:17" x14ac:dyDescent="0.2">
      <c r="A316" s="1">
        <f t="shared" ca="1" si="7"/>
        <v>314</v>
      </c>
      <c r="B316" s="1" t="s">
        <v>5482</v>
      </c>
      <c r="C316" s="82" t="s">
        <v>5275</v>
      </c>
      <c r="D316" s="4"/>
      <c r="E316" s="4"/>
      <c r="F316" s="71"/>
      <c r="G316" s="4"/>
      <c r="H316" s="4"/>
      <c r="I316" s="4" t="s">
        <v>633</v>
      </c>
      <c r="J316" s="4" t="s">
        <v>7635</v>
      </c>
      <c r="K316" s="4"/>
      <c r="L316" s="4"/>
      <c r="M316" s="4"/>
      <c r="N316" s="4"/>
      <c r="O316" s="4"/>
      <c r="P316" s="4"/>
      <c r="Q316" s="4"/>
    </row>
    <row r="317" spans="1:17" x14ac:dyDescent="0.2">
      <c r="A317" s="1">
        <f t="shared" ca="1" si="7"/>
        <v>315</v>
      </c>
      <c r="B317" s="1" t="s">
        <v>4520</v>
      </c>
      <c r="C317" s="82" t="s">
        <v>4523</v>
      </c>
      <c r="D317" s="4"/>
      <c r="E317" s="4"/>
      <c r="F317" s="71"/>
      <c r="G317" s="4"/>
      <c r="H317" s="4"/>
      <c r="I317" s="4" t="s">
        <v>634</v>
      </c>
      <c r="J317" s="4" t="s">
        <v>7636</v>
      </c>
      <c r="K317" s="4"/>
      <c r="L317" s="4"/>
      <c r="M317" s="4"/>
      <c r="N317" s="4"/>
      <c r="O317" s="4"/>
      <c r="P317" s="4"/>
      <c r="Q317" s="4"/>
    </row>
    <row r="318" spans="1:17" x14ac:dyDescent="0.2">
      <c r="A318" s="1">
        <f t="shared" ca="1" si="7"/>
        <v>316</v>
      </c>
      <c r="B318" s="1" t="s">
        <v>1850</v>
      </c>
      <c r="C318" s="82" t="s">
        <v>7541</v>
      </c>
      <c r="D318" s="4"/>
      <c r="E318" s="4"/>
      <c r="F318" s="71"/>
      <c r="G318" s="4"/>
      <c r="H318" s="4"/>
      <c r="I318" s="4" t="s">
        <v>1558</v>
      </c>
      <c r="J318" s="4"/>
      <c r="K318" s="4"/>
      <c r="L318" s="4"/>
      <c r="M318" s="4"/>
      <c r="N318" s="4"/>
      <c r="O318" s="4"/>
      <c r="P318" s="4"/>
      <c r="Q318" s="4"/>
    </row>
    <row r="319" spans="1:17" x14ac:dyDescent="0.2">
      <c r="A319" s="1">
        <f t="shared" ca="1" si="7"/>
        <v>317</v>
      </c>
      <c r="B319" s="1" t="s">
        <v>2806</v>
      </c>
      <c r="C319" s="82" t="s">
        <v>1946</v>
      </c>
      <c r="D319" s="4"/>
      <c r="E319" s="4"/>
      <c r="F319" s="71"/>
      <c r="G319" s="4"/>
      <c r="H319" s="4"/>
      <c r="I319" s="4" t="s">
        <v>635</v>
      </c>
      <c r="J319" s="4" t="s">
        <v>7637</v>
      </c>
      <c r="K319" s="4"/>
      <c r="L319" s="4"/>
      <c r="M319" s="4"/>
      <c r="N319" s="4"/>
      <c r="O319" s="4"/>
      <c r="P319" s="4"/>
      <c r="Q319" s="4"/>
    </row>
    <row r="320" spans="1:17" x14ac:dyDescent="0.2">
      <c r="A320" s="1">
        <f t="shared" ca="1" si="7"/>
        <v>318</v>
      </c>
      <c r="B320" s="1" t="s">
        <v>8441</v>
      </c>
      <c r="C320" s="82" t="s">
        <v>7542</v>
      </c>
      <c r="D320" s="4"/>
      <c r="E320" s="4"/>
      <c r="F320" s="71"/>
      <c r="G320" s="4"/>
      <c r="H320" s="4"/>
      <c r="I320" s="4" t="s">
        <v>636</v>
      </c>
      <c r="J320" s="4" t="s">
        <v>7638</v>
      </c>
      <c r="K320" s="4"/>
      <c r="L320" s="4"/>
      <c r="M320" s="4"/>
      <c r="N320" s="4"/>
      <c r="O320" s="4"/>
      <c r="P320" s="4"/>
      <c r="Q320" s="4"/>
    </row>
    <row r="321" spans="1:17" x14ac:dyDescent="0.2">
      <c r="A321" s="1">
        <f t="shared" ca="1" si="7"/>
        <v>319</v>
      </c>
      <c r="B321" s="1" t="s">
        <v>4521</v>
      </c>
      <c r="C321" s="82" t="s">
        <v>4521</v>
      </c>
      <c r="D321" s="4"/>
      <c r="E321" s="4"/>
      <c r="F321" s="71"/>
      <c r="G321" s="4"/>
      <c r="H321" s="4"/>
      <c r="I321" s="4" t="s">
        <v>637</v>
      </c>
      <c r="J321" s="4" t="s">
        <v>7639</v>
      </c>
      <c r="K321" s="4"/>
      <c r="L321" s="4"/>
      <c r="M321" s="4"/>
      <c r="N321" s="4"/>
      <c r="O321" s="4"/>
      <c r="P321" s="4"/>
      <c r="Q321" s="4"/>
    </row>
    <row r="322" spans="1:17" x14ac:dyDescent="0.2">
      <c r="A322" s="1">
        <f t="shared" ca="1" si="7"/>
        <v>320</v>
      </c>
      <c r="B322" s="1" t="s">
        <v>4524</v>
      </c>
      <c r="C322" s="89" t="s">
        <v>4524</v>
      </c>
      <c r="D322" s="4"/>
      <c r="E322" s="4"/>
      <c r="F322" s="71"/>
      <c r="G322" s="4"/>
      <c r="H322" s="4"/>
      <c r="I322" s="4" t="s">
        <v>4524</v>
      </c>
      <c r="J322" s="4" t="s">
        <v>4524</v>
      </c>
      <c r="K322" s="4"/>
      <c r="L322" s="4"/>
      <c r="M322" s="4"/>
      <c r="N322" s="4"/>
      <c r="O322" s="4"/>
      <c r="P322" s="4"/>
      <c r="Q322" s="4"/>
    </row>
    <row r="323" spans="1:17" x14ac:dyDescent="0.2">
      <c r="A323" s="1">
        <f t="shared" ca="1" si="7"/>
        <v>321</v>
      </c>
      <c r="B323" s="1" t="s">
        <v>4525</v>
      </c>
      <c r="C323" s="89" t="s">
        <v>7731</v>
      </c>
      <c r="D323" s="4"/>
      <c r="E323" s="4"/>
      <c r="F323" s="71"/>
      <c r="G323" s="4"/>
      <c r="H323" s="4"/>
      <c r="I323" s="4" t="s">
        <v>638</v>
      </c>
      <c r="J323" s="4" t="s">
        <v>27</v>
      </c>
      <c r="K323" s="4"/>
      <c r="L323" s="4"/>
      <c r="M323" s="4"/>
      <c r="N323" s="4"/>
      <c r="O323" s="4"/>
      <c r="P323" s="4"/>
      <c r="Q323" s="4"/>
    </row>
    <row r="324" spans="1:17" ht="15.75" customHeight="1" x14ac:dyDescent="0.2">
      <c r="A324" s="1">
        <f t="shared" ca="1" si="7"/>
        <v>322</v>
      </c>
      <c r="B324" s="1" t="s">
        <v>5435</v>
      </c>
      <c r="C324" s="89" t="s">
        <v>5436</v>
      </c>
      <c r="D324" s="4"/>
      <c r="E324" s="4"/>
      <c r="F324" s="71"/>
      <c r="G324" s="4"/>
      <c r="H324" s="4"/>
      <c r="I324" s="4" t="s">
        <v>639</v>
      </c>
      <c r="J324" s="4" t="s">
        <v>28</v>
      </c>
      <c r="K324" s="4"/>
      <c r="L324" s="4"/>
      <c r="M324" s="4"/>
      <c r="N324" s="4"/>
      <c r="O324" s="4"/>
      <c r="P324" s="4"/>
      <c r="Q324" s="4"/>
    </row>
    <row r="325" spans="1:17" x14ac:dyDescent="0.2">
      <c r="A325" s="1">
        <f t="shared" ca="1" si="7"/>
        <v>323</v>
      </c>
      <c r="B325" s="1" t="s">
        <v>4527</v>
      </c>
      <c r="C325" s="82" t="s">
        <v>3952</v>
      </c>
      <c r="D325" s="4"/>
      <c r="E325" s="4"/>
      <c r="F325" s="71"/>
      <c r="G325" s="4"/>
      <c r="H325" s="4"/>
      <c r="I325" s="4" t="s">
        <v>640</v>
      </c>
      <c r="J325" s="4" t="s">
        <v>29</v>
      </c>
      <c r="K325" s="4"/>
      <c r="L325" s="4"/>
      <c r="M325" s="4"/>
      <c r="N325" s="4"/>
      <c r="O325" s="4"/>
      <c r="P325" s="4"/>
      <c r="Q325" s="4"/>
    </row>
    <row r="326" spans="1:17" x14ac:dyDescent="0.2">
      <c r="A326" s="1">
        <f t="shared" ca="1" si="7"/>
        <v>324</v>
      </c>
      <c r="B326" s="1" t="s">
        <v>4528</v>
      </c>
      <c r="C326" s="89" t="s">
        <v>3953</v>
      </c>
      <c r="D326" s="4"/>
      <c r="E326" s="4"/>
      <c r="F326" s="71"/>
      <c r="G326" s="4"/>
      <c r="H326" s="4"/>
      <c r="I326" s="89" t="s">
        <v>641</v>
      </c>
      <c r="J326" s="4" t="s">
        <v>30</v>
      </c>
      <c r="K326" s="4"/>
      <c r="L326" s="4"/>
      <c r="M326" s="4"/>
      <c r="N326" s="4"/>
      <c r="O326" s="4"/>
      <c r="P326" s="4"/>
      <c r="Q326" s="4"/>
    </row>
    <row r="327" spans="1:17" x14ac:dyDescent="0.2">
      <c r="A327" s="1">
        <f t="shared" ca="1" si="7"/>
        <v>325</v>
      </c>
      <c r="B327" s="1" t="s">
        <v>4529</v>
      </c>
      <c r="C327" s="89" t="s">
        <v>3954</v>
      </c>
      <c r="D327" s="4"/>
      <c r="E327" s="4"/>
      <c r="F327" s="71"/>
      <c r="G327" s="4"/>
      <c r="H327" s="4"/>
      <c r="I327" s="89" t="s">
        <v>642</v>
      </c>
      <c r="J327" s="4" t="s">
        <v>31</v>
      </c>
      <c r="K327" s="4"/>
      <c r="L327" s="4"/>
      <c r="M327" s="4"/>
      <c r="N327" s="4"/>
      <c r="O327" s="4"/>
      <c r="P327" s="4"/>
      <c r="Q327" s="4"/>
    </row>
    <row r="328" spans="1:17" x14ac:dyDescent="0.2">
      <c r="A328" s="1">
        <f t="shared" ca="1" si="7"/>
        <v>326</v>
      </c>
      <c r="B328" s="1" t="s">
        <v>4530</v>
      </c>
      <c r="C328" s="89" t="s">
        <v>4530</v>
      </c>
      <c r="D328" s="4"/>
      <c r="E328" s="4"/>
      <c r="F328" s="71"/>
      <c r="G328" s="4"/>
      <c r="H328" s="4"/>
      <c r="I328" s="89" t="s">
        <v>643</v>
      </c>
      <c r="J328" s="4" t="s">
        <v>4530</v>
      </c>
      <c r="K328" s="4"/>
      <c r="L328" s="4"/>
      <c r="M328" s="4"/>
      <c r="N328" s="4"/>
      <c r="O328" s="4"/>
      <c r="P328" s="4"/>
      <c r="Q328" s="4"/>
    </row>
    <row r="329" spans="1:17" x14ac:dyDescent="0.2">
      <c r="A329" s="1">
        <f t="shared" ca="1" si="7"/>
        <v>327</v>
      </c>
      <c r="B329" s="1" t="s">
        <v>7804</v>
      </c>
      <c r="C329" s="89" t="s">
        <v>3955</v>
      </c>
      <c r="D329" s="4"/>
      <c r="E329" s="4"/>
      <c r="F329" s="71"/>
      <c r="G329" s="4"/>
      <c r="H329" s="4"/>
      <c r="I329" s="89" t="s">
        <v>644</v>
      </c>
      <c r="J329" s="4" t="s">
        <v>32</v>
      </c>
      <c r="K329" s="4"/>
      <c r="L329" s="4"/>
      <c r="M329" s="4"/>
      <c r="N329" s="4"/>
      <c r="O329" s="4"/>
      <c r="P329" s="4"/>
      <c r="Q329" s="4"/>
    </row>
    <row r="330" spans="1:17" x14ac:dyDescent="0.2">
      <c r="A330" s="1">
        <f t="shared" ca="1" si="7"/>
        <v>328</v>
      </c>
      <c r="B330" s="1" t="s">
        <v>7805</v>
      </c>
      <c r="C330" s="89" t="s">
        <v>3956</v>
      </c>
      <c r="D330" s="4"/>
      <c r="E330" s="4"/>
      <c r="F330" s="71"/>
      <c r="G330" s="4"/>
      <c r="H330" s="4"/>
      <c r="I330" s="89" t="s">
        <v>645</v>
      </c>
      <c r="J330" s="4" t="s">
        <v>5911</v>
      </c>
      <c r="K330" s="4"/>
      <c r="L330" s="4"/>
      <c r="M330" s="4"/>
      <c r="N330" s="4"/>
      <c r="O330" s="4"/>
      <c r="P330" s="4"/>
      <c r="Q330" s="4"/>
    </row>
    <row r="331" spans="1:17" x14ac:dyDescent="0.2">
      <c r="A331" s="1">
        <f t="shared" ref="A331:A398" ca="1" si="9">CELL("row",C331)-2</f>
        <v>329</v>
      </c>
      <c r="B331" s="1" t="s">
        <v>7806</v>
      </c>
      <c r="C331" s="89" t="s">
        <v>3957</v>
      </c>
      <c r="D331" s="4"/>
      <c r="E331" s="4"/>
      <c r="F331" s="71"/>
      <c r="G331" s="4"/>
      <c r="H331" s="4"/>
      <c r="I331" s="89" t="s">
        <v>1542</v>
      </c>
      <c r="J331" s="4" t="s">
        <v>5912</v>
      </c>
      <c r="K331" s="4"/>
      <c r="L331" s="4"/>
      <c r="M331" s="4"/>
      <c r="N331" s="4"/>
      <c r="O331" s="4"/>
      <c r="P331" s="4"/>
      <c r="Q331" s="4"/>
    </row>
    <row r="332" spans="1:17" x14ac:dyDescent="0.2">
      <c r="A332" s="1">
        <f t="shared" ca="1" si="9"/>
        <v>330</v>
      </c>
      <c r="B332" s="1" t="s">
        <v>7807</v>
      </c>
      <c r="C332" s="89" t="s">
        <v>7732</v>
      </c>
      <c r="D332" s="4"/>
      <c r="E332" s="4"/>
      <c r="F332" s="71"/>
      <c r="G332" s="4"/>
      <c r="H332" s="4"/>
      <c r="I332" s="89" t="s">
        <v>1543</v>
      </c>
      <c r="J332" s="4" t="s">
        <v>5913</v>
      </c>
      <c r="K332" s="4"/>
      <c r="L332" s="4"/>
      <c r="M332" s="4"/>
      <c r="N332" s="4"/>
      <c r="O332" s="4"/>
      <c r="P332" s="4"/>
      <c r="Q332" s="4"/>
    </row>
    <row r="333" spans="1:17" x14ac:dyDescent="0.2">
      <c r="A333" s="1">
        <f t="shared" ca="1" si="9"/>
        <v>331</v>
      </c>
      <c r="B333" s="1" t="s">
        <v>5432</v>
      </c>
      <c r="C333" s="89" t="s">
        <v>7733</v>
      </c>
      <c r="D333" s="4"/>
      <c r="E333" s="4"/>
      <c r="F333" s="71"/>
      <c r="G333" s="4"/>
      <c r="H333" s="4"/>
      <c r="I333" s="89" t="s">
        <v>1544</v>
      </c>
      <c r="J333" s="4" t="s">
        <v>5914</v>
      </c>
      <c r="K333" s="4"/>
      <c r="L333" s="4"/>
      <c r="M333" s="4"/>
      <c r="N333" s="4"/>
      <c r="O333" s="4"/>
      <c r="P333" s="4"/>
      <c r="Q333" s="4"/>
    </row>
    <row r="334" spans="1:17" x14ac:dyDescent="0.2">
      <c r="A334" s="1">
        <f t="shared" ca="1" si="9"/>
        <v>332</v>
      </c>
      <c r="B334" s="1" t="s">
        <v>5433</v>
      </c>
      <c r="C334" s="89" t="s">
        <v>7215</v>
      </c>
      <c r="D334" s="4"/>
      <c r="E334" s="4"/>
      <c r="F334" s="71"/>
      <c r="G334" s="4"/>
      <c r="H334" s="4"/>
      <c r="I334" s="89" t="s">
        <v>1545</v>
      </c>
      <c r="J334" s="4"/>
      <c r="K334" s="4"/>
      <c r="L334" s="4"/>
      <c r="M334" s="4"/>
      <c r="N334" s="4"/>
      <c r="O334" s="4"/>
      <c r="P334" s="4"/>
      <c r="Q334" s="4"/>
    </row>
    <row r="335" spans="1:17" x14ac:dyDescent="0.2">
      <c r="A335" s="1">
        <f t="shared" ca="1" si="9"/>
        <v>333</v>
      </c>
      <c r="B335" s="1" t="s">
        <v>5434</v>
      </c>
      <c r="C335" s="89" t="s">
        <v>2940</v>
      </c>
      <c r="D335" s="4"/>
      <c r="E335" s="4"/>
      <c r="F335" s="71"/>
      <c r="G335" s="4"/>
      <c r="H335" s="4"/>
      <c r="I335" s="89" t="s">
        <v>1546</v>
      </c>
      <c r="J335" s="4"/>
      <c r="K335" s="4"/>
      <c r="L335" s="4"/>
      <c r="M335" s="4"/>
      <c r="N335" s="4"/>
      <c r="O335" s="4"/>
      <c r="P335" s="4"/>
      <c r="Q335" s="4"/>
    </row>
    <row r="336" spans="1:17" ht="25.5" x14ac:dyDescent="0.2">
      <c r="A336" s="1">
        <f t="shared" ca="1" si="9"/>
        <v>334</v>
      </c>
      <c r="B336" s="1" t="s">
        <v>1716</v>
      </c>
      <c r="C336" s="89" t="s">
        <v>1717</v>
      </c>
      <c r="D336" s="4"/>
      <c r="E336" s="4"/>
      <c r="F336" s="71"/>
      <c r="G336" s="4"/>
      <c r="H336" s="4"/>
      <c r="I336" s="89" t="s">
        <v>1547</v>
      </c>
      <c r="J336" s="4"/>
      <c r="K336" s="4"/>
      <c r="L336" s="4"/>
      <c r="M336" s="4"/>
      <c r="N336" s="4"/>
      <c r="O336" s="4"/>
      <c r="P336" s="4"/>
      <c r="Q336" s="4"/>
    </row>
    <row r="337" spans="1:17" x14ac:dyDescent="0.2">
      <c r="A337" s="1">
        <f t="shared" ca="1" si="9"/>
        <v>335</v>
      </c>
      <c r="B337" s="1" t="s">
        <v>7742</v>
      </c>
      <c r="C337" s="89" t="s">
        <v>7967</v>
      </c>
      <c r="D337" s="4"/>
      <c r="E337" s="4"/>
      <c r="F337" s="71"/>
      <c r="G337" s="4"/>
      <c r="H337" s="4"/>
      <c r="I337" s="89" t="s">
        <v>1548</v>
      </c>
      <c r="J337" s="4" t="s">
        <v>4507</v>
      </c>
      <c r="K337" s="4"/>
      <c r="L337" s="4"/>
      <c r="M337" s="4"/>
      <c r="N337" s="4"/>
      <c r="O337" s="4"/>
      <c r="P337" s="4"/>
      <c r="Q337" s="4"/>
    </row>
    <row r="338" spans="1:17" x14ac:dyDescent="0.2">
      <c r="A338" s="1">
        <f t="shared" ca="1" si="9"/>
        <v>336</v>
      </c>
      <c r="B338" s="1" t="s">
        <v>2942</v>
      </c>
      <c r="C338" s="82" t="s">
        <v>7734</v>
      </c>
      <c r="D338" s="4"/>
      <c r="E338" s="4"/>
      <c r="F338" s="71"/>
      <c r="G338" s="4"/>
      <c r="H338" s="4"/>
      <c r="I338" s="82" t="s">
        <v>1549</v>
      </c>
      <c r="J338" s="4"/>
      <c r="K338" s="4"/>
      <c r="L338" s="4"/>
      <c r="M338" s="4"/>
      <c r="N338" s="4"/>
      <c r="O338" s="4"/>
      <c r="P338" s="4"/>
      <c r="Q338" s="4"/>
    </row>
    <row r="339" spans="1:17" x14ac:dyDescent="0.2">
      <c r="A339" s="1">
        <f t="shared" ca="1" si="9"/>
        <v>337</v>
      </c>
      <c r="B339" s="1" t="s">
        <v>2943</v>
      </c>
      <c r="C339" s="82" t="s">
        <v>7968</v>
      </c>
      <c r="D339" s="4"/>
      <c r="E339" s="4"/>
      <c r="F339" s="71"/>
      <c r="G339" s="4"/>
      <c r="H339" s="4"/>
      <c r="I339" s="82" t="s">
        <v>1550</v>
      </c>
      <c r="J339" s="4" t="s">
        <v>7317</v>
      </c>
      <c r="K339" s="4"/>
      <c r="L339" s="4"/>
      <c r="M339" s="4"/>
      <c r="N339" s="4"/>
      <c r="O339" s="4"/>
      <c r="P339" s="4"/>
      <c r="Q339" s="4"/>
    </row>
    <row r="340" spans="1:17" x14ac:dyDescent="0.2">
      <c r="A340" s="1">
        <f t="shared" ca="1" si="9"/>
        <v>338</v>
      </c>
      <c r="B340" s="1" t="s">
        <v>2944</v>
      </c>
      <c r="C340" s="89" t="s">
        <v>2944</v>
      </c>
      <c r="D340" s="4"/>
      <c r="E340" s="4"/>
      <c r="F340" s="71"/>
      <c r="G340" s="4"/>
      <c r="H340" s="4"/>
      <c r="I340" s="89" t="s">
        <v>2944</v>
      </c>
      <c r="J340" s="4"/>
      <c r="K340" s="4"/>
      <c r="L340" s="4"/>
      <c r="M340" s="4"/>
      <c r="N340" s="4"/>
      <c r="O340" s="4"/>
      <c r="P340" s="4"/>
      <c r="Q340" s="4"/>
    </row>
    <row r="341" spans="1:17" x14ac:dyDescent="0.2">
      <c r="A341" s="1">
        <f t="shared" ca="1" si="9"/>
        <v>339</v>
      </c>
      <c r="B341" s="1" t="s">
        <v>1797</v>
      </c>
      <c r="C341" s="89" t="s">
        <v>1797</v>
      </c>
      <c r="D341" s="4"/>
      <c r="E341" s="4"/>
      <c r="F341" s="71"/>
      <c r="G341" s="4"/>
      <c r="H341" s="4"/>
      <c r="I341" s="89" t="s">
        <v>1797</v>
      </c>
      <c r="J341" s="4"/>
      <c r="K341" s="4"/>
      <c r="L341" s="4"/>
      <c r="M341" s="4"/>
      <c r="N341" s="4"/>
      <c r="O341" s="4"/>
      <c r="P341" s="4"/>
      <c r="Q341" s="4"/>
    </row>
    <row r="342" spans="1:17" x14ac:dyDescent="0.2">
      <c r="A342" s="1">
        <f t="shared" ca="1" si="9"/>
        <v>340</v>
      </c>
      <c r="B342" s="1" t="s">
        <v>1798</v>
      </c>
      <c r="C342" s="89" t="s">
        <v>1798</v>
      </c>
      <c r="D342" s="4"/>
      <c r="E342" s="4"/>
      <c r="F342" s="71"/>
      <c r="G342" s="4"/>
      <c r="H342" s="4"/>
      <c r="I342" s="89" t="s">
        <v>1551</v>
      </c>
      <c r="J342" s="4"/>
      <c r="K342" s="4"/>
      <c r="L342" s="4"/>
      <c r="M342" s="4"/>
      <c r="N342" s="4"/>
      <c r="O342" s="4"/>
      <c r="P342" s="4"/>
      <c r="Q342" s="4"/>
    </row>
    <row r="343" spans="1:17" x14ac:dyDescent="0.2">
      <c r="A343" s="1">
        <f t="shared" ca="1" si="9"/>
        <v>341</v>
      </c>
      <c r="B343" s="1" t="s">
        <v>3884</v>
      </c>
      <c r="C343" s="82" t="s">
        <v>7735</v>
      </c>
      <c r="D343" s="4"/>
      <c r="E343" s="4"/>
      <c r="F343" s="71"/>
      <c r="G343" s="4"/>
      <c r="H343" s="4"/>
      <c r="I343" s="4" t="s">
        <v>3775</v>
      </c>
      <c r="J343" s="4" t="s">
        <v>7395</v>
      </c>
      <c r="K343" s="4"/>
      <c r="L343" s="4"/>
      <c r="M343" s="4"/>
      <c r="N343" s="4"/>
      <c r="O343" s="4"/>
      <c r="P343" s="4"/>
      <c r="Q343" s="4"/>
    </row>
    <row r="344" spans="1:17" ht="25.5" x14ac:dyDescent="0.2">
      <c r="A344" s="1">
        <f t="shared" ca="1" si="9"/>
        <v>342</v>
      </c>
      <c r="B344" s="1" t="s">
        <v>7026</v>
      </c>
      <c r="C344" s="82" t="s">
        <v>7736</v>
      </c>
      <c r="D344" s="4"/>
      <c r="E344" s="4"/>
      <c r="F344" s="71"/>
      <c r="G344" s="4"/>
      <c r="H344" s="4"/>
      <c r="I344" s="4" t="s">
        <v>3776</v>
      </c>
      <c r="J344" s="4" t="s">
        <v>7396</v>
      </c>
      <c r="K344" s="4"/>
      <c r="L344" s="4"/>
      <c r="M344" s="4"/>
      <c r="N344" s="4"/>
      <c r="O344" s="4"/>
      <c r="P344" s="4"/>
      <c r="Q344" s="4"/>
    </row>
    <row r="345" spans="1:17" x14ac:dyDescent="0.2">
      <c r="A345" s="1">
        <f t="shared" ca="1" si="9"/>
        <v>343</v>
      </c>
      <c r="B345" s="1" t="s">
        <v>7937</v>
      </c>
      <c r="C345" s="82" t="s">
        <v>7737</v>
      </c>
      <c r="D345" s="4"/>
      <c r="E345" s="4"/>
      <c r="F345" s="71"/>
      <c r="G345" s="4"/>
      <c r="H345" s="4"/>
      <c r="I345" s="1" t="s">
        <v>3777</v>
      </c>
      <c r="J345" s="4" t="s">
        <v>7391</v>
      </c>
      <c r="K345" s="4"/>
      <c r="L345" s="4"/>
      <c r="M345" s="4"/>
      <c r="N345" s="4"/>
      <c r="O345" s="4"/>
      <c r="P345" s="4"/>
      <c r="Q345" s="4"/>
    </row>
    <row r="346" spans="1:17" x14ac:dyDescent="0.2">
      <c r="A346" s="1">
        <f t="shared" ca="1" si="9"/>
        <v>344</v>
      </c>
      <c r="B346" s="1" t="s">
        <v>6245</v>
      </c>
      <c r="C346" s="82" t="s">
        <v>7738</v>
      </c>
      <c r="D346" s="4"/>
      <c r="E346" s="4"/>
      <c r="F346" s="71"/>
      <c r="G346" s="4"/>
      <c r="H346" s="4"/>
      <c r="I346" s="4" t="s">
        <v>3778</v>
      </c>
      <c r="J346" s="4" t="s">
        <v>7397</v>
      </c>
      <c r="K346" s="4"/>
      <c r="L346" s="4"/>
      <c r="M346" s="4"/>
      <c r="N346" s="4"/>
      <c r="O346" s="4"/>
      <c r="P346" s="4"/>
      <c r="Q346" s="4"/>
    </row>
    <row r="347" spans="1:17" ht="25.5" x14ac:dyDescent="0.2">
      <c r="A347" s="1">
        <f t="shared" ca="1" si="9"/>
        <v>345</v>
      </c>
      <c r="B347" s="1" t="s">
        <v>5695</v>
      </c>
      <c r="C347" s="82" t="s">
        <v>7938</v>
      </c>
      <c r="D347" s="4"/>
      <c r="E347" s="4"/>
      <c r="F347" s="71"/>
      <c r="G347" s="4"/>
      <c r="H347" s="4"/>
      <c r="I347" s="4" t="s">
        <v>3779</v>
      </c>
      <c r="J347" s="4" t="s">
        <v>7398</v>
      </c>
      <c r="K347" s="4"/>
      <c r="L347" s="4"/>
      <c r="M347" s="4"/>
      <c r="N347" s="4"/>
      <c r="O347" s="4"/>
      <c r="P347" s="4"/>
      <c r="Q347" s="4"/>
    </row>
    <row r="348" spans="1:17" x14ac:dyDescent="0.2">
      <c r="A348" s="1">
        <f t="shared" ca="1" si="9"/>
        <v>346</v>
      </c>
      <c r="B348" s="1" t="s">
        <v>5696</v>
      </c>
      <c r="C348" s="82" t="s">
        <v>7939</v>
      </c>
      <c r="D348" s="4"/>
      <c r="E348" s="4"/>
      <c r="F348" s="71"/>
      <c r="G348" s="4"/>
      <c r="H348" s="4"/>
      <c r="I348" s="82" t="s">
        <v>3780</v>
      </c>
      <c r="J348" s="4" t="s">
        <v>7399</v>
      </c>
      <c r="K348" s="4"/>
      <c r="L348" s="4"/>
      <c r="M348" s="4"/>
      <c r="N348" s="4"/>
      <c r="O348" s="4"/>
      <c r="P348" s="4"/>
      <c r="Q348" s="4"/>
    </row>
    <row r="349" spans="1:17" x14ac:dyDescent="0.2">
      <c r="A349" s="1">
        <f t="shared" ca="1" si="9"/>
        <v>347</v>
      </c>
      <c r="B349" s="1" t="s">
        <v>5697</v>
      </c>
      <c r="C349" s="82" t="s">
        <v>7940</v>
      </c>
      <c r="D349" s="4"/>
      <c r="E349" s="4"/>
      <c r="F349" s="71"/>
      <c r="G349" s="4"/>
      <c r="H349" s="4"/>
      <c r="I349" s="82" t="s">
        <v>3781</v>
      </c>
      <c r="J349" s="4" t="s">
        <v>7400</v>
      </c>
      <c r="K349" s="4"/>
      <c r="L349" s="4"/>
      <c r="M349" s="4"/>
      <c r="N349" s="4"/>
      <c r="O349" s="4"/>
      <c r="P349" s="4"/>
      <c r="Q349" s="4"/>
    </row>
    <row r="350" spans="1:17" x14ac:dyDescent="0.2">
      <c r="A350" s="1">
        <f t="shared" ca="1" si="9"/>
        <v>348</v>
      </c>
      <c r="B350" s="1" t="s">
        <v>7969</v>
      </c>
      <c r="C350" s="82" t="s">
        <v>7941</v>
      </c>
      <c r="D350" s="4"/>
      <c r="E350" s="4"/>
      <c r="F350" s="71"/>
      <c r="G350" s="4"/>
      <c r="H350" s="4"/>
      <c r="I350" s="82" t="s">
        <v>3798</v>
      </c>
      <c r="J350" s="4" t="s">
        <v>7401</v>
      </c>
      <c r="K350" s="4"/>
      <c r="L350" s="4"/>
      <c r="M350" s="4"/>
      <c r="N350" s="4"/>
      <c r="O350" s="4"/>
      <c r="P350" s="4"/>
      <c r="Q350" s="4"/>
    </row>
    <row r="351" spans="1:17" ht="25.5" x14ac:dyDescent="0.2">
      <c r="A351" s="1">
        <f t="shared" ca="1" si="9"/>
        <v>349</v>
      </c>
      <c r="B351" s="1" t="s">
        <v>7741</v>
      </c>
      <c r="C351" s="82" t="s">
        <v>7942</v>
      </c>
      <c r="D351" s="4"/>
      <c r="E351" s="4"/>
      <c r="F351" s="71"/>
      <c r="G351" s="4"/>
      <c r="H351" s="4"/>
      <c r="I351" s="4" t="s">
        <v>3799</v>
      </c>
      <c r="J351" s="4" t="s">
        <v>7402</v>
      </c>
      <c r="K351" s="4"/>
      <c r="L351" s="4"/>
      <c r="M351" s="4"/>
      <c r="N351" s="4"/>
      <c r="O351" s="4"/>
      <c r="P351" s="4"/>
      <c r="Q351" s="4"/>
    </row>
    <row r="352" spans="1:17" x14ac:dyDescent="0.2">
      <c r="A352" s="1">
        <f ca="1">CELL("row",C352)-2</f>
        <v>350</v>
      </c>
      <c r="B352" s="1" t="s">
        <v>8602</v>
      </c>
      <c r="C352" s="145" t="s">
        <v>8556</v>
      </c>
      <c r="D352" s="4"/>
      <c r="E352" s="4"/>
      <c r="F352" s="71"/>
      <c r="G352" s="4"/>
      <c r="H352" s="4"/>
      <c r="J352" s="4"/>
      <c r="K352" s="4"/>
      <c r="L352" s="4"/>
      <c r="M352" s="4"/>
      <c r="N352" s="4"/>
      <c r="O352" s="4"/>
      <c r="P352" s="4"/>
      <c r="Q352" s="4"/>
    </row>
    <row r="353" spans="1:17" x14ac:dyDescent="0.2">
      <c r="A353" s="1">
        <f ca="1">CELL("row",C353)-2</f>
        <v>351</v>
      </c>
      <c r="B353" s="1" t="s">
        <v>8603</v>
      </c>
      <c r="C353" s="145" t="s">
        <v>8600</v>
      </c>
      <c r="D353" s="4"/>
      <c r="E353" s="4"/>
      <c r="F353" s="71"/>
      <c r="G353" s="4"/>
      <c r="H353" s="4"/>
      <c r="J353" s="4"/>
      <c r="K353" s="4"/>
      <c r="L353" s="4"/>
      <c r="M353" s="4"/>
      <c r="N353" s="4"/>
      <c r="O353" s="4"/>
      <c r="P353" s="4"/>
      <c r="Q353" s="4"/>
    </row>
    <row r="354" spans="1:17" ht="25.5" x14ac:dyDescent="0.2">
      <c r="A354" s="1">
        <f ca="1">CELL("row",C354)-2</f>
        <v>352</v>
      </c>
      <c r="B354" s="1" t="s">
        <v>8604</v>
      </c>
      <c r="C354" s="145" t="s">
        <v>8601</v>
      </c>
      <c r="D354" s="4"/>
      <c r="E354" s="4"/>
      <c r="F354" s="71"/>
      <c r="G354" s="4"/>
      <c r="H354" s="4"/>
      <c r="J354" s="4"/>
      <c r="K354" s="4"/>
      <c r="L354" s="4"/>
      <c r="M354" s="4"/>
      <c r="N354" s="4"/>
      <c r="O354" s="4"/>
      <c r="P354" s="4"/>
      <c r="Q354" s="4"/>
    </row>
    <row r="355" spans="1:17" x14ac:dyDescent="0.2">
      <c r="A355" s="1">
        <f t="shared" ca="1" si="9"/>
        <v>353</v>
      </c>
      <c r="B355" s="1" t="s">
        <v>7966</v>
      </c>
      <c r="C355" s="82" t="s">
        <v>3533</v>
      </c>
      <c r="D355" s="4"/>
      <c r="E355" s="4"/>
      <c r="F355" s="71"/>
      <c r="G355" s="4"/>
      <c r="H355" s="4"/>
      <c r="I355" s="4" t="s">
        <v>3800</v>
      </c>
      <c r="J355" s="4" t="s">
        <v>7394</v>
      </c>
      <c r="K355" s="4"/>
      <c r="L355" s="4"/>
      <c r="M355" s="4"/>
      <c r="N355" s="4"/>
      <c r="O355" s="4"/>
      <c r="P355" s="4"/>
      <c r="Q355" s="4"/>
    </row>
    <row r="356" spans="1:17" x14ac:dyDescent="0.2">
      <c r="A356" s="1">
        <f t="shared" ca="1" si="9"/>
        <v>354</v>
      </c>
      <c r="B356" s="1" t="s">
        <v>3534</v>
      </c>
      <c r="C356" s="82" t="s">
        <v>1684</v>
      </c>
      <c r="D356" s="4"/>
      <c r="E356" s="4"/>
      <c r="F356" s="71"/>
      <c r="G356" s="4"/>
      <c r="H356" s="4"/>
      <c r="I356" s="4" t="s">
        <v>3801</v>
      </c>
      <c r="J356" s="4"/>
      <c r="K356" s="4"/>
      <c r="L356" s="4"/>
      <c r="M356" s="4"/>
      <c r="N356" s="4"/>
      <c r="O356" s="4"/>
      <c r="P356" s="4"/>
      <c r="Q356" s="4"/>
    </row>
    <row r="357" spans="1:17" x14ac:dyDescent="0.2">
      <c r="A357" s="1">
        <f t="shared" ca="1" si="9"/>
        <v>355</v>
      </c>
      <c r="B357" s="1" t="s">
        <v>3535</v>
      </c>
      <c r="C357" s="82" t="s">
        <v>7216</v>
      </c>
      <c r="D357" s="4"/>
      <c r="E357" s="4"/>
      <c r="F357" s="71"/>
      <c r="G357" s="4"/>
      <c r="H357" s="4"/>
      <c r="I357" s="4" t="s">
        <v>3802</v>
      </c>
      <c r="J357" s="4"/>
      <c r="K357" s="4"/>
      <c r="L357" s="4"/>
      <c r="M357" s="4"/>
      <c r="N357" s="4"/>
      <c r="O357" s="4"/>
      <c r="P357" s="4"/>
      <c r="Q357" s="4"/>
    </row>
    <row r="358" spans="1:17" x14ac:dyDescent="0.2">
      <c r="A358" s="1">
        <f t="shared" ca="1" si="9"/>
        <v>356</v>
      </c>
      <c r="B358" s="1" t="s">
        <v>3536</v>
      </c>
      <c r="C358" s="82" t="s">
        <v>364</v>
      </c>
      <c r="D358" s="4"/>
      <c r="E358" s="4"/>
      <c r="F358" s="71"/>
      <c r="G358" s="4"/>
      <c r="H358" s="4"/>
      <c r="I358" s="4" t="s">
        <v>3803</v>
      </c>
      <c r="J358" s="4"/>
      <c r="K358" s="4"/>
      <c r="L358" s="4"/>
      <c r="M358" s="4"/>
      <c r="N358" s="4"/>
      <c r="O358" s="4"/>
      <c r="P358" s="4"/>
      <c r="Q358" s="4"/>
    </row>
    <row r="359" spans="1:17" x14ac:dyDescent="0.2">
      <c r="A359" s="1">
        <f t="shared" ca="1" si="9"/>
        <v>357</v>
      </c>
      <c r="B359" s="1" t="s">
        <v>1841</v>
      </c>
      <c r="C359" s="82" t="s">
        <v>365</v>
      </c>
      <c r="D359" s="4"/>
      <c r="E359" s="4"/>
      <c r="F359" s="71"/>
      <c r="G359" s="4"/>
      <c r="H359" s="4"/>
      <c r="I359" s="4" t="s">
        <v>3804</v>
      </c>
      <c r="J359" s="4"/>
      <c r="K359" s="4"/>
      <c r="L359" s="4"/>
      <c r="M359" s="4"/>
      <c r="N359" s="4"/>
      <c r="O359" s="4"/>
      <c r="P359" s="4"/>
      <c r="Q359" s="4"/>
    </row>
    <row r="360" spans="1:17" x14ac:dyDescent="0.2">
      <c r="A360" s="1">
        <f t="shared" ca="1" si="9"/>
        <v>358</v>
      </c>
      <c r="B360" s="1" t="s">
        <v>3537</v>
      </c>
      <c r="C360" s="82" t="s">
        <v>366</v>
      </c>
      <c r="D360" s="4"/>
      <c r="E360" s="4"/>
      <c r="F360" s="71"/>
      <c r="G360" s="4"/>
      <c r="H360" s="4"/>
      <c r="I360" s="4" t="s">
        <v>3805</v>
      </c>
      <c r="J360" s="4"/>
      <c r="K360" s="4"/>
      <c r="L360" s="4"/>
      <c r="M360" s="4"/>
      <c r="N360" s="4"/>
      <c r="O360" s="4"/>
      <c r="P360" s="4"/>
      <c r="Q360" s="4"/>
    </row>
    <row r="361" spans="1:17" x14ac:dyDescent="0.2">
      <c r="A361" s="1">
        <f t="shared" ca="1" si="9"/>
        <v>359</v>
      </c>
      <c r="B361" s="1" t="s">
        <v>1843</v>
      </c>
      <c r="C361" s="82" t="s">
        <v>1509</v>
      </c>
      <c r="D361" s="4"/>
      <c r="E361" s="4"/>
      <c r="F361" s="71"/>
      <c r="G361" s="4"/>
      <c r="H361" s="4"/>
      <c r="I361" s="4" t="s">
        <v>3806</v>
      </c>
      <c r="J361" s="4"/>
      <c r="K361" s="4"/>
      <c r="L361" s="4"/>
      <c r="M361" s="4"/>
      <c r="N361" s="4"/>
      <c r="O361" s="4"/>
      <c r="P361" s="4"/>
      <c r="Q361" s="4"/>
    </row>
    <row r="362" spans="1:17" x14ac:dyDescent="0.2">
      <c r="A362" s="1">
        <f t="shared" ca="1" si="9"/>
        <v>360</v>
      </c>
      <c r="B362" s="1" t="s">
        <v>8177</v>
      </c>
      <c r="C362" s="82" t="s">
        <v>7943</v>
      </c>
      <c r="D362" s="4"/>
      <c r="E362" s="4"/>
      <c r="F362" s="71"/>
      <c r="G362" s="4"/>
      <c r="H362" s="4"/>
      <c r="I362" s="4" t="s">
        <v>3807</v>
      </c>
      <c r="J362" s="4"/>
      <c r="K362" s="4"/>
      <c r="L362" s="4"/>
      <c r="M362" s="4"/>
      <c r="N362" s="4"/>
      <c r="O362" s="4"/>
      <c r="P362" s="4"/>
      <c r="Q362" s="4"/>
    </row>
    <row r="363" spans="1:17" x14ac:dyDescent="0.2">
      <c r="A363" s="1">
        <f t="shared" ca="1" si="9"/>
        <v>361</v>
      </c>
      <c r="B363" s="1" t="s">
        <v>1845</v>
      </c>
      <c r="C363" s="82" t="s">
        <v>7729</v>
      </c>
      <c r="D363" s="4"/>
      <c r="E363" s="4"/>
      <c r="F363" s="71"/>
      <c r="G363" s="4"/>
      <c r="H363" s="4"/>
      <c r="I363" s="4" t="s">
        <v>630</v>
      </c>
      <c r="J363" s="4" t="s">
        <v>7403</v>
      </c>
      <c r="K363" s="4"/>
      <c r="L363" s="4"/>
      <c r="M363" s="4"/>
      <c r="N363" s="4"/>
      <c r="O363" s="4"/>
      <c r="P363" s="4"/>
      <c r="Q363" s="4"/>
    </row>
    <row r="364" spans="1:17" x14ac:dyDescent="0.2">
      <c r="A364" s="1">
        <f t="shared" ca="1" si="9"/>
        <v>362</v>
      </c>
      <c r="B364" s="1" t="s">
        <v>8178</v>
      </c>
      <c r="C364" s="82" t="s">
        <v>8178</v>
      </c>
      <c r="D364" s="4"/>
      <c r="E364" s="4"/>
      <c r="F364" s="71"/>
      <c r="G364" s="4"/>
      <c r="H364" s="4"/>
      <c r="I364" s="4" t="s">
        <v>3808</v>
      </c>
      <c r="J364" s="4" t="s">
        <v>7404</v>
      </c>
      <c r="K364" s="4"/>
      <c r="L364" s="4"/>
      <c r="M364" s="4"/>
      <c r="N364" s="4"/>
      <c r="O364" s="4"/>
      <c r="P364" s="4"/>
      <c r="Q364" s="4"/>
    </row>
    <row r="365" spans="1:17" x14ac:dyDescent="0.2">
      <c r="A365" s="1">
        <f t="shared" ref="A365" ca="1" si="10">CELL("row",C365)-2</f>
        <v>363</v>
      </c>
      <c r="B365" s="1" t="s">
        <v>8986</v>
      </c>
      <c r="C365" s="145" t="s">
        <v>8987</v>
      </c>
      <c r="D365" s="4"/>
      <c r="E365" s="4"/>
      <c r="F365" s="71"/>
      <c r="G365" s="4"/>
      <c r="H365" s="4"/>
      <c r="I365" s="4" t="s">
        <v>8988</v>
      </c>
      <c r="J365" s="4" t="s">
        <v>8989</v>
      </c>
      <c r="K365" s="4"/>
      <c r="L365" s="4"/>
      <c r="M365" s="4"/>
      <c r="N365" s="4"/>
      <c r="O365" s="4"/>
      <c r="P365" s="4"/>
      <c r="Q365" s="4"/>
    </row>
    <row r="366" spans="1:17" x14ac:dyDescent="0.2">
      <c r="A366" s="1">
        <f t="shared" ca="1" si="9"/>
        <v>364</v>
      </c>
      <c r="B366" s="1" t="s">
        <v>1292</v>
      </c>
      <c r="C366" s="82" t="s">
        <v>7944</v>
      </c>
      <c r="D366" s="4"/>
      <c r="E366" s="4"/>
      <c r="F366" s="71"/>
      <c r="G366" s="4"/>
      <c r="H366" s="4"/>
      <c r="I366" s="4" t="s">
        <v>3809</v>
      </c>
      <c r="J366" s="4" t="s">
        <v>367</v>
      </c>
      <c r="K366" s="4"/>
      <c r="L366" s="4"/>
      <c r="M366" s="4"/>
      <c r="N366" s="4"/>
      <c r="O366" s="4"/>
      <c r="P366" s="4"/>
      <c r="Q366" s="4"/>
    </row>
    <row r="367" spans="1:17" x14ac:dyDescent="0.2">
      <c r="A367" s="1">
        <f t="shared" ca="1" si="9"/>
        <v>365</v>
      </c>
      <c r="B367" s="1" t="s">
        <v>1293</v>
      </c>
      <c r="C367" s="82" t="s">
        <v>7945</v>
      </c>
      <c r="D367" s="4"/>
      <c r="E367" s="4"/>
      <c r="F367" s="71"/>
      <c r="G367" s="4"/>
      <c r="H367" s="4"/>
      <c r="I367" s="4" t="s">
        <v>3810</v>
      </c>
      <c r="J367" s="4" t="s">
        <v>7640</v>
      </c>
      <c r="K367" s="4"/>
      <c r="L367" s="4"/>
      <c r="M367" s="4"/>
      <c r="N367" s="4"/>
      <c r="O367" s="4"/>
      <c r="P367" s="4"/>
      <c r="Q367" s="4"/>
    </row>
    <row r="368" spans="1:17" x14ac:dyDescent="0.2">
      <c r="A368" s="1">
        <f t="shared" ca="1" si="9"/>
        <v>366</v>
      </c>
      <c r="B368" s="1" t="s">
        <v>1294</v>
      </c>
      <c r="C368" s="82" t="s">
        <v>6537</v>
      </c>
      <c r="D368" s="4"/>
      <c r="E368" s="4"/>
      <c r="F368" s="71"/>
      <c r="G368" s="4"/>
      <c r="H368" s="4"/>
      <c r="I368" s="4" t="s">
        <v>3811</v>
      </c>
      <c r="J368" s="4" t="s">
        <v>7641</v>
      </c>
      <c r="K368" s="4"/>
      <c r="L368" s="4"/>
      <c r="M368" s="4"/>
      <c r="N368" s="4"/>
      <c r="O368" s="4"/>
      <c r="P368" s="4"/>
      <c r="Q368" s="4"/>
    </row>
    <row r="369" spans="1:17" x14ac:dyDescent="0.2">
      <c r="A369" s="1">
        <f t="shared" ca="1" si="9"/>
        <v>367</v>
      </c>
      <c r="B369" s="1" t="s">
        <v>2815</v>
      </c>
      <c r="C369" s="82" t="s">
        <v>6538</v>
      </c>
      <c r="D369" s="4"/>
      <c r="E369" s="4"/>
      <c r="F369" s="71"/>
      <c r="G369" s="4"/>
      <c r="H369" s="4"/>
      <c r="I369" s="4" t="s">
        <v>3812</v>
      </c>
      <c r="J369" s="4" t="s">
        <v>7642</v>
      </c>
      <c r="K369" s="4"/>
      <c r="L369" s="4"/>
      <c r="M369" s="4"/>
      <c r="N369" s="4"/>
      <c r="O369" s="4"/>
      <c r="P369" s="4"/>
      <c r="Q369" s="4"/>
    </row>
    <row r="370" spans="1:17" x14ac:dyDescent="0.2">
      <c r="A370" s="1">
        <f t="shared" ca="1" si="9"/>
        <v>368</v>
      </c>
      <c r="B370" s="1" t="s">
        <v>4247</v>
      </c>
      <c r="C370" s="82" t="s">
        <v>4248</v>
      </c>
      <c r="D370" s="4"/>
      <c r="E370" s="4"/>
      <c r="F370" s="71"/>
      <c r="G370" s="4"/>
      <c r="H370" s="4"/>
      <c r="I370" s="4" t="s">
        <v>3813</v>
      </c>
      <c r="J370" s="4" t="s">
        <v>7643</v>
      </c>
      <c r="K370" s="4"/>
      <c r="L370" s="4"/>
      <c r="M370" s="4"/>
      <c r="N370" s="4"/>
      <c r="O370" s="4"/>
      <c r="P370" s="4"/>
      <c r="Q370" s="4"/>
    </row>
    <row r="371" spans="1:17" x14ac:dyDescent="0.2">
      <c r="A371" s="1">
        <f t="shared" ca="1" si="9"/>
        <v>369</v>
      </c>
      <c r="B371" s="1" t="s">
        <v>8179</v>
      </c>
      <c r="C371" s="82" t="s">
        <v>368</v>
      </c>
      <c r="D371" s="4"/>
      <c r="E371" s="4"/>
      <c r="F371" s="71"/>
      <c r="G371" s="4"/>
      <c r="H371" s="4"/>
      <c r="I371" s="4" t="s">
        <v>3814</v>
      </c>
      <c r="J371" s="4" t="s">
        <v>7406</v>
      </c>
      <c r="K371" s="4"/>
      <c r="L371" s="4"/>
      <c r="M371" s="4"/>
      <c r="N371" s="4"/>
      <c r="O371" s="4"/>
      <c r="P371" s="4"/>
      <c r="Q371" s="4"/>
    </row>
    <row r="372" spans="1:17" x14ac:dyDescent="0.2">
      <c r="A372" s="1">
        <f t="shared" ca="1" si="9"/>
        <v>370</v>
      </c>
      <c r="B372" s="1" t="s">
        <v>5792</v>
      </c>
      <c r="C372" s="82" t="s">
        <v>4231</v>
      </c>
      <c r="D372" s="4"/>
      <c r="E372" s="4"/>
      <c r="F372" s="71"/>
      <c r="G372" s="4"/>
      <c r="H372" s="4"/>
      <c r="I372" s="4" t="s">
        <v>3815</v>
      </c>
      <c r="J372" s="4" t="s">
        <v>7407</v>
      </c>
      <c r="K372" s="4"/>
      <c r="L372" s="4"/>
      <c r="M372" s="4"/>
      <c r="N372" s="4"/>
      <c r="O372" s="4"/>
      <c r="P372" s="4"/>
      <c r="Q372" s="4"/>
    </row>
    <row r="373" spans="1:17" x14ac:dyDescent="0.2">
      <c r="A373" s="1">
        <f t="shared" ca="1" si="9"/>
        <v>371</v>
      </c>
      <c r="B373" s="1" t="s">
        <v>8180</v>
      </c>
      <c r="C373" s="82" t="s">
        <v>8180</v>
      </c>
      <c r="D373" s="4"/>
      <c r="E373" s="4"/>
      <c r="F373" s="71"/>
      <c r="G373" s="4"/>
      <c r="H373" s="4"/>
      <c r="I373" s="82" t="s">
        <v>3816</v>
      </c>
      <c r="J373" s="4" t="s">
        <v>7408</v>
      </c>
      <c r="K373" s="4"/>
      <c r="L373" s="4"/>
      <c r="M373" s="4"/>
      <c r="N373" s="4"/>
      <c r="O373" s="4"/>
      <c r="P373" s="4"/>
      <c r="Q373" s="4"/>
    </row>
    <row r="374" spans="1:17" x14ac:dyDescent="0.2">
      <c r="A374" s="1">
        <f t="shared" ca="1" si="9"/>
        <v>372</v>
      </c>
      <c r="B374" s="1" t="s">
        <v>8181</v>
      </c>
      <c r="C374" s="82" t="s">
        <v>8181</v>
      </c>
      <c r="D374" s="4"/>
      <c r="E374" s="4"/>
      <c r="F374" s="71"/>
      <c r="G374" s="4"/>
      <c r="H374" s="4"/>
      <c r="I374" s="82" t="s">
        <v>3817</v>
      </c>
      <c r="J374" s="4"/>
      <c r="K374" s="4"/>
      <c r="L374" s="4"/>
      <c r="M374" s="4"/>
      <c r="N374" s="4"/>
      <c r="O374" s="4"/>
      <c r="P374" s="4"/>
      <c r="Q374" s="4"/>
    </row>
    <row r="375" spans="1:17" x14ac:dyDescent="0.2">
      <c r="A375" s="1">
        <f t="shared" ca="1" si="9"/>
        <v>373</v>
      </c>
      <c r="B375" s="1" t="s">
        <v>8373</v>
      </c>
      <c r="C375" s="82" t="s">
        <v>8374</v>
      </c>
      <c r="D375" s="4"/>
      <c r="E375" s="4"/>
      <c r="F375" s="71"/>
      <c r="G375" s="4"/>
      <c r="H375" s="4"/>
      <c r="I375" s="82" t="s">
        <v>3818</v>
      </c>
      <c r="J375" s="4" t="s">
        <v>7393</v>
      </c>
      <c r="K375" s="4"/>
      <c r="L375" s="4"/>
      <c r="M375" s="4"/>
      <c r="N375" s="4"/>
      <c r="O375" s="4"/>
      <c r="P375" s="4"/>
      <c r="Q375" s="4"/>
    </row>
    <row r="376" spans="1:17" x14ac:dyDescent="0.2">
      <c r="A376" s="1">
        <f t="shared" ca="1" si="9"/>
        <v>374</v>
      </c>
      <c r="B376" s="1" t="s">
        <v>363</v>
      </c>
      <c r="C376" s="82" t="s">
        <v>1510</v>
      </c>
      <c r="D376" s="4"/>
      <c r="E376" s="4"/>
      <c r="F376" s="71"/>
      <c r="G376" s="4"/>
      <c r="H376" s="4"/>
      <c r="I376" s="82" t="s">
        <v>3819</v>
      </c>
      <c r="J376" s="4"/>
      <c r="K376" s="4"/>
      <c r="L376" s="4"/>
      <c r="M376" s="4"/>
      <c r="N376" s="4"/>
      <c r="O376" s="4"/>
      <c r="P376" s="4"/>
      <c r="Q376" s="4"/>
    </row>
    <row r="377" spans="1:17" x14ac:dyDescent="0.2">
      <c r="A377" s="1">
        <f t="shared" ca="1" si="9"/>
        <v>375</v>
      </c>
      <c r="B377" s="1" t="s">
        <v>4828</v>
      </c>
      <c r="C377" s="82" t="s">
        <v>1681</v>
      </c>
      <c r="D377" s="4"/>
      <c r="E377" s="4"/>
      <c r="F377" s="71"/>
      <c r="G377" s="4"/>
      <c r="H377" s="4"/>
      <c r="I377" s="82" t="s">
        <v>3820</v>
      </c>
      <c r="J377" s="4" t="s">
        <v>7409</v>
      </c>
      <c r="K377" s="4"/>
      <c r="L377" s="4"/>
      <c r="M377" s="4"/>
      <c r="N377" s="4"/>
      <c r="O377" s="4"/>
      <c r="P377" s="4"/>
      <c r="Q377" s="4"/>
    </row>
    <row r="378" spans="1:17" x14ac:dyDescent="0.2">
      <c r="A378" s="1">
        <f t="shared" ca="1" si="9"/>
        <v>376</v>
      </c>
      <c r="B378" s="1" t="s">
        <v>1682</v>
      </c>
      <c r="C378" s="82" t="s">
        <v>1683</v>
      </c>
      <c r="D378" s="4"/>
      <c r="E378" s="4"/>
      <c r="F378" s="71"/>
      <c r="G378" s="4"/>
      <c r="H378" s="4"/>
      <c r="I378" s="82" t="s">
        <v>3821</v>
      </c>
      <c r="J378" s="4"/>
      <c r="K378" s="4"/>
      <c r="L378" s="4"/>
      <c r="M378" s="4"/>
      <c r="N378" s="4"/>
      <c r="O378" s="4"/>
      <c r="P378" s="4"/>
      <c r="Q378" s="4"/>
    </row>
    <row r="379" spans="1:17" x14ac:dyDescent="0.2">
      <c r="A379" s="1">
        <f t="shared" ca="1" si="9"/>
        <v>377</v>
      </c>
      <c r="B379" s="1" t="s">
        <v>4249</v>
      </c>
      <c r="C379" s="82" t="s">
        <v>6814</v>
      </c>
      <c r="D379" s="4"/>
      <c r="E379" s="4"/>
      <c r="F379" s="71"/>
      <c r="G379" s="4"/>
      <c r="H379" s="4"/>
      <c r="I379" s="82" t="s">
        <v>3822</v>
      </c>
      <c r="J379" s="4"/>
      <c r="K379" s="4"/>
      <c r="L379" s="4"/>
      <c r="M379" s="4"/>
      <c r="N379" s="4"/>
      <c r="O379" s="4"/>
      <c r="P379" s="4"/>
      <c r="Q379" s="4"/>
    </row>
    <row r="380" spans="1:17" x14ac:dyDescent="0.2">
      <c r="A380" s="1">
        <f t="shared" ca="1" si="9"/>
        <v>378</v>
      </c>
      <c r="B380" s="1" t="s">
        <v>4250</v>
      </c>
      <c r="C380" s="82" t="s">
        <v>6815</v>
      </c>
      <c r="D380" s="4"/>
      <c r="E380" s="4"/>
      <c r="F380" s="71"/>
      <c r="G380" s="4"/>
      <c r="H380" s="4"/>
      <c r="I380" s="82" t="s">
        <v>3823</v>
      </c>
      <c r="J380" s="4"/>
      <c r="K380" s="4"/>
      <c r="L380" s="4"/>
      <c r="M380" s="4"/>
      <c r="N380" s="4"/>
      <c r="O380" s="4"/>
      <c r="P380" s="4"/>
      <c r="Q380" s="4"/>
    </row>
    <row r="381" spans="1:17" x14ac:dyDescent="0.2">
      <c r="A381" s="1">
        <f t="shared" ca="1" si="9"/>
        <v>379</v>
      </c>
      <c r="B381" s="1" t="s">
        <v>1148</v>
      </c>
      <c r="C381" s="82" t="s">
        <v>6816</v>
      </c>
      <c r="D381" s="4"/>
      <c r="E381" s="4"/>
      <c r="F381" s="71"/>
      <c r="G381" s="4"/>
      <c r="H381" s="4"/>
      <c r="I381" s="82" t="s">
        <v>3824</v>
      </c>
      <c r="J381" s="4"/>
      <c r="K381" s="4"/>
      <c r="L381" s="4"/>
      <c r="M381" s="4"/>
      <c r="N381" s="4"/>
      <c r="O381" s="4"/>
      <c r="P381" s="4"/>
      <c r="Q381" s="4"/>
    </row>
    <row r="382" spans="1:17" x14ac:dyDescent="0.2">
      <c r="A382" s="1">
        <f t="shared" ca="1" si="9"/>
        <v>380</v>
      </c>
      <c r="B382" s="1" t="s">
        <v>1149</v>
      </c>
      <c r="C382" s="82" t="s">
        <v>4831</v>
      </c>
      <c r="D382" s="4"/>
      <c r="E382" s="4"/>
      <c r="F382" s="71"/>
      <c r="G382" s="4"/>
      <c r="H382" s="4"/>
      <c r="I382" s="82" t="s">
        <v>3825</v>
      </c>
      <c r="J382" s="4"/>
      <c r="K382" s="4"/>
      <c r="L382" s="4"/>
      <c r="M382" s="4"/>
      <c r="N382" s="4"/>
      <c r="O382" s="4"/>
      <c r="P382" s="4"/>
      <c r="Q382" s="4"/>
    </row>
    <row r="383" spans="1:17" x14ac:dyDescent="0.2">
      <c r="A383" s="1">
        <f t="shared" ca="1" si="9"/>
        <v>381</v>
      </c>
      <c r="B383" s="1" t="s">
        <v>1150</v>
      </c>
      <c r="C383" s="82" t="s">
        <v>1511</v>
      </c>
      <c r="D383" s="4"/>
      <c r="E383" s="4"/>
      <c r="F383" s="71"/>
      <c r="G383" s="4"/>
      <c r="H383" s="4"/>
      <c r="I383" s="82" t="s">
        <v>3826</v>
      </c>
      <c r="J383" s="4"/>
      <c r="K383" s="4"/>
      <c r="L383" s="4"/>
      <c r="M383" s="4"/>
      <c r="N383" s="4"/>
      <c r="O383" s="4"/>
      <c r="P383" s="4"/>
      <c r="Q383" s="4"/>
    </row>
    <row r="384" spans="1:17" x14ac:dyDescent="0.2">
      <c r="A384" s="1">
        <f t="shared" ca="1" si="9"/>
        <v>382</v>
      </c>
      <c r="B384" s="1" t="s">
        <v>4251</v>
      </c>
      <c r="C384" s="82" t="s">
        <v>4251</v>
      </c>
      <c r="D384" s="4"/>
      <c r="E384" s="4"/>
      <c r="F384" s="71"/>
      <c r="G384" s="4"/>
      <c r="H384" s="4"/>
      <c r="I384" s="82" t="s">
        <v>3827</v>
      </c>
      <c r="J384" s="4" t="s">
        <v>4251</v>
      </c>
      <c r="K384" s="4"/>
      <c r="L384" s="4"/>
      <c r="M384" s="4"/>
      <c r="N384" s="4"/>
      <c r="O384" s="4"/>
      <c r="P384" s="4"/>
      <c r="Q384" s="4"/>
    </row>
    <row r="385" spans="1:17" x14ac:dyDescent="0.2">
      <c r="A385" s="1">
        <f t="shared" ca="1" si="9"/>
        <v>383</v>
      </c>
      <c r="B385" s="1" t="s">
        <v>4829</v>
      </c>
      <c r="C385" s="82" t="s">
        <v>1512</v>
      </c>
      <c r="D385" s="4"/>
      <c r="E385" s="4"/>
      <c r="F385" s="71"/>
      <c r="G385" s="4"/>
      <c r="H385" s="4"/>
      <c r="I385" s="82" t="s">
        <v>3828</v>
      </c>
      <c r="J385" s="4"/>
      <c r="K385" s="4"/>
      <c r="L385" s="4"/>
      <c r="M385" s="4"/>
      <c r="N385" s="4"/>
      <c r="O385" s="4"/>
      <c r="P385" s="4"/>
      <c r="Q385" s="4"/>
    </row>
    <row r="386" spans="1:17" x14ac:dyDescent="0.2">
      <c r="A386" s="1">
        <f t="shared" ca="1" si="9"/>
        <v>384</v>
      </c>
      <c r="B386" s="1" t="s">
        <v>4830</v>
      </c>
      <c r="C386" s="82" t="s">
        <v>1513</v>
      </c>
      <c r="D386" s="4"/>
      <c r="E386" s="4"/>
      <c r="F386" s="71"/>
      <c r="G386" s="4"/>
      <c r="H386" s="4"/>
      <c r="I386" s="82" t="s">
        <v>3829</v>
      </c>
      <c r="J386" s="4" t="s">
        <v>7644</v>
      </c>
      <c r="K386" s="4"/>
      <c r="L386" s="4"/>
      <c r="M386" s="4"/>
      <c r="N386" s="4"/>
      <c r="O386" s="4"/>
      <c r="P386" s="4"/>
      <c r="Q386" s="4"/>
    </row>
    <row r="387" spans="1:17" x14ac:dyDescent="0.2">
      <c r="A387" s="1">
        <f t="shared" ca="1" si="9"/>
        <v>385</v>
      </c>
      <c r="B387" s="1" t="s">
        <v>1359</v>
      </c>
      <c r="C387" s="82" t="s">
        <v>5453</v>
      </c>
      <c r="D387" s="4"/>
      <c r="E387" s="4"/>
      <c r="F387" s="71"/>
      <c r="G387" s="4"/>
      <c r="H387" s="4"/>
      <c r="I387" s="82" t="s">
        <v>3830</v>
      </c>
      <c r="J387" s="4" t="s">
        <v>7392</v>
      </c>
      <c r="K387" s="4"/>
      <c r="L387" s="4"/>
      <c r="M387" s="4"/>
      <c r="N387" s="4"/>
      <c r="O387" s="4"/>
      <c r="P387" s="4"/>
      <c r="Q387" s="4"/>
    </row>
    <row r="388" spans="1:17" x14ac:dyDescent="0.2">
      <c r="A388" s="1">
        <f t="shared" ca="1" si="9"/>
        <v>386</v>
      </c>
      <c r="B388" s="1" t="s">
        <v>2664</v>
      </c>
      <c r="C388" s="82" t="s">
        <v>3674</v>
      </c>
      <c r="D388" s="4"/>
      <c r="E388" s="4"/>
      <c r="F388" s="71"/>
      <c r="G388" s="4"/>
      <c r="H388" s="4"/>
      <c r="I388" s="82" t="s">
        <v>3831</v>
      </c>
      <c r="J388" s="4"/>
      <c r="K388" s="4"/>
      <c r="L388" s="4"/>
      <c r="M388" s="4"/>
      <c r="N388" s="4"/>
      <c r="O388" s="4"/>
      <c r="P388" s="4"/>
      <c r="Q388" s="4"/>
    </row>
    <row r="389" spans="1:17" x14ac:dyDescent="0.2">
      <c r="A389" s="1">
        <f t="shared" ca="1" si="9"/>
        <v>387</v>
      </c>
      <c r="B389" s="1" t="s">
        <v>4190</v>
      </c>
      <c r="C389" s="82" t="s">
        <v>6539</v>
      </c>
      <c r="D389" s="4"/>
      <c r="E389" s="4"/>
      <c r="F389" s="71"/>
      <c r="G389" s="4"/>
      <c r="H389" s="4"/>
      <c r="I389" s="82" t="s">
        <v>3832</v>
      </c>
      <c r="J389" s="4" t="s">
        <v>7410</v>
      </c>
      <c r="K389" s="4"/>
      <c r="L389" s="4"/>
      <c r="M389" s="4"/>
      <c r="N389" s="4"/>
      <c r="O389" s="4"/>
      <c r="P389" s="4"/>
      <c r="Q389" s="4"/>
    </row>
    <row r="390" spans="1:17" x14ac:dyDescent="0.2">
      <c r="A390" s="1">
        <f t="shared" ca="1" si="9"/>
        <v>388</v>
      </c>
      <c r="B390" s="1" t="s">
        <v>4191</v>
      </c>
      <c r="C390" s="82" t="s">
        <v>3675</v>
      </c>
      <c r="D390" s="4"/>
      <c r="E390" s="4"/>
      <c r="F390" s="71"/>
      <c r="G390" s="4"/>
      <c r="H390" s="4"/>
      <c r="I390" s="82" t="s">
        <v>3833</v>
      </c>
      <c r="J390" s="4" t="s">
        <v>7411</v>
      </c>
      <c r="K390" s="4"/>
      <c r="L390" s="4"/>
      <c r="M390" s="4"/>
      <c r="N390" s="4"/>
      <c r="O390" s="4"/>
      <c r="P390" s="4"/>
      <c r="Q390" s="4"/>
    </row>
    <row r="391" spans="1:17" x14ac:dyDescent="0.2">
      <c r="A391" s="1">
        <f t="shared" ca="1" si="9"/>
        <v>389</v>
      </c>
      <c r="B391" s="1" t="s">
        <v>4192</v>
      </c>
      <c r="C391" s="82" t="s">
        <v>6540</v>
      </c>
      <c r="D391" s="4"/>
      <c r="E391" s="4"/>
      <c r="F391" s="71"/>
      <c r="G391" s="4"/>
      <c r="H391" s="4"/>
      <c r="I391" s="82" t="s">
        <v>3834</v>
      </c>
      <c r="J391" s="4" t="s">
        <v>7412</v>
      </c>
      <c r="K391" s="4"/>
      <c r="L391" s="4"/>
      <c r="M391" s="4"/>
      <c r="N391" s="4"/>
      <c r="O391" s="4"/>
      <c r="P391" s="4"/>
      <c r="Q391" s="4"/>
    </row>
    <row r="392" spans="1:17" x14ac:dyDescent="0.2">
      <c r="A392" s="1">
        <f t="shared" ca="1" si="9"/>
        <v>390</v>
      </c>
      <c r="B392" s="1" t="s">
        <v>3889</v>
      </c>
      <c r="C392" s="82" t="s">
        <v>3676</v>
      </c>
      <c r="D392" s="4"/>
      <c r="E392" s="4"/>
      <c r="F392" s="71"/>
      <c r="G392" s="4"/>
      <c r="H392" s="4"/>
      <c r="I392" s="82" t="s">
        <v>1517</v>
      </c>
      <c r="J392" s="4"/>
      <c r="K392" s="4"/>
      <c r="L392" s="4"/>
      <c r="M392" s="4"/>
      <c r="N392" s="4"/>
      <c r="O392" s="4"/>
      <c r="P392" s="4"/>
      <c r="Q392" s="4"/>
    </row>
    <row r="393" spans="1:17" x14ac:dyDescent="0.2">
      <c r="A393" s="1">
        <f t="shared" ca="1" si="9"/>
        <v>391</v>
      </c>
      <c r="B393" s="1" t="s">
        <v>4193</v>
      </c>
      <c r="C393" s="82" t="s">
        <v>6220</v>
      </c>
      <c r="D393" s="4"/>
      <c r="E393" s="4"/>
      <c r="F393" s="71"/>
      <c r="G393" s="4"/>
      <c r="H393" s="4"/>
      <c r="I393" s="82" t="s">
        <v>1518</v>
      </c>
      <c r="J393" s="4"/>
      <c r="K393" s="4"/>
      <c r="L393" s="4"/>
      <c r="M393" s="4"/>
      <c r="N393" s="4"/>
      <c r="O393" s="4"/>
      <c r="P393" s="4"/>
      <c r="Q393" s="4"/>
    </row>
    <row r="394" spans="1:17" x14ac:dyDescent="0.2">
      <c r="A394" s="1">
        <f t="shared" ca="1" si="9"/>
        <v>392</v>
      </c>
      <c r="B394" s="1" t="s">
        <v>4194</v>
      </c>
      <c r="C394" s="82" t="s">
        <v>6221</v>
      </c>
      <c r="D394" s="4"/>
      <c r="E394" s="4"/>
      <c r="F394" s="71"/>
      <c r="G394" s="4"/>
      <c r="H394" s="4"/>
      <c r="I394" s="82" t="s">
        <v>1519</v>
      </c>
      <c r="J394" s="4" t="s">
        <v>6358</v>
      </c>
      <c r="K394" s="4"/>
      <c r="L394" s="4"/>
      <c r="M394" s="4"/>
      <c r="N394" s="4"/>
      <c r="O394" s="4"/>
      <c r="P394" s="4"/>
      <c r="Q394" s="4"/>
    </row>
    <row r="395" spans="1:17" x14ac:dyDescent="0.2">
      <c r="A395" s="1">
        <f t="shared" ca="1" si="9"/>
        <v>393</v>
      </c>
      <c r="B395" s="1" t="s">
        <v>3673</v>
      </c>
      <c r="C395" s="82" t="s">
        <v>3673</v>
      </c>
      <c r="D395" s="4"/>
      <c r="E395" s="4"/>
      <c r="F395" s="71"/>
      <c r="G395" s="4"/>
      <c r="H395" s="4"/>
      <c r="I395" s="82" t="s">
        <v>1520</v>
      </c>
      <c r="J395" s="4"/>
      <c r="K395" s="4"/>
      <c r="L395" s="4"/>
      <c r="M395" s="4"/>
      <c r="N395" s="4"/>
      <c r="O395" s="4"/>
      <c r="P395" s="4"/>
      <c r="Q395" s="4"/>
    </row>
    <row r="396" spans="1:17" x14ac:dyDescent="0.2">
      <c r="A396" s="1">
        <f t="shared" ca="1" si="9"/>
        <v>394</v>
      </c>
      <c r="B396" s="1" t="s">
        <v>3677</v>
      </c>
      <c r="C396" s="82" t="s">
        <v>6541</v>
      </c>
      <c r="D396" s="4"/>
      <c r="E396" s="4"/>
      <c r="F396" s="71"/>
      <c r="G396" s="4"/>
      <c r="H396" s="4"/>
      <c r="I396" s="82" t="s">
        <v>1521</v>
      </c>
      <c r="J396" s="4"/>
      <c r="K396" s="4"/>
      <c r="L396" s="4"/>
      <c r="M396" s="4"/>
      <c r="N396" s="4"/>
      <c r="O396" s="4"/>
      <c r="P396" s="4"/>
      <c r="Q396" s="4"/>
    </row>
    <row r="397" spans="1:17" x14ac:dyDescent="0.2">
      <c r="A397" s="1">
        <f t="shared" ca="1" si="9"/>
        <v>395</v>
      </c>
      <c r="B397" s="1" t="s">
        <v>3678</v>
      </c>
      <c r="C397" s="82" t="s">
        <v>6954</v>
      </c>
      <c r="D397" s="4"/>
      <c r="E397" s="4"/>
      <c r="F397" s="71"/>
      <c r="G397" s="4"/>
      <c r="H397" s="4"/>
      <c r="I397" s="82" t="s">
        <v>1522</v>
      </c>
      <c r="J397" s="4"/>
      <c r="K397" s="4"/>
      <c r="L397" s="4"/>
      <c r="M397" s="4"/>
      <c r="N397" s="4"/>
      <c r="O397" s="4"/>
      <c r="P397" s="4"/>
      <c r="Q397" s="4"/>
    </row>
    <row r="398" spans="1:17" x14ac:dyDescent="0.2">
      <c r="A398" s="1">
        <f t="shared" ca="1" si="9"/>
        <v>396</v>
      </c>
      <c r="B398" s="1" t="s">
        <v>1755</v>
      </c>
      <c r="C398" s="82" t="s">
        <v>6542</v>
      </c>
      <c r="D398" s="4"/>
      <c r="E398" s="4"/>
      <c r="F398" s="71"/>
      <c r="G398" s="4"/>
      <c r="H398" s="4"/>
      <c r="I398" s="82" t="s">
        <v>1523</v>
      </c>
      <c r="J398" s="4" t="s">
        <v>7413</v>
      </c>
      <c r="K398" s="4"/>
      <c r="L398" s="4"/>
      <c r="M398" s="4"/>
      <c r="N398" s="4"/>
      <c r="O398" s="4"/>
      <c r="P398" s="4"/>
      <c r="Q398" s="4"/>
    </row>
    <row r="399" spans="1:17" x14ac:dyDescent="0.2">
      <c r="A399" s="1">
        <f t="shared" ref="A399:A463" ca="1" si="11">CELL("row",C399)-2</f>
        <v>397</v>
      </c>
      <c r="B399" s="1" t="s">
        <v>4268</v>
      </c>
      <c r="C399" s="82" t="s">
        <v>4269</v>
      </c>
      <c r="D399" s="4"/>
      <c r="E399" s="4"/>
      <c r="F399" s="71"/>
      <c r="G399" s="4"/>
      <c r="H399" s="4"/>
      <c r="I399" s="82" t="s">
        <v>1524</v>
      </c>
      <c r="J399" s="4" t="s">
        <v>8415</v>
      </c>
      <c r="K399" s="4"/>
      <c r="L399" s="4"/>
      <c r="M399" s="4"/>
      <c r="N399" s="4"/>
      <c r="O399" s="4"/>
      <c r="P399" s="4"/>
      <c r="Q399" s="4"/>
    </row>
    <row r="400" spans="1:17" x14ac:dyDescent="0.2">
      <c r="A400" s="1">
        <f t="shared" ca="1" si="11"/>
        <v>398</v>
      </c>
      <c r="B400" s="1" t="s">
        <v>3679</v>
      </c>
      <c r="C400" s="82" t="s">
        <v>6222</v>
      </c>
      <c r="D400" s="4"/>
      <c r="E400" s="4"/>
      <c r="F400" s="71"/>
      <c r="G400" s="4"/>
      <c r="H400" s="4"/>
      <c r="I400" s="82" t="s">
        <v>1525</v>
      </c>
      <c r="J400" s="4" t="s">
        <v>8416</v>
      </c>
      <c r="K400" s="4"/>
      <c r="L400" s="4"/>
      <c r="M400" s="4"/>
      <c r="N400" s="4"/>
      <c r="O400" s="4"/>
      <c r="P400" s="4"/>
      <c r="Q400" s="4"/>
    </row>
    <row r="401" spans="1:17" x14ac:dyDescent="0.2">
      <c r="A401" s="1">
        <f t="shared" ca="1" si="11"/>
        <v>399</v>
      </c>
      <c r="B401" s="1" t="s">
        <v>4266</v>
      </c>
      <c r="C401" s="82" t="s">
        <v>6223</v>
      </c>
      <c r="D401" s="4"/>
      <c r="E401" s="4"/>
      <c r="F401" s="71"/>
      <c r="G401" s="4"/>
      <c r="H401" s="4"/>
      <c r="I401" s="4" t="s">
        <v>1526</v>
      </c>
      <c r="J401" s="4"/>
      <c r="K401" s="4"/>
      <c r="L401" s="4"/>
      <c r="M401" s="4"/>
      <c r="N401" s="4"/>
      <c r="O401" s="4"/>
      <c r="P401" s="4"/>
      <c r="Q401" s="4"/>
    </row>
    <row r="402" spans="1:17" x14ac:dyDescent="0.2">
      <c r="A402" s="1">
        <f t="shared" ca="1" si="11"/>
        <v>400</v>
      </c>
      <c r="B402" s="1" t="s">
        <v>4267</v>
      </c>
      <c r="C402" s="82" t="s">
        <v>7265</v>
      </c>
      <c r="D402" s="4"/>
      <c r="E402" s="4"/>
      <c r="F402" s="71"/>
      <c r="G402" s="4"/>
      <c r="H402" s="4"/>
      <c r="I402" s="4" t="s">
        <v>1527</v>
      </c>
      <c r="J402" s="4"/>
      <c r="K402" s="4"/>
      <c r="L402" s="4"/>
      <c r="M402" s="4"/>
      <c r="N402" s="4"/>
      <c r="O402" s="4"/>
      <c r="P402" s="4"/>
      <c r="Q402" s="4"/>
    </row>
    <row r="403" spans="1:17" x14ac:dyDescent="0.2">
      <c r="A403" s="1">
        <f t="shared" ca="1" si="11"/>
        <v>401</v>
      </c>
      <c r="B403" s="1" t="s">
        <v>6955</v>
      </c>
      <c r="C403" s="82" t="s">
        <v>6224</v>
      </c>
      <c r="D403" s="4"/>
      <c r="E403" s="4"/>
      <c r="F403" s="71"/>
      <c r="G403" s="4"/>
      <c r="H403" s="4"/>
      <c r="I403" s="4" t="s">
        <v>1528</v>
      </c>
      <c r="J403" s="4"/>
      <c r="K403" s="4"/>
      <c r="L403" s="4"/>
      <c r="M403" s="4"/>
      <c r="N403" s="4"/>
      <c r="O403" s="4"/>
      <c r="P403" s="4"/>
      <c r="Q403" s="4"/>
    </row>
    <row r="404" spans="1:17" x14ac:dyDescent="0.2">
      <c r="A404" s="1">
        <f t="shared" ca="1" si="11"/>
        <v>402</v>
      </c>
      <c r="B404" s="1" t="s">
        <v>1766</v>
      </c>
      <c r="C404" s="82" t="s">
        <v>6225</v>
      </c>
      <c r="D404" s="4"/>
      <c r="E404" s="4"/>
      <c r="F404" s="71"/>
      <c r="G404" s="4"/>
      <c r="H404" s="4"/>
      <c r="I404" s="4" t="s">
        <v>1529</v>
      </c>
      <c r="J404" s="4"/>
      <c r="K404" s="4"/>
      <c r="L404" s="4"/>
      <c r="M404" s="4"/>
      <c r="N404" s="4"/>
      <c r="O404" s="4"/>
      <c r="P404" s="4"/>
      <c r="Q404" s="4"/>
    </row>
    <row r="405" spans="1:17" x14ac:dyDescent="0.2">
      <c r="A405" s="1">
        <f t="shared" ca="1" si="11"/>
        <v>403</v>
      </c>
      <c r="B405" s="1" t="s">
        <v>3085</v>
      </c>
      <c r="C405" s="82" t="s">
        <v>6085</v>
      </c>
      <c r="D405" s="4"/>
      <c r="E405" s="4"/>
      <c r="F405" s="71"/>
      <c r="G405" s="4"/>
      <c r="H405" s="4"/>
      <c r="I405" s="4" t="s">
        <v>3806</v>
      </c>
      <c r="J405" s="4"/>
      <c r="K405" s="4"/>
      <c r="L405" s="4"/>
      <c r="M405" s="4"/>
      <c r="N405" s="4"/>
      <c r="O405" s="4"/>
      <c r="P405" s="4"/>
      <c r="Q405" s="4"/>
    </row>
    <row r="406" spans="1:17" x14ac:dyDescent="0.2">
      <c r="A406" s="1">
        <f t="shared" ca="1" si="11"/>
        <v>404</v>
      </c>
      <c r="B406" s="1" t="s">
        <v>5061</v>
      </c>
      <c r="C406" s="82" t="s">
        <v>7266</v>
      </c>
      <c r="D406" s="4"/>
      <c r="E406" s="4"/>
      <c r="F406" s="71"/>
      <c r="G406" s="4"/>
      <c r="H406" s="4"/>
      <c r="I406" s="4" t="s">
        <v>1530</v>
      </c>
      <c r="J406" s="4"/>
      <c r="K406" s="4"/>
      <c r="L406" s="4"/>
      <c r="M406" s="4"/>
      <c r="N406" s="4"/>
      <c r="O406" s="4"/>
      <c r="P406" s="4"/>
      <c r="Q406" s="4"/>
    </row>
    <row r="407" spans="1:17" x14ac:dyDescent="0.2">
      <c r="A407" s="1">
        <f t="shared" ca="1" si="11"/>
        <v>405</v>
      </c>
      <c r="B407" s="1" t="s">
        <v>6956</v>
      </c>
      <c r="C407" s="82" t="s">
        <v>7267</v>
      </c>
      <c r="D407" s="4"/>
      <c r="E407" s="4"/>
      <c r="F407" s="71"/>
      <c r="G407" s="4"/>
      <c r="H407" s="4"/>
      <c r="I407" s="4" t="s">
        <v>1531</v>
      </c>
      <c r="J407" s="4" t="s">
        <v>4584</v>
      </c>
      <c r="K407" s="4"/>
      <c r="L407" s="4"/>
      <c r="M407" s="4"/>
      <c r="N407" s="4"/>
      <c r="O407" s="4"/>
      <c r="P407" s="4"/>
      <c r="Q407" s="4"/>
    </row>
    <row r="408" spans="1:17" x14ac:dyDescent="0.2">
      <c r="A408" s="1">
        <f t="shared" ca="1" si="11"/>
        <v>406</v>
      </c>
      <c r="B408" s="1" t="s">
        <v>4580</v>
      </c>
      <c r="C408" s="82" t="s">
        <v>7268</v>
      </c>
      <c r="D408" s="4"/>
      <c r="E408" s="4"/>
      <c r="F408" s="71"/>
      <c r="G408" s="4"/>
      <c r="H408" s="4"/>
      <c r="I408" s="4" t="s">
        <v>1532</v>
      </c>
      <c r="J408" s="4" t="s">
        <v>4585</v>
      </c>
      <c r="K408" s="4"/>
      <c r="L408" s="4"/>
      <c r="M408" s="4"/>
      <c r="N408" s="4"/>
      <c r="O408" s="4"/>
      <c r="P408" s="4"/>
      <c r="Q408" s="4"/>
    </row>
    <row r="409" spans="1:17" x14ac:dyDescent="0.2">
      <c r="A409" s="1">
        <f t="shared" ca="1" si="11"/>
        <v>407</v>
      </c>
      <c r="B409" s="1" t="s">
        <v>4581</v>
      </c>
      <c r="C409" s="82" t="s">
        <v>4586</v>
      </c>
      <c r="D409" s="4"/>
      <c r="E409" s="4"/>
      <c r="F409" s="71"/>
      <c r="G409" s="4"/>
      <c r="H409" s="4"/>
      <c r="I409" s="4" t="s">
        <v>1533</v>
      </c>
      <c r="J409" s="4"/>
      <c r="K409" s="4"/>
      <c r="L409" s="4"/>
      <c r="M409" s="4"/>
      <c r="N409" s="4"/>
      <c r="O409" s="4"/>
      <c r="P409" s="4"/>
      <c r="Q409" s="4"/>
    </row>
    <row r="410" spans="1:17" x14ac:dyDescent="0.2">
      <c r="A410" s="1">
        <f t="shared" ca="1" si="11"/>
        <v>408</v>
      </c>
      <c r="B410" s="1" t="s">
        <v>4582</v>
      </c>
      <c r="C410" s="82" t="s">
        <v>7269</v>
      </c>
      <c r="D410" s="4"/>
      <c r="E410" s="4"/>
      <c r="F410" s="71"/>
      <c r="G410" s="4"/>
      <c r="H410" s="4"/>
      <c r="I410" s="4" t="s">
        <v>1534</v>
      </c>
      <c r="J410" s="4"/>
      <c r="K410" s="4"/>
      <c r="L410" s="4"/>
      <c r="M410" s="4"/>
      <c r="N410" s="4"/>
      <c r="O410" s="4"/>
      <c r="P410" s="4"/>
      <c r="Q410" s="4"/>
    </row>
    <row r="411" spans="1:17" x14ac:dyDescent="0.2">
      <c r="A411" s="1">
        <f t="shared" ca="1" si="11"/>
        <v>409</v>
      </c>
      <c r="B411" s="1" t="s">
        <v>4583</v>
      </c>
      <c r="C411" s="82" t="s">
        <v>4587</v>
      </c>
      <c r="D411" s="4"/>
      <c r="E411" s="4"/>
      <c r="F411" s="71"/>
      <c r="G411" s="4"/>
      <c r="H411" s="4"/>
      <c r="I411" s="4" t="s">
        <v>1535</v>
      </c>
      <c r="J411" s="4"/>
      <c r="K411" s="4"/>
      <c r="L411" s="4"/>
      <c r="M411" s="4"/>
      <c r="N411" s="4"/>
      <c r="O411" s="4"/>
      <c r="P411" s="4"/>
      <c r="Q411" s="4"/>
    </row>
    <row r="412" spans="1:17" x14ac:dyDescent="0.2">
      <c r="A412" s="1">
        <f t="shared" ca="1" si="11"/>
        <v>410</v>
      </c>
      <c r="B412" s="1" t="s">
        <v>4588</v>
      </c>
      <c r="C412" s="82" t="s">
        <v>7270</v>
      </c>
      <c r="D412" s="4"/>
      <c r="E412" s="4"/>
      <c r="F412" s="71"/>
      <c r="G412" s="4"/>
      <c r="H412" s="4"/>
      <c r="I412" s="82" t="s">
        <v>1536</v>
      </c>
      <c r="J412" s="4"/>
      <c r="K412" s="4"/>
      <c r="L412" s="4"/>
      <c r="M412" s="4"/>
      <c r="N412" s="4"/>
      <c r="O412" s="4"/>
      <c r="P412" s="4"/>
      <c r="Q412" s="4"/>
    </row>
    <row r="413" spans="1:17" x14ac:dyDescent="0.2">
      <c r="A413" s="1">
        <f t="shared" ca="1" si="11"/>
        <v>411</v>
      </c>
      <c r="B413" s="1" t="s">
        <v>6288</v>
      </c>
      <c r="C413" s="82" t="s">
        <v>8281</v>
      </c>
      <c r="D413" s="4"/>
      <c r="E413" s="4"/>
      <c r="F413" s="71"/>
      <c r="G413" s="4"/>
      <c r="H413" s="4"/>
      <c r="I413" s="4" t="s">
        <v>1537</v>
      </c>
      <c r="J413" s="4" t="s">
        <v>8417</v>
      </c>
      <c r="K413" s="4"/>
      <c r="L413" s="4"/>
      <c r="M413" s="4"/>
      <c r="N413" s="4"/>
      <c r="O413" s="4"/>
      <c r="P413" s="4"/>
      <c r="Q413" s="4"/>
    </row>
    <row r="414" spans="1:17" x14ac:dyDescent="0.2">
      <c r="A414" s="1">
        <f t="shared" ca="1" si="11"/>
        <v>412</v>
      </c>
      <c r="B414" s="1" t="s">
        <v>6289</v>
      </c>
      <c r="C414" s="82" t="s">
        <v>6289</v>
      </c>
      <c r="D414" s="4"/>
      <c r="E414" s="4"/>
      <c r="F414" s="71"/>
      <c r="G414" s="4"/>
      <c r="H414" s="4"/>
      <c r="I414" s="82" t="s">
        <v>6289</v>
      </c>
      <c r="J414" s="4" t="s">
        <v>6289</v>
      </c>
      <c r="K414" s="4"/>
      <c r="L414" s="4"/>
      <c r="M414" s="4"/>
      <c r="N414" s="4"/>
      <c r="O414" s="4"/>
      <c r="P414" s="4"/>
      <c r="Q414" s="4"/>
    </row>
    <row r="415" spans="1:17" x14ac:dyDescent="0.2">
      <c r="A415" s="1">
        <f t="shared" ca="1" si="11"/>
        <v>413</v>
      </c>
      <c r="B415" s="1" t="s">
        <v>6290</v>
      </c>
      <c r="C415" s="82" t="s">
        <v>6290</v>
      </c>
      <c r="D415" s="4"/>
      <c r="E415" s="4"/>
      <c r="F415" s="71"/>
      <c r="G415" s="4"/>
      <c r="H415" s="4"/>
      <c r="I415" s="82" t="s">
        <v>1538</v>
      </c>
      <c r="J415" s="4" t="s">
        <v>6290</v>
      </c>
      <c r="K415" s="4"/>
      <c r="L415" s="4"/>
      <c r="M415" s="4"/>
      <c r="N415" s="4"/>
      <c r="O415" s="4"/>
      <c r="P415" s="4"/>
      <c r="Q415" s="4"/>
    </row>
    <row r="416" spans="1:17" x14ac:dyDescent="0.2">
      <c r="A416" s="1">
        <f t="shared" ca="1" si="11"/>
        <v>414</v>
      </c>
      <c r="B416" s="1" t="s">
        <v>1759</v>
      </c>
      <c r="C416" s="82" t="s">
        <v>7271</v>
      </c>
      <c r="D416" s="4"/>
      <c r="E416" s="4"/>
      <c r="F416" s="71"/>
      <c r="G416" s="4"/>
      <c r="H416" s="4"/>
      <c r="I416" s="4" t="s">
        <v>1539</v>
      </c>
      <c r="J416" s="4" t="s">
        <v>7878</v>
      </c>
      <c r="K416" s="4"/>
      <c r="L416" s="4"/>
      <c r="M416" s="4"/>
      <c r="N416" s="4"/>
      <c r="O416" s="4"/>
      <c r="P416" s="4"/>
      <c r="Q416" s="4"/>
    </row>
    <row r="417" spans="1:17" x14ac:dyDescent="0.2">
      <c r="A417" s="1">
        <f t="shared" ca="1" si="11"/>
        <v>415</v>
      </c>
      <c r="B417" s="1" t="s">
        <v>1761</v>
      </c>
      <c r="C417" s="82" t="s">
        <v>7272</v>
      </c>
      <c r="D417" s="4"/>
      <c r="E417" s="4"/>
      <c r="F417" s="71"/>
      <c r="G417" s="4"/>
      <c r="H417" s="4"/>
      <c r="I417" s="4" t="s">
        <v>1540</v>
      </c>
      <c r="J417" s="4"/>
      <c r="K417" s="4"/>
      <c r="L417" s="4"/>
      <c r="M417" s="4"/>
      <c r="N417" s="4"/>
      <c r="O417" s="4"/>
      <c r="P417" s="4"/>
      <c r="Q417" s="4"/>
    </row>
    <row r="418" spans="1:17" x14ac:dyDescent="0.2">
      <c r="A418" s="1">
        <f t="shared" ca="1" si="11"/>
        <v>416</v>
      </c>
      <c r="B418" s="1" t="s">
        <v>1760</v>
      </c>
      <c r="C418" s="82" t="s">
        <v>7273</v>
      </c>
      <c r="D418" s="4"/>
      <c r="E418" s="4"/>
      <c r="F418" s="71"/>
      <c r="G418" s="4"/>
      <c r="H418" s="4"/>
      <c r="I418" s="4" t="s">
        <v>1541</v>
      </c>
      <c r="J418" s="4"/>
      <c r="K418" s="4"/>
      <c r="L418" s="4"/>
      <c r="M418" s="4"/>
      <c r="N418" s="4"/>
      <c r="O418" s="4"/>
      <c r="P418" s="4"/>
      <c r="Q418" s="4"/>
    </row>
    <row r="419" spans="1:17" x14ac:dyDescent="0.2">
      <c r="A419" s="1">
        <f t="shared" ca="1" si="11"/>
        <v>417</v>
      </c>
      <c r="B419" s="1" t="s">
        <v>6291</v>
      </c>
      <c r="C419" s="82" t="s">
        <v>7274</v>
      </c>
      <c r="D419" s="4"/>
      <c r="E419" s="4"/>
      <c r="F419" s="71"/>
      <c r="G419" s="4"/>
      <c r="H419" s="4"/>
      <c r="I419" s="4" t="s">
        <v>3758</v>
      </c>
      <c r="J419" s="4" t="s">
        <v>7323</v>
      </c>
      <c r="K419" s="4"/>
      <c r="L419" s="4"/>
      <c r="M419" s="4"/>
      <c r="N419" s="4"/>
      <c r="O419" s="4"/>
      <c r="P419" s="4"/>
      <c r="Q419" s="4"/>
    </row>
    <row r="420" spans="1:17" x14ac:dyDescent="0.2">
      <c r="A420" s="1">
        <f t="shared" ca="1" si="11"/>
        <v>418</v>
      </c>
      <c r="B420" s="1" t="s">
        <v>2874</v>
      </c>
      <c r="C420" s="82" t="s">
        <v>2875</v>
      </c>
      <c r="D420" s="4"/>
      <c r="E420" s="4"/>
      <c r="F420" s="71"/>
      <c r="G420" s="4"/>
      <c r="H420" s="4"/>
      <c r="I420" s="82" t="s">
        <v>3759</v>
      </c>
      <c r="J420" s="4"/>
      <c r="K420" s="4"/>
      <c r="L420" s="4"/>
      <c r="M420" s="4"/>
      <c r="N420" s="4"/>
      <c r="O420" s="4"/>
      <c r="P420" s="4"/>
      <c r="Q420" s="4"/>
    </row>
    <row r="421" spans="1:17" x14ac:dyDescent="0.2">
      <c r="A421" s="1">
        <f t="shared" ca="1" si="11"/>
        <v>419</v>
      </c>
      <c r="B421" s="1" t="s">
        <v>2870</v>
      </c>
      <c r="C421" s="82" t="s">
        <v>7275</v>
      </c>
      <c r="D421" s="4"/>
      <c r="E421" s="4"/>
      <c r="F421" s="71"/>
      <c r="G421" s="4"/>
      <c r="H421" s="4"/>
      <c r="I421" s="4" t="s">
        <v>3760</v>
      </c>
      <c r="J421" s="4"/>
      <c r="K421" s="4"/>
      <c r="L421" s="4"/>
      <c r="M421" s="4"/>
      <c r="N421" s="4"/>
      <c r="O421" s="4"/>
      <c r="P421" s="4"/>
      <c r="Q421" s="4"/>
    </row>
    <row r="422" spans="1:17" x14ac:dyDescent="0.2">
      <c r="A422" s="1">
        <f t="shared" ca="1" si="11"/>
        <v>420</v>
      </c>
      <c r="B422" s="1" t="s">
        <v>2871</v>
      </c>
      <c r="C422" s="82" t="s">
        <v>2877</v>
      </c>
      <c r="D422" s="4"/>
      <c r="E422" s="4"/>
      <c r="F422" s="71"/>
      <c r="G422" s="4"/>
      <c r="H422" s="4"/>
      <c r="I422" s="82" t="s">
        <v>3761</v>
      </c>
      <c r="J422" s="82" t="s">
        <v>2877</v>
      </c>
      <c r="K422" s="4"/>
      <c r="L422" s="4"/>
      <c r="M422" s="4"/>
      <c r="N422" s="4"/>
      <c r="O422" s="4"/>
      <c r="P422" s="4"/>
      <c r="Q422" s="4"/>
    </row>
    <row r="423" spans="1:17" x14ac:dyDescent="0.2">
      <c r="A423" s="1">
        <f t="shared" ca="1" si="11"/>
        <v>421</v>
      </c>
      <c r="B423" s="1" t="s">
        <v>2872</v>
      </c>
      <c r="C423" s="82" t="s">
        <v>2876</v>
      </c>
      <c r="D423" s="4"/>
      <c r="E423" s="4"/>
      <c r="F423" s="71"/>
      <c r="G423" s="4"/>
      <c r="H423" s="4"/>
      <c r="I423" s="82" t="s">
        <v>3762</v>
      </c>
      <c r="J423" s="82" t="s">
        <v>2876</v>
      </c>
      <c r="K423" s="4"/>
      <c r="L423" s="4"/>
      <c r="M423" s="4"/>
      <c r="N423" s="4"/>
      <c r="O423" s="4"/>
      <c r="P423" s="4"/>
      <c r="Q423" s="4"/>
    </row>
    <row r="424" spans="1:17" x14ac:dyDescent="0.2">
      <c r="A424" s="1">
        <f t="shared" ca="1" si="11"/>
        <v>422</v>
      </c>
      <c r="B424" s="1" t="s">
        <v>2873</v>
      </c>
      <c r="C424" s="82" t="s">
        <v>7276</v>
      </c>
      <c r="D424" s="4"/>
      <c r="E424" s="4"/>
      <c r="F424" s="71"/>
      <c r="G424" s="4"/>
      <c r="H424" s="4"/>
      <c r="I424" s="4" t="s">
        <v>3763</v>
      </c>
      <c r="J424" s="4"/>
      <c r="K424" s="4"/>
      <c r="L424" s="4"/>
      <c r="M424" s="4"/>
      <c r="N424" s="4"/>
      <c r="O424" s="4"/>
      <c r="P424" s="4"/>
      <c r="Q424" s="4"/>
    </row>
    <row r="425" spans="1:17" x14ac:dyDescent="0.2">
      <c r="A425" s="1">
        <f t="shared" ca="1" si="11"/>
        <v>423</v>
      </c>
      <c r="B425" s="1" t="s">
        <v>7966</v>
      </c>
      <c r="C425" s="82" t="s">
        <v>7277</v>
      </c>
      <c r="D425" s="4"/>
      <c r="E425" s="4"/>
      <c r="F425" s="71"/>
      <c r="G425" s="4"/>
      <c r="H425" s="4"/>
      <c r="I425" s="4" t="s">
        <v>3800</v>
      </c>
      <c r="J425" s="4" t="s">
        <v>7318</v>
      </c>
      <c r="K425" s="4"/>
      <c r="L425" s="4"/>
      <c r="M425" s="4"/>
      <c r="N425" s="4"/>
      <c r="O425" s="4"/>
      <c r="P425" s="4"/>
      <c r="Q425" s="4"/>
    </row>
    <row r="426" spans="1:17" x14ac:dyDescent="0.2">
      <c r="A426" s="1">
        <f t="shared" ca="1" si="11"/>
        <v>424</v>
      </c>
      <c r="B426" s="1" t="s">
        <v>7713</v>
      </c>
      <c r="C426" s="82" t="s">
        <v>7279</v>
      </c>
      <c r="D426" s="4"/>
      <c r="E426" s="4"/>
      <c r="F426" s="71"/>
      <c r="G426" s="4"/>
      <c r="H426" s="4"/>
      <c r="I426" s="82" t="s">
        <v>3764</v>
      </c>
      <c r="J426" s="4" t="s">
        <v>7319</v>
      </c>
      <c r="K426" s="4"/>
      <c r="L426" s="4"/>
      <c r="M426" s="4"/>
      <c r="N426" s="4"/>
      <c r="O426" s="4"/>
      <c r="P426" s="4"/>
      <c r="Q426" s="4"/>
    </row>
    <row r="427" spans="1:17" x14ac:dyDescent="0.2">
      <c r="A427" s="1">
        <f t="shared" ca="1" si="11"/>
        <v>425</v>
      </c>
      <c r="B427" s="1" t="s">
        <v>7714</v>
      </c>
      <c r="C427" s="82" t="s">
        <v>7278</v>
      </c>
      <c r="D427" s="4"/>
      <c r="E427" s="4"/>
      <c r="F427" s="71"/>
      <c r="G427" s="4"/>
      <c r="H427" s="4"/>
      <c r="I427" s="82" t="s">
        <v>3765</v>
      </c>
      <c r="J427" s="4" t="s">
        <v>7320</v>
      </c>
      <c r="K427" s="4"/>
      <c r="L427" s="4"/>
      <c r="M427" s="4"/>
      <c r="N427" s="4"/>
      <c r="O427" s="4"/>
      <c r="P427" s="4"/>
      <c r="Q427" s="4"/>
    </row>
    <row r="428" spans="1:17" x14ac:dyDescent="0.2">
      <c r="A428" s="1">
        <f t="shared" ca="1" si="11"/>
        <v>426</v>
      </c>
      <c r="B428" s="1" t="s">
        <v>7715</v>
      </c>
      <c r="C428" s="82" t="s">
        <v>7280</v>
      </c>
      <c r="D428" s="4"/>
      <c r="E428" s="4"/>
      <c r="F428" s="71"/>
      <c r="G428" s="4"/>
      <c r="H428" s="4"/>
      <c r="I428" s="82" t="s">
        <v>3766</v>
      </c>
      <c r="J428" s="4" t="s">
        <v>7321</v>
      </c>
      <c r="K428" s="4"/>
      <c r="L428" s="4"/>
      <c r="M428" s="4"/>
      <c r="N428" s="4"/>
      <c r="O428" s="4"/>
      <c r="P428" s="4"/>
      <c r="Q428" s="4"/>
    </row>
    <row r="429" spans="1:17" x14ac:dyDescent="0.2">
      <c r="A429" s="1">
        <f t="shared" ca="1" si="11"/>
        <v>427</v>
      </c>
      <c r="B429" s="1" t="s">
        <v>7716</v>
      </c>
      <c r="C429" s="82" t="s">
        <v>7281</v>
      </c>
      <c r="D429" s="4"/>
      <c r="E429" s="4"/>
      <c r="F429" s="71"/>
      <c r="G429" s="4"/>
      <c r="H429" s="4"/>
      <c r="I429" s="82" t="s">
        <v>3767</v>
      </c>
      <c r="J429" s="4" t="s">
        <v>7322</v>
      </c>
      <c r="K429" s="4"/>
      <c r="L429" s="4"/>
      <c r="M429" s="4"/>
      <c r="N429" s="4"/>
      <c r="O429" s="4"/>
      <c r="P429" s="4"/>
      <c r="Q429" s="4"/>
    </row>
    <row r="430" spans="1:17" x14ac:dyDescent="0.2">
      <c r="A430" s="1">
        <f t="shared" ca="1" si="11"/>
        <v>428</v>
      </c>
      <c r="B430" s="1" t="s">
        <v>7717</v>
      </c>
      <c r="C430" s="82" t="s">
        <v>7282</v>
      </c>
      <c r="D430" s="4"/>
      <c r="E430" s="4"/>
      <c r="F430" s="71"/>
      <c r="G430" s="4"/>
      <c r="H430" s="4"/>
      <c r="I430" s="82" t="s">
        <v>3768</v>
      </c>
      <c r="J430" s="4" t="s">
        <v>7880</v>
      </c>
      <c r="K430" s="4"/>
      <c r="L430" s="4"/>
      <c r="M430" s="4"/>
      <c r="N430" s="4"/>
      <c r="O430" s="4"/>
      <c r="P430" s="4"/>
      <c r="Q430" s="4"/>
    </row>
    <row r="431" spans="1:17" x14ac:dyDescent="0.2">
      <c r="A431" s="1">
        <f t="shared" ca="1" si="11"/>
        <v>429</v>
      </c>
      <c r="B431" s="1" t="s">
        <v>7718</v>
      </c>
      <c r="C431" s="82" t="s">
        <v>7283</v>
      </c>
      <c r="D431" s="4"/>
      <c r="E431" s="4"/>
      <c r="F431" s="71"/>
      <c r="G431" s="4"/>
      <c r="H431" s="4"/>
      <c r="I431" s="82" t="s">
        <v>3769</v>
      </c>
      <c r="J431" s="4" t="s">
        <v>7879</v>
      </c>
      <c r="K431" s="4"/>
      <c r="L431" s="4"/>
      <c r="M431" s="4"/>
      <c r="N431" s="4"/>
      <c r="O431" s="4"/>
      <c r="P431" s="4"/>
      <c r="Q431" s="4"/>
    </row>
    <row r="432" spans="1:17" ht="38.25" x14ac:dyDescent="0.2">
      <c r="A432" s="1">
        <f t="shared" ca="1" si="11"/>
        <v>430</v>
      </c>
      <c r="B432" s="1" t="s">
        <v>7719</v>
      </c>
      <c r="C432" s="82" t="s">
        <v>4653</v>
      </c>
      <c r="D432" s="4"/>
      <c r="E432" s="4"/>
      <c r="F432" s="71"/>
      <c r="G432" s="4"/>
      <c r="H432" s="4"/>
      <c r="I432" s="4" t="s">
        <v>3770</v>
      </c>
      <c r="J432" s="4"/>
      <c r="K432" s="4"/>
      <c r="L432" s="4"/>
      <c r="M432" s="4"/>
      <c r="N432" s="4"/>
      <c r="O432" s="4"/>
      <c r="P432" s="4"/>
      <c r="Q432" s="4"/>
    </row>
    <row r="433" spans="1:17" ht="25.5" x14ac:dyDescent="0.2">
      <c r="A433" s="1">
        <f t="shared" ca="1" si="11"/>
        <v>431</v>
      </c>
      <c r="B433" s="1" t="s">
        <v>7720</v>
      </c>
      <c r="C433" s="82" t="s">
        <v>1248</v>
      </c>
      <c r="D433" s="4"/>
      <c r="E433" s="4"/>
      <c r="F433" s="71"/>
      <c r="G433" s="4"/>
      <c r="H433" s="4"/>
      <c r="I433" s="4" t="s">
        <v>3771</v>
      </c>
      <c r="J433" s="4"/>
      <c r="K433" s="4"/>
      <c r="L433" s="4"/>
      <c r="M433" s="4"/>
      <c r="N433" s="4"/>
      <c r="O433" s="4"/>
      <c r="P433" s="4"/>
      <c r="Q433" s="4"/>
    </row>
    <row r="434" spans="1:17" ht="25.5" x14ac:dyDescent="0.2">
      <c r="A434" s="1">
        <f t="shared" ca="1" si="11"/>
        <v>432</v>
      </c>
      <c r="B434" s="1" t="s">
        <v>7721</v>
      </c>
      <c r="C434" s="82" t="s">
        <v>6070</v>
      </c>
      <c r="D434" s="4"/>
      <c r="E434" s="4"/>
      <c r="F434" s="71"/>
      <c r="G434" s="4"/>
      <c r="H434" s="4"/>
      <c r="I434" s="4" t="s">
        <v>3772</v>
      </c>
      <c r="J434" s="4"/>
      <c r="K434" s="4"/>
      <c r="L434" s="4"/>
      <c r="M434" s="4"/>
      <c r="N434" s="4"/>
      <c r="O434" s="4"/>
      <c r="P434" s="4"/>
      <c r="Q434" s="4"/>
    </row>
    <row r="435" spans="1:17" ht="38.25" x14ac:dyDescent="0.2">
      <c r="A435" s="1">
        <f t="shared" ca="1" si="11"/>
        <v>433</v>
      </c>
      <c r="B435" s="1" t="s">
        <v>7722</v>
      </c>
      <c r="C435" s="82" t="s">
        <v>4274</v>
      </c>
      <c r="D435" s="4"/>
      <c r="E435" s="4"/>
      <c r="F435" s="71"/>
      <c r="G435" s="4"/>
      <c r="H435" s="4"/>
      <c r="I435" s="4" t="s">
        <v>3773</v>
      </c>
      <c r="J435" s="4"/>
      <c r="K435" s="4"/>
      <c r="L435" s="4"/>
      <c r="M435" s="4"/>
      <c r="N435" s="4"/>
      <c r="O435" s="4"/>
      <c r="P435" s="4"/>
      <c r="Q435" s="4"/>
    </row>
    <row r="436" spans="1:17" ht="25.5" x14ac:dyDescent="0.2">
      <c r="A436" s="1">
        <f t="shared" ca="1" si="11"/>
        <v>434</v>
      </c>
      <c r="B436" s="1" t="s">
        <v>6509</v>
      </c>
      <c r="C436" s="82" t="s">
        <v>811</v>
      </c>
      <c r="D436" s="4"/>
      <c r="E436" s="4"/>
      <c r="F436" s="71"/>
      <c r="G436" s="4"/>
      <c r="H436" s="4"/>
      <c r="I436" s="4" t="s">
        <v>3774</v>
      </c>
      <c r="J436" s="4"/>
      <c r="K436" s="4"/>
      <c r="L436" s="4"/>
      <c r="M436" s="4"/>
      <c r="N436" s="4"/>
      <c r="O436" s="4"/>
      <c r="P436" s="4"/>
      <c r="Q436" s="4"/>
    </row>
    <row r="437" spans="1:17" ht="25.5" x14ac:dyDescent="0.2">
      <c r="A437" s="1">
        <f t="shared" ca="1" si="11"/>
        <v>435</v>
      </c>
      <c r="B437" s="1" t="s">
        <v>6510</v>
      </c>
      <c r="C437" s="82" t="s">
        <v>7901</v>
      </c>
      <c r="D437" s="4"/>
      <c r="E437" s="4"/>
      <c r="F437" s="71"/>
      <c r="G437" s="4"/>
      <c r="H437" s="4"/>
      <c r="I437" s="4" t="s">
        <v>6055</v>
      </c>
      <c r="J437" s="4"/>
      <c r="K437" s="4"/>
      <c r="L437" s="4"/>
      <c r="M437" s="4"/>
      <c r="N437" s="4"/>
      <c r="O437" s="4"/>
      <c r="P437" s="4"/>
      <c r="Q437" s="4"/>
    </row>
    <row r="438" spans="1:17" ht="25.5" x14ac:dyDescent="0.2">
      <c r="A438" s="1">
        <f t="shared" ca="1" si="11"/>
        <v>436</v>
      </c>
      <c r="B438" s="1" t="s">
        <v>6511</v>
      </c>
      <c r="C438" s="82" t="s">
        <v>4279</v>
      </c>
      <c r="D438" s="4"/>
      <c r="E438" s="4"/>
      <c r="F438" s="71"/>
      <c r="G438" s="4"/>
      <c r="H438" s="4"/>
      <c r="I438" s="4" t="s">
        <v>6056</v>
      </c>
      <c r="J438" s="4"/>
      <c r="K438" s="4"/>
      <c r="L438" s="4"/>
      <c r="M438" s="4"/>
      <c r="N438" s="4"/>
      <c r="O438" s="4"/>
      <c r="P438" s="4"/>
      <c r="Q438" s="4"/>
    </row>
    <row r="439" spans="1:17" ht="51" x14ac:dyDescent="0.2">
      <c r="A439" s="1">
        <f t="shared" ca="1" si="11"/>
        <v>437</v>
      </c>
      <c r="B439" s="1" t="s">
        <v>7011</v>
      </c>
      <c r="C439" s="82" t="s">
        <v>6030</v>
      </c>
      <c r="D439" s="4"/>
      <c r="E439" s="4"/>
      <c r="F439" s="71"/>
      <c r="G439" s="4"/>
      <c r="H439" s="4"/>
      <c r="I439" s="4" t="s">
        <v>6057</v>
      </c>
      <c r="J439" s="4"/>
      <c r="K439" s="4"/>
      <c r="L439" s="4"/>
      <c r="M439" s="4"/>
      <c r="N439" s="4"/>
      <c r="O439" s="4"/>
      <c r="P439" s="4"/>
      <c r="Q439" s="4"/>
    </row>
    <row r="440" spans="1:17" ht="25.5" x14ac:dyDescent="0.2">
      <c r="A440" s="1">
        <f ca="1">CELL("row",C440)-2</f>
        <v>438</v>
      </c>
      <c r="B440" s="1" t="s">
        <v>1568</v>
      </c>
      <c r="C440" s="82" t="s">
        <v>1569</v>
      </c>
      <c r="D440" s="4"/>
      <c r="E440" s="4"/>
      <c r="F440" s="71"/>
      <c r="G440" s="4"/>
      <c r="H440" s="4"/>
      <c r="J440" s="4"/>
      <c r="K440" s="4"/>
      <c r="L440" s="4"/>
      <c r="M440" s="4"/>
      <c r="N440" s="4"/>
      <c r="O440" s="4"/>
      <c r="P440" s="4"/>
      <c r="Q440" s="4"/>
    </row>
    <row r="441" spans="1:17" ht="25.5" x14ac:dyDescent="0.2">
      <c r="A441" s="1">
        <f t="shared" ca="1" si="11"/>
        <v>439</v>
      </c>
      <c r="B441" s="1" t="s">
        <v>7012</v>
      </c>
      <c r="C441" s="82" t="s">
        <v>6029</v>
      </c>
      <c r="D441" s="4"/>
      <c r="E441" s="4"/>
      <c r="F441" s="71"/>
      <c r="G441" s="4"/>
      <c r="H441" s="4"/>
      <c r="I441" s="4" t="s">
        <v>6058</v>
      </c>
      <c r="J441" s="4" t="s">
        <v>7881</v>
      </c>
      <c r="K441" s="4"/>
      <c r="L441" s="4"/>
      <c r="M441" s="4"/>
      <c r="N441" s="4"/>
      <c r="O441" s="4"/>
      <c r="P441" s="4"/>
      <c r="Q441" s="4"/>
    </row>
    <row r="442" spans="1:17" x14ac:dyDescent="0.2">
      <c r="A442" s="1">
        <f t="shared" ca="1" si="11"/>
        <v>440</v>
      </c>
      <c r="B442" s="1" t="s">
        <v>2516</v>
      </c>
      <c r="C442" s="82" t="s">
        <v>6028</v>
      </c>
      <c r="D442" s="4"/>
      <c r="E442" s="4"/>
      <c r="F442" s="71"/>
      <c r="G442" s="4"/>
      <c r="H442" s="4"/>
      <c r="I442" s="4" t="s">
        <v>6059</v>
      </c>
      <c r="J442" s="4" t="s">
        <v>7882</v>
      </c>
      <c r="K442" s="4"/>
      <c r="L442" s="4"/>
      <c r="M442" s="4"/>
      <c r="N442" s="4"/>
      <c r="O442" s="4"/>
      <c r="P442" s="4"/>
      <c r="Q442" s="4"/>
    </row>
    <row r="443" spans="1:17" x14ac:dyDescent="0.2">
      <c r="A443" s="1">
        <f t="shared" ca="1" si="11"/>
        <v>441</v>
      </c>
      <c r="B443" s="1" t="s">
        <v>2517</v>
      </c>
      <c r="C443" s="82" t="s">
        <v>6027</v>
      </c>
      <c r="D443" s="4"/>
      <c r="E443" s="4"/>
      <c r="F443" s="71"/>
      <c r="G443" s="4"/>
      <c r="H443" s="4"/>
      <c r="I443" s="4" t="s">
        <v>6060</v>
      </c>
      <c r="J443" s="4" t="s">
        <v>7883</v>
      </c>
      <c r="K443" s="4"/>
      <c r="L443" s="4"/>
      <c r="M443" s="4"/>
      <c r="N443" s="4"/>
      <c r="O443" s="4"/>
      <c r="P443" s="4"/>
      <c r="Q443" s="4"/>
    </row>
    <row r="444" spans="1:17" x14ac:dyDescent="0.2">
      <c r="A444" s="1">
        <f t="shared" ca="1" si="11"/>
        <v>442</v>
      </c>
      <c r="B444" s="1" t="s">
        <v>2518</v>
      </c>
      <c r="C444" s="82" t="s">
        <v>6026</v>
      </c>
      <c r="D444" s="4"/>
      <c r="E444" s="4"/>
      <c r="F444" s="71"/>
      <c r="G444" s="4"/>
      <c r="H444" s="4"/>
      <c r="I444" s="4" t="s">
        <v>6061</v>
      </c>
      <c r="J444" s="4"/>
      <c r="K444" s="4"/>
      <c r="L444" s="4"/>
      <c r="M444" s="4"/>
      <c r="N444" s="4"/>
      <c r="O444" s="4"/>
      <c r="P444" s="4"/>
      <c r="Q444" s="4"/>
    </row>
    <row r="445" spans="1:17" x14ac:dyDescent="0.2">
      <c r="A445" s="1">
        <f t="shared" ca="1" si="11"/>
        <v>443</v>
      </c>
      <c r="B445" s="1" t="s">
        <v>2519</v>
      </c>
      <c r="C445" s="82" t="s">
        <v>6025</v>
      </c>
      <c r="D445" s="4"/>
      <c r="E445" s="4"/>
      <c r="F445" s="71"/>
      <c r="G445" s="4"/>
      <c r="H445" s="4"/>
      <c r="I445" s="4" t="s">
        <v>6062</v>
      </c>
      <c r="J445" s="4"/>
      <c r="K445" s="4"/>
      <c r="L445" s="4"/>
      <c r="M445" s="4"/>
      <c r="N445" s="4"/>
      <c r="O445" s="4"/>
      <c r="P445" s="4"/>
      <c r="Q445" s="4"/>
    </row>
    <row r="446" spans="1:17" ht="25.5" x14ac:dyDescent="0.2">
      <c r="A446" s="1">
        <f t="shared" ca="1" si="11"/>
        <v>444</v>
      </c>
      <c r="B446" s="1" t="s">
        <v>2520</v>
      </c>
      <c r="C446" s="82" t="s">
        <v>6024</v>
      </c>
      <c r="D446" s="4"/>
      <c r="E446" s="4"/>
      <c r="F446" s="71"/>
      <c r="G446" s="4"/>
      <c r="H446" s="4"/>
      <c r="I446" s="4" t="s">
        <v>6063</v>
      </c>
      <c r="J446" s="4" t="s">
        <v>26</v>
      </c>
      <c r="K446" s="4"/>
      <c r="L446" s="4"/>
      <c r="M446" s="4"/>
      <c r="N446" s="4"/>
      <c r="O446" s="4"/>
      <c r="P446" s="4"/>
      <c r="Q446" s="4"/>
    </row>
    <row r="447" spans="1:17" ht="25.5" x14ac:dyDescent="0.2">
      <c r="A447" s="1">
        <f t="shared" ca="1" si="11"/>
        <v>445</v>
      </c>
      <c r="B447" s="1" t="s">
        <v>2521</v>
      </c>
      <c r="C447" s="82" t="s">
        <v>5299</v>
      </c>
      <c r="D447" s="4"/>
      <c r="E447" s="4"/>
      <c r="F447" s="71"/>
      <c r="G447" s="4"/>
      <c r="H447" s="4"/>
      <c r="I447" s="4" t="s">
        <v>3792</v>
      </c>
      <c r="J447" s="4"/>
      <c r="K447" s="4"/>
      <c r="L447" s="4"/>
      <c r="M447" s="4"/>
      <c r="N447" s="4"/>
      <c r="O447" s="4"/>
      <c r="P447" s="4"/>
      <c r="Q447" s="4"/>
    </row>
    <row r="448" spans="1:17" x14ac:dyDescent="0.2">
      <c r="A448" s="1">
        <f t="shared" ca="1" si="11"/>
        <v>446</v>
      </c>
      <c r="B448" s="1" t="s">
        <v>2522</v>
      </c>
      <c r="C448" s="82" t="s">
        <v>5300</v>
      </c>
      <c r="D448" s="4"/>
      <c r="E448" s="4"/>
      <c r="F448" s="71"/>
      <c r="G448" s="4"/>
      <c r="H448" s="4"/>
      <c r="I448" s="4" t="s">
        <v>3793</v>
      </c>
      <c r="J448" s="4"/>
      <c r="K448" s="4"/>
      <c r="L448" s="4"/>
      <c r="M448" s="4"/>
      <c r="N448" s="4"/>
      <c r="O448" s="4"/>
      <c r="P448" s="4"/>
      <c r="Q448" s="4"/>
    </row>
    <row r="449" spans="1:17" x14ac:dyDescent="0.2">
      <c r="A449" s="1">
        <f t="shared" ca="1" si="11"/>
        <v>447</v>
      </c>
      <c r="B449" s="1" t="s">
        <v>2575</v>
      </c>
      <c r="C449" s="82" t="s">
        <v>8272</v>
      </c>
      <c r="D449" s="4"/>
      <c r="E449" s="4"/>
      <c r="F449" s="71"/>
      <c r="G449" s="4"/>
      <c r="H449" s="4"/>
      <c r="I449" s="4" t="s">
        <v>3794</v>
      </c>
      <c r="J449" s="4" t="s">
        <v>7884</v>
      </c>
      <c r="K449" s="4"/>
      <c r="L449" s="4"/>
      <c r="M449" s="4"/>
      <c r="N449" s="4"/>
      <c r="O449" s="4"/>
      <c r="P449" s="4"/>
      <c r="Q449" s="4"/>
    </row>
    <row r="450" spans="1:17" x14ac:dyDescent="0.2">
      <c r="A450" s="1">
        <f t="shared" ca="1" si="11"/>
        <v>448</v>
      </c>
      <c r="B450" s="1" t="s">
        <v>4000</v>
      </c>
      <c r="C450" s="82" t="s">
        <v>8271</v>
      </c>
      <c r="D450" s="4"/>
      <c r="E450" s="4"/>
      <c r="F450" s="71"/>
      <c r="G450" s="4"/>
      <c r="H450" s="4"/>
      <c r="I450" s="4" t="s">
        <v>3795</v>
      </c>
      <c r="J450" s="4" t="s">
        <v>7885</v>
      </c>
      <c r="K450" s="4"/>
      <c r="L450" s="4"/>
      <c r="M450" s="4"/>
      <c r="N450" s="4"/>
      <c r="O450" s="4"/>
      <c r="P450" s="4"/>
      <c r="Q450" s="4"/>
    </row>
    <row r="451" spans="1:17" x14ac:dyDescent="0.2">
      <c r="A451" s="1">
        <f t="shared" ca="1" si="11"/>
        <v>449</v>
      </c>
      <c r="B451" s="1" t="s">
        <v>8284</v>
      </c>
      <c r="C451" s="82" t="s">
        <v>8270</v>
      </c>
      <c r="D451" s="4"/>
      <c r="E451" s="4"/>
      <c r="F451" s="71"/>
      <c r="G451" s="4"/>
      <c r="H451" s="4"/>
      <c r="I451" s="4" t="s">
        <v>3796</v>
      </c>
      <c r="J451" s="4" t="s">
        <v>7886</v>
      </c>
      <c r="K451" s="4"/>
      <c r="L451" s="4"/>
      <c r="M451" s="4"/>
      <c r="N451" s="4"/>
      <c r="O451" s="4"/>
      <c r="P451" s="4"/>
      <c r="Q451" s="4"/>
    </row>
    <row r="452" spans="1:17" x14ac:dyDescent="0.2">
      <c r="A452" s="1">
        <f t="shared" ca="1" si="11"/>
        <v>450</v>
      </c>
      <c r="B452" s="1" t="s">
        <v>8285</v>
      </c>
      <c r="C452" s="82" t="s">
        <v>8269</v>
      </c>
      <c r="D452" s="4"/>
      <c r="E452" s="4"/>
      <c r="F452" s="71"/>
      <c r="G452" s="4"/>
      <c r="H452" s="4"/>
      <c r="I452" s="4" t="s">
        <v>3797</v>
      </c>
      <c r="J452" s="4" t="s">
        <v>7887</v>
      </c>
      <c r="K452" s="4"/>
      <c r="L452" s="4"/>
      <c r="M452" s="4"/>
      <c r="N452" s="4"/>
      <c r="O452" s="4"/>
      <c r="P452" s="4"/>
      <c r="Q452" s="4"/>
    </row>
    <row r="453" spans="1:17" x14ac:dyDescent="0.2">
      <c r="A453" s="1">
        <f t="shared" ca="1" si="11"/>
        <v>451</v>
      </c>
      <c r="B453" s="1" t="s">
        <v>2576</v>
      </c>
      <c r="C453" s="82" t="s">
        <v>8268</v>
      </c>
      <c r="D453" s="4"/>
      <c r="E453" s="4"/>
      <c r="F453" s="71"/>
      <c r="G453" s="4"/>
      <c r="H453" s="4"/>
      <c r="I453" s="4" t="s">
        <v>6116</v>
      </c>
      <c r="J453" s="4" t="s">
        <v>7888</v>
      </c>
      <c r="K453" s="4"/>
      <c r="L453" s="4"/>
      <c r="M453" s="4"/>
      <c r="N453" s="4"/>
      <c r="O453" s="4"/>
      <c r="P453" s="4"/>
      <c r="Q453" s="4"/>
    </row>
    <row r="454" spans="1:17" x14ac:dyDescent="0.2">
      <c r="A454" s="1">
        <f t="shared" ca="1" si="11"/>
        <v>452</v>
      </c>
      <c r="B454" s="1" t="s">
        <v>2577</v>
      </c>
      <c r="C454" s="82" t="s">
        <v>4275</v>
      </c>
      <c r="D454" s="4"/>
      <c r="E454" s="4"/>
      <c r="F454" s="71"/>
      <c r="G454" s="4"/>
      <c r="H454" s="4"/>
      <c r="I454" s="4" t="s">
        <v>6117</v>
      </c>
      <c r="J454" s="4" t="s">
        <v>7889</v>
      </c>
      <c r="K454" s="4"/>
      <c r="L454" s="4"/>
      <c r="M454" s="4"/>
      <c r="N454" s="4"/>
      <c r="O454" s="4"/>
      <c r="P454" s="4"/>
      <c r="Q454" s="4"/>
    </row>
    <row r="455" spans="1:17" x14ac:dyDescent="0.2">
      <c r="A455" s="1">
        <f t="shared" ca="1" si="11"/>
        <v>453</v>
      </c>
      <c r="B455" s="1" t="s">
        <v>2578</v>
      </c>
      <c r="C455" s="82" t="s">
        <v>4276</v>
      </c>
      <c r="D455" s="4"/>
      <c r="E455" s="4"/>
      <c r="F455" s="71"/>
      <c r="G455" s="4"/>
      <c r="H455" s="4"/>
      <c r="I455" s="4" t="s">
        <v>6086</v>
      </c>
      <c r="J455" s="4" t="s">
        <v>7890</v>
      </c>
      <c r="K455" s="4"/>
      <c r="L455" s="4"/>
      <c r="M455" s="4"/>
      <c r="N455" s="4"/>
      <c r="O455" s="4"/>
      <c r="P455" s="4"/>
      <c r="Q455" s="4"/>
    </row>
    <row r="456" spans="1:17" x14ac:dyDescent="0.2">
      <c r="A456" s="1">
        <f t="shared" ca="1" si="11"/>
        <v>454</v>
      </c>
      <c r="B456" s="1" t="s">
        <v>8928</v>
      </c>
      <c r="C456" s="82" t="s">
        <v>3091</v>
      </c>
      <c r="D456" s="4"/>
      <c r="E456" s="4"/>
      <c r="F456" s="71"/>
      <c r="G456" s="4"/>
      <c r="H456" s="4"/>
      <c r="I456" s="4" t="s">
        <v>6087</v>
      </c>
      <c r="J456" s="4" t="s">
        <v>7891</v>
      </c>
      <c r="K456" s="4"/>
      <c r="L456" s="4"/>
      <c r="M456" s="4"/>
      <c r="N456" s="4"/>
      <c r="O456" s="4"/>
      <c r="P456" s="4"/>
      <c r="Q456" s="4"/>
    </row>
    <row r="457" spans="1:17" x14ac:dyDescent="0.2">
      <c r="A457" s="1">
        <f t="shared" ca="1" si="11"/>
        <v>455</v>
      </c>
      <c r="B457" s="1" t="s">
        <v>8927</v>
      </c>
      <c r="C457" s="82" t="s">
        <v>6071</v>
      </c>
      <c r="D457" s="4"/>
      <c r="E457" s="4"/>
      <c r="F457" s="71"/>
      <c r="G457" s="4"/>
      <c r="H457" s="4"/>
      <c r="I457" s="4" t="s">
        <v>6088</v>
      </c>
      <c r="J457" s="4" t="s">
        <v>7892</v>
      </c>
      <c r="K457" s="4"/>
      <c r="L457" s="4"/>
      <c r="M457" s="4"/>
      <c r="N457" s="4"/>
      <c r="O457" s="4"/>
      <c r="P457" s="4"/>
      <c r="Q457" s="4"/>
    </row>
    <row r="458" spans="1:17" x14ac:dyDescent="0.2">
      <c r="A458" s="1">
        <f t="shared" ca="1" si="11"/>
        <v>456</v>
      </c>
      <c r="B458" s="1" t="s">
        <v>1008</v>
      </c>
      <c r="C458" s="82" t="s">
        <v>8267</v>
      </c>
      <c r="D458" s="4"/>
      <c r="E458" s="4"/>
      <c r="F458" s="71"/>
      <c r="G458" s="4"/>
      <c r="H458" s="4"/>
      <c r="I458" s="4" t="s">
        <v>6089</v>
      </c>
      <c r="J458" s="4" t="s">
        <v>7893</v>
      </c>
      <c r="K458" s="4"/>
      <c r="L458" s="4"/>
      <c r="M458" s="4"/>
      <c r="N458" s="4"/>
      <c r="O458" s="4"/>
      <c r="P458" s="4"/>
      <c r="Q458" s="4"/>
    </row>
    <row r="459" spans="1:17" x14ac:dyDescent="0.2">
      <c r="A459" s="1">
        <f t="shared" ca="1" si="11"/>
        <v>457</v>
      </c>
      <c r="B459" s="1" t="s">
        <v>1009</v>
      </c>
      <c r="C459" s="82" t="s">
        <v>3092</v>
      </c>
      <c r="D459" s="4"/>
      <c r="E459" s="4"/>
      <c r="F459" s="71"/>
      <c r="G459" s="4"/>
      <c r="H459" s="4"/>
      <c r="I459" s="4" t="s">
        <v>6090</v>
      </c>
      <c r="J459" s="4" t="s">
        <v>7894</v>
      </c>
      <c r="K459" s="4"/>
      <c r="L459" s="4"/>
      <c r="M459" s="4"/>
      <c r="N459" s="4"/>
      <c r="O459" s="4"/>
      <c r="P459" s="4"/>
      <c r="Q459" s="4"/>
    </row>
    <row r="460" spans="1:17" x14ac:dyDescent="0.2">
      <c r="A460" s="1">
        <f t="shared" ca="1" si="11"/>
        <v>458</v>
      </c>
      <c r="B460" s="1" t="s">
        <v>1010</v>
      </c>
      <c r="C460" s="82" t="s">
        <v>5301</v>
      </c>
      <c r="D460" s="4"/>
      <c r="E460" s="4"/>
      <c r="F460" s="71"/>
      <c r="G460" s="4"/>
      <c r="H460" s="4"/>
      <c r="I460" s="4" t="s">
        <v>3041</v>
      </c>
      <c r="J460" s="4" t="s">
        <v>4551</v>
      </c>
      <c r="K460" s="4"/>
      <c r="L460" s="4"/>
      <c r="M460" s="4"/>
      <c r="N460" s="4"/>
      <c r="O460" s="4"/>
      <c r="P460" s="4"/>
      <c r="Q460" s="4"/>
    </row>
    <row r="461" spans="1:17" x14ac:dyDescent="0.2">
      <c r="A461" s="1">
        <f t="shared" ca="1" si="11"/>
        <v>459</v>
      </c>
      <c r="B461" s="1" t="s">
        <v>1011</v>
      </c>
      <c r="C461" s="82" t="s">
        <v>8266</v>
      </c>
      <c r="D461" s="4"/>
      <c r="E461" s="4"/>
      <c r="F461" s="71"/>
      <c r="G461" s="4"/>
      <c r="H461" s="4"/>
      <c r="I461" s="4" t="s">
        <v>6091</v>
      </c>
      <c r="J461" s="4" t="s">
        <v>3735</v>
      </c>
      <c r="K461" s="4"/>
      <c r="L461" s="4"/>
      <c r="M461" s="4"/>
      <c r="N461" s="4"/>
      <c r="O461" s="4"/>
      <c r="P461" s="4"/>
      <c r="Q461" s="4"/>
    </row>
    <row r="462" spans="1:17" ht="25.5" x14ac:dyDescent="0.2">
      <c r="A462" s="1">
        <f t="shared" ca="1" si="11"/>
        <v>460</v>
      </c>
      <c r="B462" s="1" t="s">
        <v>1012</v>
      </c>
      <c r="C462" s="82" t="s">
        <v>3568</v>
      </c>
      <c r="D462" s="4"/>
      <c r="E462" s="4"/>
      <c r="F462" s="71"/>
      <c r="G462" s="4"/>
      <c r="H462" s="4"/>
      <c r="I462" s="4" t="s">
        <v>6092</v>
      </c>
      <c r="J462" s="4" t="s">
        <v>2902</v>
      </c>
      <c r="K462" s="4"/>
      <c r="L462" s="4"/>
      <c r="M462" s="4"/>
      <c r="N462" s="4"/>
      <c r="O462" s="4"/>
      <c r="P462" s="4"/>
      <c r="Q462" s="4"/>
    </row>
    <row r="463" spans="1:17" x14ac:dyDescent="0.2">
      <c r="A463" s="1">
        <f t="shared" ca="1" si="11"/>
        <v>461</v>
      </c>
      <c r="B463" s="1" t="s">
        <v>1010</v>
      </c>
      <c r="C463" s="82" t="s">
        <v>5301</v>
      </c>
      <c r="D463" s="4"/>
      <c r="E463" s="4"/>
      <c r="F463" s="71"/>
      <c r="G463" s="4"/>
      <c r="H463" s="4"/>
      <c r="I463" s="4" t="s">
        <v>3041</v>
      </c>
      <c r="J463" s="4" t="s">
        <v>7751</v>
      </c>
      <c r="K463" s="4"/>
      <c r="L463" s="4"/>
      <c r="M463" s="4"/>
      <c r="N463" s="4"/>
      <c r="O463" s="4"/>
      <c r="P463" s="4"/>
      <c r="Q463" s="4"/>
    </row>
    <row r="464" spans="1:17" x14ac:dyDescent="0.2">
      <c r="A464" s="1">
        <f t="shared" ref="A464:A529" ca="1" si="12">CELL("row",C464)-2</f>
        <v>462</v>
      </c>
      <c r="B464" s="1" t="s">
        <v>1013</v>
      </c>
      <c r="C464" s="82" t="s">
        <v>7477</v>
      </c>
      <c r="D464" s="4"/>
      <c r="E464" s="4"/>
      <c r="F464" s="71"/>
      <c r="G464" s="4"/>
      <c r="H464" s="4"/>
      <c r="I464" s="4" t="s">
        <v>6093</v>
      </c>
      <c r="J464" s="4" t="s">
        <v>7752</v>
      </c>
      <c r="K464" s="4"/>
      <c r="L464" s="4"/>
      <c r="M464" s="4"/>
      <c r="N464" s="4"/>
      <c r="O464" s="4"/>
      <c r="P464" s="4"/>
      <c r="Q464" s="4"/>
    </row>
    <row r="465" spans="1:17" x14ac:dyDescent="0.2">
      <c r="A465" s="1">
        <f t="shared" ca="1" si="12"/>
        <v>463</v>
      </c>
      <c r="B465" s="1" t="s">
        <v>1014</v>
      </c>
      <c r="C465" s="82" t="s">
        <v>5302</v>
      </c>
      <c r="D465" s="4"/>
      <c r="E465" s="4"/>
      <c r="F465" s="71"/>
      <c r="G465" s="4"/>
      <c r="H465" s="4"/>
      <c r="I465" s="4" t="s">
        <v>6094</v>
      </c>
      <c r="J465" s="4"/>
      <c r="K465" s="4"/>
      <c r="L465" s="4"/>
      <c r="M465" s="4"/>
      <c r="N465" s="4"/>
      <c r="O465" s="4"/>
      <c r="P465" s="4"/>
      <c r="Q465" s="4"/>
    </row>
    <row r="466" spans="1:17" x14ac:dyDescent="0.2">
      <c r="A466" s="1">
        <f t="shared" ca="1" si="12"/>
        <v>464</v>
      </c>
      <c r="B466" s="1" t="s">
        <v>1015</v>
      </c>
      <c r="C466" s="82" t="s">
        <v>4277</v>
      </c>
      <c r="D466" s="4"/>
      <c r="E466" s="4"/>
      <c r="F466" s="71"/>
      <c r="G466" s="4"/>
      <c r="H466" s="4"/>
      <c r="I466" s="4" t="s">
        <v>6095</v>
      </c>
      <c r="J466" s="4" t="s">
        <v>7753</v>
      </c>
      <c r="K466" s="4"/>
      <c r="L466" s="4"/>
      <c r="M466" s="4"/>
      <c r="N466" s="4"/>
      <c r="O466" s="4"/>
      <c r="P466" s="4"/>
      <c r="Q466" s="4"/>
    </row>
    <row r="467" spans="1:17" x14ac:dyDescent="0.2">
      <c r="A467" s="1">
        <f t="shared" ca="1" si="12"/>
        <v>465</v>
      </c>
      <c r="B467" s="1" t="s">
        <v>1016</v>
      </c>
      <c r="C467" s="82" t="s">
        <v>4278</v>
      </c>
      <c r="D467" s="4"/>
      <c r="E467" s="4"/>
      <c r="F467" s="71"/>
      <c r="G467" s="4"/>
      <c r="H467" s="4"/>
      <c r="I467" s="4" t="s">
        <v>6096</v>
      </c>
      <c r="J467" s="4" t="s">
        <v>7754</v>
      </c>
      <c r="K467" s="4"/>
      <c r="L467" s="4"/>
      <c r="M467" s="4"/>
      <c r="N467" s="4"/>
      <c r="O467" s="4"/>
      <c r="P467" s="4"/>
      <c r="Q467" s="4"/>
    </row>
    <row r="468" spans="1:17" x14ac:dyDescent="0.2">
      <c r="A468" s="1">
        <f t="shared" ca="1" si="12"/>
        <v>466</v>
      </c>
      <c r="B468" s="1" t="s">
        <v>1017</v>
      </c>
      <c r="C468" s="82" t="s">
        <v>5303</v>
      </c>
      <c r="D468" s="4"/>
      <c r="E468" s="4"/>
      <c r="F468" s="71"/>
      <c r="G468" s="4"/>
      <c r="H468" s="4"/>
      <c r="I468" s="4" t="s">
        <v>6097</v>
      </c>
      <c r="J468" s="4"/>
      <c r="K468" s="4"/>
      <c r="L468" s="4"/>
      <c r="M468" s="4"/>
      <c r="N468" s="4"/>
      <c r="O468" s="4"/>
      <c r="P468" s="4"/>
      <c r="Q468" s="4"/>
    </row>
    <row r="469" spans="1:17" x14ac:dyDescent="0.2">
      <c r="A469" s="1">
        <f t="shared" ca="1" si="12"/>
        <v>467</v>
      </c>
      <c r="B469" s="1" t="s">
        <v>1018</v>
      </c>
      <c r="C469" s="82" t="s">
        <v>1018</v>
      </c>
      <c r="D469" s="4"/>
      <c r="E469" s="4"/>
      <c r="F469" s="71"/>
      <c r="G469" s="4"/>
      <c r="H469" s="4"/>
      <c r="I469" s="4" t="s">
        <v>6098</v>
      </c>
      <c r="J469" s="4"/>
      <c r="K469" s="4"/>
      <c r="L469" s="4"/>
      <c r="M469" s="4"/>
      <c r="N469" s="4"/>
      <c r="O469" s="4"/>
      <c r="P469" s="4"/>
      <c r="Q469" s="4"/>
    </row>
    <row r="470" spans="1:17" x14ac:dyDescent="0.2">
      <c r="A470" s="1">
        <f t="shared" ca="1" si="12"/>
        <v>468</v>
      </c>
      <c r="B470" s="1" t="s">
        <v>1019</v>
      </c>
      <c r="C470" s="82" t="s">
        <v>8265</v>
      </c>
      <c r="D470" s="4"/>
      <c r="E470" s="4"/>
      <c r="F470" s="71"/>
      <c r="G470" s="4"/>
      <c r="H470" s="4"/>
      <c r="I470" s="4" t="s">
        <v>6099</v>
      </c>
      <c r="J470" s="4"/>
      <c r="K470" s="4"/>
      <c r="L470" s="4"/>
      <c r="M470" s="4"/>
      <c r="N470" s="4"/>
      <c r="O470" s="4"/>
      <c r="P470" s="4"/>
      <c r="Q470" s="4"/>
    </row>
    <row r="471" spans="1:17" x14ac:dyDescent="0.2">
      <c r="A471" s="1">
        <f t="shared" ca="1" si="12"/>
        <v>469</v>
      </c>
      <c r="B471" s="1" t="s">
        <v>1020</v>
      </c>
      <c r="C471" s="82" t="s">
        <v>4232</v>
      </c>
      <c r="D471" s="4"/>
      <c r="E471" s="4"/>
      <c r="F471" s="71"/>
      <c r="G471" s="4"/>
      <c r="H471" s="4"/>
      <c r="I471" s="4" t="s">
        <v>6100</v>
      </c>
      <c r="J471" s="4" t="s">
        <v>2207</v>
      </c>
      <c r="K471" s="4"/>
      <c r="L471" s="4"/>
      <c r="M471" s="4"/>
      <c r="N471" s="4"/>
      <c r="O471" s="4"/>
      <c r="P471" s="4"/>
      <c r="Q471" s="4"/>
    </row>
    <row r="472" spans="1:17" x14ac:dyDescent="0.2">
      <c r="A472" s="1">
        <f t="shared" ca="1" si="12"/>
        <v>470</v>
      </c>
      <c r="B472" s="1" t="s">
        <v>1021</v>
      </c>
      <c r="C472" s="82" t="s">
        <v>4231</v>
      </c>
      <c r="D472" s="4"/>
      <c r="E472" s="4"/>
      <c r="F472" s="71"/>
      <c r="G472" s="4"/>
      <c r="H472" s="4"/>
      <c r="I472" s="4" t="s">
        <v>3815</v>
      </c>
      <c r="J472" s="4" t="s">
        <v>7407</v>
      </c>
      <c r="K472" s="4"/>
      <c r="L472" s="4"/>
      <c r="M472" s="4"/>
      <c r="N472" s="4"/>
      <c r="O472" s="4"/>
      <c r="P472" s="4"/>
      <c r="Q472" s="4"/>
    </row>
    <row r="473" spans="1:17" x14ac:dyDescent="0.2">
      <c r="A473" s="1">
        <f t="shared" ca="1" si="12"/>
        <v>471</v>
      </c>
      <c r="B473" s="1" t="s">
        <v>1022</v>
      </c>
      <c r="C473" s="82" t="s">
        <v>4230</v>
      </c>
      <c r="D473" s="4"/>
      <c r="E473" s="4"/>
      <c r="F473" s="71"/>
      <c r="G473" s="4"/>
      <c r="H473" s="4"/>
      <c r="I473" s="4" t="s">
        <v>6101</v>
      </c>
      <c r="J473" s="4" t="s">
        <v>2208</v>
      </c>
      <c r="K473" s="4"/>
      <c r="L473" s="4"/>
      <c r="M473" s="4"/>
      <c r="N473" s="4"/>
      <c r="O473" s="4"/>
      <c r="P473" s="4"/>
      <c r="Q473" s="4"/>
    </row>
    <row r="474" spans="1:17" x14ac:dyDescent="0.2">
      <c r="A474" s="1">
        <f t="shared" ca="1" si="12"/>
        <v>472</v>
      </c>
      <c r="B474" s="1" t="s">
        <v>1023</v>
      </c>
      <c r="C474" s="82" t="s">
        <v>5304</v>
      </c>
      <c r="D474" s="4"/>
      <c r="E474" s="4"/>
      <c r="F474" s="71"/>
      <c r="G474" s="4"/>
      <c r="H474" s="4"/>
      <c r="I474" s="82" t="s">
        <v>6102</v>
      </c>
      <c r="J474" s="4" t="s">
        <v>5304</v>
      </c>
      <c r="K474" s="4"/>
      <c r="L474" s="4"/>
      <c r="M474" s="4"/>
      <c r="N474" s="4"/>
      <c r="O474" s="4"/>
      <c r="P474" s="4"/>
      <c r="Q474" s="4"/>
    </row>
    <row r="475" spans="1:17" x14ac:dyDescent="0.2">
      <c r="A475" s="1">
        <f t="shared" ca="1" si="12"/>
        <v>473</v>
      </c>
      <c r="B475" s="1" t="s">
        <v>1024</v>
      </c>
      <c r="C475" s="82" t="s">
        <v>4229</v>
      </c>
      <c r="D475" s="4"/>
      <c r="E475" s="4"/>
      <c r="F475" s="71"/>
      <c r="G475" s="4"/>
      <c r="H475" s="4"/>
      <c r="I475" s="4" t="s">
        <v>6103</v>
      </c>
      <c r="J475" s="4" t="s">
        <v>7756</v>
      </c>
      <c r="K475" s="4"/>
      <c r="L475" s="4"/>
      <c r="M475" s="4"/>
      <c r="N475" s="4"/>
      <c r="O475" s="4"/>
      <c r="P475" s="4"/>
      <c r="Q475" s="4"/>
    </row>
    <row r="476" spans="1:17" x14ac:dyDescent="0.2">
      <c r="A476" s="1">
        <f t="shared" ca="1" si="12"/>
        <v>474</v>
      </c>
      <c r="B476" s="1" t="s">
        <v>1025</v>
      </c>
      <c r="C476" s="82" t="s">
        <v>5305</v>
      </c>
      <c r="D476" s="4"/>
      <c r="E476" s="4"/>
      <c r="F476" s="71"/>
      <c r="G476" s="4"/>
      <c r="H476" s="4"/>
      <c r="I476" s="4" t="s">
        <v>6104</v>
      </c>
      <c r="J476" s="4"/>
      <c r="K476" s="4"/>
      <c r="L476" s="4"/>
      <c r="M476" s="4"/>
      <c r="N476" s="4"/>
      <c r="O476" s="4"/>
      <c r="P476" s="4"/>
      <c r="Q476" s="4"/>
    </row>
    <row r="477" spans="1:17" x14ac:dyDescent="0.2">
      <c r="A477" s="1">
        <f t="shared" ca="1" si="12"/>
        <v>475</v>
      </c>
      <c r="B477" s="1" t="s">
        <v>4811</v>
      </c>
      <c r="C477" s="82" t="s">
        <v>4228</v>
      </c>
      <c r="D477" s="4"/>
      <c r="E477" s="4"/>
      <c r="F477" s="71"/>
      <c r="G477" s="4"/>
      <c r="H477" s="4"/>
      <c r="I477" s="4" t="s">
        <v>3804</v>
      </c>
      <c r="J477" s="4"/>
      <c r="K477" s="4"/>
      <c r="L477" s="4"/>
      <c r="M477" s="4"/>
      <c r="N477" s="4"/>
      <c r="O477" s="4"/>
      <c r="P477" s="4"/>
      <c r="Q477" s="4"/>
    </row>
    <row r="478" spans="1:17" x14ac:dyDescent="0.2">
      <c r="A478" s="1">
        <f t="shared" ca="1" si="12"/>
        <v>476</v>
      </c>
      <c r="B478" s="1" t="s">
        <v>4812</v>
      </c>
      <c r="C478" s="90" t="s">
        <v>36</v>
      </c>
      <c r="D478" s="4"/>
      <c r="E478" s="4"/>
      <c r="F478" s="71"/>
      <c r="G478" s="4"/>
      <c r="H478" s="4"/>
      <c r="I478" s="4" t="s">
        <v>6105</v>
      </c>
      <c r="J478" s="4" t="s">
        <v>7755</v>
      </c>
      <c r="K478" s="4"/>
      <c r="L478" s="4"/>
      <c r="M478" s="4"/>
      <c r="N478" s="4"/>
      <c r="O478" s="4"/>
      <c r="P478" s="4"/>
      <c r="Q478" s="4"/>
    </row>
    <row r="479" spans="1:17" x14ac:dyDescent="0.2">
      <c r="A479" s="1">
        <f t="shared" ca="1" si="12"/>
        <v>477</v>
      </c>
      <c r="B479" s="1" t="s">
        <v>5899</v>
      </c>
      <c r="C479" s="82" t="s">
        <v>4227</v>
      </c>
      <c r="D479" s="4"/>
      <c r="E479" s="4"/>
      <c r="F479" s="71"/>
      <c r="G479" s="4"/>
      <c r="H479" s="4"/>
      <c r="I479" s="4" t="s">
        <v>6106</v>
      </c>
      <c r="J479" s="4"/>
      <c r="K479" s="4"/>
      <c r="L479" s="4"/>
      <c r="M479" s="4"/>
      <c r="N479" s="4"/>
      <c r="O479" s="4"/>
      <c r="P479" s="4"/>
      <c r="Q479" s="4"/>
    </row>
    <row r="480" spans="1:17" x14ac:dyDescent="0.2">
      <c r="A480" s="1">
        <f t="shared" ca="1" si="12"/>
        <v>478</v>
      </c>
      <c r="B480" s="1" t="s">
        <v>5900</v>
      </c>
      <c r="C480" s="82" t="s">
        <v>4226</v>
      </c>
      <c r="D480" s="4"/>
      <c r="E480" s="4"/>
      <c r="F480" s="71"/>
      <c r="G480" s="4"/>
      <c r="H480" s="4"/>
      <c r="I480" s="4" t="s">
        <v>6107</v>
      </c>
      <c r="J480" s="4"/>
      <c r="K480" s="4"/>
      <c r="L480" s="4"/>
      <c r="M480" s="4"/>
      <c r="N480" s="4"/>
      <c r="O480" s="4"/>
      <c r="P480" s="4"/>
      <c r="Q480" s="4"/>
    </row>
    <row r="481" spans="1:17" x14ac:dyDescent="0.2">
      <c r="A481" s="1">
        <f t="shared" ca="1" si="12"/>
        <v>479</v>
      </c>
      <c r="B481" s="1" t="s">
        <v>5901</v>
      </c>
      <c r="C481" s="82" t="s">
        <v>5306</v>
      </c>
      <c r="D481" s="4"/>
      <c r="E481" s="4"/>
      <c r="F481" s="71"/>
      <c r="G481" s="4"/>
      <c r="H481" s="4"/>
      <c r="I481" s="4" t="s">
        <v>6108</v>
      </c>
      <c r="J481" s="4"/>
      <c r="K481" s="4"/>
      <c r="L481" s="4"/>
      <c r="M481" s="4"/>
      <c r="N481" s="4"/>
      <c r="O481" s="4"/>
      <c r="P481" s="4"/>
      <c r="Q481" s="4"/>
    </row>
    <row r="482" spans="1:17" x14ac:dyDescent="0.2">
      <c r="A482" s="1">
        <f t="shared" ca="1" si="12"/>
        <v>480</v>
      </c>
      <c r="B482" s="1" t="s">
        <v>5902</v>
      </c>
      <c r="C482" s="82" t="s">
        <v>5307</v>
      </c>
      <c r="D482" s="4"/>
      <c r="E482" s="4"/>
      <c r="F482" s="71"/>
      <c r="G482" s="4"/>
      <c r="H482" s="4"/>
      <c r="I482" s="4" t="s">
        <v>6109</v>
      </c>
      <c r="J482" s="4"/>
      <c r="K482" s="4"/>
      <c r="L482" s="4"/>
      <c r="M482" s="4"/>
      <c r="N482" s="4"/>
      <c r="O482" s="4"/>
      <c r="P482" s="4"/>
      <c r="Q482" s="4"/>
    </row>
    <row r="483" spans="1:17" x14ac:dyDescent="0.2">
      <c r="A483" s="1">
        <f t="shared" ca="1" si="12"/>
        <v>481</v>
      </c>
      <c r="B483" s="1" t="s">
        <v>5903</v>
      </c>
      <c r="C483" s="82" t="s">
        <v>5308</v>
      </c>
      <c r="D483" s="4"/>
      <c r="E483" s="4"/>
      <c r="F483" s="71"/>
      <c r="G483" s="4"/>
      <c r="H483" s="4"/>
      <c r="I483" s="4" t="s">
        <v>6110</v>
      </c>
      <c r="J483" s="4"/>
      <c r="K483" s="4"/>
      <c r="L483" s="4"/>
      <c r="M483" s="4"/>
      <c r="N483" s="4"/>
      <c r="O483" s="4"/>
      <c r="P483" s="4"/>
      <c r="Q483" s="4"/>
    </row>
    <row r="484" spans="1:17" x14ac:dyDescent="0.2">
      <c r="A484" s="1">
        <f t="shared" ca="1" si="12"/>
        <v>482</v>
      </c>
      <c r="B484" s="1" t="s">
        <v>5904</v>
      </c>
      <c r="C484" s="82" t="s">
        <v>1508</v>
      </c>
      <c r="D484" s="4"/>
      <c r="E484" s="4"/>
      <c r="F484" s="71"/>
      <c r="G484" s="4"/>
      <c r="H484" s="4"/>
      <c r="I484" s="4" t="s">
        <v>6111</v>
      </c>
      <c r="J484" s="4" t="s">
        <v>7757</v>
      </c>
      <c r="K484" s="4"/>
      <c r="L484" s="4"/>
      <c r="M484" s="4"/>
      <c r="N484" s="4"/>
      <c r="O484" s="4"/>
      <c r="P484" s="4"/>
      <c r="Q484" s="4"/>
    </row>
    <row r="485" spans="1:17" x14ac:dyDescent="0.2">
      <c r="A485" s="1">
        <f t="shared" ca="1" si="12"/>
        <v>483</v>
      </c>
      <c r="B485" s="1" t="s">
        <v>5905</v>
      </c>
      <c r="C485" s="82" t="s">
        <v>1507</v>
      </c>
      <c r="D485" s="4"/>
      <c r="E485" s="4"/>
      <c r="F485" s="71"/>
      <c r="G485" s="4"/>
      <c r="H485" s="4"/>
      <c r="I485" s="4" t="s">
        <v>6112</v>
      </c>
      <c r="J485" s="4" t="s">
        <v>6371</v>
      </c>
      <c r="K485" s="4"/>
      <c r="L485" s="4"/>
      <c r="M485" s="4"/>
      <c r="N485" s="4"/>
      <c r="O485" s="4"/>
      <c r="P485" s="4"/>
      <c r="Q485" s="4"/>
    </row>
    <row r="486" spans="1:17" x14ac:dyDescent="0.2">
      <c r="A486" s="1">
        <f t="shared" ca="1" si="12"/>
        <v>484</v>
      </c>
      <c r="B486" s="1" t="s">
        <v>5906</v>
      </c>
      <c r="C486" s="82" t="s">
        <v>1583</v>
      </c>
      <c r="D486" s="4"/>
      <c r="E486" s="4"/>
      <c r="F486" s="71"/>
      <c r="G486" s="4"/>
      <c r="H486" s="4"/>
      <c r="I486" s="4" t="s">
        <v>6113</v>
      </c>
      <c r="J486" s="4" t="s">
        <v>6372</v>
      </c>
      <c r="K486" s="4"/>
      <c r="L486" s="4"/>
      <c r="M486" s="4"/>
      <c r="N486" s="4"/>
      <c r="O486" s="4"/>
      <c r="P486" s="4"/>
      <c r="Q486" s="4"/>
    </row>
    <row r="487" spans="1:17" x14ac:dyDescent="0.2">
      <c r="A487" s="1">
        <f t="shared" ca="1" si="12"/>
        <v>485</v>
      </c>
      <c r="B487" s="1" t="s">
        <v>5907</v>
      </c>
      <c r="C487" s="82" t="s">
        <v>5309</v>
      </c>
      <c r="D487" s="4"/>
      <c r="E487" s="4"/>
      <c r="F487" s="71"/>
      <c r="G487" s="4"/>
      <c r="H487" s="4"/>
      <c r="I487" s="4" t="s">
        <v>6114</v>
      </c>
      <c r="J487" s="4" t="s">
        <v>6373</v>
      </c>
      <c r="K487" s="4"/>
      <c r="L487" s="4"/>
      <c r="M487" s="4"/>
      <c r="N487" s="4"/>
      <c r="O487" s="4"/>
      <c r="P487" s="4"/>
      <c r="Q487" s="4"/>
    </row>
    <row r="488" spans="1:17" x14ac:dyDescent="0.2">
      <c r="A488" s="1">
        <f t="shared" ca="1" si="12"/>
        <v>486</v>
      </c>
      <c r="B488" s="1" t="s">
        <v>5908</v>
      </c>
      <c r="C488" s="82" t="s">
        <v>1506</v>
      </c>
      <c r="D488" s="4"/>
      <c r="E488" s="4"/>
      <c r="F488" s="71"/>
      <c r="G488" s="4"/>
      <c r="H488" s="4"/>
      <c r="I488" s="4" t="s">
        <v>6115</v>
      </c>
      <c r="J488" s="4" t="s">
        <v>6374</v>
      </c>
      <c r="K488" s="4"/>
      <c r="L488" s="4"/>
      <c r="M488" s="4"/>
      <c r="N488" s="4"/>
      <c r="O488" s="4"/>
      <c r="P488" s="4"/>
      <c r="Q488" s="4"/>
    </row>
    <row r="489" spans="1:17" x14ac:dyDescent="0.2">
      <c r="A489" s="1">
        <f t="shared" ca="1" si="12"/>
        <v>487</v>
      </c>
      <c r="B489" s="1" t="s">
        <v>5909</v>
      </c>
      <c r="C489" s="82" t="s">
        <v>1584</v>
      </c>
      <c r="D489" s="4"/>
      <c r="E489" s="4"/>
      <c r="F489" s="71"/>
      <c r="G489" s="4"/>
      <c r="H489" s="4"/>
      <c r="I489" s="4" t="s">
        <v>7609</v>
      </c>
      <c r="J489" s="4" t="s">
        <v>1466</v>
      </c>
      <c r="K489" s="4"/>
      <c r="L489" s="4"/>
      <c r="M489" s="4"/>
      <c r="N489" s="4"/>
      <c r="O489" s="4"/>
      <c r="P489" s="4"/>
      <c r="Q489" s="4"/>
    </row>
    <row r="490" spans="1:17" x14ac:dyDescent="0.2">
      <c r="A490" s="1">
        <f t="shared" ca="1" si="12"/>
        <v>488</v>
      </c>
      <c r="B490" s="1" t="s">
        <v>5910</v>
      </c>
      <c r="C490" s="82" t="s">
        <v>1505</v>
      </c>
      <c r="D490" s="4"/>
      <c r="E490" s="4"/>
      <c r="F490" s="71"/>
      <c r="G490" s="4"/>
      <c r="H490" s="4"/>
      <c r="I490" s="4" t="s">
        <v>7610</v>
      </c>
      <c r="J490" s="4" t="s">
        <v>2204</v>
      </c>
      <c r="K490" s="4"/>
      <c r="L490" s="4"/>
      <c r="M490" s="4"/>
      <c r="N490" s="4"/>
      <c r="O490" s="4"/>
      <c r="P490" s="4"/>
      <c r="Q490" s="4"/>
    </row>
    <row r="491" spans="1:17" x14ac:dyDescent="0.2">
      <c r="A491" s="1">
        <f t="shared" ca="1" si="12"/>
        <v>489</v>
      </c>
      <c r="B491" s="1" t="s">
        <v>6312</v>
      </c>
      <c r="C491" s="82" t="s">
        <v>1504</v>
      </c>
      <c r="D491" s="4"/>
      <c r="E491" s="4"/>
      <c r="F491" s="71"/>
      <c r="G491" s="4"/>
      <c r="H491" s="4"/>
      <c r="I491" s="4" t="s">
        <v>7611</v>
      </c>
      <c r="J491" s="4"/>
      <c r="K491" s="4"/>
      <c r="L491" s="4"/>
      <c r="M491" s="4"/>
      <c r="N491" s="4"/>
      <c r="O491" s="4"/>
      <c r="P491" s="4"/>
      <c r="Q491" s="4"/>
    </row>
    <row r="492" spans="1:17" x14ac:dyDescent="0.2">
      <c r="A492" s="1">
        <f t="shared" ca="1" si="12"/>
        <v>490</v>
      </c>
      <c r="B492" s="1" t="s">
        <v>6313</v>
      </c>
      <c r="C492" s="82" t="s">
        <v>1503</v>
      </c>
      <c r="D492" s="4"/>
      <c r="E492" s="4"/>
      <c r="F492" s="71"/>
      <c r="G492" s="4"/>
      <c r="H492" s="4"/>
      <c r="I492" s="4" t="s">
        <v>8597</v>
      </c>
      <c r="J492" s="4"/>
      <c r="K492" s="4"/>
      <c r="L492" s="4"/>
      <c r="M492" s="4"/>
      <c r="N492" s="4"/>
      <c r="O492" s="4"/>
      <c r="P492" s="4"/>
      <c r="Q492" s="4"/>
    </row>
    <row r="493" spans="1:17" x14ac:dyDescent="0.2">
      <c r="A493" s="1">
        <f t="shared" ref="A493" ca="1" si="13">CELL("row",C493)-2</f>
        <v>491</v>
      </c>
      <c r="B493" s="1" t="s">
        <v>8595</v>
      </c>
      <c r="C493" s="145" t="s">
        <v>8596</v>
      </c>
      <c r="D493" s="4"/>
      <c r="E493" s="4"/>
      <c r="F493" s="71"/>
      <c r="G493" s="4"/>
      <c r="H493" s="4"/>
      <c r="I493" s="4" t="s">
        <v>7612</v>
      </c>
      <c r="J493" s="4"/>
      <c r="K493" s="4"/>
      <c r="L493" s="4"/>
      <c r="M493" s="4"/>
      <c r="N493" s="4"/>
      <c r="O493" s="4"/>
      <c r="P493" s="4"/>
      <c r="Q493" s="4"/>
    </row>
    <row r="494" spans="1:17" x14ac:dyDescent="0.2">
      <c r="A494" s="1">
        <f t="shared" ca="1" si="12"/>
        <v>492</v>
      </c>
      <c r="B494" s="1" t="s">
        <v>6314</v>
      </c>
      <c r="C494" s="82" t="s">
        <v>6314</v>
      </c>
      <c r="D494" s="4"/>
      <c r="E494" s="4"/>
      <c r="F494" s="71"/>
      <c r="G494" s="4"/>
      <c r="H494" s="4"/>
      <c r="I494" s="4" t="s">
        <v>7613</v>
      </c>
      <c r="J494" s="4" t="s">
        <v>1467</v>
      </c>
      <c r="K494" s="4"/>
      <c r="L494" s="4"/>
      <c r="M494" s="4"/>
      <c r="N494" s="4"/>
      <c r="O494" s="4"/>
      <c r="P494" s="4"/>
      <c r="Q494" s="4"/>
    </row>
    <row r="495" spans="1:17" x14ac:dyDescent="0.2">
      <c r="A495" s="1">
        <f t="shared" ca="1" si="12"/>
        <v>493</v>
      </c>
      <c r="B495" s="1" t="s">
        <v>6315</v>
      </c>
      <c r="C495" s="82" t="s">
        <v>1502</v>
      </c>
      <c r="D495" s="4"/>
      <c r="E495" s="4"/>
      <c r="F495" s="71"/>
      <c r="G495" s="4"/>
      <c r="H495" s="4"/>
      <c r="I495" s="4" t="s">
        <v>7614</v>
      </c>
      <c r="J495" s="4" t="s">
        <v>2203</v>
      </c>
      <c r="K495" s="4"/>
      <c r="L495" s="4"/>
      <c r="M495" s="4"/>
      <c r="N495" s="4"/>
      <c r="O495" s="4"/>
      <c r="P495" s="4"/>
      <c r="Q495" s="4"/>
    </row>
    <row r="496" spans="1:17" x14ac:dyDescent="0.2">
      <c r="A496" s="1">
        <f t="shared" ca="1" si="12"/>
        <v>494</v>
      </c>
      <c r="B496" s="1" t="s">
        <v>6316</v>
      </c>
      <c r="C496" s="82" t="s">
        <v>1501</v>
      </c>
      <c r="D496" s="4"/>
      <c r="E496" s="4"/>
      <c r="F496" s="71"/>
      <c r="G496" s="4"/>
      <c r="H496" s="4"/>
      <c r="I496" s="4" t="s">
        <v>7615</v>
      </c>
      <c r="J496" s="4"/>
      <c r="K496" s="4"/>
      <c r="L496" s="4"/>
      <c r="M496" s="4"/>
      <c r="N496" s="4"/>
      <c r="O496" s="4"/>
      <c r="P496" s="4"/>
      <c r="Q496" s="4"/>
    </row>
    <row r="497" spans="1:17" x14ac:dyDescent="0.2">
      <c r="A497" s="1">
        <f t="shared" ca="1" si="12"/>
        <v>495</v>
      </c>
      <c r="B497" s="1" t="s">
        <v>6317</v>
      </c>
      <c r="C497" s="82" t="s">
        <v>1500</v>
      </c>
      <c r="D497" s="4"/>
      <c r="E497" s="4"/>
      <c r="F497" s="71"/>
      <c r="G497" s="4"/>
      <c r="H497" s="4"/>
      <c r="I497" s="4" t="s">
        <v>7616</v>
      </c>
      <c r="J497" s="4" t="s">
        <v>1468</v>
      </c>
      <c r="K497" s="4"/>
      <c r="L497" s="4"/>
      <c r="M497" s="4"/>
      <c r="N497" s="4"/>
      <c r="O497" s="4"/>
      <c r="P497" s="4"/>
      <c r="Q497" s="4"/>
    </row>
    <row r="498" spans="1:17" x14ac:dyDescent="0.2">
      <c r="A498" s="1">
        <f t="shared" ca="1" si="12"/>
        <v>496</v>
      </c>
      <c r="B498" s="1" t="s">
        <v>6318</v>
      </c>
      <c r="C498" s="82" t="s">
        <v>1499</v>
      </c>
      <c r="D498" s="4"/>
      <c r="E498" s="4"/>
      <c r="F498" s="71"/>
      <c r="G498" s="4"/>
      <c r="H498" s="4"/>
      <c r="I498" s="4" t="s">
        <v>7617</v>
      </c>
      <c r="J498" s="4"/>
      <c r="K498" s="4"/>
      <c r="L498" s="4"/>
      <c r="M498" s="4"/>
      <c r="N498" s="4"/>
      <c r="O498" s="4"/>
      <c r="P498" s="4"/>
      <c r="Q498" s="4"/>
    </row>
    <row r="499" spans="1:17" x14ac:dyDescent="0.2">
      <c r="A499" s="1">
        <f t="shared" ca="1" si="12"/>
        <v>497</v>
      </c>
      <c r="B499" s="1" t="s">
        <v>6319</v>
      </c>
      <c r="C499" s="82" t="s">
        <v>1498</v>
      </c>
      <c r="D499" s="4"/>
      <c r="E499" s="4"/>
      <c r="F499" s="71"/>
      <c r="G499" s="4"/>
      <c r="H499" s="4"/>
      <c r="I499" s="4" t="s">
        <v>7618</v>
      </c>
      <c r="J499" s="4" t="s">
        <v>1469</v>
      </c>
      <c r="K499" s="4"/>
      <c r="L499" s="4"/>
      <c r="M499" s="4"/>
      <c r="N499" s="4"/>
      <c r="O499" s="4"/>
      <c r="P499" s="4"/>
      <c r="Q499" s="4"/>
    </row>
    <row r="500" spans="1:17" x14ac:dyDescent="0.2">
      <c r="A500" s="1">
        <f t="shared" ca="1" si="12"/>
        <v>498</v>
      </c>
      <c r="B500" s="1" t="s">
        <v>6320</v>
      </c>
      <c r="C500" s="82" t="s">
        <v>4654</v>
      </c>
      <c r="D500" s="4"/>
      <c r="E500" s="4"/>
      <c r="F500" s="71"/>
      <c r="G500" s="4"/>
      <c r="H500" s="4"/>
      <c r="I500" s="4" t="s">
        <v>7619</v>
      </c>
      <c r="J500" s="4"/>
      <c r="K500" s="4"/>
      <c r="L500" s="4"/>
      <c r="M500" s="4"/>
      <c r="N500" s="4"/>
      <c r="O500" s="4"/>
      <c r="P500" s="4"/>
      <c r="Q500" s="4"/>
    </row>
    <row r="501" spans="1:17" x14ac:dyDescent="0.2">
      <c r="A501" s="1">
        <f t="shared" ca="1" si="12"/>
        <v>499</v>
      </c>
      <c r="B501" s="1" t="s">
        <v>6321</v>
      </c>
      <c r="C501" s="82" t="s">
        <v>4655</v>
      </c>
      <c r="D501" s="4"/>
      <c r="E501" s="4"/>
      <c r="F501" s="71"/>
      <c r="G501" s="4"/>
      <c r="H501" s="4"/>
      <c r="I501" s="4" t="s">
        <v>7620</v>
      </c>
      <c r="J501" s="4"/>
      <c r="K501" s="4"/>
      <c r="L501" s="4"/>
      <c r="M501" s="4"/>
      <c r="N501" s="4"/>
      <c r="O501" s="4"/>
      <c r="P501" s="4"/>
      <c r="Q501" s="4"/>
    </row>
    <row r="502" spans="1:17" x14ac:dyDescent="0.2">
      <c r="A502" s="1">
        <f t="shared" ca="1" si="12"/>
        <v>500</v>
      </c>
      <c r="B502" s="1" t="s">
        <v>6322</v>
      </c>
      <c r="C502" s="82" t="s">
        <v>7478</v>
      </c>
      <c r="D502" s="4"/>
      <c r="E502" s="4"/>
      <c r="F502" s="71"/>
      <c r="G502" s="4"/>
      <c r="H502" s="4"/>
      <c r="I502" s="4" t="s">
        <v>7621</v>
      </c>
      <c r="J502" s="4"/>
      <c r="K502" s="4"/>
      <c r="L502" s="4"/>
      <c r="M502" s="4"/>
      <c r="N502" s="4"/>
      <c r="O502" s="4"/>
      <c r="P502" s="4"/>
      <c r="Q502" s="4"/>
    </row>
    <row r="503" spans="1:17" x14ac:dyDescent="0.2">
      <c r="A503" s="1">
        <f t="shared" ca="1" si="12"/>
        <v>501</v>
      </c>
      <c r="B503" s="1" t="s">
        <v>6323</v>
      </c>
      <c r="C503" s="82" t="s">
        <v>1496</v>
      </c>
      <c r="D503" s="4"/>
      <c r="E503" s="4"/>
      <c r="F503" s="71"/>
      <c r="G503" s="4"/>
      <c r="H503" s="4"/>
      <c r="I503" s="4" t="s">
        <v>7622</v>
      </c>
      <c r="J503" s="4" t="s">
        <v>4020</v>
      </c>
      <c r="K503" s="4"/>
      <c r="L503" s="4"/>
      <c r="M503" s="4"/>
      <c r="N503" s="4"/>
      <c r="O503" s="4"/>
      <c r="P503" s="4"/>
      <c r="Q503" s="4"/>
    </row>
    <row r="504" spans="1:17" x14ac:dyDescent="0.2">
      <c r="A504" s="1">
        <f t="shared" ca="1" si="12"/>
        <v>502</v>
      </c>
      <c r="B504" s="1" t="s">
        <v>6324</v>
      </c>
      <c r="C504" s="82" t="s">
        <v>1497</v>
      </c>
      <c r="D504" s="4"/>
      <c r="E504" s="4"/>
      <c r="F504" s="71"/>
      <c r="G504" s="4"/>
      <c r="H504" s="4"/>
      <c r="I504" s="4" t="s">
        <v>7623</v>
      </c>
      <c r="J504" s="4" t="s">
        <v>4021</v>
      </c>
      <c r="K504" s="4"/>
      <c r="L504" s="4"/>
      <c r="M504" s="4"/>
      <c r="N504" s="4"/>
      <c r="O504" s="4"/>
      <c r="P504" s="4"/>
      <c r="Q504" s="4"/>
    </row>
    <row r="505" spans="1:17" x14ac:dyDescent="0.2">
      <c r="A505" s="1">
        <f t="shared" ca="1" si="12"/>
        <v>503</v>
      </c>
      <c r="B505" s="1" t="s">
        <v>1164</v>
      </c>
      <c r="C505" s="82" t="s">
        <v>1165</v>
      </c>
      <c r="D505" s="4"/>
      <c r="E505" s="4"/>
      <c r="F505" s="71"/>
      <c r="G505" s="4"/>
      <c r="H505" s="4"/>
      <c r="I505" s="4" t="s">
        <v>7624</v>
      </c>
      <c r="J505" s="4"/>
      <c r="K505" s="4"/>
      <c r="L505" s="4"/>
      <c r="M505" s="4"/>
      <c r="N505" s="4"/>
      <c r="O505" s="4"/>
      <c r="P505" s="4"/>
      <c r="Q505" s="4"/>
    </row>
    <row r="506" spans="1:17" x14ac:dyDescent="0.2">
      <c r="A506" s="1">
        <f t="shared" ca="1" si="12"/>
        <v>504</v>
      </c>
      <c r="B506" s="73" t="s">
        <v>5081</v>
      </c>
      <c r="C506" s="4"/>
      <c r="D506" s="4"/>
      <c r="E506" s="4"/>
      <c r="F506" s="71"/>
      <c r="G506" s="4"/>
      <c r="H506" s="4"/>
      <c r="J506" s="4"/>
      <c r="K506" s="4"/>
      <c r="L506" s="4"/>
      <c r="M506" s="4"/>
      <c r="N506" s="4"/>
      <c r="O506" s="4"/>
      <c r="P506" s="4"/>
      <c r="Q506" s="4"/>
    </row>
    <row r="507" spans="1:17" x14ac:dyDescent="0.2">
      <c r="A507" s="1">
        <f t="shared" ca="1" si="12"/>
        <v>505</v>
      </c>
      <c r="B507" s="10" t="s">
        <v>6325</v>
      </c>
      <c r="C507" s="82" t="s">
        <v>7479</v>
      </c>
      <c r="D507" s="4"/>
      <c r="E507" s="4"/>
      <c r="F507" s="71"/>
      <c r="G507" s="4"/>
      <c r="H507" s="4"/>
      <c r="I507" s="4" t="s">
        <v>7625</v>
      </c>
      <c r="J507" s="82" t="s">
        <v>4022</v>
      </c>
      <c r="K507" s="4"/>
      <c r="L507" s="4"/>
      <c r="M507" s="4"/>
      <c r="N507" s="4"/>
      <c r="O507" s="4"/>
      <c r="P507" s="4"/>
      <c r="Q507" s="4"/>
    </row>
    <row r="508" spans="1:17" x14ac:dyDescent="0.2">
      <c r="A508" s="1">
        <f t="shared" ca="1" si="12"/>
        <v>506</v>
      </c>
      <c r="B508" s="10" t="s">
        <v>6326</v>
      </c>
      <c r="C508" s="82" t="s">
        <v>7480</v>
      </c>
      <c r="D508" s="4"/>
      <c r="E508" s="4"/>
      <c r="F508" s="71"/>
      <c r="G508" s="4"/>
      <c r="H508" s="4"/>
      <c r="I508" s="4" t="s">
        <v>7626</v>
      </c>
      <c r="J508" s="82" t="s">
        <v>4023</v>
      </c>
      <c r="K508" s="4"/>
      <c r="L508" s="4"/>
      <c r="M508" s="4"/>
      <c r="N508" s="4"/>
      <c r="O508" s="4"/>
      <c r="P508" s="4"/>
      <c r="Q508" s="4"/>
    </row>
    <row r="509" spans="1:17" x14ac:dyDescent="0.2">
      <c r="A509" s="1">
        <f t="shared" ca="1" si="12"/>
        <v>507</v>
      </c>
      <c r="B509" s="10" t="s">
        <v>6327</v>
      </c>
      <c r="C509" s="82" t="s">
        <v>7481</v>
      </c>
      <c r="D509" s="4"/>
      <c r="E509" s="4"/>
      <c r="F509" s="71"/>
      <c r="G509" s="4"/>
      <c r="H509" s="4"/>
      <c r="I509" s="4" t="s">
        <v>7627</v>
      </c>
      <c r="J509" s="82" t="s">
        <v>4024</v>
      </c>
      <c r="K509" s="4"/>
      <c r="L509" s="4"/>
      <c r="M509" s="4"/>
      <c r="N509" s="4"/>
      <c r="O509" s="4"/>
      <c r="P509" s="4"/>
      <c r="Q509" s="4"/>
    </row>
    <row r="510" spans="1:17" x14ac:dyDescent="0.2">
      <c r="A510" s="1">
        <f t="shared" ca="1" si="12"/>
        <v>508</v>
      </c>
      <c r="B510" s="10" t="s">
        <v>6328</v>
      </c>
      <c r="C510" s="82" t="s">
        <v>5938</v>
      </c>
      <c r="D510" s="4"/>
      <c r="E510" s="4"/>
      <c r="F510" s="71"/>
      <c r="G510" s="4"/>
      <c r="H510" s="4"/>
      <c r="I510" s="4" t="s">
        <v>7628</v>
      </c>
      <c r="J510" s="82" t="s">
        <v>4025</v>
      </c>
      <c r="K510" s="4"/>
      <c r="L510" s="4"/>
      <c r="M510" s="4"/>
      <c r="N510" s="4"/>
      <c r="O510" s="4"/>
      <c r="P510" s="4"/>
      <c r="Q510" s="4"/>
    </row>
    <row r="511" spans="1:17" x14ac:dyDescent="0.2">
      <c r="A511" s="1">
        <f t="shared" ca="1" si="12"/>
        <v>509</v>
      </c>
      <c r="B511" s="10" t="s">
        <v>6329</v>
      </c>
      <c r="C511" s="82" t="s">
        <v>8457</v>
      </c>
      <c r="D511" s="4"/>
      <c r="E511" s="4"/>
      <c r="F511" s="71"/>
      <c r="G511" s="4"/>
      <c r="H511" s="4"/>
      <c r="I511" s="4" t="s">
        <v>7629</v>
      </c>
      <c r="J511" s="82" t="s">
        <v>6446</v>
      </c>
      <c r="K511" s="4"/>
      <c r="L511" s="4"/>
      <c r="M511" s="4"/>
      <c r="N511" s="4"/>
      <c r="O511" s="4"/>
      <c r="P511" s="4"/>
      <c r="Q511" s="4"/>
    </row>
    <row r="512" spans="1:17" x14ac:dyDescent="0.2">
      <c r="A512" s="1">
        <f t="shared" ca="1" si="12"/>
        <v>510</v>
      </c>
      <c r="B512" s="10" t="s">
        <v>6330</v>
      </c>
      <c r="C512" s="82" t="s">
        <v>8458</v>
      </c>
      <c r="D512" s="4"/>
      <c r="E512" s="4"/>
      <c r="F512" s="71"/>
      <c r="G512" s="4"/>
      <c r="H512" s="4"/>
      <c r="I512" s="4" t="s">
        <v>7630</v>
      </c>
      <c r="J512" s="82" t="s">
        <v>6447</v>
      </c>
      <c r="K512" s="4"/>
      <c r="L512" s="4"/>
      <c r="M512" s="4"/>
      <c r="N512" s="4"/>
      <c r="O512" s="4"/>
      <c r="P512" s="4"/>
      <c r="Q512" s="4"/>
    </row>
    <row r="513" spans="1:17" x14ac:dyDescent="0.2">
      <c r="A513" s="1">
        <f t="shared" ca="1" si="12"/>
        <v>511</v>
      </c>
      <c r="B513" s="10" t="s">
        <v>6331</v>
      </c>
      <c r="C513" s="82" t="s">
        <v>8459</v>
      </c>
      <c r="D513" s="4"/>
      <c r="E513" s="4"/>
      <c r="F513" s="71"/>
      <c r="G513" s="4"/>
      <c r="H513" s="4"/>
      <c r="I513" s="4" t="s">
        <v>4972</v>
      </c>
      <c r="J513" s="82" t="s">
        <v>6448</v>
      </c>
      <c r="K513" s="4"/>
      <c r="L513" s="4"/>
      <c r="M513" s="4"/>
      <c r="N513" s="4"/>
      <c r="O513" s="4"/>
      <c r="P513" s="4"/>
      <c r="Q513" s="4"/>
    </row>
    <row r="514" spans="1:17" x14ac:dyDescent="0.2">
      <c r="A514" s="1">
        <f t="shared" ca="1" si="12"/>
        <v>512</v>
      </c>
      <c r="B514" s="10" t="s">
        <v>6332</v>
      </c>
      <c r="C514" s="82" t="s">
        <v>8460</v>
      </c>
      <c r="D514" s="4"/>
      <c r="E514" s="4"/>
      <c r="F514" s="71"/>
      <c r="G514" s="4"/>
      <c r="H514" s="4"/>
      <c r="I514" s="4" t="s">
        <v>4973</v>
      </c>
      <c r="J514" s="82" t="s">
        <v>6449</v>
      </c>
      <c r="K514" s="4"/>
      <c r="L514" s="4"/>
      <c r="M514" s="4"/>
      <c r="N514" s="4"/>
      <c r="O514" s="4"/>
      <c r="P514" s="4"/>
      <c r="Q514" s="4"/>
    </row>
    <row r="515" spans="1:17" x14ac:dyDescent="0.2">
      <c r="A515" s="1">
        <f t="shared" ca="1" si="12"/>
        <v>513</v>
      </c>
      <c r="B515" s="10" t="s">
        <v>6333</v>
      </c>
      <c r="C515" s="82" t="s">
        <v>8461</v>
      </c>
      <c r="D515" s="4"/>
      <c r="E515" s="4"/>
      <c r="F515" s="71"/>
      <c r="G515" s="4"/>
      <c r="H515" s="4"/>
      <c r="I515" s="4" t="s">
        <v>4974</v>
      </c>
      <c r="J515" s="82" t="s">
        <v>5930</v>
      </c>
      <c r="K515" s="4"/>
      <c r="L515" s="4"/>
      <c r="M515" s="4"/>
      <c r="N515" s="4"/>
      <c r="O515" s="4"/>
      <c r="P515" s="4"/>
      <c r="Q515" s="4"/>
    </row>
    <row r="516" spans="1:17" x14ac:dyDescent="0.2">
      <c r="A516" s="1">
        <f t="shared" ca="1" si="12"/>
        <v>514</v>
      </c>
      <c r="B516" s="10" t="s">
        <v>6334</v>
      </c>
      <c r="C516" s="82" t="s">
        <v>8462</v>
      </c>
      <c r="D516" s="4"/>
      <c r="E516" s="4"/>
      <c r="F516" s="71"/>
      <c r="G516" s="4"/>
      <c r="H516" s="4"/>
      <c r="I516" s="4" t="s">
        <v>4975</v>
      </c>
      <c r="J516" s="82" t="s">
        <v>5931</v>
      </c>
      <c r="K516" s="4"/>
      <c r="L516" s="4"/>
      <c r="M516" s="4"/>
      <c r="N516" s="4"/>
      <c r="O516" s="4"/>
      <c r="P516" s="4"/>
      <c r="Q516" s="4"/>
    </row>
    <row r="517" spans="1:17" x14ac:dyDescent="0.2">
      <c r="A517" s="1">
        <f t="shared" ca="1" si="12"/>
        <v>515</v>
      </c>
      <c r="B517" s="10" t="s">
        <v>6335</v>
      </c>
      <c r="C517" s="82" t="s">
        <v>8463</v>
      </c>
      <c r="D517" s="4"/>
      <c r="E517" s="4"/>
      <c r="F517" s="71"/>
      <c r="G517" s="4"/>
      <c r="H517" s="4"/>
      <c r="I517" s="4" t="s">
        <v>4976</v>
      </c>
      <c r="J517" s="82" t="s">
        <v>5932</v>
      </c>
      <c r="K517" s="4"/>
      <c r="L517" s="4"/>
      <c r="M517" s="4"/>
      <c r="N517" s="4"/>
      <c r="O517" s="4"/>
      <c r="P517" s="4"/>
      <c r="Q517" s="4"/>
    </row>
    <row r="518" spans="1:17" x14ac:dyDescent="0.2">
      <c r="A518" s="1">
        <f t="shared" ca="1" si="12"/>
        <v>516</v>
      </c>
      <c r="B518" s="10" t="s">
        <v>6336</v>
      </c>
      <c r="C518" s="82" t="s">
        <v>8464</v>
      </c>
      <c r="D518" s="4"/>
      <c r="E518" s="4"/>
      <c r="F518" s="71"/>
      <c r="G518" s="4"/>
      <c r="H518" s="4"/>
      <c r="I518" s="4" t="s">
        <v>4977</v>
      </c>
      <c r="J518" s="82" t="s">
        <v>5933</v>
      </c>
      <c r="K518" s="4"/>
      <c r="L518" s="4"/>
      <c r="M518" s="4"/>
      <c r="N518" s="4"/>
      <c r="O518" s="4"/>
      <c r="P518" s="4"/>
      <c r="Q518" s="4"/>
    </row>
    <row r="519" spans="1:17" x14ac:dyDescent="0.2">
      <c r="A519" s="1">
        <f t="shared" ca="1" si="12"/>
        <v>517</v>
      </c>
      <c r="B519" s="10" t="s">
        <v>6337</v>
      </c>
      <c r="C519" s="82" t="s">
        <v>8465</v>
      </c>
      <c r="D519" s="4"/>
      <c r="E519" s="4"/>
      <c r="F519" s="71"/>
      <c r="G519" s="4"/>
      <c r="H519" s="4"/>
      <c r="I519" s="4" t="s">
        <v>4978</v>
      </c>
      <c r="J519" s="82" t="s">
        <v>5934</v>
      </c>
      <c r="K519" s="4"/>
      <c r="L519" s="4"/>
      <c r="M519" s="4"/>
      <c r="N519" s="4"/>
      <c r="O519" s="4"/>
      <c r="P519" s="4"/>
      <c r="Q519" s="4"/>
    </row>
    <row r="520" spans="1:17" x14ac:dyDescent="0.2">
      <c r="A520" s="1">
        <f t="shared" ca="1" si="12"/>
        <v>518</v>
      </c>
      <c r="B520" s="10" t="s">
        <v>6338</v>
      </c>
      <c r="C520" s="82" t="s">
        <v>8466</v>
      </c>
      <c r="D520" s="4"/>
      <c r="E520" s="4"/>
      <c r="F520" s="71"/>
      <c r="G520" s="4"/>
      <c r="H520" s="4"/>
      <c r="I520" s="4" t="s">
        <v>4979</v>
      </c>
      <c r="J520" s="82" t="s">
        <v>5935</v>
      </c>
      <c r="K520" s="4"/>
      <c r="L520" s="4"/>
      <c r="M520" s="4"/>
      <c r="N520" s="4"/>
      <c r="O520" s="4"/>
      <c r="P520" s="4"/>
      <c r="Q520" s="4"/>
    </row>
    <row r="521" spans="1:17" x14ac:dyDescent="0.2">
      <c r="A521" s="1">
        <f t="shared" ca="1" si="12"/>
        <v>519</v>
      </c>
      <c r="B521" s="10" t="s">
        <v>6339</v>
      </c>
      <c r="C521" s="82" t="s">
        <v>8467</v>
      </c>
      <c r="D521" s="4"/>
      <c r="E521" s="4"/>
      <c r="F521" s="71"/>
      <c r="G521" s="4"/>
      <c r="H521" s="4"/>
      <c r="I521" s="4" t="s">
        <v>4980</v>
      </c>
      <c r="J521" s="82" t="s">
        <v>2202</v>
      </c>
      <c r="K521" s="4"/>
      <c r="L521" s="4"/>
      <c r="M521" s="4"/>
      <c r="N521" s="4"/>
      <c r="O521" s="4"/>
      <c r="P521" s="4"/>
      <c r="Q521" s="4"/>
    </row>
    <row r="522" spans="1:17" ht="25.5" x14ac:dyDescent="0.2">
      <c r="A522" s="1">
        <f t="shared" ca="1" si="12"/>
        <v>520</v>
      </c>
      <c r="B522" s="1" t="s">
        <v>6340</v>
      </c>
      <c r="C522" s="82" t="s">
        <v>8477</v>
      </c>
      <c r="D522" s="82"/>
      <c r="E522" s="4"/>
      <c r="F522" s="71"/>
      <c r="G522" s="4"/>
      <c r="H522" s="4"/>
      <c r="I522" s="4" t="s">
        <v>4981</v>
      </c>
      <c r="J522" s="4"/>
      <c r="K522" s="4"/>
      <c r="L522" s="4"/>
      <c r="M522" s="4"/>
      <c r="N522" s="4"/>
      <c r="O522" s="4"/>
      <c r="P522" s="4"/>
      <c r="Q522" s="4"/>
    </row>
    <row r="523" spans="1:17" x14ac:dyDescent="0.2">
      <c r="A523" s="1">
        <f t="shared" ca="1" si="12"/>
        <v>521</v>
      </c>
      <c r="B523" s="10" t="s">
        <v>6341</v>
      </c>
      <c r="C523" s="82" t="s">
        <v>3611</v>
      </c>
      <c r="D523" s="4"/>
      <c r="E523" s="4"/>
      <c r="F523" s="71"/>
      <c r="G523" s="4"/>
      <c r="H523" s="4"/>
      <c r="I523" s="4" t="s">
        <v>4982</v>
      </c>
      <c r="J523" s="4" t="s">
        <v>1470</v>
      </c>
      <c r="K523" s="4"/>
      <c r="L523" s="4"/>
      <c r="M523" s="4"/>
      <c r="N523" s="4"/>
      <c r="O523" s="4"/>
      <c r="P523" s="4"/>
      <c r="Q523" s="4"/>
    </row>
    <row r="524" spans="1:17" x14ac:dyDescent="0.2">
      <c r="A524" s="1">
        <f t="shared" ca="1" si="12"/>
        <v>522</v>
      </c>
      <c r="B524" s="10" t="s">
        <v>6342</v>
      </c>
      <c r="C524" s="82" t="s">
        <v>1495</v>
      </c>
      <c r="D524" s="4"/>
      <c r="E524" s="4"/>
      <c r="F524" s="71"/>
      <c r="G524" s="4"/>
      <c r="H524" s="4"/>
      <c r="I524" s="4" t="s">
        <v>4983</v>
      </c>
      <c r="J524" s="4"/>
      <c r="K524" s="4"/>
      <c r="L524" s="4"/>
      <c r="M524" s="4"/>
      <c r="N524" s="4"/>
      <c r="O524" s="4"/>
      <c r="P524" s="4"/>
      <c r="Q524" s="4"/>
    </row>
    <row r="525" spans="1:17" x14ac:dyDescent="0.2">
      <c r="A525" s="1">
        <f t="shared" ca="1" si="12"/>
        <v>523</v>
      </c>
      <c r="B525" s="10" t="s">
        <v>6343</v>
      </c>
      <c r="C525" s="82" t="s">
        <v>7284</v>
      </c>
      <c r="D525" s="4"/>
      <c r="E525" s="4"/>
      <c r="F525" s="71"/>
      <c r="G525" s="4"/>
      <c r="H525" s="4"/>
      <c r="I525" s="4" t="s">
        <v>4984</v>
      </c>
      <c r="J525" s="4"/>
      <c r="K525" s="4"/>
      <c r="L525" s="4"/>
      <c r="M525" s="4"/>
      <c r="N525" s="4"/>
      <c r="O525" s="4"/>
      <c r="P525" s="4"/>
      <c r="Q525" s="4"/>
    </row>
    <row r="526" spans="1:17" x14ac:dyDescent="0.2">
      <c r="A526" s="1">
        <f t="shared" ca="1" si="12"/>
        <v>524</v>
      </c>
      <c r="B526" s="10" t="s">
        <v>6344</v>
      </c>
      <c r="C526" s="82" t="s">
        <v>5310</v>
      </c>
      <c r="D526" s="4"/>
      <c r="E526" s="4"/>
      <c r="F526" s="71"/>
      <c r="G526" s="4"/>
      <c r="H526" s="4"/>
      <c r="I526" s="4" t="s">
        <v>4985</v>
      </c>
      <c r="J526" s="4"/>
      <c r="K526" s="4"/>
      <c r="L526" s="4"/>
      <c r="M526" s="4"/>
      <c r="N526" s="4"/>
      <c r="O526" s="4"/>
      <c r="P526" s="4"/>
      <c r="Q526" s="4"/>
    </row>
    <row r="527" spans="1:17" ht="25.5" x14ac:dyDescent="0.2">
      <c r="A527" s="1">
        <f t="shared" ca="1" si="12"/>
        <v>525</v>
      </c>
      <c r="B527" s="10" t="s">
        <v>7950</v>
      </c>
      <c r="C527" s="82" t="s">
        <v>1494</v>
      </c>
      <c r="D527" s="4"/>
      <c r="E527" s="4"/>
      <c r="F527" s="71"/>
      <c r="G527" s="4"/>
      <c r="H527" s="4"/>
      <c r="I527" s="4" t="s">
        <v>4986</v>
      </c>
      <c r="J527" s="4"/>
      <c r="K527" s="4"/>
      <c r="L527" s="4"/>
      <c r="M527" s="4"/>
      <c r="N527" s="4"/>
      <c r="O527" s="4"/>
      <c r="P527" s="4"/>
      <c r="Q527" s="4"/>
    </row>
    <row r="528" spans="1:17" x14ac:dyDescent="0.2">
      <c r="A528" s="1">
        <f t="shared" ca="1" si="12"/>
        <v>526</v>
      </c>
      <c r="B528" s="10" t="s">
        <v>62</v>
      </c>
      <c r="C528" s="82" t="s">
        <v>8468</v>
      </c>
      <c r="D528" s="4"/>
      <c r="E528" s="4"/>
      <c r="F528" s="71"/>
      <c r="G528" s="4"/>
      <c r="H528" s="4"/>
      <c r="I528" s="4" t="s">
        <v>4987</v>
      </c>
      <c r="J528" s="4"/>
      <c r="K528" s="4"/>
      <c r="L528" s="4"/>
      <c r="M528" s="4"/>
      <c r="N528" s="4"/>
      <c r="O528" s="4"/>
      <c r="P528" s="4"/>
      <c r="Q528" s="4"/>
    </row>
    <row r="529" spans="1:17" x14ac:dyDescent="0.2">
      <c r="A529" s="1">
        <f t="shared" ca="1" si="12"/>
        <v>527</v>
      </c>
      <c r="B529" s="10" t="s">
        <v>7951</v>
      </c>
      <c r="C529" s="82" t="s">
        <v>3718</v>
      </c>
      <c r="D529" s="4"/>
      <c r="E529" s="4"/>
      <c r="F529" s="71"/>
      <c r="G529" s="4"/>
      <c r="H529" s="4"/>
      <c r="I529" s="4" t="s">
        <v>4988</v>
      </c>
      <c r="J529" s="4"/>
      <c r="K529" s="4"/>
      <c r="L529" s="4"/>
      <c r="M529" s="4"/>
      <c r="N529" s="4"/>
      <c r="O529" s="4"/>
      <c r="P529" s="4"/>
      <c r="Q529" s="4"/>
    </row>
    <row r="530" spans="1:17" x14ac:dyDescent="0.2">
      <c r="A530" s="1">
        <f t="shared" ref="A530:A636" ca="1" si="14">CELL("row",C530)-2</f>
        <v>528</v>
      </c>
      <c r="B530" s="10" t="s">
        <v>8104</v>
      </c>
      <c r="C530" s="82" t="s">
        <v>3717</v>
      </c>
      <c r="D530" s="4"/>
      <c r="E530" s="4"/>
      <c r="F530" s="71"/>
      <c r="G530" s="4"/>
      <c r="H530" s="4"/>
      <c r="I530" s="4" t="s">
        <v>4989</v>
      </c>
      <c r="J530" s="4"/>
      <c r="K530" s="4"/>
      <c r="L530" s="4"/>
      <c r="M530" s="4"/>
      <c r="N530" s="4"/>
      <c r="O530" s="4"/>
      <c r="P530" s="4"/>
      <c r="Q530" s="4"/>
    </row>
    <row r="531" spans="1:17" x14ac:dyDescent="0.2">
      <c r="A531" s="1">
        <f t="shared" ca="1" si="14"/>
        <v>529</v>
      </c>
      <c r="B531" s="10" t="s">
        <v>8105</v>
      </c>
      <c r="C531" s="82" t="s">
        <v>3716</v>
      </c>
      <c r="D531" s="4"/>
      <c r="E531" s="4"/>
      <c r="F531" s="71"/>
      <c r="G531" s="4"/>
      <c r="H531" s="4"/>
      <c r="I531" s="4" t="s">
        <v>4990</v>
      </c>
      <c r="J531" s="4" t="s">
        <v>2205</v>
      </c>
      <c r="K531" s="4"/>
      <c r="L531" s="4"/>
      <c r="M531" s="4"/>
      <c r="N531" s="4"/>
      <c r="O531" s="4"/>
      <c r="P531" s="4"/>
      <c r="Q531" s="4"/>
    </row>
    <row r="532" spans="1:17" x14ac:dyDescent="0.2">
      <c r="A532" s="1">
        <f t="shared" ca="1" si="14"/>
        <v>530</v>
      </c>
      <c r="B532" s="10" t="s">
        <v>8106</v>
      </c>
      <c r="C532" s="82" t="s">
        <v>8475</v>
      </c>
      <c r="D532" s="4"/>
      <c r="E532" s="4"/>
      <c r="F532" s="71"/>
      <c r="G532" s="4"/>
      <c r="H532" s="4"/>
      <c r="I532" s="4" t="s">
        <v>4991</v>
      </c>
      <c r="J532" s="4" t="s">
        <v>2206</v>
      </c>
      <c r="K532" s="4"/>
      <c r="L532" s="4"/>
      <c r="M532" s="4"/>
      <c r="N532" s="4"/>
      <c r="O532" s="4"/>
      <c r="P532" s="4"/>
      <c r="Q532" s="4"/>
    </row>
    <row r="533" spans="1:17" x14ac:dyDescent="0.2">
      <c r="A533" s="1">
        <f t="shared" ca="1" si="14"/>
        <v>531</v>
      </c>
      <c r="B533" s="10" t="s">
        <v>8107</v>
      </c>
      <c r="C533" s="82" t="s">
        <v>8469</v>
      </c>
      <c r="D533" s="4"/>
      <c r="E533" s="4"/>
      <c r="F533" s="71"/>
      <c r="G533" s="4"/>
      <c r="H533" s="4"/>
      <c r="I533" s="4" t="s">
        <v>4992</v>
      </c>
      <c r="J533" s="4" t="s">
        <v>6926</v>
      </c>
      <c r="K533" s="4"/>
      <c r="L533" s="4"/>
      <c r="M533" s="4"/>
      <c r="N533" s="4"/>
      <c r="O533" s="4"/>
      <c r="P533" s="4"/>
      <c r="Q533" s="4"/>
    </row>
    <row r="534" spans="1:17" x14ac:dyDescent="0.2">
      <c r="A534" s="1">
        <f t="shared" ca="1" si="14"/>
        <v>532</v>
      </c>
      <c r="B534" s="10" t="s">
        <v>8108</v>
      </c>
      <c r="C534" s="82" t="s">
        <v>3714</v>
      </c>
      <c r="D534" s="4"/>
      <c r="E534" s="4"/>
      <c r="F534" s="71"/>
      <c r="G534" s="4"/>
      <c r="H534" s="4"/>
      <c r="I534" s="4" t="s">
        <v>4993</v>
      </c>
      <c r="J534" s="4"/>
      <c r="K534" s="4"/>
      <c r="L534" s="4"/>
      <c r="M534" s="4"/>
      <c r="N534" s="4"/>
      <c r="O534" s="4"/>
      <c r="P534" s="4"/>
      <c r="Q534" s="4"/>
    </row>
    <row r="535" spans="1:17" ht="15" customHeight="1" x14ac:dyDescent="0.2">
      <c r="A535" s="1">
        <f t="shared" ca="1" si="14"/>
        <v>533</v>
      </c>
      <c r="B535" s="10" t="s">
        <v>7903</v>
      </c>
      <c r="C535" s="82" t="s">
        <v>8470</v>
      </c>
      <c r="D535" s="4"/>
      <c r="E535" s="4"/>
      <c r="F535" s="71"/>
      <c r="G535" s="4"/>
      <c r="H535" s="4"/>
      <c r="I535" s="4" t="s">
        <v>4994</v>
      </c>
      <c r="J535" s="4"/>
      <c r="K535" s="4"/>
      <c r="L535" s="4"/>
      <c r="M535" s="4"/>
      <c r="N535" s="4"/>
      <c r="O535" s="4"/>
      <c r="P535" s="4"/>
      <c r="Q535" s="4"/>
    </row>
    <row r="536" spans="1:17" x14ac:dyDescent="0.2">
      <c r="A536" s="1">
        <f t="shared" ca="1" si="14"/>
        <v>534</v>
      </c>
      <c r="B536" s="10" t="s">
        <v>289</v>
      </c>
      <c r="C536" s="82" t="s">
        <v>290</v>
      </c>
      <c r="D536" s="4"/>
      <c r="E536" s="4"/>
      <c r="F536" s="71"/>
      <c r="G536" s="4"/>
      <c r="H536" s="4"/>
      <c r="J536" s="4"/>
      <c r="K536" s="4"/>
      <c r="L536" s="4"/>
      <c r="M536" s="4"/>
      <c r="N536" s="4"/>
      <c r="O536" s="4"/>
      <c r="P536" s="4"/>
      <c r="Q536" s="4"/>
    </row>
    <row r="537" spans="1:17" x14ac:dyDescent="0.2">
      <c r="A537" s="1">
        <f t="shared" ca="1" si="14"/>
        <v>535</v>
      </c>
      <c r="B537" s="10" t="s">
        <v>1570</v>
      </c>
      <c r="C537" s="82" t="s">
        <v>7905</v>
      </c>
      <c r="D537" s="4"/>
      <c r="E537" s="4"/>
      <c r="F537" s="71"/>
      <c r="G537" s="4"/>
      <c r="H537" s="4"/>
      <c r="I537" s="4" t="s">
        <v>4995</v>
      </c>
      <c r="J537" s="4"/>
      <c r="K537" s="4"/>
      <c r="L537" s="4"/>
      <c r="M537" s="4"/>
      <c r="N537" s="4"/>
      <c r="O537" s="4"/>
      <c r="P537" s="4"/>
      <c r="Q537" s="4"/>
    </row>
    <row r="538" spans="1:17" x14ac:dyDescent="0.2">
      <c r="A538" s="1">
        <f t="shared" ca="1" si="14"/>
        <v>536</v>
      </c>
      <c r="B538" s="10" t="s">
        <v>1572</v>
      </c>
      <c r="C538" s="82" t="s">
        <v>7906</v>
      </c>
      <c r="D538" s="4"/>
      <c r="E538" s="4"/>
      <c r="F538" s="71"/>
      <c r="G538" s="4"/>
      <c r="H538" s="4"/>
      <c r="I538" s="4" t="s">
        <v>4996</v>
      </c>
      <c r="J538" s="4"/>
      <c r="K538" s="4"/>
      <c r="L538" s="4"/>
      <c r="M538" s="4"/>
      <c r="N538" s="4"/>
      <c r="O538" s="4"/>
      <c r="P538" s="4"/>
      <c r="Q538" s="4"/>
    </row>
    <row r="539" spans="1:17" x14ac:dyDescent="0.2">
      <c r="A539" s="1">
        <f t="shared" ca="1" si="14"/>
        <v>537</v>
      </c>
      <c r="B539" s="10" t="s">
        <v>1573</v>
      </c>
      <c r="C539" s="82" t="s">
        <v>7907</v>
      </c>
      <c r="D539" s="4"/>
      <c r="E539" s="4"/>
      <c r="F539" s="71"/>
      <c r="G539" s="4"/>
      <c r="H539" s="4"/>
      <c r="I539" s="4" t="s">
        <v>4997</v>
      </c>
      <c r="J539" s="4"/>
      <c r="K539" s="4"/>
      <c r="L539" s="4"/>
      <c r="M539" s="4"/>
      <c r="N539" s="4"/>
      <c r="O539" s="4"/>
      <c r="P539" s="4"/>
      <c r="Q539" s="4"/>
    </row>
    <row r="540" spans="1:17" x14ac:dyDescent="0.2">
      <c r="A540" s="1">
        <f t="shared" ca="1" si="14"/>
        <v>538</v>
      </c>
      <c r="B540" s="10" t="s">
        <v>1574</v>
      </c>
      <c r="C540" s="82" t="s">
        <v>4656</v>
      </c>
      <c r="D540" s="4"/>
      <c r="E540" s="4"/>
      <c r="F540" s="71"/>
      <c r="G540" s="4"/>
      <c r="H540" s="4"/>
      <c r="I540" s="4" t="s">
        <v>4998</v>
      </c>
      <c r="J540" s="4"/>
      <c r="K540" s="4"/>
      <c r="L540" s="4"/>
      <c r="M540" s="4"/>
      <c r="N540" s="4"/>
      <c r="O540" s="4"/>
      <c r="P540" s="4"/>
      <c r="Q540" s="4"/>
    </row>
    <row r="541" spans="1:17" x14ac:dyDescent="0.2">
      <c r="A541" s="1">
        <f t="shared" ca="1" si="14"/>
        <v>539</v>
      </c>
      <c r="B541" s="10" t="s">
        <v>1576</v>
      </c>
      <c r="C541" s="82" t="s">
        <v>7708</v>
      </c>
      <c r="D541" s="4"/>
      <c r="E541" s="4"/>
      <c r="F541" s="71"/>
      <c r="G541" s="4"/>
      <c r="H541" s="4"/>
      <c r="I541" s="4" t="s">
        <v>4999</v>
      </c>
      <c r="J541" s="4"/>
      <c r="K541" s="4"/>
      <c r="L541" s="4"/>
      <c r="M541" s="4"/>
      <c r="N541" s="4"/>
      <c r="O541" s="4"/>
      <c r="P541" s="4"/>
      <c r="Q541" s="4"/>
    </row>
    <row r="542" spans="1:17" x14ac:dyDescent="0.2">
      <c r="A542" s="1">
        <f t="shared" ca="1" si="14"/>
        <v>540</v>
      </c>
      <c r="B542" s="10" t="s">
        <v>1577</v>
      </c>
      <c r="C542" s="82" t="s">
        <v>7709</v>
      </c>
      <c r="D542" s="4"/>
      <c r="E542" s="4"/>
      <c r="F542" s="71"/>
      <c r="G542" s="4"/>
      <c r="H542" s="4"/>
      <c r="I542" s="4" t="s">
        <v>5000</v>
      </c>
      <c r="J542" s="4"/>
      <c r="K542" s="4"/>
      <c r="L542" s="4"/>
      <c r="M542" s="4"/>
      <c r="N542" s="4"/>
      <c r="O542" s="4"/>
      <c r="P542" s="4"/>
      <c r="Q542" s="4"/>
    </row>
    <row r="543" spans="1:17" x14ac:dyDescent="0.2">
      <c r="A543" s="1">
        <f t="shared" ca="1" si="14"/>
        <v>541</v>
      </c>
      <c r="B543" s="10" t="s">
        <v>1111</v>
      </c>
      <c r="C543" s="82" t="s">
        <v>1182</v>
      </c>
      <c r="D543" s="4"/>
      <c r="E543" s="4"/>
      <c r="F543" s="71"/>
      <c r="G543" s="4"/>
      <c r="H543" s="4"/>
      <c r="I543" s="4" t="s">
        <v>5001</v>
      </c>
      <c r="J543" s="4"/>
      <c r="K543" s="4"/>
      <c r="L543" s="4"/>
      <c r="M543" s="4"/>
      <c r="N543" s="4"/>
      <c r="O543" s="4"/>
      <c r="P543" s="4"/>
      <c r="Q543" s="4"/>
    </row>
    <row r="544" spans="1:17" x14ac:dyDescent="0.2">
      <c r="A544" s="1">
        <f t="shared" ca="1" si="14"/>
        <v>542</v>
      </c>
      <c r="B544" s="10" t="s">
        <v>1112</v>
      </c>
      <c r="C544" s="82" t="s">
        <v>2659</v>
      </c>
      <c r="D544" s="4"/>
      <c r="E544" s="4"/>
      <c r="F544" s="71"/>
      <c r="G544" s="4"/>
      <c r="H544" s="4"/>
      <c r="I544" s="4" t="s">
        <v>5002</v>
      </c>
      <c r="J544" s="4"/>
      <c r="K544" s="4"/>
      <c r="L544" s="4"/>
      <c r="M544" s="4"/>
      <c r="N544" s="4"/>
      <c r="O544" s="4"/>
      <c r="P544" s="4"/>
      <c r="Q544" s="4"/>
    </row>
    <row r="545" spans="1:17" x14ac:dyDescent="0.2">
      <c r="A545" s="1">
        <f t="shared" ca="1" si="14"/>
        <v>543</v>
      </c>
      <c r="B545" s="10" t="s">
        <v>2660</v>
      </c>
      <c r="C545" s="82" t="s">
        <v>7908</v>
      </c>
      <c r="D545" s="4"/>
      <c r="E545" s="4"/>
      <c r="F545" s="71"/>
      <c r="G545" s="4"/>
      <c r="H545" s="4"/>
      <c r="I545" s="4" t="s">
        <v>5003</v>
      </c>
      <c r="J545" s="4"/>
      <c r="K545" s="4"/>
      <c r="L545" s="4"/>
      <c r="M545" s="4"/>
      <c r="N545" s="4"/>
      <c r="O545" s="4"/>
      <c r="P545" s="4"/>
      <c r="Q545" s="4"/>
    </row>
    <row r="546" spans="1:17" x14ac:dyDescent="0.2">
      <c r="A546" s="1">
        <f t="shared" ca="1" si="14"/>
        <v>544</v>
      </c>
      <c r="B546" s="10" t="s">
        <v>7904</v>
      </c>
      <c r="C546" s="82" t="s">
        <v>4657</v>
      </c>
      <c r="D546" s="4"/>
      <c r="E546" s="4"/>
      <c r="F546" s="71"/>
      <c r="G546" s="4"/>
      <c r="H546" s="4"/>
      <c r="I546" s="82" t="s">
        <v>5004</v>
      </c>
      <c r="J546" s="4"/>
      <c r="K546" s="4"/>
      <c r="L546" s="4"/>
      <c r="M546" s="4"/>
      <c r="N546" s="4"/>
      <c r="O546" s="4"/>
      <c r="P546" s="4"/>
      <c r="Q546" s="4"/>
    </row>
    <row r="547" spans="1:17" x14ac:dyDescent="0.2">
      <c r="A547" s="1">
        <f t="shared" ref="A547:A554" ca="1" si="15">CELL("row",C547)-2</f>
        <v>545</v>
      </c>
      <c r="B547" s="10" t="s">
        <v>3055</v>
      </c>
      <c r="C547" s="82" t="s">
        <v>1266</v>
      </c>
      <c r="D547" s="4"/>
      <c r="E547" s="4"/>
      <c r="F547" s="71"/>
      <c r="G547" s="4"/>
      <c r="H547" s="4"/>
      <c r="I547" s="4" t="s">
        <v>5005</v>
      </c>
      <c r="J547" s="4"/>
      <c r="K547" s="4"/>
      <c r="L547" s="4"/>
      <c r="M547" s="4"/>
      <c r="N547" s="4"/>
      <c r="O547" s="4"/>
      <c r="P547" s="4"/>
      <c r="Q547" s="4"/>
    </row>
    <row r="548" spans="1:17" x14ac:dyDescent="0.2">
      <c r="A548" s="1">
        <f t="shared" ca="1" si="15"/>
        <v>546</v>
      </c>
      <c r="B548" s="10" t="s">
        <v>3056</v>
      </c>
      <c r="C548" s="82" t="s">
        <v>1267</v>
      </c>
      <c r="D548" s="4"/>
      <c r="E548" s="4"/>
      <c r="F548" s="71"/>
      <c r="G548" s="4"/>
      <c r="H548" s="4"/>
      <c r="I548" s="4" t="s">
        <v>5006</v>
      </c>
      <c r="J548" s="4"/>
      <c r="K548" s="4"/>
      <c r="L548" s="4"/>
      <c r="M548" s="4"/>
      <c r="N548" s="4"/>
      <c r="O548" s="4"/>
      <c r="P548" s="4"/>
      <c r="Q548" s="4"/>
    </row>
    <row r="549" spans="1:17" x14ac:dyDescent="0.2">
      <c r="A549" s="1">
        <f t="shared" ca="1" si="15"/>
        <v>547</v>
      </c>
      <c r="B549" s="10" t="s">
        <v>4681</v>
      </c>
      <c r="C549" s="82" t="s">
        <v>1268</v>
      </c>
      <c r="D549" s="4"/>
      <c r="E549" s="4"/>
      <c r="F549" s="71"/>
      <c r="G549" s="4"/>
      <c r="H549" s="4"/>
      <c r="I549" s="4" t="s">
        <v>5007</v>
      </c>
      <c r="J549" s="4"/>
      <c r="K549" s="4"/>
      <c r="L549" s="4"/>
      <c r="M549" s="4"/>
      <c r="N549" s="4"/>
      <c r="O549" s="4"/>
      <c r="P549" s="4"/>
      <c r="Q549" s="4"/>
    </row>
    <row r="550" spans="1:17" x14ac:dyDescent="0.2">
      <c r="A550" s="1">
        <f t="shared" ca="1" si="15"/>
        <v>548</v>
      </c>
      <c r="B550" s="10" t="s">
        <v>1261</v>
      </c>
      <c r="C550" s="82" t="s">
        <v>1269</v>
      </c>
      <c r="D550" s="4"/>
      <c r="E550" s="4"/>
      <c r="F550" s="71"/>
      <c r="G550" s="4"/>
      <c r="H550" s="4"/>
      <c r="I550" s="4" t="s">
        <v>5008</v>
      </c>
      <c r="J550" s="4"/>
      <c r="K550" s="4"/>
      <c r="L550" s="4"/>
      <c r="M550" s="4"/>
      <c r="N550" s="4"/>
      <c r="O550" s="4"/>
      <c r="P550" s="4"/>
      <c r="Q550" s="4"/>
    </row>
    <row r="551" spans="1:17" x14ac:dyDescent="0.2">
      <c r="A551" s="1">
        <f t="shared" ca="1" si="15"/>
        <v>549</v>
      </c>
      <c r="B551" s="10" t="s">
        <v>1262</v>
      </c>
      <c r="C551" s="82" t="s">
        <v>1271</v>
      </c>
      <c r="D551" s="4"/>
      <c r="E551" s="4"/>
      <c r="F551" s="71"/>
      <c r="G551" s="4"/>
      <c r="H551" s="4"/>
      <c r="I551" s="4" t="s">
        <v>5009</v>
      </c>
      <c r="J551" s="4"/>
      <c r="K551" s="4"/>
      <c r="L551" s="4"/>
      <c r="M551" s="4"/>
      <c r="N551" s="4"/>
      <c r="O551" s="4"/>
      <c r="P551" s="4"/>
      <c r="Q551" s="4"/>
    </row>
    <row r="552" spans="1:17" x14ac:dyDescent="0.2">
      <c r="A552" s="1">
        <f t="shared" ca="1" si="15"/>
        <v>550</v>
      </c>
      <c r="B552" s="10" t="s">
        <v>1263</v>
      </c>
      <c r="C552" s="82" t="s">
        <v>1272</v>
      </c>
      <c r="D552" s="4"/>
      <c r="E552" s="4"/>
      <c r="F552" s="71"/>
      <c r="G552" s="4"/>
      <c r="H552" s="4"/>
      <c r="I552" s="4" t="s">
        <v>5010</v>
      </c>
      <c r="J552" s="4"/>
      <c r="K552" s="4"/>
      <c r="L552" s="4"/>
      <c r="M552" s="4"/>
      <c r="N552" s="4"/>
      <c r="O552" s="4"/>
      <c r="P552" s="4"/>
      <c r="Q552" s="4"/>
    </row>
    <row r="553" spans="1:17" x14ac:dyDescent="0.2">
      <c r="A553" s="1">
        <f t="shared" ca="1" si="15"/>
        <v>551</v>
      </c>
      <c r="B553" s="10" t="s">
        <v>1264</v>
      </c>
      <c r="C553" s="82" t="s">
        <v>1273</v>
      </c>
      <c r="D553" s="4"/>
      <c r="E553" s="4"/>
      <c r="F553" s="71"/>
      <c r="G553" s="4"/>
      <c r="H553" s="4"/>
      <c r="I553" s="4" t="s">
        <v>5011</v>
      </c>
      <c r="J553" s="4"/>
      <c r="K553" s="4"/>
      <c r="L553" s="4"/>
      <c r="M553" s="4"/>
      <c r="N553" s="4"/>
      <c r="O553" s="4"/>
      <c r="P553" s="4"/>
      <c r="Q553" s="4"/>
    </row>
    <row r="554" spans="1:17" x14ac:dyDescent="0.2">
      <c r="A554" s="1">
        <f t="shared" ca="1" si="15"/>
        <v>552</v>
      </c>
      <c r="B554" s="10" t="s">
        <v>1265</v>
      </c>
      <c r="C554" s="82" t="s">
        <v>1274</v>
      </c>
      <c r="D554" s="4"/>
      <c r="E554" s="4"/>
      <c r="F554" s="71"/>
      <c r="G554" s="4"/>
      <c r="H554" s="4"/>
      <c r="I554" s="4" t="s">
        <v>5012</v>
      </c>
      <c r="J554" s="4"/>
      <c r="K554" s="4"/>
      <c r="L554" s="4"/>
      <c r="M554" s="4"/>
      <c r="N554" s="4"/>
      <c r="O554" s="4"/>
      <c r="P554" s="4"/>
      <c r="Q554" s="4"/>
    </row>
    <row r="555" spans="1:17" x14ac:dyDescent="0.2">
      <c r="A555" s="1">
        <f t="shared" ref="A555:A586" ca="1" si="16">CELL("row",C555)-2</f>
        <v>553</v>
      </c>
      <c r="B555" s="10" t="s">
        <v>6315</v>
      </c>
      <c r="C555" s="82" t="s">
        <v>1270</v>
      </c>
      <c r="D555" s="4"/>
      <c r="E555" s="4"/>
      <c r="F555" s="71"/>
      <c r="G555" s="4"/>
      <c r="H555" s="4"/>
      <c r="I555" s="4" t="s">
        <v>5013</v>
      </c>
      <c r="J555" s="4"/>
      <c r="K555" s="4"/>
      <c r="L555" s="4"/>
      <c r="M555" s="4"/>
      <c r="N555" s="4"/>
      <c r="O555" s="4"/>
      <c r="P555" s="4"/>
      <c r="Q555" s="4"/>
    </row>
    <row r="556" spans="1:17" x14ac:dyDescent="0.2">
      <c r="A556" s="1">
        <f t="shared" ca="1" si="16"/>
        <v>554</v>
      </c>
      <c r="B556" s="10" t="s">
        <v>234</v>
      </c>
      <c r="C556" s="82" t="s">
        <v>4804</v>
      </c>
      <c r="D556" s="4"/>
      <c r="E556" s="4"/>
      <c r="F556" s="71"/>
      <c r="G556" s="4"/>
      <c r="H556" s="4"/>
      <c r="I556" s="4" t="s">
        <v>1557</v>
      </c>
      <c r="J556" s="4"/>
      <c r="K556" s="4"/>
      <c r="L556" s="4"/>
      <c r="M556" s="4"/>
      <c r="N556" s="4"/>
      <c r="O556" s="4"/>
      <c r="P556" s="4"/>
      <c r="Q556" s="4"/>
    </row>
    <row r="557" spans="1:17" x14ac:dyDescent="0.2">
      <c r="A557" s="1">
        <f t="shared" ca="1" si="16"/>
        <v>555</v>
      </c>
      <c r="B557" s="10" t="s">
        <v>1275</v>
      </c>
      <c r="C557" s="82" t="s">
        <v>1282</v>
      </c>
      <c r="D557" s="4"/>
      <c r="E557" s="4"/>
      <c r="F557" s="71"/>
      <c r="G557" s="4"/>
      <c r="H557" s="4"/>
      <c r="I557" s="4" t="s">
        <v>5014</v>
      </c>
      <c r="J557" s="4"/>
      <c r="K557" s="4"/>
      <c r="L557" s="4"/>
      <c r="M557" s="4"/>
      <c r="N557" s="4"/>
      <c r="O557" s="4"/>
      <c r="P557" s="4"/>
      <c r="Q557" s="4"/>
    </row>
    <row r="558" spans="1:17" x14ac:dyDescent="0.2">
      <c r="A558" s="1">
        <f t="shared" ca="1" si="16"/>
        <v>556</v>
      </c>
      <c r="B558" s="10" t="s">
        <v>1276</v>
      </c>
      <c r="C558" s="82" t="s">
        <v>1283</v>
      </c>
      <c r="D558" s="4"/>
      <c r="E558" s="4"/>
      <c r="F558" s="71"/>
      <c r="G558" s="4"/>
      <c r="H558" s="4"/>
      <c r="I558" s="4" t="s">
        <v>5015</v>
      </c>
      <c r="J558" s="4"/>
      <c r="K558" s="4"/>
      <c r="L558" s="4"/>
      <c r="M558" s="4"/>
      <c r="N558" s="4"/>
      <c r="O558" s="4"/>
      <c r="P558" s="4"/>
      <c r="Q558" s="4"/>
    </row>
    <row r="559" spans="1:17" x14ac:dyDescent="0.2">
      <c r="A559" s="1">
        <f t="shared" ca="1" si="16"/>
        <v>557</v>
      </c>
      <c r="B559" s="10" t="s">
        <v>1277</v>
      </c>
      <c r="C559" s="82" t="s">
        <v>1284</v>
      </c>
      <c r="D559" s="4"/>
      <c r="E559" s="4"/>
      <c r="F559" s="71"/>
      <c r="G559" s="4"/>
      <c r="H559" s="4"/>
      <c r="I559" s="4" t="s">
        <v>5016</v>
      </c>
      <c r="J559" s="4"/>
      <c r="K559" s="4"/>
      <c r="L559" s="4"/>
      <c r="M559" s="4"/>
      <c r="N559" s="4"/>
      <c r="O559" s="4"/>
      <c r="P559" s="4"/>
      <c r="Q559" s="4"/>
    </row>
    <row r="560" spans="1:17" x14ac:dyDescent="0.2">
      <c r="A560" s="1">
        <f t="shared" ca="1" si="16"/>
        <v>558</v>
      </c>
      <c r="B560" s="10" t="s">
        <v>1278</v>
      </c>
      <c r="C560" s="82" t="s">
        <v>1285</v>
      </c>
      <c r="D560" s="4"/>
      <c r="E560" s="4"/>
      <c r="F560" s="71"/>
      <c r="G560" s="4"/>
      <c r="H560" s="4"/>
      <c r="I560" s="4" t="s">
        <v>5017</v>
      </c>
      <c r="J560" s="4"/>
      <c r="K560" s="4"/>
      <c r="L560" s="4"/>
      <c r="M560" s="4"/>
      <c r="N560" s="4"/>
      <c r="O560" s="4"/>
      <c r="P560" s="4"/>
      <c r="Q560" s="4"/>
    </row>
    <row r="561" spans="1:17" x14ac:dyDescent="0.2">
      <c r="A561" s="1">
        <f t="shared" ca="1" si="16"/>
        <v>559</v>
      </c>
      <c r="B561" s="10" t="s">
        <v>1279</v>
      </c>
      <c r="C561" s="82" t="s">
        <v>1286</v>
      </c>
      <c r="D561" s="4"/>
      <c r="E561" s="4"/>
      <c r="F561" s="71"/>
      <c r="G561" s="4"/>
      <c r="H561" s="4"/>
      <c r="I561" s="4" t="s">
        <v>5018</v>
      </c>
      <c r="J561" s="4"/>
      <c r="K561" s="4"/>
      <c r="L561" s="4"/>
      <c r="M561" s="4"/>
      <c r="N561" s="4"/>
      <c r="O561" s="4"/>
      <c r="P561" s="4"/>
      <c r="Q561" s="4"/>
    </row>
    <row r="562" spans="1:17" x14ac:dyDescent="0.2">
      <c r="A562" s="1">
        <f t="shared" ca="1" si="16"/>
        <v>560</v>
      </c>
      <c r="B562" s="10" t="s">
        <v>1280</v>
      </c>
      <c r="C562" s="82" t="s">
        <v>1287</v>
      </c>
      <c r="D562" s="4"/>
      <c r="E562" s="4"/>
      <c r="F562" s="71"/>
      <c r="G562" s="4"/>
      <c r="H562" s="4"/>
      <c r="I562" s="4" t="s">
        <v>5019</v>
      </c>
      <c r="J562" s="4"/>
      <c r="K562" s="4"/>
      <c r="L562" s="4"/>
      <c r="M562" s="4"/>
      <c r="N562" s="4"/>
      <c r="O562" s="4"/>
      <c r="P562" s="4"/>
      <c r="Q562" s="4"/>
    </row>
    <row r="563" spans="1:17" x14ac:dyDescent="0.2">
      <c r="A563" s="1">
        <f t="shared" ca="1" si="16"/>
        <v>561</v>
      </c>
      <c r="B563" s="10" t="s">
        <v>1646</v>
      </c>
      <c r="C563" s="82" t="s">
        <v>4669</v>
      </c>
      <c r="D563" s="4"/>
      <c r="E563" s="4"/>
      <c r="F563" s="71"/>
      <c r="G563" s="4"/>
      <c r="H563" s="4"/>
      <c r="I563" s="4" t="s">
        <v>5020</v>
      </c>
      <c r="J563" s="4"/>
      <c r="K563" s="4"/>
      <c r="L563" s="4"/>
      <c r="M563" s="4"/>
      <c r="N563" s="4"/>
      <c r="O563" s="4"/>
      <c r="P563" s="4"/>
      <c r="Q563" s="4"/>
    </row>
    <row r="564" spans="1:17" x14ac:dyDescent="0.2">
      <c r="A564" s="1">
        <f t="shared" ca="1" si="16"/>
        <v>562</v>
      </c>
      <c r="B564" s="10" t="s">
        <v>1281</v>
      </c>
      <c r="C564" s="82" t="s">
        <v>4670</v>
      </c>
      <c r="D564" s="4"/>
      <c r="E564" s="4"/>
      <c r="F564" s="71"/>
      <c r="G564" s="4"/>
      <c r="H564" s="4"/>
      <c r="I564" s="4" t="s">
        <v>5021</v>
      </c>
      <c r="J564" s="4"/>
      <c r="K564" s="4"/>
      <c r="L564" s="4"/>
      <c r="M564" s="4"/>
      <c r="N564" s="4"/>
      <c r="O564" s="4"/>
      <c r="P564" s="4"/>
      <c r="Q564" s="4"/>
    </row>
    <row r="565" spans="1:17" x14ac:dyDescent="0.2">
      <c r="A565" s="1">
        <f t="shared" ca="1" si="16"/>
        <v>563</v>
      </c>
      <c r="B565" s="10" t="s">
        <v>3963</v>
      </c>
      <c r="C565" s="82" t="s">
        <v>4676</v>
      </c>
      <c r="D565" s="4"/>
      <c r="E565" s="4"/>
      <c r="F565" s="71"/>
      <c r="G565" s="4"/>
      <c r="H565" s="4"/>
      <c r="I565" s="4" t="s">
        <v>5022</v>
      </c>
      <c r="J565" s="4"/>
      <c r="K565" s="4"/>
      <c r="L565" s="4"/>
      <c r="M565" s="4"/>
      <c r="N565" s="4"/>
      <c r="O565" s="4"/>
      <c r="P565" s="4"/>
      <c r="Q565" s="4"/>
    </row>
    <row r="566" spans="1:17" ht="25.5" x14ac:dyDescent="0.2">
      <c r="A566" s="1">
        <f t="shared" ca="1" si="16"/>
        <v>564</v>
      </c>
      <c r="B566" s="10" t="s">
        <v>3964</v>
      </c>
      <c r="C566" s="82" t="s">
        <v>4675</v>
      </c>
      <c r="D566" s="4"/>
      <c r="E566" s="4"/>
      <c r="F566" s="71"/>
      <c r="G566" s="4"/>
      <c r="H566" s="4"/>
      <c r="I566" s="4" t="s">
        <v>5023</v>
      </c>
      <c r="J566" s="4"/>
      <c r="K566" s="4"/>
      <c r="L566" s="4"/>
      <c r="M566" s="4"/>
      <c r="N566" s="4"/>
      <c r="O566" s="4"/>
      <c r="P566" s="4"/>
      <c r="Q566" s="4"/>
    </row>
    <row r="567" spans="1:17" x14ac:dyDescent="0.2">
      <c r="A567" s="1">
        <f t="shared" ca="1" si="16"/>
        <v>565</v>
      </c>
      <c r="B567" s="10" t="s">
        <v>5418</v>
      </c>
      <c r="C567" s="82" t="s">
        <v>4178</v>
      </c>
      <c r="D567" s="4"/>
      <c r="E567" s="4"/>
      <c r="F567" s="71"/>
      <c r="G567" s="4"/>
      <c r="H567" s="4"/>
      <c r="I567" s="4" t="s">
        <v>5024</v>
      </c>
      <c r="J567" s="4"/>
      <c r="K567" s="4"/>
      <c r="L567" s="4"/>
      <c r="M567" s="4"/>
      <c r="N567" s="4"/>
      <c r="O567" s="4"/>
      <c r="P567" s="4"/>
      <c r="Q567" s="4"/>
    </row>
    <row r="568" spans="1:17" x14ac:dyDescent="0.2">
      <c r="A568" s="1">
        <f t="shared" ca="1" si="16"/>
        <v>566</v>
      </c>
      <c r="B568" s="10" t="s">
        <v>4671</v>
      </c>
      <c r="C568" s="82" t="s">
        <v>4179</v>
      </c>
      <c r="D568" s="4"/>
      <c r="E568" s="4"/>
      <c r="F568" s="71"/>
      <c r="G568" s="4"/>
      <c r="H568" s="4"/>
      <c r="I568" s="4" t="s">
        <v>5025</v>
      </c>
      <c r="J568" s="4"/>
      <c r="K568" s="4"/>
      <c r="L568" s="4"/>
      <c r="M568" s="4"/>
      <c r="N568" s="4"/>
      <c r="O568" s="4"/>
      <c r="P568" s="4"/>
      <c r="Q568" s="4"/>
    </row>
    <row r="569" spans="1:17" x14ac:dyDescent="0.2">
      <c r="A569" s="1">
        <f t="shared" ca="1" si="16"/>
        <v>567</v>
      </c>
      <c r="B569" s="10" t="s">
        <v>4672</v>
      </c>
      <c r="C569" s="82" t="s">
        <v>4180</v>
      </c>
      <c r="D569" s="4"/>
      <c r="E569" s="4"/>
      <c r="F569" s="71"/>
      <c r="G569" s="4"/>
      <c r="H569" s="4"/>
      <c r="I569" s="4" t="s">
        <v>5026</v>
      </c>
      <c r="J569" s="4"/>
      <c r="K569" s="4"/>
      <c r="L569" s="4"/>
      <c r="M569" s="4"/>
      <c r="N569" s="4"/>
      <c r="O569" s="4"/>
      <c r="P569" s="4"/>
      <c r="Q569" s="4"/>
    </row>
    <row r="570" spans="1:17" x14ac:dyDescent="0.2">
      <c r="A570" s="1">
        <f t="shared" ca="1" si="16"/>
        <v>568</v>
      </c>
      <c r="B570" s="10" t="s">
        <v>4181</v>
      </c>
      <c r="C570" s="82" t="s">
        <v>4677</v>
      </c>
      <c r="D570" s="4"/>
      <c r="E570" s="4"/>
      <c r="F570" s="71"/>
      <c r="G570" s="4"/>
      <c r="H570" s="4"/>
      <c r="I570" s="4" t="s">
        <v>5027</v>
      </c>
      <c r="J570" s="4"/>
      <c r="K570" s="4"/>
      <c r="L570" s="4"/>
      <c r="M570" s="4"/>
      <c r="N570" s="4"/>
      <c r="O570" s="4"/>
      <c r="P570" s="4"/>
      <c r="Q570" s="4"/>
    </row>
    <row r="571" spans="1:17" x14ac:dyDescent="0.2">
      <c r="A571" s="1">
        <f t="shared" ca="1" si="16"/>
        <v>569</v>
      </c>
      <c r="B571" s="10" t="s">
        <v>4673</v>
      </c>
      <c r="C571" s="82" t="s">
        <v>4678</v>
      </c>
      <c r="D571" s="4"/>
      <c r="E571" s="4"/>
      <c r="F571" s="71"/>
      <c r="G571" s="4"/>
      <c r="H571" s="4"/>
      <c r="I571" s="4" t="s">
        <v>5028</v>
      </c>
      <c r="J571" s="4"/>
      <c r="K571" s="4"/>
      <c r="L571" s="4"/>
      <c r="M571" s="4"/>
      <c r="N571" s="4"/>
      <c r="O571" s="4"/>
      <c r="P571" s="4"/>
      <c r="Q571" s="4"/>
    </row>
    <row r="572" spans="1:17" x14ac:dyDescent="0.2">
      <c r="A572" s="1">
        <f t="shared" ca="1" si="16"/>
        <v>570</v>
      </c>
      <c r="B572" s="10" t="s">
        <v>4674</v>
      </c>
      <c r="C572" s="82" t="s">
        <v>4679</v>
      </c>
      <c r="D572" s="4"/>
      <c r="E572" s="4"/>
      <c r="F572" s="71"/>
      <c r="G572" s="4"/>
      <c r="H572" s="4"/>
      <c r="I572" s="4" t="s">
        <v>5029</v>
      </c>
      <c r="J572" s="4"/>
      <c r="K572" s="4"/>
      <c r="L572" s="4"/>
      <c r="M572" s="4"/>
      <c r="N572" s="4"/>
      <c r="O572" s="4"/>
      <c r="P572" s="4"/>
      <c r="Q572" s="4"/>
    </row>
    <row r="573" spans="1:17" x14ac:dyDescent="0.2">
      <c r="A573" s="1">
        <f t="shared" ca="1" si="16"/>
        <v>571</v>
      </c>
      <c r="B573" s="10" t="s">
        <v>5422</v>
      </c>
      <c r="C573" s="82" t="s">
        <v>4680</v>
      </c>
      <c r="D573" s="4"/>
      <c r="E573" s="4"/>
      <c r="F573" s="71"/>
      <c r="G573" s="4"/>
      <c r="H573" s="4"/>
      <c r="I573" s="4" t="s">
        <v>635</v>
      </c>
      <c r="J573" s="4"/>
      <c r="K573" s="4"/>
      <c r="L573" s="4"/>
      <c r="M573" s="4"/>
      <c r="N573" s="4"/>
      <c r="O573" s="4"/>
      <c r="P573" s="4"/>
      <c r="Q573" s="4"/>
    </row>
    <row r="574" spans="1:17" x14ac:dyDescent="0.2">
      <c r="A574" s="1">
        <f t="shared" ca="1" si="16"/>
        <v>572</v>
      </c>
      <c r="B574" s="10" t="s">
        <v>4682</v>
      </c>
      <c r="C574" s="82" t="s">
        <v>4683</v>
      </c>
      <c r="D574" s="4"/>
      <c r="E574" s="4"/>
      <c r="F574" s="71"/>
      <c r="G574" s="4"/>
      <c r="H574" s="4"/>
      <c r="I574" s="4" t="s">
        <v>5030</v>
      </c>
      <c r="J574" s="4"/>
      <c r="K574" s="4"/>
      <c r="L574" s="4"/>
      <c r="M574" s="4"/>
      <c r="N574" s="4"/>
      <c r="O574" s="4"/>
      <c r="P574" s="4"/>
      <c r="Q574" s="4"/>
    </row>
    <row r="575" spans="1:17" x14ac:dyDescent="0.2">
      <c r="A575" s="1">
        <f t="shared" ca="1" si="16"/>
        <v>573</v>
      </c>
      <c r="B575" s="10" t="s">
        <v>1570</v>
      </c>
      <c r="C575" s="82" t="s">
        <v>4685</v>
      </c>
      <c r="D575" s="4"/>
      <c r="E575" s="4"/>
      <c r="F575" s="71"/>
      <c r="G575" s="4"/>
      <c r="H575" s="4"/>
      <c r="I575" s="4" t="s">
        <v>4995</v>
      </c>
      <c r="J575" s="4"/>
      <c r="K575" s="4"/>
      <c r="L575" s="4"/>
      <c r="M575" s="4"/>
      <c r="N575" s="4"/>
      <c r="O575" s="4"/>
      <c r="P575" s="4"/>
      <c r="Q575" s="4"/>
    </row>
    <row r="576" spans="1:17" x14ac:dyDescent="0.2">
      <c r="A576" s="1">
        <f t="shared" ca="1" si="16"/>
        <v>574</v>
      </c>
      <c r="B576" s="10" t="s">
        <v>1572</v>
      </c>
      <c r="C576" s="82" t="s">
        <v>7906</v>
      </c>
      <c r="D576" s="4"/>
      <c r="E576" s="4"/>
      <c r="F576" s="71"/>
      <c r="G576" s="4"/>
      <c r="H576" s="4"/>
      <c r="I576" s="4" t="s">
        <v>4996</v>
      </c>
      <c r="J576" s="4"/>
      <c r="K576" s="4"/>
      <c r="L576" s="4"/>
      <c r="M576" s="4"/>
      <c r="N576" s="4"/>
      <c r="O576" s="4"/>
      <c r="P576" s="4"/>
      <c r="Q576" s="4"/>
    </row>
    <row r="577" spans="1:17" x14ac:dyDescent="0.2">
      <c r="A577" s="1">
        <f t="shared" ca="1" si="16"/>
        <v>575</v>
      </c>
      <c r="B577" s="10" t="s">
        <v>1573</v>
      </c>
      <c r="C577" s="82" t="s">
        <v>4686</v>
      </c>
      <c r="D577" s="4"/>
      <c r="E577" s="4"/>
      <c r="F577" s="71"/>
      <c r="G577" s="4"/>
      <c r="H577" s="4"/>
      <c r="I577" s="4" t="s">
        <v>4997</v>
      </c>
      <c r="J577" s="4"/>
      <c r="K577" s="4"/>
      <c r="L577" s="4"/>
      <c r="M577" s="4"/>
      <c r="N577" s="4"/>
      <c r="O577" s="4"/>
      <c r="P577" s="4"/>
      <c r="Q577" s="4"/>
    </row>
    <row r="578" spans="1:17" x14ac:dyDescent="0.2">
      <c r="A578" s="1">
        <f t="shared" ca="1" si="16"/>
        <v>576</v>
      </c>
      <c r="B578" s="10" t="s">
        <v>1574</v>
      </c>
      <c r="C578" s="82" t="s">
        <v>4687</v>
      </c>
      <c r="D578" s="4"/>
      <c r="E578" s="4"/>
      <c r="F578" s="71"/>
      <c r="G578" s="4"/>
      <c r="H578" s="4"/>
      <c r="I578" s="4" t="s">
        <v>4998</v>
      </c>
      <c r="J578" s="4"/>
      <c r="K578" s="4"/>
      <c r="L578" s="4"/>
      <c r="M578" s="4"/>
      <c r="N578" s="4"/>
      <c r="O578" s="4"/>
      <c r="P578" s="4"/>
      <c r="Q578" s="4"/>
    </row>
    <row r="579" spans="1:17" x14ac:dyDescent="0.2">
      <c r="A579" s="1">
        <f t="shared" ca="1" si="16"/>
        <v>577</v>
      </c>
      <c r="B579" s="10" t="s">
        <v>1576</v>
      </c>
      <c r="C579" s="82" t="s">
        <v>7708</v>
      </c>
      <c r="D579" s="4"/>
      <c r="E579" s="4"/>
      <c r="F579" s="71"/>
      <c r="G579" s="4"/>
      <c r="H579" s="4"/>
      <c r="I579" s="4" t="s">
        <v>5031</v>
      </c>
      <c r="J579" s="4"/>
      <c r="K579" s="4"/>
      <c r="L579" s="4"/>
      <c r="M579" s="4"/>
      <c r="N579" s="4"/>
      <c r="O579" s="4"/>
      <c r="P579" s="4"/>
      <c r="Q579" s="4"/>
    </row>
    <row r="580" spans="1:17" x14ac:dyDescent="0.2">
      <c r="A580" s="1">
        <f t="shared" ca="1" si="16"/>
        <v>578</v>
      </c>
      <c r="B580" s="10" t="s">
        <v>1577</v>
      </c>
      <c r="C580" s="82" t="s">
        <v>7709</v>
      </c>
      <c r="D580" s="4"/>
      <c r="E580" s="4"/>
      <c r="F580" s="71"/>
      <c r="G580" s="4"/>
      <c r="H580" s="4"/>
      <c r="I580" s="4" t="s">
        <v>5032</v>
      </c>
      <c r="J580" s="4"/>
      <c r="K580" s="4"/>
      <c r="L580" s="4"/>
      <c r="M580" s="4"/>
      <c r="N580" s="4"/>
      <c r="O580" s="4"/>
      <c r="P580" s="4"/>
      <c r="Q580" s="4"/>
    </row>
    <row r="581" spans="1:17" x14ac:dyDescent="0.2">
      <c r="A581" s="1">
        <f t="shared" ca="1" si="16"/>
        <v>579</v>
      </c>
      <c r="B581" s="10" t="s">
        <v>1111</v>
      </c>
      <c r="C581" s="82" t="s">
        <v>1182</v>
      </c>
      <c r="D581" s="4"/>
      <c r="E581" s="4"/>
      <c r="F581" s="71"/>
      <c r="G581" s="4"/>
      <c r="H581" s="4"/>
      <c r="I581" s="4" t="s">
        <v>5001</v>
      </c>
      <c r="J581" s="4"/>
      <c r="K581" s="4"/>
      <c r="L581" s="4"/>
      <c r="M581" s="4"/>
      <c r="N581" s="4"/>
      <c r="O581" s="4"/>
      <c r="P581" s="4"/>
      <c r="Q581" s="4"/>
    </row>
    <row r="582" spans="1:17" x14ac:dyDescent="0.2">
      <c r="A582" s="1">
        <f t="shared" ca="1" si="16"/>
        <v>580</v>
      </c>
      <c r="B582" s="10" t="s">
        <v>1112</v>
      </c>
      <c r="C582" s="82" t="s">
        <v>2659</v>
      </c>
      <c r="D582" s="4"/>
      <c r="E582" s="4"/>
      <c r="F582" s="71"/>
      <c r="G582" s="4"/>
      <c r="H582" s="4"/>
      <c r="I582" s="4" t="s">
        <v>5002</v>
      </c>
      <c r="J582" s="4"/>
      <c r="K582" s="4"/>
      <c r="L582" s="4"/>
      <c r="M582" s="4"/>
      <c r="N582" s="4"/>
      <c r="O582" s="4"/>
      <c r="P582" s="4"/>
      <c r="Q582" s="4"/>
    </row>
    <row r="583" spans="1:17" x14ac:dyDescent="0.2">
      <c r="A583" s="1">
        <f t="shared" ca="1" si="16"/>
        <v>581</v>
      </c>
      <c r="B583" s="10" t="s">
        <v>2660</v>
      </c>
      <c r="C583" s="82" t="s">
        <v>7908</v>
      </c>
      <c r="D583" s="4"/>
      <c r="E583" s="4"/>
      <c r="F583" s="71"/>
      <c r="G583" s="4"/>
      <c r="H583" s="4"/>
      <c r="I583" s="4" t="s">
        <v>5003</v>
      </c>
      <c r="J583" s="4"/>
      <c r="K583" s="4"/>
      <c r="L583" s="4"/>
      <c r="M583" s="4"/>
      <c r="N583" s="4"/>
      <c r="O583" s="4"/>
      <c r="P583" s="4"/>
      <c r="Q583" s="4"/>
    </row>
    <row r="584" spans="1:17" x14ac:dyDescent="0.2">
      <c r="A584" s="1">
        <f t="shared" ca="1" si="16"/>
        <v>582</v>
      </c>
      <c r="B584" s="10" t="s">
        <v>4684</v>
      </c>
      <c r="C584" s="82" t="s">
        <v>4688</v>
      </c>
      <c r="D584" s="4"/>
      <c r="E584" s="4"/>
      <c r="F584" s="71"/>
      <c r="G584" s="4"/>
      <c r="H584" s="4"/>
      <c r="I584" s="82" t="s">
        <v>5033</v>
      </c>
      <c r="J584" s="4"/>
      <c r="K584" s="4"/>
      <c r="L584" s="4"/>
      <c r="M584" s="4"/>
      <c r="N584" s="4"/>
      <c r="O584" s="4"/>
      <c r="P584" s="4"/>
      <c r="Q584" s="4"/>
    </row>
    <row r="585" spans="1:17" x14ac:dyDescent="0.2">
      <c r="A585" s="1">
        <f t="shared" ca="1" si="16"/>
        <v>583</v>
      </c>
      <c r="B585" s="10" t="s">
        <v>6426</v>
      </c>
      <c r="C585" s="82" t="s">
        <v>4689</v>
      </c>
      <c r="D585" s="4"/>
      <c r="E585" s="4"/>
      <c r="F585" s="71"/>
      <c r="G585" s="4"/>
      <c r="H585" s="4"/>
      <c r="I585" s="4" t="s">
        <v>5034</v>
      </c>
      <c r="J585" s="4"/>
      <c r="K585" s="4"/>
      <c r="L585" s="4"/>
      <c r="M585" s="4"/>
      <c r="N585" s="4"/>
      <c r="O585" s="4"/>
      <c r="P585" s="4"/>
      <c r="Q585" s="4"/>
    </row>
    <row r="586" spans="1:17" x14ac:dyDescent="0.2">
      <c r="A586" s="1">
        <f t="shared" ca="1" si="16"/>
        <v>584</v>
      </c>
      <c r="B586" s="10" t="s">
        <v>6427</v>
      </c>
      <c r="C586" s="82" t="s">
        <v>4690</v>
      </c>
      <c r="D586" s="4"/>
      <c r="E586" s="4"/>
      <c r="F586" s="71"/>
      <c r="G586" s="4"/>
      <c r="H586" s="4"/>
      <c r="I586" s="4" t="s">
        <v>5035</v>
      </c>
      <c r="J586" s="4"/>
      <c r="K586" s="4"/>
      <c r="L586" s="4"/>
      <c r="M586" s="4"/>
      <c r="N586" s="4"/>
      <c r="O586" s="4"/>
      <c r="P586" s="4"/>
      <c r="Q586" s="4"/>
    </row>
    <row r="587" spans="1:17" ht="25.5" x14ac:dyDescent="0.2">
      <c r="A587" s="1">
        <f t="shared" ca="1" si="14"/>
        <v>585</v>
      </c>
      <c r="B587" s="10" t="s">
        <v>8109</v>
      </c>
      <c r="C587" s="82" t="s">
        <v>7436</v>
      </c>
      <c r="D587" s="4"/>
      <c r="E587" s="4"/>
      <c r="F587" s="71"/>
      <c r="G587" s="4"/>
      <c r="H587" s="4"/>
      <c r="I587" s="4" t="s">
        <v>5428</v>
      </c>
      <c r="J587" s="4"/>
      <c r="K587" s="4"/>
      <c r="L587" s="4"/>
      <c r="M587" s="4"/>
      <c r="N587" s="4"/>
      <c r="O587" s="4"/>
      <c r="P587" s="4"/>
      <c r="Q587" s="4"/>
    </row>
    <row r="588" spans="1:17" x14ac:dyDescent="0.2">
      <c r="A588" s="1">
        <f t="shared" ca="1" si="14"/>
        <v>586</v>
      </c>
      <c r="B588" s="10" t="s">
        <v>8110</v>
      </c>
      <c r="C588" s="82" t="s">
        <v>8471</v>
      </c>
      <c r="D588" s="4"/>
      <c r="E588" s="4"/>
      <c r="F588" s="71"/>
      <c r="G588" s="4"/>
      <c r="H588" s="4"/>
      <c r="I588" s="4" t="s">
        <v>5429</v>
      </c>
      <c r="J588" s="4"/>
      <c r="K588" s="4"/>
      <c r="L588" s="4"/>
      <c r="M588" s="4"/>
      <c r="N588" s="4"/>
      <c r="O588" s="4"/>
      <c r="P588" s="4"/>
      <c r="Q588" s="4"/>
    </row>
    <row r="589" spans="1:17" ht="25.5" x14ac:dyDescent="0.2">
      <c r="A589" s="1">
        <f t="shared" ca="1" si="14"/>
        <v>587</v>
      </c>
      <c r="B589" s="10" t="s">
        <v>7808</v>
      </c>
      <c r="C589" s="82" t="s">
        <v>7809</v>
      </c>
      <c r="D589" s="4"/>
      <c r="E589" s="4"/>
      <c r="F589" s="71"/>
      <c r="G589" s="4"/>
      <c r="H589" s="4"/>
      <c r="I589" s="4" t="s">
        <v>5430</v>
      </c>
      <c r="J589" s="4"/>
      <c r="K589" s="4"/>
      <c r="L589" s="4"/>
      <c r="M589" s="4"/>
      <c r="N589" s="4"/>
      <c r="O589" s="4"/>
      <c r="P589" s="4"/>
      <c r="Q589" s="4"/>
    </row>
    <row r="590" spans="1:17" x14ac:dyDescent="0.2">
      <c r="A590" s="1">
        <f ca="1">CELL("row",C590)-2</f>
        <v>588</v>
      </c>
      <c r="B590" s="10" t="s">
        <v>4200</v>
      </c>
      <c r="C590" s="82" t="s">
        <v>7902</v>
      </c>
      <c r="D590" s="4"/>
      <c r="E590" s="4"/>
      <c r="F590" s="71"/>
      <c r="G590" s="4"/>
      <c r="H590" s="4"/>
      <c r="J590" s="4"/>
      <c r="K590" s="4"/>
      <c r="L590" s="4"/>
      <c r="M590" s="4"/>
      <c r="N590" s="4"/>
      <c r="O590" s="4"/>
      <c r="P590" s="4"/>
      <c r="Q590" s="4"/>
    </row>
    <row r="591" spans="1:17" x14ac:dyDescent="0.2">
      <c r="A591" s="1">
        <f t="shared" ca="1" si="14"/>
        <v>589</v>
      </c>
      <c r="B591" s="10" t="s">
        <v>4201</v>
      </c>
      <c r="C591" s="82" t="s">
        <v>8472</v>
      </c>
      <c r="D591" s="4"/>
      <c r="E591" s="4"/>
      <c r="F591" s="71"/>
      <c r="G591" s="4"/>
      <c r="H591" s="4"/>
      <c r="I591" s="4" t="s">
        <v>5431</v>
      </c>
      <c r="J591" s="4" t="s">
        <v>6445</v>
      </c>
      <c r="K591" s="4"/>
      <c r="L591" s="4"/>
      <c r="M591" s="4"/>
      <c r="N591" s="4"/>
      <c r="O591" s="4"/>
      <c r="P591" s="4"/>
      <c r="Q591" s="4"/>
    </row>
    <row r="592" spans="1:17" ht="25.5" x14ac:dyDescent="0.2">
      <c r="A592" s="1">
        <f t="shared" ca="1" si="14"/>
        <v>590</v>
      </c>
      <c r="B592" s="10" t="s">
        <v>1393</v>
      </c>
      <c r="C592" s="82" t="s">
        <v>7435</v>
      </c>
      <c r="D592" s="4"/>
      <c r="E592" s="4"/>
      <c r="F592" s="71"/>
      <c r="G592" s="4"/>
      <c r="H592" s="4"/>
      <c r="I592" s="4" t="s">
        <v>964</v>
      </c>
      <c r="J592" s="4"/>
      <c r="K592" s="4"/>
      <c r="L592" s="4"/>
      <c r="M592" s="4"/>
      <c r="N592" s="4"/>
      <c r="O592" s="4"/>
      <c r="P592" s="4"/>
      <c r="Q592" s="4"/>
    </row>
    <row r="593" spans="1:17" x14ac:dyDescent="0.2">
      <c r="A593" s="1">
        <f ca="1">CELL("row",C593)-2</f>
        <v>591</v>
      </c>
      <c r="B593" s="10" t="s">
        <v>7459</v>
      </c>
      <c r="C593" s="82" t="s">
        <v>7460</v>
      </c>
      <c r="D593" s="4"/>
      <c r="E593" s="4"/>
      <c r="F593" s="71"/>
      <c r="G593" s="4"/>
      <c r="H593" s="4"/>
      <c r="I593" s="4" t="s">
        <v>965</v>
      </c>
      <c r="J593" s="4"/>
      <c r="K593" s="4"/>
      <c r="L593" s="4"/>
      <c r="M593" s="4"/>
      <c r="N593" s="4"/>
      <c r="O593" s="4"/>
      <c r="P593" s="4"/>
      <c r="Q593" s="4"/>
    </row>
    <row r="594" spans="1:17" x14ac:dyDescent="0.2">
      <c r="A594" s="1">
        <f t="shared" ca="1" si="14"/>
        <v>592</v>
      </c>
      <c r="B594" s="10" t="s">
        <v>1394</v>
      </c>
      <c r="C594" s="82" t="s">
        <v>7285</v>
      </c>
      <c r="D594" s="4"/>
      <c r="E594" s="4"/>
      <c r="F594" s="71"/>
      <c r="G594" s="4"/>
      <c r="H594" s="4"/>
      <c r="I594" s="4" t="s">
        <v>966</v>
      </c>
      <c r="J594" s="4"/>
      <c r="K594" s="4"/>
      <c r="L594" s="4"/>
      <c r="M594" s="4"/>
      <c r="N594" s="4"/>
      <c r="O594" s="4"/>
      <c r="P594" s="4"/>
      <c r="Q594" s="4"/>
    </row>
    <row r="595" spans="1:17" x14ac:dyDescent="0.2">
      <c r="A595" s="1">
        <f t="shared" ca="1" si="14"/>
        <v>593</v>
      </c>
      <c r="B595" s="10" t="s">
        <v>1395</v>
      </c>
      <c r="C595" s="82" t="s">
        <v>7434</v>
      </c>
      <c r="D595" s="4"/>
      <c r="E595" s="4"/>
      <c r="F595" s="71"/>
      <c r="G595" s="4"/>
      <c r="H595" s="4"/>
      <c r="I595" s="4" t="s">
        <v>967</v>
      </c>
      <c r="J595" s="4"/>
      <c r="K595" s="4"/>
      <c r="L595" s="4"/>
      <c r="M595" s="4"/>
      <c r="N595" s="4"/>
      <c r="O595" s="4"/>
      <c r="P595" s="4"/>
      <c r="Q595" s="4"/>
    </row>
    <row r="596" spans="1:17" x14ac:dyDescent="0.2">
      <c r="A596" s="1">
        <f t="shared" ca="1" si="14"/>
        <v>594</v>
      </c>
      <c r="B596" s="10" t="s">
        <v>1396</v>
      </c>
      <c r="C596" s="82" t="s">
        <v>5311</v>
      </c>
      <c r="D596" s="4"/>
      <c r="E596" s="4"/>
      <c r="F596" s="71"/>
      <c r="G596" s="4"/>
      <c r="H596" s="4"/>
      <c r="I596" s="4" t="s">
        <v>968</v>
      </c>
      <c r="J596" s="4"/>
      <c r="K596" s="4"/>
      <c r="L596" s="4"/>
      <c r="M596" s="4"/>
      <c r="N596" s="4"/>
      <c r="O596" s="4"/>
      <c r="P596" s="4"/>
      <c r="Q596" s="4"/>
    </row>
    <row r="597" spans="1:17" ht="25.5" x14ac:dyDescent="0.2">
      <c r="A597" s="1">
        <f t="shared" ca="1" si="14"/>
        <v>595</v>
      </c>
      <c r="B597" s="10" t="s">
        <v>1397</v>
      </c>
      <c r="C597" s="82" t="s">
        <v>4210</v>
      </c>
      <c r="D597" s="4"/>
      <c r="E597" s="4"/>
      <c r="F597" s="71"/>
      <c r="G597" s="4"/>
      <c r="H597" s="4"/>
      <c r="I597" s="4" t="s">
        <v>969</v>
      </c>
      <c r="J597" s="4"/>
      <c r="K597" s="4"/>
      <c r="L597" s="4"/>
      <c r="M597" s="4"/>
      <c r="N597" s="4"/>
      <c r="O597" s="4"/>
      <c r="P597" s="4"/>
      <c r="Q597" s="4"/>
    </row>
    <row r="598" spans="1:17" x14ac:dyDescent="0.2">
      <c r="A598" s="1">
        <f t="shared" ca="1" si="14"/>
        <v>596</v>
      </c>
      <c r="B598" s="10" t="s">
        <v>1398</v>
      </c>
      <c r="C598" s="82" t="s">
        <v>7433</v>
      </c>
      <c r="D598" s="4"/>
      <c r="E598" s="4"/>
      <c r="F598" s="71"/>
      <c r="G598" s="4"/>
      <c r="H598" s="4"/>
      <c r="I598" s="4" t="s">
        <v>970</v>
      </c>
      <c r="J598" s="4"/>
      <c r="K598" s="4"/>
      <c r="L598" s="4"/>
      <c r="M598" s="4"/>
      <c r="N598" s="4"/>
      <c r="O598" s="4"/>
      <c r="P598" s="4"/>
      <c r="Q598" s="4"/>
    </row>
    <row r="599" spans="1:17" x14ac:dyDescent="0.2">
      <c r="A599" s="1">
        <f t="shared" ca="1" si="14"/>
        <v>597</v>
      </c>
      <c r="B599" s="10" t="s">
        <v>3547</v>
      </c>
      <c r="C599" s="82" t="s">
        <v>7432</v>
      </c>
      <c r="D599" s="4"/>
      <c r="E599" s="4"/>
      <c r="F599" s="71"/>
      <c r="G599" s="4"/>
      <c r="H599" s="4"/>
      <c r="I599" s="4" t="s">
        <v>971</v>
      </c>
      <c r="J599" s="4"/>
      <c r="K599" s="4"/>
      <c r="L599" s="4"/>
      <c r="M599" s="4"/>
      <c r="N599" s="4"/>
      <c r="O599" s="4"/>
      <c r="P599" s="4"/>
      <c r="Q599" s="4"/>
    </row>
    <row r="600" spans="1:17" x14ac:dyDescent="0.2">
      <c r="A600" s="1">
        <f t="shared" ca="1" si="14"/>
        <v>598</v>
      </c>
      <c r="B600" s="10" t="s">
        <v>4846</v>
      </c>
      <c r="C600" s="82" t="s">
        <v>7431</v>
      </c>
      <c r="D600" s="4"/>
      <c r="E600" s="4"/>
      <c r="F600" s="71"/>
      <c r="G600" s="4"/>
      <c r="H600" s="4"/>
      <c r="I600" s="4" t="s">
        <v>972</v>
      </c>
      <c r="J600" s="4"/>
      <c r="K600" s="4"/>
      <c r="L600" s="4"/>
      <c r="M600" s="4"/>
      <c r="N600" s="4"/>
      <c r="O600" s="4"/>
      <c r="P600" s="4"/>
      <c r="Q600" s="4"/>
    </row>
    <row r="601" spans="1:17" x14ac:dyDescent="0.2">
      <c r="A601" s="1">
        <f t="shared" ca="1" si="14"/>
        <v>599</v>
      </c>
      <c r="B601" s="10" t="s">
        <v>6297</v>
      </c>
      <c r="C601" s="145" t="s">
        <v>8522</v>
      </c>
      <c r="D601" s="4"/>
      <c r="E601" s="4"/>
      <c r="F601" s="71"/>
      <c r="G601" s="4"/>
      <c r="H601" s="4"/>
      <c r="I601" s="4" t="s">
        <v>973</v>
      </c>
      <c r="J601" s="4"/>
      <c r="K601" s="4"/>
      <c r="L601" s="4"/>
      <c r="M601" s="4"/>
      <c r="N601" s="4"/>
      <c r="O601" s="4"/>
      <c r="P601" s="4"/>
      <c r="Q601" s="4"/>
    </row>
    <row r="602" spans="1:17" x14ac:dyDescent="0.2">
      <c r="A602" s="1">
        <f t="shared" ca="1" si="14"/>
        <v>600</v>
      </c>
      <c r="B602" s="10" t="s">
        <v>1065</v>
      </c>
      <c r="C602" s="82" t="s">
        <v>1006</v>
      </c>
      <c r="D602" s="4"/>
      <c r="E602" s="4"/>
      <c r="F602" s="71"/>
      <c r="G602" s="4"/>
      <c r="H602" s="4"/>
      <c r="I602" s="4" t="s">
        <v>974</v>
      </c>
      <c r="J602" s="4"/>
      <c r="K602" s="4"/>
      <c r="L602" s="4"/>
      <c r="M602" s="4"/>
      <c r="N602" s="4"/>
      <c r="O602" s="4"/>
      <c r="P602" s="4"/>
      <c r="Q602" s="4"/>
    </row>
    <row r="603" spans="1:17" x14ac:dyDescent="0.2">
      <c r="A603" s="1">
        <f t="shared" ca="1" si="14"/>
        <v>601</v>
      </c>
      <c r="B603" s="10" t="s">
        <v>189</v>
      </c>
      <c r="C603" s="82" t="s">
        <v>190</v>
      </c>
      <c r="D603" s="4"/>
      <c r="E603" s="4"/>
      <c r="F603" s="71"/>
      <c r="G603" s="4"/>
      <c r="H603" s="4"/>
      <c r="I603" s="4" t="s">
        <v>975</v>
      </c>
      <c r="J603" s="4"/>
      <c r="K603" s="4"/>
      <c r="L603" s="4"/>
      <c r="M603" s="4"/>
      <c r="N603" s="4"/>
      <c r="O603" s="4"/>
      <c r="P603" s="4"/>
      <c r="Q603" s="4"/>
    </row>
    <row r="604" spans="1:17" x14ac:dyDescent="0.2">
      <c r="A604" s="1">
        <f t="shared" ca="1" si="14"/>
        <v>602</v>
      </c>
      <c r="B604" s="10" t="s">
        <v>1066</v>
      </c>
      <c r="C604" s="82" t="s">
        <v>5312</v>
      </c>
      <c r="D604" s="4"/>
      <c r="E604" s="4"/>
      <c r="F604" s="71"/>
      <c r="G604" s="4"/>
      <c r="H604" s="4"/>
      <c r="I604" s="4" t="s">
        <v>976</v>
      </c>
      <c r="J604" s="4" t="s">
        <v>6927</v>
      </c>
      <c r="K604" s="4"/>
      <c r="L604" s="4"/>
      <c r="M604" s="4"/>
      <c r="N604" s="4"/>
      <c r="O604" s="4"/>
      <c r="P604" s="4"/>
      <c r="Q604" s="4"/>
    </row>
    <row r="605" spans="1:17" ht="25.5" x14ac:dyDescent="0.2">
      <c r="A605" s="1">
        <f t="shared" ca="1" si="14"/>
        <v>603</v>
      </c>
      <c r="B605" s="10" t="s">
        <v>1067</v>
      </c>
      <c r="C605" s="82" t="s">
        <v>7427</v>
      </c>
      <c r="D605" s="4"/>
      <c r="E605" s="4"/>
      <c r="F605" s="71"/>
      <c r="G605" s="4"/>
      <c r="H605" s="4"/>
      <c r="I605" s="4" t="s">
        <v>977</v>
      </c>
      <c r="J605" s="4"/>
      <c r="K605" s="4"/>
      <c r="L605" s="4"/>
      <c r="M605" s="4"/>
      <c r="N605" s="4"/>
      <c r="O605" s="4"/>
      <c r="P605" s="4"/>
      <c r="Q605" s="4"/>
    </row>
    <row r="606" spans="1:17" x14ac:dyDescent="0.2">
      <c r="A606" s="1">
        <f t="shared" ca="1" si="14"/>
        <v>604</v>
      </c>
      <c r="B606" s="10" t="s">
        <v>1068</v>
      </c>
      <c r="C606" s="82" t="s">
        <v>7428</v>
      </c>
      <c r="D606" s="4"/>
      <c r="E606" s="4"/>
      <c r="F606" s="71"/>
      <c r="G606" s="4"/>
      <c r="H606" s="4"/>
      <c r="I606" s="4" t="s">
        <v>978</v>
      </c>
      <c r="J606" s="4" t="s">
        <v>1930</v>
      </c>
      <c r="K606" s="4"/>
      <c r="L606" s="4"/>
      <c r="M606" s="4"/>
      <c r="N606" s="4"/>
      <c r="O606" s="4"/>
      <c r="P606" s="4"/>
      <c r="Q606" s="4"/>
    </row>
    <row r="607" spans="1:17" x14ac:dyDescent="0.2">
      <c r="A607" s="1">
        <f t="shared" ca="1" si="14"/>
        <v>605</v>
      </c>
      <c r="B607" s="10" t="s">
        <v>3467</v>
      </c>
      <c r="C607" s="82" t="s">
        <v>7429</v>
      </c>
      <c r="D607" s="4"/>
      <c r="E607" s="4"/>
      <c r="F607" s="71"/>
      <c r="G607" s="4"/>
      <c r="H607" s="4"/>
      <c r="I607" s="4" t="s">
        <v>979</v>
      </c>
      <c r="J607" s="4"/>
      <c r="K607" s="4"/>
      <c r="L607" s="4"/>
      <c r="M607" s="4"/>
      <c r="N607" s="4"/>
      <c r="O607" s="4"/>
      <c r="P607" s="4"/>
      <c r="Q607" s="4"/>
    </row>
    <row r="608" spans="1:17" x14ac:dyDescent="0.2">
      <c r="A608" s="1">
        <f t="shared" ca="1" si="14"/>
        <v>606</v>
      </c>
      <c r="B608" s="10" t="s">
        <v>1310</v>
      </c>
      <c r="C608" s="82" t="s">
        <v>7430</v>
      </c>
      <c r="D608" s="4"/>
      <c r="E608" s="4"/>
      <c r="F608" s="71"/>
      <c r="G608" s="4"/>
      <c r="H608" s="4"/>
      <c r="I608" s="4" t="s">
        <v>980</v>
      </c>
      <c r="J608" s="4"/>
      <c r="K608" s="4"/>
      <c r="L608" s="4"/>
      <c r="M608" s="4"/>
      <c r="N608" s="4"/>
      <c r="O608" s="4"/>
      <c r="P608" s="4"/>
      <c r="Q608" s="4"/>
    </row>
    <row r="609" spans="1:17" x14ac:dyDescent="0.2">
      <c r="A609" s="1">
        <f t="shared" ca="1" si="14"/>
        <v>607</v>
      </c>
      <c r="B609" s="10" t="s">
        <v>106</v>
      </c>
      <c r="C609" s="82" t="s">
        <v>4659</v>
      </c>
      <c r="D609" s="4"/>
      <c r="E609" s="4"/>
      <c r="F609" s="71"/>
      <c r="G609" s="4"/>
      <c r="H609" s="4"/>
      <c r="I609" s="4" t="s">
        <v>981</v>
      </c>
      <c r="J609" s="4"/>
      <c r="K609" s="4"/>
      <c r="L609" s="4"/>
      <c r="M609" s="4"/>
      <c r="N609" s="4"/>
      <c r="O609" s="4"/>
      <c r="P609" s="4"/>
      <c r="Q609" s="4"/>
    </row>
    <row r="610" spans="1:17" x14ac:dyDescent="0.2">
      <c r="A610" s="1">
        <f t="shared" ca="1" si="14"/>
        <v>608</v>
      </c>
      <c r="B610" s="10" t="s">
        <v>107</v>
      </c>
      <c r="C610" s="82" t="s">
        <v>4658</v>
      </c>
      <c r="D610" s="4"/>
      <c r="E610" s="4"/>
      <c r="F610" s="71"/>
      <c r="G610" s="4"/>
      <c r="H610" s="4"/>
      <c r="I610" s="4" t="s">
        <v>982</v>
      </c>
      <c r="J610" s="4"/>
      <c r="K610" s="4"/>
      <c r="L610" s="4"/>
      <c r="M610" s="4"/>
      <c r="N610" s="4"/>
      <c r="O610" s="4"/>
      <c r="P610" s="4"/>
      <c r="Q610" s="4"/>
    </row>
    <row r="611" spans="1:17" x14ac:dyDescent="0.2">
      <c r="A611" s="1">
        <f t="shared" ca="1" si="14"/>
        <v>609</v>
      </c>
      <c r="B611" s="10" t="s">
        <v>3885</v>
      </c>
      <c r="C611" s="82" t="s">
        <v>5313</v>
      </c>
      <c r="D611" s="4"/>
      <c r="E611" s="4"/>
      <c r="F611" s="71"/>
      <c r="G611" s="4"/>
      <c r="H611" s="4"/>
      <c r="I611" s="4" t="s">
        <v>983</v>
      </c>
      <c r="J611" s="4"/>
      <c r="K611" s="4"/>
      <c r="L611" s="4"/>
      <c r="M611" s="4"/>
      <c r="N611" s="4"/>
      <c r="O611" s="4"/>
      <c r="P611" s="4"/>
      <c r="Q611" s="4"/>
    </row>
    <row r="612" spans="1:17" ht="25.5" x14ac:dyDescent="0.2">
      <c r="A612" s="1">
        <f t="shared" ca="1" si="14"/>
        <v>610</v>
      </c>
      <c r="B612" s="10" t="s">
        <v>3886</v>
      </c>
      <c r="C612" s="82" t="s">
        <v>6553</v>
      </c>
      <c r="D612" s="4"/>
      <c r="E612" s="4"/>
      <c r="F612" s="71"/>
      <c r="G612" s="4"/>
      <c r="H612" s="4"/>
      <c r="I612" s="4" t="s">
        <v>984</v>
      </c>
      <c r="J612" s="4"/>
      <c r="K612" s="4"/>
      <c r="L612" s="4"/>
      <c r="M612" s="4"/>
      <c r="N612" s="4"/>
      <c r="O612" s="4"/>
      <c r="P612" s="4"/>
      <c r="Q612" s="4"/>
    </row>
    <row r="613" spans="1:17" x14ac:dyDescent="0.2">
      <c r="A613" s="1">
        <f t="shared" ca="1" si="14"/>
        <v>611</v>
      </c>
      <c r="B613" s="10" t="s">
        <v>8030</v>
      </c>
      <c r="C613" s="82" t="s">
        <v>6554</v>
      </c>
      <c r="D613" s="4"/>
      <c r="E613" s="4"/>
      <c r="F613" s="71"/>
      <c r="G613" s="4"/>
      <c r="H613" s="4"/>
      <c r="I613" s="4" t="s">
        <v>985</v>
      </c>
      <c r="J613" s="4"/>
      <c r="K613" s="4"/>
      <c r="L613" s="4"/>
      <c r="M613" s="4"/>
      <c r="N613" s="4"/>
      <c r="O613" s="4"/>
      <c r="P613" s="4"/>
      <c r="Q613" s="4"/>
    </row>
    <row r="614" spans="1:17" x14ac:dyDescent="0.2">
      <c r="A614" s="1">
        <f t="shared" ca="1" si="14"/>
        <v>612</v>
      </c>
      <c r="B614" s="10" t="s">
        <v>8031</v>
      </c>
      <c r="C614" s="82" t="s">
        <v>5274</v>
      </c>
      <c r="D614" s="4"/>
      <c r="E614" s="4"/>
      <c r="F614" s="71"/>
      <c r="G614" s="4"/>
      <c r="H614" s="4"/>
      <c r="I614" s="4" t="s">
        <v>986</v>
      </c>
      <c r="J614" s="4"/>
      <c r="K614" s="4"/>
      <c r="L614" s="4"/>
      <c r="M614" s="4"/>
      <c r="N614" s="4"/>
      <c r="O614" s="4"/>
      <c r="P614" s="4"/>
      <c r="Q614" s="4"/>
    </row>
    <row r="615" spans="1:17" x14ac:dyDescent="0.2">
      <c r="A615" s="1">
        <f t="shared" ca="1" si="14"/>
        <v>613</v>
      </c>
      <c r="B615" s="10" t="s">
        <v>8032</v>
      </c>
      <c r="C615" s="82" t="s">
        <v>5273</v>
      </c>
      <c r="D615" s="4"/>
      <c r="E615" s="4"/>
      <c r="F615" s="71"/>
      <c r="G615" s="4"/>
      <c r="H615" s="4"/>
      <c r="I615" s="4" t="s">
        <v>987</v>
      </c>
      <c r="J615" s="4" t="s">
        <v>1931</v>
      </c>
      <c r="K615" s="4"/>
      <c r="L615" s="4"/>
      <c r="M615" s="4"/>
      <c r="N615" s="4"/>
      <c r="O615" s="4"/>
      <c r="P615" s="4"/>
      <c r="Q615" s="4"/>
    </row>
    <row r="616" spans="1:17" x14ac:dyDescent="0.2">
      <c r="A616" s="1">
        <f t="shared" ca="1" si="14"/>
        <v>614</v>
      </c>
      <c r="B616" s="10" t="s">
        <v>8033</v>
      </c>
      <c r="C616" s="82" t="s">
        <v>5272</v>
      </c>
      <c r="D616" s="4"/>
      <c r="E616" s="4"/>
      <c r="F616" s="71"/>
      <c r="G616" s="4"/>
      <c r="H616" s="4"/>
      <c r="I616" s="4" t="s">
        <v>988</v>
      </c>
      <c r="J616" s="4" t="s">
        <v>1932</v>
      </c>
      <c r="K616" s="4"/>
      <c r="L616" s="4"/>
      <c r="M616" s="4"/>
      <c r="N616" s="4"/>
      <c r="O616" s="4"/>
      <c r="P616" s="4"/>
      <c r="Q616" s="4"/>
    </row>
    <row r="617" spans="1:17" x14ac:dyDescent="0.2">
      <c r="A617" s="1">
        <f t="shared" ca="1" si="14"/>
        <v>615</v>
      </c>
      <c r="B617" s="1" t="s">
        <v>7572</v>
      </c>
      <c r="C617" s="82" t="s">
        <v>5271</v>
      </c>
      <c r="D617" s="4"/>
      <c r="E617" s="4"/>
      <c r="F617" s="71"/>
      <c r="G617" s="4"/>
      <c r="H617" s="4"/>
      <c r="I617" s="4" t="s">
        <v>989</v>
      </c>
      <c r="J617" s="4"/>
      <c r="K617" s="4"/>
      <c r="L617" s="4"/>
      <c r="M617" s="4"/>
      <c r="N617" s="4"/>
      <c r="O617" s="4"/>
      <c r="P617" s="4"/>
      <c r="Q617" s="4"/>
    </row>
    <row r="618" spans="1:17" x14ac:dyDescent="0.2">
      <c r="A618" s="1">
        <f t="shared" ca="1" si="14"/>
        <v>616</v>
      </c>
      <c r="B618" s="10" t="s">
        <v>8034</v>
      </c>
      <c r="C618" s="82" t="s">
        <v>8034</v>
      </c>
      <c r="D618" s="4"/>
      <c r="E618" s="4"/>
      <c r="F618" s="71"/>
      <c r="G618" s="4"/>
      <c r="H618" s="4"/>
      <c r="I618" s="4" t="s">
        <v>990</v>
      </c>
      <c r="J618" s="4" t="s">
        <v>8034</v>
      </c>
      <c r="K618" s="4"/>
      <c r="L618" s="4"/>
      <c r="M618" s="4"/>
      <c r="N618" s="4"/>
      <c r="O618" s="4"/>
      <c r="P618" s="4"/>
      <c r="Q618" s="4"/>
    </row>
    <row r="619" spans="1:17" x14ac:dyDescent="0.2">
      <c r="A619" s="1">
        <f t="shared" ca="1" si="14"/>
        <v>617</v>
      </c>
      <c r="B619" s="10" t="s">
        <v>8035</v>
      </c>
      <c r="C619" s="82" t="s">
        <v>7238</v>
      </c>
      <c r="D619" s="4"/>
      <c r="E619" s="4"/>
      <c r="F619" s="71"/>
      <c r="G619" s="4"/>
      <c r="H619" s="4"/>
      <c r="I619" s="4" t="s">
        <v>991</v>
      </c>
      <c r="J619" s="4" t="s">
        <v>6928</v>
      </c>
      <c r="K619" s="4"/>
      <c r="L619" s="4"/>
      <c r="M619" s="4"/>
      <c r="N619" s="4"/>
      <c r="O619" s="4"/>
      <c r="P619" s="4"/>
      <c r="Q619" s="4"/>
    </row>
    <row r="620" spans="1:17" x14ac:dyDescent="0.2">
      <c r="A620" s="1">
        <f t="shared" ca="1" si="14"/>
        <v>618</v>
      </c>
      <c r="B620" s="10" t="s">
        <v>8036</v>
      </c>
      <c r="C620" s="82" t="s">
        <v>1516</v>
      </c>
      <c r="D620" s="4"/>
      <c r="E620" s="4"/>
      <c r="F620" s="71"/>
      <c r="G620" s="4"/>
      <c r="H620" s="4"/>
      <c r="I620" s="4" t="s">
        <v>992</v>
      </c>
      <c r="J620" s="4" t="s">
        <v>6929</v>
      </c>
      <c r="K620" s="4"/>
      <c r="L620" s="4"/>
      <c r="M620" s="4"/>
      <c r="N620" s="4"/>
      <c r="O620" s="4"/>
      <c r="P620" s="4"/>
      <c r="Q620" s="4"/>
    </row>
    <row r="621" spans="1:17" x14ac:dyDescent="0.2">
      <c r="A621" s="1">
        <f t="shared" ca="1" si="14"/>
        <v>619</v>
      </c>
      <c r="B621" s="10" t="s">
        <v>3523</v>
      </c>
      <c r="C621" s="82" t="s">
        <v>3745</v>
      </c>
      <c r="D621" s="4"/>
      <c r="E621" s="4"/>
      <c r="F621" s="71"/>
      <c r="G621" s="4"/>
      <c r="H621" s="4"/>
      <c r="I621" s="4" t="s">
        <v>993</v>
      </c>
      <c r="J621" s="4" t="s">
        <v>6930</v>
      </c>
      <c r="K621" s="4"/>
      <c r="L621" s="4"/>
      <c r="M621" s="4"/>
      <c r="N621" s="4"/>
      <c r="O621" s="4"/>
      <c r="P621" s="4"/>
      <c r="Q621" s="4"/>
    </row>
    <row r="622" spans="1:17" x14ac:dyDescent="0.2">
      <c r="A622" s="1">
        <f t="shared" ca="1" si="14"/>
        <v>620</v>
      </c>
      <c r="B622" s="10" t="s">
        <v>3524</v>
      </c>
      <c r="C622" s="82" t="s">
        <v>3746</v>
      </c>
      <c r="D622" s="4"/>
      <c r="E622" s="4"/>
      <c r="F622" s="71"/>
      <c r="G622" s="4"/>
      <c r="H622" s="4"/>
      <c r="I622" s="4" t="s">
        <v>994</v>
      </c>
      <c r="J622" s="4" t="s">
        <v>6931</v>
      </c>
      <c r="K622" s="4"/>
      <c r="L622" s="4"/>
      <c r="M622" s="4"/>
      <c r="N622" s="4"/>
      <c r="O622" s="4"/>
      <c r="P622" s="4"/>
      <c r="Q622" s="4"/>
    </row>
    <row r="623" spans="1:17" x14ac:dyDescent="0.2">
      <c r="A623" s="1">
        <f t="shared" ca="1" si="14"/>
        <v>621</v>
      </c>
      <c r="B623" s="10" t="s">
        <v>3525</v>
      </c>
      <c r="C623" s="82" t="s">
        <v>8478</v>
      </c>
      <c r="D623" s="4"/>
      <c r="E623" s="4"/>
      <c r="F623" s="71"/>
      <c r="G623" s="4"/>
      <c r="H623" s="4"/>
      <c r="I623" s="4" t="s">
        <v>995</v>
      </c>
      <c r="J623" s="4" t="s">
        <v>5276</v>
      </c>
      <c r="K623" s="4"/>
      <c r="L623" s="4"/>
      <c r="M623" s="4"/>
      <c r="N623" s="4"/>
      <c r="O623" s="4"/>
      <c r="P623" s="4"/>
      <c r="Q623" s="4"/>
    </row>
    <row r="624" spans="1:17" x14ac:dyDescent="0.2">
      <c r="A624" s="1">
        <f t="shared" ca="1" si="14"/>
        <v>622</v>
      </c>
      <c r="B624" s="10" t="s">
        <v>3526</v>
      </c>
      <c r="C624" s="82" t="s">
        <v>3747</v>
      </c>
      <c r="D624" s="4"/>
      <c r="E624" s="4"/>
      <c r="F624" s="71"/>
      <c r="G624" s="4"/>
      <c r="H624" s="4"/>
      <c r="I624" s="4" t="s">
        <v>996</v>
      </c>
      <c r="J624" s="4" t="s">
        <v>5277</v>
      </c>
      <c r="K624" s="4"/>
      <c r="L624" s="4"/>
      <c r="M624" s="4"/>
      <c r="N624" s="4"/>
      <c r="O624" s="4"/>
      <c r="P624" s="4"/>
      <c r="Q624" s="4"/>
    </row>
    <row r="625" spans="1:17" x14ac:dyDescent="0.2">
      <c r="A625" s="1">
        <f t="shared" ca="1" si="14"/>
        <v>623</v>
      </c>
      <c r="B625" s="10" t="s">
        <v>4293</v>
      </c>
      <c r="C625" s="82" t="s">
        <v>3749</v>
      </c>
      <c r="D625" s="4"/>
      <c r="E625" s="4"/>
      <c r="F625" s="71"/>
      <c r="G625" s="4"/>
      <c r="H625" s="4"/>
      <c r="I625" s="4" t="s">
        <v>992</v>
      </c>
      <c r="J625" s="4" t="s">
        <v>6929</v>
      </c>
      <c r="K625" s="4"/>
      <c r="L625" s="4"/>
      <c r="M625" s="4"/>
      <c r="N625" s="4"/>
      <c r="O625" s="4"/>
      <c r="P625" s="4"/>
      <c r="Q625" s="4"/>
    </row>
    <row r="626" spans="1:17" x14ac:dyDescent="0.2">
      <c r="A626" s="1">
        <f t="shared" ca="1" si="14"/>
        <v>624</v>
      </c>
      <c r="B626" s="10" t="s">
        <v>2175</v>
      </c>
      <c r="C626" s="82" t="s">
        <v>3748</v>
      </c>
      <c r="D626" s="4"/>
      <c r="E626" s="4"/>
      <c r="F626" s="71"/>
      <c r="G626" s="4"/>
      <c r="H626" s="4"/>
      <c r="I626" s="4" t="s">
        <v>997</v>
      </c>
      <c r="J626" s="4" t="s">
        <v>5278</v>
      </c>
      <c r="K626" s="4"/>
      <c r="L626" s="4"/>
      <c r="M626" s="4"/>
      <c r="N626" s="4"/>
      <c r="O626" s="4"/>
      <c r="P626" s="4"/>
      <c r="Q626" s="4"/>
    </row>
    <row r="627" spans="1:17" x14ac:dyDescent="0.2">
      <c r="A627" s="1">
        <f t="shared" ca="1" si="14"/>
        <v>625</v>
      </c>
      <c r="B627" s="10" t="s">
        <v>2176</v>
      </c>
      <c r="C627" s="82" t="s">
        <v>5301</v>
      </c>
      <c r="D627" s="4"/>
      <c r="E627" s="4"/>
      <c r="F627" s="71"/>
      <c r="G627" s="4"/>
      <c r="H627" s="4"/>
      <c r="I627" s="4" t="s">
        <v>998</v>
      </c>
      <c r="J627" s="4" t="s">
        <v>5279</v>
      </c>
      <c r="K627" s="4"/>
      <c r="L627" s="4"/>
      <c r="M627" s="4"/>
      <c r="N627" s="4"/>
      <c r="O627" s="4"/>
      <c r="P627" s="4"/>
      <c r="Q627" s="4"/>
    </row>
    <row r="628" spans="1:17" x14ac:dyDescent="0.2">
      <c r="A628" s="1">
        <f t="shared" ca="1" si="14"/>
        <v>626</v>
      </c>
      <c r="B628" s="10" t="s">
        <v>2177</v>
      </c>
      <c r="C628" s="82" t="s">
        <v>7286</v>
      </c>
      <c r="D628" s="4"/>
      <c r="E628" s="4"/>
      <c r="F628" s="71"/>
      <c r="G628" s="4"/>
      <c r="H628" s="4"/>
      <c r="I628" s="4" t="s">
        <v>999</v>
      </c>
      <c r="J628" s="4"/>
      <c r="K628" s="4"/>
      <c r="L628" s="4"/>
      <c r="M628" s="4"/>
      <c r="N628" s="4"/>
      <c r="O628" s="4"/>
      <c r="P628" s="4"/>
      <c r="Q628" s="4"/>
    </row>
    <row r="629" spans="1:17" x14ac:dyDescent="0.2">
      <c r="A629" s="1">
        <f t="shared" ca="1" si="14"/>
        <v>627</v>
      </c>
      <c r="B629" s="10" t="s">
        <v>2178</v>
      </c>
      <c r="C629" s="82" t="s">
        <v>3750</v>
      </c>
      <c r="D629" s="4"/>
      <c r="E629" s="4"/>
      <c r="F629" s="71"/>
      <c r="G629" s="4"/>
      <c r="H629" s="4"/>
      <c r="I629" s="4" t="s">
        <v>1000</v>
      </c>
      <c r="J629" s="4" t="s">
        <v>5280</v>
      </c>
      <c r="K629" s="4"/>
      <c r="L629" s="4"/>
      <c r="M629" s="4"/>
      <c r="N629" s="4"/>
      <c r="O629" s="4"/>
      <c r="P629" s="4"/>
      <c r="Q629" s="4"/>
    </row>
    <row r="630" spans="1:17" x14ac:dyDescent="0.2">
      <c r="A630" s="1">
        <f t="shared" ca="1" si="14"/>
        <v>628</v>
      </c>
      <c r="B630" s="10" t="s">
        <v>2179</v>
      </c>
      <c r="C630" s="82" t="s">
        <v>3751</v>
      </c>
      <c r="D630" s="4"/>
      <c r="E630" s="4"/>
      <c r="F630" s="71"/>
      <c r="G630" s="4"/>
      <c r="H630" s="4"/>
      <c r="I630" s="4" t="s">
        <v>1001</v>
      </c>
      <c r="J630" s="4" t="s">
        <v>5281</v>
      </c>
      <c r="K630" s="4"/>
      <c r="L630" s="4"/>
      <c r="M630" s="4"/>
      <c r="N630" s="4"/>
      <c r="O630" s="4"/>
      <c r="P630" s="4"/>
      <c r="Q630" s="4"/>
    </row>
    <row r="631" spans="1:17" x14ac:dyDescent="0.2">
      <c r="A631" s="1">
        <f t="shared" ca="1" si="14"/>
        <v>629</v>
      </c>
      <c r="B631" s="10" t="s">
        <v>2180</v>
      </c>
      <c r="C631" s="82" t="s">
        <v>3752</v>
      </c>
      <c r="D631" s="4"/>
      <c r="E631" s="4"/>
      <c r="F631" s="71"/>
      <c r="G631" s="4"/>
      <c r="H631" s="4"/>
      <c r="I631" s="4" t="s">
        <v>1002</v>
      </c>
      <c r="J631" s="4" t="s">
        <v>1414</v>
      </c>
      <c r="K631" s="4"/>
      <c r="L631" s="4"/>
      <c r="M631" s="4"/>
      <c r="N631" s="4"/>
      <c r="O631" s="4"/>
      <c r="P631" s="4"/>
      <c r="Q631" s="4"/>
    </row>
    <row r="632" spans="1:17" x14ac:dyDescent="0.2">
      <c r="A632" s="1">
        <f t="shared" ca="1" si="14"/>
        <v>630</v>
      </c>
      <c r="B632" s="10" t="s">
        <v>2198</v>
      </c>
      <c r="C632" s="82" t="s">
        <v>3753</v>
      </c>
      <c r="D632" s="4"/>
      <c r="E632" s="4"/>
      <c r="F632" s="71"/>
      <c r="G632" s="4"/>
      <c r="H632" s="4"/>
      <c r="I632" s="4" t="s">
        <v>1003</v>
      </c>
      <c r="J632" s="4" t="s">
        <v>1415</v>
      </c>
      <c r="K632" s="4"/>
      <c r="L632" s="4"/>
      <c r="M632" s="4"/>
      <c r="N632" s="4"/>
      <c r="O632" s="4"/>
      <c r="P632" s="4"/>
      <c r="Q632" s="4"/>
    </row>
    <row r="633" spans="1:17" x14ac:dyDescent="0.2">
      <c r="A633" s="1">
        <f t="shared" ca="1" si="14"/>
        <v>631</v>
      </c>
      <c r="B633" s="10" t="s">
        <v>195</v>
      </c>
      <c r="C633" s="82" t="s">
        <v>3754</v>
      </c>
      <c r="D633" s="4"/>
      <c r="E633" s="4"/>
      <c r="F633" s="71"/>
      <c r="G633" s="4"/>
      <c r="H633" s="4"/>
      <c r="I633" s="4" t="s">
        <v>1004</v>
      </c>
      <c r="J633" s="4" t="s">
        <v>1416</v>
      </c>
      <c r="K633" s="4"/>
      <c r="L633" s="4"/>
      <c r="M633" s="4"/>
      <c r="N633" s="4"/>
      <c r="O633" s="4"/>
      <c r="P633" s="4"/>
      <c r="Q633" s="4"/>
    </row>
    <row r="634" spans="1:17" x14ac:dyDescent="0.2">
      <c r="A634" s="1">
        <f t="shared" ca="1" si="14"/>
        <v>632</v>
      </c>
      <c r="B634" s="10" t="s">
        <v>6388</v>
      </c>
      <c r="C634" s="82" t="s">
        <v>3755</v>
      </c>
      <c r="D634" s="4"/>
      <c r="E634" s="4"/>
      <c r="F634" s="71"/>
      <c r="G634" s="4"/>
      <c r="H634" s="4"/>
      <c r="I634" s="4" t="s">
        <v>1005</v>
      </c>
      <c r="J634" s="4" t="s">
        <v>1417</v>
      </c>
      <c r="K634" s="4"/>
      <c r="L634" s="4"/>
      <c r="M634" s="4"/>
      <c r="N634" s="4"/>
      <c r="O634" s="4"/>
      <c r="P634" s="4"/>
      <c r="Q634" s="4"/>
    </row>
    <row r="635" spans="1:17" x14ac:dyDescent="0.2">
      <c r="A635" s="1">
        <f t="shared" ca="1" si="14"/>
        <v>633</v>
      </c>
      <c r="B635" s="10" t="s">
        <v>6389</v>
      </c>
      <c r="C635" s="82" t="s">
        <v>3756</v>
      </c>
      <c r="D635" s="4"/>
      <c r="E635" s="4"/>
      <c r="F635" s="71"/>
      <c r="G635" s="4"/>
      <c r="H635" s="4"/>
      <c r="I635" s="4" t="s">
        <v>1872</v>
      </c>
      <c r="J635" s="4"/>
      <c r="K635" s="4"/>
      <c r="L635" s="4"/>
      <c r="M635" s="4"/>
      <c r="N635" s="4"/>
      <c r="O635" s="4"/>
      <c r="P635" s="4"/>
      <c r="Q635" s="4"/>
    </row>
    <row r="636" spans="1:17" x14ac:dyDescent="0.2">
      <c r="A636" s="1">
        <f t="shared" ca="1" si="14"/>
        <v>634</v>
      </c>
      <c r="B636" s="10" t="s">
        <v>6390</v>
      </c>
      <c r="C636" s="82" t="s">
        <v>6555</v>
      </c>
      <c r="D636" s="4"/>
      <c r="E636" s="4"/>
      <c r="F636" s="71"/>
      <c r="G636" s="4"/>
      <c r="H636" s="4"/>
      <c r="I636" s="4" t="s">
        <v>1873</v>
      </c>
      <c r="J636" s="4" t="s">
        <v>1418</v>
      </c>
      <c r="K636" s="4"/>
      <c r="L636" s="4"/>
      <c r="M636" s="4"/>
      <c r="N636" s="4"/>
      <c r="O636" s="4"/>
      <c r="P636" s="4"/>
      <c r="Q636" s="4"/>
    </row>
    <row r="637" spans="1:17" x14ac:dyDescent="0.2">
      <c r="A637" s="1">
        <f t="shared" ref="A637:A704" ca="1" si="17">CELL("row",C637)-2</f>
        <v>635</v>
      </c>
      <c r="B637" s="10" t="s">
        <v>6391</v>
      </c>
      <c r="C637" s="82" t="s">
        <v>4272</v>
      </c>
      <c r="D637" s="4"/>
      <c r="E637" s="4"/>
      <c r="F637" s="71"/>
      <c r="G637" s="4"/>
      <c r="H637" s="4"/>
      <c r="I637" s="4" t="s">
        <v>1874</v>
      </c>
      <c r="J637" s="4" t="s">
        <v>1419</v>
      </c>
      <c r="K637" s="4"/>
      <c r="L637" s="4"/>
      <c r="M637" s="4"/>
      <c r="N637" s="4"/>
      <c r="O637" s="4"/>
      <c r="P637" s="4"/>
      <c r="Q637" s="4"/>
    </row>
    <row r="638" spans="1:17" x14ac:dyDescent="0.2">
      <c r="A638" s="1">
        <f t="shared" ca="1" si="17"/>
        <v>636</v>
      </c>
      <c r="B638" s="10" t="s">
        <v>6392</v>
      </c>
      <c r="C638" s="82" t="s">
        <v>1585</v>
      </c>
      <c r="D638" s="4"/>
      <c r="E638" s="4"/>
      <c r="F638" s="71"/>
      <c r="G638" s="4"/>
      <c r="H638" s="4"/>
      <c r="I638" s="4" t="s">
        <v>1875</v>
      </c>
      <c r="J638" s="4" t="s">
        <v>683</v>
      </c>
      <c r="K638" s="4"/>
      <c r="L638" s="4"/>
      <c r="M638" s="4"/>
      <c r="N638" s="4"/>
      <c r="O638" s="4"/>
      <c r="P638" s="4"/>
      <c r="Q638" s="4"/>
    </row>
    <row r="639" spans="1:17" x14ac:dyDescent="0.2">
      <c r="A639" s="1">
        <f t="shared" ca="1" si="17"/>
        <v>637</v>
      </c>
      <c r="B639" s="10" t="s">
        <v>6393</v>
      </c>
      <c r="C639" s="82" t="s">
        <v>7426</v>
      </c>
      <c r="D639" s="4"/>
      <c r="E639" s="4"/>
      <c r="F639" s="71"/>
      <c r="G639" s="4"/>
      <c r="H639" s="4"/>
      <c r="I639" s="4" t="s">
        <v>1876</v>
      </c>
      <c r="J639" s="4" t="s">
        <v>1420</v>
      </c>
      <c r="K639" s="4"/>
      <c r="L639" s="4"/>
      <c r="M639" s="4"/>
      <c r="N639" s="4"/>
      <c r="O639" s="4"/>
      <c r="P639" s="4"/>
      <c r="Q639" s="4"/>
    </row>
    <row r="640" spans="1:17" x14ac:dyDescent="0.2">
      <c r="A640" s="1">
        <f t="shared" ca="1" si="17"/>
        <v>638</v>
      </c>
      <c r="B640" s="10" t="s">
        <v>6394</v>
      </c>
      <c r="C640" s="82" t="s">
        <v>3757</v>
      </c>
      <c r="D640" s="4"/>
      <c r="E640" s="4"/>
      <c r="F640" s="71"/>
      <c r="G640" s="4"/>
      <c r="H640" s="4"/>
      <c r="I640" s="4" t="s">
        <v>1877</v>
      </c>
      <c r="J640" s="4" t="s">
        <v>684</v>
      </c>
      <c r="K640" s="4"/>
      <c r="L640" s="4"/>
      <c r="M640" s="4"/>
      <c r="N640" s="4"/>
      <c r="O640" s="4"/>
      <c r="P640" s="4"/>
      <c r="Q640" s="4"/>
    </row>
    <row r="641" spans="1:17" x14ac:dyDescent="0.2">
      <c r="A641" s="1">
        <f t="shared" ca="1" si="17"/>
        <v>639</v>
      </c>
      <c r="B641" s="10" t="s">
        <v>62</v>
      </c>
      <c r="C641" s="82" t="s">
        <v>6052</v>
      </c>
      <c r="D641" s="4"/>
      <c r="E641" s="4"/>
      <c r="F641" s="71"/>
      <c r="G641" s="4"/>
      <c r="H641" s="4"/>
      <c r="I641" s="4" t="s">
        <v>4987</v>
      </c>
      <c r="J641" s="4" t="s">
        <v>685</v>
      </c>
      <c r="K641" s="4"/>
      <c r="L641" s="4"/>
      <c r="M641" s="4"/>
      <c r="N641" s="4"/>
      <c r="O641" s="4"/>
      <c r="P641" s="4"/>
      <c r="Q641" s="4"/>
    </row>
    <row r="642" spans="1:17" x14ac:dyDescent="0.2">
      <c r="A642" s="1">
        <f t="shared" ca="1" si="17"/>
        <v>640</v>
      </c>
      <c r="B642" s="10" t="s">
        <v>6395</v>
      </c>
      <c r="C642" s="82" t="s">
        <v>7233</v>
      </c>
      <c r="D642" s="4"/>
      <c r="E642" s="4"/>
      <c r="F642" s="71"/>
      <c r="G642" s="4"/>
      <c r="H642" s="4"/>
      <c r="I642" s="4" t="s">
        <v>1878</v>
      </c>
      <c r="J642" s="4" t="s">
        <v>686</v>
      </c>
      <c r="K642" s="4"/>
      <c r="L642" s="4"/>
      <c r="M642" s="4"/>
      <c r="N642" s="4"/>
      <c r="O642" s="4"/>
      <c r="P642" s="4"/>
      <c r="Q642" s="4"/>
    </row>
    <row r="643" spans="1:17" x14ac:dyDescent="0.2">
      <c r="A643" s="1">
        <f t="shared" ca="1" si="17"/>
        <v>641</v>
      </c>
      <c r="B643" s="10" t="s">
        <v>834</v>
      </c>
      <c r="C643" s="82" t="s">
        <v>7234</v>
      </c>
      <c r="D643" s="4"/>
      <c r="E643" s="4"/>
      <c r="F643" s="71"/>
      <c r="G643" s="4"/>
      <c r="H643" s="4"/>
      <c r="I643" s="4" t="s">
        <v>1879</v>
      </c>
      <c r="J643" s="4"/>
      <c r="K643" s="4"/>
      <c r="L643" s="4"/>
      <c r="M643" s="4"/>
      <c r="N643" s="4"/>
      <c r="O643" s="4"/>
      <c r="P643" s="4"/>
      <c r="Q643" s="4"/>
    </row>
    <row r="644" spans="1:17" x14ac:dyDescent="0.2">
      <c r="A644" s="1">
        <f t="shared" ca="1" si="17"/>
        <v>642</v>
      </c>
      <c r="B644" s="10" t="s">
        <v>6396</v>
      </c>
      <c r="C644" s="82" t="s">
        <v>7235</v>
      </c>
      <c r="D644" s="4"/>
      <c r="E644" s="4"/>
      <c r="F644" s="71"/>
      <c r="G644" s="4"/>
      <c r="H644" s="4"/>
      <c r="I644" s="4" t="s">
        <v>1880</v>
      </c>
      <c r="J644" s="4" t="s">
        <v>687</v>
      </c>
      <c r="K644" s="4"/>
      <c r="L644" s="4"/>
      <c r="M644" s="4"/>
      <c r="N644" s="4"/>
      <c r="O644" s="4"/>
      <c r="P644" s="4"/>
      <c r="Q644" s="4"/>
    </row>
    <row r="645" spans="1:17" x14ac:dyDescent="0.2">
      <c r="A645" s="1">
        <f t="shared" ca="1" si="17"/>
        <v>643</v>
      </c>
      <c r="B645" s="10" t="s">
        <v>6918</v>
      </c>
      <c r="C645" s="82" t="s">
        <v>7236</v>
      </c>
      <c r="D645" s="4"/>
      <c r="E645" s="4"/>
      <c r="F645" s="71"/>
      <c r="G645" s="4"/>
      <c r="H645" s="4"/>
      <c r="I645" s="4" t="s">
        <v>1881</v>
      </c>
      <c r="J645" s="4"/>
      <c r="K645" s="4"/>
      <c r="L645" s="4"/>
      <c r="M645" s="4"/>
      <c r="N645" s="4"/>
      <c r="O645" s="4"/>
      <c r="P645" s="4"/>
      <c r="Q645" s="4"/>
    </row>
    <row r="646" spans="1:17" x14ac:dyDescent="0.2">
      <c r="A646" s="1">
        <f t="shared" ca="1" si="17"/>
        <v>644</v>
      </c>
      <c r="B646" s="10" t="s">
        <v>6919</v>
      </c>
      <c r="C646" s="82" t="s">
        <v>7237</v>
      </c>
      <c r="D646" s="4"/>
      <c r="E646" s="4"/>
      <c r="F646" s="71"/>
      <c r="G646" s="4"/>
      <c r="H646" s="4"/>
      <c r="I646" s="4" t="s">
        <v>1882</v>
      </c>
      <c r="J646" s="4"/>
      <c r="K646" s="4"/>
      <c r="L646" s="4"/>
      <c r="M646" s="4"/>
      <c r="N646" s="4"/>
      <c r="O646" s="4"/>
      <c r="P646" s="4"/>
      <c r="Q646" s="4"/>
    </row>
    <row r="647" spans="1:17" x14ac:dyDescent="0.2">
      <c r="A647" s="1">
        <f t="shared" ca="1" si="17"/>
        <v>645</v>
      </c>
      <c r="B647" s="10" t="s">
        <v>6397</v>
      </c>
      <c r="C647" s="82" t="s">
        <v>7425</v>
      </c>
      <c r="D647" s="4"/>
      <c r="E647" s="4"/>
      <c r="F647" s="71"/>
      <c r="G647" s="4"/>
      <c r="H647" s="4"/>
      <c r="I647" s="4" t="s">
        <v>1883</v>
      </c>
      <c r="J647" s="4"/>
      <c r="K647" s="4"/>
      <c r="L647" s="4"/>
      <c r="M647" s="4"/>
      <c r="N647" s="4"/>
      <c r="O647" s="4"/>
      <c r="P647" s="4"/>
      <c r="Q647" s="4"/>
    </row>
    <row r="648" spans="1:17" x14ac:dyDescent="0.2">
      <c r="A648" s="1">
        <f t="shared" ca="1" si="17"/>
        <v>646</v>
      </c>
      <c r="B648" s="10" t="s">
        <v>6398</v>
      </c>
      <c r="C648" s="82" t="s">
        <v>1586</v>
      </c>
      <c r="D648" s="4"/>
      <c r="E648" s="4"/>
      <c r="F648" s="71"/>
      <c r="G648" s="4"/>
      <c r="H648" s="4"/>
      <c r="I648" s="4" t="s">
        <v>1884</v>
      </c>
      <c r="J648" s="4"/>
      <c r="K648" s="4"/>
      <c r="L648" s="4"/>
      <c r="M648" s="4"/>
      <c r="N648" s="4"/>
      <c r="O648" s="4"/>
      <c r="P648" s="4"/>
      <c r="Q648" s="4"/>
    </row>
    <row r="649" spans="1:17" ht="25.5" x14ac:dyDescent="0.2">
      <c r="A649" s="1">
        <f t="shared" ca="1" si="17"/>
        <v>647</v>
      </c>
      <c r="B649" s="10" t="s">
        <v>451</v>
      </c>
      <c r="C649" s="82" t="s">
        <v>452</v>
      </c>
      <c r="D649" s="4"/>
      <c r="E649" s="4"/>
      <c r="F649" s="71"/>
      <c r="G649" s="4"/>
      <c r="H649" s="4"/>
      <c r="I649" s="82" t="s">
        <v>1885</v>
      </c>
      <c r="J649" s="4"/>
      <c r="K649" s="4"/>
      <c r="L649" s="4"/>
      <c r="M649" s="4"/>
      <c r="N649" s="4"/>
      <c r="O649" s="4"/>
      <c r="P649" s="4"/>
      <c r="Q649" s="4"/>
    </row>
    <row r="650" spans="1:17" ht="25.5" x14ac:dyDescent="0.2">
      <c r="A650" s="1">
        <f t="shared" ca="1" si="17"/>
        <v>648</v>
      </c>
      <c r="B650" s="10" t="s">
        <v>6399</v>
      </c>
      <c r="C650" s="82" t="s">
        <v>7645</v>
      </c>
      <c r="D650" s="4"/>
      <c r="E650" s="4"/>
      <c r="F650" s="71"/>
      <c r="G650" s="4"/>
      <c r="H650" s="4"/>
      <c r="I650" s="82" t="s">
        <v>1886</v>
      </c>
      <c r="J650" s="4"/>
      <c r="K650" s="4"/>
      <c r="L650" s="4"/>
      <c r="M650" s="4"/>
      <c r="N650" s="4"/>
      <c r="O650" s="4"/>
      <c r="P650" s="4"/>
      <c r="Q650" s="4"/>
    </row>
    <row r="651" spans="1:17" ht="38.25" x14ac:dyDescent="0.2">
      <c r="A651" s="1">
        <f t="shared" ca="1" si="17"/>
        <v>649</v>
      </c>
      <c r="B651" s="10" t="s">
        <v>1587</v>
      </c>
      <c r="C651" s="82" t="s">
        <v>1094</v>
      </c>
      <c r="D651" s="4"/>
      <c r="E651" s="4"/>
      <c r="F651" s="71"/>
      <c r="G651" s="4"/>
      <c r="H651" s="4"/>
      <c r="I651" s="82" t="s">
        <v>1887</v>
      </c>
      <c r="J651" s="4"/>
      <c r="K651" s="4"/>
      <c r="L651" s="4"/>
      <c r="M651" s="4"/>
      <c r="N651" s="4"/>
      <c r="O651" s="4"/>
      <c r="P651" s="4"/>
      <c r="Q651" s="4"/>
    </row>
    <row r="652" spans="1:17" ht="38.25" x14ac:dyDescent="0.2">
      <c r="A652" s="1">
        <f t="shared" ca="1" si="17"/>
        <v>650</v>
      </c>
      <c r="B652" s="10" t="s">
        <v>6400</v>
      </c>
      <c r="C652" s="82" t="s">
        <v>1093</v>
      </c>
      <c r="D652" s="4"/>
      <c r="E652" s="4"/>
      <c r="F652" s="71"/>
      <c r="G652" s="4"/>
      <c r="H652" s="4"/>
      <c r="I652" s="82" t="s">
        <v>1888</v>
      </c>
      <c r="J652" s="4"/>
      <c r="K652" s="4"/>
      <c r="L652" s="4"/>
      <c r="M652" s="4"/>
      <c r="N652" s="4"/>
      <c r="O652" s="4"/>
      <c r="P652" s="4"/>
      <c r="Q652" s="4"/>
    </row>
    <row r="653" spans="1:17" ht="25.5" x14ac:dyDescent="0.2">
      <c r="A653" s="1">
        <f t="shared" ca="1" si="17"/>
        <v>651</v>
      </c>
      <c r="B653" s="10" t="s">
        <v>6401</v>
      </c>
      <c r="C653" s="82" t="s">
        <v>6979</v>
      </c>
      <c r="D653" s="4"/>
      <c r="E653" s="4"/>
      <c r="F653" s="71"/>
      <c r="G653" s="4"/>
      <c r="H653" s="4"/>
      <c r="I653" s="82" t="s">
        <v>4099</v>
      </c>
      <c r="J653" s="4"/>
      <c r="K653" s="4"/>
      <c r="L653" s="4"/>
      <c r="M653" s="4"/>
      <c r="N653" s="4"/>
      <c r="O653" s="4"/>
      <c r="P653" s="4"/>
      <c r="Q653" s="4"/>
    </row>
    <row r="654" spans="1:17" ht="25.5" x14ac:dyDescent="0.2">
      <c r="A654" s="1">
        <f t="shared" ca="1" si="17"/>
        <v>652</v>
      </c>
      <c r="B654" s="10" t="s">
        <v>6402</v>
      </c>
      <c r="C654" s="82" t="s">
        <v>1095</v>
      </c>
      <c r="D654" s="4"/>
      <c r="E654" s="4"/>
      <c r="F654" s="71"/>
      <c r="G654" s="4"/>
      <c r="H654" s="4"/>
      <c r="I654" s="82" t="s">
        <v>4100</v>
      </c>
      <c r="J654" s="4"/>
      <c r="K654" s="4"/>
      <c r="L654" s="4"/>
      <c r="M654" s="4"/>
      <c r="N654" s="4"/>
      <c r="O654" s="4"/>
      <c r="P654" s="4"/>
      <c r="Q654" s="4"/>
    </row>
    <row r="655" spans="1:17" ht="25.5" x14ac:dyDescent="0.2">
      <c r="A655" s="1">
        <f t="shared" ca="1" si="17"/>
        <v>653</v>
      </c>
      <c r="B655" s="10" t="s">
        <v>6403</v>
      </c>
      <c r="C655" s="82" t="s">
        <v>7420</v>
      </c>
      <c r="D655" s="4"/>
      <c r="E655" s="4"/>
      <c r="F655" s="71"/>
      <c r="G655" s="4"/>
      <c r="H655" s="4"/>
      <c r="I655" s="82" t="s">
        <v>7420</v>
      </c>
      <c r="J655" s="4"/>
      <c r="K655" s="4"/>
      <c r="L655" s="4"/>
      <c r="M655" s="4"/>
      <c r="N655" s="4"/>
      <c r="O655" s="4"/>
      <c r="P655" s="4"/>
      <c r="Q655" s="4"/>
    </row>
    <row r="656" spans="1:17" ht="25.5" x14ac:dyDescent="0.2">
      <c r="A656" s="1">
        <f t="shared" ca="1" si="17"/>
        <v>654</v>
      </c>
      <c r="B656" s="10" t="s">
        <v>6404</v>
      </c>
      <c r="C656" s="82" t="s">
        <v>4273</v>
      </c>
      <c r="D656" s="4"/>
      <c r="E656" s="4"/>
      <c r="F656" s="71"/>
      <c r="G656" s="4"/>
      <c r="H656" s="4"/>
      <c r="I656" s="82" t="s">
        <v>4101</v>
      </c>
      <c r="J656" s="4"/>
      <c r="K656" s="4"/>
      <c r="L656" s="4"/>
      <c r="M656" s="4"/>
      <c r="N656" s="4"/>
      <c r="O656" s="4"/>
      <c r="P656" s="4"/>
      <c r="Q656" s="4"/>
    </row>
    <row r="657" spans="1:17" x14ac:dyDescent="0.2">
      <c r="A657" s="1">
        <f t="shared" ca="1" si="17"/>
        <v>655</v>
      </c>
      <c r="B657" s="10" t="s">
        <v>6405</v>
      </c>
      <c r="C657" s="82" t="s">
        <v>7424</v>
      </c>
      <c r="D657" s="4"/>
      <c r="E657" s="4"/>
      <c r="F657" s="71"/>
      <c r="G657" s="4"/>
      <c r="H657" s="4"/>
      <c r="I657" s="82" t="s">
        <v>4102</v>
      </c>
      <c r="J657" s="4"/>
      <c r="K657" s="4"/>
      <c r="L657" s="4"/>
      <c r="M657" s="4"/>
      <c r="N657" s="4"/>
      <c r="O657" s="4"/>
      <c r="P657" s="4"/>
      <c r="Q657" s="4"/>
    </row>
    <row r="658" spans="1:17" ht="25.5" x14ac:dyDescent="0.2">
      <c r="A658" s="1">
        <f t="shared" ca="1" si="17"/>
        <v>656</v>
      </c>
      <c r="B658" s="10" t="s">
        <v>6404</v>
      </c>
      <c r="C658" s="82" t="s">
        <v>4273</v>
      </c>
      <c r="D658" s="4"/>
      <c r="E658" s="4"/>
      <c r="F658" s="71"/>
      <c r="G658" s="4"/>
      <c r="H658" s="4"/>
      <c r="I658" s="82" t="s">
        <v>4273</v>
      </c>
      <c r="J658" s="4"/>
      <c r="K658" s="4"/>
      <c r="L658" s="4"/>
      <c r="M658" s="4"/>
      <c r="N658" s="4"/>
      <c r="O658" s="4"/>
      <c r="P658" s="4"/>
      <c r="Q658" s="4"/>
    </row>
    <row r="659" spans="1:17" x14ac:dyDescent="0.2">
      <c r="A659" s="1">
        <f t="shared" ca="1" si="17"/>
        <v>657</v>
      </c>
      <c r="B659" s="10" t="s">
        <v>6406</v>
      </c>
      <c r="C659" s="82" t="s">
        <v>8479</v>
      </c>
      <c r="D659" s="4"/>
      <c r="E659" s="4"/>
      <c r="F659" s="71"/>
      <c r="G659" s="4"/>
      <c r="H659" s="4"/>
      <c r="I659" s="82" t="s">
        <v>4103</v>
      </c>
      <c r="J659" s="4"/>
      <c r="K659" s="4"/>
      <c r="L659" s="4"/>
      <c r="M659" s="4"/>
      <c r="N659" s="4"/>
      <c r="O659" s="4"/>
      <c r="P659" s="4"/>
      <c r="Q659" s="4"/>
    </row>
    <row r="660" spans="1:17" ht="38.25" x14ac:dyDescent="0.2">
      <c r="A660" s="1">
        <f t="shared" ca="1" si="17"/>
        <v>658</v>
      </c>
      <c r="B660" s="10" t="s">
        <v>6407</v>
      </c>
      <c r="C660" s="82" t="s">
        <v>7423</v>
      </c>
      <c r="D660" s="4"/>
      <c r="E660" s="4"/>
      <c r="F660" s="71"/>
      <c r="G660" s="4"/>
      <c r="H660" s="4"/>
      <c r="I660" s="82" t="s">
        <v>4104</v>
      </c>
      <c r="J660" s="4"/>
      <c r="K660" s="4"/>
      <c r="L660" s="4"/>
      <c r="M660" s="4"/>
      <c r="N660" s="4"/>
      <c r="O660" s="4"/>
      <c r="P660" s="4"/>
      <c r="Q660" s="4"/>
    </row>
    <row r="661" spans="1:17" ht="25.5" x14ac:dyDescent="0.2">
      <c r="A661" s="1">
        <f t="shared" ca="1" si="17"/>
        <v>659</v>
      </c>
      <c r="B661" s="10" t="s">
        <v>6408</v>
      </c>
      <c r="C661" s="82" t="s">
        <v>6556</v>
      </c>
      <c r="D661" s="4"/>
      <c r="E661" s="4"/>
      <c r="F661" s="71"/>
      <c r="G661" s="4"/>
      <c r="H661" s="4"/>
      <c r="I661" s="82" t="s">
        <v>4105</v>
      </c>
      <c r="J661" s="4"/>
      <c r="K661" s="4"/>
      <c r="L661" s="4"/>
      <c r="M661" s="4"/>
      <c r="N661" s="4"/>
      <c r="O661" s="4"/>
      <c r="P661" s="4"/>
      <c r="Q661" s="4"/>
    </row>
    <row r="662" spans="1:17" ht="25.5" x14ac:dyDescent="0.2">
      <c r="A662" s="1">
        <f t="shared" ca="1" si="17"/>
        <v>660</v>
      </c>
      <c r="B662" s="10" t="s">
        <v>5264</v>
      </c>
      <c r="C662" s="82" t="s">
        <v>7422</v>
      </c>
      <c r="D662" s="4"/>
      <c r="E662" s="4"/>
      <c r="F662" s="71"/>
      <c r="G662" s="4"/>
      <c r="H662" s="4"/>
      <c r="I662" s="82" t="s">
        <v>4106</v>
      </c>
      <c r="J662" s="4"/>
      <c r="K662" s="4"/>
      <c r="L662" s="4"/>
      <c r="M662" s="4"/>
      <c r="N662" s="4"/>
      <c r="O662" s="4"/>
      <c r="P662" s="4"/>
      <c r="Q662" s="4"/>
    </row>
    <row r="663" spans="1:17" ht="25.5" x14ac:dyDescent="0.2">
      <c r="A663" s="1">
        <f t="shared" ca="1" si="17"/>
        <v>661</v>
      </c>
      <c r="B663" s="10" t="s">
        <v>5265</v>
      </c>
      <c r="C663" s="82" t="s">
        <v>7421</v>
      </c>
      <c r="D663" s="4"/>
      <c r="E663" s="4"/>
      <c r="F663" s="71"/>
      <c r="G663" s="4"/>
      <c r="H663" s="4"/>
      <c r="I663" s="82" t="s">
        <v>4107</v>
      </c>
      <c r="J663" s="4"/>
      <c r="K663" s="4"/>
      <c r="L663" s="4"/>
      <c r="M663" s="4"/>
      <c r="N663" s="4"/>
      <c r="O663" s="4"/>
      <c r="P663" s="4"/>
      <c r="Q663" s="4"/>
    </row>
    <row r="664" spans="1:17" ht="25.5" x14ac:dyDescent="0.2">
      <c r="A664" s="1">
        <f t="shared" ca="1" si="17"/>
        <v>662</v>
      </c>
      <c r="B664" s="10" t="s">
        <v>7795</v>
      </c>
      <c r="C664" s="82" t="s">
        <v>6557</v>
      </c>
      <c r="D664" s="4"/>
      <c r="E664" s="4"/>
      <c r="F664" s="71"/>
      <c r="G664" s="4"/>
      <c r="H664" s="4"/>
      <c r="I664" s="82" t="s">
        <v>4108</v>
      </c>
      <c r="J664" s="4"/>
      <c r="K664" s="4"/>
      <c r="L664" s="4"/>
      <c r="M664" s="4"/>
      <c r="N664" s="4"/>
      <c r="O664" s="4"/>
      <c r="P664" s="4"/>
      <c r="Q664" s="4"/>
    </row>
    <row r="665" spans="1:17" ht="25.5" x14ac:dyDescent="0.2">
      <c r="A665" s="1">
        <f t="shared" ca="1" si="17"/>
        <v>663</v>
      </c>
      <c r="B665" s="10" t="s">
        <v>7796</v>
      </c>
      <c r="C665" s="82" t="s">
        <v>6558</v>
      </c>
      <c r="D665" s="4"/>
      <c r="E665" s="4"/>
      <c r="F665" s="71"/>
      <c r="G665" s="4"/>
      <c r="H665" s="4"/>
      <c r="I665" s="82" t="s">
        <v>4109</v>
      </c>
      <c r="J665" s="4"/>
      <c r="K665" s="4"/>
      <c r="L665" s="4"/>
      <c r="M665" s="4"/>
      <c r="N665" s="4"/>
      <c r="O665" s="4"/>
      <c r="P665" s="4"/>
      <c r="Q665" s="4"/>
    </row>
    <row r="666" spans="1:17" ht="25.5" x14ac:dyDescent="0.2">
      <c r="A666" s="1">
        <f t="shared" ca="1" si="17"/>
        <v>664</v>
      </c>
      <c r="B666" s="10" t="s">
        <v>6403</v>
      </c>
      <c r="C666" s="82" t="s">
        <v>7420</v>
      </c>
      <c r="D666" s="4"/>
      <c r="E666" s="4"/>
      <c r="F666" s="71"/>
      <c r="G666" s="4"/>
      <c r="H666" s="4"/>
      <c r="I666" s="82" t="s">
        <v>4110</v>
      </c>
      <c r="J666" s="4"/>
      <c r="K666" s="4"/>
      <c r="L666" s="4"/>
      <c r="M666" s="4"/>
      <c r="N666" s="4"/>
      <c r="O666" s="4"/>
      <c r="P666" s="4"/>
      <c r="Q666" s="4"/>
    </row>
    <row r="667" spans="1:17" ht="25.5" x14ac:dyDescent="0.2">
      <c r="A667" s="1">
        <f t="shared" ca="1" si="17"/>
        <v>665</v>
      </c>
      <c r="B667" s="10" t="s">
        <v>758</v>
      </c>
      <c r="C667" s="82" t="s">
        <v>7419</v>
      </c>
      <c r="D667" s="4"/>
      <c r="E667" s="4"/>
      <c r="F667" s="71"/>
      <c r="G667" s="4"/>
      <c r="H667" s="4"/>
      <c r="I667" s="82" t="s">
        <v>4111</v>
      </c>
      <c r="J667" s="4"/>
      <c r="K667" s="4"/>
      <c r="L667" s="4"/>
      <c r="M667" s="4"/>
      <c r="N667" s="4"/>
      <c r="O667" s="4"/>
      <c r="P667" s="4"/>
      <c r="Q667" s="4"/>
    </row>
    <row r="668" spans="1:17" x14ac:dyDescent="0.2">
      <c r="A668" s="1">
        <f t="shared" ca="1" si="17"/>
        <v>666</v>
      </c>
      <c r="B668" s="1" t="s">
        <v>8555</v>
      </c>
      <c r="C668" s="145" t="s">
        <v>8554</v>
      </c>
      <c r="D668" s="4"/>
      <c r="E668" s="4"/>
      <c r="F668" s="71"/>
      <c r="G668" s="4"/>
      <c r="H668" s="4"/>
      <c r="I668" s="82"/>
      <c r="J668" s="4"/>
      <c r="K668" s="4"/>
      <c r="L668" s="4"/>
      <c r="M668" s="4"/>
      <c r="N668" s="4"/>
      <c r="O668" s="4"/>
      <c r="P668" s="4"/>
      <c r="Q668" s="4"/>
    </row>
    <row r="669" spans="1:17" ht="38.25" x14ac:dyDescent="0.2">
      <c r="A669" s="1">
        <f t="shared" ca="1" si="17"/>
        <v>667</v>
      </c>
      <c r="B669" s="10" t="s">
        <v>6251</v>
      </c>
      <c r="C669" s="82" t="s">
        <v>8480</v>
      </c>
      <c r="D669" s="4"/>
      <c r="E669" s="4"/>
      <c r="F669" s="71"/>
      <c r="G669" s="4"/>
      <c r="H669" s="4"/>
      <c r="I669" s="82" t="s">
        <v>4112</v>
      </c>
      <c r="J669" s="4"/>
      <c r="K669" s="4"/>
      <c r="L669" s="4"/>
      <c r="M669" s="4"/>
      <c r="N669" s="4"/>
      <c r="O669" s="4"/>
      <c r="P669" s="4"/>
      <c r="Q669" s="4"/>
    </row>
    <row r="670" spans="1:17" ht="25.5" x14ac:dyDescent="0.2">
      <c r="A670" s="1">
        <f t="shared" ca="1" si="17"/>
        <v>668</v>
      </c>
      <c r="B670" s="10" t="s">
        <v>6252</v>
      </c>
      <c r="C670" s="82" t="s">
        <v>7418</v>
      </c>
      <c r="D670" s="4"/>
      <c r="E670" s="4"/>
      <c r="F670" s="71"/>
      <c r="G670" s="4"/>
      <c r="H670" s="4"/>
      <c r="I670" s="82" t="s">
        <v>4113</v>
      </c>
      <c r="J670" s="4"/>
      <c r="K670" s="4"/>
      <c r="L670" s="4"/>
      <c r="M670" s="4"/>
      <c r="N670" s="4"/>
      <c r="O670" s="4"/>
      <c r="P670" s="4"/>
      <c r="Q670" s="4"/>
    </row>
    <row r="671" spans="1:17" x14ac:dyDescent="0.2">
      <c r="A671" s="1">
        <f t="shared" ca="1" si="17"/>
        <v>669</v>
      </c>
      <c r="B671" s="10" t="s">
        <v>6253</v>
      </c>
      <c r="C671" s="82" t="s">
        <v>6253</v>
      </c>
      <c r="D671" s="4"/>
      <c r="E671" s="4"/>
      <c r="F671" s="71"/>
      <c r="G671" s="4"/>
      <c r="H671" s="4"/>
      <c r="I671" s="82" t="s">
        <v>4114</v>
      </c>
      <c r="J671" s="4" t="s">
        <v>4159</v>
      </c>
      <c r="K671" s="4"/>
      <c r="L671" s="4"/>
      <c r="M671" s="4"/>
      <c r="N671" s="4"/>
      <c r="O671" s="4"/>
      <c r="P671" s="4"/>
      <c r="Q671" s="4"/>
    </row>
    <row r="672" spans="1:17" ht="25.5" x14ac:dyDescent="0.2">
      <c r="A672" s="1">
        <f t="shared" ca="1" si="17"/>
        <v>670</v>
      </c>
      <c r="B672" s="10" t="s">
        <v>6254</v>
      </c>
      <c r="C672" s="82" t="s">
        <v>6559</v>
      </c>
      <c r="D672" s="4"/>
      <c r="E672" s="4"/>
      <c r="F672" s="71"/>
      <c r="G672" s="4"/>
      <c r="H672" s="4"/>
      <c r="I672" s="82" t="s">
        <v>4115</v>
      </c>
      <c r="J672" s="4"/>
      <c r="K672" s="4"/>
      <c r="L672" s="4"/>
      <c r="M672" s="4"/>
      <c r="N672" s="4"/>
      <c r="O672" s="4"/>
      <c r="P672" s="4"/>
      <c r="Q672" s="4"/>
    </row>
    <row r="673" spans="1:17" ht="25.5" x14ac:dyDescent="0.2">
      <c r="A673" s="1">
        <f t="shared" ca="1" si="17"/>
        <v>671</v>
      </c>
      <c r="B673" s="10" t="s">
        <v>3472</v>
      </c>
      <c r="C673" s="82" t="s">
        <v>6560</v>
      </c>
      <c r="D673" s="4"/>
      <c r="E673" s="4"/>
      <c r="F673" s="71"/>
      <c r="G673" s="4"/>
      <c r="H673" s="4"/>
      <c r="I673" s="82" t="s">
        <v>4116</v>
      </c>
      <c r="J673" s="4"/>
      <c r="K673" s="4"/>
      <c r="L673" s="4"/>
      <c r="M673" s="4"/>
      <c r="N673" s="4"/>
      <c r="O673" s="4"/>
      <c r="P673" s="4"/>
      <c r="Q673" s="4"/>
    </row>
    <row r="674" spans="1:17" ht="38.25" x14ac:dyDescent="0.2">
      <c r="A674" s="1">
        <f t="shared" ca="1" si="17"/>
        <v>672</v>
      </c>
      <c r="B674" s="10" t="s">
        <v>3473</v>
      </c>
      <c r="C674" s="82" t="s">
        <v>7417</v>
      </c>
      <c r="D674" s="4"/>
      <c r="E674" s="4"/>
      <c r="F674" s="71"/>
      <c r="G674" s="4"/>
      <c r="H674" s="4"/>
      <c r="I674" s="82" t="s">
        <v>4117</v>
      </c>
      <c r="J674" s="4"/>
      <c r="K674" s="4"/>
      <c r="L674" s="4"/>
      <c r="M674" s="4"/>
      <c r="N674" s="4"/>
      <c r="O674" s="4"/>
      <c r="P674" s="4"/>
      <c r="Q674" s="4"/>
    </row>
    <row r="675" spans="1:17" ht="25.5" x14ac:dyDescent="0.2">
      <c r="A675" s="1">
        <f t="shared" ca="1" si="17"/>
        <v>673</v>
      </c>
      <c r="B675" s="10" t="s">
        <v>7795</v>
      </c>
      <c r="C675" s="82" t="s">
        <v>6561</v>
      </c>
      <c r="D675" s="4"/>
      <c r="E675" s="4"/>
      <c r="F675" s="71"/>
      <c r="G675" s="4"/>
      <c r="H675" s="4"/>
      <c r="I675" s="82" t="s">
        <v>4118</v>
      </c>
      <c r="J675" s="4"/>
      <c r="K675" s="4"/>
      <c r="L675" s="4"/>
      <c r="M675" s="4"/>
      <c r="N675" s="4"/>
      <c r="O675" s="4"/>
      <c r="P675" s="4"/>
      <c r="Q675" s="4"/>
    </row>
    <row r="676" spans="1:17" ht="25.5" x14ac:dyDescent="0.2">
      <c r="A676" s="1">
        <f t="shared" ca="1" si="17"/>
        <v>674</v>
      </c>
      <c r="B676" s="10" t="s">
        <v>3474</v>
      </c>
      <c r="C676" s="82" t="s">
        <v>7416</v>
      </c>
      <c r="D676" s="4"/>
      <c r="E676" s="4"/>
      <c r="F676" s="71"/>
      <c r="G676" s="4"/>
      <c r="H676" s="4"/>
      <c r="I676" s="82" t="s">
        <v>4119</v>
      </c>
      <c r="J676" s="4"/>
      <c r="K676" s="4"/>
      <c r="L676" s="4"/>
      <c r="M676" s="4"/>
      <c r="N676" s="4"/>
      <c r="O676" s="4"/>
      <c r="P676" s="4"/>
      <c r="Q676" s="4"/>
    </row>
    <row r="677" spans="1:17" x14ac:dyDescent="0.2">
      <c r="A677" s="1">
        <f t="shared" ca="1" si="17"/>
        <v>675</v>
      </c>
      <c r="B677" s="10" t="s">
        <v>3475</v>
      </c>
      <c r="C677" s="82" t="s">
        <v>4173</v>
      </c>
      <c r="D677" s="4"/>
      <c r="E677" s="4"/>
      <c r="F677" s="71"/>
      <c r="G677" s="4"/>
      <c r="H677" s="4"/>
      <c r="I677" s="82" t="s">
        <v>4120</v>
      </c>
      <c r="J677" s="82" t="s">
        <v>688</v>
      </c>
      <c r="K677" s="4"/>
      <c r="L677" s="4"/>
      <c r="M677" s="4"/>
      <c r="N677" s="4"/>
      <c r="O677" s="4"/>
      <c r="P677" s="4"/>
      <c r="Q677" s="4"/>
    </row>
    <row r="678" spans="1:17" x14ac:dyDescent="0.2">
      <c r="A678" s="1">
        <f t="shared" ca="1" si="17"/>
        <v>676</v>
      </c>
      <c r="B678" s="10" t="s">
        <v>7822</v>
      </c>
      <c r="C678" s="82" t="s">
        <v>4174</v>
      </c>
      <c r="D678" s="4"/>
      <c r="E678" s="4"/>
      <c r="F678" s="71"/>
      <c r="G678" s="4"/>
      <c r="H678" s="4"/>
      <c r="I678" s="82" t="s">
        <v>4121</v>
      </c>
      <c r="J678" s="82" t="s">
        <v>689</v>
      </c>
      <c r="K678" s="4"/>
      <c r="L678" s="4"/>
      <c r="M678" s="4"/>
      <c r="N678" s="4"/>
      <c r="O678" s="4"/>
      <c r="P678" s="4"/>
      <c r="Q678" s="4"/>
    </row>
    <row r="679" spans="1:17" x14ac:dyDescent="0.2">
      <c r="A679" s="1">
        <f t="shared" ca="1" si="17"/>
        <v>677</v>
      </c>
      <c r="B679" s="10" t="s">
        <v>7823</v>
      </c>
      <c r="C679" s="82" t="s">
        <v>4175</v>
      </c>
      <c r="D679" s="4"/>
      <c r="E679" s="4"/>
      <c r="F679" s="71"/>
      <c r="G679" s="4"/>
      <c r="H679" s="4"/>
      <c r="I679" s="82" t="s">
        <v>4122</v>
      </c>
      <c r="J679" s="82" t="s">
        <v>690</v>
      </c>
      <c r="K679" s="4"/>
      <c r="L679" s="4"/>
      <c r="M679" s="4"/>
      <c r="N679" s="4"/>
      <c r="O679" s="4"/>
      <c r="P679" s="4"/>
      <c r="Q679" s="4"/>
    </row>
    <row r="680" spans="1:17" x14ac:dyDescent="0.2">
      <c r="A680" s="1">
        <f t="shared" ca="1" si="17"/>
        <v>678</v>
      </c>
      <c r="B680" s="10" t="s">
        <v>7824</v>
      </c>
      <c r="C680" s="82" t="s">
        <v>4176</v>
      </c>
      <c r="D680" s="4"/>
      <c r="E680" s="4"/>
      <c r="F680" s="71"/>
      <c r="G680" s="4"/>
      <c r="H680" s="4"/>
      <c r="I680" s="82" t="s">
        <v>4123</v>
      </c>
      <c r="J680" s="82" t="s">
        <v>691</v>
      </c>
      <c r="K680" s="4"/>
      <c r="L680" s="4"/>
      <c r="M680" s="4"/>
      <c r="N680" s="4"/>
      <c r="O680" s="4"/>
      <c r="P680" s="4"/>
      <c r="Q680" s="4"/>
    </row>
    <row r="681" spans="1:17" x14ac:dyDescent="0.2">
      <c r="A681" s="1">
        <f t="shared" ca="1" si="17"/>
        <v>679</v>
      </c>
      <c r="B681" s="10" t="s">
        <v>7825</v>
      </c>
      <c r="C681" s="82" t="s">
        <v>4177</v>
      </c>
      <c r="D681" s="4"/>
      <c r="E681" s="4"/>
      <c r="F681" s="71"/>
      <c r="G681" s="4"/>
      <c r="H681" s="4"/>
      <c r="I681" s="82" t="s">
        <v>4124</v>
      </c>
      <c r="J681" s="82" t="s">
        <v>692</v>
      </c>
      <c r="K681" s="4"/>
      <c r="L681" s="4"/>
      <c r="M681" s="4"/>
      <c r="N681" s="4"/>
      <c r="O681" s="4"/>
      <c r="P681" s="4"/>
      <c r="Q681" s="4"/>
    </row>
    <row r="682" spans="1:17" x14ac:dyDescent="0.2">
      <c r="A682" s="1">
        <f t="shared" ca="1" si="17"/>
        <v>680</v>
      </c>
      <c r="B682" s="10" t="s">
        <v>7657</v>
      </c>
      <c r="C682" s="82" t="s">
        <v>4172</v>
      </c>
      <c r="D682" s="4"/>
      <c r="E682" s="4"/>
      <c r="F682" s="71"/>
      <c r="G682" s="4"/>
      <c r="H682" s="4"/>
      <c r="I682" s="82" t="s">
        <v>4125</v>
      </c>
      <c r="J682" s="4"/>
      <c r="K682" s="4"/>
      <c r="L682" s="4"/>
      <c r="M682" s="4"/>
      <c r="N682" s="4"/>
      <c r="O682" s="4"/>
      <c r="P682" s="4"/>
      <c r="Q682" s="4"/>
    </row>
    <row r="683" spans="1:17" ht="38.25" x14ac:dyDescent="0.2">
      <c r="A683" s="1">
        <f t="shared" ca="1" si="17"/>
        <v>681</v>
      </c>
      <c r="B683" s="10" t="s">
        <v>7658</v>
      </c>
      <c r="C683" s="82" t="s">
        <v>6909</v>
      </c>
      <c r="D683" s="4"/>
      <c r="E683" s="4"/>
      <c r="F683" s="71"/>
      <c r="G683" s="4"/>
      <c r="H683" s="4"/>
      <c r="I683" s="82" t="s">
        <v>4126</v>
      </c>
      <c r="J683" s="4"/>
      <c r="K683" s="4"/>
      <c r="L683" s="4"/>
      <c r="M683" s="4"/>
      <c r="N683" s="4"/>
      <c r="O683" s="4"/>
      <c r="P683" s="4"/>
      <c r="Q683" s="4"/>
    </row>
    <row r="684" spans="1:17" ht="38.25" x14ac:dyDescent="0.2">
      <c r="A684" s="1">
        <f t="shared" ca="1" si="17"/>
        <v>682</v>
      </c>
      <c r="B684" s="10" t="s">
        <v>7659</v>
      </c>
      <c r="C684" s="82" t="s">
        <v>6910</v>
      </c>
      <c r="D684" s="4"/>
      <c r="E684" s="4"/>
      <c r="F684" s="71"/>
      <c r="G684" s="4"/>
      <c r="H684" s="4"/>
      <c r="I684" s="82" t="s">
        <v>4127</v>
      </c>
      <c r="J684" s="4"/>
      <c r="K684" s="4"/>
      <c r="L684" s="4"/>
      <c r="M684" s="4"/>
      <c r="N684" s="4"/>
      <c r="O684" s="4"/>
      <c r="P684" s="4"/>
      <c r="Q684" s="4"/>
    </row>
    <row r="685" spans="1:17" ht="38.25" x14ac:dyDescent="0.2">
      <c r="A685" s="1">
        <f t="shared" ca="1" si="17"/>
        <v>683</v>
      </c>
      <c r="B685" s="10" t="s">
        <v>7660</v>
      </c>
      <c r="C685" s="82" t="s">
        <v>6980</v>
      </c>
      <c r="D685" s="4"/>
      <c r="E685" s="4"/>
      <c r="F685" s="71"/>
      <c r="G685" s="4"/>
      <c r="H685" s="4"/>
      <c r="I685" s="82" t="s">
        <v>4128</v>
      </c>
      <c r="J685" s="4"/>
      <c r="K685" s="4"/>
      <c r="L685" s="4"/>
      <c r="M685" s="4"/>
      <c r="N685" s="4"/>
      <c r="O685" s="4"/>
      <c r="P685" s="4"/>
      <c r="Q685" s="4"/>
    </row>
    <row r="686" spans="1:17" ht="38.25" x14ac:dyDescent="0.2">
      <c r="A686" s="1">
        <f t="shared" ca="1" si="17"/>
        <v>684</v>
      </c>
      <c r="B686" s="10" t="s">
        <v>7661</v>
      </c>
      <c r="C686" s="82" t="s">
        <v>6981</v>
      </c>
      <c r="D686" s="4"/>
      <c r="E686" s="4"/>
      <c r="F686" s="71"/>
      <c r="G686" s="4"/>
      <c r="H686" s="4"/>
      <c r="I686" s="82" t="s">
        <v>4129</v>
      </c>
      <c r="J686" s="4"/>
      <c r="K686" s="4"/>
      <c r="L686" s="4"/>
      <c r="M686" s="4"/>
      <c r="N686" s="4"/>
      <c r="O686" s="4"/>
      <c r="P686" s="4"/>
      <c r="Q686" s="4"/>
    </row>
    <row r="687" spans="1:17" ht="63.75" x14ac:dyDescent="0.2">
      <c r="A687" s="1">
        <f t="shared" ca="1" si="17"/>
        <v>685</v>
      </c>
      <c r="B687" s="10" t="s">
        <v>2470</v>
      </c>
      <c r="C687" s="82" t="s">
        <v>8432</v>
      </c>
      <c r="D687" s="4"/>
      <c r="E687" s="4"/>
      <c r="F687" s="71"/>
      <c r="G687" s="4"/>
      <c r="H687" s="4"/>
      <c r="I687" s="82" t="s">
        <v>4130</v>
      </c>
      <c r="J687" s="4"/>
      <c r="K687" s="4"/>
      <c r="L687" s="4"/>
      <c r="M687" s="4"/>
      <c r="N687" s="4"/>
      <c r="O687" s="4"/>
      <c r="P687" s="4"/>
      <c r="Q687" s="4"/>
    </row>
    <row r="688" spans="1:17" ht="38.25" x14ac:dyDescent="0.2">
      <c r="A688" s="1">
        <f t="shared" ca="1" si="17"/>
        <v>686</v>
      </c>
      <c r="B688" s="1" t="s">
        <v>8550</v>
      </c>
      <c r="C688" s="145" t="s">
        <v>8552</v>
      </c>
      <c r="D688" s="4"/>
      <c r="E688" s="4"/>
      <c r="F688" s="71"/>
      <c r="G688" s="4"/>
      <c r="H688" s="4"/>
      <c r="I688" s="82"/>
      <c r="J688" s="4"/>
      <c r="K688" s="4"/>
      <c r="L688" s="4"/>
      <c r="M688" s="4"/>
      <c r="N688" s="4"/>
      <c r="O688" s="4"/>
      <c r="P688" s="4"/>
      <c r="Q688" s="4"/>
    </row>
    <row r="689" spans="1:17" ht="51" x14ac:dyDescent="0.2">
      <c r="A689" s="1">
        <f t="shared" ca="1" si="17"/>
        <v>687</v>
      </c>
      <c r="B689" s="1" t="s">
        <v>8551</v>
      </c>
      <c r="C689" s="145" t="s">
        <v>8553</v>
      </c>
      <c r="D689" s="4"/>
      <c r="E689" s="4"/>
      <c r="F689" s="71"/>
      <c r="G689" s="4"/>
      <c r="H689" s="4"/>
      <c r="I689" s="82"/>
      <c r="J689" s="4"/>
      <c r="K689" s="4"/>
      <c r="L689" s="4"/>
      <c r="M689" s="4"/>
      <c r="N689" s="4"/>
      <c r="O689" s="4"/>
      <c r="P689" s="4"/>
      <c r="Q689" s="4"/>
    </row>
    <row r="690" spans="1:17" x14ac:dyDescent="0.2">
      <c r="A690" s="1">
        <f t="shared" ca="1" si="17"/>
        <v>688</v>
      </c>
      <c r="B690" s="10" t="s">
        <v>2471</v>
      </c>
      <c r="C690" s="82" t="s">
        <v>7287</v>
      </c>
      <c r="D690" s="4"/>
      <c r="E690" s="4"/>
      <c r="F690" s="71"/>
      <c r="G690" s="4"/>
      <c r="H690" s="4"/>
      <c r="I690" s="4" t="s">
        <v>4131</v>
      </c>
      <c r="J690" s="4" t="s">
        <v>693</v>
      </c>
      <c r="K690" s="4"/>
      <c r="L690" s="4"/>
      <c r="M690" s="4"/>
      <c r="N690" s="4"/>
      <c r="O690" s="4"/>
      <c r="P690" s="4"/>
      <c r="Q690" s="4"/>
    </row>
    <row r="691" spans="1:17" x14ac:dyDescent="0.2">
      <c r="A691" s="1">
        <f t="shared" ca="1" si="17"/>
        <v>689</v>
      </c>
      <c r="B691" s="10" t="s">
        <v>2472</v>
      </c>
      <c r="C691" s="82" t="s">
        <v>937</v>
      </c>
      <c r="D691" s="4"/>
      <c r="E691" s="4"/>
      <c r="F691" s="71"/>
      <c r="G691" s="4"/>
      <c r="H691" s="4"/>
      <c r="I691" s="4" t="s">
        <v>4132</v>
      </c>
      <c r="J691" s="4" t="s">
        <v>694</v>
      </c>
      <c r="K691" s="4"/>
      <c r="L691" s="4"/>
      <c r="M691" s="4"/>
      <c r="N691" s="4"/>
      <c r="O691" s="4"/>
      <c r="P691" s="4"/>
      <c r="Q691" s="4"/>
    </row>
    <row r="692" spans="1:17" x14ac:dyDescent="0.2">
      <c r="A692" s="1">
        <f t="shared" ca="1" si="17"/>
        <v>690</v>
      </c>
      <c r="B692" s="10" t="s">
        <v>2473</v>
      </c>
      <c r="C692" s="82" t="s">
        <v>7288</v>
      </c>
      <c r="D692" s="4"/>
      <c r="E692" s="4"/>
      <c r="F692" s="71"/>
      <c r="G692" s="4"/>
      <c r="H692" s="4"/>
      <c r="I692" s="4" t="s">
        <v>4133</v>
      </c>
      <c r="J692" s="4" t="s">
        <v>695</v>
      </c>
      <c r="K692" s="4"/>
      <c r="L692" s="4"/>
      <c r="M692" s="4"/>
      <c r="N692" s="4"/>
      <c r="O692" s="4"/>
      <c r="P692" s="4"/>
      <c r="Q692" s="4"/>
    </row>
    <row r="693" spans="1:17" x14ac:dyDescent="0.2">
      <c r="A693" s="1">
        <f t="shared" ca="1" si="17"/>
        <v>691</v>
      </c>
      <c r="B693" s="10" t="s">
        <v>2474</v>
      </c>
      <c r="C693" s="82" t="s">
        <v>1507</v>
      </c>
      <c r="D693" s="4"/>
      <c r="E693" s="4"/>
      <c r="F693" s="71"/>
      <c r="G693" s="4"/>
      <c r="H693" s="4"/>
      <c r="I693" s="4" t="s">
        <v>6112</v>
      </c>
      <c r="J693" s="4" t="s">
        <v>696</v>
      </c>
      <c r="K693" s="4"/>
      <c r="L693" s="4"/>
      <c r="M693" s="4"/>
      <c r="N693" s="4"/>
      <c r="O693" s="4"/>
      <c r="P693" s="4"/>
      <c r="Q693" s="4"/>
    </row>
    <row r="694" spans="1:17" x14ac:dyDescent="0.2">
      <c r="A694" s="1">
        <f t="shared" ca="1" si="17"/>
        <v>692</v>
      </c>
      <c r="B694" s="10" t="s">
        <v>2475</v>
      </c>
      <c r="C694" s="82" t="s">
        <v>6610</v>
      </c>
      <c r="D694" s="4"/>
      <c r="E694" s="4"/>
      <c r="F694" s="71"/>
      <c r="G694" s="4"/>
      <c r="H694" s="4"/>
      <c r="I694" s="4" t="s">
        <v>4134</v>
      </c>
      <c r="J694" s="4" t="s">
        <v>697</v>
      </c>
      <c r="K694" s="4"/>
      <c r="L694" s="4"/>
      <c r="M694" s="4"/>
      <c r="N694" s="4"/>
      <c r="O694" s="4"/>
      <c r="P694" s="4"/>
      <c r="Q694" s="4"/>
    </row>
    <row r="695" spans="1:17" x14ac:dyDescent="0.2">
      <c r="A695" s="1">
        <f t="shared" ca="1" si="17"/>
        <v>693</v>
      </c>
      <c r="B695" s="10" t="s">
        <v>2476</v>
      </c>
      <c r="C695" s="82" t="s">
        <v>6982</v>
      </c>
      <c r="D695" s="4"/>
      <c r="E695" s="4"/>
      <c r="F695" s="71"/>
      <c r="G695" s="4"/>
      <c r="H695" s="4"/>
      <c r="I695" s="4" t="s">
        <v>4135</v>
      </c>
      <c r="J695" s="4" t="s">
        <v>698</v>
      </c>
      <c r="K695" s="4"/>
      <c r="L695" s="4"/>
      <c r="M695" s="4"/>
      <c r="N695" s="4"/>
      <c r="O695" s="4"/>
      <c r="P695" s="4"/>
      <c r="Q695" s="4"/>
    </row>
    <row r="696" spans="1:17" x14ac:dyDescent="0.2">
      <c r="A696" s="1">
        <f t="shared" ca="1" si="17"/>
        <v>694</v>
      </c>
      <c r="B696" s="10" t="s">
        <v>2477</v>
      </c>
      <c r="C696" s="82" t="s">
        <v>2477</v>
      </c>
      <c r="D696" s="4"/>
      <c r="E696" s="4"/>
      <c r="F696" s="71"/>
      <c r="G696" s="4"/>
      <c r="H696" s="4"/>
      <c r="I696" s="82" t="s">
        <v>4136</v>
      </c>
      <c r="J696" s="4" t="s">
        <v>1588</v>
      </c>
      <c r="K696" s="4"/>
      <c r="L696" s="4"/>
      <c r="M696" s="4"/>
      <c r="N696" s="4"/>
      <c r="O696" s="4"/>
      <c r="P696" s="4"/>
      <c r="Q696" s="4"/>
    </row>
    <row r="697" spans="1:17" x14ac:dyDescent="0.2">
      <c r="A697" s="1">
        <f t="shared" ca="1" si="17"/>
        <v>695</v>
      </c>
      <c r="B697" s="10" t="s">
        <v>2600</v>
      </c>
      <c r="C697" s="82" t="s">
        <v>6983</v>
      </c>
      <c r="D697" s="4"/>
      <c r="E697" s="4"/>
      <c r="F697" s="71"/>
      <c r="G697" s="4"/>
      <c r="H697" s="4"/>
      <c r="I697" s="4" t="s">
        <v>4137</v>
      </c>
      <c r="J697" s="4" t="s">
        <v>699</v>
      </c>
      <c r="K697" s="4"/>
      <c r="L697" s="4"/>
      <c r="M697" s="4"/>
      <c r="N697" s="4"/>
      <c r="O697" s="4"/>
      <c r="P697" s="4"/>
      <c r="Q697" s="4"/>
    </row>
    <row r="698" spans="1:17" x14ac:dyDescent="0.2">
      <c r="A698" s="1">
        <f t="shared" ca="1" si="17"/>
        <v>696</v>
      </c>
      <c r="B698" s="10" t="s">
        <v>4463</v>
      </c>
      <c r="C698" s="82" t="s">
        <v>2634</v>
      </c>
      <c r="D698" s="4"/>
      <c r="E698" s="4"/>
      <c r="F698" s="71"/>
      <c r="G698" s="4"/>
      <c r="H698" s="4"/>
      <c r="I698" s="4" t="s">
        <v>3058</v>
      </c>
      <c r="J698" s="4" t="s">
        <v>700</v>
      </c>
      <c r="K698" s="4"/>
      <c r="L698" s="4"/>
      <c r="M698" s="4"/>
      <c r="N698" s="4"/>
      <c r="O698" s="4"/>
      <c r="P698" s="4"/>
      <c r="Q698" s="4"/>
    </row>
    <row r="699" spans="1:17" x14ac:dyDescent="0.2">
      <c r="A699" s="1">
        <f t="shared" ca="1" si="17"/>
        <v>697</v>
      </c>
      <c r="B699" s="10" t="s">
        <v>2478</v>
      </c>
      <c r="C699" s="82" t="s">
        <v>5574</v>
      </c>
      <c r="D699" s="4"/>
      <c r="E699" s="4"/>
      <c r="F699" s="71"/>
      <c r="G699" s="4"/>
      <c r="H699" s="4"/>
      <c r="I699" s="4" t="s">
        <v>4138</v>
      </c>
      <c r="J699" s="4"/>
      <c r="K699" s="4"/>
      <c r="L699" s="4"/>
      <c r="M699" s="4"/>
      <c r="N699" s="4"/>
      <c r="O699" s="4"/>
      <c r="P699" s="4"/>
      <c r="Q699" s="4"/>
    </row>
    <row r="700" spans="1:17" x14ac:dyDescent="0.2">
      <c r="A700" s="1">
        <f t="shared" ca="1" si="17"/>
        <v>698</v>
      </c>
      <c r="B700" s="10" t="s">
        <v>7327</v>
      </c>
      <c r="C700" s="82" t="s">
        <v>2629</v>
      </c>
      <c r="D700" s="4"/>
      <c r="E700" s="4"/>
      <c r="F700" s="71"/>
      <c r="G700" s="4"/>
      <c r="H700" s="4"/>
      <c r="I700" s="4" t="s">
        <v>4139</v>
      </c>
      <c r="J700" s="4" t="s">
        <v>701</v>
      </c>
      <c r="K700" s="4"/>
      <c r="L700" s="4"/>
      <c r="M700" s="4"/>
      <c r="N700" s="4"/>
      <c r="O700" s="4"/>
      <c r="P700" s="4"/>
      <c r="Q700" s="4"/>
    </row>
    <row r="701" spans="1:17" x14ac:dyDescent="0.2">
      <c r="A701" s="1">
        <f t="shared" ca="1" si="17"/>
        <v>699</v>
      </c>
      <c r="B701" s="10" t="s">
        <v>2479</v>
      </c>
      <c r="C701" s="82" t="s">
        <v>3510</v>
      </c>
      <c r="D701" s="4"/>
      <c r="E701" s="4"/>
      <c r="F701" s="71"/>
      <c r="G701" s="4"/>
      <c r="H701" s="4"/>
      <c r="I701" s="4" t="s">
        <v>1916</v>
      </c>
      <c r="J701" s="4" t="s">
        <v>702</v>
      </c>
      <c r="K701" s="4"/>
      <c r="L701" s="4"/>
      <c r="M701" s="4"/>
      <c r="N701" s="4"/>
      <c r="O701" s="4"/>
      <c r="P701" s="4"/>
      <c r="Q701" s="4"/>
    </row>
    <row r="702" spans="1:17" x14ac:dyDescent="0.2">
      <c r="A702" s="1">
        <f ca="1">CELL("row",C702)-2</f>
        <v>700</v>
      </c>
      <c r="B702" s="10" t="s">
        <v>5233</v>
      </c>
      <c r="C702" s="82" t="s">
        <v>7111</v>
      </c>
      <c r="D702" s="4"/>
      <c r="E702" s="4"/>
      <c r="F702" s="71"/>
      <c r="G702" s="4"/>
      <c r="H702" s="4"/>
      <c r="I702" s="4" t="s">
        <v>1917</v>
      </c>
      <c r="J702" s="4" t="s">
        <v>702</v>
      </c>
      <c r="K702" s="4"/>
      <c r="L702" s="4"/>
      <c r="M702" s="4"/>
      <c r="N702" s="4"/>
      <c r="O702" s="4"/>
      <c r="P702" s="4"/>
      <c r="Q702" s="4"/>
    </row>
    <row r="703" spans="1:17" x14ac:dyDescent="0.2">
      <c r="A703" s="1">
        <f t="shared" ca="1" si="17"/>
        <v>701</v>
      </c>
      <c r="B703" s="10" t="s">
        <v>4028</v>
      </c>
      <c r="C703" s="82" t="s">
        <v>6984</v>
      </c>
      <c r="D703" s="4"/>
      <c r="E703" s="4"/>
      <c r="F703" s="71"/>
      <c r="G703" s="4"/>
      <c r="H703" s="4"/>
      <c r="I703" s="4" t="s">
        <v>1918</v>
      </c>
      <c r="J703" s="4" t="s">
        <v>703</v>
      </c>
      <c r="K703" s="4"/>
      <c r="L703" s="4"/>
      <c r="M703" s="4"/>
      <c r="N703" s="4"/>
      <c r="O703" s="4"/>
      <c r="P703" s="4"/>
      <c r="Q703" s="4"/>
    </row>
    <row r="704" spans="1:17" x14ac:dyDescent="0.2">
      <c r="A704" s="1">
        <f t="shared" ca="1" si="17"/>
        <v>702</v>
      </c>
      <c r="B704" s="10" t="s">
        <v>2480</v>
      </c>
      <c r="C704" s="82" t="s">
        <v>6609</v>
      </c>
      <c r="D704" s="4"/>
      <c r="E704" s="4"/>
      <c r="F704" s="71"/>
      <c r="G704" s="4"/>
      <c r="H704" s="4"/>
      <c r="I704" s="4" t="s">
        <v>1919</v>
      </c>
      <c r="J704" s="4" t="s">
        <v>704</v>
      </c>
      <c r="K704" s="4"/>
      <c r="L704" s="4"/>
      <c r="M704" s="4"/>
      <c r="N704" s="4"/>
      <c r="O704" s="4"/>
      <c r="P704" s="4"/>
      <c r="Q704" s="4"/>
    </row>
    <row r="705" spans="1:17" x14ac:dyDescent="0.2">
      <c r="A705" s="1">
        <f t="shared" ref="A705:A736" ca="1" si="18">CELL("row",C705)-2</f>
        <v>703</v>
      </c>
      <c r="B705" s="10" t="s">
        <v>2481</v>
      </c>
      <c r="C705" s="82" t="s">
        <v>4225</v>
      </c>
      <c r="D705" s="4"/>
      <c r="E705" s="4"/>
      <c r="F705" s="71"/>
      <c r="G705" s="4"/>
      <c r="H705" s="4"/>
      <c r="I705" s="4" t="s">
        <v>1920</v>
      </c>
      <c r="J705" s="4"/>
      <c r="K705" s="4"/>
      <c r="L705" s="4"/>
      <c r="M705" s="4"/>
      <c r="N705" s="4"/>
      <c r="O705" s="4"/>
      <c r="P705" s="4"/>
      <c r="Q705" s="4"/>
    </row>
    <row r="706" spans="1:17" x14ac:dyDescent="0.2">
      <c r="A706" s="1">
        <f t="shared" ca="1" si="18"/>
        <v>704</v>
      </c>
      <c r="B706" s="10" t="s">
        <v>3628</v>
      </c>
      <c r="C706" s="82" t="s">
        <v>6985</v>
      </c>
      <c r="D706" s="4"/>
      <c r="E706" s="4"/>
      <c r="F706" s="71"/>
      <c r="G706" s="4"/>
      <c r="H706" s="4"/>
      <c r="I706" s="4" t="s">
        <v>1921</v>
      </c>
      <c r="J706" s="4"/>
      <c r="K706" s="4"/>
      <c r="L706" s="4"/>
      <c r="M706" s="4"/>
      <c r="N706" s="4"/>
      <c r="O706" s="4"/>
      <c r="P706" s="4"/>
      <c r="Q706" s="4"/>
    </row>
    <row r="707" spans="1:17" x14ac:dyDescent="0.2">
      <c r="A707" s="1">
        <f t="shared" ca="1" si="18"/>
        <v>705</v>
      </c>
      <c r="B707" s="10" t="s">
        <v>3629</v>
      </c>
      <c r="C707" s="82" t="s">
        <v>7289</v>
      </c>
      <c r="D707" s="4"/>
      <c r="E707" s="4"/>
      <c r="F707" s="71"/>
      <c r="G707" s="4"/>
      <c r="H707" s="4"/>
      <c r="I707" s="4" t="s">
        <v>1922</v>
      </c>
      <c r="J707" s="4"/>
      <c r="K707" s="4"/>
      <c r="L707" s="4"/>
      <c r="M707" s="4"/>
      <c r="N707" s="4"/>
      <c r="O707" s="4"/>
      <c r="P707" s="4"/>
      <c r="Q707" s="4"/>
    </row>
    <row r="708" spans="1:17" x14ac:dyDescent="0.2">
      <c r="A708" s="1">
        <f t="shared" ca="1" si="18"/>
        <v>706</v>
      </c>
      <c r="B708" s="10" t="s">
        <v>7955</v>
      </c>
      <c r="C708" s="82" t="s">
        <v>7290</v>
      </c>
      <c r="D708" s="4"/>
      <c r="E708" s="4"/>
      <c r="F708" s="71"/>
      <c r="G708" s="4"/>
      <c r="H708" s="4"/>
      <c r="I708" s="4" t="s">
        <v>1923</v>
      </c>
      <c r="J708" s="4"/>
      <c r="K708" s="4"/>
      <c r="L708" s="4"/>
      <c r="M708" s="4"/>
      <c r="N708" s="4"/>
      <c r="O708" s="4"/>
      <c r="P708" s="4"/>
      <c r="Q708" s="4"/>
    </row>
    <row r="709" spans="1:17" x14ac:dyDescent="0.2">
      <c r="A709" s="1">
        <f t="shared" ca="1" si="18"/>
        <v>707</v>
      </c>
      <c r="B709" s="10" t="s">
        <v>7956</v>
      </c>
      <c r="C709" s="82" t="s">
        <v>7291</v>
      </c>
      <c r="D709" s="4"/>
      <c r="E709" s="4"/>
      <c r="F709" s="71"/>
      <c r="G709" s="4"/>
      <c r="H709" s="4"/>
      <c r="I709" s="4" t="s">
        <v>1924</v>
      </c>
      <c r="J709" s="4"/>
      <c r="K709" s="4"/>
      <c r="L709" s="4"/>
      <c r="M709" s="4"/>
      <c r="N709" s="4"/>
      <c r="O709" s="4"/>
      <c r="P709" s="4"/>
      <c r="Q709" s="4"/>
    </row>
    <row r="710" spans="1:17" x14ac:dyDescent="0.2">
      <c r="A710" s="1">
        <f t="shared" ca="1" si="18"/>
        <v>708</v>
      </c>
      <c r="B710" s="10" t="s">
        <v>7598</v>
      </c>
      <c r="C710" s="82" t="s">
        <v>6986</v>
      </c>
      <c r="D710" s="4"/>
      <c r="E710" s="4"/>
      <c r="F710" s="71"/>
      <c r="G710" s="4"/>
      <c r="H710" s="4"/>
      <c r="I710" s="4" t="s">
        <v>1925</v>
      </c>
      <c r="J710" s="4"/>
      <c r="K710" s="4"/>
      <c r="L710" s="4"/>
      <c r="M710" s="4"/>
      <c r="N710" s="4"/>
      <c r="O710" s="4"/>
      <c r="P710" s="4"/>
      <c r="Q710" s="4"/>
    </row>
    <row r="711" spans="1:17" x14ac:dyDescent="0.2">
      <c r="A711" s="1">
        <f t="shared" ca="1" si="18"/>
        <v>709</v>
      </c>
      <c r="B711" s="10" t="s">
        <v>7599</v>
      </c>
      <c r="C711" s="82" t="s">
        <v>7292</v>
      </c>
      <c r="D711" s="4"/>
      <c r="E711" s="4"/>
      <c r="F711" s="71"/>
      <c r="G711" s="4"/>
      <c r="H711" s="4"/>
      <c r="I711" s="4" t="s">
        <v>1926</v>
      </c>
      <c r="J711" s="4"/>
      <c r="K711" s="4"/>
      <c r="L711" s="4"/>
      <c r="M711" s="4"/>
      <c r="N711" s="4"/>
      <c r="O711" s="4"/>
      <c r="P711" s="4"/>
      <c r="Q711" s="4"/>
    </row>
    <row r="712" spans="1:17" x14ac:dyDescent="0.2">
      <c r="A712" s="1">
        <f t="shared" ca="1" si="18"/>
        <v>710</v>
      </c>
      <c r="B712" s="10" t="s">
        <v>7600</v>
      </c>
      <c r="C712" s="82" t="s">
        <v>2482</v>
      </c>
      <c r="D712" s="4"/>
      <c r="E712" s="4"/>
      <c r="F712" s="71"/>
      <c r="G712" s="4"/>
      <c r="H712" s="4"/>
      <c r="I712" s="4" t="s">
        <v>1927</v>
      </c>
      <c r="J712" s="4"/>
      <c r="K712" s="4"/>
      <c r="L712" s="4"/>
      <c r="M712" s="4"/>
      <c r="N712" s="4"/>
      <c r="O712" s="4"/>
      <c r="P712" s="4"/>
      <c r="Q712" s="4"/>
    </row>
    <row r="713" spans="1:17" x14ac:dyDescent="0.2">
      <c r="A713" s="1">
        <f t="shared" ca="1" si="18"/>
        <v>711</v>
      </c>
      <c r="B713" s="10" t="s">
        <v>1117</v>
      </c>
      <c r="C713" s="82" t="s">
        <v>7293</v>
      </c>
      <c r="D713" s="4"/>
      <c r="E713" s="4"/>
      <c r="F713" s="71"/>
      <c r="G713" s="4"/>
      <c r="H713" s="4"/>
      <c r="I713" s="4" t="s">
        <v>1928</v>
      </c>
      <c r="J713" s="4"/>
      <c r="K713" s="4"/>
      <c r="L713" s="4"/>
      <c r="M713" s="4"/>
      <c r="N713" s="4"/>
      <c r="O713" s="4"/>
      <c r="P713" s="4"/>
      <c r="Q713" s="4"/>
    </row>
    <row r="714" spans="1:17" x14ac:dyDescent="0.2">
      <c r="A714" s="1">
        <f t="shared" ca="1" si="18"/>
        <v>712</v>
      </c>
      <c r="B714" s="10" t="s">
        <v>8040</v>
      </c>
      <c r="C714" s="82" t="s">
        <v>4205</v>
      </c>
      <c r="D714" s="4"/>
      <c r="E714" s="4"/>
      <c r="F714" s="71"/>
      <c r="G714" s="4"/>
      <c r="H714" s="4"/>
      <c r="I714" s="4" t="s">
        <v>1929</v>
      </c>
      <c r="J714" s="4"/>
      <c r="K714" s="4"/>
      <c r="L714" s="4"/>
      <c r="M714" s="4"/>
      <c r="N714" s="4"/>
      <c r="O714" s="4"/>
      <c r="P714" s="4"/>
      <c r="Q714" s="4"/>
    </row>
    <row r="715" spans="1:17" x14ac:dyDescent="0.2">
      <c r="A715" s="1">
        <f t="shared" ca="1" si="18"/>
        <v>713</v>
      </c>
      <c r="B715" s="10" t="s">
        <v>7601</v>
      </c>
      <c r="C715" s="82" t="s">
        <v>8474</v>
      </c>
      <c r="D715" s="4"/>
      <c r="E715" s="4"/>
      <c r="F715" s="71"/>
      <c r="G715" s="4"/>
      <c r="H715" s="4"/>
      <c r="I715" s="4" t="s">
        <v>483</v>
      </c>
      <c r="J715" s="4"/>
      <c r="K715" s="4"/>
      <c r="L715" s="4"/>
      <c r="M715" s="4"/>
      <c r="N715" s="4"/>
      <c r="O715" s="4"/>
      <c r="P715" s="4"/>
      <c r="Q715" s="4"/>
    </row>
    <row r="716" spans="1:17" x14ac:dyDescent="0.2">
      <c r="A716" s="1">
        <f t="shared" ca="1" si="18"/>
        <v>714</v>
      </c>
      <c r="B716" s="10" t="s">
        <v>7602</v>
      </c>
      <c r="C716" s="82" t="s">
        <v>3190</v>
      </c>
      <c r="D716" s="4"/>
      <c r="E716" s="4"/>
      <c r="F716" s="71"/>
      <c r="G716" s="4"/>
      <c r="H716" s="4"/>
      <c r="I716" s="4" t="s">
        <v>484</v>
      </c>
      <c r="J716" s="4"/>
      <c r="K716" s="4"/>
      <c r="L716" s="4"/>
      <c r="M716" s="4"/>
      <c r="N716" s="4"/>
      <c r="O716" s="4"/>
      <c r="P716" s="4"/>
      <c r="Q716" s="4"/>
    </row>
    <row r="717" spans="1:17" x14ac:dyDescent="0.2">
      <c r="A717" s="1">
        <f t="shared" ca="1" si="18"/>
        <v>715</v>
      </c>
      <c r="B717" s="10" t="s">
        <v>7603</v>
      </c>
      <c r="C717" s="82" t="s">
        <v>956</v>
      </c>
      <c r="D717" s="4"/>
      <c r="E717" s="4"/>
      <c r="F717" s="71"/>
      <c r="G717" s="4"/>
      <c r="H717" s="4"/>
      <c r="I717" s="4" t="s">
        <v>485</v>
      </c>
      <c r="J717" s="4"/>
      <c r="K717" s="4"/>
      <c r="L717" s="4"/>
      <c r="M717" s="4"/>
      <c r="N717" s="4"/>
      <c r="O717" s="4"/>
      <c r="P717" s="4"/>
      <c r="Q717" s="4"/>
    </row>
    <row r="718" spans="1:17" x14ac:dyDescent="0.2">
      <c r="A718" s="1">
        <f t="shared" ca="1" si="18"/>
        <v>716</v>
      </c>
      <c r="B718" s="10" t="s">
        <v>4635</v>
      </c>
      <c r="C718" s="82" t="s">
        <v>4206</v>
      </c>
      <c r="D718" s="4"/>
      <c r="E718" s="4"/>
      <c r="F718" s="71"/>
      <c r="G718" s="4"/>
      <c r="H718" s="4"/>
      <c r="I718" s="4" t="s">
        <v>486</v>
      </c>
      <c r="J718" s="4"/>
      <c r="K718" s="4"/>
      <c r="L718" s="4"/>
      <c r="M718" s="4"/>
      <c r="N718" s="4"/>
      <c r="O718" s="4"/>
      <c r="P718" s="4"/>
      <c r="Q718" s="4"/>
    </row>
    <row r="719" spans="1:17" x14ac:dyDescent="0.2">
      <c r="A719" s="1">
        <f t="shared" ca="1" si="18"/>
        <v>717</v>
      </c>
      <c r="B719" s="10" t="s">
        <v>4634</v>
      </c>
      <c r="C719" s="82" t="s">
        <v>4636</v>
      </c>
      <c r="D719" s="4"/>
      <c r="E719" s="4"/>
      <c r="F719" s="71"/>
      <c r="G719" s="4"/>
      <c r="H719" s="4"/>
      <c r="I719" s="4" t="s">
        <v>487</v>
      </c>
      <c r="J719" s="4"/>
      <c r="K719" s="4"/>
      <c r="L719" s="4"/>
      <c r="M719" s="4"/>
      <c r="N719" s="4"/>
      <c r="O719" s="4"/>
      <c r="P719" s="4"/>
      <c r="Q719" s="4"/>
    </row>
    <row r="720" spans="1:17" x14ac:dyDescent="0.2">
      <c r="A720" s="1">
        <f t="shared" ca="1" si="18"/>
        <v>718</v>
      </c>
      <c r="B720" s="10" t="s">
        <v>7604</v>
      </c>
      <c r="C720" s="82" t="s">
        <v>6987</v>
      </c>
      <c r="D720" s="4"/>
      <c r="E720" s="4"/>
      <c r="F720" s="71"/>
      <c r="G720" s="4"/>
      <c r="H720" s="4"/>
      <c r="I720" s="4" t="s">
        <v>488</v>
      </c>
      <c r="J720" s="4"/>
      <c r="K720" s="4"/>
      <c r="L720" s="4"/>
      <c r="M720" s="4"/>
      <c r="N720" s="4"/>
      <c r="O720" s="4"/>
      <c r="P720" s="4"/>
      <c r="Q720" s="4"/>
    </row>
    <row r="721" spans="1:17" x14ac:dyDescent="0.2">
      <c r="A721" s="1">
        <f t="shared" ca="1" si="18"/>
        <v>719</v>
      </c>
      <c r="B721" s="10" t="s">
        <v>7605</v>
      </c>
      <c r="C721" s="82" t="s">
        <v>4207</v>
      </c>
      <c r="D721" s="4"/>
      <c r="E721" s="4"/>
      <c r="F721" s="71"/>
      <c r="G721" s="4"/>
      <c r="H721" s="4"/>
      <c r="I721" s="4" t="s">
        <v>2819</v>
      </c>
      <c r="J721" s="4"/>
      <c r="K721" s="4"/>
      <c r="L721" s="4"/>
      <c r="M721" s="4"/>
      <c r="N721" s="4"/>
      <c r="O721" s="4"/>
      <c r="P721" s="4"/>
      <c r="Q721" s="4"/>
    </row>
    <row r="722" spans="1:17" x14ac:dyDescent="0.2">
      <c r="A722" s="1">
        <f t="shared" ca="1" si="18"/>
        <v>720</v>
      </c>
      <c r="B722" s="10" t="s">
        <v>7606</v>
      </c>
      <c r="C722" s="82" t="s">
        <v>4208</v>
      </c>
      <c r="D722" s="4"/>
      <c r="E722" s="4"/>
      <c r="F722" s="71"/>
      <c r="G722" s="4"/>
      <c r="H722" s="4"/>
      <c r="I722" s="4" t="s">
        <v>2820</v>
      </c>
      <c r="J722" s="4"/>
      <c r="K722" s="4"/>
      <c r="L722" s="4"/>
      <c r="M722" s="4"/>
      <c r="N722" s="4"/>
      <c r="O722" s="4"/>
      <c r="P722" s="4"/>
      <c r="Q722" s="4"/>
    </row>
    <row r="723" spans="1:17" ht="25.5" x14ac:dyDescent="0.2">
      <c r="A723" s="1">
        <f t="shared" ca="1" si="18"/>
        <v>721</v>
      </c>
      <c r="B723" s="10" t="s">
        <v>7607</v>
      </c>
      <c r="C723" s="82" t="s">
        <v>4209</v>
      </c>
      <c r="D723" s="4"/>
      <c r="E723" s="4"/>
      <c r="F723" s="71"/>
      <c r="G723" s="4"/>
      <c r="H723" s="4"/>
      <c r="I723" s="4" t="s">
        <v>2821</v>
      </c>
      <c r="J723" s="4"/>
      <c r="K723" s="4"/>
      <c r="L723" s="4"/>
      <c r="M723" s="4"/>
      <c r="N723" s="4"/>
      <c r="O723" s="4"/>
      <c r="P723" s="4"/>
      <c r="Q723" s="4"/>
    </row>
    <row r="724" spans="1:17" ht="25.5" x14ac:dyDescent="0.2">
      <c r="A724" s="1">
        <f t="shared" ca="1" si="18"/>
        <v>722</v>
      </c>
      <c r="B724" s="10" t="s">
        <v>7608</v>
      </c>
      <c r="C724" s="82" t="s">
        <v>6988</v>
      </c>
      <c r="D724" s="4"/>
      <c r="E724" s="4"/>
      <c r="F724" s="71"/>
      <c r="G724" s="4"/>
      <c r="H724" s="4"/>
      <c r="I724" s="4" t="s">
        <v>2822</v>
      </c>
      <c r="J724" s="4"/>
      <c r="K724" s="4"/>
      <c r="L724" s="4"/>
      <c r="M724" s="4"/>
      <c r="N724" s="4"/>
      <c r="O724" s="4"/>
      <c r="P724" s="4"/>
      <c r="Q724" s="4"/>
    </row>
    <row r="725" spans="1:17" x14ac:dyDescent="0.2">
      <c r="A725" s="1">
        <f t="shared" ca="1" si="18"/>
        <v>723</v>
      </c>
      <c r="B725" s="10" t="s">
        <v>2587</v>
      </c>
      <c r="C725" s="82" t="s">
        <v>6989</v>
      </c>
      <c r="D725" s="4"/>
      <c r="E725" s="4"/>
      <c r="F725" s="71"/>
      <c r="G725" s="4"/>
      <c r="H725" s="4"/>
      <c r="I725" s="4" t="s">
        <v>2823</v>
      </c>
      <c r="J725" s="4"/>
      <c r="K725" s="4"/>
      <c r="L725" s="4"/>
      <c r="M725" s="4"/>
      <c r="N725" s="4"/>
      <c r="O725" s="4"/>
      <c r="P725" s="4"/>
      <c r="Q725" s="4"/>
    </row>
    <row r="726" spans="1:17" x14ac:dyDescent="0.2">
      <c r="A726" s="1">
        <f t="shared" ca="1" si="18"/>
        <v>724</v>
      </c>
      <c r="B726" s="10" t="s">
        <v>2588</v>
      </c>
      <c r="C726" s="82" t="s">
        <v>8478</v>
      </c>
      <c r="D726" s="4"/>
      <c r="E726" s="4"/>
      <c r="F726" s="71"/>
      <c r="G726" s="4"/>
      <c r="H726" s="4"/>
      <c r="I726" s="4" t="s">
        <v>995</v>
      </c>
      <c r="J726" s="4"/>
      <c r="K726" s="4"/>
      <c r="L726" s="4"/>
      <c r="M726" s="4"/>
      <c r="N726" s="4"/>
      <c r="O726" s="4"/>
      <c r="P726" s="4"/>
      <c r="Q726" s="4"/>
    </row>
    <row r="727" spans="1:17" x14ac:dyDescent="0.2">
      <c r="A727" s="1">
        <f t="shared" ca="1" si="18"/>
        <v>725</v>
      </c>
      <c r="B727" s="10" t="s">
        <v>2589</v>
      </c>
      <c r="C727" s="82" t="s">
        <v>6990</v>
      </c>
      <c r="D727" s="4"/>
      <c r="E727" s="4"/>
      <c r="F727" s="71"/>
      <c r="G727" s="4"/>
      <c r="H727" s="4"/>
      <c r="I727" s="4" t="s">
        <v>2824</v>
      </c>
      <c r="J727" s="4"/>
      <c r="K727" s="4"/>
      <c r="L727" s="4"/>
      <c r="M727" s="4"/>
      <c r="N727" s="4"/>
      <c r="O727" s="4"/>
      <c r="P727" s="4"/>
      <c r="Q727" s="4"/>
    </row>
    <row r="728" spans="1:17" x14ac:dyDescent="0.2">
      <c r="A728" s="1">
        <f t="shared" ca="1" si="18"/>
        <v>726</v>
      </c>
      <c r="B728" s="10" t="s">
        <v>2590</v>
      </c>
      <c r="C728" s="82" t="s">
        <v>1101</v>
      </c>
      <c r="D728" s="4"/>
      <c r="E728" s="4"/>
      <c r="F728" s="71"/>
      <c r="G728" s="4"/>
      <c r="H728" s="4"/>
      <c r="I728" s="4" t="s">
        <v>2825</v>
      </c>
      <c r="J728" s="4"/>
      <c r="K728" s="4"/>
      <c r="L728" s="4"/>
      <c r="M728" s="4"/>
      <c r="N728" s="4"/>
      <c r="O728" s="4"/>
      <c r="P728" s="4"/>
      <c r="Q728" s="4"/>
    </row>
    <row r="729" spans="1:17" x14ac:dyDescent="0.2">
      <c r="A729" s="1">
        <f t="shared" ca="1" si="18"/>
        <v>727</v>
      </c>
      <c r="B729" s="10" t="s">
        <v>2591</v>
      </c>
      <c r="C729" s="82" t="s">
        <v>5575</v>
      </c>
      <c r="D729" s="4"/>
      <c r="E729" s="4"/>
      <c r="F729" s="71"/>
      <c r="G729" s="4"/>
      <c r="H729" s="4"/>
      <c r="I729" s="4" t="s">
        <v>2826</v>
      </c>
      <c r="J729" s="4"/>
      <c r="K729" s="4"/>
      <c r="L729" s="4"/>
      <c r="M729" s="4"/>
      <c r="N729" s="4"/>
      <c r="O729" s="4"/>
      <c r="P729" s="4"/>
      <c r="Q729" s="4"/>
    </row>
    <row r="730" spans="1:17" x14ac:dyDescent="0.2">
      <c r="A730" s="1">
        <f t="shared" ca="1" si="18"/>
        <v>728</v>
      </c>
      <c r="B730" s="10" t="s">
        <v>3608</v>
      </c>
      <c r="C730" s="82" t="s">
        <v>6991</v>
      </c>
      <c r="D730" s="4"/>
      <c r="E730" s="4"/>
      <c r="F730" s="71"/>
      <c r="G730" s="4"/>
      <c r="H730" s="4"/>
      <c r="I730" s="4" t="s">
        <v>2827</v>
      </c>
      <c r="J730" s="4"/>
      <c r="K730" s="4"/>
      <c r="L730" s="4"/>
      <c r="M730" s="4"/>
      <c r="N730" s="4"/>
      <c r="O730" s="4"/>
      <c r="P730" s="4"/>
      <c r="Q730" s="4"/>
    </row>
    <row r="731" spans="1:17" ht="25.5" x14ac:dyDescent="0.2">
      <c r="A731" s="1">
        <f t="shared" ca="1" si="18"/>
        <v>729</v>
      </c>
      <c r="B731" s="10" t="s">
        <v>3609</v>
      </c>
      <c r="C731" s="82" t="s">
        <v>4165</v>
      </c>
      <c r="D731" s="4"/>
      <c r="E731" s="4"/>
      <c r="F731" s="71"/>
      <c r="G731" s="4"/>
      <c r="H731" s="4"/>
      <c r="I731" s="4" t="s">
        <v>2828</v>
      </c>
      <c r="J731" s="4"/>
      <c r="K731" s="4"/>
      <c r="L731" s="4"/>
      <c r="M731" s="4"/>
      <c r="N731" s="4"/>
      <c r="O731" s="4"/>
      <c r="P731" s="4"/>
      <c r="Q731" s="4"/>
    </row>
    <row r="732" spans="1:17" x14ac:dyDescent="0.2">
      <c r="A732" s="1">
        <f t="shared" ca="1" si="18"/>
        <v>730</v>
      </c>
      <c r="B732" s="10" t="s">
        <v>3610</v>
      </c>
      <c r="C732" s="82" t="s">
        <v>6992</v>
      </c>
      <c r="D732" s="4"/>
      <c r="E732" s="4"/>
      <c r="F732" s="71"/>
      <c r="G732" s="4"/>
      <c r="H732" s="4"/>
      <c r="I732" s="4" t="s">
        <v>2829</v>
      </c>
      <c r="J732" s="4"/>
      <c r="K732" s="4"/>
      <c r="L732" s="4"/>
      <c r="M732" s="4"/>
      <c r="N732" s="4"/>
      <c r="O732" s="4"/>
      <c r="P732" s="4"/>
      <c r="Q732" s="4"/>
    </row>
    <row r="733" spans="1:17" x14ac:dyDescent="0.2">
      <c r="A733" s="1">
        <f t="shared" ca="1" si="18"/>
        <v>731</v>
      </c>
      <c r="B733" s="10" t="s">
        <v>382</v>
      </c>
      <c r="C733" s="82" t="s">
        <v>1102</v>
      </c>
      <c r="D733" s="4"/>
      <c r="E733" s="4"/>
      <c r="F733" s="71"/>
      <c r="G733" s="4"/>
      <c r="H733" s="4"/>
      <c r="I733" s="82" t="s">
        <v>2830</v>
      </c>
      <c r="J733" s="4"/>
      <c r="K733" s="4"/>
      <c r="L733" s="4"/>
      <c r="M733" s="4"/>
      <c r="N733" s="4"/>
      <c r="O733" s="4"/>
      <c r="P733" s="4"/>
      <c r="Q733" s="4"/>
    </row>
    <row r="734" spans="1:17" x14ac:dyDescent="0.2">
      <c r="A734" s="1">
        <f t="shared" ca="1" si="18"/>
        <v>732</v>
      </c>
      <c r="B734" s="10" t="s">
        <v>383</v>
      </c>
      <c r="C734" s="82" t="s">
        <v>1103</v>
      </c>
      <c r="D734" s="4"/>
      <c r="E734" s="4"/>
      <c r="F734" s="71"/>
      <c r="G734" s="4"/>
      <c r="H734" s="4"/>
      <c r="I734" s="82" t="s">
        <v>2831</v>
      </c>
      <c r="J734" s="4"/>
      <c r="K734" s="4"/>
      <c r="L734" s="4"/>
      <c r="M734" s="4"/>
      <c r="N734" s="4"/>
      <c r="O734" s="4"/>
      <c r="P734" s="4"/>
      <c r="Q734" s="4"/>
    </row>
    <row r="735" spans="1:17" x14ac:dyDescent="0.2">
      <c r="A735" s="1">
        <f t="shared" ca="1" si="18"/>
        <v>733</v>
      </c>
      <c r="B735" s="10" t="s">
        <v>2859</v>
      </c>
      <c r="C735" s="82" t="s">
        <v>2860</v>
      </c>
      <c r="D735" s="4"/>
      <c r="E735" s="4"/>
      <c r="F735" s="71"/>
      <c r="G735" s="4"/>
      <c r="H735" s="4"/>
      <c r="I735" s="82" t="s">
        <v>2832</v>
      </c>
      <c r="J735" s="4"/>
      <c r="K735" s="4"/>
      <c r="L735" s="4"/>
      <c r="M735" s="4"/>
      <c r="N735" s="4"/>
      <c r="O735" s="4"/>
      <c r="P735" s="4"/>
      <c r="Q735" s="4"/>
    </row>
    <row r="736" spans="1:17" x14ac:dyDescent="0.2">
      <c r="A736" s="1">
        <f t="shared" ca="1" si="18"/>
        <v>734</v>
      </c>
      <c r="B736" s="10" t="s">
        <v>384</v>
      </c>
      <c r="C736" s="82" t="s">
        <v>6562</v>
      </c>
      <c r="D736" s="4"/>
      <c r="E736" s="4"/>
      <c r="F736" s="71"/>
      <c r="G736" s="4"/>
      <c r="H736" s="4"/>
      <c r="I736" s="4" t="s">
        <v>2833</v>
      </c>
      <c r="J736" s="4"/>
      <c r="K736" s="4"/>
      <c r="L736" s="4"/>
      <c r="M736" s="4"/>
      <c r="N736" s="4"/>
      <c r="O736" s="4"/>
      <c r="P736" s="4"/>
      <c r="Q736" s="4"/>
    </row>
    <row r="737" spans="1:17" x14ac:dyDescent="0.2">
      <c r="A737" s="1">
        <f t="shared" ref="A737:A771" ca="1" si="19">CELL("row",C737)-2</f>
        <v>735</v>
      </c>
      <c r="B737" s="10" t="s">
        <v>385</v>
      </c>
      <c r="C737" s="82" t="s">
        <v>6563</v>
      </c>
      <c r="D737" s="4"/>
      <c r="E737" s="4"/>
      <c r="F737" s="71"/>
      <c r="G737" s="4"/>
      <c r="H737" s="4"/>
      <c r="I737" s="4" t="s">
        <v>2834</v>
      </c>
      <c r="J737" s="4"/>
      <c r="K737" s="4"/>
      <c r="L737" s="4"/>
      <c r="M737" s="4"/>
      <c r="N737" s="4"/>
      <c r="O737" s="4"/>
      <c r="P737" s="4"/>
      <c r="Q737" s="4"/>
    </row>
    <row r="738" spans="1:17" x14ac:dyDescent="0.2">
      <c r="A738" s="1">
        <f t="shared" ca="1" si="19"/>
        <v>736</v>
      </c>
      <c r="B738" s="10" t="s">
        <v>386</v>
      </c>
      <c r="C738" s="82" t="s">
        <v>6564</v>
      </c>
      <c r="D738" s="4"/>
      <c r="E738" s="4"/>
      <c r="F738" s="71"/>
      <c r="G738" s="4"/>
      <c r="H738" s="4"/>
      <c r="I738" s="4" t="s">
        <v>2835</v>
      </c>
      <c r="J738" s="4"/>
      <c r="K738" s="4"/>
      <c r="L738" s="4"/>
      <c r="M738" s="4"/>
      <c r="N738" s="4"/>
      <c r="O738" s="4"/>
      <c r="P738" s="4"/>
      <c r="Q738" s="4"/>
    </row>
    <row r="739" spans="1:17" x14ac:dyDescent="0.2">
      <c r="A739" s="1">
        <f t="shared" ca="1" si="19"/>
        <v>737</v>
      </c>
      <c r="B739" s="10" t="s">
        <v>7780</v>
      </c>
      <c r="C739" s="82" t="s">
        <v>6993</v>
      </c>
      <c r="D739" s="4"/>
      <c r="E739" s="4"/>
      <c r="F739" s="71"/>
      <c r="G739" s="4"/>
      <c r="H739" s="4"/>
      <c r="I739" s="4" t="s">
        <v>2836</v>
      </c>
      <c r="J739" s="4"/>
      <c r="K739" s="4"/>
      <c r="L739" s="4"/>
      <c r="M739" s="4"/>
      <c r="N739" s="4"/>
      <c r="O739" s="4"/>
      <c r="P739" s="4"/>
      <c r="Q739" s="4"/>
    </row>
    <row r="740" spans="1:17" ht="25.5" x14ac:dyDescent="0.2">
      <c r="A740" s="1">
        <f t="shared" ca="1" si="19"/>
        <v>738</v>
      </c>
      <c r="B740" s="10" t="s">
        <v>1104</v>
      </c>
      <c r="C740" s="82" t="s">
        <v>7473</v>
      </c>
      <c r="D740" s="4"/>
      <c r="E740" s="4"/>
      <c r="F740" s="71"/>
      <c r="G740" s="4"/>
      <c r="H740" s="4"/>
      <c r="I740" s="4" t="s">
        <v>2837</v>
      </c>
      <c r="J740" s="4"/>
      <c r="K740" s="4"/>
      <c r="L740" s="4"/>
      <c r="M740" s="4"/>
      <c r="N740" s="4"/>
      <c r="O740" s="4"/>
      <c r="P740" s="4"/>
      <c r="Q740" s="4"/>
    </row>
    <row r="741" spans="1:17" ht="25.5" x14ac:dyDescent="0.2">
      <c r="A741" s="1">
        <f t="shared" ca="1" si="19"/>
        <v>739</v>
      </c>
      <c r="B741" s="10" t="s">
        <v>4252</v>
      </c>
      <c r="C741" s="82" t="s">
        <v>7474</v>
      </c>
      <c r="D741" s="4"/>
      <c r="E741" s="4"/>
      <c r="F741" s="71"/>
      <c r="G741" s="4"/>
      <c r="H741" s="4"/>
      <c r="I741" s="4" t="s">
        <v>2838</v>
      </c>
      <c r="J741" s="4"/>
      <c r="K741" s="4"/>
      <c r="L741" s="4"/>
      <c r="M741" s="4"/>
      <c r="N741" s="4"/>
      <c r="O741" s="4"/>
      <c r="P741" s="4"/>
      <c r="Q741" s="4"/>
    </row>
    <row r="742" spans="1:17" ht="25.5" x14ac:dyDescent="0.2">
      <c r="A742" s="1">
        <f t="shared" ca="1" si="19"/>
        <v>740</v>
      </c>
      <c r="B742" s="10" t="s">
        <v>5290</v>
      </c>
      <c r="C742" s="82" t="s">
        <v>7475</v>
      </c>
      <c r="D742" s="4"/>
      <c r="E742" s="4"/>
      <c r="F742" s="71"/>
      <c r="G742" s="4"/>
      <c r="H742" s="4"/>
      <c r="I742" s="4" t="s">
        <v>2839</v>
      </c>
      <c r="J742" s="4"/>
      <c r="K742" s="4"/>
      <c r="L742" s="4"/>
      <c r="M742" s="4"/>
      <c r="N742" s="4"/>
      <c r="O742" s="4"/>
      <c r="P742" s="4"/>
      <c r="Q742" s="4"/>
    </row>
    <row r="743" spans="1:17" ht="25.5" x14ac:dyDescent="0.2">
      <c r="A743" s="1">
        <f t="shared" ca="1" si="19"/>
        <v>741</v>
      </c>
      <c r="B743" s="10" t="s">
        <v>5291</v>
      </c>
      <c r="C743" s="82" t="s">
        <v>7476</v>
      </c>
      <c r="D743" s="4"/>
      <c r="E743" s="4"/>
      <c r="F743" s="71"/>
      <c r="G743" s="4"/>
      <c r="H743" s="4"/>
      <c r="I743" s="4" t="s">
        <v>2840</v>
      </c>
      <c r="J743" s="4"/>
      <c r="K743" s="4"/>
      <c r="L743" s="4"/>
      <c r="M743" s="4"/>
      <c r="N743" s="4"/>
      <c r="O743" s="4"/>
      <c r="P743" s="4"/>
      <c r="Q743" s="4"/>
    </row>
    <row r="744" spans="1:17" ht="25.5" x14ac:dyDescent="0.2">
      <c r="A744" s="1">
        <f t="shared" ca="1" si="19"/>
        <v>742</v>
      </c>
      <c r="B744" s="10" t="s">
        <v>5292</v>
      </c>
      <c r="C744" s="82" t="s">
        <v>7476</v>
      </c>
      <c r="D744" s="4"/>
      <c r="E744" s="4"/>
      <c r="F744" s="71"/>
      <c r="G744" s="4"/>
      <c r="H744" s="4"/>
      <c r="I744" s="4" t="s">
        <v>2841</v>
      </c>
      <c r="J744" s="4"/>
      <c r="K744" s="4"/>
      <c r="L744" s="4"/>
      <c r="M744" s="4"/>
      <c r="N744" s="4"/>
      <c r="O744" s="4"/>
      <c r="P744" s="4"/>
      <c r="Q744" s="4"/>
    </row>
    <row r="745" spans="1:17" ht="25.5" x14ac:dyDescent="0.2">
      <c r="A745" s="1">
        <f t="shared" ca="1" si="19"/>
        <v>743</v>
      </c>
      <c r="B745" s="10" t="s">
        <v>6310</v>
      </c>
      <c r="C745" s="82" t="s">
        <v>6311</v>
      </c>
      <c r="D745" s="4"/>
      <c r="E745" s="4"/>
      <c r="F745" s="71"/>
      <c r="G745" s="4"/>
      <c r="H745" s="4"/>
      <c r="I745" s="4" t="s">
        <v>2842</v>
      </c>
      <c r="J745" s="4"/>
      <c r="K745" s="4"/>
      <c r="L745" s="4"/>
      <c r="M745" s="4"/>
      <c r="N745" s="4"/>
      <c r="O745" s="4"/>
      <c r="P745" s="4"/>
      <c r="Q745" s="4"/>
    </row>
    <row r="746" spans="1:17" ht="25.5" x14ac:dyDescent="0.2">
      <c r="A746" s="1">
        <f t="shared" ca="1" si="19"/>
        <v>744</v>
      </c>
      <c r="B746" s="10" t="s">
        <v>4212</v>
      </c>
      <c r="C746" s="82" t="s">
        <v>6994</v>
      </c>
      <c r="D746" s="4"/>
      <c r="E746" s="4"/>
      <c r="F746" s="71"/>
      <c r="G746" s="4"/>
      <c r="H746" s="4"/>
      <c r="I746" s="4" t="s">
        <v>2843</v>
      </c>
      <c r="J746" s="4"/>
      <c r="K746" s="4"/>
      <c r="L746" s="4"/>
      <c r="M746" s="4"/>
      <c r="N746" s="4"/>
      <c r="O746" s="4"/>
      <c r="P746" s="4"/>
      <c r="Q746" s="4"/>
    </row>
    <row r="747" spans="1:17" ht="38.25" x14ac:dyDescent="0.2">
      <c r="A747" s="1">
        <f t="shared" ca="1" si="19"/>
        <v>745</v>
      </c>
      <c r="B747" s="10" t="s">
        <v>528</v>
      </c>
      <c r="C747" s="82" t="s">
        <v>6995</v>
      </c>
      <c r="D747" s="4"/>
      <c r="E747" s="4"/>
      <c r="F747" s="71"/>
      <c r="G747" s="4"/>
      <c r="H747" s="4"/>
      <c r="I747" s="4" t="s">
        <v>2844</v>
      </c>
      <c r="J747" s="4"/>
      <c r="K747" s="4"/>
      <c r="L747" s="4"/>
      <c r="M747" s="4"/>
      <c r="N747" s="4"/>
      <c r="O747" s="4"/>
      <c r="P747" s="4"/>
      <c r="Q747" s="4"/>
    </row>
    <row r="748" spans="1:17" x14ac:dyDescent="0.2">
      <c r="A748" s="1">
        <f t="shared" ca="1" si="19"/>
        <v>746</v>
      </c>
      <c r="B748" s="10" t="s">
        <v>529</v>
      </c>
      <c r="C748" s="82" t="s">
        <v>6996</v>
      </c>
      <c r="D748" s="4"/>
      <c r="E748" s="4"/>
      <c r="F748" s="71"/>
      <c r="G748" s="4"/>
      <c r="H748" s="4"/>
      <c r="I748" s="4" t="s">
        <v>2845</v>
      </c>
      <c r="J748" s="4"/>
      <c r="K748" s="4"/>
      <c r="L748" s="4"/>
      <c r="M748" s="4"/>
      <c r="N748" s="4"/>
      <c r="O748" s="4"/>
      <c r="P748" s="4"/>
      <c r="Q748" s="4"/>
    </row>
    <row r="749" spans="1:17" x14ac:dyDescent="0.2">
      <c r="A749" s="1">
        <f t="shared" ca="1" si="19"/>
        <v>747</v>
      </c>
      <c r="B749" s="10" t="s">
        <v>530</v>
      </c>
      <c r="C749" s="82" t="s">
        <v>6997</v>
      </c>
      <c r="D749" s="4"/>
      <c r="E749" s="4"/>
      <c r="F749" s="71"/>
      <c r="G749" s="4"/>
      <c r="H749" s="4"/>
      <c r="I749" s="4" t="s">
        <v>2846</v>
      </c>
      <c r="J749" s="4"/>
      <c r="K749" s="4"/>
      <c r="L749" s="4"/>
      <c r="M749" s="4"/>
      <c r="N749" s="4"/>
      <c r="O749" s="4"/>
      <c r="P749" s="4"/>
      <c r="Q749" s="4"/>
    </row>
    <row r="750" spans="1:17" x14ac:dyDescent="0.2">
      <c r="A750" s="1">
        <f t="shared" ca="1" si="19"/>
        <v>748</v>
      </c>
      <c r="B750" s="10" t="s">
        <v>531</v>
      </c>
      <c r="C750" s="82" t="s">
        <v>6998</v>
      </c>
      <c r="D750" s="4"/>
      <c r="E750" s="4"/>
      <c r="F750" s="71"/>
      <c r="G750" s="4"/>
      <c r="H750" s="4"/>
      <c r="I750" s="4" t="s">
        <v>2847</v>
      </c>
      <c r="J750" s="4"/>
      <c r="K750" s="4"/>
      <c r="L750" s="4"/>
      <c r="M750" s="4"/>
      <c r="N750" s="4"/>
      <c r="O750" s="4"/>
      <c r="P750" s="4"/>
      <c r="Q750" s="4"/>
    </row>
    <row r="751" spans="1:17" x14ac:dyDescent="0.2">
      <c r="A751" s="1">
        <f t="shared" ca="1" si="19"/>
        <v>749</v>
      </c>
      <c r="B751" s="10" t="s">
        <v>532</v>
      </c>
      <c r="C751" s="82" t="s">
        <v>6565</v>
      </c>
      <c r="D751" s="4"/>
      <c r="E751" s="4"/>
      <c r="F751" s="71"/>
      <c r="G751" s="4"/>
      <c r="H751" s="4"/>
      <c r="I751" s="4" t="s">
        <v>2848</v>
      </c>
      <c r="J751" s="4"/>
      <c r="K751" s="4"/>
      <c r="L751" s="4"/>
      <c r="M751" s="4"/>
      <c r="N751" s="4"/>
      <c r="O751" s="4"/>
      <c r="P751" s="4"/>
      <c r="Q751" s="4"/>
    </row>
    <row r="752" spans="1:17" x14ac:dyDescent="0.2">
      <c r="A752" s="1">
        <f t="shared" ca="1" si="19"/>
        <v>750</v>
      </c>
      <c r="B752" s="10" t="s">
        <v>533</v>
      </c>
      <c r="C752" s="82" t="s">
        <v>6566</v>
      </c>
      <c r="D752" s="4"/>
      <c r="E752" s="4"/>
      <c r="F752" s="71"/>
      <c r="G752" s="4"/>
      <c r="H752" s="4"/>
      <c r="I752" s="4" t="s">
        <v>2849</v>
      </c>
      <c r="J752" s="4"/>
      <c r="K752" s="4"/>
      <c r="L752" s="4"/>
      <c r="M752" s="4"/>
      <c r="N752" s="4"/>
      <c r="O752" s="4"/>
      <c r="P752" s="4"/>
      <c r="Q752" s="4"/>
    </row>
    <row r="753" spans="1:17" x14ac:dyDescent="0.2">
      <c r="A753" s="1">
        <f t="shared" ca="1" si="19"/>
        <v>751</v>
      </c>
      <c r="B753" s="10" t="s">
        <v>534</v>
      </c>
      <c r="C753" s="82" t="s">
        <v>6566</v>
      </c>
      <c r="D753" s="4"/>
      <c r="E753" s="4"/>
      <c r="F753" s="71"/>
      <c r="G753" s="4"/>
      <c r="H753" s="4"/>
      <c r="I753" s="4" t="s">
        <v>2849</v>
      </c>
      <c r="J753" s="4"/>
      <c r="K753" s="4"/>
      <c r="L753" s="4"/>
      <c r="M753" s="4"/>
      <c r="N753" s="4"/>
      <c r="O753" s="4"/>
      <c r="P753" s="4"/>
      <c r="Q753" s="4"/>
    </row>
    <row r="754" spans="1:17" ht="25.5" x14ac:dyDescent="0.2">
      <c r="A754" s="1">
        <f t="shared" ca="1" si="19"/>
        <v>752</v>
      </c>
      <c r="B754" s="10" t="s">
        <v>535</v>
      </c>
      <c r="C754" s="82" t="s">
        <v>6999</v>
      </c>
      <c r="D754" s="4"/>
      <c r="E754" s="4"/>
      <c r="F754" s="71"/>
      <c r="G754" s="4"/>
      <c r="H754" s="4"/>
      <c r="I754" s="4" t="s">
        <v>0</v>
      </c>
      <c r="J754" s="4"/>
      <c r="K754" s="4"/>
      <c r="L754" s="4"/>
      <c r="M754" s="4"/>
      <c r="N754" s="4"/>
      <c r="O754" s="4"/>
      <c r="P754" s="4"/>
      <c r="Q754" s="4"/>
    </row>
    <row r="755" spans="1:17" x14ac:dyDescent="0.2">
      <c r="A755" s="1">
        <f t="shared" ca="1" si="19"/>
        <v>753</v>
      </c>
      <c r="B755" s="10" t="s">
        <v>536</v>
      </c>
      <c r="C755" s="82" t="s">
        <v>7000</v>
      </c>
      <c r="D755" s="4"/>
      <c r="E755" s="4"/>
      <c r="F755" s="71"/>
      <c r="G755" s="4"/>
      <c r="H755" s="4"/>
      <c r="I755" s="4" t="s">
        <v>987</v>
      </c>
      <c r="J755" s="4"/>
      <c r="K755" s="4"/>
      <c r="L755" s="4"/>
      <c r="M755" s="4"/>
      <c r="N755" s="4"/>
      <c r="O755" s="4"/>
      <c r="P755" s="4"/>
      <c r="Q755" s="4"/>
    </row>
    <row r="756" spans="1:17" x14ac:dyDescent="0.2">
      <c r="A756" s="1">
        <f t="shared" ca="1" si="19"/>
        <v>754</v>
      </c>
      <c r="B756" s="10" t="s">
        <v>537</v>
      </c>
      <c r="C756" s="82" t="s">
        <v>7001</v>
      </c>
      <c r="D756" s="4"/>
      <c r="E756" s="4"/>
      <c r="F756" s="71"/>
      <c r="G756" s="4"/>
      <c r="H756" s="4"/>
      <c r="I756" s="4" t="s">
        <v>1</v>
      </c>
      <c r="J756" s="4"/>
      <c r="K756" s="4"/>
      <c r="L756" s="4"/>
      <c r="M756" s="4"/>
      <c r="N756" s="4"/>
      <c r="O756" s="4"/>
      <c r="P756" s="4"/>
      <c r="Q756" s="4"/>
    </row>
    <row r="757" spans="1:17" x14ac:dyDescent="0.2">
      <c r="A757" s="1">
        <f t="shared" ca="1" si="19"/>
        <v>755</v>
      </c>
      <c r="B757" s="10" t="s">
        <v>538</v>
      </c>
      <c r="C757" s="82" t="s">
        <v>8474</v>
      </c>
      <c r="D757" s="4"/>
      <c r="E757" s="4"/>
      <c r="F757" s="71"/>
      <c r="G757" s="4"/>
      <c r="H757" s="4"/>
      <c r="I757" s="4" t="s">
        <v>2</v>
      </c>
      <c r="J757" s="4"/>
      <c r="K757" s="4"/>
      <c r="L757" s="4"/>
      <c r="M757" s="4"/>
      <c r="N757" s="4"/>
      <c r="O757" s="4"/>
      <c r="P757" s="4"/>
      <c r="Q757" s="4"/>
    </row>
    <row r="758" spans="1:17" ht="25.5" x14ac:dyDescent="0.2">
      <c r="A758" s="1">
        <f t="shared" ca="1" si="19"/>
        <v>756</v>
      </c>
      <c r="B758" s="10" t="s">
        <v>942</v>
      </c>
      <c r="C758" s="82" t="s">
        <v>8157</v>
      </c>
      <c r="D758" s="4"/>
      <c r="E758" s="4"/>
      <c r="F758" s="71"/>
      <c r="G758" s="4"/>
      <c r="H758" s="4"/>
      <c r="I758" s="4" t="s">
        <v>3</v>
      </c>
      <c r="J758" s="4"/>
      <c r="K758" s="4"/>
      <c r="L758" s="4"/>
      <c r="M758" s="4"/>
      <c r="N758" s="4"/>
      <c r="O758" s="4"/>
      <c r="P758" s="4"/>
      <c r="Q758" s="4"/>
    </row>
    <row r="759" spans="1:17" x14ac:dyDescent="0.2">
      <c r="A759" s="1">
        <f t="shared" ca="1" si="19"/>
        <v>757</v>
      </c>
      <c r="B759" s="10" t="s">
        <v>5887</v>
      </c>
      <c r="C759" s="82" t="s">
        <v>7002</v>
      </c>
      <c r="D759" s="4"/>
      <c r="E759" s="4"/>
      <c r="F759" s="71"/>
      <c r="G759" s="4"/>
      <c r="H759" s="4"/>
      <c r="I759" s="4" t="s">
        <v>4</v>
      </c>
      <c r="J759" s="4"/>
      <c r="K759" s="4"/>
      <c r="L759" s="4"/>
      <c r="M759" s="4"/>
      <c r="N759" s="4"/>
      <c r="O759" s="4"/>
      <c r="P759" s="4"/>
      <c r="Q759" s="4"/>
    </row>
    <row r="760" spans="1:17" x14ac:dyDescent="0.2">
      <c r="A760" s="1">
        <f t="shared" ca="1" si="19"/>
        <v>758</v>
      </c>
      <c r="B760" s="10" t="s">
        <v>1105</v>
      </c>
      <c r="C760" s="82" t="s">
        <v>1109</v>
      </c>
      <c r="D760" s="4"/>
      <c r="E760" s="4"/>
      <c r="F760" s="71"/>
      <c r="G760" s="4"/>
      <c r="H760" s="4"/>
      <c r="I760" s="4" t="s">
        <v>5</v>
      </c>
      <c r="J760" s="4"/>
      <c r="K760" s="4"/>
      <c r="L760" s="4"/>
      <c r="M760" s="4"/>
      <c r="N760" s="4"/>
      <c r="O760" s="4"/>
      <c r="P760" s="4"/>
      <c r="Q760" s="4"/>
    </row>
    <row r="761" spans="1:17" x14ac:dyDescent="0.2">
      <c r="A761" s="1">
        <f t="shared" ca="1" si="19"/>
        <v>759</v>
      </c>
      <c r="B761" s="10" t="s">
        <v>1106</v>
      </c>
      <c r="C761" s="82" t="s">
        <v>1110</v>
      </c>
      <c r="D761" s="4"/>
      <c r="E761" s="4"/>
      <c r="F761" s="71"/>
      <c r="G761" s="4"/>
      <c r="H761" s="4"/>
      <c r="I761" s="4" t="s">
        <v>6</v>
      </c>
      <c r="J761" s="4"/>
      <c r="K761" s="4"/>
      <c r="L761" s="4"/>
      <c r="M761" s="4"/>
      <c r="N761" s="4"/>
      <c r="O761" s="4"/>
      <c r="P761" s="4"/>
      <c r="Q761" s="4"/>
    </row>
    <row r="762" spans="1:17" x14ac:dyDescent="0.2">
      <c r="A762" s="1">
        <f t="shared" ca="1" si="19"/>
        <v>760</v>
      </c>
      <c r="B762" s="10" t="s">
        <v>1107</v>
      </c>
      <c r="C762" s="82" t="s">
        <v>7003</v>
      </c>
      <c r="D762" s="4"/>
      <c r="E762" s="4"/>
      <c r="F762" s="71"/>
      <c r="G762" s="4"/>
      <c r="H762" s="4"/>
      <c r="I762" s="4" t="s">
        <v>7</v>
      </c>
      <c r="J762" s="4"/>
      <c r="K762" s="4"/>
      <c r="L762" s="4"/>
      <c r="M762" s="4"/>
      <c r="N762" s="4"/>
      <c r="O762" s="4"/>
      <c r="P762" s="4"/>
      <c r="Q762" s="4"/>
    </row>
    <row r="763" spans="1:17" x14ac:dyDescent="0.2">
      <c r="A763" s="1">
        <f t="shared" ca="1" si="19"/>
        <v>761</v>
      </c>
      <c r="B763" s="10" t="s">
        <v>1108</v>
      </c>
      <c r="C763" s="82" t="s">
        <v>6197</v>
      </c>
      <c r="D763" s="4"/>
      <c r="E763" s="4"/>
      <c r="F763" s="71"/>
      <c r="G763" s="4"/>
      <c r="H763" s="4"/>
      <c r="I763" s="4" t="s">
        <v>8</v>
      </c>
      <c r="J763" s="4"/>
      <c r="K763" s="4"/>
      <c r="L763" s="4"/>
      <c r="M763" s="4"/>
      <c r="N763" s="4"/>
      <c r="O763" s="4"/>
      <c r="P763" s="4"/>
      <c r="Q763" s="4"/>
    </row>
    <row r="764" spans="1:17" x14ac:dyDescent="0.2">
      <c r="A764" s="1">
        <f t="shared" ca="1" si="19"/>
        <v>762</v>
      </c>
      <c r="B764" s="73" t="s">
        <v>5082</v>
      </c>
      <c r="C764" s="82"/>
      <c r="D764" s="4"/>
      <c r="E764" s="4"/>
      <c r="F764" s="71"/>
      <c r="G764" s="4"/>
      <c r="H764" s="4"/>
      <c r="J764" s="4"/>
      <c r="K764" s="4"/>
      <c r="L764" s="4"/>
      <c r="M764" s="4"/>
      <c r="N764" s="4"/>
      <c r="O764" s="4"/>
      <c r="P764" s="4"/>
      <c r="Q764" s="4"/>
    </row>
    <row r="765" spans="1:17" x14ac:dyDescent="0.2">
      <c r="A765" s="1">
        <f t="shared" ca="1" si="19"/>
        <v>763</v>
      </c>
      <c r="B765" s="10" t="s">
        <v>943</v>
      </c>
      <c r="C765" s="82" t="s">
        <v>8111</v>
      </c>
      <c r="D765" s="4"/>
      <c r="E765" s="4"/>
      <c r="F765" s="71"/>
      <c r="G765" s="4"/>
      <c r="H765" s="4"/>
      <c r="I765" s="4" t="s">
        <v>9</v>
      </c>
      <c r="J765" s="4"/>
      <c r="K765" s="4"/>
      <c r="L765" s="4"/>
      <c r="M765" s="4"/>
      <c r="N765" s="4"/>
      <c r="O765" s="4"/>
      <c r="P765" s="4"/>
      <c r="Q765" s="4"/>
    </row>
    <row r="766" spans="1:17" x14ac:dyDescent="0.2">
      <c r="A766" s="1">
        <f t="shared" ca="1" si="19"/>
        <v>764</v>
      </c>
      <c r="B766" s="10" t="s">
        <v>944</v>
      </c>
      <c r="C766" s="82" t="s">
        <v>8112</v>
      </c>
      <c r="D766" s="4"/>
      <c r="E766" s="4"/>
      <c r="F766" s="71"/>
      <c r="G766" s="4"/>
      <c r="H766" s="4"/>
      <c r="I766" s="4" t="s">
        <v>10</v>
      </c>
      <c r="J766" s="4"/>
      <c r="K766" s="4"/>
      <c r="L766" s="4"/>
      <c r="M766" s="4"/>
      <c r="N766" s="4"/>
      <c r="O766" s="4"/>
      <c r="P766" s="4"/>
      <c r="Q766" s="4"/>
    </row>
    <row r="767" spans="1:17" x14ac:dyDescent="0.2">
      <c r="A767" s="1">
        <f t="shared" ca="1" si="19"/>
        <v>765</v>
      </c>
      <c r="B767" s="10" t="s">
        <v>945</v>
      </c>
      <c r="C767" s="82" t="s">
        <v>6817</v>
      </c>
      <c r="D767" s="4"/>
      <c r="E767" s="4"/>
      <c r="F767" s="71"/>
      <c r="G767" s="4"/>
      <c r="H767" s="4"/>
      <c r="I767" s="4" t="s">
        <v>11</v>
      </c>
      <c r="J767" s="4"/>
      <c r="K767" s="4"/>
      <c r="L767" s="4"/>
      <c r="M767" s="4"/>
      <c r="N767" s="4"/>
      <c r="O767" s="4"/>
      <c r="P767" s="4"/>
      <c r="Q767" s="4"/>
    </row>
    <row r="768" spans="1:17" x14ac:dyDescent="0.2">
      <c r="A768" s="1">
        <f t="shared" ca="1" si="19"/>
        <v>766</v>
      </c>
      <c r="B768" s="10" t="s">
        <v>946</v>
      </c>
      <c r="C768" s="82" t="s">
        <v>7468</v>
      </c>
      <c r="D768" s="4"/>
      <c r="E768" s="4"/>
      <c r="F768" s="71"/>
      <c r="G768" s="4"/>
      <c r="H768" s="4"/>
      <c r="I768" s="4" t="s">
        <v>12</v>
      </c>
      <c r="J768" s="4"/>
      <c r="K768" s="4"/>
      <c r="L768" s="4"/>
      <c r="M768" s="4"/>
      <c r="N768" s="4"/>
      <c r="O768" s="4"/>
      <c r="P768" s="4"/>
      <c r="Q768" s="4"/>
    </row>
    <row r="769" spans="1:17" x14ac:dyDescent="0.2">
      <c r="A769" s="1">
        <f t="shared" ca="1" si="19"/>
        <v>767</v>
      </c>
      <c r="B769" s="10" t="s">
        <v>947</v>
      </c>
      <c r="C769" s="82" t="s">
        <v>7469</v>
      </c>
      <c r="D769" s="4"/>
      <c r="E769" s="4"/>
      <c r="F769" s="71"/>
      <c r="G769" s="4"/>
      <c r="H769" s="4"/>
      <c r="I769" s="4" t="s">
        <v>13</v>
      </c>
      <c r="J769" s="4"/>
      <c r="K769" s="4"/>
      <c r="L769" s="4"/>
      <c r="M769" s="4"/>
      <c r="N769" s="4"/>
      <c r="O769" s="4"/>
      <c r="P769" s="4"/>
      <c r="Q769" s="4"/>
    </row>
    <row r="770" spans="1:17" x14ac:dyDescent="0.2">
      <c r="A770" s="1">
        <f t="shared" ca="1" si="19"/>
        <v>768</v>
      </c>
      <c r="B770" s="10" t="s">
        <v>948</v>
      </c>
      <c r="C770" s="82" t="s">
        <v>7470</v>
      </c>
      <c r="D770" s="4"/>
      <c r="E770" s="4"/>
      <c r="F770" s="71"/>
      <c r="G770" s="4"/>
      <c r="H770" s="4"/>
      <c r="I770" s="4" t="s">
        <v>14</v>
      </c>
      <c r="J770" s="4"/>
      <c r="K770" s="4"/>
      <c r="L770" s="4"/>
      <c r="M770" s="4"/>
      <c r="N770" s="4"/>
      <c r="O770" s="4"/>
      <c r="P770" s="4"/>
      <c r="Q770" s="4"/>
    </row>
    <row r="771" spans="1:17" x14ac:dyDescent="0.2">
      <c r="A771" s="1">
        <f t="shared" ca="1" si="19"/>
        <v>769</v>
      </c>
      <c r="B771" s="10" t="s">
        <v>949</v>
      </c>
      <c r="C771" s="82" t="s">
        <v>7471</v>
      </c>
      <c r="D771" s="4"/>
      <c r="E771" s="4"/>
      <c r="F771" s="71"/>
      <c r="G771" s="4"/>
      <c r="H771" s="4"/>
      <c r="I771" s="4" t="s">
        <v>15</v>
      </c>
      <c r="J771" s="4"/>
      <c r="K771" s="4"/>
      <c r="L771" s="4"/>
      <c r="M771" s="4"/>
      <c r="N771" s="4"/>
      <c r="O771" s="4"/>
      <c r="P771" s="4"/>
      <c r="Q771" s="4"/>
    </row>
    <row r="772" spans="1:17" x14ac:dyDescent="0.2">
      <c r="A772" s="1">
        <f t="shared" ref="A772:A837" ca="1" si="20">CELL("row",C772)-2</f>
        <v>770</v>
      </c>
      <c r="B772" s="10" t="s">
        <v>950</v>
      </c>
      <c r="C772" s="82" t="s">
        <v>7472</v>
      </c>
      <c r="D772" s="4"/>
      <c r="E772" s="4"/>
      <c r="F772" s="71"/>
      <c r="G772" s="4"/>
      <c r="H772" s="4"/>
      <c r="I772" s="4" t="s">
        <v>16</v>
      </c>
      <c r="J772" s="4"/>
      <c r="K772" s="4"/>
      <c r="L772" s="4"/>
      <c r="M772" s="4"/>
      <c r="N772" s="4"/>
      <c r="O772" s="4"/>
      <c r="P772" s="4"/>
      <c r="Q772" s="4"/>
    </row>
    <row r="773" spans="1:17" x14ac:dyDescent="0.2">
      <c r="A773" s="1">
        <f t="shared" ref="A773" ca="1" si="21">CELL("row",C773)-2</f>
        <v>771</v>
      </c>
      <c r="B773" s="1" t="s">
        <v>8922</v>
      </c>
      <c r="C773" s="145" t="s">
        <v>8923</v>
      </c>
      <c r="D773" s="4"/>
      <c r="E773" s="4"/>
      <c r="F773" s="71"/>
      <c r="G773" s="4"/>
      <c r="H773" s="4"/>
      <c r="I773" s="4" t="s">
        <v>8924</v>
      </c>
      <c r="J773" s="4"/>
      <c r="K773" s="4"/>
      <c r="L773" s="4"/>
      <c r="M773" s="4"/>
      <c r="N773" s="4"/>
      <c r="O773" s="4"/>
      <c r="P773" s="4"/>
      <c r="Q773" s="4"/>
    </row>
    <row r="774" spans="1:17" x14ac:dyDescent="0.2">
      <c r="A774" s="1">
        <f t="shared" ca="1" si="20"/>
        <v>772</v>
      </c>
      <c r="B774" s="10" t="s">
        <v>951</v>
      </c>
      <c r="C774" s="82" t="s">
        <v>8113</v>
      </c>
      <c r="D774" s="4"/>
      <c r="E774" s="4"/>
      <c r="F774" s="71"/>
      <c r="G774" s="4"/>
      <c r="H774" s="4"/>
      <c r="I774" s="4" t="s">
        <v>17</v>
      </c>
      <c r="J774" s="4"/>
      <c r="K774" s="4"/>
      <c r="L774" s="4"/>
      <c r="M774" s="4"/>
      <c r="N774" s="4"/>
      <c r="O774" s="4"/>
      <c r="P774" s="4"/>
      <c r="Q774" s="4"/>
    </row>
    <row r="775" spans="1:17" x14ac:dyDescent="0.2">
      <c r="A775" s="1">
        <f t="shared" ca="1" si="20"/>
        <v>773</v>
      </c>
      <c r="B775" s="10" t="s">
        <v>952</v>
      </c>
      <c r="C775" s="82" t="s">
        <v>8114</v>
      </c>
      <c r="D775" s="4"/>
      <c r="E775" s="4"/>
      <c r="F775" s="71"/>
      <c r="G775" s="4"/>
      <c r="H775" s="4"/>
      <c r="I775" s="4" t="s">
        <v>18</v>
      </c>
      <c r="J775" s="4"/>
      <c r="K775" s="4"/>
      <c r="L775" s="4"/>
      <c r="M775" s="4"/>
      <c r="N775" s="4"/>
      <c r="O775" s="4"/>
      <c r="P775" s="4"/>
      <c r="Q775" s="4"/>
    </row>
    <row r="776" spans="1:17" x14ac:dyDescent="0.2">
      <c r="A776" s="1">
        <f t="shared" ca="1" si="20"/>
        <v>774</v>
      </c>
      <c r="B776" s="10" t="s">
        <v>953</v>
      </c>
      <c r="C776" s="82" t="s">
        <v>8115</v>
      </c>
      <c r="D776" s="4"/>
      <c r="E776" s="4"/>
      <c r="F776" s="71"/>
      <c r="G776" s="4"/>
      <c r="H776" s="4"/>
      <c r="I776" s="4" t="s">
        <v>19</v>
      </c>
      <c r="J776" s="4"/>
      <c r="K776" s="4"/>
      <c r="L776" s="4"/>
      <c r="M776" s="4"/>
      <c r="N776" s="4"/>
      <c r="O776" s="4"/>
      <c r="P776" s="4"/>
      <c r="Q776" s="4"/>
    </row>
    <row r="777" spans="1:17" x14ac:dyDescent="0.2">
      <c r="A777" s="1">
        <f t="shared" ca="1" si="20"/>
        <v>775</v>
      </c>
      <c r="B777" s="10" t="s">
        <v>6672</v>
      </c>
      <c r="C777" s="82" t="s">
        <v>8116</v>
      </c>
      <c r="D777" s="4"/>
      <c r="E777" s="4"/>
      <c r="F777" s="71"/>
      <c r="G777" s="4"/>
      <c r="H777" s="4"/>
      <c r="I777" s="4" t="s">
        <v>20</v>
      </c>
      <c r="J777" s="4"/>
      <c r="K777" s="4"/>
      <c r="L777" s="4"/>
      <c r="M777" s="4"/>
      <c r="N777" s="4"/>
      <c r="O777" s="4"/>
      <c r="P777" s="4"/>
      <c r="Q777" s="4"/>
    </row>
    <row r="778" spans="1:17" x14ac:dyDescent="0.2">
      <c r="A778" s="1">
        <f t="shared" ca="1" si="20"/>
        <v>776</v>
      </c>
      <c r="B778" s="10" t="s">
        <v>6673</v>
      </c>
      <c r="C778" s="82" t="s">
        <v>8117</v>
      </c>
      <c r="D778" s="4"/>
      <c r="E778" s="4"/>
      <c r="F778" s="71"/>
      <c r="G778" s="4"/>
      <c r="H778" s="4"/>
      <c r="I778" s="4" t="s">
        <v>21</v>
      </c>
      <c r="J778" s="4"/>
      <c r="K778" s="4"/>
      <c r="L778" s="4"/>
      <c r="M778" s="4"/>
      <c r="N778" s="4"/>
      <c r="O778" s="4"/>
      <c r="P778" s="4"/>
      <c r="Q778" s="4"/>
    </row>
    <row r="779" spans="1:17" x14ac:dyDescent="0.2">
      <c r="A779" s="1">
        <f t="shared" ca="1" si="20"/>
        <v>777</v>
      </c>
      <c r="B779" s="10" t="s">
        <v>6674</v>
      </c>
      <c r="C779" s="82" t="s">
        <v>8118</v>
      </c>
      <c r="D779" s="4"/>
      <c r="E779" s="4"/>
      <c r="F779" s="71"/>
      <c r="G779" s="4"/>
      <c r="H779" s="4"/>
      <c r="I779" s="4" t="s">
        <v>22</v>
      </c>
      <c r="J779" s="4"/>
      <c r="K779" s="4"/>
      <c r="L779" s="4"/>
      <c r="M779" s="4"/>
      <c r="N779" s="4"/>
      <c r="O779" s="4"/>
      <c r="P779" s="4"/>
      <c r="Q779" s="4"/>
    </row>
    <row r="780" spans="1:17" x14ac:dyDescent="0.2">
      <c r="A780" s="1">
        <f t="shared" ca="1" si="20"/>
        <v>778</v>
      </c>
      <c r="B780" s="10" t="s">
        <v>6675</v>
      </c>
      <c r="C780" s="82" t="s">
        <v>8119</v>
      </c>
      <c r="D780" s="4"/>
      <c r="E780" s="4"/>
      <c r="F780" s="71"/>
      <c r="G780" s="4"/>
      <c r="H780" s="4"/>
      <c r="I780" s="4" t="s">
        <v>23</v>
      </c>
      <c r="J780" s="4"/>
      <c r="K780" s="4"/>
      <c r="L780" s="4"/>
      <c r="M780" s="4"/>
      <c r="N780" s="4"/>
      <c r="O780" s="4"/>
      <c r="P780" s="4"/>
      <c r="Q780" s="4"/>
    </row>
    <row r="781" spans="1:17" x14ac:dyDescent="0.2">
      <c r="A781" s="1">
        <f t="shared" ca="1" si="20"/>
        <v>779</v>
      </c>
      <c r="B781" s="73" t="s">
        <v>5483</v>
      </c>
      <c r="C781" s="91"/>
      <c r="D781" s="4"/>
      <c r="E781" s="4"/>
      <c r="F781" s="4"/>
      <c r="G781" s="4"/>
      <c r="H781" s="4"/>
      <c r="J781" s="4"/>
      <c r="K781" s="4"/>
      <c r="L781" s="4"/>
      <c r="M781" s="4"/>
      <c r="N781" s="4"/>
      <c r="O781" s="4"/>
      <c r="P781" s="4"/>
      <c r="Q781" s="4"/>
    </row>
    <row r="782" spans="1:17" x14ac:dyDescent="0.2">
      <c r="A782" s="1">
        <f t="shared" ca="1" si="20"/>
        <v>780</v>
      </c>
      <c r="B782" s="83" t="s">
        <v>3882</v>
      </c>
      <c r="C782" s="91" t="s">
        <v>3883</v>
      </c>
      <c r="D782" s="4"/>
      <c r="E782" s="4"/>
      <c r="F782" s="4"/>
      <c r="G782" s="4"/>
      <c r="H782" s="4"/>
      <c r="I782" s="4" t="s">
        <v>680</v>
      </c>
      <c r="J782" s="4"/>
      <c r="K782" s="4"/>
      <c r="L782" s="4"/>
      <c r="M782" s="4"/>
      <c r="N782" s="4"/>
      <c r="O782" s="4"/>
      <c r="P782" s="4"/>
      <c r="Q782" s="4"/>
    </row>
    <row r="783" spans="1:17" ht="25.5" x14ac:dyDescent="0.2">
      <c r="A783" s="1">
        <f t="shared" ca="1" si="20"/>
        <v>781</v>
      </c>
      <c r="B783" s="74" t="s">
        <v>5484</v>
      </c>
      <c r="C783" s="91" t="s">
        <v>5485</v>
      </c>
      <c r="D783" s="4"/>
      <c r="E783" s="4"/>
      <c r="F783" s="4"/>
      <c r="G783" s="4"/>
      <c r="H783" s="4"/>
      <c r="I783" s="4" t="s">
        <v>24</v>
      </c>
      <c r="J783" s="4"/>
      <c r="K783" s="4"/>
      <c r="L783" s="4"/>
      <c r="M783" s="4"/>
      <c r="N783" s="4"/>
      <c r="O783" s="4"/>
      <c r="P783" s="4"/>
      <c r="Q783" s="4"/>
    </row>
    <row r="784" spans="1:17" ht="25.5" x14ac:dyDescent="0.2">
      <c r="A784" s="1">
        <f t="shared" ca="1" si="20"/>
        <v>782</v>
      </c>
      <c r="B784" s="74" t="s">
        <v>5486</v>
      </c>
      <c r="C784" s="91" t="s">
        <v>3726</v>
      </c>
      <c r="D784" s="4"/>
      <c r="E784" s="4"/>
      <c r="F784" s="4"/>
      <c r="G784" s="4"/>
      <c r="H784" s="4"/>
      <c r="I784" s="4" t="s">
        <v>25</v>
      </c>
      <c r="J784" s="4"/>
      <c r="K784" s="4"/>
      <c r="L784" s="4"/>
      <c r="M784" s="4"/>
      <c r="N784" s="4"/>
      <c r="O784" s="4"/>
      <c r="P784" s="4"/>
      <c r="Q784" s="4"/>
    </row>
    <row r="785" spans="1:17" x14ac:dyDescent="0.2">
      <c r="A785" s="1">
        <f t="shared" ca="1" si="20"/>
        <v>783</v>
      </c>
      <c r="B785" s="74" t="s">
        <v>5487</v>
      </c>
      <c r="C785" s="91" t="s">
        <v>3727</v>
      </c>
      <c r="D785" s="4"/>
      <c r="E785" s="4"/>
      <c r="F785" s="4"/>
      <c r="G785" s="4"/>
      <c r="H785" s="4"/>
      <c r="I785" s="4" t="s">
        <v>1730</v>
      </c>
      <c r="J785" s="4"/>
      <c r="K785" s="4"/>
      <c r="L785" s="4"/>
      <c r="M785" s="4"/>
      <c r="N785" s="4"/>
      <c r="O785" s="4"/>
      <c r="P785" s="4"/>
      <c r="Q785" s="4"/>
    </row>
    <row r="786" spans="1:17" x14ac:dyDescent="0.2">
      <c r="A786" s="1">
        <f t="shared" ca="1" si="20"/>
        <v>784</v>
      </c>
      <c r="B786" s="74" t="s">
        <v>5488</v>
      </c>
      <c r="C786" s="90" t="s">
        <v>5489</v>
      </c>
      <c r="D786" s="4"/>
      <c r="E786" s="4"/>
      <c r="F786" s="4"/>
      <c r="G786" s="4"/>
      <c r="H786" s="4"/>
      <c r="I786" s="4" t="s">
        <v>5489</v>
      </c>
      <c r="J786" s="4"/>
      <c r="K786" s="4"/>
      <c r="L786" s="4"/>
      <c r="M786" s="4"/>
      <c r="N786" s="4"/>
      <c r="O786" s="4"/>
      <c r="P786" s="4"/>
      <c r="Q786" s="4"/>
    </row>
    <row r="787" spans="1:17" ht="25.5" x14ac:dyDescent="0.2">
      <c r="A787" s="1">
        <f t="shared" ca="1" si="20"/>
        <v>785</v>
      </c>
      <c r="B787" s="1" t="s">
        <v>5490</v>
      </c>
      <c r="C787" s="90" t="s">
        <v>3728</v>
      </c>
      <c r="D787" s="4"/>
      <c r="E787" s="4"/>
      <c r="F787" s="4"/>
      <c r="G787" s="4"/>
      <c r="H787" s="4"/>
      <c r="I787" s="4" t="s">
        <v>1731</v>
      </c>
      <c r="J787" s="4"/>
      <c r="K787" s="4"/>
      <c r="L787" s="4"/>
      <c r="M787" s="4"/>
      <c r="N787" s="4"/>
      <c r="O787" s="4"/>
      <c r="P787" s="4"/>
      <c r="Q787" s="4"/>
    </row>
    <row r="788" spans="1:17" x14ac:dyDescent="0.2">
      <c r="A788" s="1">
        <f t="shared" ca="1" si="20"/>
        <v>786</v>
      </c>
      <c r="B788" s="10" t="s">
        <v>3880</v>
      </c>
      <c r="C788" s="90" t="s">
        <v>6458</v>
      </c>
      <c r="D788" s="4"/>
      <c r="E788" s="4"/>
      <c r="F788" s="4"/>
      <c r="G788" s="4"/>
      <c r="H788" s="4"/>
      <c r="I788" s="4" t="s">
        <v>1732</v>
      </c>
      <c r="J788" s="4"/>
      <c r="K788" s="4"/>
      <c r="L788" s="4"/>
      <c r="M788" s="4"/>
      <c r="N788" s="4"/>
      <c r="O788" s="4"/>
      <c r="P788" s="4"/>
      <c r="Q788" s="4"/>
    </row>
    <row r="789" spans="1:17" ht="89.25" x14ac:dyDescent="0.2">
      <c r="A789" s="1">
        <f t="shared" ca="1" si="20"/>
        <v>787</v>
      </c>
      <c r="B789" s="10" t="s">
        <v>3881</v>
      </c>
      <c r="C789" s="91" t="s">
        <v>3729</v>
      </c>
      <c r="D789" s="4"/>
      <c r="E789" s="4"/>
      <c r="F789" s="4"/>
      <c r="G789" s="4"/>
      <c r="H789" s="4"/>
      <c r="I789" s="4" t="s">
        <v>1733</v>
      </c>
      <c r="J789" s="4"/>
      <c r="K789" s="4"/>
      <c r="L789" s="4"/>
      <c r="M789" s="4"/>
      <c r="N789" s="4"/>
      <c r="O789" s="4"/>
      <c r="P789" s="4"/>
      <c r="Q789" s="4"/>
    </row>
    <row r="790" spans="1:17" ht="63.75" x14ac:dyDescent="0.2">
      <c r="A790" s="1">
        <f t="shared" ca="1" si="20"/>
        <v>788</v>
      </c>
      <c r="B790" s="10" t="s">
        <v>4923</v>
      </c>
      <c r="C790" s="91" t="s">
        <v>3730</v>
      </c>
      <c r="D790" s="4"/>
      <c r="E790" s="4"/>
      <c r="F790" s="4"/>
      <c r="G790" s="4"/>
      <c r="H790" s="4"/>
      <c r="I790" s="4" t="s">
        <v>1734</v>
      </c>
      <c r="J790" s="4"/>
      <c r="K790" s="4"/>
      <c r="L790" s="4"/>
      <c r="M790" s="4"/>
      <c r="N790" s="4"/>
      <c r="O790" s="4"/>
      <c r="P790" s="4"/>
      <c r="Q790" s="4"/>
    </row>
    <row r="791" spans="1:17" ht="38.25" x14ac:dyDescent="0.2">
      <c r="A791" s="1">
        <f t="shared" ca="1" si="20"/>
        <v>789</v>
      </c>
      <c r="B791" s="147" t="s">
        <v>9028</v>
      </c>
      <c r="C791" s="91" t="s">
        <v>5870</v>
      </c>
      <c r="D791" s="4"/>
      <c r="E791" s="4"/>
      <c r="F791" s="4"/>
      <c r="G791" s="4"/>
      <c r="H791" s="4"/>
      <c r="I791" s="4" t="s">
        <v>1735</v>
      </c>
      <c r="J791" s="4"/>
      <c r="K791" s="4"/>
      <c r="L791" s="4"/>
      <c r="M791" s="4"/>
      <c r="N791" s="4"/>
      <c r="O791" s="4"/>
      <c r="P791" s="4"/>
      <c r="Q791" s="4"/>
    </row>
    <row r="792" spans="1:17" x14ac:dyDescent="0.2">
      <c r="A792" s="1">
        <f t="shared" ca="1" si="20"/>
        <v>790</v>
      </c>
      <c r="B792" s="74" t="s">
        <v>1643</v>
      </c>
      <c r="C792" s="90" t="s">
        <v>8330</v>
      </c>
      <c r="D792" s="4"/>
      <c r="E792" s="4"/>
      <c r="F792" s="4"/>
      <c r="G792" s="4"/>
      <c r="H792" s="4"/>
      <c r="I792" s="4" t="s">
        <v>5489</v>
      </c>
      <c r="J792" s="4"/>
      <c r="K792" s="4"/>
      <c r="L792" s="4"/>
      <c r="M792" s="4"/>
      <c r="N792" s="4"/>
      <c r="O792" s="4"/>
      <c r="P792" s="4"/>
      <c r="Q792" s="4"/>
    </row>
    <row r="793" spans="1:17" ht="51" x14ac:dyDescent="0.2">
      <c r="A793" s="1">
        <f t="shared" ca="1" si="20"/>
        <v>791</v>
      </c>
      <c r="B793" s="74" t="s">
        <v>1357</v>
      </c>
      <c r="C793" s="90" t="s">
        <v>5871</v>
      </c>
      <c r="D793" s="4"/>
      <c r="E793" s="4"/>
      <c r="F793" s="4"/>
      <c r="G793" s="4"/>
      <c r="H793" s="4"/>
      <c r="I793" s="4" t="s">
        <v>1736</v>
      </c>
      <c r="J793" s="4"/>
      <c r="K793" s="4"/>
      <c r="L793" s="4"/>
      <c r="M793" s="4"/>
      <c r="N793" s="4"/>
      <c r="O793" s="4"/>
      <c r="P793" s="4"/>
      <c r="Q793" s="4"/>
    </row>
    <row r="794" spans="1:17" ht="25.5" x14ac:dyDescent="0.2">
      <c r="A794" s="1">
        <f t="shared" ca="1" si="20"/>
        <v>792</v>
      </c>
      <c r="B794" s="74" t="s">
        <v>1358</v>
      </c>
      <c r="C794" s="90" t="s">
        <v>5479</v>
      </c>
      <c r="D794" s="4"/>
      <c r="E794" s="4"/>
      <c r="F794" s="4"/>
      <c r="G794" s="4"/>
      <c r="H794" s="4"/>
      <c r="I794" s="4" t="s">
        <v>1737</v>
      </c>
      <c r="J794" s="4"/>
      <c r="K794" s="4"/>
      <c r="L794" s="4"/>
      <c r="M794" s="4"/>
      <c r="N794" s="4"/>
      <c r="O794" s="4"/>
      <c r="P794" s="4"/>
      <c r="Q794" s="4"/>
    </row>
    <row r="795" spans="1:17" ht="25.5" x14ac:dyDescent="0.2">
      <c r="A795" s="1">
        <f t="shared" ca="1" si="20"/>
        <v>793</v>
      </c>
      <c r="B795" s="74" t="s">
        <v>1359</v>
      </c>
      <c r="C795" s="82" t="s">
        <v>1360</v>
      </c>
      <c r="D795" s="4"/>
      <c r="E795" s="4"/>
      <c r="F795" s="4"/>
      <c r="G795" s="4"/>
      <c r="H795" s="4"/>
      <c r="I795" s="4" t="s">
        <v>849</v>
      </c>
      <c r="J795" s="4"/>
      <c r="K795" s="4"/>
      <c r="L795" s="4"/>
      <c r="M795" s="4"/>
      <c r="N795" s="4"/>
      <c r="O795" s="4"/>
      <c r="P795" s="4"/>
      <c r="Q795" s="4"/>
    </row>
    <row r="796" spans="1:17" x14ac:dyDescent="0.2">
      <c r="A796" s="1">
        <f t="shared" ca="1" si="20"/>
        <v>794</v>
      </c>
      <c r="B796" s="74" t="s">
        <v>1361</v>
      </c>
      <c r="C796" s="82" t="s">
        <v>1362</v>
      </c>
      <c r="D796" s="4"/>
      <c r="E796" s="4"/>
      <c r="F796" s="4"/>
      <c r="G796" s="4"/>
      <c r="H796" s="4"/>
      <c r="I796" s="4" t="s">
        <v>850</v>
      </c>
      <c r="J796" s="4"/>
      <c r="K796" s="4"/>
      <c r="L796" s="4"/>
      <c r="M796" s="4"/>
      <c r="N796" s="4"/>
      <c r="O796" s="4"/>
      <c r="P796" s="4"/>
      <c r="Q796" s="4"/>
    </row>
    <row r="797" spans="1:17" x14ac:dyDescent="0.2">
      <c r="A797" s="1">
        <f t="shared" ca="1" si="20"/>
        <v>795</v>
      </c>
      <c r="B797" s="74" t="s">
        <v>6796</v>
      </c>
      <c r="C797" s="82" t="s">
        <v>7988</v>
      </c>
      <c r="D797" s="4"/>
      <c r="E797" s="4"/>
      <c r="F797" s="4"/>
      <c r="G797" s="4"/>
      <c r="H797" s="4"/>
      <c r="I797" s="4" t="s">
        <v>851</v>
      </c>
      <c r="J797" s="4"/>
      <c r="K797" s="4"/>
      <c r="L797" s="4"/>
      <c r="M797" s="4"/>
      <c r="N797" s="4"/>
      <c r="O797" s="4"/>
      <c r="P797" s="4"/>
      <c r="Q797" s="4"/>
    </row>
    <row r="798" spans="1:17" x14ac:dyDescent="0.2">
      <c r="A798" s="1">
        <f t="shared" ca="1" si="20"/>
        <v>796</v>
      </c>
      <c r="B798" s="10" t="s">
        <v>6797</v>
      </c>
      <c r="C798" s="82" t="s">
        <v>4256</v>
      </c>
      <c r="D798" s="4"/>
      <c r="E798" s="4"/>
      <c r="F798" s="4"/>
      <c r="G798" s="4"/>
      <c r="H798" s="4"/>
      <c r="I798" s="4" t="s">
        <v>852</v>
      </c>
      <c r="J798" s="4"/>
      <c r="K798" s="4"/>
      <c r="L798" s="4"/>
      <c r="M798" s="4"/>
      <c r="N798" s="4"/>
      <c r="O798" s="4"/>
      <c r="P798" s="4"/>
      <c r="Q798" s="4"/>
    </row>
    <row r="799" spans="1:17" x14ac:dyDescent="0.2">
      <c r="A799" s="1">
        <f t="shared" ca="1" si="20"/>
        <v>797</v>
      </c>
      <c r="B799" s="74" t="s">
        <v>6798</v>
      </c>
      <c r="C799" s="82" t="s">
        <v>6799</v>
      </c>
      <c r="D799" s="4"/>
      <c r="E799" s="4"/>
      <c r="F799" s="4"/>
      <c r="G799" s="4"/>
      <c r="H799" s="4"/>
      <c r="I799" s="4" t="s">
        <v>853</v>
      </c>
      <c r="J799" s="4"/>
      <c r="K799" s="4"/>
      <c r="L799" s="4"/>
      <c r="M799" s="4"/>
      <c r="N799" s="4"/>
      <c r="O799" s="4"/>
      <c r="P799" s="4"/>
      <c r="Q799" s="4"/>
    </row>
    <row r="800" spans="1:17" x14ac:dyDescent="0.2">
      <c r="A800" s="1">
        <f t="shared" ca="1" si="20"/>
        <v>798</v>
      </c>
      <c r="B800" s="74" t="s">
        <v>6800</v>
      </c>
      <c r="C800" s="82" t="s">
        <v>4257</v>
      </c>
      <c r="D800" s="4"/>
      <c r="E800" s="4"/>
      <c r="F800" s="4"/>
      <c r="G800" s="4"/>
      <c r="H800" s="4"/>
      <c r="I800" s="4" t="s">
        <v>681</v>
      </c>
      <c r="J800" s="4"/>
      <c r="K800" s="4"/>
      <c r="L800" s="4"/>
      <c r="M800" s="4"/>
      <c r="N800" s="4"/>
      <c r="O800" s="4"/>
      <c r="P800" s="4"/>
      <c r="Q800" s="4"/>
    </row>
    <row r="801" spans="1:17" ht="38.25" x14ac:dyDescent="0.2">
      <c r="A801" s="1">
        <f t="shared" ca="1" si="20"/>
        <v>799</v>
      </c>
      <c r="B801" s="74" t="s">
        <v>8411</v>
      </c>
      <c r="C801" s="82" t="s">
        <v>4258</v>
      </c>
      <c r="D801" s="4"/>
      <c r="E801" s="4"/>
      <c r="F801" s="4"/>
      <c r="G801" s="4"/>
      <c r="H801" s="4"/>
      <c r="I801" s="4" t="s">
        <v>510</v>
      </c>
      <c r="J801" s="4"/>
      <c r="K801" s="4"/>
      <c r="L801" s="4"/>
      <c r="M801" s="4"/>
      <c r="N801" s="4"/>
      <c r="O801" s="4"/>
      <c r="P801" s="4"/>
      <c r="Q801" s="4"/>
    </row>
    <row r="802" spans="1:17" x14ac:dyDescent="0.2">
      <c r="A802" s="1">
        <f t="shared" ca="1" si="20"/>
        <v>800</v>
      </c>
      <c r="B802" s="10" t="s">
        <v>8412</v>
      </c>
      <c r="C802" s="82" t="s">
        <v>4259</v>
      </c>
      <c r="D802" s="4"/>
      <c r="E802" s="4"/>
      <c r="F802" s="4"/>
      <c r="G802" s="4"/>
      <c r="H802" s="4"/>
      <c r="I802" s="4" t="s">
        <v>854</v>
      </c>
      <c r="J802" s="4"/>
      <c r="K802" s="4"/>
      <c r="L802" s="4"/>
      <c r="M802" s="4"/>
      <c r="N802" s="4"/>
      <c r="O802" s="4"/>
      <c r="P802" s="4"/>
      <c r="Q802" s="4"/>
    </row>
    <row r="803" spans="1:17" ht="25.5" x14ac:dyDescent="0.2">
      <c r="A803" s="1">
        <f t="shared" ca="1" si="20"/>
        <v>801</v>
      </c>
      <c r="B803" s="74" t="s">
        <v>8413</v>
      </c>
      <c r="C803" s="82" t="s">
        <v>4260</v>
      </c>
      <c r="D803" s="4"/>
      <c r="E803" s="4"/>
      <c r="F803" s="4"/>
      <c r="G803" s="4"/>
      <c r="H803" s="4"/>
      <c r="I803" s="4" t="s">
        <v>855</v>
      </c>
      <c r="J803" s="4"/>
      <c r="K803" s="4"/>
      <c r="L803" s="4"/>
      <c r="M803" s="4"/>
      <c r="N803" s="4"/>
      <c r="O803" s="4"/>
      <c r="P803" s="4"/>
      <c r="Q803" s="4"/>
    </row>
    <row r="804" spans="1:17" ht="25.5" x14ac:dyDescent="0.2">
      <c r="A804" s="1">
        <f t="shared" ca="1" si="20"/>
        <v>802</v>
      </c>
      <c r="B804" s="147" t="s">
        <v>9035</v>
      </c>
      <c r="C804" s="82" t="s">
        <v>1247</v>
      </c>
      <c r="D804" s="4"/>
      <c r="E804" s="4"/>
      <c r="F804" s="4"/>
      <c r="G804" s="4"/>
      <c r="H804" s="4"/>
      <c r="I804" s="4" t="s">
        <v>856</v>
      </c>
      <c r="J804" s="4"/>
      <c r="K804" s="4"/>
      <c r="L804" s="4"/>
      <c r="M804" s="4"/>
      <c r="N804" s="4"/>
      <c r="O804" s="4"/>
      <c r="P804" s="4"/>
      <c r="Q804" s="4"/>
    </row>
    <row r="805" spans="1:17" x14ac:dyDescent="0.2">
      <c r="A805" s="1">
        <f t="shared" ca="1" si="20"/>
        <v>803</v>
      </c>
      <c r="B805" s="74" t="s">
        <v>7586</v>
      </c>
      <c r="C805" s="82" t="s">
        <v>7587</v>
      </c>
      <c r="D805" s="4"/>
      <c r="E805" s="4"/>
      <c r="F805" s="4"/>
      <c r="G805" s="4"/>
      <c r="H805" s="4"/>
      <c r="I805" s="4" t="s">
        <v>682</v>
      </c>
      <c r="J805" s="4"/>
      <c r="K805" s="4"/>
      <c r="L805" s="4"/>
      <c r="M805" s="4"/>
      <c r="N805" s="4"/>
      <c r="O805" s="4"/>
      <c r="P805" s="4"/>
      <c r="Q805" s="4"/>
    </row>
    <row r="806" spans="1:17" ht="25.5" x14ac:dyDescent="0.2">
      <c r="A806" s="1">
        <f t="shared" ca="1" si="20"/>
        <v>804</v>
      </c>
      <c r="B806" s="10" t="s">
        <v>7588</v>
      </c>
      <c r="C806" s="82" t="s">
        <v>7989</v>
      </c>
      <c r="D806" s="4"/>
      <c r="E806" s="4"/>
      <c r="F806" s="4"/>
      <c r="G806" s="4"/>
      <c r="H806" s="4"/>
      <c r="I806" s="4" t="s">
        <v>857</v>
      </c>
      <c r="J806" s="4"/>
      <c r="K806" s="4"/>
      <c r="L806" s="4"/>
      <c r="M806" s="4"/>
      <c r="N806" s="4"/>
      <c r="O806" s="4"/>
      <c r="P806" s="4"/>
      <c r="Q806" s="4"/>
    </row>
    <row r="807" spans="1:17" ht="25.5" x14ac:dyDescent="0.2">
      <c r="A807" s="1">
        <f t="shared" ca="1" si="20"/>
        <v>805</v>
      </c>
      <c r="B807" s="74" t="s">
        <v>7589</v>
      </c>
      <c r="C807" s="82" t="s">
        <v>7990</v>
      </c>
      <c r="D807" s="4"/>
      <c r="E807" s="4"/>
      <c r="F807" s="4"/>
      <c r="G807" s="4"/>
      <c r="H807" s="4"/>
      <c r="I807" s="4" t="s">
        <v>858</v>
      </c>
      <c r="J807" s="4"/>
      <c r="K807" s="4"/>
      <c r="L807" s="4"/>
      <c r="M807" s="4"/>
      <c r="N807" s="4"/>
      <c r="O807" s="4"/>
      <c r="P807" s="4"/>
      <c r="Q807" s="4"/>
    </row>
    <row r="808" spans="1:17" ht="38.25" x14ac:dyDescent="0.2">
      <c r="A808" s="1">
        <f t="shared" ca="1" si="20"/>
        <v>806</v>
      </c>
      <c r="B808" s="74" t="s">
        <v>7590</v>
      </c>
      <c r="C808" s="82" t="s">
        <v>811</v>
      </c>
      <c r="D808" s="4"/>
      <c r="E808" s="4"/>
      <c r="F808" s="4"/>
      <c r="G808" s="4"/>
      <c r="H808" s="4"/>
      <c r="I808" s="4" t="s">
        <v>859</v>
      </c>
      <c r="J808" s="4"/>
      <c r="K808" s="4"/>
      <c r="L808" s="4"/>
      <c r="M808" s="4"/>
      <c r="N808" s="4"/>
      <c r="O808" s="4"/>
      <c r="P808" s="4"/>
      <c r="Q808" s="4"/>
    </row>
    <row r="809" spans="1:17" ht="25.5" x14ac:dyDescent="0.2">
      <c r="A809" s="1">
        <f t="shared" ca="1" si="20"/>
        <v>807</v>
      </c>
      <c r="B809" s="74" t="s">
        <v>765</v>
      </c>
      <c r="C809" s="82" t="s">
        <v>6866</v>
      </c>
      <c r="D809" s="4"/>
      <c r="E809" s="4"/>
      <c r="F809" s="4"/>
      <c r="G809" s="4"/>
      <c r="H809" s="4"/>
      <c r="I809" s="4" t="s">
        <v>860</v>
      </c>
      <c r="J809" s="4"/>
      <c r="K809" s="4"/>
      <c r="L809" s="4"/>
      <c r="M809" s="4"/>
      <c r="N809" s="4"/>
      <c r="O809" s="4"/>
      <c r="P809" s="4"/>
      <c r="Q809" s="4"/>
    </row>
    <row r="810" spans="1:17" ht="25.5" x14ac:dyDescent="0.2">
      <c r="A810" s="1">
        <f t="shared" ca="1" si="20"/>
        <v>808</v>
      </c>
      <c r="B810" s="10" t="s">
        <v>6958</v>
      </c>
      <c r="C810" s="82" t="s">
        <v>6020</v>
      </c>
      <c r="D810" s="4"/>
      <c r="E810" s="4"/>
      <c r="F810" s="4"/>
      <c r="G810" s="4"/>
      <c r="H810" s="4"/>
      <c r="I810" s="4" t="s">
        <v>861</v>
      </c>
      <c r="J810" s="4"/>
      <c r="K810" s="4"/>
      <c r="L810" s="4"/>
      <c r="M810" s="4"/>
      <c r="N810" s="4"/>
      <c r="O810" s="4"/>
      <c r="P810" s="4"/>
      <c r="Q810" s="4"/>
    </row>
    <row r="811" spans="1:17" x14ac:dyDescent="0.2">
      <c r="A811" s="1">
        <f t="shared" ca="1" si="20"/>
        <v>809</v>
      </c>
      <c r="B811" s="74" t="s">
        <v>6959</v>
      </c>
      <c r="C811" s="82" t="s">
        <v>6960</v>
      </c>
      <c r="D811" s="4"/>
      <c r="E811" s="4"/>
      <c r="F811" s="4"/>
      <c r="G811" s="4"/>
      <c r="H811" s="4"/>
      <c r="I811" s="4" t="s">
        <v>862</v>
      </c>
      <c r="J811" s="4"/>
      <c r="K811" s="4"/>
      <c r="L811" s="4"/>
      <c r="M811" s="4"/>
      <c r="N811" s="4"/>
      <c r="O811" s="4"/>
      <c r="P811" s="4"/>
      <c r="Q811" s="4"/>
    </row>
    <row r="812" spans="1:17" x14ac:dyDescent="0.2">
      <c r="A812" s="1">
        <f t="shared" ca="1" si="20"/>
        <v>810</v>
      </c>
      <c r="B812" s="74" t="s">
        <v>6961</v>
      </c>
      <c r="C812" s="82" t="s">
        <v>6021</v>
      </c>
      <c r="D812" s="4"/>
      <c r="E812" s="4"/>
      <c r="F812" s="4"/>
      <c r="G812" s="4"/>
      <c r="H812" s="4"/>
      <c r="I812" s="4" t="s">
        <v>863</v>
      </c>
      <c r="J812" s="4"/>
      <c r="K812" s="4"/>
      <c r="L812" s="4"/>
      <c r="M812" s="4"/>
      <c r="N812" s="4"/>
      <c r="O812" s="4"/>
      <c r="P812" s="4"/>
      <c r="Q812" s="4"/>
    </row>
    <row r="813" spans="1:17" x14ac:dyDescent="0.2">
      <c r="A813" s="1">
        <f t="shared" ca="1" si="20"/>
        <v>811</v>
      </c>
      <c r="B813" s="10" t="s">
        <v>6962</v>
      </c>
      <c r="C813" s="82" t="s">
        <v>2059</v>
      </c>
      <c r="D813" s="4"/>
      <c r="E813" s="4"/>
      <c r="F813" s="4"/>
      <c r="G813" s="4"/>
      <c r="H813" s="4"/>
      <c r="I813" s="4" t="s">
        <v>864</v>
      </c>
      <c r="J813" s="4"/>
      <c r="K813" s="4"/>
      <c r="L813" s="4"/>
      <c r="M813" s="4"/>
      <c r="N813" s="4"/>
      <c r="O813" s="4"/>
      <c r="P813" s="4"/>
      <c r="Q813" s="4"/>
    </row>
    <row r="814" spans="1:17" x14ac:dyDescent="0.2">
      <c r="A814" s="1">
        <f t="shared" ca="1" si="20"/>
        <v>812</v>
      </c>
      <c r="B814" s="10" t="s">
        <v>4807</v>
      </c>
      <c r="C814" s="82" t="s">
        <v>8266</v>
      </c>
      <c r="D814" s="4"/>
      <c r="E814" s="4"/>
      <c r="F814" s="4"/>
      <c r="G814" s="4"/>
      <c r="H814" s="4"/>
      <c r="I814" s="4" t="s">
        <v>6091</v>
      </c>
      <c r="J814" s="4"/>
      <c r="K814" s="4"/>
      <c r="L814" s="4"/>
      <c r="M814" s="4"/>
      <c r="N814" s="4"/>
      <c r="O814" s="4"/>
      <c r="P814" s="4"/>
      <c r="Q814" s="4"/>
    </row>
    <row r="815" spans="1:17" ht="51" x14ac:dyDescent="0.2">
      <c r="A815" s="1">
        <f t="shared" ca="1" si="20"/>
        <v>813</v>
      </c>
      <c r="B815" s="74" t="s">
        <v>5937</v>
      </c>
      <c r="C815" s="82" t="s">
        <v>7991</v>
      </c>
      <c r="D815" s="4"/>
      <c r="E815" s="4"/>
      <c r="F815" s="4"/>
      <c r="G815" s="4"/>
      <c r="H815" s="4"/>
      <c r="I815" s="4" t="s">
        <v>865</v>
      </c>
      <c r="J815" s="4"/>
      <c r="K815" s="4"/>
      <c r="L815" s="4"/>
      <c r="M815" s="4"/>
      <c r="N815" s="4"/>
      <c r="O815" s="4"/>
      <c r="P815" s="4"/>
      <c r="Q815" s="4"/>
    </row>
    <row r="816" spans="1:17" ht="25.5" x14ac:dyDescent="0.2">
      <c r="A816" s="1">
        <f t="shared" ca="1" si="20"/>
        <v>814</v>
      </c>
      <c r="B816" s="10" t="s">
        <v>4808</v>
      </c>
      <c r="C816" s="82" t="s">
        <v>7992</v>
      </c>
      <c r="D816" s="4"/>
      <c r="E816" s="4"/>
      <c r="F816" s="4"/>
      <c r="G816" s="4"/>
      <c r="H816" s="4"/>
      <c r="I816" s="4" t="s">
        <v>866</v>
      </c>
      <c r="J816" s="4"/>
      <c r="K816" s="4"/>
      <c r="L816" s="4"/>
      <c r="M816" s="4"/>
      <c r="N816" s="4"/>
      <c r="O816" s="4"/>
      <c r="P816" s="4"/>
      <c r="Q816" s="4"/>
    </row>
    <row r="817" spans="1:17" ht="51" x14ac:dyDescent="0.2">
      <c r="A817" s="1">
        <f t="shared" ca="1" si="20"/>
        <v>815</v>
      </c>
      <c r="B817" s="74" t="s">
        <v>4809</v>
      </c>
      <c r="C817" s="82" t="s">
        <v>6022</v>
      </c>
      <c r="D817" s="4"/>
      <c r="E817" s="4"/>
      <c r="F817" s="4"/>
      <c r="G817" s="4"/>
      <c r="H817" s="4"/>
      <c r="I817" s="4" t="s">
        <v>867</v>
      </c>
      <c r="J817" s="4"/>
      <c r="K817" s="4"/>
      <c r="L817" s="4"/>
      <c r="M817" s="4"/>
      <c r="N817" s="4"/>
      <c r="O817" s="4"/>
      <c r="P817" s="4"/>
      <c r="Q817" s="4"/>
    </row>
    <row r="818" spans="1:17" ht="76.5" x14ac:dyDescent="0.2">
      <c r="A818" s="1">
        <f t="shared" ca="1" si="20"/>
        <v>816</v>
      </c>
      <c r="B818" s="74" t="s">
        <v>4810</v>
      </c>
      <c r="C818" s="82" t="s">
        <v>5451</v>
      </c>
      <c r="D818" s="4"/>
      <c r="E818" s="4"/>
      <c r="F818" s="4"/>
      <c r="G818" s="4"/>
      <c r="H818" s="4"/>
      <c r="I818" s="4" t="s">
        <v>291</v>
      </c>
      <c r="J818" s="4"/>
      <c r="K818" s="4"/>
      <c r="L818" s="4"/>
      <c r="M818" s="4"/>
      <c r="N818" s="4"/>
      <c r="O818" s="4"/>
      <c r="P818" s="4"/>
      <c r="Q818" s="4"/>
    </row>
    <row r="819" spans="1:17" x14ac:dyDescent="0.2">
      <c r="A819" s="1">
        <f t="shared" ca="1" si="20"/>
        <v>817</v>
      </c>
      <c r="B819" s="10" t="s">
        <v>3894</v>
      </c>
      <c r="C819" s="82" t="s">
        <v>5489</v>
      </c>
      <c r="D819" s="4"/>
      <c r="E819" s="4"/>
      <c r="F819" s="4"/>
      <c r="G819" s="4"/>
      <c r="H819" s="4"/>
      <c r="I819" s="4" t="s">
        <v>5489</v>
      </c>
      <c r="J819" s="4"/>
      <c r="K819" s="4"/>
      <c r="L819" s="4"/>
      <c r="M819" s="4"/>
      <c r="N819" s="4"/>
      <c r="O819" s="4"/>
      <c r="P819" s="4"/>
      <c r="Q819" s="4"/>
    </row>
    <row r="820" spans="1:17" ht="63.75" x14ac:dyDescent="0.2">
      <c r="A820" s="1">
        <f t="shared" ca="1" si="20"/>
        <v>818</v>
      </c>
      <c r="B820" s="10" t="s">
        <v>3895</v>
      </c>
      <c r="C820" s="82" t="s">
        <v>489</v>
      </c>
      <c r="D820" s="4"/>
      <c r="E820" s="4"/>
      <c r="F820" s="4"/>
      <c r="G820" s="4"/>
      <c r="H820" s="4"/>
      <c r="I820" s="4" t="s">
        <v>511</v>
      </c>
      <c r="J820" s="4"/>
      <c r="K820" s="4"/>
      <c r="L820" s="4"/>
      <c r="M820" s="4"/>
      <c r="N820" s="4"/>
      <c r="O820" s="4"/>
      <c r="P820" s="4"/>
      <c r="Q820" s="4"/>
    </row>
    <row r="821" spans="1:17" ht="38.25" x14ac:dyDescent="0.2">
      <c r="A821" s="1">
        <f t="shared" ca="1" si="20"/>
        <v>819</v>
      </c>
      <c r="B821" s="74" t="s">
        <v>3896</v>
      </c>
      <c r="C821" s="82" t="s">
        <v>3061</v>
      </c>
      <c r="D821" s="4"/>
      <c r="E821" s="4"/>
      <c r="F821" s="4"/>
      <c r="G821" s="4"/>
      <c r="H821" s="4"/>
      <c r="I821" s="4" t="s">
        <v>868</v>
      </c>
      <c r="J821" s="4"/>
      <c r="K821" s="4"/>
      <c r="L821" s="4"/>
      <c r="M821" s="4"/>
      <c r="N821" s="4"/>
      <c r="O821" s="4"/>
      <c r="P821" s="4"/>
      <c r="Q821" s="4"/>
    </row>
    <row r="822" spans="1:17" x14ac:dyDescent="0.2">
      <c r="A822" s="1">
        <f t="shared" ca="1" si="20"/>
        <v>820</v>
      </c>
      <c r="B822" s="1" t="s">
        <v>1643</v>
      </c>
      <c r="C822" s="82" t="s">
        <v>3062</v>
      </c>
      <c r="D822" s="4"/>
      <c r="E822" s="4"/>
      <c r="F822" s="4"/>
      <c r="G822" s="4"/>
      <c r="H822" s="4"/>
      <c r="I822" s="4" t="s">
        <v>292</v>
      </c>
      <c r="J822" s="4"/>
      <c r="K822" s="4"/>
      <c r="L822" s="4"/>
      <c r="M822" s="4"/>
      <c r="N822" s="4"/>
      <c r="O822" s="4"/>
      <c r="P822" s="4"/>
      <c r="Q822" s="4"/>
    </row>
    <row r="823" spans="1:17" ht="114.75" x14ac:dyDescent="0.2">
      <c r="A823" s="1">
        <f t="shared" ca="1" si="20"/>
        <v>821</v>
      </c>
      <c r="B823" s="1" t="s">
        <v>7646</v>
      </c>
      <c r="C823" s="82" t="s">
        <v>8077</v>
      </c>
      <c r="D823" s="4"/>
      <c r="E823" s="4"/>
      <c r="F823" s="4"/>
      <c r="G823" s="4"/>
      <c r="H823" s="4"/>
      <c r="I823" s="4" t="s">
        <v>3845</v>
      </c>
      <c r="J823" s="4"/>
      <c r="K823" s="4"/>
      <c r="L823" s="4"/>
      <c r="M823" s="4"/>
      <c r="N823" s="4"/>
      <c r="O823" s="4"/>
      <c r="P823" s="4"/>
      <c r="Q823" s="4"/>
    </row>
    <row r="824" spans="1:17" ht="25.5" x14ac:dyDescent="0.2">
      <c r="A824" s="1">
        <f t="shared" ca="1" si="20"/>
        <v>822</v>
      </c>
      <c r="B824" s="10" t="s">
        <v>7647</v>
      </c>
      <c r="C824" s="82" t="s">
        <v>8078</v>
      </c>
      <c r="D824" s="4"/>
      <c r="E824" s="4"/>
      <c r="F824" s="4"/>
      <c r="G824" s="4"/>
      <c r="H824" s="4"/>
      <c r="I824" s="4" t="s">
        <v>3846</v>
      </c>
      <c r="J824" s="4"/>
      <c r="K824" s="4"/>
      <c r="L824" s="4"/>
      <c r="M824" s="4"/>
      <c r="N824" s="4"/>
      <c r="O824" s="4"/>
      <c r="P824" s="4"/>
      <c r="Q824" s="4"/>
    </row>
    <row r="825" spans="1:17" x14ac:dyDescent="0.2">
      <c r="A825" s="1">
        <f t="shared" ca="1" si="20"/>
        <v>823</v>
      </c>
      <c r="B825" s="10" t="s">
        <v>1643</v>
      </c>
      <c r="C825" s="82" t="s">
        <v>5489</v>
      </c>
      <c r="D825" s="4"/>
      <c r="E825" s="4"/>
      <c r="F825" s="4"/>
      <c r="G825" s="4"/>
      <c r="H825" s="4"/>
      <c r="I825" s="4" t="s">
        <v>5489</v>
      </c>
      <c r="J825" s="4"/>
      <c r="K825" s="4"/>
      <c r="L825" s="4"/>
      <c r="M825" s="4"/>
      <c r="N825" s="4"/>
      <c r="O825" s="4"/>
      <c r="P825" s="4"/>
      <c r="Q825" s="4"/>
    </row>
    <row r="826" spans="1:17" x14ac:dyDescent="0.2">
      <c r="A826" s="1">
        <f t="shared" ca="1" si="20"/>
        <v>824</v>
      </c>
      <c r="B826" s="74" t="s">
        <v>7648</v>
      </c>
      <c r="C826" s="82" t="s">
        <v>8079</v>
      </c>
      <c r="D826" s="4"/>
      <c r="E826" s="4"/>
      <c r="F826" s="4"/>
      <c r="G826" s="4"/>
      <c r="H826" s="4"/>
      <c r="I826" s="4" t="s">
        <v>3847</v>
      </c>
      <c r="J826" s="4"/>
      <c r="K826" s="4"/>
      <c r="L826" s="4"/>
      <c r="M826" s="4"/>
      <c r="N826" s="4"/>
      <c r="O826" s="4"/>
      <c r="P826" s="4"/>
      <c r="Q826" s="4"/>
    </row>
    <row r="827" spans="1:17" x14ac:dyDescent="0.2">
      <c r="A827" s="1">
        <f t="shared" ca="1" si="20"/>
        <v>825</v>
      </c>
      <c r="B827" s="74" t="s">
        <v>7649</v>
      </c>
      <c r="C827" s="82" t="s">
        <v>8080</v>
      </c>
      <c r="D827" s="4"/>
      <c r="E827" s="4"/>
      <c r="F827" s="4"/>
      <c r="G827" s="4"/>
      <c r="H827" s="4"/>
      <c r="I827" s="4" t="s">
        <v>3848</v>
      </c>
      <c r="J827" s="4"/>
      <c r="K827" s="4"/>
      <c r="L827" s="4"/>
      <c r="M827" s="4"/>
      <c r="N827" s="4"/>
      <c r="O827" s="4"/>
      <c r="P827" s="4"/>
      <c r="Q827" s="4"/>
    </row>
    <row r="828" spans="1:17" ht="51" x14ac:dyDescent="0.2">
      <c r="A828" s="1">
        <f t="shared" ca="1" si="20"/>
        <v>826</v>
      </c>
      <c r="B828" s="10" t="s">
        <v>8299</v>
      </c>
      <c r="C828" s="82" t="s">
        <v>4438</v>
      </c>
      <c r="D828" s="4"/>
      <c r="E828" s="4"/>
      <c r="F828" s="4"/>
      <c r="G828" s="4"/>
      <c r="H828" s="4"/>
      <c r="I828" s="4" t="s">
        <v>3849</v>
      </c>
      <c r="J828" s="4"/>
      <c r="K828" s="4"/>
      <c r="L828" s="4"/>
      <c r="M828" s="4"/>
      <c r="N828" s="4"/>
      <c r="O828" s="4"/>
      <c r="P828" s="4"/>
      <c r="Q828" s="4"/>
    </row>
    <row r="829" spans="1:17" ht="25.5" x14ac:dyDescent="0.2">
      <c r="A829" s="1">
        <f t="shared" ca="1" si="20"/>
        <v>827</v>
      </c>
      <c r="B829" s="10" t="s">
        <v>8300</v>
      </c>
      <c r="C829" s="82" t="s">
        <v>4439</v>
      </c>
      <c r="D829" s="4"/>
      <c r="E829" s="4"/>
      <c r="F829" s="4"/>
      <c r="G829" s="4"/>
      <c r="H829" s="4"/>
      <c r="I829" s="4" t="s">
        <v>293</v>
      </c>
      <c r="J829" s="4"/>
      <c r="K829" s="4"/>
      <c r="L829" s="4"/>
      <c r="M829" s="4"/>
      <c r="N829" s="4"/>
      <c r="O829" s="4"/>
      <c r="P829" s="4"/>
      <c r="Q829" s="4"/>
    </row>
    <row r="830" spans="1:17" ht="38.25" x14ac:dyDescent="0.2">
      <c r="A830" s="1">
        <f t="shared" ca="1" si="20"/>
        <v>828</v>
      </c>
      <c r="B830" s="74" t="s">
        <v>8301</v>
      </c>
      <c r="C830" s="82" t="s">
        <v>4440</v>
      </c>
      <c r="D830" s="4"/>
      <c r="E830" s="4"/>
      <c r="F830" s="4"/>
      <c r="G830" s="4"/>
      <c r="H830" s="4"/>
      <c r="I830" s="4" t="s">
        <v>294</v>
      </c>
      <c r="J830" s="4"/>
      <c r="K830" s="4"/>
      <c r="L830" s="4"/>
      <c r="M830" s="4"/>
      <c r="N830" s="4"/>
      <c r="O830" s="4"/>
      <c r="P830" s="4"/>
      <c r="Q830" s="4"/>
    </row>
    <row r="831" spans="1:17" ht="51" x14ac:dyDescent="0.2">
      <c r="A831" s="1">
        <f t="shared" ca="1" si="20"/>
        <v>829</v>
      </c>
      <c r="B831" s="74" t="s">
        <v>8302</v>
      </c>
      <c r="C831" s="82" t="s">
        <v>4441</v>
      </c>
      <c r="D831" s="4"/>
      <c r="E831" s="4"/>
      <c r="F831" s="4"/>
      <c r="G831" s="4"/>
      <c r="H831" s="4"/>
      <c r="I831" s="4" t="s">
        <v>295</v>
      </c>
      <c r="J831" s="4"/>
      <c r="K831" s="4"/>
      <c r="L831" s="4"/>
      <c r="M831" s="4"/>
      <c r="N831" s="4"/>
      <c r="O831" s="4"/>
      <c r="P831" s="4"/>
      <c r="Q831" s="4"/>
    </row>
    <row r="832" spans="1:17" ht="89.25" x14ac:dyDescent="0.2">
      <c r="A832" s="1">
        <f t="shared" ca="1" si="20"/>
        <v>830</v>
      </c>
      <c r="B832" s="10" t="s">
        <v>8303</v>
      </c>
      <c r="C832" s="82" t="s">
        <v>4550</v>
      </c>
      <c r="D832" s="4"/>
      <c r="E832" s="4"/>
      <c r="F832" s="4"/>
      <c r="G832" s="4"/>
      <c r="H832" s="4"/>
      <c r="I832" s="4" t="s">
        <v>4148</v>
      </c>
      <c r="J832" s="4"/>
      <c r="K832" s="4"/>
      <c r="L832" s="4"/>
      <c r="M832" s="4"/>
      <c r="N832" s="4"/>
      <c r="O832" s="4"/>
      <c r="P832" s="4"/>
      <c r="Q832" s="4"/>
    </row>
    <row r="833" spans="1:17" x14ac:dyDescent="0.2">
      <c r="A833" s="1">
        <f t="shared" ca="1" si="20"/>
        <v>831</v>
      </c>
      <c r="B833" s="10" t="s">
        <v>8304</v>
      </c>
      <c r="C833" s="82" t="s">
        <v>8305</v>
      </c>
      <c r="D833" s="4"/>
      <c r="E833" s="4"/>
      <c r="F833" s="4"/>
      <c r="G833" s="4"/>
      <c r="H833" s="4"/>
      <c r="I833" s="4" t="s">
        <v>3850</v>
      </c>
      <c r="J833" s="4"/>
      <c r="K833" s="4"/>
      <c r="L833" s="4"/>
      <c r="M833" s="4"/>
      <c r="N833" s="4"/>
      <c r="O833" s="4"/>
      <c r="P833" s="4"/>
      <c r="Q833" s="4"/>
    </row>
    <row r="834" spans="1:17" x14ac:dyDescent="0.2">
      <c r="A834" s="1">
        <f t="shared" ref="A834" ca="1" si="22">CELL("row",C834)-2</f>
        <v>832</v>
      </c>
      <c r="B834" s="147" t="s">
        <v>8973</v>
      </c>
      <c r="C834" s="145" t="s">
        <v>8974</v>
      </c>
      <c r="D834" s="4"/>
      <c r="E834" s="4"/>
      <c r="F834" s="4"/>
      <c r="G834" s="4"/>
      <c r="H834" s="4"/>
      <c r="J834" s="4"/>
      <c r="K834" s="4"/>
      <c r="L834" s="4"/>
      <c r="M834" s="4"/>
      <c r="N834" s="4"/>
      <c r="O834" s="4"/>
      <c r="P834" s="4"/>
      <c r="Q834" s="4"/>
    </row>
    <row r="835" spans="1:17" ht="25.5" x14ac:dyDescent="0.2">
      <c r="A835" s="1">
        <f t="shared" ca="1" si="20"/>
        <v>833</v>
      </c>
      <c r="B835" s="74" t="s">
        <v>8306</v>
      </c>
      <c r="C835" s="82" t="s">
        <v>8371</v>
      </c>
      <c r="D835" s="4"/>
      <c r="E835" s="4"/>
      <c r="F835" s="4"/>
      <c r="G835" s="4"/>
      <c r="H835" s="4"/>
      <c r="I835" s="4" t="s">
        <v>3851</v>
      </c>
      <c r="J835" s="4"/>
      <c r="K835" s="4"/>
      <c r="L835" s="4"/>
      <c r="M835" s="4"/>
      <c r="N835" s="4"/>
      <c r="O835" s="4"/>
      <c r="P835" s="4"/>
      <c r="Q835" s="4"/>
    </row>
    <row r="836" spans="1:17" ht="38.25" x14ac:dyDescent="0.2">
      <c r="A836" s="1">
        <f t="shared" ca="1" si="20"/>
        <v>834</v>
      </c>
      <c r="B836" s="74" t="s">
        <v>8307</v>
      </c>
      <c r="C836" s="82" t="s">
        <v>4552</v>
      </c>
      <c r="D836" s="4"/>
      <c r="E836" s="4"/>
      <c r="F836" s="4"/>
      <c r="G836" s="4"/>
      <c r="H836" s="4"/>
      <c r="I836" s="4" t="s">
        <v>3852</v>
      </c>
      <c r="J836" s="4"/>
      <c r="K836" s="4"/>
      <c r="L836" s="4"/>
      <c r="M836" s="4"/>
      <c r="N836" s="4"/>
      <c r="O836" s="4"/>
      <c r="P836" s="4"/>
      <c r="Q836" s="4"/>
    </row>
    <row r="837" spans="1:17" ht="38.25" x14ac:dyDescent="0.2">
      <c r="A837" s="1">
        <f t="shared" ca="1" si="20"/>
        <v>835</v>
      </c>
      <c r="B837" s="10" t="s">
        <v>7656</v>
      </c>
      <c r="C837" s="82" t="s">
        <v>7993</v>
      </c>
      <c r="D837" s="4"/>
      <c r="E837" s="4"/>
      <c r="F837" s="4"/>
      <c r="G837" s="4"/>
      <c r="H837" s="4"/>
      <c r="I837" s="4" t="s">
        <v>3853</v>
      </c>
      <c r="J837" s="4"/>
      <c r="K837" s="4"/>
      <c r="L837" s="4"/>
      <c r="M837" s="4"/>
      <c r="N837" s="4"/>
      <c r="O837" s="4"/>
      <c r="P837" s="4"/>
      <c r="Q837" s="4"/>
    </row>
    <row r="838" spans="1:17" ht="25.5" x14ac:dyDescent="0.2">
      <c r="A838" s="1">
        <f t="shared" ref="A838:A903" ca="1" si="23">CELL("row",C838)-2</f>
        <v>836</v>
      </c>
      <c r="B838" s="10" t="s">
        <v>8173</v>
      </c>
      <c r="C838" s="82" t="s">
        <v>8174</v>
      </c>
      <c r="D838" s="4"/>
      <c r="E838" s="4"/>
      <c r="F838" s="4"/>
      <c r="G838" s="4"/>
      <c r="H838" s="4"/>
      <c r="I838" s="4" t="s">
        <v>3854</v>
      </c>
      <c r="J838" s="4"/>
      <c r="K838" s="4"/>
      <c r="L838" s="4"/>
      <c r="M838" s="4"/>
      <c r="N838" s="4"/>
      <c r="O838" s="4"/>
      <c r="P838" s="4"/>
      <c r="Q838" s="4"/>
    </row>
    <row r="839" spans="1:17" ht="38.25" x14ac:dyDescent="0.2">
      <c r="A839" s="1">
        <f t="shared" ca="1" si="23"/>
        <v>837</v>
      </c>
      <c r="B839" s="74" t="s">
        <v>1242</v>
      </c>
      <c r="C839" s="82" t="s">
        <v>4607</v>
      </c>
      <c r="D839" s="4"/>
      <c r="E839" s="4"/>
      <c r="F839" s="4"/>
      <c r="G839" s="4"/>
      <c r="H839" s="4"/>
      <c r="I839" s="4" t="s">
        <v>1690</v>
      </c>
      <c r="J839" s="4"/>
      <c r="K839" s="4"/>
      <c r="L839" s="4"/>
      <c r="M839" s="4"/>
      <c r="N839" s="4"/>
      <c r="O839" s="4"/>
      <c r="P839" s="4"/>
      <c r="Q839" s="4"/>
    </row>
    <row r="840" spans="1:17" ht="38.25" x14ac:dyDescent="0.2">
      <c r="A840" s="1">
        <f t="shared" ca="1" si="23"/>
        <v>838</v>
      </c>
      <c r="B840" s="74" t="s">
        <v>1243</v>
      </c>
      <c r="C840" s="82" t="s">
        <v>7994</v>
      </c>
      <c r="D840" s="4"/>
      <c r="E840" s="4"/>
      <c r="F840" s="4"/>
      <c r="G840" s="4"/>
      <c r="H840" s="4"/>
      <c r="I840" s="4" t="s">
        <v>1691</v>
      </c>
      <c r="J840" s="4"/>
      <c r="K840" s="4"/>
      <c r="L840" s="4"/>
      <c r="M840" s="4"/>
      <c r="N840" s="4"/>
      <c r="O840" s="4"/>
      <c r="P840" s="4"/>
      <c r="Q840" s="4"/>
    </row>
    <row r="841" spans="1:17" ht="38.25" x14ac:dyDescent="0.2">
      <c r="A841" s="1">
        <f t="shared" ca="1" si="23"/>
        <v>839</v>
      </c>
      <c r="B841" s="74" t="s">
        <v>1244</v>
      </c>
      <c r="C841" s="82" t="s">
        <v>8246</v>
      </c>
      <c r="D841" s="4"/>
      <c r="E841" s="4"/>
      <c r="F841" s="4"/>
      <c r="G841" s="4"/>
      <c r="H841" s="4"/>
      <c r="I841" s="4" t="s">
        <v>1692</v>
      </c>
      <c r="J841" s="4"/>
      <c r="K841" s="4"/>
      <c r="L841" s="4"/>
      <c r="M841" s="4"/>
      <c r="N841" s="4"/>
      <c r="O841" s="4"/>
      <c r="P841" s="4"/>
      <c r="Q841" s="4"/>
    </row>
    <row r="842" spans="1:17" x14ac:dyDescent="0.2">
      <c r="A842" s="1">
        <f t="shared" ca="1" si="23"/>
        <v>840</v>
      </c>
      <c r="B842" s="74" t="s">
        <v>1643</v>
      </c>
      <c r="C842" s="82" t="s">
        <v>3062</v>
      </c>
      <c r="D842" s="4"/>
      <c r="E842" s="4"/>
      <c r="F842" s="4"/>
      <c r="G842" s="4"/>
      <c r="H842" s="4"/>
      <c r="I842" s="4" t="s">
        <v>1693</v>
      </c>
      <c r="J842" s="4"/>
      <c r="K842" s="4"/>
      <c r="L842" s="4"/>
      <c r="M842" s="4"/>
      <c r="N842" s="4"/>
      <c r="O842" s="4"/>
      <c r="P842" s="4"/>
      <c r="Q842" s="4"/>
    </row>
    <row r="843" spans="1:17" ht="25.5" x14ac:dyDescent="0.2">
      <c r="A843" s="1">
        <f t="shared" ca="1" si="23"/>
        <v>841</v>
      </c>
      <c r="B843" s="74" t="s">
        <v>5056</v>
      </c>
      <c r="C843" s="82" t="s">
        <v>3187</v>
      </c>
      <c r="D843" s="4"/>
      <c r="E843" s="4"/>
      <c r="F843" s="4"/>
      <c r="G843" s="4"/>
      <c r="H843" s="4"/>
      <c r="I843" s="4" t="s">
        <v>512</v>
      </c>
      <c r="J843" s="4"/>
      <c r="K843" s="4"/>
      <c r="L843" s="4"/>
      <c r="M843" s="4"/>
      <c r="N843" s="4"/>
      <c r="O843" s="4"/>
      <c r="P843" s="4"/>
      <c r="Q843" s="4"/>
    </row>
    <row r="844" spans="1:17" x14ac:dyDescent="0.2">
      <c r="A844" s="1">
        <f t="shared" ca="1" si="23"/>
        <v>842</v>
      </c>
      <c r="B844" s="74" t="s">
        <v>2788</v>
      </c>
      <c r="C844" s="82" t="s">
        <v>3188</v>
      </c>
      <c r="D844" s="4"/>
      <c r="E844" s="4"/>
      <c r="F844" s="4"/>
      <c r="G844" s="4"/>
      <c r="H844" s="4"/>
      <c r="I844" s="4" t="s">
        <v>1694</v>
      </c>
      <c r="J844" s="4"/>
      <c r="K844" s="4"/>
      <c r="L844" s="4"/>
      <c r="M844" s="4"/>
      <c r="N844" s="4"/>
      <c r="O844" s="4"/>
      <c r="P844" s="4"/>
      <c r="Q844" s="4"/>
    </row>
    <row r="845" spans="1:17" x14ac:dyDescent="0.2">
      <c r="A845" s="1">
        <f t="shared" ca="1" si="23"/>
        <v>843</v>
      </c>
      <c r="B845" s="10" t="s">
        <v>2789</v>
      </c>
      <c r="C845" s="82" t="s">
        <v>2790</v>
      </c>
      <c r="D845" s="4"/>
      <c r="E845" s="4"/>
      <c r="F845" s="4"/>
      <c r="G845" s="4"/>
      <c r="H845" s="4"/>
      <c r="I845" s="4" t="s">
        <v>1695</v>
      </c>
      <c r="J845" s="4"/>
      <c r="K845" s="4"/>
      <c r="L845" s="4"/>
      <c r="M845" s="4"/>
      <c r="N845" s="4"/>
      <c r="O845" s="4"/>
      <c r="P845" s="4"/>
      <c r="Q845" s="4"/>
    </row>
    <row r="846" spans="1:17" x14ac:dyDescent="0.2">
      <c r="A846" s="1">
        <f t="shared" ca="1" si="23"/>
        <v>844</v>
      </c>
      <c r="B846" s="10" t="s">
        <v>2791</v>
      </c>
      <c r="C846" s="82" t="s">
        <v>2792</v>
      </c>
      <c r="D846" s="4"/>
      <c r="E846" s="4"/>
      <c r="F846" s="4"/>
      <c r="G846" s="4"/>
      <c r="H846" s="4"/>
      <c r="I846" s="4" t="s">
        <v>1696</v>
      </c>
      <c r="J846" s="4"/>
      <c r="K846" s="4"/>
      <c r="L846" s="4"/>
      <c r="M846" s="4"/>
      <c r="N846" s="4"/>
      <c r="O846" s="4"/>
      <c r="P846" s="4"/>
      <c r="Q846" s="4"/>
    </row>
    <row r="847" spans="1:17" x14ac:dyDescent="0.2">
      <c r="A847" s="1">
        <f t="shared" ca="1" si="23"/>
        <v>845</v>
      </c>
      <c r="B847" s="10" t="s">
        <v>4925</v>
      </c>
      <c r="C847" s="82" t="s">
        <v>7120</v>
      </c>
      <c r="D847" s="4"/>
      <c r="E847" s="4"/>
      <c r="F847" s="4"/>
      <c r="G847" s="4"/>
      <c r="H847" s="4"/>
      <c r="I847" s="4" t="s">
        <v>1697</v>
      </c>
      <c r="J847" s="4"/>
      <c r="K847" s="4"/>
      <c r="L847" s="4"/>
      <c r="M847" s="4"/>
      <c r="N847" s="4"/>
      <c r="O847" s="4"/>
      <c r="P847" s="4"/>
      <c r="Q847" s="4"/>
    </row>
    <row r="848" spans="1:17" x14ac:dyDescent="0.2">
      <c r="A848" s="1">
        <f t="shared" ca="1" si="23"/>
        <v>846</v>
      </c>
      <c r="B848" s="10" t="s">
        <v>7121</v>
      </c>
      <c r="C848" s="82" t="s">
        <v>954</v>
      </c>
      <c r="D848" s="4"/>
      <c r="E848" s="4"/>
      <c r="F848" s="4"/>
      <c r="G848" s="4"/>
      <c r="H848" s="4"/>
      <c r="I848" s="4" t="s">
        <v>1698</v>
      </c>
      <c r="J848" s="4"/>
      <c r="K848" s="4"/>
      <c r="L848" s="4"/>
      <c r="M848" s="4"/>
      <c r="N848" s="4"/>
      <c r="O848" s="4"/>
      <c r="P848" s="4"/>
      <c r="Q848" s="4"/>
    </row>
    <row r="849" spans="1:17" ht="63.75" x14ac:dyDescent="0.2">
      <c r="A849" s="1">
        <f t="shared" ca="1" si="23"/>
        <v>847</v>
      </c>
      <c r="B849" s="1" t="s">
        <v>9148</v>
      </c>
      <c r="C849" s="145" t="s">
        <v>9149</v>
      </c>
      <c r="D849" s="4"/>
      <c r="E849" s="4"/>
      <c r="F849" s="4"/>
      <c r="G849" s="4"/>
      <c r="H849" s="4"/>
      <c r="I849" s="4" t="s">
        <v>2439</v>
      </c>
      <c r="J849" s="4"/>
      <c r="K849" s="4"/>
      <c r="L849" s="4"/>
      <c r="M849" s="4"/>
      <c r="N849" s="4"/>
      <c r="O849" s="4"/>
      <c r="P849" s="4"/>
      <c r="Q849" s="4"/>
    </row>
    <row r="850" spans="1:17" ht="51" x14ac:dyDescent="0.2">
      <c r="A850" s="1">
        <f t="shared" ca="1" si="23"/>
        <v>848</v>
      </c>
      <c r="B850" s="10" t="s">
        <v>7570</v>
      </c>
      <c r="C850" s="82" t="s">
        <v>7571</v>
      </c>
      <c r="D850" s="4"/>
      <c r="E850" s="4"/>
      <c r="F850" s="4"/>
      <c r="G850" s="4"/>
      <c r="H850" s="4"/>
      <c r="I850" s="4" t="s">
        <v>1699</v>
      </c>
      <c r="J850" s="4"/>
      <c r="K850" s="4"/>
      <c r="L850" s="4"/>
      <c r="M850" s="4"/>
      <c r="N850" s="4"/>
      <c r="O850" s="4"/>
      <c r="P850" s="4"/>
      <c r="Q850" s="4"/>
    </row>
    <row r="851" spans="1:17" ht="25.5" x14ac:dyDescent="0.2">
      <c r="A851" s="1">
        <f t="shared" ca="1" si="23"/>
        <v>849</v>
      </c>
      <c r="B851" s="10" t="s">
        <v>1794</v>
      </c>
      <c r="C851" s="82" t="s">
        <v>1795</v>
      </c>
      <c r="D851" s="4"/>
      <c r="E851" s="4"/>
      <c r="F851" s="4"/>
      <c r="G851" s="4"/>
      <c r="H851" s="4"/>
      <c r="I851" s="4" t="s">
        <v>1700</v>
      </c>
      <c r="J851" s="4"/>
      <c r="K851" s="4"/>
      <c r="L851" s="4"/>
      <c r="M851" s="4"/>
      <c r="N851" s="4"/>
      <c r="O851" s="4"/>
      <c r="P851" s="4"/>
      <c r="Q851" s="4"/>
    </row>
    <row r="852" spans="1:17" ht="89.25" x14ac:dyDescent="0.2">
      <c r="A852" s="1">
        <f t="shared" ca="1" si="23"/>
        <v>850</v>
      </c>
      <c r="B852" s="10" t="s">
        <v>1796</v>
      </c>
      <c r="C852" s="82" t="s">
        <v>8060</v>
      </c>
      <c r="D852" s="4"/>
      <c r="E852" s="4"/>
      <c r="F852" s="4"/>
      <c r="G852" s="4"/>
      <c r="H852" s="4"/>
      <c r="I852" s="4" t="s">
        <v>1701</v>
      </c>
      <c r="J852" s="4"/>
      <c r="K852" s="4"/>
      <c r="L852" s="4"/>
      <c r="M852" s="4"/>
      <c r="N852" s="4"/>
      <c r="O852" s="4"/>
      <c r="P852" s="4"/>
      <c r="Q852" s="4"/>
    </row>
    <row r="853" spans="1:17" ht="102" x14ac:dyDescent="0.2">
      <c r="A853" s="1">
        <f t="shared" ca="1" si="23"/>
        <v>851</v>
      </c>
      <c r="B853" s="10" t="s">
        <v>7750</v>
      </c>
      <c r="C853" s="82" t="s">
        <v>5080</v>
      </c>
      <c r="D853" s="4"/>
      <c r="E853" s="4"/>
      <c r="F853" s="4"/>
      <c r="G853" s="4"/>
      <c r="H853" s="4"/>
      <c r="I853" s="4" t="s">
        <v>1702</v>
      </c>
      <c r="J853" s="4"/>
      <c r="K853" s="4"/>
      <c r="L853" s="4"/>
      <c r="M853" s="4"/>
      <c r="N853" s="4"/>
      <c r="O853" s="4"/>
      <c r="P853" s="4"/>
      <c r="Q853" s="4"/>
    </row>
    <row r="854" spans="1:17" ht="102" x14ac:dyDescent="0.2">
      <c r="A854" s="1">
        <f t="shared" ca="1" si="23"/>
        <v>852</v>
      </c>
      <c r="B854" s="10" t="s">
        <v>8061</v>
      </c>
      <c r="C854" s="82" t="s">
        <v>4008</v>
      </c>
      <c r="D854" s="4"/>
      <c r="E854" s="4"/>
      <c r="F854" s="4"/>
      <c r="G854" s="4"/>
      <c r="H854" s="4"/>
      <c r="I854" s="4" t="s">
        <v>1703</v>
      </c>
      <c r="J854" s="4"/>
      <c r="K854" s="4"/>
      <c r="L854" s="4"/>
      <c r="M854" s="4"/>
      <c r="N854" s="4"/>
      <c r="O854" s="4"/>
      <c r="P854" s="4"/>
      <c r="Q854" s="4"/>
    </row>
    <row r="855" spans="1:17" ht="114.75" x14ac:dyDescent="0.2">
      <c r="A855" s="1">
        <f t="shared" ca="1" si="23"/>
        <v>853</v>
      </c>
      <c r="B855" s="10" t="s">
        <v>7900</v>
      </c>
      <c r="C855" s="82" t="s">
        <v>5171</v>
      </c>
      <c r="D855" s="4"/>
      <c r="E855" s="4"/>
      <c r="F855" s="4"/>
      <c r="G855" s="4"/>
      <c r="H855" s="4"/>
      <c r="I855" s="4" t="s">
        <v>1704</v>
      </c>
      <c r="J855" s="4"/>
      <c r="K855" s="4"/>
      <c r="L855" s="4"/>
      <c r="M855" s="4"/>
      <c r="N855" s="4"/>
      <c r="O855" s="4"/>
      <c r="P855" s="4"/>
      <c r="Q855" s="4"/>
    </row>
    <row r="856" spans="1:17" ht="114.75" x14ac:dyDescent="0.2">
      <c r="A856" s="1">
        <f t="shared" ca="1" si="23"/>
        <v>854</v>
      </c>
      <c r="B856" s="10" t="s">
        <v>5172</v>
      </c>
      <c r="C856" s="82" t="s">
        <v>3549</v>
      </c>
      <c r="D856" s="4"/>
      <c r="E856" s="4"/>
      <c r="F856" s="4"/>
      <c r="G856" s="4"/>
      <c r="H856" s="4"/>
      <c r="I856" s="4" t="s">
        <v>4432</v>
      </c>
      <c r="J856" s="4"/>
      <c r="K856" s="4"/>
      <c r="L856" s="4"/>
      <c r="M856" s="4"/>
      <c r="N856" s="4"/>
      <c r="O856" s="4"/>
      <c r="P856" s="4"/>
      <c r="Q856" s="4"/>
    </row>
    <row r="857" spans="1:17" ht="114.75" x14ac:dyDescent="0.2">
      <c r="A857" s="1">
        <f t="shared" ca="1" si="23"/>
        <v>855</v>
      </c>
      <c r="B857" s="10" t="s">
        <v>5173</v>
      </c>
      <c r="C857" s="82" t="s">
        <v>3719</v>
      </c>
      <c r="D857" s="4"/>
      <c r="E857" s="4"/>
      <c r="F857" s="4"/>
      <c r="G857" s="4"/>
      <c r="H857" s="4"/>
      <c r="I857" s="4" t="s">
        <v>4433</v>
      </c>
      <c r="J857" s="4"/>
      <c r="K857" s="4"/>
      <c r="L857" s="4"/>
      <c r="M857" s="4"/>
      <c r="N857" s="4"/>
      <c r="O857" s="4"/>
      <c r="P857" s="4"/>
      <c r="Q857" s="4"/>
    </row>
    <row r="858" spans="1:17" ht="76.5" x14ac:dyDescent="0.2">
      <c r="A858" s="1">
        <f t="shared" ca="1" si="23"/>
        <v>856</v>
      </c>
      <c r="B858" s="10" t="s">
        <v>6364</v>
      </c>
      <c r="C858" s="82" t="s">
        <v>6366</v>
      </c>
      <c r="D858" s="4"/>
      <c r="E858" s="4"/>
      <c r="F858" s="4"/>
      <c r="G858" s="4"/>
      <c r="H858" s="4"/>
      <c r="I858" s="4" t="s">
        <v>263</v>
      </c>
      <c r="J858" s="4"/>
      <c r="K858" s="4"/>
      <c r="L858" s="4"/>
      <c r="M858" s="4"/>
      <c r="N858" s="4"/>
      <c r="O858" s="4"/>
      <c r="P858" s="4"/>
      <c r="Q858" s="4"/>
    </row>
    <row r="859" spans="1:17" ht="89.25" x14ac:dyDescent="0.2">
      <c r="A859" s="1">
        <f t="shared" ca="1" si="23"/>
        <v>857</v>
      </c>
      <c r="B859" s="10" t="s">
        <v>6365</v>
      </c>
      <c r="C859" s="82" t="s">
        <v>6367</v>
      </c>
      <c r="D859" s="4"/>
      <c r="E859" s="4"/>
      <c r="F859" s="4"/>
      <c r="G859" s="4"/>
      <c r="H859" s="4"/>
      <c r="I859" s="4" t="s">
        <v>264</v>
      </c>
      <c r="J859" s="4"/>
      <c r="K859" s="4"/>
      <c r="L859" s="4"/>
      <c r="M859" s="4"/>
      <c r="N859" s="4"/>
      <c r="O859" s="4"/>
      <c r="P859" s="4"/>
      <c r="Q859" s="4"/>
    </row>
    <row r="860" spans="1:17" x14ac:dyDescent="0.2">
      <c r="A860" s="1">
        <f t="shared" ca="1" si="23"/>
        <v>858</v>
      </c>
      <c r="B860" s="79" t="s">
        <v>7122</v>
      </c>
      <c r="D860" s="4"/>
      <c r="E860" s="4"/>
      <c r="F860" s="4"/>
      <c r="G860" s="4"/>
      <c r="H860" s="4"/>
      <c r="J860" s="4"/>
      <c r="K860" s="4"/>
      <c r="L860" s="4"/>
      <c r="M860" s="4"/>
      <c r="N860" s="4"/>
      <c r="O860" s="4"/>
      <c r="P860" s="4"/>
      <c r="Q860" s="4"/>
    </row>
    <row r="861" spans="1:17" ht="25.5" x14ac:dyDescent="0.2">
      <c r="A861" s="1">
        <f t="shared" ca="1" si="23"/>
        <v>859</v>
      </c>
      <c r="B861" s="10" t="s">
        <v>3079</v>
      </c>
      <c r="C861" s="90" t="s">
        <v>3189</v>
      </c>
      <c r="D861" s="4"/>
      <c r="E861" s="4"/>
      <c r="F861" s="4"/>
      <c r="G861" s="4"/>
      <c r="H861" s="4"/>
      <c r="I861" s="4" t="s">
        <v>265</v>
      </c>
      <c r="J861" s="4"/>
      <c r="K861" s="4"/>
      <c r="L861" s="4"/>
      <c r="M861" s="4"/>
      <c r="N861" s="4"/>
      <c r="O861" s="4"/>
      <c r="P861" s="4"/>
      <c r="Q861" s="4"/>
    </row>
    <row r="862" spans="1:17" ht="38.25" x14ac:dyDescent="0.2">
      <c r="A862" s="1">
        <f t="shared" ca="1" si="23"/>
        <v>860</v>
      </c>
      <c r="B862" s="74" t="s">
        <v>819</v>
      </c>
      <c r="C862" s="90" t="s">
        <v>5267</v>
      </c>
      <c r="D862" s="4"/>
      <c r="E862" s="4"/>
      <c r="F862" s="4"/>
      <c r="G862" s="4"/>
      <c r="H862" s="4"/>
      <c r="I862" s="4" t="s">
        <v>4294</v>
      </c>
      <c r="J862" s="4"/>
      <c r="K862" s="4"/>
      <c r="L862" s="4"/>
      <c r="M862" s="4"/>
      <c r="N862" s="4"/>
      <c r="O862" s="4"/>
      <c r="P862" s="4"/>
      <c r="Q862" s="4"/>
    </row>
    <row r="863" spans="1:17" x14ac:dyDescent="0.2">
      <c r="A863" s="1">
        <f t="shared" ca="1" si="23"/>
        <v>861</v>
      </c>
      <c r="B863" s="74" t="s">
        <v>820</v>
      </c>
      <c r="C863" s="90" t="s">
        <v>2163</v>
      </c>
      <c r="D863" s="4"/>
      <c r="E863" s="4"/>
      <c r="F863" s="4"/>
      <c r="G863" s="4"/>
      <c r="H863" s="4"/>
      <c r="I863" s="4" t="s">
        <v>4295</v>
      </c>
      <c r="J863" s="4"/>
      <c r="K863" s="4"/>
      <c r="L863" s="4"/>
      <c r="M863" s="4"/>
      <c r="N863" s="4"/>
      <c r="O863" s="4"/>
      <c r="P863" s="4"/>
      <c r="Q863" s="4"/>
    </row>
    <row r="864" spans="1:17" x14ac:dyDescent="0.2">
      <c r="A864" s="1">
        <f t="shared" ca="1" si="23"/>
        <v>862</v>
      </c>
      <c r="B864" s="74" t="s">
        <v>821</v>
      </c>
      <c r="C864" s="90" t="s">
        <v>2164</v>
      </c>
      <c r="D864" s="4"/>
      <c r="E864" s="4"/>
      <c r="F864" s="4"/>
      <c r="G864" s="4"/>
      <c r="H864" s="4"/>
      <c r="I864" s="4" t="s">
        <v>4296</v>
      </c>
      <c r="J864" s="4"/>
      <c r="K864" s="4"/>
      <c r="L864" s="4"/>
      <c r="M864" s="4"/>
      <c r="N864" s="4"/>
      <c r="O864" s="4"/>
      <c r="P864" s="4"/>
      <c r="Q864" s="4"/>
    </row>
    <row r="865" spans="1:17" ht="25.5" x14ac:dyDescent="0.2">
      <c r="A865" s="1">
        <f t="shared" ca="1" si="23"/>
        <v>863</v>
      </c>
      <c r="B865" s="74" t="s">
        <v>822</v>
      </c>
      <c r="C865" s="90" t="s">
        <v>2165</v>
      </c>
      <c r="D865" s="4"/>
      <c r="E865" s="4"/>
      <c r="F865" s="4"/>
      <c r="G865" s="4"/>
      <c r="H865" s="4"/>
      <c r="I865" s="4" t="s">
        <v>4297</v>
      </c>
      <c r="J865" s="4"/>
      <c r="K865" s="4"/>
      <c r="L865" s="4"/>
      <c r="M865" s="4"/>
      <c r="N865" s="4"/>
      <c r="O865" s="4"/>
      <c r="P865" s="4"/>
      <c r="Q865" s="4"/>
    </row>
    <row r="866" spans="1:17" x14ac:dyDescent="0.2">
      <c r="A866" s="1">
        <f t="shared" ca="1" si="23"/>
        <v>864</v>
      </c>
      <c r="B866" s="74" t="s">
        <v>823</v>
      </c>
      <c r="C866" s="90" t="s">
        <v>2166</v>
      </c>
      <c r="D866" s="4"/>
      <c r="E866" s="4"/>
      <c r="F866" s="4"/>
      <c r="G866" s="4"/>
      <c r="H866" s="4"/>
      <c r="I866" s="4" t="s">
        <v>4298</v>
      </c>
      <c r="J866" s="4"/>
      <c r="K866" s="4"/>
      <c r="L866" s="4"/>
      <c r="M866" s="4"/>
      <c r="N866" s="4"/>
      <c r="O866" s="4"/>
      <c r="P866" s="4"/>
      <c r="Q866" s="4"/>
    </row>
    <row r="867" spans="1:17" x14ac:dyDescent="0.2">
      <c r="A867" s="1">
        <f t="shared" ca="1" si="23"/>
        <v>865</v>
      </c>
      <c r="B867" s="74" t="s">
        <v>824</v>
      </c>
      <c r="C867" s="90" t="s">
        <v>2167</v>
      </c>
      <c r="D867" s="4"/>
      <c r="E867" s="4"/>
      <c r="F867" s="4"/>
      <c r="G867" s="4"/>
      <c r="H867" s="4"/>
      <c r="I867" s="4" t="s">
        <v>4299</v>
      </c>
      <c r="J867" s="4"/>
      <c r="K867" s="4"/>
      <c r="L867" s="4"/>
      <c r="M867" s="4"/>
      <c r="N867" s="4"/>
      <c r="O867" s="4"/>
      <c r="P867" s="4"/>
      <c r="Q867" s="4"/>
    </row>
    <row r="868" spans="1:17" x14ac:dyDescent="0.2">
      <c r="A868" s="1">
        <f t="shared" ca="1" si="23"/>
        <v>866</v>
      </c>
      <c r="B868" s="74" t="s">
        <v>825</v>
      </c>
      <c r="C868" s="90" t="s">
        <v>2168</v>
      </c>
      <c r="D868" s="4"/>
      <c r="E868" s="4"/>
      <c r="F868" s="4"/>
      <c r="G868" s="4"/>
      <c r="H868" s="4"/>
      <c r="I868" s="4" t="s">
        <v>4300</v>
      </c>
      <c r="J868" s="4"/>
      <c r="K868" s="4"/>
      <c r="L868" s="4"/>
      <c r="M868" s="4"/>
      <c r="N868" s="4"/>
      <c r="O868" s="4"/>
      <c r="P868" s="4"/>
      <c r="Q868" s="4"/>
    </row>
    <row r="869" spans="1:17" x14ac:dyDescent="0.2">
      <c r="A869" s="1">
        <f t="shared" ca="1" si="23"/>
        <v>867</v>
      </c>
      <c r="B869" s="147" t="s">
        <v>8978</v>
      </c>
      <c r="C869" s="90" t="s">
        <v>2169</v>
      </c>
      <c r="D869" s="4"/>
      <c r="E869" s="4"/>
      <c r="F869" s="4"/>
      <c r="G869" s="4"/>
      <c r="H869" s="4"/>
      <c r="I869" s="4" t="s">
        <v>4301</v>
      </c>
      <c r="J869" s="4"/>
      <c r="K869" s="4"/>
      <c r="L869" s="4"/>
      <c r="M869" s="4"/>
      <c r="N869" s="4"/>
      <c r="O869" s="4"/>
      <c r="P869" s="4"/>
      <c r="Q869" s="4"/>
    </row>
    <row r="870" spans="1:17" x14ac:dyDescent="0.2">
      <c r="A870" s="1">
        <f t="shared" ca="1" si="23"/>
        <v>868</v>
      </c>
      <c r="B870" s="147" t="s">
        <v>8977</v>
      </c>
      <c r="C870" s="90" t="s">
        <v>2170</v>
      </c>
      <c r="D870" s="4"/>
      <c r="E870" s="4"/>
      <c r="F870" s="4"/>
      <c r="G870" s="4"/>
      <c r="H870" s="4"/>
      <c r="I870" s="4" t="s">
        <v>4302</v>
      </c>
      <c r="J870" s="4"/>
      <c r="K870" s="4"/>
      <c r="L870" s="4"/>
      <c r="M870" s="4"/>
      <c r="N870" s="4"/>
      <c r="O870" s="4"/>
      <c r="P870" s="4"/>
      <c r="Q870" s="4"/>
    </row>
    <row r="871" spans="1:17" x14ac:dyDescent="0.2">
      <c r="A871" s="1">
        <f t="shared" ca="1" si="23"/>
        <v>869</v>
      </c>
      <c r="B871" s="74" t="s">
        <v>826</v>
      </c>
      <c r="C871" s="90" t="s">
        <v>827</v>
      </c>
      <c r="D871" s="4"/>
      <c r="E871" s="4"/>
      <c r="F871" s="4"/>
      <c r="G871" s="4"/>
      <c r="H871" s="4"/>
      <c r="I871" s="4" t="s">
        <v>4303</v>
      </c>
      <c r="J871" s="4"/>
      <c r="K871" s="4"/>
      <c r="L871" s="4"/>
      <c r="M871" s="4"/>
      <c r="N871" s="4"/>
      <c r="O871" s="4"/>
      <c r="P871" s="4"/>
      <c r="Q871" s="4"/>
    </row>
    <row r="872" spans="1:17" x14ac:dyDescent="0.2">
      <c r="A872" s="1">
        <f t="shared" ca="1" si="23"/>
        <v>870</v>
      </c>
      <c r="B872" s="74" t="s">
        <v>828</v>
      </c>
      <c r="C872" s="90" t="s">
        <v>2171</v>
      </c>
      <c r="D872" s="4"/>
      <c r="E872" s="4"/>
      <c r="F872" s="4"/>
      <c r="G872" s="4"/>
      <c r="H872" s="4"/>
      <c r="I872" s="4" t="s">
        <v>4304</v>
      </c>
      <c r="J872" s="4"/>
      <c r="K872" s="4"/>
      <c r="L872" s="4"/>
      <c r="M872" s="4"/>
      <c r="N872" s="4"/>
      <c r="O872" s="4"/>
      <c r="P872" s="4"/>
      <c r="Q872" s="4"/>
    </row>
    <row r="873" spans="1:17" x14ac:dyDescent="0.2">
      <c r="A873" s="1">
        <f t="shared" ca="1" si="23"/>
        <v>871</v>
      </c>
      <c r="B873" s="74" t="s">
        <v>829</v>
      </c>
      <c r="C873" s="90" t="s">
        <v>2172</v>
      </c>
      <c r="D873" s="4"/>
      <c r="E873" s="4"/>
      <c r="F873" s="4"/>
      <c r="G873" s="4"/>
      <c r="H873" s="4"/>
      <c r="I873" s="4" t="s">
        <v>4305</v>
      </c>
      <c r="J873" s="4"/>
      <c r="K873" s="4"/>
      <c r="L873" s="4"/>
      <c r="M873" s="4"/>
      <c r="N873" s="4"/>
      <c r="O873" s="4"/>
      <c r="P873" s="4"/>
      <c r="Q873" s="4"/>
    </row>
    <row r="874" spans="1:17" x14ac:dyDescent="0.2">
      <c r="A874" s="1">
        <f t="shared" ca="1" si="23"/>
        <v>872</v>
      </c>
      <c r="B874" s="74" t="s">
        <v>830</v>
      </c>
      <c r="C874" s="90" t="s">
        <v>8130</v>
      </c>
      <c r="D874" s="4"/>
      <c r="E874" s="4"/>
      <c r="F874" s="4"/>
      <c r="G874" s="4"/>
      <c r="H874" s="4"/>
      <c r="I874" s="4" t="s">
        <v>4306</v>
      </c>
      <c r="J874" s="4"/>
      <c r="K874" s="4"/>
      <c r="L874" s="4"/>
      <c r="M874" s="4"/>
      <c r="N874" s="4"/>
      <c r="O874" s="4"/>
      <c r="P874" s="4"/>
      <c r="Q874" s="4"/>
    </row>
    <row r="875" spans="1:17" x14ac:dyDescent="0.2">
      <c r="A875" s="1">
        <f t="shared" ca="1" si="23"/>
        <v>873</v>
      </c>
      <c r="B875" s="74" t="s">
        <v>831</v>
      </c>
      <c r="C875" s="90" t="s">
        <v>2173</v>
      </c>
      <c r="D875" s="4"/>
      <c r="E875" s="4"/>
      <c r="F875" s="4"/>
      <c r="G875" s="4"/>
      <c r="H875" s="4"/>
      <c r="I875" s="4" t="s">
        <v>4307</v>
      </c>
      <c r="J875" s="4"/>
      <c r="K875" s="4"/>
      <c r="L875" s="4"/>
      <c r="M875" s="4"/>
      <c r="N875" s="4"/>
      <c r="O875" s="4"/>
      <c r="P875" s="4"/>
      <c r="Q875" s="4"/>
    </row>
    <row r="876" spans="1:17" x14ac:dyDescent="0.2">
      <c r="A876" s="1">
        <f t="shared" ca="1" si="23"/>
        <v>874</v>
      </c>
      <c r="B876" s="147" t="s">
        <v>9019</v>
      </c>
      <c r="C876" s="90" t="s">
        <v>2174</v>
      </c>
      <c r="D876" s="4"/>
      <c r="E876" s="4"/>
      <c r="F876" s="4"/>
      <c r="G876" s="4"/>
      <c r="H876" s="4"/>
      <c r="I876" s="4" t="s">
        <v>4308</v>
      </c>
      <c r="J876" s="4"/>
      <c r="K876" s="4"/>
      <c r="L876" s="4"/>
      <c r="M876" s="4"/>
      <c r="N876" s="4"/>
      <c r="O876" s="4"/>
      <c r="P876" s="4"/>
      <c r="Q876" s="4"/>
    </row>
    <row r="877" spans="1:17" x14ac:dyDescent="0.2">
      <c r="A877" s="1">
        <f t="shared" ca="1" si="23"/>
        <v>875</v>
      </c>
      <c r="B877" s="74" t="s">
        <v>832</v>
      </c>
      <c r="C877" s="90" t="s">
        <v>7482</v>
      </c>
      <c r="D877" s="4"/>
      <c r="E877" s="4"/>
      <c r="F877" s="4"/>
      <c r="G877" s="4"/>
      <c r="H877" s="4"/>
      <c r="I877" s="4" t="s">
        <v>4309</v>
      </c>
      <c r="J877" s="4"/>
      <c r="K877" s="4"/>
      <c r="L877" s="4"/>
      <c r="M877" s="4"/>
      <c r="N877" s="4"/>
      <c r="O877" s="4"/>
      <c r="P877" s="4"/>
      <c r="Q877" s="4"/>
    </row>
    <row r="878" spans="1:17" x14ac:dyDescent="0.2">
      <c r="A878" s="1">
        <f t="shared" ref="A878" ca="1" si="24">CELL("row",C878)-2</f>
        <v>876</v>
      </c>
      <c r="B878" s="147" t="s">
        <v>8605</v>
      </c>
      <c r="C878" s="90" t="s">
        <v>7482</v>
      </c>
      <c r="D878" s="4"/>
      <c r="E878" s="4"/>
      <c r="F878" s="4"/>
      <c r="G878" s="4"/>
      <c r="H878" s="4"/>
      <c r="I878" s="4" t="s">
        <v>4309</v>
      </c>
      <c r="J878" s="4"/>
      <c r="K878" s="4"/>
      <c r="L878" s="4"/>
      <c r="M878" s="4"/>
      <c r="N878" s="4"/>
      <c r="O878" s="4"/>
      <c r="P878" s="4"/>
      <c r="Q878" s="4"/>
    </row>
    <row r="879" spans="1:17" ht="38.25" x14ac:dyDescent="0.2">
      <c r="A879" s="1">
        <f t="shared" ca="1" si="23"/>
        <v>877</v>
      </c>
      <c r="B879" s="74" t="s">
        <v>5295</v>
      </c>
      <c r="C879" s="90" t="s">
        <v>7493</v>
      </c>
      <c r="D879" s="4"/>
      <c r="E879" s="4"/>
      <c r="F879" s="4"/>
      <c r="G879" s="4"/>
      <c r="H879" s="4"/>
      <c r="I879" s="4" t="s">
        <v>4310</v>
      </c>
      <c r="J879" s="4"/>
      <c r="K879" s="4"/>
      <c r="L879" s="4"/>
      <c r="M879" s="4"/>
      <c r="N879" s="4"/>
      <c r="O879" s="4"/>
      <c r="P879" s="4"/>
      <c r="Q879" s="4"/>
    </row>
    <row r="880" spans="1:17" ht="28.5" x14ac:dyDescent="0.2">
      <c r="A880" s="1">
        <f t="shared" ca="1" si="23"/>
        <v>878</v>
      </c>
      <c r="B880" s="74" t="s">
        <v>3433</v>
      </c>
      <c r="C880" s="90" t="s">
        <v>7483</v>
      </c>
      <c r="D880" s="4"/>
      <c r="E880" s="4"/>
      <c r="F880" s="4"/>
      <c r="G880" s="4"/>
      <c r="H880" s="4"/>
      <c r="I880" s="4" t="s">
        <v>4311</v>
      </c>
      <c r="J880" s="4"/>
      <c r="K880" s="4"/>
      <c r="L880" s="4"/>
      <c r="M880" s="4"/>
      <c r="N880" s="4"/>
      <c r="O880" s="4"/>
      <c r="P880" s="4"/>
      <c r="Q880" s="4"/>
    </row>
    <row r="881" spans="1:17" x14ac:dyDescent="0.2">
      <c r="A881" s="1">
        <f t="shared" ca="1" si="23"/>
        <v>879</v>
      </c>
      <c r="B881" s="74" t="s">
        <v>833</v>
      </c>
      <c r="C881" s="90" t="s">
        <v>7494</v>
      </c>
      <c r="D881" s="4"/>
      <c r="E881" s="4"/>
      <c r="F881" s="4"/>
      <c r="G881" s="4"/>
      <c r="H881" s="4"/>
      <c r="I881" s="4" t="s">
        <v>4312</v>
      </c>
      <c r="J881" s="4"/>
      <c r="K881" s="4"/>
      <c r="L881" s="4"/>
      <c r="M881" s="4"/>
      <c r="N881" s="4"/>
      <c r="O881" s="4"/>
      <c r="P881" s="4"/>
      <c r="Q881" s="4"/>
    </row>
    <row r="882" spans="1:17" ht="15.75" x14ac:dyDescent="0.2">
      <c r="A882" s="1">
        <f t="shared" ca="1" si="23"/>
        <v>880</v>
      </c>
      <c r="B882" s="147" t="s">
        <v>8589</v>
      </c>
      <c r="C882" s="146" t="s">
        <v>8590</v>
      </c>
      <c r="D882" s="4"/>
      <c r="E882" s="4"/>
      <c r="F882" s="4"/>
      <c r="G882" s="4"/>
      <c r="H882" s="4"/>
      <c r="I882" s="4" t="s">
        <v>4313</v>
      </c>
      <c r="J882" s="4"/>
      <c r="K882" s="4"/>
      <c r="L882" s="4"/>
      <c r="M882" s="4"/>
      <c r="N882" s="4"/>
      <c r="O882" s="4"/>
      <c r="P882" s="4"/>
      <c r="Q882" s="4"/>
    </row>
    <row r="883" spans="1:17" x14ac:dyDescent="0.2">
      <c r="A883" s="1">
        <f t="shared" ca="1" si="23"/>
        <v>881</v>
      </c>
      <c r="B883" s="74" t="s">
        <v>834</v>
      </c>
      <c r="C883" s="90" t="s">
        <v>7484</v>
      </c>
      <c r="D883" s="4"/>
      <c r="E883" s="4"/>
      <c r="F883" s="4"/>
      <c r="G883" s="4"/>
      <c r="H883" s="4"/>
      <c r="I883" s="4" t="s">
        <v>1879</v>
      </c>
      <c r="J883" s="4"/>
      <c r="K883" s="4"/>
      <c r="L883" s="4"/>
      <c r="M883" s="4"/>
      <c r="N883" s="4"/>
      <c r="O883" s="4"/>
      <c r="P883" s="4"/>
      <c r="Q883" s="4"/>
    </row>
    <row r="884" spans="1:17" x14ac:dyDescent="0.2">
      <c r="A884" s="1">
        <f t="shared" ca="1" si="23"/>
        <v>882</v>
      </c>
      <c r="B884" s="74" t="s">
        <v>835</v>
      </c>
      <c r="C884" s="90" t="s">
        <v>7485</v>
      </c>
      <c r="D884" s="4"/>
      <c r="E884" s="4"/>
      <c r="F884" s="4"/>
      <c r="G884" s="4"/>
      <c r="H884" s="4"/>
      <c r="I884" s="4" t="s">
        <v>4314</v>
      </c>
      <c r="J884" s="4"/>
      <c r="K884" s="4"/>
      <c r="L884" s="4"/>
      <c r="M884" s="4"/>
      <c r="N884" s="4"/>
      <c r="O884" s="4"/>
      <c r="P884" s="4"/>
      <c r="Q884" s="4"/>
    </row>
    <row r="885" spans="1:17" x14ac:dyDescent="0.2">
      <c r="A885" s="1">
        <f t="shared" ca="1" si="23"/>
        <v>883</v>
      </c>
      <c r="B885" s="74" t="s">
        <v>836</v>
      </c>
      <c r="C885" s="90" t="s">
        <v>7495</v>
      </c>
      <c r="D885" s="4"/>
      <c r="E885" s="4"/>
      <c r="F885" s="4"/>
      <c r="G885" s="4"/>
      <c r="H885" s="4"/>
      <c r="I885" s="4" t="s">
        <v>4315</v>
      </c>
      <c r="J885" s="4"/>
      <c r="K885" s="4"/>
      <c r="L885" s="4"/>
      <c r="M885" s="4"/>
      <c r="N885" s="4"/>
      <c r="O885" s="4"/>
      <c r="P885" s="4"/>
      <c r="Q885" s="4"/>
    </row>
    <row r="886" spans="1:17" x14ac:dyDescent="0.2">
      <c r="A886" s="1">
        <f t="shared" ca="1" si="23"/>
        <v>884</v>
      </c>
      <c r="B886" s="74" t="s">
        <v>837</v>
      </c>
      <c r="C886" s="90" t="s">
        <v>7486</v>
      </c>
      <c r="D886" s="4"/>
      <c r="E886" s="4"/>
      <c r="F886" s="4"/>
      <c r="G886" s="4"/>
      <c r="H886" s="4"/>
      <c r="I886" s="4" t="s">
        <v>4316</v>
      </c>
      <c r="J886" s="4"/>
      <c r="K886" s="4"/>
      <c r="L886" s="4"/>
      <c r="M886" s="4"/>
      <c r="N886" s="4"/>
      <c r="O886" s="4"/>
      <c r="P886" s="4"/>
      <c r="Q886" s="4"/>
    </row>
    <row r="887" spans="1:17" x14ac:dyDescent="0.2">
      <c r="A887" s="1">
        <f t="shared" ca="1" si="23"/>
        <v>885</v>
      </c>
      <c r="B887" s="74" t="s">
        <v>838</v>
      </c>
      <c r="C887" s="90" t="s">
        <v>7487</v>
      </c>
      <c r="D887" s="4"/>
      <c r="E887" s="4"/>
      <c r="F887" s="4"/>
      <c r="G887" s="4"/>
      <c r="H887" s="4"/>
      <c r="I887" s="4" t="s">
        <v>4317</v>
      </c>
      <c r="J887" s="4"/>
      <c r="K887" s="4"/>
      <c r="L887" s="4"/>
      <c r="M887" s="4"/>
      <c r="N887" s="4"/>
      <c r="O887" s="4"/>
      <c r="P887" s="4"/>
      <c r="Q887" s="4"/>
    </row>
    <row r="888" spans="1:17" x14ac:dyDescent="0.2">
      <c r="A888" s="1">
        <f t="shared" ca="1" si="23"/>
        <v>886</v>
      </c>
      <c r="B888" s="74" t="s">
        <v>839</v>
      </c>
      <c r="C888" s="90" t="s">
        <v>7488</v>
      </c>
      <c r="D888" s="4"/>
      <c r="E888" s="4"/>
      <c r="F888" s="4"/>
      <c r="G888" s="4"/>
      <c r="H888" s="4"/>
      <c r="I888" s="4" t="s">
        <v>4318</v>
      </c>
      <c r="J888" s="4"/>
      <c r="K888" s="4"/>
      <c r="L888" s="4"/>
      <c r="M888" s="4"/>
      <c r="N888" s="4"/>
      <c r="O888" s="4"/>
      <c r="P888" s="4"/>
      <c r="Q888" s="4"/>
    </row>
    <row r="889" spans="1:17" x14ac:dyDescent="0.2">
      <c r="A889" s="1">
        <f t="shared" ca="1" si="23"/>
        <v>887</v>
      </c>
      <c r="B889" s="74" t="s">
        <v>840</v>
      </c>
      <c r="C889" s="90" t="s">
        <v>7489</v>
      </c>
      <c r="D889" s="4"/>
      <c r="E889" s="4"/>
      <c r="F889" s="4"/>
      <c r="G889" s="4"/>
      <c r="H889" s="4"/>
      <c r="I889" s="4" t="s">
        <v>4319</v>
      </c>
      <c r="J889" s="4"/>
      <c r="K889" s="4"/>
      <c r="L889" s="4"/>
      <c r="M889" s="4"/>
      <c r="N889" s="4"/>
      <c r="O889" s="4"/>
      <c r="P889" s="4"/>
      <c r="Q889" s="4"/>
    </row>
    <row r="890" spans="1:17" x14ac:dyDescent="0.2">
      <c r="A890" s="1">
        <f t="shared" ca="1" si="23"/>
        <v>888</v>
      </c>
      <c r="B890" s="74" t="s">
        <v>841</v>
      </c>
      <c r="C890" s="90" t="s">
        <v>7496</v>
      </c>
      <c r="D890" s="4"/>
      <c r="E890" s="4"/>
      <c r="F890" s="4"/>
      <c r="G890" s="4"/>
      <c r="H890" s="4"/>
      <c r="I890" s="4" t="s">
        <v>4320</v>
      </c>
      <c r="J890" s="4"/>
      <c r="K890" s="4"/>
      <c r="L890" s="4"/>
      <c r="M890" s="4"/>
      <c r="N890" s="4"/>
      <c r="O890" s="4"/>
      <c r="P890" s="4"/>
      <c r="Q890" s="4"/>
    </row>
    <row r="891" spans="1:17" ht="25.5" x14ac:dyDescent="0.2">
      <c r="A891" s="1">
        <f t="shared" ca="1" si="23"/>
        <v>889</v>
      </c>
      <c r="B891" s="74" t="s">
        <v>842</v>
      </c>
      <c r="C891" s="90" t="s">
        <v>7490</v>
      </c>
      <c r="D891" s="4"/>
      <c r="E891" s="4"/>
      <c r="F891" s="4"/>
      <c r="G891" s="4"/>
      <c r="H891" s="4"/>
      <c r="I891" s="4" t="s">
        <v>4321</v>
      </c>
      <c r="J891" s="4"/>
      <c r="K891" s="4"/>
      <c r="L891" s="4"/>
      <c r="M891" s="4"/>
      <c r="N891" s="4"/>
      <c r="O891" s="4"/>
      <c r="P891" s="4"/>
      <c r="Q891" s="4"/>
    </row>
    <row r="892" spans="1:17" ht="25.5" x14ac:dyDescent="0.2">
      <c r="A892" s="1">
        <f t="shared" ca="1" si="23"/>
        <v>890</v>
      </c>
      <c r="B892" s="74" t="s">
        <v>843</v>
      </c>
      <c r="C892" s="90" t="s">
        <v>7491</v>
      </c>
      <c r="D892" s="4"/>
      <c r="E892" s="4"/>
      <c r="F892" s="4"/>
      <c r="G892" s="4"/>
      <c r="H892" s="4"/>
      <c r="I892" s="4" t="s">
        <v>4322</v>
      </c>
      <c r="J892" s="4"/>
      <c r="K892" s="4"/>
      <c r="L892" s="4"/>
      <c r="M892" s="4"/>
      <c r="N892" s="4"/>
      <c r="O892" s="4"/>
      <c r="P892" s="4"/>
      <c r="Q892" s="4"/>
    </row>
    <row r="893" spans="1:17" x14ac:dyDescent="0.2">
      <c r="A893" s="1">
        <f t="shared" ca="1" si="23"/>
        <v>891</v>
      </c>
      <c r="B893" s="74" t="s">
        <v>844</v>
      </c>
      <c r="C893" s="90" t="s">
        <v>7497</v>
      </c>
      <c r="D893" s="4"/>
      <c r="E893" s="4"/>
      <c r="F893" s="4"/>
      <c r="G893" s="4"/>
      <c r="H893" s="4"/>
      <c r="I893" s="4" t="s">
        <v>4323</v>
      </c>
      <c r="J893" s="4"/>
      <c r="K893" s="4"/>
      <c r="L893" s="4"/>
      <c r="M893" s="4"/>
      <c r="N893" s="4"/>
      <c r="O893" s="4"/>
      <c r="P893" s="4"/>
      <c r="Q893" s="4"/>
    </row>
    <row r="894" spans="1:17" ht="38.25" x14ac:dyDescent="0.2">
      <c r="A894" s="1">
        <f t="shared" ca="1" si="23"/>
        <v>892</v>
      </c>
      <c r="B894" s="74" t="s">
        <v>2511</v>
      </c>
      <c r="C894" s="90" t="s">
        <v>4869</v>
      </c>
      <c r="D894" s="4"/>
      <c r="E894" s="4"/>
      <c r="F894" s="4"/>
      <c r="G894" s="4"/>
      <c r="H894" s="4"/>
      <c r="I894" s="4" t="s">
        <v>4324</v>
      </c>
      <c r="J894" s="4"/>
      <c r="K894" s="4"/>
      <c r="L894" s="4"/>
      <c r="M894" s="4"/>
      <c r="N894" s="4"/>
      <c r="O894" s="4"/>
      <c r="P894" s="4"/>
      <c r="Q894" s="4"/>
    </row>
    <row r="895" spans="1:17" ht="25.5" x14ac:dyDescent="0.2">
      <c r="A895" s="1">
        <f t="shared" ca="1" si="23"/>
        <v>893</v>
      </c>
      <c r="B895" s="74" t="s">
        <v>2512</v>
      </c>
      <c r="C895" s="90" t="s">
        <v>7498</v>
      </c>
      <c r="D895" s="4"/>
      <c r="E895" s="4"/>
      <c r="F895" s="4"/>
      <c r="G895" s="4"/>
      <c r="H895" s="4"/>
      <c r="I895" s="4" t="s">
        <v>4325</v>
      </c>
      <c r="J895" s="4"/>
      <c r="K895" s="4"/>
      <c r="L895" s="4"/>
      <c r="M895" s="4"/>
      <c r="N895" s="4"/>
      <c r="O895" s="4"/>
      <c r="P895" s="4"/>
      <c r="Q895" s="4"/>
    </row>
    <row r="896" spans="1:17" ht="25.5" x14ac:dyDescent="0.2">
      <c r="A896" s="1">
        <f t="shared" ca="1" si="23"/>
        <v>894</v>
      </c>
      <c r="B896" s="74" t="s">
        <v>2513</v>
      </c>
      <c r="C896" s="90" t="s">
        <v>7492</v>
      </c>
      <c r="D896" s="4"/>
      <c r="E896" s="4"/>
      <c r="F896" s="4"/>
      <c r="G896" s="4"/>
      <c r="H896" s="4"/>
      <c r="I896" s="4" t="s">
        <v>4326</v>
      </c>
      <c r="J896" s="4"/>
      <c r="K896" s="4"/>
      <c r="L896" s="4"/>
      <c r="M896" s="4"/>
      <c r="N896" s="4"/>
      <c r="O896" s="4"/>
      <c r="P896" s="4"/>
      <c r="Q896" s="4"/>
    </row>
    <row r="897" spans="1:17" ht="63.75" x14ac:dyDescent="0.2">
      <c r="A897" s="1">
        <f t="shared" ca="1" si="23"/>
        <v>895</v>
      </c>
      <c r="B897" s="74" t="s">
        <v>2593</v>
      </c>
      <c r="C897" s="90" t="s">
        <v>6507</v>
      </c>
      <c r="D897" s="4"/>
      <c r="E897" s="4"/>
      <c r="F897" s="4"/>
      <c r="G897" s="4"/>
      <c r="H897" s="4"/>
      <c r="I897" s="4" t="s">
        <v>4327</v>
      </c>
      <c r="J897" s="4"/>
      <c r="K897" s="4"/>
      <c r="L897" s="4"/>
      <c r="M897" s="4"/>
      <c r="N897" s="4"/>
      <c r="O897" s="4"/>
      <c r="P897" s="4"/>
      <c r="Q897" s="4"/>
    </row>
    <row r="898" spans="1:17" x14ac:dyDescent="0.2">
      <c r="A898" s="1">
        <f t="shared" ca="1" si="23"/>
        <v>896</v>
      </c>
      <c r="B898" s="147" t="s">
        <v>8945</v>
      </c>
      <c r="C898" s="146" t="s">
        <v>8945</v>
      </c>
      <c r="D898" s="4"/>
      <c r="E898" s="4"/>
      <c r="F898" s="4"/>
      <c r="G898" s="4"/>
      <c r="H898" s="4"/>
      <c r="I898" s="4" t="s">
        <v>8946</v>
      </c>
      <c r="J898" s="4"/>
      <c r="K898" s="4"/>
      <c r="L898" s="4"/>
      <c r="M898" s="4"/>
      <c r="N898" s="4"/>
      <c r="O898" s="4"/>
      <c r="P898" s="4"/>
      <c r="Q898" s="4"/>
    </row>
    <row r="899" spans="1:17" x14ac:dyDescent="0.2">
      <c r="A899" s="1">
        <f t="shared" ca="1" si="23"/>
        <v>897</v>
      </c>
      <c r="B899" s="79" t="s">
        <v>2594</v>
      </c>
      <c r="C899" s="91"/>
      <c r="D899" s="4"/>
      <c r="E899" s="4"/>
      <c r="F899" s="4"/>
      <c r="G899" s="4"/>
      <c r="H899" s="4"/>
      <c r="J899" s="4"/>
      <c r="K899" s="4"/>
      <c r="L899" s="4"/>
      <c r="M899" s="4"/>
      <c r="N899" s="4"/>
      <c r="O899" s="4"/>
      <c r="P899" s="4"/>
      <c r="Q899" s="4"/>
    </row>
    <row r="900" spans="1:17" ht="25.5" x14ac:dyDescent="0.2">
      <c r="A900" s="1">
        <f t="shared" ca="1" si="23"/>
        <v>898</v>
      </c>
      <c r="B900" s="74" t="s">
        <v>2595</v>
      </c>
      <c r="C900" s="91" t="s">
        <v>6508</v>
      </c>
      <c r="D900" s="4"/>
      <c r="E900" s="4"/>
      <c r="F900" s="4"/>
      <c r="G900" s="4"/>
      <c r="H900" s="4"/>
      <c r="I900" s="4" t="s">
        <v>4328</v>
      </c>
      <c r="J900" s="4"/>
      <c r="K900" s="4"/>
      <c r="L900" s="4"/>
      <c r="M900" s="4"/>
      <c r="N900" s="4"/>
      <c r="O900" s="4"/>
      <c r="P900" s="4"/>
      <c r="Q900" s="4"/>
    </row>
    <row r="901" spans="1:17" ht="25.5" x14ac:dyDescent="0.2">
      <c r="A901" s="1">
        <f t="shared" ca="1" si="23"/>
        <v>899</v>
      </c>
      <c r="B901" s="74" t="s">
        <v>2596</v>
      </c>
      <c r="C901" s="90" t="s">
        <v>4163</v>
      </c>
      <c r="D901" s="4"/>
      <c r="E901" s="4"/>
      <c r="F901" s="4"/>
      <c r="G901" s="4"/>
      <c r="H901" s="4"/>
      <c r="I901" s="4" t="s">
        <v>4329</v>
      </c>
      <c r="J901" s="4"/>
      <c r="K901" s="4"/>
      <c r="L901" s="4"/>
      <c r="M901" s="4"/>
      <c r="N901" s="4"/>
      <c r="O901" s="4"/>
      <c r="P901" s="4"/>
      <c r="Q901" s="4"/>
    </row>
    <row r="902" spans="1:17" x14ac:dyDescent="0.2">
      <c r="A902" s="1">
        <f t="shared" ref="A902" ca="1" si="25">CELL("row",C902)-2</f>
        <v>900</v>
      </c>
      <c r="B902" s="147" t="s">
        <v>8966</v>
      </c>
      <c r="C902" s="146" t="s">
        <v>8917</v>
      </c>
      <c r="D902" s="4"/>
      <c r="E902" s="4"/>
      <c r="F902" s="4"/>
      <c r="G902" s="4"/>
      <c r="H902" s="4"/>
      <c r="I902" s="4" t="s">
        <v>8992</v>
      </c>
      <c r="J902" s="4"/>
      <c r="K902" s="4"/>
      <c r="L902" s="4"/>
      <c r="M902" s="4"/>
      <c r="N902" s="4"/>
      <c r="O902" s="4"/>
      <c r="P902" s="4"/>
      <c r="Q902" s="4"/>
    </row>
    <row r="903" spans="1:17" x14ac:dyDescent="0.2">
      <c r="A903" s="1">
        <f t="shared" ca="1" si="23"/>
        <v>901</v>
      </c>
      <c r="B903" s="74" t="s">
        <v>2597</v>
      </c>
      <c r="C903" s="90" t="s">
        <v>7499</v>
      </c>
      <c r="D903" s="4"/>
      <c r="E903" s="4"/>
      <c r="F903" s="4"/>
      <c r="G903" s="4"/>
      <c r="H903" s="4"/>
      <c r="I903" s="4" t="s">
        <v>4330</v>
      </c>
      <c r="J903" s="4"/>
      <c r="K903" s="4"/>
      <c r="L903" s="4"/>
      <c r="M903" s="4"/>
      <c r="N903" s="4"/>
      <c r="O903" s="4"/>
      <c r="P903" s="4"/>
      <c r="Q903" s="4"/>
    </row>
    <row r="904" spans="1:17" x14ac:dyDescent="0.2">
      <c r="A904" s="1">
        <f t="shared" ref="A904:A969" ca="1" si="26">CELL("row",C904)-2</f>
        <v>902</v>
      </c>
      <c r="B904" s="74" t="s">
        <v>2598</v>
      </c>
      <c r="C904" s="90" t="s">
        <v>7500</v>
      </c>
      <c r="D904" s="4"/>
      <c r="E904" s="4"/>
      <c r="F904" s="4"/>
      <c r="G904" s="4"/>
      <c r="H904" s="4"/>
      <c r="I904" s="4" t="s">
        <v>4331</v>
      </c>
      <c r="J904" s="4"/>
      <c r="K904" s="4"/>
      <c r="L904" s="4"/>
      <c r="M904" s="4"/>
      <c r="N904" s="4"/>
      <c r="O904" s="4"/>
      <c r="P904" s="4"/>
      <c r="Q904" s="4"/>
    </row>
    <row r="905" spans="1:17" x14ac:dyDescent="0.2">
      <c r="A905" s="1">
        <f t="shared" ca="1" si="26"/>
        <v>903</v>
      </c>
      <c r="B905" s="74" t="s">
        <v>2599</v>
      </c>
      <c r="C905" s="90" t="s">
        <v>7461</v>
      </c>
      <c r="D905" s="4"/>
      <c r="E905" s="4"/>
      <c r="F905" s="4"/>
      <c r="G905" s="4"/>
      <c r="H905" s="4"/>
      <c r="I905" s="4" t="s">
        <v>4332</v>
      </c>
      <c r="J905" s="4"/>
      <c r="K905" s="4"/>
      <c r="L905" s="4"/>
      <c r="M905" s="4"/>
      <c r="N905" s="4"/>
      <c r="O905" s="4"/>
      <c r="P905" s="4"/>
      <c r="Q905" s="4"/>
    </row>
    <row r="906" spans="1:17" x14ac:dyDescent="0.2">
      <c r="A906" s="1">
        <f t="shared" ca="1" si="26"/>
        <v>904</v>
      </c>
      <c r="B906" s="74" t="s">
        <v>2600</v>
      </c>
      <c r="C906" s="91" t="s">
        <v>6983</v>
      </c>
      <c r="D906" s="4"/>
      <c r="E906" s="4"/>
      <c r="F906" s="4"/>
      <c r="G906" s="4"/>
      <c r="H906" s="4"/>
      <c r="I906" s="4" t="s">
        <v>4137</v>
      </c>
      <c r="J906" s="4"/>
      <c r="K906" s="4"/>
      <c r="L906" s="4"/>
      <c r="M906" s="4"/>
      <c r="N906" s="4"/>
      <c r="O906" s="4"/>
      <c r="P906" s="4"/>
      <c r="Q906" s="4"/>
    </row>
    <row r="907" spans="1:17" x14ac:dyDescent="0.2">
      <c r="A907" s="1">
        <f t="shared" ca="1" si="26"/>
        <v>905</v>
      </c>
      <c r="B907" s="74" t="s">
        <v>2601</v>
      </c>
      <c r="C907" s="91" t="s">
        <v>7462</v>
      </c>
      <c r="D907" s="4"/>
      <c r="E907" s="4"/>
      <c r="F907" s="4"/>
      <c r="G907" s="4"/>
      <c r="H907" s="4"/>
      <c r="I907" s="4" t="s">
        <v>4333</v>
      </c>
      <c r="J907" s="4"/>
      <c r="K907" s="4"/>
      <c r="L907" s="4"/>
      <c r="M907" s="4"/>
      <c r="N907" s="4"/>
      <c r="O907" s="4"/>
      <c r="P907" s="4"/>
      <c r="Q907" s="4"/>
    </row>
    <row r="908" spans="1:17" x14ac:dyDescent="0.2">
      <c r="A908" s="1">
        <f t="shared" ca="1" si="26"/>
        <v>906</v>
      </c>
      <c r="B908" s="74" t="s">
        <v>2602</v>
      </c>
      <c r="C908" s="91" t="s">
        <v>7463</v>
      </c>
      <c r="D908" s="4"/>
      <c r="E908" s="4"/>
      <c r="F908" s="4"/>
      <c r="G908" s="4"/>
      <c r="H908" s="4"/>
      <c r="I908" s="4" t="s">
        <v>4334</v>
      </c>
      <c r="J908" s="4"/>
      <c r="K908" s="4"/>
      <c r="L908" s="4"/>
      <c r="M908" s="4"/>
      <c r="N908" s="4"/>
      <c r="O908" s="4"/>
      <c r="P908" s="4"/>
      <c r="Q908" s="4"/>
    </row>
    <row r="909" spans="1:17" x14ac:dyDescent="0.2">
      <c r="A909" s="1">
        <f t="shared" ca="1" si="26"/>
        <v>907</v>
      </c>
      <c r="B909" s="74" t="s">
        <v>2603</v>
      </c>
      <c r="C909" s="90" t="s">
        <v>2604</v>
      </c>
      <c r="D909" s="4"/>
      <c r="E909" s="4"/>
      <c r="F909" s="4"/>
      <c r="G909" s="4"/>
      <c r="H909" s="4"/>
      <c r="I909" s="4" t="s">
        <v>4335</v>
      </c>
      <c r="J909" s="4"/>
      <c r="K909" s="4"/>
      <c r="L909" s="4"/>
      <c r="M909" s="4"/>
      <c r="N909" s="4"/>
      <c r="O909" s="4"/>
      <c r="P909" s="4"/>
      <c r="Q909" s="4"/>
    </row>
    <row r="910" spans="1:17" x14ac:dyDescent="0.2">
      <c r="A910" s="1">
        <f t="shared" ca="1" si="26"/>
        <v>908</v>
      </c>
      <c r="B910" s="74" t="s">
        <v>2605</v>
      </c>
      <c r="C910" s="91" t="s">
        <v>7998</v>
      </c>
      <c r="D910" s="4"/>
      <c r="E910" s="4"/>
      <c r="F910" s="4"/>
      <c r="G910" s="4"/>
      <c r="H910" s="4"/>
      <c r="I910" s="4" t="s">
        <v>4336</v>
      </c>
      <c r="J910" s="4"/>
      <c r="K910" s="4"/>
      <c r="L910" s="4"/>
      <c r="M910" s="4"/>
      <c r="N910" s="4"/>
      <c r="O910" s="4"/>
      <c r="P910" s="4"/>
      <c r="Q910" s="4"/>
    </row>
    <row r="911" spans="1:17" x14ac:dyDescent="0.2">
      <c r="A911" s="1">
        <f t="shared" ca="1" si="26"/>
        <v>909</v>
      </c>
      <c r="B911" s="74" t="s">
        <v>2606</v>
      </c>
      <c r="C911" s="90" t="s">
        <v>7464</v>
      </c>
      <c r="D911" s="4"/>
      <c r="E911" s="4"/>
      <c r="F911" s="4"/>
      <c r="G911" s="4"/>
      <c r="H911" s="4"/>
      <c r="I911" s="4" t="s">
        <v>4337</v>
      </c>
      <c r="J911" s="4"/>
      <c r="K911" s="4"/>
      <c r="L911" s="4"/>
      <c r="M911" s="4"/>
      <c r="N911" s="4"/>
      <c r="O911" s="4"/>
      <c r="P911" s="4"/>
      <c r="Q911" s="4"/>
    </row>
    <row r="912" spans="1:17" x14ac:dyDescent="0.2">
      <c r="A912" s="1">
        <f t="shared" ca="1" si="26"/>
        <v>910</v>
      </c>
      <c r="B912" s="74" t="s">
        <v>2607</v>
      </c>
      <c r="C912" s="90" t="s">
        <v>7465</v>
      </c>
      <c r="D912" s="4"/>
      <c r="E912" s="4"/>
      <c r="F912" s="4"/>
      <c r="G912" s="4"/>
      <c r="H912" s="4"/>
      <c r="I912" s="4" t="s">
        <v>4338</v>
      </c>
      <c r="J912" s="4"/>
      <c r="K912" s="4"/>
      <c r="L912" s="4"/>
      <c r="M912" s="4"/>
      <c r="N912" s="4"/>
      <c r="O912" s="4"/>
      <c r="P912" s="4"/>
      <c r="Q912" s="4"/>
    </row>
    <row r="913" spans="1:17" x14ac:dyDescent="0.2">
      <c r="A913" s="1">
        <f t="shared" ca="1" si="26"/>
        <v>911</v>
      </c>
      <c r="B913" s="74" t="s">
        <v>2608</v>
      </c>
      <c r="C913" s="90" t="s">
        <v>1007</v>
      </c>
      <c r="D913" s="4"/>
      <c r="E913" s="4"/>
      <c r="F913" s="4"/>
      <c r="G913" s="4"/>
      <c r="H913" s="4"/>
      <c r="I913" s="4" t="s">
        <v>4339</v>
      </c>
      <c r="J913" s="4"/>
      <c r="K913" s="4"/>
      <c r="L913" s="4"/>
      <c r="M913" s="4"/>
      <c r="N913" s="4"/>
      <c r="O913" s="4"/>
      <c r="P913" s="4"/>
      <c r="Q913" s="4"/>
    </row>
    <row r="914" spans="1:17" x14ac:dyDescent="0.2">
      <c r="A914" s="1">
        <f t="shared" ca="1" si="26"/>
        <v>912</v>
      </c>
      <c r="B914" s="74" t="s">
        <v>2609</v>
      </c>
      <c r="C914" s="90" t="s">
        <v>8377</v>
      </c>
      <c r="D914" s="4"/>
      <c r="E914" s="4"/>
      <c r="F914" s="4"/>
      <c r="G914" s="4"/>
      <c r="H914" s="4"/>
      <c r="I914" s="4" t="s">
        <v>4340</v>
      </c>
      <c r="J914" s="4"/>
      <c r="K914" s="4"/>
      <c r="L914" s="4"/>
      <c r="M914" s="4"/>
      <c r="N914" s="4"/>
      <c r="O914" s="4"/>
      <c r="P914" s="4"/>
      <c r="Q914" s="4"/>
    </row>
    <row r="915" spans="1:17" ht="25.5" x14ac:dyDescent="0.2">
      <c r="A915" s="1">
        <f t="shared" ref="A915" ca="1" si="27">CELL("row",C915)-2</f>
        <v>913</v>
      </c>
      <c r="B915" s="147" t="s">
        <v>9013</v>
      </c>
      <c r="C915" s="90" t="s">
        <v>6801</v>
      </c>
      <c r="D915" s="4"/>
      <c r="E915" s="4"/>
      <c r="F915" s="4"/>
      <c r="G915" s="4"/>
      <c r="H915" s="4"/>
      <c r="I915" s="4" t="s">
        <v>4341</v>
      </c>
      <c r="J915" s="4"/>
      <c r="K915" s="4"/>
      <c r="L915" s="4"/>
      <c r="M915" s="4"/>
      <c r="N915" s="4"/>
      <c r="O915" s="4"/>
      <c r="P915" s="4"/>
      <c r="Q915" s="4"/>
    </row>
    <row r="916" spans="1:17" ht="25.5" x14ac:dyDescent="0.2">
      <c r="A916" s="1">
        <f t="shared" ca="1" si="26"/>
        <v>914</v>
      </c>
      <c r="B916" s="74" t="s">
        <v>2610</v>
      </c>
      <c r="C916" s="90" t="s">
        <v>6801</v>
      </c>
      <c r="D916" s="4"/>
      <c r="E916" s="4"/>
      <c r="F916" s="4"/>
      <c r="G916" s="4"/>
      <c r="H916" s="4"/>
      <c r="I916" s="4" t="s">
        <v>4341</v>
      </c>
      <c r="J916" s="4"/>
      <c r="K916" s="4"/>
      <c r="L916" s="4"/>
      <c r="M916" s="4"/>
      <c r="N916" s="4"/>
      <c r="O916" s="4"/>
      <c r="P916" s="4"/>
      <c r="Q916" s="4"/>
    </row>
    <row r="917" spans="1:17" x14ac:dyDescent="0.2">
      <c r="A917" s="1">
        <f t="shared" ca="1" si="26"/>
        <v>915</v>
      </c>
      <c r="B917" s="74" t="s">
        <v>2611</v>
      </c>
      <c r="C917" s="90" t="s">
        <v>6802</v>
      </c>
      <c r="D917" s="4"/>
      <c r="E917" s="4"/>
      <c r="F917" s="4"/>
      <c r="G917" s="4"/>
      <c r="H917" s="4"/>
      <c r="I917" s="4" t="s">
        <v>6637</v>
      </c>
      <c r="J917" s="4"/>
      <c r="K917" s="4"/>
      <c r="L917" s="4"/>
      <c r="M917" s="4"/>
      <c r="N917" s="4"/>
      <c r="O917" s="4"/>
      <c r="P917" s="4"/>
      <c r="Q917" s="4"/>
    </row>
    <row r="918" spans="1:17" x14ac:dyDescent="0.2">
      <c r="A918" s="1">
        <f t="shared" ca="1" si="26"/>
        <v>916</v>
      </c>
      <c r="B918" s="74" t="s">
        <v>2612</v>
      </c>
      <c r="C918" s="90" t="s">
        <v>6803</v>
      </c>
      <c r="D918" s="4"/>
      <c r="E918" s="4"/>
      <c r="F918" s="4"/>
      <c r="G918" s="4"/>
      <c r="H918" s="4"/>
      <c r="I918" s="4" t="s">
        <v>6638</v>
      </c>
      <c r="J918" s="4"/>
      <c r="K918" s="4"/>
      <c r="L918" s="4"/>
      <c r="M918" s="4"/>
      <c r="N918" s="4"/>
      <c r="O918" s="4"/>
      <c r="P918" s="4"/>
      <c r="Q918" s="4"/>
    </row>
    <row r="919" spans="1:17" x14ac:dyDescent="0.2">
      <c r="A919" s="1">
        <f t="shared" ca="1" si="26"/>
        <v>917</v>
      </c>
      <c r="B919" s="79" t="s">
        <v>6636</v>
      </c>
      <c r="C919" s="91"/>
      <c r="D919" s="4"/>
      <c r="E919" s="4"/>
      <c r="F919" s="4"/>
      <c r="G919" s="4"/>
      <c r="H919" s="4"/>
      <c r="J919" s="4"/>
      <c r="K919" s="4"/>
      <c r="L919" s="4"/>
      <c r="M919" s="4"/>
      <c r="N919" s="4"/>
      <c r="O919" s="4"/>
      <c r="P919" s="4"/>
      <c r="Q919" s="4"/>
    </row>
    <row r="920" spans="1:17" ht="25.5" x14ac:dyDescent="0.2">
      <c r="A920" s="1">
        <f t="shared" ca="1" si="26"/>
        <v>918</v>
      </c>
      <c r="B920" s="74" t="s">
        <v>7650</v>
      </c>
      <c r="C920" s="90" t="s">
        <v>4164</v>
      </c>
      <c r="D920" s="4"/>
      <c r="E920" s="4"/>
      <c r="F920" s="4"/>
      <c r="G920" s="4"/>
      <c r="H920" s="4"/>
      <c r="I920" s="4" t="s">
        <v>6639</v>
      </c>
      <c r="J920" s="4"/>
      <c r="K920" s="4"/>
      <c r="L920" s="4"/>
      <c r="M920" s="4"/>
      <c r="N920" s="4"/>
      <c r="O920" s="4"/>
      <c r="P920" s="4"/>
      <c r="Q920" s="4"/>
    </row>
    <row r="921" spans="1:17" x14ac:dyDescent="0.2">
      <c r="A921" s="1">
        <f t="shared" ca="1" si="26"/>
        <v>919</v>
      </c>
      <c r="B921" s="74" t="s">
        <v>7651</v>
      </c>
      <c r="C921" s="90" t="s">
        <v>6804</v>
      </c>
      <c r="D921" s="4"/>
      <c r="E921" s="4"/>
      <c r="F921" s="4"/>
      <c r="G921" s="4"/>
      <c r="H921" s="4"/>
      <c r="I921" s="4" t="s">
        <v>6640</v>
      </c>
      <c r="J921" s="4"/>
      <c r="K921" s="4"/>
      <c r="L921" s="4"/>
      <c r="M921" s="4"/>
      <c r="N921" s="4"/>
      <c r="O921" s="4"/>
      <c r="P921" s="4"/>
      <c r="Q921" s="4"/>
    </row>
    <row r="922" spans="1:17" x14ac:dyDescent="0.2">
      <c r="A922" s="1">
        <f t="shared" ca="1" si="26"/>
        <v>920</v>
      </c>
      <c r="B922" s="74" t="s">
        <v>7652</v>
      </c>
      <c r="C922" s="90" t="s">
        <v>6805</v>
      </c>
      <c r="D922" s="4"/>
      <c r="E922" s="4"/>
      <c r="F922" s="4"/>
      <c r="G922" s="4"/>
      <c r="H922" s="4"/>
      <c r="I922" s="4" t="s">
        <v>6641</v>
      </c>
      <c r="J922" s="4"/>
      <c r="K922" s="4"/>
      <c r="L922" s="4"/>
      <c r="M922" s="4"/>
      <c r="N922" s="4"/>
      <c r="O922" s="4"/>
      <c r="P922" s="4"/>
      <c r="Q922" s="4"/>
    </row>
    <row r="923" spans="1:17" x14ac:dyDescent="0.2">
      <c r="A923" s="1">
        <f t="shared" ca="1" si="26"/>
        <v>921</v>
      </c>
      <c r="B923" s="74" t="s">
        <v>7653</v>
      </c>
      <c r="C923" s="90" t="s">
        <v>6806</v>
      </c>
      <c r="D923" s="4"/>
      <c r="E923" s="4"/>
      <c r="F923" s="4"/>
      <c r="G923" s="4"/>
      <c r="H923" s="4"/>
      <c r="I923" s="4" t="s">
        <v>6642</v>
      </c>
      <c r="J923" s="4"/>
      <c r="K923" s="4"/>
      <c r="L923" s="4"/>
      <c r="M923" s="4"/>
      <c r="N923" s="4"/>
      <c r="O923" s="4"/>
      <c r="P923" s="4"/>
      <c r="Q923" s="4"/>
    </row>
    <row r="924" spans="1:17" x14ac:dyDescent="0.2">
      <c r="A924" s="1">
        <f t="shared" ca="1" si="26"/>
        <v>922</v>
      </c>
      <c r="B924" s="74" t="s">
        <v>7654</v>
      </c>
      <c r="C924" s="90" t="s">
        <v>6807</v>
      </c>
      <c r="D924" s="4"/>
      <c r="E924" s="4"/>
      <c r="F924" s="4"/>
      <c r="G924" s="4"/>
      <c r="H924" s="4"/>
      <c r="I924" s="4" t="s">
        <v>6643</v>
      </c>
      <c r="J924" s="4"/>
      <c r="K924" s="4"/>
      <c r="L924" s="4"/>
      <c r="M924" s="4"/>
      <c r="N924" s="4"/>
      <c r="O924" s="4"/>
      <c r="P924" s="4"/>
      <c r="Q924" s="4"/>
    </row>
    <row r="925" spans="1:17" x14ac:dyDescent="0.2">
      <c r="A925" s="1">
        <f t="shared" ca="1" si="26"/>
        <v>923</v>
      </c>
      <c r="B925" s="74" t="s">
        <v>7655</v>
      </c>
      <c r="C925" s="90" t="s">
        <v>6808</v>
      </c>
      <c r="D925" s="4"/>
      <c r="E925" s="4"/>
      <c r="F925" s="4"/>
      <c r="G925" s="4"/>
      <c r="H925" s="4"/>
      <c r="I925" s="4" t="s">
        <v>6644</v>
      </c>
      <c r="J925" s="4"/>
      <c r="K925" s="4"/>
      <c r="L925" s="4"/>
      <c r="M925" s="4"/>
      <c r="N925" s="4"/>
      <c r="O925" s="4"/>
      <c r="P925" s="4"/>
      <c r="Q925" s="4"/>
    </row>
    <row r="926" spans="1:17" ht="28.5" x14ac:dyDescent="0.2">
      <c r="A926" s="1">
        <f t="shared" ca="1" si="26"/>
        <v>924</v>
      </c>
      <c r="B926" s="74" t="s">
        <v>3149</v>
      </c>
      <c r="C926" s="90" t="s">
        <v>6809</v>
      </c>
      <c r="D926" s="4"/>
      <c r="E926" s="4"/>
      <c r="F926" s="4"/>
      <c r="G926" s="4"/>
      <c r="H926" s="4"/>
      <c r="I926" s="90" t="s">
        <v>6645</v>
      </c>
      <c r="J926" s="4"/>
      <c r="K926" s="4"/>
      <c r="L926" s="4"/>
      <c r="M926" s="4"/>
      <c r="N926" s="4"/>
      <c r="O926" s="4"/>
      <c r="P926" s="4"/>
      <c r="Q926" s="4"/>
    </row>
    <row r="927" spans="1:17" ht="51" x14ac:dyDescent="0.2">
      <c r="A927" s="1">
        <f t="shared" ca="1" si="26"/>
        <v>925</v>
      </c>
      <c r="B927" s="74" t="s">
        <v>388</v>
      </c>
      <c r="C927" s="90" t="s">
        <v>6810</v>
      </c>
      <c r="D927" s="4"/>
      <c r="E927" s="4"/>
      <c r="F927" s="4"/>
      <c r="G927" s="4"/>
      <c r="H927" s="4"/>
      <c r="I927" s="4" t="s">
        <v>6646</v>
      </c>
      <c r="J927" s="4"/>
      <c r="K927" s="4"/>
      <c r="L927" s="4"/>
      <c r="M927" s="4"/>
      <c r="N927" s="4"/>
      <c r="O927" s="4"/>
      <c r="P927" s="4"/>
      <c r="Q927" s="4"/>
    </row>
    <row r="928" spans="1:17" ht="51" x14ac:dyDescent="0.2">
      <c r="A928" s="1">
        <f t="shared" ca="1" si="26"/>
        <v>926</v>
      </c>
      <c r="B928" s="74" t="s">
        <v>389</v>
      </c>
      <c r="C928" s="90" t="s">
        <v>6810</v>
      </c>
      <c r="D928" s="4"/>
      <c r="E928" s="4"/>
      <c r="F928" s="4"/>
      <c r="G928" s="4"/>
      <c r="H928" s="4"/>
      <c r="I928" s="4" t="s">
        <v>6646</v>
      </c>
      <c r="J928" s="4"/>
      <c r="K928" s="4"/>
      <c r="L928" s="4"/>
      <c r="M928" s="4"/>
      <c r="N928" s="4"/>
      <c r="O928" s="4"/>
      <c r="P928" s="4"/>
      <c r="Q928" s="4"/>
    </row>
    <row r="929" spans="1:17" x14ac:dyDescent="0.2">
      <c r="A929" s="1">
        <f t="shared" ca="1" si="26"/>
        <v>927</v>
      </c>
      <c r="B929" s="74" t="s">
        <v>390</v>
      </c>
      <c r="C929" s="90" t="s">
        <v>6811</v>
      </c>
      <c r="D929" s="4"/>
      <c r="E929" s="4"/>
      <c r="F929" s="4"/>
      <c r="G929" s="4"/>
      <c r="H929" s="4"/>
      <c r="I929" s="4" t="s">
        <v>6647</v>
      </c>
      <c r="J929" s="4"/>
      <c r="K929" s="4"/>
      <c r="L929" s="4"/>
      <c r="M929" s="4"/>
      <c r="N929" s="4"/>
      <c r="O929" s="4"/>
      <c r="P929" s="4"/>
      <c r="Q929" s="4"/>
    </row>
    <row r="930" spans="1:17" x14ac:dyDescent="0.2">
      <c r="A930" s="1">
        <f t="shared" ca="1" si="26"/>
        <v>928</v>
      </c>
      <c r="B930" s="74" t="s">
        <v>391</v>
      </c>
      <c r="C930" s="90" t="s">
        <v>6812</v>
      </c>
      <c r="D930" s="4"/>
      <c r="E930" s="4"/>
      <c r="F930" s="4"/>
      <c r="G930" s="4"/>
      <c r="H930" s="4"/>
      <c r="I930" s="4" t="s">
        <v>6648</v>
      </c>
      <c r="J930" s="4"/>
      <c r="K930" s="4"/>
      <c r="L930" s="4"/>
      <c r="M930" s="4"/>
      <c r="N930" s="4"/>
      <c r="O930" s="4"/>
      <c r="P930" s="4"/>
      <c r="Q930" s="4"/>
    </row>
    <row r="931" spans="1:17" ht="38.25" x14ac:dyDescent="0.2">
      <c r="A931" s="1">
        <f t="shared" ca="1" si="26"/>
        <v>929</v>
      </c>
      <c r="B931" s="74" t="s">
        <v>392</v>
      </c>
      <c r="C931" s="90" t="s">
        <v>7466</v>
      </c>
      <c r="D931" s="4"/>
      <c r="E931" s="4"/>
      <c r="F931" s="4"/>
      <c r="G931" s="4"/>
      <c r="H931" s="4"/>
      <c r="I931" s="4" t="s">
        <v>6649</v>
      </c>
      <c r="J931" s="4"/>
      <c r="K931" s="4"/>
      <c r="L931" s="4"/>
      <c r="M931" s="4"/>
      <c r="N931" s="4"/>
      <c r="O931" s="4"/>
      <c r="P931" s="4"/>
      <c r="Q931" s="4"/>
    </row>
    <row r="932" spans="1:17" ht="15.75" x14ac:dyDescent="0.2">
      <c r="A932" s="1">
        <f t="shared" ca="1" si="26"/>
        <v>930</v>
      </c>
      <c r="B932" s="74" t="s">
        <v>3150</v>
      </c>
      <c r="C932" s="90" t="s">
        <v>7467</v>
      </c>
      <c r="D932" s="4"/>
      <c r="E932" s="4"/>
      <c r="F932" s="4"/>
      <c r="G932" s="4"/>
      <c r="H932" s="4"/>
      <c r="I932" s="4" t="s">
        <v>6650</v>
      </c>
      <c r="J932" s="4"/>
      <c r="K932" s="4"/>
      <c r="L932" s="4"/>
      <c r="M932" s="4"/>
      <c r="N932" s="4"/>
      <c r="O932" s="4"/>
      <c r="P932" s="4"/>
      <c r="Q932" s="4"/>
    </row>
    <row r="933" spans="1:17" x14ac:dyDescent="0.2">
      <c r="A933" s="1">
        <f t="shared" ca="1" si="26"/>
        <v>931</v>
      </c>
      <c r="B933" s="74" t="s">
        <v>393</v>
      </c>
      <c r="C933" s="90" t="s">
        <v>5109</v>
      </c>
      <c r="D933" s="4"/>
      <c r="E933" s="4"/>
      <c r="F933" s="4"/>
      <c r="G933" s="4"/>
      <c r="H933" s="4"/>
      <c r="I933" s="4" t="s">
        <v>6651</v>
      </c>
      <c r="J933" s="4"/>
      <c r="K933" s="4"/>
      <c r="L933" s="4"/>
      <c r="M933" s="4"/>
      <c r="N933" s="4"/>
      <c r="O933" s="4"/>
      <c r="P933" s="4"/>
      <c r="Q933" s="4"/>
    </row>
    <row r="934" spans="1:17" ht="25.5" x14ac:dyDescent="0.2">
      <c r="A934" s="1">
        <f t="shared" ca="1" si="26"/>
        <v>932</v>
      </c>
      <c r="B934" s="74" t="s">
        <v>394</v>
      </c>
      <c r="C934" s="90" t="s">
        <v>5110</v>
      </c>
      <c r="D934" s="4"/>
      <c r="E934" s="4"/>
      <c r="F934" s="4"/>
      <c r="G934" s="4"/>
      <c r="H934" s="4"/>
      <c r="I934" s="4" t="s">
        <v>6652</v>
      </c>
      <c r="J934" s="4"/>
      <c r="K934" s="4"/>
      <c r="L934" s="4"/>
      <c r="M934" s="4"/>
      <c r="N934" s="4"/>
      <c r="O934" s="4"/>
      <c r="P934" s="4"/>
      <c r="Q934" s="4"/>
    </row>
    <row r="935" spans="1:17" x14ac:dyDescent="0.2">
      <c r="A935" s="1">
        <f t="shared" ca="1" si="26"/>
        <v>933</v>
      </c>
      <c r="B935" s="147" t="s">
        <v>8916</v>
      </c>
      <c r="C935" s="146" t="s">
        <v>8917</v>
      </c>
      <c r="D935" s="4"/>
      <c r="E935" s="4"/>
      <c r="F935" s="4"/>
      <c r="G935" s="4"/>
      <c r="H935" s="4"/>
      <c r="I935" s="4" t="s">
        <v>6653</v>
      </c>
      <c r="J935" s="4"/>
      <c r="K935" s="4"/>
      <c r="L935" s="4"/>
      <c r="M935" s="4"/>
      <c r="N935" s="4"/>
      <c r="O935" s="4"/>
      <c r="P935" s="4"/>
      <c r="Q935" s="4"/>
    </row>
    <row r="936" spans="1:17" x14ac:dyDescent="0.2">
      <c r="A936" s="1">
        <f t="shared" ca="1" si="26"/>
        <v>934</v>
      </c>
      <c r="B936" s="74" t="s">
        <v>395</v>
      </c>
      <c r="C936" s="90" t="s">
        <v>5111</v>
      </c>
      <c r="D936" s="4"/>
      <c r="E936" s="4"/>
      <c r="F936" s="4"/>
      <c r="G936" s="4"/>
      <c r="H936" s="4"/>
      <c r="I936" s="4" t="s">
        <v>6654</v>
      </c>
      <c r="J936" s="4"/>
      <c r="K936" s="4"/>
      <c r="L936" s="4"/>
      <c r="M936" s="4"/>
      <c r="N936" s="4"/>
      <c r="O936" s="4"/>
      <c r="P936" s="4"/>
      <c r="Q936" s="4"/>
    </row>
    <row r="937" spans="1:17" ht="25.5" x14ac:dyDescent="0.2">
      <c r="A937" s="1">
        <f t="shared" ca="1" si="26"/>
        <v>935</v>
      </c>
      <c r="B937" s="74" t="s">
        <v>396</v>
      </c>
      <c r="C937" s="90" t="s">
        <v>6924</v>
      </c>
      <c r="D937" s="4"/>
      <c r="E937" s="4"/>
      <c r="F937" s="4"/>
      <c r="G937" s="4"/>
      <c r="H937" s="4"/>
      <c r="I937" s="4" t="s">
        <v>6655</v>
      </c>
      <c r="J937" s="4"/>
      <c r="K937" s="4"/>
      <c r="L937" s="4"/>
      <c r="M937" s="4"/>
      <c r="N937" s="4"/>
      <c r="O937" s="4"/>
      <c r="P937" s="4"/>
      <c r="Q937" s="4"/>
    </row>
    <row r="938" spans="1:17" ht="18.75" x14ac:dyDescent="0.2">
      <c r="A938" s="1">
        <f t="shared" ca="1" si="26"/>
        <v>936</v>
      </c>
      <c r="B938" s="74" t="s">
        <v>3151</v>
      </c>
      <c r="C938" s="90" t="s">
        <v>6925</v>
      </c>
      <c r="D938" s="4"/>
      <c r="E938" s="4"/>
      <c r="F938" s="4"/>
      <c r="G938" s="4"/>
      <c r="H938" s="4"/>
      <c r="I938" s="4" t="s">
        <v>6656</v>
      </c>
      <c r="J938" s="4"/>
      <c r="K938" s="4"/>
      <c r="L938" s="4"/>
      <c r="M938" s="4"/>
      <c r="N938" s="4"/>
      <c r="O938" s="4"/>
      <c r="P938" s="4"/>
      <c r="Q938" s="4"/>
    </row>
    <row r="939" spans="1:17" x14ac:dyDescent="0.2">
      <c r="A939" s="1">
        <f t="shared" ca="1" si="26"/>
        <v>937</v>
      </c>
      <c r="B939" s="74" t="s">
        <v>397</v>
      </c>
      <c r="C939" s="90" t="s">
        <v>4572</v>
      </c>
      <c r="D939" s="4"/>
      <c r="E939" s="4"/>
      <c r="F939" s="4"/>
      <c r="G939" s="4"/>
      <c r="H939" s="4"/>
      <c r="I939" s="4" t="s">
        <v>6657</v>
      </c>
      <c r="J939" s="4"/>
      <c r="K939" s="4"/>
      <c r="L939" s="4"/>
      <c r="M939" s="4"/>
      <c r="N939" s="4"/>
      <c r="O939" s="4"/>
      <c r="P939" s="4"/>
      <c r="Q939" s="4"/>
    </row>
    <row r="940" spans="1:17" x14ac:dyDescent="0.2">
      <c r="A940" s="1">
        <f t="shared" ca="1" si="26"/>
        <v>938</v>
      </c>
      <c r="B940" s="74" t="s">
        <v>398</v>
      </c>
      <c r="C940" s="90" t="s">
        <v>4573</v>
      </c>
      <c r="D940" s="4"/>
      <c r="E940" s="4"/>
      <c r="F940" s="4"/>
      <c r="G940" s="4"/>
      <c r="H940" s="4"/>
      <c r="I940" s="4" t="s">
        <v>6658</v>
      </c>
      <c r="J940" s="4"/>
      <c r="K940" s="4"/>
      <c r="L940" s="4"/>
      <c r="M940" s="4"/>
      <c r="N940" s="4"/>
      <c r="O940" s="4"/>
      <c r="P940" s="4"/>
      <c r="Q940" s="4"/>
    </row>
    <row r="941" spans="1:17" x14ac:dyDescent="0.2">
      <c r="A941" s="1">
        <f t="shared" ca="1" si="26"/>
        <v>939</v>
      </c>
      <c r="B941" s="74" t="s">
        <v>399</v>
      </c>
      <c r="C941" s="90" t="s">
        <v>4574</v>
      </c>
      <c r="D941" s="4"/>
      <c r="E941" s="4"/>
      <c r="F941" s="4"/>
      <c r="G941" s="4"/>
      <c r="H941" s="4"/>
      <c r="I941" s="4" t="s">
        <v>6659</v>
      </c>
      <c r="J941" s="4"/>
      <c r="K941" s="4"/>
      <c r="L941" s="4"/>
      <c r="M941" s="4"/>
      <c r="N941" s="4"/>
      <c r="O941" s="4"/>
      <c r="P941" s="4"/>
      <c r="Q941" s="4"/>
    </row>
    <row r="942" spans="1:17" x14ac:dyDescent="0.2">
      <c r="A942" s="1">
        <f t="shared" ca="1" si="26"/>
        <v>940</v>
      </c>
      <c r="B942" s="74" t="s">
        <v>400</v>
      </c>
      <c r="C942" s="90" t="s">
        <v>7350</v>
      </c>
      <c r="D942" s="4"/>
      <c r="E942" s="4"/>
      <c r="F942" s="4"/>
      <c r="G942" s="4"/>
      <c r="H942" s="4"/>
      <c r="I942" s="4" t="s">
        <v>6660</v>
      </c>
      <c r="J942" s="4"/>
      <c r="K942" s="4"/>
      <c r="L942" s="4"/>
      <c r="M942" s="4"/>
      <c r="N942" s="4"/>
      <c r="O942" s="4"/>
      <c r="P942" s="4"/>
      <c r="Q942" s="4"/>
    </row>
    <row r="943" spans="1:17" x14ac:dyDescent="0.2">
      <c r="A943" s="1">
        <f t="shared" ca="1" si="26"/>
        <v>941</v>
      </c>
      <c r="B943" s="74" t="s">
        <v>401</v>
      </c>
      <c r="C943" s="90" t="s">
        <v>401</v>
      </c>
      <c r="D943" s="4"/>
      <c r="E943" s="4"/>
      <c r="F943" s="4"/>
      <c r="G943" s="4"/>
      <c r="H943" s="4"/>
      <c r="I943" s="4" t="s">
        <v>6661</v>
      </c>
      <c r="J943" s="4"/>
      <c r="K943" s="4"/>
      <c r="L943" s="4"/>
      <c r="M943" s="4"/>
      <c r="N943" s="4"/>
      <c r="O943" s="4"/>
      <c r="P943" s="4"/>
      <c r="Q943" s="4"/>
    </row>
    <row r="944" spans="1:17" x14ac:dyDescent="0.2">
      <c r="A944" s="1">
        <f t="shared" ca="1" si="26"/>
        <v>942</v>
      </c>
      <c r="B944" s="74" t="s">
        <v>402</v>
      </c>
      <c r="C944" s="90" t="s">
        <v>4575</v>
      </c>
      <c r="D944" s="4"/>
      <c r="E944" s="4"/>
      <c r="F944" s="4"/>
      <c r="G944" s="4"/>
      <c r="H944" s="4"/>
      <c r="I944" s="4" t="s">
        <v>6662</v>
      </c>
      <c r="J944" s="4"/>
      <c r="K944" s="4"/>
      <c r="L944" s="4"/>
      <c r="M944" s="4"/>
      <c r="N944" s="4"/>
      <c r="O944" s="4"/>
      <c r="P944" s="4"/>
      <c r="Q944" s="4"/>
    </row>
    <row r="945" spans="1:17" x14ac:dyDescent="0.2">
      <c r="A945" s="1">
        <f t="shared" ref="A945" ca="1" si="28">CELL("row",C945)-2</f>
        <v>943</v>
      </c>
      <c r="B945" s="147" t="s">
        <v>8617</v>
      </c>
      <c r="C945" s="146" t="s">
        <v>8618</v>
      </c>
      <c r="D945" s="4"/>
      <c r="E945" s="4"/>
      <c r="F945" s="4"/>
      <c r="G945" s="4"/>
      <c r="H945" s="4"/>
      <c r="I945" s="4" t="s">
        <v>8619</v>
      </c>
      <c r="J945" s="4"/>
      <c r="K945" s="4"/>
      <c r="L945" s="4"/>
      <c r="M945" s="4"/>
      <c r="N945" s="4"/>
      <c r="O945" s="4"/>
      <c r="P945" s="4"/>
      <c r="Q945" s="4"/>
    </row>
    <row r="946" spans="1:17" x14ac:dyDescent="0.2">
      <c r="A946" s="1">
        <f t="shared" ca="1" si="26"/>
        <v>944</v>
      </c>
      <c r="B946" s="74" t="s">
        <v>403</v>
      </c>
      <c r="C946" s="90" t="s">
        <v>4576</v>
      </c>
      <c r="D946" s="4"/>
      <c r="E946" s="4"/>
      <c r="F946" s="4"/>
      <c r="G946" s="4"/>
      <c r="H946" s="4"/>
      <c r="I946" s="4" t="s">
        <v>6663</v>
      </c>
      <c r="J946" s="4"/>
      <c r="K946" s="4"/>
      <c r="L946" s="4"/>
      <c r="M946" s="4"/>
      <c r="N946" s="4"/>
      <c r="O946" s="4"/>
      <c r="P946" s="4"/>
      <c r="Q946" s="4"/>
    </row>
    <row r="947" spans="1:17" ht="38.25" x14ac:dyDescent="0.2">
      <c r="A947" s="1">
        <f t="shared" ca="1" si="26"/>
        <v>945</v>
      </c>
      <c r="B947" s="74" t="s">
        <v>404</v>
      </c>
      <c r="C947" s="90" t="s">
        <v>3618</v>
      </c>
      <c r="D947" s="4"/>
      <c r="E947" s="4"/>
      <c r="F947" s="4"/>
      <c r="G947" s="4"/>
      <c r="H947" s="4"/>
      <c r="I947" s="4" t="s">
        <v>6664</v>
      </c>
      <c r="J947" s="4"/>
      <c r="K947" s="4"/>
      <c r="L947" s="4"/>
      <c r="M947" s="4"/>
      <c r="N947" s="4"/>
      <c r="O947" s="4"/>
      <c r="P947" s="4"/>
      <c r="Q947" s="4"/>
    </row>
    <row r="948" spans="1:17" x14ac:dyDescent="0.2">
      <c r="A948" s="1">
        <f t="shared" ca="1" si="26"/>
        <v>946</v>
      </c>
      <c r="B948" s="74" t="s">
        <v>405</v>
      </c>
      <c r="C948" s="90" t="s">
        <v>4577</v>
      </c>
      <c r="D948" s="4"/>
      <c r="E948" s="4"/>
      <c r="F948" s="4"/>
      <c r="G948" s="4"/>
      <c r="H948" s="4"/>
      <c r="I948" s="4" t="s">
        <v>6093</v>
      </c>
      <c r="J948" s="4"/>
      <c r="K948" s="4"/>
      <c r="L948" s="4"/>
      <c r="M948" s="4"/>
      <c r="N948" s="4"/>
      <c r="O948" s="4"/>
      <c r="P948" s="4"/>
      <c r="Q948" s="4"/>
    </row>
    <row r="949" spans="1:17" x14ac:dyDescent="0.2">
      <c r="A949" s="1">
        <f t="shared" ca="1" si="26"/>
        <v>947</v>
      </c>
      <c r="B949" s="74" t="s">
        <v>406</v>
      </c>
      <c r="C949" s="90" t="s">
        <v>6911</v>
      </c>
      <c r="D949" s="4"/>
      <c r="E949" s="4"/>
      <c r="F949" s="4"/>
      <c r="G949" s="4"/>
      <c r="H949" s="4"/>
      <c r="I949" s="4" t="s">
        <v>6665</v>
      </c>
      <c r="J949" s="4"/>
      <c r="K949" s="4"/>
      <c r="L949" s="4"/>
      <c r="M949" s="4"/>
      <c r="N949" s="4"/>
      <c r="O949" s="4"/>
      <c r="P949" s="4"/>
      <c r="Q949" s="4"/>
    </row>
    <row r="950" spans="1:17" x14ac:dyDescent="0.2">
      <c r="A950" s="1">
        <f t="shared" ca="1" si="26"/>
        <v>948</v>
      </c>
      <c r="B950" s="74" t="s">
        <v>407</v>
      </c>
      <c r="C950" s="90" t="s">
        <v>6912</v>
      </c>
      <c r="D950" s="4"/>
      <c r="E950" s="4"/>
      <c r="F950" s="4"/>
      <c r="G950" s="4"/>
      <c r="H950" s="4"/>
      <c r="I950" s="4" t="s">
        <v>6666</v>
      </c>
      <c r="J950" s="4"/>
      <c r="K950" s="4"/>
      <c r="L950" s="4"/>
      <c r="M950" s="4"/>
      <c r="N950" s="4"/>
      <c r="O950" s="4"/>
      <c r="P950" s="4"/>
      <c r="Q950" s="4"/>
    </row>
    <row r="951" spans="1:17" x14ac:dyDescent="0.2">
      <c r="A951" s="1">
        <f t="shared" ca="1" si="26"/>
        <v>949</v>
      </c>
      <c r="B951" s="74" t="s">
        <v>408</v>
      </c>
      <c r="C951" s="90" t="s">
        <v>3528</v>
      </c>
      <c r="D951" s="4"/>
      <c r="E951" s="4"/>
      <c r="F951" s="4"/>
      <c r="G951" s="4"/>
      <c r="H951" s="4"/>
      <c r="I951" s="4" t="s">
        <v>6667</v>
      </c>
      <c r="J951" s="4"/>
      <c r="K951" s="4"/>
      <c r="L951" s="4"/>
      <c r="M951" s="4"/>
      <c r="N951" s="4"/>
      <c r="O951" s="4"/>
      <c r="P951" s="4"/>
      <c r="Q951" s="4"/>
    </row>
    <row r="952" spans="1:17" x14ac:dyDescent="0.2">
      <c r="A952" s="1">
        <f t="shared" ca="1" si="26"/>
        <v>950</v>
      </c>
      <c r="B952" s="74" t="s">
        <v>409</v>
      </c>
      <c r="C952" s="90" t="s">
        <v>6913</v>
      </c>
      <c r="D952" s="4"/>
      <c r="E952" s="4"/>
      <c r="F952" s="4"/>
      <c r="G952" s="4"/>
      <c r="H952" s="4"/>
      <c r="I952" s="4" t="s">
        <v>6668</v>
      </c>
      <c r="J952" s="4"/>
      <c r="K952" s="4"/>
      <c r="L952" s="4"/>
      <c r="M952" s="4"/>
      <c r="N952" s="4"/>
      <c r="O952" s="4"/>
      <c r="P952" s="4"/>
      <c r="Q952" s="4"/>
    </row>
    <row r="953" spans="1:17" x14ac:dyDescent="0.2">
      <c r="A953" s="1">
        <f t="shared" ca="1" si="26"/>
        <v>951</v>
      </c>
      <c r="B953" s="74" t="s">
        <v>410</v>
      </c>
      <c r="C953" s="90" t="s">
        <v>6914</v>
      </c>
      <c r="D953" s="4"/>
      <c r="E953" s="4"/>
      <c r="F953" s="4"/>
      <c r="G953" s="4"/>
      <c r="H953" s="4"/>
      <c r="I953" s="4" t="s">
        <v>6669</v>
      </c>
      <c r="J953" s="4"/>
      <c r="K953" s="4"/>
      <c r="L953" s="4"/>
      <c r="M953" s="4"/>
      <c r="N953" s="4"/>
      <c r="O953" s="4"/>
      <c r="P953" s="4"/>
      <c r="Q953" s="4"/>
    </row>
    <row r="954" spans="1:17" ht="25.5" x14ac:dyDescent="0.2">
      <c r="A954" s="1">
        <f t="shared" ca="1" si="26"/>
        <v>952</v>
      </c>
      <c r="B954" s="74" t="s">
        <v>411</v>
      </c>
      <c r="C954" s="90" t="s">
        <v>6915</v>
      </c>
      <c r="D954" s="4"/>
      <c r="E954" s="4"/>
      <c r="F954" s="4"/>
      <c r="G954" s="4"/>
      <c r="H954" s="4"/>
      <c r="I954" s="4" t="s">
        <v>6670</v>
      </c>
      <c r="J954" s="4"/>
      <c r="K954" s="4"/>
      <c r="L954" s="4"/>
      <c r="M954" s="4"/>
      <c r="N954" s="4"/>
      <c r="O954" s="4"/>
      <c r="P954" s="4"/>
      <c r="Q954" s="4"/>
    </row>
    <row r="955" spans="1:17" x14ac:dyDescent="0.2">
      <c r="A955" s="1">
        <f t="shared" ca="1" si="26"/>
        <v>953</v>
      </c>
      <c r="B955" s="74" t="s">
        <v>412</v>
      </c>
      <c r="C955" s="90" t="s">
        <v>6916</v>
      </c>
      <c r="D955" s="4"/>
      <c r="E955" s="4"/>
      <c r="F955" s="4"/>
      <c r="G955" s="4"/>
      <c r="H955" s="4"/>
      <c r="I955" s="4" t="s">
        <v>6703</v>
      </c>
      <c r="J955" s="4"/>
      <c r="K955" s="4"/>
      <c r="L955" s="4"/>
      <c r="M955" s="4"/>
      <c r="N955" s="4"/>
      <c r="O955" s="4"/>
      <c r="P955" s="4"/>
      <c r="Q955" s="4"/>
    </row>
    <row r="956" spans="1:17" x14ac:dyDescent="0.2">
      <c r="A956" s="1">
        <f t="shared" ca="1" si="26"/>
        <v>954</v>
      </c>
      <c r="B956" s="79" t="s">
        <v>413</v>
      </c>
      <c r="D956" s="4"/>
      <c r="E956" s="4"/>
      <c r="F956" s="4"/>
      <c r="G956" s="4"/>
      <c r="H956" s="4"/>
      <c r="J956" s="4"/>
      <c r="K956" s="4"/>
      <c r="L956" s="4"/>
      <c r="M956" s="4"/>
      <c r="N956" s="4"/>
      <c r="O956" s="4"/>
      <c r="P956" s="4"/>
      <c r="Q956" s="4"/>
    </row>
    <row r="957" spans="1:17" x14ac:dyDescent="0.2">
      <c r="A957" s="1">
        <f t="shared" ca="1" si="26"/>
        <v>955</v>
      </c>
      <c r="B957" s="74" t="s">
        <v>414</v>
      </c>
      <c r="C957" s="90" t="s">
        <v>6023</v>
      </c>
      <c r="D957" s="4"/>
      <c r="E957" s="4"/>
      <c r="F957" s="4"/>
      <c r="G957" s="4"/>
      <c r="H957" s="4"/>
      <c r="I957" s="4" t="s">
        <v>6704</v>
      </c>
      <c r="J957" s="4"/>
      <c r="K957" s="4"/>
      <c r="L957" s="4"/>
      <c r="M957" s="4"/>
      <c r="N957" s="4"/>
      <c r="O957" s="4"/>
      <c r="P957" s="4"/>
      <c r="Q957" s="4"/>
    </row>
    <row r="958" spans="1:17" ht="38.25" x14ac:dyDescent="0.2">
      <c r="A958" s="1">
        <f t="shared" ca="1" si="26"/>
        <v>956</v>
      </c>
      <c r="B958" s="74" t="s">
        <v>415</v>
      </c>
      <c r="C958" s="90" t="s">
        <v>296</v>
      </c>
      <c r="D958" s="4"/>
      <c r="E958" s="4"/>
      <c r="F958" s="4"/>
      <c r="G958" s="4"/>
      <c r="H958" s="4"/>
      <c r="I958" s="4" t="s">
        <v>6705</v>
      </c>
      <c r="J958" s="4"/>
      <c r="K958" s="4"/>
      <c r="L958" s="4"/>
      <c r="M958" s="4"/>
      <c r="N958" s="4"/>
      <c r="O958" s="4"/>
      <c r="P958" s="4"/>
      <c r="Q958" s="4"/>
    </row>
    <row r="959" spans="1:17" x14ac:dyDescent="0.2">
      <c r="A959" s="1">
        <f t="shared" ca="1" si="26"/>
        <v>957</v>
      </c>
      <c r="B959" s="74" t="s">
        <v>416</v>
      </c>
      <c r="C959" s="90" t="s">
        <v>6805</v>
      </c>
      <c r="D959" s="4"/>
      <c r="E959" s="4"/>
      <c r="F959" s="4"/>
      <c r="G959" s="4"/>
      <c r="H959" s="4"/>
      <c r="I959" s="4" t="s">
        <v>6706</v>
      </c>
      <c r="J959" s="4"/>
      <c r="K959" s="4"/>
      <c r="L959" s="4"/>
      <c r="M959" s="4"/>
      <c r="N959" s="4"/>
      <c r="O959" s="4"/>
      <c r="P959" s="4"/>
      <c r="Q959" s="4"/>
    </row>
    <row r="960" spans="1:17" x14ac:dyDescent="0.2">
      <c r="A960" s="1">
        <f t="shared" ca="1" si="26"/>
        <v>958</v>
      </c>
      <c r="B960" s="74" t="s">
        <v>417</v>
      </c>
      <c r="C960" s="90" t="s">
        <v>297</v>
      </c>
      <c r="D960" s="4"/>
      <c r="E960" s="4"/>
      <c r="F960" s="4"/>
      <c r="G960" s="4"/>
      <c r="H960" s="4"/>
      <c r="I960" s="4" t="s">
        <v>4331</v>
      </c>
      <c r="J960" s="4"/>
      <c r="K960" s="4"/>
      <c r="L960" s="4"/>
      <c r="M960" s="4"/>
      <c r="N960" s="4"/>
      <c r="O960" s="4"/>
      <c r="P960" s="4"/>
      <c r="Q960" s="4"/>
    </row>
    <row r="961" spans="1:17" x14ac:dyDescent="0.2">
      <c r="A961" s="1">
        <f t="shared" ca="1" si="26"/>
        <v>959</v>
      </c>
      <c r="B961" s="74" t="s">
        <v>2085</v>
      </c>
      <c r="C961" s="90" t="s">
        <v>298</v>
      </c>
      <c r="D961" s="4"/>
      <c r="E961" s="4"/>
      <c r="F961" s="4"/>
      <c r="G961" s="4"/>
      <c r="H961" s="4"/>
      <c r="I961" s="4" t="s">
        <v>6707</v>
      </c>
      <c r="J961" s="4"/>
      <c r="K961" s="4"/>
      <c r="L961" s="4"/>
      <c r="M961" s="4"/>
      <c r="N961" s="4"/>
      <c r="O961" s="4"/>
      <c r="P961" s="4"/>
      <c r="Q961" s="4"/>
    </row>
    <row r="962" spans="1:17" x14ac:dyDescent="0.2">
      <c r="A962" s="1">
        <f t="shared" ca="1" si="26"/>
        <v>960</v>
      </c>
      <c r="B962" s="79" t="s">
        <v>2086</v>
      </c>
      <c r="D962" s="4"/>
      <c r="E962" s="4"/>
      <c r="F962" s="4"/>
      <c r="G962" s="4"/>
      <c r="H962" s="4"/>
      <c r="J962" s="4"/>
      <c r="K962" s="4"/>
      <c r="L962" s="4"/>
      <c r="M962" s="4"/>
      <c r="N962" s="4"/>
      <c r="O962" s="4"/>
      <c r="P962" s="4"/>
      <c r="Q962" s="4"/>
    </row>
    <row r="963" spans="1:17" x14ac:dyDescent="0.2">
      <c r="A963" s="1">
        <f t="shared" ca="1" si="26"/>
        <v>961</v>
      </c>
      <c r="B963" s="74" t="s">
        <v>4847</v>
      </c>
      <c r="C963" s="90" t="s">
        <v>299</v>
      </c>
      <c r="D963" s="4"/>
      <c r="E963" s="4"/>
      <c r="F963" s="4"/>
      <c r="G963" s="4"/>
      <c r="H963" s="4"/>
      <c r="I963" s="4" t="s">
        <v>6708</v>
      </c>
      <c r="J963" s="4"/>
      <c r="K963" s="4"/>
      <c r="L963" s="4"/>
      <c r="M963" s="4"/>
      <c r="N963" s="4"/>
      <c r="O963" s="4"/>
      <c r="P963" s="4"/>
      <c r="Q963" s="4"/>
    </row>
    <row r="964" spans="1:17" ht="25.5" x14ac:dyDescent="0.2">
      <c r="A964" s="1">
        <f t="shared" ca="1" si="26"/>
        <v>962</v>
      </c>
      <c r="B964" s="74" t="s">
        <v>4848</v>
      </c>
      <c r="C964" s="90" t="s">
        <v>300</v>
      </c>
      <c r="D964" s="4"/>
      <c r="E964" s="4"/>
      <c r="F964" s="4"/>
      <c r="G964" s="4"/>
      <c r="H964" s="4"/>
      <c r="I964" s="4" t="s">
        <v>6709</v>
      </c>
      <c r="J964" s="4"/>
      <c r="K964" s="4"/>
      <c r="L964" s="4"/>
      <c r="M964" s="4"/>
      <c r="N964" s="4"/>
      <c r="O964" s="4"/>
      <c r="P964" s="4"/>
      <c r="Q964" s="4"/>
    </row>
    <row r="965" spans="1:17" x14ac:dyDescent="0.2">
      <c r="A965" s="1">
        <f t="shared" ca="1" si="26"/>
        <v>963</v>
      </c>
      <c r="B965" s="74" t="s">
        <v>1802</v>
      </c>
      <c r="C965" s="90" t="s">
        <v>301</v>
      </c>
      <c r="D965" s="4"/>
      <c r="E965" s="4"/>
      <c r="F965" s="4"/>
      <c r="G965" s="4"/>
      <c r="H965" s="4"/>
      <c r="I965" s="4" t="s">
        <v>6710</v>
      </c>
      <c r="J965" s="4"/>
      <c r="K965" s="4"/>
      <c r="L965" s="4"/>
      <c r="M965" s="4"/>
      <c r="N965" s="4"/>
      <c r="O965" s="4"/>
      <c r="P965" s="4"/>
      <c r="Q965" s="4"/>
    </row>
    <row r="966" spans="1:17" x14ac:dyDescent="0.2">
      <c r="A966" s="1">
        <f t="shared" ca="1" si="26"/>
        <v>964</v>
      </c>
      <c r="B966" s="74" t="s">
        <v>1803</v>
      </c>
      <c r="C966" s="90" t="s">
        <v>302</v>
      </c>
      <c r="D966" s="4"/>
      <c r="E966" s="4"/>
      <c r="F966" s="4"/>
      <c r="G966" s="4"/>
      <c r="H966" s="4"/>
      <c r="I966" s="4" t="s">
        <v>6711</v>
      </c>
      <c r="J966" s="4"/>
      <c r="K966" s="4"/>
      <c r="L966" s="4"/>
      <c r="M966" s="4"/>
      <c r="N966" s="4"/>
      <c r="O966" s="4"/>
      <c r="P966" s="4"/>
      <c r="Q966" s="4"/>
    </row>
    <row r="967" spans="1:17" x14ac:dyDescent="0.2">
      <c r="A967" s="1">
        <f t="shared" ca="1" si="26"/>
        <v>965</v>
      </c>
      <c r="B967" s="74" t="s">
        <v>1804</v>
      </c>
      <c r="C967" s="90" t="s">
        <v>8130</v>
      </c>
      <c r="D967" s="4"/>
      <c r="E967" s="4"/>
      <c r="F967" s="4"/>
      <c r="G967" s="4"/>
      <c r="H967" s="4"/>
      <c r="I967" s="4" t="s">
        <v>6712</v>
      </c>
      <c r="J967" s="4"/>
      <c r="K967" s="4"/>
      <c r="L967" s="4"/>
      <c r="M967" s="4"/>
      <c r="N967" s="4"/>
      <c r="O967" s="4"/>
      <c r="P967" s="4"/>
      <c r="Q967" s="4"/>
    </row>
    <row r="968" spans="1:17" x14ac:dyDescent="0.2">
      <c r="A968" s="1">
        <f t="shared" ca="1" si="26"/>
        <v>966</v>
      </c>
      <c r="B968" s="74" t="s">
        <v>1805</v>
      </c>
      <c r="C968" s="90" t="s">
        <v>7234</v>
      </c>
      <c r="D968" s="4"/>
      <c r="E968" s="4"/>
      <c r="F968" s="4"/>
      <c r="G968" s="4"/>
      <c r="H968" s="4"/>
      <c r="I968" s="4" t="s">
        <v>6713</v>
      </c>
      <c r="J968" s="4"/>
      <c r="K968" s="4"/>
      <c r="L968" s="4"/>
      <c r="M968" s="4"/>
      <c r="N968" s="4"/>
      <c r="O968" s="4"/>
      <c r="P968" s="4"/>
      <c r="Q968" s="4"/>
    </row>
    <row r="969" spans="1:17" x14ac:dyDescent="0.2">
      <c r="A969" s="1">
        <f t="shared" ca="1" si="26"/>
        <v>967</v>
      </c>
      <c r="B969" s="74" t="s">
        <v>1806</v>
      </c>
      <c r="C969" s="90" t="s">
        <v>303</v>
      </c>
      <c r="D969" s="4"/>
      <c r="E969" s="4"/>
      <c r="F969" s="4"/>
      <c r="G969" s="4"/>
      <c r="H969" s="4"/>
      <c r="I969" s="4" t="s">
        <v>6714</v>
      </c>
      <c r="J969" s="4"/>
      <c r="K969" s="4"/>
      <c r="L969" s="4"/>
      <c r="M969" s="4"/>
      <c r="N969" s="4"/>
      <c r="O969" s="4"/>
      <c r="P969" s="4"/>
      <c r="Q969" s="4"/>
    </row>
    <row r="970" spans="1:17" x14ac:dyDescent="0.2">
      <c r="A970" s="1">
        <f t="shared" ref="A970:A1048" ca="1" si="29">CELL("row",C970)-2</f>
        <v>968</v>
      </c>
      <c r="B970" s="74" t="s">
        <v>1807</v>
      </c>
      <c r="C970" s="90" t="s">
        <v>304</v>
      </c>
      <c r="D970" s="4"/>
      <c r="E970" s="4"/>
      <c r="F970" s="4"/>
      <c r="G970" s="4"/>
      <c r="H970" s="4"/>
      <c r="I970" s="4" t="s">
        <v>6715</v>
      </c>
      <c r="J970" s="4"/>
      <c r="K970" s="4"/>
      <c r="L970" s="4"/>
      <c r="M970" s="4"/>
      <c r="N970" s="4"/>
      <c r="O970" s="4"/>
      <c r="P970" s="4"/>
      <c r="Q970" s="4"/>
    </row>
    <row r="971" spans="1:17" ht="25.5" x14ac:dyDescent="0.2">
      <c r="A971" s="1">
        <f t="shared" ca="1" si="29"/>
        <v>969</v>
      </c>
      <c r="B971" s="74" t="s">
        <v>1808</v>
      </c>
      <c r="C971" s="90" t="s">
        <v>305</v>
      </c>
      <c r="D971" s="4"/>
      <c r="E971" s="4"/>
      <c r="F971" s="4"/>
      <c r="G971" s="4"/>
      <c r="H971" s="4"/>
      <c r="I971" s="4" t="s">
        <v>6716</v>
      </c>
      <c r="J971" s="4"/>
      <c r="K971" s="4"/>
      <c r="L971" s="4"/>
      <c r="M971" s="4"/>
      <c r="N971" s="4"/>
      <c r="O971" s="4"/>
      <c r="P971" s="4"/>
      <c r="Q971" s="4"/>
    </row>
    <row r="972" spans="1:17" ht="25.5" x14ac:dyDescent="0.2">
      <c r="A972" s="1">
        <f t="shared" ca="1" si="29"/>
        <v>970</v>
      </c>
      <c r="B972" s="74" t="s">
        <v>1809</v>
      </c>
      <c r="C972" s="90" t="s">
        <v>306</v>
      </c>
      <c r="D972" s="4"/>
      <c r="E972" s="4"/>
      <c r="F972" s="4"/>
      <c r="G972" s="4"/>
      <c r="H972" s="4"/>
      <c r="I972" s="4" t="s">
        <v>6717</v>
      </c>
      <c r="J972" s="4"/>
      <c r="K972" s="4"/>
      <c r="L972" s="4"/>
      <c r="M972" s="4"/>
      <c r="N972" s="4"/>
      <c r="O972" s="4"/>
      <c r="P972" s="4"/>
      <c r="Q972" s="4"/>
    </row>
    <row r="973" spans="1:17" x14ac:dyDescent="0.2">
      <c r="A973" s="1">
        <f t="shared" ca="1" si="29"/>
        <v>971</v>
      </c>
      <c r="B973" s="79" t="s">
        <v>1810</v>
      </c>
      <c r="D973" s="4"/>
      <c r="E973" s="4"/>
      <c r="F973" s="4"/>
      <c r="G973" s="4"/>
      <c r="H973" s="4"/>
      <c r="J973" s="4"/>
      <c r="K973" s="4"/>
      <c r="L973" s="4"/>
      <c r="M973" s="4"/>
      <c r="N973" s="4"/>
      <c r="O973" s="4"/>
      <c r="P973" s="4"/>
      <c r="Q973" s="4"/>
    </row>
    <row r="974" spans="1:17" x14ac:dyDescent="0.2">
      <c r="A974" s="1">
        <f t="shared" ca="1" si="29"/>
        <v>972</v>
      </c>
      <c r="B974" s="74" t="s">
        <v>1811</v>
      </c>
      <c r="C974" s="90" t="s">
        <v>307</v>
      </c>
      <c r="D974" s="4"/>
      <c r="E974" s="4"/>
      <c r="F974" s="4"/>
      <c r="G974" s="4"/>
      <c r="H974" s="4"/>
      <c r="I974" s="4" t="s">
        <v>6718</v>
      </c>
      <c r="J974" s="4"/>
      <c r="K974" s="4"/>
      <c r="L974" s="4"/>
      <c r="M974" s="4"/>
      <c r="N974" s="4"/>
      <c r="O974" s="4"/>
      <c r="P974" s="4"/>
      <c r="Q974" s="4"/>
    </row>
    <row r="975" spans="1:17" x14ac:dyDescent="0.2">
      <c r="A975" s="1">
        <f t="shared" ca="1" si="29"/>
        <v>973</v>
      </c>
      <c r="B975" s="74" t="s">
        <v>1812</v>
      </c>
      <c r="C975" s="90" t="s">
        <v>191</v>
      </c>
      <c r="D975" s="4"/>
      <c r="E975" s="4"/>
      <c r="F975" s="4"/>
      <c r="G975" s="4"/>
      <c r="H975" s="4"/>
      <c r="I975" s="4" t="s">
        <v>6719</v>
      </c>
      <c r="J975" s="4"/>
      <c r="K975" s="4"/>
      <c r="L975" s="4"/>
      <c r="M975" s="4"/>
      <c r="N975" s="4"/>
      <c r="O975" s="4"/>
      <c r="P975" s="4"/>
      <c r="Q975" s="4"/>
    </row>
    <row r="976" spans="1:17" x14ac:dyDescent="0.2">
      <c r="A976" s="1">
        <f t="shared" ref="A976" ca="1" si="30">CELL("row",C976)-2</f>
        <v>974</v>
      </c>
      <c r="B976" s="147" t="s">
        <v>9008</v>
      </c>
      <c r="C976" s="146" t="s">
        <v>9009</v>
      </c>
      <c r="D976" s="4"/>
      <c r="E976" s="4"/>
      <c r="F976" s="4"/>
      <c r="G976" s="4"/>
      <c r="H976" s="4"/>
      <c r="J976" s="4"/>
      <c r="K976" s="4"/>
      <c r="L976" s="4"/>
      <c r="M976" s="4"/>
      <c r="N976" s="4"/>
      <c r="O976" s="4"/>
      <c r="P976" s="4"/>
      <c r="Q976" s="4"/>
    </row>
    <row r="977" spans="1:17" ht="25.5" x14ac:dyDescent="0.2">
      <c r="A977" s="1">
        <f t="shared" ca="1" si="29"/>
        <v>975</v>
      </c>
      <c r="B977" s="74" t="s">
        <v>1813</v>
      </c>
      <c r="C977" s="90" t="s">
        <v>308</v>
      </c>
      <c r="D977" s="4"/>
      <c r="E977" s="4"/>
      <c r="F977" s="4"/>
      <c r="G977" s="4"/>
      <c r="H977" s="4"/>
      <c r="I977" s="4" t="s">
        <v>6720</v>
      </c>
      <c r="J977" s="4"/>
      <c r="K977" s="4"/>
      <c r="L977" s="4"/>
      <c r="M977" s="4"/>
      <c r="N977" s="4"/>
      <c r="O977" s="4"/>
      <c r="P977" s="4"/>
      <c r="Q977" s="4"/>
    </row>
    <row r="978" spans="1:17" x14ac:dyDescent="0.2">
      <c r="A978" s="1">
        <f t="shared" ca="1" si="29"/>
        <v>976</v>
      </c>
      <c r="B978" s="74" t="s">
        <v>1814</v>
      </c>
      <c r="C978" s="90" t="s">
        <v>309</v>
      </c>
      <c r="D978" s="4"/>
      <c r="E978" s="4"/>
      <c r="F978" s="4"/>
      <c r="G978" s="4"/>
      <c r="H978" s="4"/>
      <c r="I978" s="4" t="s">
        <v>6721</v>
      </c>
      <c r="J978" s="4"/>
      <c r="K978" s="4"/>
      <c r="L978" s="4"/>
      <c r="M978" s="4"/>
      <c r="N978" s="4"/>
      <c r="O978" s="4"/>
      <c r="P978" s="4"/>
      <c r="Q978" s="4"/>
    </row>
    <row r="979" spans="1:17" x14ac:dyDescent="0.2">
      <c r="A979" s="1">
        <f t="shared" ca="1" si="29"/>
        <v>977</v>
      </c>
      <c r="B979" s="74" t="s">
        <v>1815</v>
      </c>
      <c r="C979" s="90" t="s">
        <v>301</v>
      </c>
      <c r="D979" s="4"/>
      <c r="E979" s="4"/>
      <c r="F979" s="4"/>
      <c r="G979" s="4"/>
      <c r="H979" s="4"/>
      <c r="I979" s="4" t="s">
        <v>6710</v>
      </c>
      <c r="J979" s="4"/>
      <c r="K979" s="4"/>
      <c r="L979" s="4"/>
      <c r="M979" s="4"/>
      <c r="N979" s="4"/>
      <c r="O979" s="4"/>
      <c r="P979" s="4"/>
      <c r="Q979" s="4"/>
    </row>
    <row r="980" spans="1:17" ht="25.5" x14ac:dyDescent="0.2">
      <c r="A980" s="1">
        <f t="shared" ca="1" si="29"/>
        <v>978</v>
      </c>
      <c r="B980" s="74" t="s">
        <v>1816</v>
      </c>
      <c r="C980" s="90" t="s">
        <v>310</v>
      </c>
      <c r="D980" s="4"/>
      <c r="E980" s="4"/>
      <c r="F980" s="4"/>
      <c r="G980" s="4"/>
      <c r="H980" s="4"/>
      <c r="I980" s="4" t="s">
        <v>6722</v>
      </c>
      <c r="J980" s="4"/>
      <c r="K980" s="4"/>
      <c r="L980" s="4"/>
      <c r="M980" s="4"/>
      <c r="N980" s="4"/>
      <c r="O980" s="4"/>
      <c r="P980" s="4"/>
      <c r="Q980" s="4"/>
    </row>
    <row r="981" spans="1:17" x14ac:dyDescent="0.2">
      <c r="A981" s="1">
        <v>961</v>
      </c>
      <c r="B981" s="147" t="s">
        <v>9041</v>
      </c>
      <c r="C981" s="146" t="s">
        <v>8524</v>
      </c>
      <c r="D981" s="4"/>
      <c r="E981" s="4"/>
      <c r="F981" s="4"/>
      <c r="G981" s="4"/>
      <c r="H981" s="4"/>
      <c r="J981" s="4"/>
      <c r="K981" s="4"/>
      <c r="L981" s="4"/>
      <c r="M981" s="4"/>
      <c r="N981" s="4"/>
      <c r="O981" s="4"/>
      <c r="P981" s="4"/>
      <c r="Q981" s="4"/>
    </row>
    <row r="982" spans="1:17" x14ac:dyDescent="0.2">
      <c r="A982" s="1">
        <v>961</v>
      </c>
      <c r="B982" s="147" t="s">
        <v>8523</v>
      </c>
      <c r="C982" s="146" t="s">
        <v>8523</v>
      </c>
      <c r="D982" s="4"/>
      <c r="E982" s="4"/>
      <c r="F982" s="4"/>
      <c r="G982" s="4"/>
      <c r="H982" s="4"/>
      <c r="I982" s="4" t="s">
        <v>8523</v>
      </c>
      <c r="J982" s="4"/>
      <c r="K982" s="4"/>
      <c r="L982" s="4"/>
      <c r="M982" s="4"/>
      <c r="N982" s="4"/>
      <c r="O982" s="4"/>
      <c r="P982" s="4"/>
      <c r="Q982" s="4"/>
    </row>
    <row r="983" spans="1:17" x14ac:dyDescent="0.2">
      <c r="A983" s="1">
        <f t="shared" ca="1" si="29"/>
        <v>981</v>
      </c>
      <c r="B983" s="74" t="s">
        <v>1817</v>
      </c>
      <c r="C983" s="90" t="s">
        <v>311</v>
      </c>
      <c r="D983" s="4"/>
      <c r="E983" s="4"/>
      <c r="F983" s="4"/>
      <c r="G983" s="4"/>
      <c r="H983" s="4"/>
      <c r="I983" s="4" t="s">
        <v>6723</v>
      </c>
      <c r="J983" s="4"/>
      <c r="K983" s="4"/>
      <c r="L983" s="4"/>
      <c r="M983" s="4"/>
      <c r="N983" s="4"/>
      <c r="O983" s="4"/>
      <c r="P983" s="4"/>
      <c r="Q983" s="4"/>
    </row>
    <row r="984" spans="1:17" x14ac:dyDescent="0.2">
      <c r="A984" s="1">
        <f t="shared" ca="1" si="29"/>
        <v>982</v>
      </c>
      <c r="B984" s="74" t="s">
        <v>1818</v>
      </c>
      <c r="C984" s="90" t="s">
        <v>312</v>
      </c>
      <c r="D984" s="4"/>
      <c r="E984" s="4"/>
      <c r="F984" s="4"/>
      <c r="G984" s="4"/>
      <c r="H984" s="4"/>
      <c r="I984" s="4" t="s">
        <v>6724</v>
      </c>
      <c r="J984" s="4"/>
      <c r="K984" s="4"/>
      <c r="L984" s="4"/>
      <c r="M984" s="4"/>
      <c r="N984" s="4"/>
      <c r="O984" s="4"/>
      <c r="P984" s="4"/>
      <c r="Q984" s="4"/>
    </row>
    <row r="985" spans="1:17" x14ac:dyDescent="0.2">
      <c r="A985" s="1">
        <f t="shared" ca="1" si="29"/>
        <v>983</v>
      </c>
      <c r="B985" s="74" t="s">
        <v>1819</v>
      </c>
      <c r="C985" s="90" t="s">
        <v>313</v>
      </c>
      <c r="D985" s="4"/>
      <c r="E985" s="4"/>
      <c r="F985" s="4"/>
      <c r="G985" s="4"/>
      <c r="H985" s="4"/>
      <c r="I985" s="4" t="s">
        <v>6771</v>
      </c>
      <c r="J985" s="4"/>
      <c r="K985" s="4"/>
      <c r="L985" s="4"/>
      <c r="M985" s="4"/>
      <c r="N985" s="4"/>
      <c r="O985" s="4"/>
      <c r="P985" s="4"/>
      <c r="Q985" s="4"/>
    </row>
    <row r="986" spans="1:17" x14ac:dyDescent="0.2">
      <c r="A986" s="1">
        <f t="shared" ref="A986" ca="1" si="31">CELL("row",C986)-2</f>
        <v>984</v>
      </c>
      <c r="B986" s="147" t="s">
        <v>9014</v>
      </c>
      <c r="C986" s="146" t="s">
        <v>9015</v>
      </c>
      <c r="D986" s="4"/>
      <c r="E986" s="4"/>
      <c r="F986" s="4"/>
      <c r="G986" s="4"/>
      <c r="H986" s="4"/>
      <c r="I986" s="4" t="s">
        <v>9016</v>
      </c>
      <c r="J986" s="4"/>
      <c r="K986" s="4"/>
      <c r="L986" s="4"/>
      <c r="M986" s="4"/>
      <c r="N986" s="4"/>
      <c r="O986" s="4"/>
      <c r="P986" s="4"/>
      <c r="Q986" s="4"/>
    </row>
    <row r="987" spans="1:17" x14ac:dyDescent="0.2">
      <c r="A987" s="1">
        <f t="shared" ca="1" si="29"/>
        <v>985</v>
      </c>
      <c r="B987" s="147" t="s">
        <v>1820</v>
      </c>
      <c r="C987" s="90" t="s">
        <v>314</v>
      </c>
      <c r="D987" s="4"/>
      <c r="E987" s="4"/>
      <c r="F987" s="4"/>
      <c r="G987" s="4"/>
      <c r="H987" s="4"/>
      <c r="I987" s="4" t="s">
        <v>6772</v>
      </c>
      <c r="J987" s="4"/>
      <c r="K987" s="4"/>
      <c r="L987" s="4"/>
      <c r="M987" s="4"/>
      <c r="N987" s="4"/>
      <c r="O987" s="4"/>
      <c r="P987" s="4"/>
      <c r="Q987" s="4"/>
    </row>
    <row r="988" spans="1:17" x14ac:dyDescent="0.2">
      <c r="A988" s="1">
        <f t="shared" ca="1" si="29"/>
        <v>986</v>
      </c>
      <c r="B988" s="74" t="s">
        <v>1821</v>
      </c>
      <c r="C988" s="90" t="s">
        <v>315</v>
      </c>
      <c r="D988" s="4"/>
      <c r="E988" s="4"/>
      <c r="F988" s="4"/>
      <c r="G988" s="4"/>
      <c r="H988" s="4"/>
      <c r="I988" s="4" t="s">
        <v>6647</v>
      </c>
      <c r="J988" s="4"/>
      <c r="K988" s="4"/>
      <c r="L988" s="4"/>
      <c r="M988" s="4"/>
      <c r="N988" s="4"/>
      <c r="O988" s="4"/>
      <c r="P988" s="4"/>
      <c r="Q988" s="4"/>
    </row>
    <row r="989" spans="1:17" x14ac:dyDescent="0.2">
      <c r="A989" s="1">
        <f t="shared" ca="1" si="29"/>
        <v>987</v>
      </c>
      <c r="B989" s="74" t="s">
        <v>1822</v>
      </c>
      <c r="C989" s="90" t="s">
        <v>323</v>
      </c>
      <c r="D989" s="4"/>
      <c r="E989" s="4"/>
      <c r="F989" s="4"/>
      <c r="G989" s="4"/>
      <c r="H989" s="4"/>
      <c r="I989" s="4" t="s">
        <v>6773</v>
      </c>
      <c r="J989" s="4"/>
      <c r="K989" s="4"/>
      <c r="L989" s="4"/>
      <c r="M989" s="4"/>
      <c r="N989" s="4"/>
      <c r="O989" s="4"/>
      <c r="P989" s="4"/>
      <c r="Q989" s="4"/>
    </row>
    <row r="990" spans="1:17" x14ac:dyDescent="0.2">
      <c r="A990" s="1">
        <f t="shared" ca="1" si="29"/>
        <v>988</v>
      </c>
      <c r="B990" s="74" t="s">
        <v>1823</v>
      </c>
      <c r="C990" s="90" t="s">
        <v>316</v>
      </c>
      <c r="D990" s="4"/>
      <c r="E990" s="4"/>
      <c r="F990" s="4"/>
      <c r="G990" s="4"/>
      <c r="H990" s="4"/>
      <c r="I990" s="4" t="s">
        <v>6774</v>
      </c>
      <c r="J990" s="4"/>
      <c r="K990" s="4"/>
      <c r="L990" s="4"/>
      <c r="M990" s="4"/>
      <c r="N990" s="4"/>
      <c r="O990" s="4"/>
      <c r="P990" s="4"/>
      <c r="Q990" s="4"/>
    </row>
    <row r="991" spans="1:17" x14ac:dyDescent="0.2">
      <c r="A991" s="1">
        <f t="shared" ca="1" si="29"/>
        <v>989</v>
      </c>
      <c r="B991" s="74" t="s">
        <v>3082</v>
      </c>
      <c r="C991" s="90" t="s">
        <v>317</v>
      </c>
      <c r="D991" s="4"/>
      <c r="E991" s="4"/>
      <c r="F991" s="4"/>
      <c r="G991" s="4"/>
      <c r="H991" s="4"/>
      <c r="I991" s="4" t="s">
        <v>6775</v>
      </c>
      <c r="J991" s="4"/>
      <c r="K991" s="4"/>
      <c r="L991" s="4"/>
      <c r="M991" s="4"/>
      <c r="N991" s="4"/>
      <c r="O991" s="4"/>
      <c r="P991" s="4"/>
      <c r="Q991" s="4"/>
    </row>
    <row r="992" spans="1:17" ht="15.75" x14ac:dyDescent="0.2">
      <c r="A992" s="1">
        <f t="shared" ref="A992" ca="1" si="32">CELL("row",C992)-2</f>
        <v>990</v>
      </c>
      <c r="B992" s="147" t="s">
        <v>8962</v>
      </c>
      <c r="C992" s="146" t="s">
        <v>8963</v>
      </c>
      <c r="D992" s="4"/>
      <c r="E992" s="4"/>
      <c r="F992" s="4"/>
      <c r="G992" s="4"/>
      <c r="H992" s="4"/>
      <c r="I992" s="4" t="s">
        <v>8964</v>
      </c>
      <c r="J992" s="4"/>
      <c r="K992" s="4"/>
      <c r="L992" s="4"/>
      <c r="M992" s="4"/>
      <c r="N992" s="4"/>
      <c r="O992" s="4"/>
      <c r="P992" s="4"/>
      <c r="Q992" s="4"/>
    </row>
    <row r="993" spans="1:17" ht="15.75" x14ac:dyDescent="0.2">
      <c r="A993" s="1">
        <f t="shared" ca="1" si="29"/>
        <v>991</v>
      </c>
      <c r="B993" s="74" t="s">
        <v>6198</v>
      </c>
      <c r="C993" s="90" t="s">
        <v>318</v>
      </c>
      <c r="D993" s="4"/>
      <c r="E993" s="4"/>
      <c r="F993" s="4"/>
      <c r="G993" s="4"/>
      <c r="H993" s="4"/>
      <c r="I993" s="4" t="s">
        <v>6776</v>
      </c>
      <c r="J993" s="4"/>
      <c r="K993" s="4"/>
      <c r="L993" s="4"/>
      <c r="M993" s="4"/>
      <c r="N993" s="4"/>
      <c r="O993" s="4"/>
      <c r="P993" s="4"/>
      <c r="Q993" s="4"/>
    </row>
    <row r="994" spans="1:17" ht="25.5" x14ac:dyDescent="0.2">
      <c r="A994" s="1">
        <f t="shared" ca="1" si="29"/>
        <v>992</v>
      </c>
      <c r="B994" s="74" t="s">
        <v>3495</v>
      </c>
      <c r="C994" s="90" t="s">
        <v>319</v>
      </c>
      <c r="D994" s="4"/>
      <c r="E994" s="4"/>
      <c r="F994" s="4"/>
      <c r="G994" s="4"/>
      <c r="H994" s="4"/>
      <c r="I994" s="4" t="s">
        <v>6777</v>
      </c>
      <c r="J994" s="4"/>
      <c r="K994" s="4"/>
      <c r="L994" s="4"/>
      <c r="M994" s="4"/>
      <c r="N994" s="4"/>
      <c r="O994" s="4"/>
      <c r="P994" s="4"/>
      <c r="Q994" s="4"/>
    </row>
    <row r="995" spans="1:17" x14ac:dyDescent="0.2">
      <c r="A995" s="1">
        <f t="shared" ca="1" si="29"/>
        <v>993</v>
      </c>
      <c r="B995" s="74" t="s">
        <v>3496</v>
      </c>
      <c r="C995" s="90" t="s">
        <v>192</v>
      </c>
      <c r="D995" s="4"/>
      <c r="E995" s="4"/>
      <c r="F995" s="4"/>
      <c r="G995" s="4"/>
      <c r="H995" s="4"/>
      <c r="I995" s="4" t="s">
        <v>6778</v>
      </c>
      <c r="J995" s="4"/>
      <c r="K995" s="4"/>
      <c r="L995" s="4"/>
      <c r="M995" s="4"/>
      <c r="N995" s="4"/>
      <c r="O995" s="4"/>
      <c r="P995" s="4"/>
      <c r="Q995" s="4"/>
    </row>
    <row r="996" spans="1:17" x14ac:dyDescent="0.2">
      <c r="A996" s="1">
        <f t="shared" ca="1" si="29"/>
        <v>994</v>
      </c>
      <c r="B996" s="74" t="s">
        <v>3497</v>
      </c>
      <c r="C996" s="90" t="s">
        <v>193</v>
      </c>
      <c r="D996" s="4"/>
      <c r="E996" s="4"/>
      <c r="F996" s="4"/>
      <c r="G996" s="4"/>
      <c r="H996" s="4"/>
      <c r="I996" s="4" t="s">
        <v>6779</v>
      </c>
      <c r="J996" s="4"/>
      <c r="K996" s="4"/>
      <c r="L996" s="4"/>
      <c r="M996" s="4"/>
      <c r="N996" s="4"/>
      <c r="O996" s="4"/>
      <c r="P996" s="4"/>
      <c r="Q996" s="4"/>
    </row>
    <row r="997" spans="1:17" ht="25.5" x14ac:dyDescent="0.2">
      <c r="A997" s="1">
        <f t="shared" ca="1" si="29"/>
        <v>995</v>
      </c>
      <c r="B997" s="74" t="s">
        <v>2782</v>
      </c>
      <c r="C997" s="90" t="s">
        <v>320</v>
      </c>
      <c r="D997" s="4"/>
      <c r="E997" s="4"/>
      <c r="F997" s="4"/>
      <c r="G997" s="4"/>
      <c r="H997" s="4"/>
      <c r="I997" s="4" t="s">
        <v>6780</v>
      </c>
      <c r="J997" s="4"/>
      <c r="K997" s="4"/>
      <c r="L997" s="4"/>
      <c r="M997" s="4"/>
      <c r="N997" s="4"/>
      <c r="O997" s="4"/>
      <c r="P997" s="4"/>
      <c r="Q997" s="4"/>
    </row>
    <row r="998" spans="1:17" x14ac:dyDescent="0.2">
      <c r="A998" s="1">
        <f t="shared" ca="1" si="29"/>
        <v>996</v>
      </c>
      <c r="B998" s="74" t="s">
        <v>2783</v>
      </c>
      <c r="C998" s="90" t="s">
        <v>321</v>
      </c>
      <c r="D998" s="4"/>
      <c r="E998" s="4"/>
      <c r="F998" s="4"/>
      <c r="G998" s="4"/>
      <c r="H998" s="4"/>
      <c r="I998" s="4" t="s">
        <v>6781</v>
      </c>
      <c r="J998" s="4"/>
      <c r="K998" s="4"/>
      <c r="L998" s="4"/>
      <c r="M998" s="4"/>
      <c r="N998" s="4"/>
      <c r="O998" s="4"/>
      <c r="P998" s="4"/>
      <c r="Q998" s="4"/>
    </row>
    <row r="999" spans="1:17" x14ac:dyDescent="0.2">
      <c r="A999" s="1">
        <f t="shared" ca="1" si="29"/>
        <v>997</v>
      </c>
      <c r="B999" s="74" t="s">
        <v>2784</v>
      </c>
      <c r="C999" s="90" t="s">
        <v>322</v>
      </c>
      <c r="D999" s="4"/>
      <c r="E999" s="4"/>
      <c r="F999" s="4"/>
      <c r="G999" s="4"/>
      <c r="H999" s="4"/>
      <c r="I999" s="4" t="s">
        <v>6782</v>
      </c>
      <c r="J999" s="4"/>
      <c r="K999" s="4"/>
      <c r="L999" s="4"/>
      <c r="M999" s="4"/>
      <c r="N999" s="4"/>
      <c r="O999" s="4"/>
      <c r="P999" s="4"/>
      <c r="Q999" s="4"/>
    </row>
    <row r="1000" spans="1:17" ht="25.5" x14ac:dyDescent="0.2">
      <c r="A1000" s="1">
        <f t="shared" ca="1" si="29"/>
        <v>998</v>
      </c>
      <c r="B1000" s="74" t="s">
        <v>2785</v>
      </c>
      <c r="C1000" s="90" t="s">
        <v>7033</v>
      </c>
      <c r="D1000" s="4"/>
      <c r="E1000" s="4"/>
      <c r="F1000" s="4"/>
      <c r="G1000" s="4"/>
      <c r="H1000" s="4"/>
      <c r="I1000" s="4" t="s">
        <v>6783</v>
      </c>
      <c r="J1000" s="4"/>
      <c r="K1000" s="4"/>
      <c r="L1000" s="4"/>
      <c r="M1000" s="4"/>
      <c r="N1000" s="4"/>
      <c r="O1000" s="4"/>
      <c r="P1000" s="4"/>
      <c r="Q1000" s="4"/>
    </row>
    <row r="1001" spans="1:17" ht="89.25" x14ac:dyDescent="0.2">
      <c r="A1001" s="1">
        <f t="shared" ca="1" si="29"/>
        <v>999</v>
      </c>
      <c r="B1001" s="74" t="s">
        <v>2786</v>
      </c>
      <c r="C1001" s="90" t="s">
        <v>4422</v>
      </c>
      <c r="D1001" s="4"/>
      <c r="E1001" s="4"/>
      <c r="F1001" s="4"/>
      <c r="G1001" s="4"/>
      <c r="H1001" s="4"/>
      <c r="I1001" s="4" t="s">
        <v>6784</v>
      </c>
      <c r="J1001" s="4"/>
      <c r="K1001" s="4"/>
      <c r="L1001" s="4"/>
      <c r="M1001" s="4"/>
      <c r="N1001" s="4"/>
      <c r="O1001" s="4"/>
      <c r="P1001" s="4"/>
      <c r="Q1001" s="4"/>
    </row>
    <row r="1002" spans="1:17" ht="25.5" x14ac:dyDescent="0.2">
      <c r="A1002" s="1">
        <f t="shared" ca="1" si="29"/>
        <v>1000</v>
      </c>
      <c r="B1002" s="74" t="s">
        <v>2787</v>
      </c>
      <c r="C1002" s="90" t="s">
        <v>7034</v>
      </c>
      <c r="D1002" s="4"/>
      <c r="E1002" s="4"/>
      <c r="F1002" s="4"/>
      <c r="G1002" s="4"/>
      <c r="H1002" s="4"/>
      <c r="I1002" s="4" t="s">
        <v>6785</v>
      </c>
      <c r="J1002" s="4"/>
      <c r="K1002" s="4"/>
      <c r="L1002" s="4"/>
      <c r="M1002" s="4"/>
      <c r="N1002" s="4"/>
      <c r="O1002" s="4"/>
      <c r="P1002" s="4"/>
      <c r="Q1002" s="4"/>
    </row>
    <row r="1003" spans="1:17" x14ac:dyDescent="0.2">
      <c r="A1003" s="1">
        <f t="shared" ca="1" si="29"/>
        <v>1001</v>
      </c>
      <c r="B1003" s="74" t="s">
        <v>3054</v>
      </c>
      <c r="C1003" s="90" t="s">
        <v>7035</v>
      </c>
      <c r="D1003" s="4"/>
      <c r="E1003" s="4"/>
      <c r="F1003" s="4"/>
      <c r="G1003" s="4"/>
      <c r="H1003" s="4"/>
      <c r="I1003" s="4" t="s">
        <v>6786</v>
      </c>
      <c r="J1003" s="4"/>
      <c r="K1003" s="4"/>
      <c r="L1003" s="4"/>
      <c r="M1003" s="4"/>
      <c r="N1003" s="4"/>
      <c r="O1003" s="4"/>
      <c r="P1003" s="4"/>
      <c r="Q1003" s="4"/>
    </row>
    <row r="1004" spans="1:17" x14ac:dyDescent="0.2">
      <c r="A1004" s="1">
        <f t="shared" ca="1" si="29"/>
        <v>1002</v>
      </c>
      <c r="B1004" s="74" t="s">
        <v>3055</v>
      </c>
      <c r="C1004" s="90" t="s">
        <v>7036</v>
      </c>
      <c r="D1004" s="4"/>
      <c r="E1004" s="4"/>
      <c r="F1004" s="4"/>
      <c r="G1004" s="4"/>
      <c r="H1004" s="4"/>
      <c r="I1004" s="4" t="s">
        <v>6787</v>
      </c>
      <c r="J1004" s="4"/>
      <c r="K1004" s="4"/>
      <c r="L1004" s="4"/>
      <c r="M1004" s="4"/>
      <c r="N1004" s="4"/>
      <c r="O1004" s="4"/>
      <c r="P1004" s="4"/>
      <c r="Q1004" s="4"/>
    </row>
    <row r="1005" spans="1:17" x14ac:dyDescent="0.2">
      <c r="A1005" s="1">
        <f t="shared" ca="1" si="29"/>
        <v>1003</v>
      </c>
      <c r="B1005" s="74" t="s">
        <v>3056</v>
      </c>
      <c r="C1005" s="90" t="s">
        <v>7037</v>
      </c>
      <c r="D1005" s="4"/>
      <c r="E1005" s="4"/>
      <c r="F1005" s="4"/>
      <c r="G1005" s="4"/>
      <c r="H1005" s="4"/>
      <c r="I1005" s="4" t="s">
        <v>6788</v>
      </c>
      <c r="J1005" s="4"/>
      <c r="K1005" s="4"/>
      <c r="L1005" s="4"/>
      <c r="M1005" s="4"/>
      <c r="N1005" s="4"/>
      <c r="O1005" s="4"/>
      <c r="P1005" s="4"/>
      <c r="Q1005" s="4"/>
    </row>
    <row r="1006" spans="1:17" x14ac:dyDescent="0.2">
      <c r="A1006" s="1">
        <f t="shared" ca="1" si="29"/>
        <v>1004</v>
      </c>
      <c r="B1006" s="74" t="s">
        <v>3057</v>
      </c>
      <c r="C1006" s="90" t="s">
        <v>7038</v>
      </c>
      <c r="D1006" s="4"/>
      <c r="E1006" s="4"/>
      <c r="F1006" s="4"/>
      <c r="G1006" s="4"/>
      <c r="H1006" s="4"/>
      <c r="I1006" s="4" t="s">
        <v>6789</v>
      </c>
      <c r="J1006" s="4"/>
      <c r="K1006" s="4"/>
      <c r="L1006" s="4"/>
      <c r="M1006" s="4"/>
      <c r="N1006" s="4"/>
      <c r="O1006" s="4"/>
      <c r="P1006" s="4"/>
      <c r="Q1006" s="4"/>
    </row>
    <row r="1007" spans="1:17" x14ac:dyDescent="0.2">
      <c r="A1007" s="1">
        <f t="shared" ca="1" si="29"/>
        <v>1005</v>
      </c>
      <c r="B1007" s="74" t="s">
        <v>5322</v>
      </c>
      <c r="C1007" s="90" t="s">
        <v>7039</v>
      </c>
      <c r="D1007" s="4"/>
      <c r="E1007" s="4"/>
      <c r="F1007" s="4"/>
      <c r="G1007" s="4"/>
      <c r="H1007" s="4"/>
      <c r="I1007" s="4" t="s">
        <v>6790</v>
      </c>
      <c r="J1007" s="4"/>
      <c r="K1007" s="4"/>
      <c r="L1007" s="4"/>
      <c r="M1007" s="4"/>
      <c r="N1007" s="4"/>
      <c r="O1007" s="4"/>
      <c r="P1007" s="4"/>
      <c r="Q1007" s="4"/>
    </row>
    <row r="1008" spans="1:17" x14ac:dyDescent="0.2">
      <c r="A1008" s="1">
        <f t="shared" ca="1" si="29"/>
        <v>1006</v>
      </c>
      <c r="B1008" s="74" t="s">
        <v>5323</v>
      </c>
      <c r="C1008" s="90" t="s">
        <v>7040</v>
      </c>
      <c r="D1008" s="4"/>
      <c r="E1008" s="4"/>
      <c r="F1008" s="4"/>
      <c r="G1008" s="4"/>
      <c r="H1008" s="4"/>
      <c r="I1008" s="4" t="s">
        <v>4364</v>
      </c>
      <c r="J1008" s="4"/>
      <c r="K1008" s="4"/>
      <c r="L1008" s="4"/>
      <c r="M1008" s="4"/>
      <c r="N1008" s="4"/>
      <c r="O1008" s="4"/>
      <c r="P1008" s="4"/>
      <c r="Q1008" s="4"/>
    </row>
    <row r="1009" spans="1:17" ht="25.5" x14ac:dyDescent="0.2">
      <c r="A1009" s="1">
        <f t="shared" ca="1" si="29"/>
        <v>1007</v>
      </c>
      <c r="B1009" s="74" t="s">
        <v>8158</v>
      </c>
      <c r="C1009" s="90" t="s">
        <v>1314</v>
      </c>
      <c r="D1009" s="4"/>
      <c r="E1009" s="4"/>
      <c r="F1009" s="4"/>
      <c r="G1009" s="4"/>
      <c r="H1009" s="4"/>
      <c r="I1009" s="4" t="s">
        <v>4365</v>
      </c>
      <c r="J1009" s="4"/>
      <c r="K1009" s="4"/>
      <c r="L1009" s="4"/>
      <c r="M1009" s="4"/>
      <c r="N1009" s="4"/>
      <c r="O1009" s="4"/>
      <c r="P1009" s="4"/>
      <c r="Q1009" s="4"/>
    </row>
    <row r="1010" spans="1:17" x14ac:dyDescent="0.2">
      <c r="A1010" s="1">
        <f t="shared" ca="1" si="29"/>
        <v>1008</v>
      </c>
      <c r="B1010" s="74" t="s">
        <v>8159</v>
      </c>
      <c r="C1010" s="90" t="s">
        <v>7041</v>
      </c>
      <c r="D1010" s="4"/>
      <c r="E1010" s="4"/>
      <c r="F1010" s="4"/>
      <c r="G1010" s="4"/>
      <c r="H1010" s="4"/>
      <c r="I1010" s="4" t="s">
        <v>4366</v>
      </c>
      <c r="J1010" s="4"/>
      <c r="K1010" s="4"/>
      <c r="L1010" s="4"/>
      <c r="M1010" s="4"/>
      <c r="N1010" s="4"/>
      <c r="O1010" s="4"/>
      <c r="P1010" s="4"/>
      <c r="Q1010" s="4"/>
    </row>
    <row r="1011" spans="1:17" x14ac:dyDescent="0.2">
      <c r="A1011" s="1">
        <f t="shared" ca="1" si="29"/>
        <v>1009</v>
      </c>
      <c r="B1011" s="74" t="s">
        <v>8160</v>
      </c>
      <c r="C1011" s="90" t="s">
        <v>7042</v>
      </c>
      <c r="D1011" s="4"/>
      <c r="E1011" s="4"/>
      <c r="F1011" s="4"/>
      <c r="G1011" s="4"/>
      <c r="H1011" s="4"/>
      <c r="I1011" s="4" t="s">
        <v>4367</v>
      </c>
      <c r="J1011" s="4"/>
      <c r="K1011" s="4"/>
      <c r="L1011" s="4"/>
      <c r="M1011" s="4"/>
      <c r="N1011" s="4"/>
      <c r="O1011" s="4"/>
      <c r="P1011" s="4"/>
      <c r="Q1011" s="4"/>
    </row>
    <row r="1012" spans="1:17" x14ac:dyDescent="0.2">
      <c r="A1012" s="1">
        <f t="shared" ref="A1012:A1021" ca="1" si="33">CELL("row",C1012)-2</f>
        <v>1010</v>
      </c>
      <c r="B1012" s="79" t="s">
        <v>8217</v>
      </c>
      <c r="D1012" s="4"/>
      <c r="E1012" s="4"/>
      <c r="F1012" s="4"/>
      <c r="G1012" s="4"/>
      <c r="H1012" s="4"/>
      <c r="J1012" s="4"/>
      <c r="K1012" s="4"/>
      <c r="L1012" s="4"/>
      <c r="M1012" s="4"/>
      <c r="N1012" s="4"/>
      <c r="O1012" s="4"/>
      <c r="P1012" s="4"/>
      <c r="Q1012" s="4"/>
    </row>
    <row r="1013" spans="1:17" ht="25.5" x14ac:dyDescent="0.2">
      <c r="A1013" s="1">
        <f t="shared" ca="1" si="33"/>
        <v>1011</v>
      </c>
      <c r="B1013" s="74" t="s">
        <v>8218</v>
      </c>
      <c r="C1013" s="90" t="s">
        <v>8219</v>
      </c>
      <c r="D1013" s="4"/>
      <c r="E1013" s="4"/>
      <c r="F1013" s="4"/>
      <c r="G1013" s="4"/>
      <c r="H1013" s="4"/>
      <c r="J1013" s="4"/>
      <c r="K1013" s="4"/>
      <c r="L1013" s="4"/>
      <c r="M1013" s="4"/>
      <c r="N1013" s="4"/>
      <c r="O1013" s="4"/>
      <c r="P1013" s="4"/>
      <c r="Q1013" s="4"/>
    </row>
    <row r="1014" spans="1:17" x14ac:dyDescent="0.2">
      <c r="A1014" s="1">
        <f t="shared" ca="1" si="33"/>
        <v>1012</v>
      </c>
      <c r="B1014" s="74" t="s">
        <v>8220</v>
      </c>
      <c r="C1014" s="90" t="s">
        <v>8221</v>
      </c>
      <c r="D1014" s="4"/>
      <c r="E1014" s="4"/>
      <c r="F1014" s="4"/>
      <c r="G1014" s="4"/>
      <c r="H1014" s="4"/>
      <c r="J1014" s="4"/>
      <c r="K1014" s="4"/>
      <c r="L1014" s="4"/>
      <c r="M1014" s="4"/>
      <c r="N1014" s="4"/>
      <c r="O1014" s="4"/>
      <c r="P1014" s="4"/>
      <c r="Q1014" s="4"/>
    </row>
    <row r="1015" spans="1:17" ht="25.5" x14ac:dyDescent="0.2">
      <c r="A1015" s="1">
        <f t="shared" ca="1" si="33"/>
        <v>1013</v>
      </c>
      <c r="B1015" s="74" t="s">
        <v>8222</v>
      </c>
      <c r="C1015" s="90" t="s">
        <v>8228</v>
      </c>
      <c r="D1015" s="4"/>
      <c r="E1015" s="4"/>
      <c r="F1015" s="4"/>
      <c r="G1015" s="4"/>
      <c r="H1015" s="4"/>
      <c r="J1015" s="4"/>
      <c r="K1015" s="4"/>
      <c r="L1015" s="4"/>
      <c r="M1015" s="4"/>
      <c r="N1015" s="4"/>
      <c r="O1015" s="4"/>
      <c r="P1015" s="4"/>
      <c r="Q1015" s="4"/>
    </row>
    <row r="1016" spans="1:17" x14ac:dyDescent="0.2">
      <c r="A1016" s="1">
        <f t="shared" ca="1" si="33"/>
        <v>1014</v>
      </c>
      <c r="B1016" s="74" t="s">
        <v>8227</v>
      </c>
      <c r="C1016" s="90" t="s">
        <v>8229</v>
      </c>
      <c r="D1016" s="4"/>
      <c r="E1016" s="4"/>
      <c r="F1016" s="4"/>
      <c r="G1016" s="4"/>
      <c r="H1016" s="4"/>
      <c r="J1016" s="4"/>
      <c r="K1016" s="4"/>
      <c r="L1016" s="4"/>
      <c r="M1016" s="4"/>
      <c r="N1016" s="4"/>
      <c r="O1016" s="4"/>
      <c r="P1016" s="4"/>
      <c r="Q1016" s="4"/>
    </row>
    <row r="1017" spans="1:17" x14ac:dyDescent="0.2">
      <c r="A1017" s="1">
        <f t="shared" ca="1" si="33"/>
        <v>1015</v>
      </c>
      <c r="B1017" s="74" t="s">
        <v>8230</v>
      </c>
      <c r="C1017" s="90" t="s">
        <v>8231</v>
      </c>
      <c r="D1017" s="4"/>
      <c r="E1017" s="4"/>
      <c r="F1017" s="4"/>
      <c r="G1017" s="4"/>
      <c r="H1017" s="4"/>
      <c r="J1017" s="4"/>
      <c r="K1017" s="4"/>
      <c r="L1017" s="4"/>
      <c r="M1017" s="4"/>
      <c r="N1017" s="4"/>
      <c r="O1017" s="4"/>
      <c r="P1017" s="4"/>
      <c r="Q1017" s="4"/>
    </row>
    <row r="1018" spans="1:17" x14ac:dyDescent="0.2">
      <c r="A1018" s="1">
        <f t="shared" ca="1" si="33"/>
        <v>1016</v>
      </c>
      <c r="B1018" s="74" t="s">
        <v>8232</v>
      </c>
      <c r="C1018" s="90" t="s">
        <v>8233</v>
      </c>
      <c r="D1018" s="4"/>
      <c r="E1018" s="4"/>
      <c r="F1018" s="4"/>
      <c r="G1018" s="4"/>
      <c r="H1018" s="4"/>
      <c r="J1018" s="4"/>
      <c r="K1018" s="4"/>
      <c r="L1018" s="4"/>
      <c r="M1018" s="4"/>
      <c r="N1018" s="4"/>
      <c r="O1018" s="4"/>
      <c r="P1018" s="4"/>
      <c r="Q1018" s="4"/>
    </row>
    <row r="1019" spans="1:17" x14ac:dyDescent="0.2">
      <c r="A1019" s="1">
        <f t="shared" ca="1" si="33"/>
        <v>1017</v>
      </c>
      <c r="B1019" s="74" t="s">
        <v>8234</v>
      </c>
      <c r="C1019" s="90" t="s">
        <v>8235</v>
      </c>
      <c r="D1019" s="4"/>
      <c r="E1019" s="4"/>
      <c r="F1019" s="4"/>
      <c r="G1019" s="4"/>
      <c r="H1019" s="4"/>
      <c r="J1019" s="4"/>
      <c r="K1019" s="4"/>
      <c r="L1019" s="4"/>
      <c r="M1019" s="4"/>
      <c r="N1019" s="4"/>
      <c r="O1019" s="4"/>
      <c r="P1019" s="4"/>
      <c r="Q1019" s="4"/>
    </row>
    <row r="1020" spans="1:17" x14ac:dyDescent="0.2">
      <c r="A1020" s="1">
        <f t="shared" ca="1" si="33"/>
        <v>1018</v>
      </c>
      <c r="B1020" s="74" t="s">
        <v>8236</v>
      </c>
      <c r="C1020" s="90" t="s">
        <v>8237</v>
      </c>
      <c r="D1020" s="4"/>
      <c r="E1020" s="4"/>
      <c r="F1020" s="4"/>
      <c r="G1020" s="4"/>
      <c r="H1020" s="4"/>
      <c r="J1020" s="4"/>
      <c r="K1020" s="4"/>
      <c r="L1020" s="4"/>
      <c r="M1020" s="4"/>
      <c r="N1020" s="4"/>
      <c r="O1020" s="4"/>
      <c r="P1020" s="4"/>
      <c r="Q1020" s="4"/>
    </row>
    <row r="1021" spans="1:17" x14ac:dyDescent="0.2">
      <c r="A1021" s="1">
        <f t="shared" ca="1" si="33"/>
        <v>1019</v>
      </c>
      <c r="B1021" s="74" t="s">
        <v>8238</v>
      </c>
      <c r="C1021" s="90" t="s">
        <v>8239</v>
      </c>
      <c r="D1021" s="4"/>
      <c r="E1021" s="4"/>
      <c r="F1021" s="4"/>
      <c r="G1021" s="4"/>
      <c r="H1021" s="4"/>
      <c r="J1021" s="4"/>
      <c r="K1021" s="4"/>
      <c r="L1021" s="4"/>
      <c r="M1021" s="4"/>
      <c r="N1021" s="4"/>
      <c r="O1021" s="4"/>
      <c r="P1021" s="4"/>
      <c r="Q1021" s="4"/>
    </row>
    <row r="1022" spans="1:17" x14ac:dyDescent="0.2">
      <c r="A1022" s="1">
        <f t="shared" ca="1" si="29"/>
        <v>1020</v>
      </c>
      <c r="B1022" s="79" t="s">
        <v>8161</v>
      </c>
      <c r="D1022" s="4"/>
      <c r="E1022" s="4"/>
      <c r="F1022" s="4"/>
      <c r="G1022" s="4"/>
      <c r="H1022" s="4"/>
      <c r="J1022" s="4"/>
      <c r="K1022" s="4"/>
      <c r="L1022" s="4"/>
      <c r="M1022" s="4"/>
      <c r="N1022" s="4"/>
      <c r="O1022" s="4"/>
      <c r="P1022" s="4"/>
      <c r="Q1022" s="4"/>
    </row>
    <row r="1023" spans="1:17" ht="25.5" x14ac:dyDescent="0.2">
      <c r="A1023" s="1">
        <f t="shared" ca="1" si="29"/>
        <v>1021</v>
      </c>
      <c r="B1023" s="74" t="s">
        <v>61</v>
      </c>
      <c r="C1023" s="90" t="s">
        <v>3527</v>
      </c>
      <c r="D1023" s="4"/>
      <c r="E1023" s="4"/>
      <c r="F1023" s="4"/>
      <c r="G1023" s="4"/>
      <c r="H1023" s="4"/>
      <c r="I1023" s="4" t="s">
        <v>4368</v>
      </c>
      <c r="J1023" s="4"/>
      <c r="K1023" s="4"/>
      <c r="L1023" s="4"/>
      <c r="M1023" s="4"/>
      <c r="N1023" s="4"/>
      <c r="O1023" s="4"/>
      <c r="P1023" s="4"/>
      <c r="Q1023" s="4"/>
    </row>
    <row r="1024" spans="1:17" ht="25.5" x14ac:dyDescent="0.2">
      <c r="A1024" s="1">
        <f t="shared" ca="1" si="29"/>
        <v>1022</v>
      </c>
      <c r="B1024" s="74" t="s">
        <v>5103</v>
      </c>
      <c r="C1024" s="90" t="s">
        <v>1238</v>
      </c>
      <c r="D1024" s="4"/>
      <c r="E1024" s="4"/>
      <c r="F1024" s="4"/>
      <c r="G1024" s="4"/>
      <c r="H1024" s="4"/>
      <c r="I1024" s="4" t="s">
        <v>4369</v>
      </c>
      <c r="J1024" s="4"/>
      <c r="K1024" s="4"/>
      <c r="L1024" s="4"/>
      <c r="M1024" s="4"/>
      <c r="N1024" s="4"/>
      <c r="O1024" s="4"/>
      <c r="P1024" s="4"/>
      <c r="Q1024" s="4"/>
    </row>
    <row r="1025" spans="1:17" ht="51" x14ac:dyDescent="0.2">
      <c r="A1025" s="1">
        <f t="shared" ca="1" si="29"/>
        <v>1023</v>
      </c>
      <c r="B1025" s="74" t="s">
        <v>5104</v>
      </c>
      <c r="C1025" s="91" t="s">
        <v>7043</v>
      </c>
      <c r="D1025" s="4"/>
      <c r="E1025" s="4"/>
      <c r="F1025" s="4"/>
      <c r="G1025" s="4"/>
      <c r="H1025" s="4"/>
      <c r="I1025" s="4" t="s">
        <v>3253</v>
      </c>
      <c r="J1025" s="4"/>
      <c r="K1025" s="4"/>
      <c r="L1025" s="4"/>
      <c r="M1025" s="4"/>
      <c r="N1025" s="4"/>
      <c r="O1025" s="4"/>
      <c r="P1025" s="4"/>
      <c r="Q1025" s="4"/>
    </row>
    <row r="1026" spans="1:17" x14ac:dyDescent="0.2">
      <c r="A1026" s="1">
        <f t="shared" ca="1" si="29"/>
        <v>1024</v>
      </c>
      <c r="B1026" s="74" t="s">
        <v>5105</v>
      </c>
      <c r="C1026" s="90" t="s">
        <v>4746</v>
      </c>
      <c r="D1026" s="4"/>
      <c r="E1026" s="4"/>
      <c r="F1026" s="4"/>
      <c r="G1026" s="4"/>
      <c r="H1026" s="4"/>
      <c r="I1026" s="4" t="s">
        <v>3254</v>
      </c>
      <c r="J1026" s="4"/>
      <c r="K1026" s="4"/>
      <c r="L1026" s="4"/>
      <c r="M1026" s="4"/>
      <c r="N1026" s="4"/>
      <c r="O1026" s="4"/>
      <c r="P1026" s="4"/>
      <c r="Q1026" s="4"/>
    </row>
    <row r="1027" spans="1:17" x14ac:dyDescent="0.2">
      <c r="A1027" s="1">
        <f t="shared" ca="1" si="29"/>
        <v>1025</v>
      </c>
      <c r="B1027" s="74" t="s">
        <v>5106</v>
      </c>
      <c r="C1027" s="90" t="s">
        <v>4747</v>
      </c>
      <c r="D1027" s="4"/>
      <c r="E1027" s="4"/>
      <c r="F1027" s="4"/>
      <c r="G1027" s="4"/>
      <c r="H1027" s="4"/>
      <c r="I1027" s="4" t="s">
        <v>3255</v>
      </c>
      <c r="J1027" s="4"/>
      <c r="K1027" s="4"/>
      <c r="L1027" s="4"/>
      <c r="M1027" s="4"/>
      <c r="N1027" s="4"/>
      <c r="O1027" s="4"/>
      <c r="P1027" s="4"/>
      <c r="Q1027" s="4"/>
    </row>
    <row r="1028" spans="1:17" x14ac:dyDescent="0.2">
      <c r="A1028" s="1">
        <f t="shared" ca="1" si="29"/>
        <v>1026</v>
      </c>
      <c r="B1028" s="74" t="s">
        <v>5107</v>
      </c>
      <c r="C1028" s="90" t="s">
        <v>5500</v>
      </c>
      <c r="D1028" s="4"/>
      <c r="E1028" s="4"/>
      <c r="F1028" s="4"/>
      <c r="G1028" s="4"/>
      <c r="H1028" s="4"/>
      <c r="I1028" s="4" t="s">
        <v>3256</v>
      </c>
      <c r="J1028" s="4"/>
      <c r="K1028" s="4"/>
      <c r="L1028" s="4"/>
      <c r="M1028" s="4"/>
      <c r="N1028" s="4"/>
      <c r="O1028" s="4"/>
      <c r="P1028" s="4"/>
      <c r="Q1028" s="4"/>
    </row>
    <row r="1029" spans="1:17" x14ac:dyDescent="0.2">
      <c r="A1029" s="1">
        <f t="shared" ca="1" si="29"/>
        <v>1027</v>
      </c>
      <c r="B1029" s="74" t="s">
        <v>5108</v>
      </c>
      <c r="C1029" s="90" t="s">
        <v>4748</v>
      </c>
      <c r="D1029" s="4"/>
      <c r="E1029" s="4"/>
      <c r="F1029" s="4"/>
      <c r="G1029" s="4"/>
      <c r="H1029" s="4"/>
      <c r="I1029" s="4" t="s">
        <v>3257</v>
      </c>
      <c r="J1029" s="4"/>
      <c r="K1029" s="4"/>
      <c r="L1029" s="4"/>
      <c r="M1029" s="4"/>
      <c r="N1029" s="4"/>
      <c r="O1029" s="4"/>
      <c r="P1029" s="4"/>
      <c r="Q1029" s="4"/>
    </row>
    <row r="1030" spans="1:17" ht="25.5" x14ac:dyDescent="0.2">
      <c r="A1030" s="1">
        <f t="shared" ca="1" si="29"/>
        <v>1028</v>
      </c>
      <c r="B1030" s="74" t="s">
        <v>5259</v>
      </c>
      <c r="C1030" s="90" t="s">
        <v>4749</v>
      </c>
      <c r="D1030" s="4"/>
      <c r="E1030" s="4"/>
      <c r="F1030" s="4"/>
      <c r="G1030" s="4"/>
      <c r="H1030" s="4"/>
      <c r="I1030" s="4" t="s">
        <v>3258</v>
      </c>
      <c r="J1030" s="4"/>
      <c r="K1030" s="4"/>
      <c r="L1030" s="4"/>
      <c r="M1030" s="4"/>
      <c r="N1030" s="4"/>
      <c r="O1030" s="4"/>
      <c r="P1030" s="4"/>
      <c r="Q1030" s="4"/>
    </row>
    <row r="1031" spans="1:17" ht="25.5" x14ac:dyDescent="0.2">
      <c r="A1031" s="1">
        <f t="shared" ca="1" si="29"/>
        <v>1029</v>
      </c>
      <c r="B1031" s="74" t="s">
        <v>5260</v>
      </c>
      <c r="C1031" s="90" t="s">
        <v>4750</v>
      </c>
      <c r="D1031" s="4"/>
      <c r="E1031" s="4"/>
      <c r="F1031" s="4"/>
      <c r="G1031" s="4"/>
      <c r="H1031" s="4"/>
      <c r="I1031" s="4" t="s">
        <v>3259</v>
      </c>
      <c r="J1031" s="4"/>
      <c r="K1031" s="4"/>
      <c r="L1031" s="4"/>
      <c r="M1031" s="4"/>
      <c r="N1031" s="4"/>
      <c r="O1031" s="4"/>
      <c r="P1031" s="4"/>
      <c r="Q1031" s="4"/>
    </row>
    <row r="1032" spans="1:17" ht="15.75" x14ac:dyDescent="0.2">
      <c r="A1032" s="1">
        <f t="shared" ca="1" si="29"/>
        <v>1030</v>
      </c>
      <c r="B1032" s="74" t="s">
        <v>676</v>
      </c>
      <c r="C1032" s="90" t="s">
        <v>8274</v>
      </c>
      <c r="D1032" s="4"/>
      <c r="E1032" s="4"/>
      <c r="F1032" s="4"/>
      <c r="G1032" s="4"/>
      <c r="H1032" s="4"/>
      <c r="I1032" s="4" t="s">
        <v>3260</v>
      </c>
      <c r="J1032" s="4"/>
      <c r="K1032" s="4"/>
      <c r="L1032" s="4"/>
      <c r="M1032" s="4"/>
      <c r="N1032" s="4"/>
      <c r="O1032" s="4"/>
      <c r="P1032" s="4"/>
      <c r="Q1032" s="4"/>
    </row>
    <row r="1033" spans="1:17" ht="15.75" x14ac:dyDescent="0.2">
      <c r="A1033" s="1">
        <f t="shared" ca="1" si="29"/>
        <v>1031</v>
      </c>
      <c r="B1033" s="74" t="s">
        <v>677</v>
      </c>
      <c r="C1033" s="90" t="s">
        <v>5501</v>
      </c>
      <c r="D1033" s="4"/>
      <c r="E1033" s="4"/>
      <c r="F1033" s="4"/>
      <c r="G1033" s="4"/>
      <c r="H1033" s="4"/>
      <c r="I1033" s="4" t="s">
        <v>3261</v>
      </c>
      <c r="J1033" s="4"/>
      <c r="K1033" s="4"/>
      <c r="L1033" s="4"/>
      <c r="M1033" s="4"/>
      <c r="N1033" s="4"/>
      <c r="O1033" s="4"/>
      <c r="P1033" s="4"/>
      <c r="Q1033" s="4"/>
    </row>
    <row r="1034" spans="1:17" ht="25.5" x14ac:dyDescent="0.2">
      <c r="A1034" s="1">
        <f t="shared" ca="1" si="29"/>
        <v>1032</v>
      </c>
      <c r="B1034" s="74" t="s">
        <v>5261</v>
      </c>
      <c r="C1034" s="90" t="s">
        <v>4751</v>
      </c>
      <c r="D1034" s="4"/>
      <c r="E1034" s="4"/>
      <c r="F1034" s="4"/>
      <c r="G1034" s="4"/>
      <c r="H1034" s="4"/>
      <c r="I1034" s="4" t="s">
        <v>3262</v>
      </c>
      <c r="J1034" s="4"/>
      <c r="K1034" s="4"/>
      <c r="L1034" s="4"/>
      <c r="M1034" s="4"/>
      <c r="N1034" s="4"/>
      <c r="O1034" s="4"/>
      <c r="P1034" s="4"/>
      <c r="Q1034" s="4"/>
    </row>
    <row r="1035" spans="1:17" x14ac:dyDescent="0.2">
      <c r="A1035" s="1">
        <f t="shared" ca="1" si="29"/>
        <v>1033</v>
      </c>
      <c r="B1035" s="74" t="s">
        <v>5262</v>
      </c>
      <c r="C1035" s="90" t="s">
        <v>4752</v>
      </c>
      <c r="D1035" s="4"/>
      <c r="E1035" s="4"/>
      <c r="F1035" s="4"/>
      <c r="G1035" s="4"/>
      <c r="H1035" s="4"/>
      <c r="I1035" s="4" t="s">
        <v>3263</v>
      </c>
      <c r="J1035" s="4"/>
      <c r="K1035" s="4"/>
      <c r="L1035" s="4"/>
      <c r="M1035" s="4"/>
      <c r="N1035" s="4"/>
      <c r="O1035" s="4"/>
      <c r="P1035" s="4"/>
      <c r="Q1035" s="4"/>
    </row>
    <row r="1036" spans="1:17" x14ac:dyDescent="0.2">
      <c r="A1036" s="1">
        <f t="shared" ca="1" si="29"/>
        <v>1034</v>
      </c>
      <c r="B1036" s="74" t="s">
        <v>5263</v>
      </c>
      <c r="C1036" s="90" t="s">
        <v>4753</v>
      </c>
      <c r="D1036" s="4"/>
      <c r="E1036" s="4"/>
      <c r="F1036" s="4"/>
      <c r="G1036" s="4"/>
      <c r="H1036" s="4"/>
      <c r="I1036" s="4" t="s">
        <v>3264</v>
      </c>
      <c r="J1036" s="4"/>
      <c r="K1036" s="4"/>
      <c r="L1036" s="4"/>
      <c r="M1036" s="4"/>
      <c r="N1036" s="4"/>
      <c r="O1036" s="4"/>
      <c r="P1036" s="4"/>
      <c r="Q1036" s="4"/>
    </row>
    <row r="1037" spans="1:17" x14ac:dyDescent="0.2">
      <c r="A1037" s="1">
        <f t="shared" ca="1" si="29"/>
        <v>1035</v>
      </c>
      <c r="B1037" s="74" t="s">
        <v>924</v>
      </c>
      <c r="C1037" s="90" t="s">
        <v>4754</v>
      </c>
      <c r="D1037" s="4"/>
      <c r="E1037" s="4"/>
      <c r="F1037" s="4"/>
      <c r="G1037" s="4"/>
      <c r="H1037" s="4"/>
      <c r="I1037" s="4" t="s">
        <v>3265</v>
      </c>
      <c r="J1037" s="4"/>
      <c r="K1037" s="4"/>
      <c r="L1037" s="4"/>
      <c r="M1037" s="4"/>
      <c r="N1037" s="4"/>
      <c r="O1037" s="4"/>
      <c r="P1037" s="4"/>
      <c r="Q1037" s="4"/>
    </row>
    <row r="1038" spans="1:17" x14ac:dyDescent="0.2">
      <c r="A1038" s="1">
        <f t="shared" ca="1" si="29"/>
        <v>1036</v>
      </c>
      <c r="B1038" s="74" t="s">
        <v>925</v>
      </c>
      <c r="C1038" s="90" t="s">
        <v>4755</v>
      </c>
      <c r="D1038" s="4"/>
      <c r="E1038" s="4"/>
      <c r="F1038" s="4"/>
      <c r="G1038" s="4"/>
      <c r="H1038" s="4"/>
      <c r="I1038" s="4" t="s">
        <v>3266</v>
      </c>
      <c r="J1038" s="4"/>
      <c r="K1038" s="4"/>
      <c r="L1038" s="4"/>
      <c r="M1038" s="4"/>
      <c r="N1038" s="4"/>
      <c r="O1038" s="4"/>
      <c r="P1038" s="4"/>
      <c r="Q1038" s="4"/>
    </row>
    <row r="1039" spans="1:17" x14ac:dyDescent="0.2">
      <c r="A1039" s="1">
        <f t="shared" ca="1" si="29"/>
        <v>1037</v>
      </c>
      <c r="B1039" s="74" t="s">
        <v>926</v>
      </c>
      <c r="C1039" s="90" t="s">
        <v>4756</v>
      </c>
      <c r="D1039" s="4"/>
      <c r="E1039" s="4"/>
      <c r="F1039" s="4"/>
      <c r="G1039" s="4"/>
      <c r="H1039" s="4"/>
      <c r="I1039" s="4" t="s">
        <v>3267</v>
      </c>
      <c r="J1039" s="4"/>
      <c r="K1039" s="4"/>
      <c r="L1039" s="4"/>
      <c r="M1039" s="4"/>
      <c r="N1039" s="4"/>
      <c r="O1039" s="4"/>
      <c r="P1039" s="4"/>
      <c r="Q1039" s="4"/>
    </row>
    <row r="1040" spans="1:17" ht="63.75" x14ac:dyDescent="0.2">
      <c r="A1040" s="1">
        <f t="shared" ca="1" si="29"/>
        <v>1038</v>
      </c>
      <c r="B1040" s="74" t="s">
        <v>927</v>
      </c>
      <c r="C1040" s="90" t="s">
        <v>4757</v>
      </c>
      <c r="D1040" s="4"/>
      <c r="E1040" s="4"/>
      <c r="F1040" s="4"/>
      <c r="G1040" s="4"/>
      <c r="H1040" s="4"/>
      <c r="I1040" s="4" t="s">
        <v>3268</v>
      </c>
      <c r="J1040" s="4"/>
      <c r="K1040" s="4"/>
      <c r="L1040" s="4"/>
      <c r="M1040" s="4"/>
      <c r="N1040" s="4"/>
      <c r="O1040" s="4"/>
      <c r="P1040" s="4"/>
      <c r="Q1040" s="4"/>
    </row>
    <row r="1041" spans="1:17" x14ac:dyDescent="0.2">
      <c r="A1041" s="1">
        <f t="shared" ca="1" si="29"/>
        <v>1039</v>
      </c>
      <c r="B1041" s="74" t="s">
        <v>928</v>
      </c>
      <c r="C1041" s="90" t="s">
        <v>4758</v>
      </c>
      <c r="D1041" s="4"/>
      <c r="E1041" s="4"/>
      <c r="F1041" s="4"/>
      <c r="G1041" s="4"/>
      <c r="H1041" s="4"/>
      <c r="I1041" s="4" t="s">
        <v>3269</v>
      </c>
      <c r="J1041" s="4"/>
      <c r="K1041" s="4"/>
      <c r="L1041" s="4"/>
      <c r="M1041" s="4"/>
      <c r="N1041" s="4"/>
      <c r="O1041" s="4"/>
      <c r="P1041" s="4"/>
      <c r="Q1041" s="4"/>
    </row>
    <row r="1042" spans="1:17" x14ac:dyDescent="0.2">
      <c r="A1042" s="1">
        <f t="shared" ca="1" si="29"/>
        <v>1040</v>
      </c>
      <c r="B1042" s="1" t="s">
        <v>8247</v>
      </c>
      <c r="C1042" s="90" t="s">
        <v>8274</v>
      </c>
      <c r="D1042" s="4"/>
      <c r="E1042" s="4"/>
      <c r="F1042" s="4"/>
      <c r="G1042" s="4"/>
      <c r="H1042" s="4"/>
      <c r="I1042" s="4" t="s">
        <v>3270</v>
      </c>
      <c r="J1042" s="4"/>
      <c r="K1042" s="4"/>
      <c r="L1042" s="4"/>
      <c r="M1042" s="4"/>
      <c r="N1042" s="4"/>
      <c r="O1042" s="4"/>
      <c r="P1042" s="4"/>
      <c r="Q1042" s="4"/>
    </row>
    <row r="1043" spans="1:17" x14ac:dyDescent="0.2">
      <c r="A1043" s="1">
        <f t="shared" ca="1" si="29"/>
        <v>1041</v>
      </c>
      <c r="B1043" s="73" t="s">
        <v>2509</v>
      </c>
      <c r="C1043" s="82"/>
      <c r="D1043" s="4"/>
      <c r="E1043" s="4"/>
      <c r="F1043" s="4"/>
      <c r="G1043" s="4"/>
      <c r="H1043" s="4"/>
      <c r="J1043" s="4"/>
      <c r="K1043" s="4"/>
      <c r="L1043" s="4"/>
      <c r="M1043" s="4"/>
      <c r="N1043" s="4"/>
      <c r="O1043" s="4"/>
      <c r="P1043" s="4"/>
      <c r="Q1043" s="4"/>
    </row>
    <row r="1044" spans="1:17" ht="25.5" x14ac:dyDescent="0.2">
      <c r="A1044" s="1">
        <f t="shared" ca="1" si="29"/>
        <v>1042</v>
      </c>
      <c r="B1044" s="1" t="s">
        <v>2510</v>
      </c>
      <c r="C1044" s="82" t="s">
        <v>4759</v>
      </c>
      <c r="D1044" s="4"/>
      <c r="E1044" s="4"/>
      <c r="F1044" s="4"/>
      <c r="G1044" s="4"/>
      <c r="H1044" s="4"/>
      <c r="I1044" s="4" t="s">
        <v>3271</v>
      </c>
      <c r="J1044" s="4"/>
      <c r="K1044" s="4"/>
      <c r="L1044" s="4"/>
      <c r="M1044" s="4"/>
      <c r="N1044" s="4"/>
      <c r="O1044" s="4"/>
      <c r="P1044" s="4"/>
      <c r="Q1044" s="4"/>
    </row>
    <row r="1045" spans="1:17" ht="38.25" x14ac:dyDescent="0.2">
      <c r="A1045" s="1">
        <f t="shared" ca="1" si="29"/>
        <v>1043</v>
      </c>
      <c r="B1045" s="1" t="s">
        <v>6375</v>
      </c>
      <c r="C1045" s="82" t="s">
        <v>3967</v>
      </c>
      <c r="D1045" s="4"/>
      <c r="E1045" s="4"/>
      <c r="F1045" s="4"/>
      <c r="G1045" s="4"/>
      <c r="H1045" s="4"/>
      <c r="I1045" s="4" t="s">
        <v>5598</v>
      </c>
      <c r="J1045" s="4"/>
      <c r="K1045" s="4"/>
      <c r="L1045" s="4"/>
      <c r="M1045" s="4"/>
      <c r="N1045" s="4"/>
      <c r="O1045" s="4"/>
      <c r="P1045" s="4"/>
      <c r="Q1045" s="4"/>
    </row>
    <row r="1046" spans="1:17" x14ac:dyDescent="0.2">
      <c r="A1046" s="1">
        <f t="shared" ca="1" si="29"/>
        <v>1044</v>
      </c>
      <c r="B1046" s="1" t="s">
        <v>6376</v>
      </c>
      <c r="C1046" s="82" t="s">
        <v>4760</v>
      </c>
      <c r="D1046" s="4"/>
      <c r="E1046" s="4"/>
      <c r="F1046" s="4"/>
      <c r="G1046" s="4"/>
      <c r="H1046" s="4"/>
      <c r="I1046" s="4" t="s">
        <v>5599</v>
      </c>
      <c r="J1046" s="4"/>
      <c r="K1046" s="4"/>
      <c r="L1046" s="4"/>
      <c r="M1046" s="4"/>
      <c r="N1046" s="4"/>
      <c r="O1046" s="4"/>
      <c r="P1046" s="4"/>
      <c r="Q1046" s="4"/>
    </row>
    <row r="1047" spans="1:17" x14ac:dyDescent="0.2">
      <c r="A1047" s="1">
        <f t="shared" ca="1" si="29"/>
        <v>1045</v>
      </c>
      <c r="B1047" s="1" t="s">
        <v>6377</v>
      </c>
      <c r="C1047" s="82" t="s">
        <v>4761</v>
      </c>
      <c r="D1047" s="4"/>
      <c r="E1047" s="4"/>
      <c r="F1047" s="4"/>
      <c r="G1047" s="4"/>
      <c r="H1047" s="4"/>
      <c r="I1047" s="4" t="s">
        <v>5600</v>
      </c>
      <c r="J1047" s="4"/>
      <c r="K1047" s="4"/>
      <c r="L1047" s="4"/>
      <c r="M1047" s="4"/>
      <c r="N1047" s="4"/>
      <c r="O1047" s="4"/>
      <c r="P1047" s="4"/>
      <c r="Q1047" s="4"/>
    </row>
    <row r="1048" spans="1:17" x14ac:dyDescent="0.2">
      <c r="A1048" s="1">
        <f t="shared" ca="1" si="29"/>
        <v>1046</v>
      </c>
      <c r="B1048" s="1" t="s">
        <v>6378</v>
      </c>
      <c r="C1048" s="82" t="s">
        <v>4762</v>
      </c>
      <c r="D1048" s="4"/>
      <c r="E1048" s="4"/>
      <c r="F1048" s="4"/>
      <c r="G1048" s="4"/>
      <c r="H1048" s="4"/>
      <c r="I1048" s="4" t="s">
        <v>5601</v>
      </c>
      <c r="J1048" s="4"/>
      <c r="K1048" s="4"/>
      <c r="L1048" s="4"/>
      <c r="M1048" s="4"/>
      <c r="N1048" s="4"/>
      <c r="O1048" s="4"/>
      <c r="P1048" s="4"/>
      <c r="Q1048" s="4"/>
    </row>
    <row r="1049" spans="1:17" x14ac:dyDescent="0.2">
      <c r="A1049" s="1">
        <f t="shared" ref="A1049:A1112" ca="1" si="34">CELL("row",C1049)-2</f>
        <v>1047</v>
      </c>
      <c r="B1049" s="1" t="s">
        <v>8054</v>
      </c>
      <c r="C1049" s="82" t="s">
        <v>4763</v>
      </c>
      <c r="D1049" s="4"/>
      <c r="E1049" s="4"/>
      <c r="F1049" s="4"/>
      <c r="G1049" s="4"/>
      <c r="H1049" s="4"/>
      <c r="I1049" s="4" t="s">
        <v>5602</v>
      </c>
      <c r="J1049" s="4"/>
      <c r="K1049" s="4"/>
      <c r="L1049" s="4"/>
      <c r="M1049" s="4"/>
      <c r="N1049" s="4"/>
      <c r="O1049" s="4"/>
      <c r="P1049" s="4"/>
      <c r="Q1049" s="4"/>
    </row>
    <row r="1050" spans="1:17" x14ac:dyDescent="0.2">
      <c r="A1050" s="1">
        <f t="shared" ca="1" si="34"/>
        <v>1048</v>
      </c>
      <c r="B1050" s="1" t="s">
        <v>8055</v>
      </c>
      <c r="C1050" s="82" t="s">
        <v>4764</v>
      </c>
      <c r="D1050" s="4"/>
      <c r="E1050" s="4"/>
      <c r="F1050" s="4"/>
      <c r="G1050" s="4"/>
      <c r="H1050" s="4"/>
      <c r="I1050" s="4" t="s">
        <v>5603</v>
      </c>
      <c r="J1050" s="4"/>
      <c r="K1050" s="4"/>
      <c r="L1050" s="4"/>
      <c r="M1050" s="4"/>
      <c r="N1050" s="4"/>
      <c r="O1050" s="4"/>
      <c r="P1050" s="4"/>
      <c r="Q1050" s="4"/>
    </row>
    <row r="1051" spans="1:17" x14ac:dyDescent="0.2">
      <c r="A1051" s="1">
        <f t="shared" ca="1" si="34"/>
        <v>1049</v>
      </c>
      <c r="B1051" s="1" t="s">
        <v>8056</v>
      </c>
      <c r="C1051" s="82" t="s">
        <v>4765</v>
      </c>
      <c r="D1051" s="4"/>
      <c r="E1051" s="4"/>
      <c r="F1051" s="4"/>
      <c r="G1051" s="4"/>
      <c r="H1051" s="4"/>
      <c r="I1051" s="4" t="s">
        <v>5604</v>
      </c>
      <c r="J1051" s="4"/>
      <c r="K1051" s="4"/>
      <c r="L1051" s="4"/>
      <c r="M1051" s="4"/>
      <c r="N1051" s="4"/>
      <c r="O1051" s="4"/>
      <c r="P1051" s="4"/>
      <c r="Q1051" s="4"/>
    </row>
    <row r="1052" spans="1:17" x14ac:dyDescent="0.2">
      <c r="A1052" s="1">
        <f t="shared" ca="1" si="34"/>
        <v>1050</v>
      </c>
      <c r="B1052" s="1" t="s">
        <v>3482</v>
      </c>
      <c r="C1052" s="82" t="s">
        <v>4766</v>
      </c>
      <c r="D1052" s="4"/>
      <c r="E1052" s="4"/>
      <c r="F1052" s="4"/>
      <c r="G1052" s="4"/>
      <c r="H1052" s="4"/>
      <c r="I1052" s="4" t="s">
        <v>5605</v>
      </c>
      <c r="J1052" s="4"/>
      <c r="K1052" s="4"/>
      <c r="L1052" s="4"/>
      <c r="M1052" s="4"/>
      <c r="N1052" s="4"/>
      <c r="O1052" s="4"/>
      <c r="P1052" s="4"/>
      <c r="Q1052" s="4"/>
    </row>
    <row r="1053" spans="1:17" ht="25.5" x14ac:dyDescent="0.2">
      <c r="A1053" s="1">
        <f t="shared" ca="1" si="34"/>
        <v>1051</v>
      </c>
      <c r="B1053" s="1" t="s">
        <v>3483</v>
      </c>
      <c r="C1053" s="82" t="s">
        <v>3484</v>
      </c>
      <c r="D1053" s="4"/>
      <c r="E1053" s="4"/>
      <c r="F1053" s="4"/>
      <c r="G1053" s="4"/>
      <c r="H1053" s="4"/>
      <c r="I1053" s="4" t="s">
        <v>5606</v>
      </c>
      <c r="J1053" s="4"/>
      <c r="K1053" s="4"/>
      <c r="L1053" s="4"/>
      <c r="M1053" s="4"/>
      <c r="N1053" s="4"/>
      <c r="O1053" s="4"/>
      <c r="P1053" s="4"/>
      <c r="Q1053" s="4"/>
    </row>
    <row r="1054" spans="1:17" x14ac:dyDescent="0.2">
      <c r="A1054" s="1">
        <f t="shared" ca="1" si="34"/>
        <v>1052</v>
      </c>
      <c r="B1054" s="1" t="s">
        <v>8057</v>
      </c>
      <c r="C1054" s="82" t="s">
        <v>8044</v>
      </c>
      <c r="D1054" s="4"/>
      <c r="E1054" s="4"/>
      <c r="F1054" s="4"/>
      <c r="G1054" s="4"/>
      <c r="H1054" s="4"/>
      <c r="I1054" s="4" t="s">
        <v>91</v>
      </c>
      <c r="J1054" s="4"/>
      <c r="K1054" s="4"/>
      <c r="L1054" s="4"/>
      <c r="M1054" s="4"/>
      <c r="N1054" s="4"/>
      <c r="O1054" s="4"/>
      <c r="P1054" s="4"/>
      <c r="Q1054" s="4"/>
    </row>
    <row r="1055" spans="1:17" x14ac:dyDescent="0.2">
      <c r="A1055" s="1">
        <f t="shared" ca="1" si="34"/>
        <v>1053</v>
      </c>
      <c r="B1055" s="1" t="s">
        <v>8058</v>
      </c>
      <c r="C1055" s="82" t="s">
        <v>8045</v>
      </c>
      <c r="D1055" s="4"/>
      <c r="E1055" s="4"/>
      <c r="F1055" s="4"/>
      <c r="G1055" s="4"/>
      <c r="H1055" s="4"/>
      <c r="I1055" s="4" t="s">
        <v>92</v>
      </c>
      <c r="J1055" s="4"/>
      <c r="K1055" s="4"/>
      <c r="L1055" s="4"/>
      <c r="M1055" s="4"/>
      <c r="N1055" s="4"/>
      <c r="O1055" s="4"/>
      <c r="P1055" s="4"/>
      <c r="Q1055" s="4"/>
    </row>
    <row r="1056" spans="1:17" x14ac:dyDescent="0.2">
      <c r="A1056" s="1">
        <f t="shared" ca="1" si="34"/>
        <v>1054</v>
      </c>
      <c r="B1056" s="1" t="s">
        <v>8059</v>
      </c>
      <c r="C1056" s="82" t="s">
        <v>8046</v>
      </c>
      <c r="D1056" s="4"/>
      <c r="E1056" s="4"/>
      <c r="F1056" s="4"/>
      <c r="G1056" s="4"/>
      <c r="H1056" s="4"/>
      <c r="I1056" s="4" t="s">
        <v>93</v>
      </c>
      <c r="J1056" s="4"/>
      <c r="K1056" s="4"/>
      <c r="L1056" s="4"/>
      <c r="M1056" s="4"/>
      <c r="N1056" s="4"/>
      <c r="O1056" s="4"/>
      <c r="P1056" s="4"/>
      <c r="Q1056" s="4"/>
    </row>
    <row r="1057" spans="1:17" x14ac:dyDescent="0.2">
      <c r="A1057" s="1">
        <f t="shared" ca="1" si="34"/>
        <v>1055</v>
      </c>
      <c r="B1057" s="1" t="s">
        <v>519</v>
      </c>
      <c r="C1057" s="82" t="s">
        <v>520</v>
      </c>
      <c r="D1057" s="4"/>
      <c r="E1057" s="4"/>
      <c r="F1057" s="4"/>
      <c r="G1057" s="4"/>
      <c r="H1057" s="4"/>
      <c r="I1057" s="4" t="s">
        <v>94</v>
      </c>
      <c r="J1057" s="4"/>
      <c r="K1057" s="4"/>
      <c r="L1057" s="4"/>
      <c r="M1057" s="4"/>
      <c r="N1057" s="4"/>
      <c r="O1057" s="4"/>
      <c r="P1057" s="4"/>
      <c r="Q1057" s="4"/>
    </row>
    <row r="1058" spans="1:17" ht="25.5" x14ac:dyDescent="0.2">
      <c r="A1058" s="1">
        <f t="shared" ca="1" si="34"/>
        <v>1056</v>
      </c>
      <c r="B1058" s="1" t="s">
        <v>521</v>
      </c>
      <c r="C1058" s="82" t="s">
        <v>8047</v>
      </c>
      <c r="D1058" s="4"/>
      <c r="E1058" s="4"/>
      <c r="F1058" s="4"/>
      <c r="G1058" s="4"/>
      <c r="H1058" s="4"/>
      <c r="I1058" s="4" t="s">
        <v>95</v>
      </c>
      <c r="J1058" s="4"/>
      <c r="K1058" s="4"/>
      <c r="L1058" s="4"/>
      <c r="M1058" s="4"/>
      <c r="N1058" s="4"/>
      <c r="O1058" s="4"/>
      <c r="P1058" s="4"/>
      <c r="Q1058" s="4"/>
    </row>
    <row r="1059" spans="1:17" ht="25.5" x14ac:dyDescent="0.2">
      <c r="A1059" s="1">
        <f t="shared" ca="1" si="34"/>
        <v>1057</v>
      </c>
      <c r="B1059" s="1" t="s">
        <v>3361</v>
      </c>
      <c r="C1059" s="82" t="s">
        <v>8048</v>
      </c>
      <c r="D1059" s="4"/>
      <c r="E1059" s="4"/>
      <c r="F1059" s="4"/>
      <c r="G1059" s="4"/>
      <c r="H1059" s="4"/>
      <c r="I1059" s="4" t="s">
        <v>3272</v>
      </c>
      <c r="J1059" s="4"/>
      <c r="K1059" s="4"/>
      <c r="L1059" s="4"/>
      <c r="M1059" s="4"/>
      <c r="N1059" s="4"/>
      <c r="O1059" s="4"/>
      <c r="P1059" s="4"/>
      <c r="Q1059" s="4"/>
    </row>
    <row r="1060" spans="1:17" x14ac:dyDescent="0.2">
      <c r="A1060" s="1">
        <f t="shared" ca="1" si="34"/>
        <v>1058</v>
      </c>
      <c r="B1060" s="1" t="s">
        <v>3362</v>
      </c>
      <c r="C1060" s="82" t="s">
        <v>8049</v>
      </c>
      <c r="D1060" s="4"/>
      <c r="E1060" s="4"/>
      <c r="F1060" s="4"/>
      <c r="G1060" s="4"/>
      <c r="H1060" s="4"/>
      <c r="I1060" s="4" t="s">
        <v>5576</v>
      </c>
      <c r="J1060" s="4"/>
      <c r="K1060" s="4"/>
      <c r="L1060" s="4"/>
      <c r="M1060" s="4"/>
      <c r="N1060" s="4"/>
      <c r="O1060" s="4"/>
      <c r="P1060" s="4"/>
      <c r="Q1060" s="4"/>
    </row>
    <row r="1061" spans="1:17" ht="25.5" x14ac:dyDescent="0.2">
      <c r="A1061" s="1">
        <f t="shared" ca="1" si="34"/>
        <v>1059</v>
      </c>
      <c r="B1061" s="1" t="s">
        <v>3363</v>
      </c>
      <c r="C1061" s="82" t="s">
        <v>8050</v>
      </c>
      <c r="D1061" s="4"/>
      <c r="E1061" s="4"/>
      <c r="F1061" s="4"/>
      <c r="G1061" s="4"/>
      <c r="H1061" s="4"/>
      <c r="I1061" s="4" t="s">
        <v>5577</v>
      </c>
      <c r="J1061" s="4"/>
      <c r="K1061" s="4"/>
      <c r="L1061" s="4"/>
      <c r="M1061" s="4"/>
      <c r="N1061" s="4"/>
      <c r="O1061" s="4"/>
      <c r="P1061" s="4"/>
      <c r="Q1061" s="4"/>
    </row>
    <row r="1062" spans="1:17" x14ac:dyDescent="0.2">
      <c r="A1062" s="1">
        <f t="shared" ca="1" si="34"/>
        <v>1060</v>
      </c>
      <c r="B1062" s="1" t="s">
        <v>3364</v>
      </c>
      <c r="C1062" s="82" t="s">
        <v>42</v>
      </c>
      <c r="D1062" s="4"/>
      <c r="E1062" s="4"/>
      <c r="F1062" s="4"/>
      <c r="G1062" s="4"/>
      <c r="H1062" s="4"/>
      <c r="I1062" s="4" t="s">
        <v>5578</v>
      </c>
      <c r="J1062" s="4"/>
      <c r="K1062" s="4"/>
      <c r="L1062" s="4"/>
      <c r="M1062" s="4"/>
      <c r="N1062" s="4"/>
      <c r="O1062" s="4"/>
      <c r="P1062" s="4"/>
      <c r="Q1062" s="4"/>
    </row>
    <row r="1063" spans="1:17" x14ac:dyDescent="0.2">
      <c r="A1063" s="1">
        <f t="shared" ca="1" si="34"/>
        <v>1061</v>
      </c>
      <c r="B1063" s="1" t="s">
        <v>3365</v>
      </c>
      <c r="C1063" s="82" t="s">
        <v>8051</v>
      </c>
      <c r="D1063" s="4"/>
      <c r="E1063" s="4"/>
      <c r="F1063" s="4"/>
      <c r="G1063" s="4"/>
      <c r="H1063" s="4"/>
      <c r="I1063" s="4" t="s">
        <v>5579</v>
      </c>
      <c r="J1063" s="4"/>
      <c r="K1063" s="4"/>
      <c r="L1063" s="4"/>
      <c r="M1063" s="4"/>
      <c r="N1063" s="4"/>
      <c r="O1063" s="4"/>
      <c r="P1063" s="4"/>
      <c r="Q1063" s="4"/>
    </row>
    <row r="1064" spans="1:17" x14ac:dyDescent="0.2">
      <c r="A1064" s="1">
        <f t="shared" ca="1" si="34"/>
        <v>1062</v>
      </c>
      <c r="B1064" s="79" t="s">
        <v>929</v>
      </c>
      <c r="D1064" s="4"/>
      <c r="E1064" s="4"/>
      <c r="F1064" s="4"/>
      <c r="G1064" s="4"/>
      <c r="H1064" s="4"/>
      <c r="J1064" s="4"/>
      <c r="K1064" s="4"/>
      <c r="L1064" s="4"/>
      <c r="M1064" s="4"/>
      <c r="N1064" s="4"/>
      <c r="O1064" s="4"/>
      <c r="P1064" s="4"/>
      <c r="Q1064" s="4"/>
    </row>
    <row r="1065" spans="1:17" ht="38.25" x14ac:dyDescent="0.2">
      <c r="A1065" s="1">
        <f t="shared" ca="1" si="34"/>
        <v>1063</v>
      </c>
      <c r="B1065" s="74" t="s">
        <v>930</v>
      </c>
      <c r="C1065" s="91" t="s">
        <v>1239</v>
      </c>
      <c r="D1065" s="4"/>
      <c r="E1065" s="4"/>
      <c r="F1065" s="4"/>
      <c r="G1065" s="4"/>
      <c r="H1065" s="4"/>
      <c r="I1065" s="4" t="s">
        <v>5580</v>
      </c>
      <c r="J1065" s="4"/>
      <c r="K1065" s="4"/>
      <c r="L1065" s="4"/>
      <c r="M1065" s="4"/>
      <c r="N1065" s="4"/>
      <c r="O1065" s="4"/>
      <c r="P1065" s="4"/>
      <c r="Q1065" s="4"/>
    </row>
    <row r="1066" spans="1:17" ht="25.5" x14ac:dyDescent="0.2">
      <c r="A1066" s="1">
        <f t="shared" ca="1" si="34"/>
        <v>1064</v>
      </c>
      <c r="B1066" s="74" t="s">
        <v>931</v>
      </c>
      <c r="C1066" s="91" t="s">
        <v>1240</v>
      </c>
      <c r="D1066" s="4"/>
      <c r="E1066" s="4"/>
      <c r="F1066" s="4"/>
      <c r="G1066" s="4"/>
      <c r="H1066" s="4"/>
      <c r="I1066" s="4" t="s">
        <v>5581</v>
      </c>
      <c r="J1066" s="4"/>
      <c r="K1066" s="4"/>
      <c r="L1066" s="4"/>
      <c r="M1066" s="4"/>
      <c r="N1066" s="4"/>
      <c r="O1066" s="4"/>
      <c r="P1066" s="4"/>
      <c r="Q1066" s="4"/>
    </row>
    <row r="1067" spans="1:17" x14ac:dyDescent="0.2">
      <c r="A1067" s="1">
        <f t="shared" ca="1" si="34"/>
        <v>1065</v>
      </c>
      <c r="B1067" s="74" t="s">
        <v>932</v>
      </c>
      <c r="C1067" s="90" t="s">
        <v>8225</v>
      </c>
      <c r="D1067" s="4"/>
      <c r="E1067" s="4"/>
      <c r="F1067" s="4"/>
      <c r="G1067" s="4"/>
      <c r="H1067" s="4"/>
      <c r="I1067" s="4" t="s">
        <v>5582</v>
      </c>
      <c r="J1067" s="4"/>
      <c r="K1067" s="4"/>
      <c r="L1067" s="4"/>
      <c r="M1067" s="4"/>
      <c r="N1067" s="4"/>
      <c r="O1067" s="4"/>
      <c r="P1067" s="4"/>
      <c r="Q1067" s="4"/>
    </row>
    <row r="1068" spans="1:17" ht="51" x14ac:dyDescent="0.2">
      <c r="A1068" s="1">
        <f t="shared" ca="1" si="34"/>
        <v>1066</v>
      </c>
      <c r="B1068" s="74" t="s">
        <v>1972</v>
      </c>
      <c r="C1068" s="90" t="s">
        <v>6567</v>
      </c>
      <c r="D1068" s="4"/>
      <c r="E1068" s="4"/>
      <c r="F1068" s="4"/>
      <c r="G1068" s="4"/>
      <c r="H1068" s="4"/>
      <c r="I1068" s="4" t="s">
        <v>5583</v>
      </c>
      <c r="J1068" s="4"/>
      <c r="K1068" s="4"/>
      <c r="L1068" s="4"/>
      <c r="M1068" s="4"/>
      <c r="N1068" s="4"/>
      <c r="O1068" s="4"/>
      <c r="P1068" s="4"/>
      <c r="Q1068" s="4"/>
    </row>
    <row r="1069" spans="1:17" x14ac:dyDescent="0.2">
      <c r="A1069" s="1">
        <f t="shared" ca="1" si="34"/>
        <v>1067</v>
      </c>
      <c r="B1069" s="74" t="s">
        <v>1973</v>
      </c>
      <c r="C1069" s="90" t="s">
        <v>8052</v>
      </c>
      <c r="D1069" s="4"/>
      <c r="E1069" s="4"/>
      <c r="F1069" s="4"/>
      <c r="G1069" s="4"/>
      <c r="H1069" s="4"/>
      <c r="I1069" s="4" t="s">
        <v>5584</v>
      </c>
      <c r="J1069" s="4"/>
      <c r="K1069" s="4"/>
      <c r="L1069" s="4"/>
      <c r="M1069" s="4"/>
      <c r="N1069" s="4"/>
      <c r="O1069" s="4"/>
      <c r="P1069" s="4"/>
      <c r="Q1069" s="4"/>
    </row>
    <row r="1070" spans="1:17" x14ac:dyDescent="0.2">
      <c r="A1070" s="1">
        <f t="shared" ca="1" si="34"/>
        <v>1068</v>
      </c>
      <c r="B1070" s="74" t="s">
        <v>1974</v>
      </c>
      <c r="C1070" s="90" t="s">
        <v>8053</v>
      </c>
      <c r="D1070" s="4"/>
      <c r="E1070" s="4"/>
      <c r="F1070" s="4"/>
      <c r="G1070" s="4"/>
      <c r="H1070" s="4"/>
      <c r="I1070" s="4" t="s">
        <v>5585</v>
      </c>
      <c r="J1070" s="4"/>
      <c r="K1070" s="4"/>
      <c r="L1070" s="4"/>
      <c r="M1070" s="4"/>
      <c r="N1070" s="4"/>
      <c r="O1070" s="4"/>
      <c r="P1070" s="4"/>
      <c r="Q1070" s="4"/>
    </row>
    <row r="1071" spans="1:17" ht="89.25" x14ac:dyDescent="0.2">
      <c r="A1071" s="1">
        <f t="shared" ca="1" si="34"/>
        <v>1069</v>
      </c>
      <c r="B1071" s="74" t="s">
        <v>2592</v>
      </c>
      <c r="C1071" s="90" t="s">
        <v>5863</v>
      </c>
      <c r="D1071" s="4"/>
      <c r="E1071" s="4"/>
      <c r="F1071" s="4"/>
      <c r="G1071" s="4"/>
      <c r="H1071" s="4"/>
      <c r="I1071" s="4" t="s">
        <v>5586</v>
      </c>
      <c r="J1071" s="4"/>
      <c r="K1071" s="4"/>
      <c r="L1071" s="4"/>
      <c r="M1071" s="4"/>
      <c r="N1071" s="4"/>
      <c r="O1071" s="4"/>
      <c r="P1071" s="4"/>
      <c r="Q1071" s="4"/>
    </row>
    <row r="1072" spans="1:17" x14ac:dyDescent="0.2">
      <c r="A1072" s="1">
        <f t="shared" ca="1" si="34"/>
        <v>1070</v>
      </c>
      <c r="B1072" s="74" t="s">
        <v>2864</v>
      </c>
      <c r="C1072" s="90" t="s">
        <v>5866</v>
      </c>
      <c r="D1072" s="4"/>
      <c r="E1072" s="4"/>
      <c r="F1072" s="4"/>
      <c r="G1072" s="4"/>
      <c r="H1072" s="4"/>
      <c r="I1072" s="4" t="s">
        <v>5587</v>
      </c>
      <c r="J1072" s="4"/>
      <c r="K1072" s="4"/>
      <c r="L1072" s="4"/>
      <c r="M1072" s="4"/>
      <c r="N1072" s="4"/>
      <c r="O1072" s="4"/>
      <c r="P1072" s="4"/>
      <c r="Q1072" s="4"/>
    </row>
    <row r="1073" spans="1:17" x14ac:dyDescent="0.2">
      <c r="A1073" s="1">
        <f t="shared" ca="1" si="34"/>
        <v>1071</v>
      </c>
      <c r="B1073" s="74" t="s">
        <v>2865</v>
      </c>
      <c r="C1073" s="90" t="s">
        <v>5864</v>
      </c>
      <c r="D1073" s="4"/>
      <c r="E1073" s="4"/>
      <c r="F1073" s="4"/>
      <c r="G1073" s="4"/>
      <c r="H1073" s="4"/>
      <c r="I1073" s="4" t="s">
        <v>5588</v>
      </c>
      <c r="J1073" s="4"/>
      <c r="K1073" s="4"/>
      <c r="L1073" s="4"/>
      <c r="M1073" s="4"/>
      <c r="N1073" s="4"/>
      <c r="O1073" s="4"/>
      <c r="P1073" s="4"/>
      <c r="Q1073" s="4"/>
    </row>
    <row r="1074" spans="1:17" x14ac:dyDescent="0.2">
      <c r="A1074" s="1">
        <f t="shared" ca="1" si="34"/>
        <v>1072</v>
      </c>
      <c r="B1074" s="74" t="s">
        <v>2866</v>
      </c>
      <c r="C1074" s="90" t="s">
        <v>2869</v>
      </c>
      <c r="D1074" s="4"/>
      <c r="E1074" s="4"/>
      <c r="F1074" s="4"/>
      <c r="G1074" s="4"/>
      <c r="H1074" s="4"/>
      <c r="I1074" s="4" t="s">
        <v>5589</v>
      </c>
      <c r="J1074" s="4"/>
      <c r="K1074" s="4"/>
      <c r="L1074" s="4"/>
      <c r="M1074" s="4"/>
      <c r="N1074" s="4"/>
      <c r="O1074" s="4"/>
      <c r="P1074" s="4"/>
      <c r="Q1074" s="4"/>
    </row>
    <row r="1075" spans="1:17" x14ac:dyDescent="0.2">
      <c r="A1075" s="1">
        <f t="shared" ca="1" si="34"/>
        <v>1073</v>
      </c>
      <c r="B1075" s="74" t="s">
        <v>2867</v>
      </c>
      <c r="C1075" s="90" t="s">
        <v>5865</v>
      </c>
      <c r="D1075" s="4"/>
      <c r="E1075" s="4"/>
      <c r="F1075" s="4"/>
      <c r="G1075" s="4"/>
      <c r="H1075" s="4"/>
      <c r="I1075" s="4" t="s">
        <v>5590</v>
      </c>
      <c r="J1075" s="4"/>
      <c r="K1075" s="4"/>
      <c r="L1075" s="4"/>
      <c r="M1075" s="4"/>
      <c r="N1075" s="4"/>
      <c r="O1075" s="4"/>
      <c r="P1075" s="4"/>
      <c r="Q1075" s="4"/>
    </row>
    <row r="1076" spans="1:17" ht="27.75" customHeight="1" x14ac:dyDescent="0.2">
      <c r="A1076" s="1">
        <f t="shared" ca="1" si="34"/>
        <v>1074</v>
      </c>
      <c r="B1076" s="74" t="s">
        <v>2868</v>
      </c>
      <c r="C1076" s="90" t="s">
        <v>4446</v>
      </c>
      <c r="D1076" s="4"/>
      <c r="E1076" s="4"/>
      <c r="F1076" s="4"/>
      <c r="G1076" s="4"/>
      <c r="H1076" s="4"/>
      <c r="I1076" s="4" t="s">
        <v>5591</v>
      </c>
      <c r="J1076" s="4"/>
      <c r="K1076" s="4"/>
      <c r="L1076" s="4"/>
      <c r="M1076" s="4"/>
      <c r="N1076" s="4"/>
      <c r="O1076" s="4"/>
      <c r="P1076" s="4"/>
      <c r="Q1076" s="4"/>
    </row>
    <row r="1077" spans="1:17" x14ac:dyDescent="0.2">
      <c r="A1077" s="1">
        <f t="shared" ca="1" si="34"/>
        <v>1075</v>
      </c>
      <c r="B1077" s="79" t="s">
        <v>1975</v>
      </c>
      <c r="D1077" s="4"/>
      <c r="E1077" s="4"/>
      <c r="F1077" s="4"/>
      <c r="G1077" s="4"/>
      <c r="H1077" s="4"/>
      <c r="J1077" s="4"/>
      <c r="K1077" s="4"/>
      <c r="L1077" s="4"/>
      <c r="M1077" s="4"/>
      <c r="N1077" s="4"/>
      <c r="O1077" s="4"/>
      <c r="P1077" s="4"/>
      <c r="Q1077" s="4"/>
    </row>
    <row r="1078" spans="1:17" ht="25.5" x14ac:dyDescent="0.2">
      <c r="A1078" s="1">
        <f t="shared" ca="1" si="34"/>
        <v>1076</v>
      </c>
      <c r="B1078" s="74" t="s">
        <v>1976</v>
      </c>
      <c r="C1078" s="90" t="s">
        <v>5867</v>
      </c>
      <c r="D1078" s="4"/>
      <c r="E1078" s="4"/>
      <c r="F1078" s="4"/>
      <c r="G1078" s="4"/>
      <c r="H1078" s="4"/>
      <c r="I1078" s="4" t="s">
        <v>5592</v>
      </c>
      <c r="J1078" s="4"/>
      <c r="K1078" s="4"/>
      <c r="L1078" s="4"/>
      <c r="M1078" s="4"/>
      <c r="N1078" s="4"/>
      <c r="O1078" s="4"/>
      <c r="P1078" s="4"/>
      <c r="Q1078" s="4"/>
    </row>
    <row r="1079" spans="1:17" ht="25.5" x14ac:dyDescent="0.2">
      <c r="A1079" s="1">
        <f t="shared" ca="1" si="34"/>
        <v>1077</v>
      </c>
      <c r="B1079" s="74" t="s">
        <v>1977</v>
      </c>
      <c r="C1079" s="90" t="s">
        <v>1241</v>
      </c>
      <c r="D1079" s="4"/>
      <c r="E1079" s="4"/>
      <c r="F1079" s="4"/>
      <c r="G1079" s="4"/>
      <c r="H1079" s="4"/>
      <c r="I1079" s="4" t="s">
        <v>5593</v>
      </c>
      <c r="J1079" s="4"/>
      <c r="K1079" s="4"/>
      <c r="L1079" s="4"/>
      <c r="M1079" s="4"/>
      <c r="N1079" s="4"/>
      <c r="O1079" s="4"/>
      <c r="P1079" s="4"/>
      <c r="Q1079" s="4"/>
    </row>
    <row r="1080" spans="1:17" x14ac:dyDescent="0.2">
      <c r="A1080" s="1">
        <f t="shared" ca="1" si="34"/>
        <v>1078</v>
      </c>
      <c r="B1080" s="74" t="s">
        <v>1978</v>
      </c>
      <c r="C1080" s="90" t="s">
        <v>5502</v>
      </c>
      <c r="D1080" s="4"/>
      <c r="E1080" s="4"/>
      <c r="F1080" s="4"/>
      <c r="G1080" s="4"/>
      <c r="H1080" s="4"/>
      <c r="I1080" s="4" t="s">
        <v>5594</v>
      </c>
      <c r="J1080" s="4"/>
      <c r="K1080" s="4"/>
      <c r="L1080" s="4"/>
      <c r="M1080" s="4"/>
      <c r="N1080" s="4"/>
      <c r="O1080" s="4"/>
      <c r="P1080" s="4"/>
      <c r="Q1080" s="4"/>
    </row>
    <row r="1081" spans="1:17" ht="63.75" x14ac:dyDescent="0.2">
      <c r="A1081" s="1">
        <f t="shared" ca="1" si="34"/>
        <v>1079</v>
      </c>
      <c r="B1081" s="74" t="s">
        <v>1979</v>
      </c>
      <c r="C1081" s="90" t="s">
        <v>4261</v>
      </c>
      <c r="D1081" s="4"/>
      <c r="E1081" s="4"/>
      <c r="F1081" s="4"/>
      <c r="G1081" s="4"/>
      <c r="H1081" s="4"/>
      <c r="I1081" s="4" t="s">
        <v>5595</v>
      </c>
      <c r="J1081" s="4"/>
      <c r="K1081" s="4"/>
      <c r="L1081" s="4"/>
      <c r="M1081" s="4"/>
      <c r="N1081" s="4"/>
      <c r="O1081" s="4"/>
      <c r="P1081" s="4"/>
      <c r="Q1081" s="4"/>
    </row>
    <row r="1082" spans="1:17" ht="89.25" x14ac:dyDescent="0.2">
      <c r="A1082" s="1">
        <f t="shared" ca="1" si="34"/>
        <v>1080</v>
      </c>
      <c r="B1082" s="74" t="s">
        <v>4515</v>
      </c>
      <c r="C1082" s="90" t="s">
        <v>1444</v>
      </c>
      <c r="D1082" s="4"/>
      <c r="E1082" s="4"/>
      <c r="F1082" s="4"/>
      <c r="G1082" s="4"/>
      <c r="H1082" s="4"/>
      <c r="I1082" s="4" t="s">
        <v>5596</v>
      </c>
      <c r="J1082" s="4"/>
      <c r="K1082" s="4"/>
      <c r="L1082" s="4"/>
      <c r="M1082" s="4"/>
      <c r="N1082" s="4"/>
      <c r="O1082" s="4"/>
      <c r="P1082" s="4"/>
      <c r="Q1082" s="4"/>
    </row>
    <row r="1083" spans="1:17" ht="114.75" x14ac:dyDescent="0.2">
      <c r="A1083" s="1">
        <f t="shared" ca="1" si="34"/>
        <v>1081</v>
      </c>
      <c r="B1083" s="74" t="s">
        <v>5499</v>
      </c>
      <c r="C1083" s="90" t="s">
        <v>1970</v>
      </c>
      <c r="D1083" s="4"/>
      <c r="E1083" s="4"/>
      <c r="F1083" s="4"/>
      <c r="G1083" s="4"/>
      <c r="H1083" s="4"/>
      <c r="I1083" s="4" t="s">
        <v>495</v>
      </c>
      <c r="J1083" s="4"/>
      <c r="K1083" s="4"/>
      <c r="L1083" s="4"/>
      <c r="M1083" s="4"/>
      <c r="N1083" s="4"/>
      <c r="O1083" s="4"/>
      <c r="P1083" s="4"/>
      <c r="Q1083" s="4"/>
    </row>
    <row r="1084" spans="1:17" ht="114.75" x14ac:dyDescent="0.2">
      <c r="A1084" s="1">
        <f t="shared" ca="1" si="34"/>
        <v>1082</v>
      </c>
      <c r="B1084" s="74" t="s">
        <v>7566</v>
      </c>
      <c r="C1084" s="90" t="s">
        <v>4019</v>
      </c>
      <c r="D1084" s="4"/>
      <c r="E1084" s="4"/>
      <c r="F1084" s="4"/>
      <c r="G1084" s="4"/>
      <c r="H1084" s="4"/>
      <c r="I1084" s="4" t="s">
        <v>496</v>
      </c>
      <c r="J1084" s="4"/>
      <c r="K1084" s="4"/>
      <c r="L1084" s="4"/>
      <c r="M1084" s="4"/>
      <c r="N1084" s="4"/>
      <c r="O1084" s="4"/>
      <c r="P1084" s="4"/>
      <c r="Q1084" s="4"/>
    </row>
    <row r="1085" spans="1:17" ht="38.25" x14ac:dyDescent="0.2">
      <c r="A1085" s="1">
        <f t="shared" ca="1" si="34"/>
        <v>1083</v>
      </c>
      <c r="B1085" s="74" t="s">
        <v>8294</v>
      </c>
      <c r="C1085" s="90" t="s">
        <v>8278</v>
      </c>
      <c r="D1085" s="4"/>
      <c r="E1085" s="4"/>
      <c r="F1085" s="4"/>
      <c r="G1085" s="4"/>
      <c r="H1085" s="4"/>
      <c r="I1085" s="4" t="s">
        <v>497</v>
      </c>
      <c r="J1085" s="4"/>
      <c r="K1085" s="4"/>
      <c r="L1085" s="4"/>
      <c r="M1085" s="4"/>
      <c r="N1085" s="4"/>
      <c r="O1085" s="4"/>
      <c r="P1085" s="4"/>
      <c r="Q1085" s="4"/>
    </row>
    <row r="1086" spans="1:17" x14ac:dyDescent="0.2">
      <c r="A1086" s="1">
        <f t="shared" ca="1" si="34"/>
        <v>1084</v>
      </c>
      <c r="B1086" s="74" t="s">
        <v>8295</v>
      </c>
      <c r="C1086" s="90" t="s">
        <v>8279</v>
      </c>
      <c r="D1086" s="4"/>
      <c r="E1086" s="4"/>
      <c r="F1086" s="4"/>
      <c r="G1086" s="4"/>
      <c r="H1086" s="4"/>
      <c r="I1086" s="4" t="s">
        <v>498</v>
      </c>
      <c r="J1086" s="4"/>
      <c r="K1086" s="4"/>
      <c r="L1086" s="4"/>
      <c r="M1086" s="4"/>
      <c r="N1086" s="4"/>
      <c r="O1086" s="4"/>
      <c r="P1086" s="4"/>
      <c r="Q1086" s="4"/>
    </row>
    <row r="1087" spans="1:17" ht="25.5" x14ac:dyDescent="0.2">
      <c r="A1087" s="1">
        <f t="shared" ca="1" si="34"/>
        <v>1085</v>
      </c>
      <c r="B1087" s="74" t="s">
        <v>1471</v>
      </c>
      <c r="C1087" s="90" t="s">
        <v>8280</v>
      </c>
      <c r="D1087" s="4"/>
      <c r="E1087" s="4"/>
      <c r="F1087" s="4"/>
      <c r="G1087" s="4"/>
      <c r="H1087" s="4"/>
      <c r="I1087" s="4" t="s">
        <v>499</v>
      </c>
      <c r="J1087" s="4"/>
      <c r="K1087" s="4"/>
      <c r="L1087" s="4"/>
      <c r="M1087" s="4"/>
      <c r="N1087" s="4"/>
      <c r="O1087" s="4"/>
      <c r="P1087" s="4"/>
      <c r="Q1087" s="4"/>
    </row>
    <row r="1088" spans="1:17" ht="25.5" x14ac:dyDescent="0.2">
      <c r="A1088" s="1">
        <f t="shared" ca="1" si="34"/>
        <v>1086</v>
      </c>
      <c r="B1088" s="74" t="s">
        <v>1472</v>
      </c>
      <c r="C1088" s="90" t="s">
        <v>4504</v>
      </c>
      <c r="D1088" s="4"/>
      <c r="E1088" s="4"/>
      <c r="F1088" s="4"/>
      <c r="G1088" s="4"/>
      <c r="H1088" s="4"/>
      <c r="I1088" s="4" t="s">
        <v>500</v>
      </c>
      <c r="J1088" s="4"/>
      <c r="K1088" s="4"/>
      <c r="L1088" s="4"/>
      <c r="M1088" s="4"/>
      <c r="N1088" s="4"/>
      <c r="O1088" s="4"/>
      <c r="P1088" s="4"/>
      <c r="Q1088" s="4"/>
    </row>
    <row r="1089" spans="1:17" ht="25.5" x14ac:dyDescent="0.2">
      <c r="A1089" s="1">
        <f t="shared" ca="1" si="34"/>
        <v>1087</v>
      </c>
      <c r="B1089" s="74" t="s">
        <v>7228</v>
      </c>
      <c r="C1089" s="90" t="s">
        <v>5199</v>
      </c>
      <c r="D1089" s="4"/>
      <c r="E1089" s="4"/>
      <c r="F1089" s="4"/>
      <c r="G1089" s="4"/>
      <c r="H1089" s="4"/>
      <c r="I1089" s="4" t="s">
        <v>501</v>
      </c>
      <c r="J1089" s="4"/>
      <c r="K1089" s="4"/>
      <c r="L1089" s="4"/>
      <c r="M1089" s="4"/>
      <c r="N1089" s="4"/>
      <c r="O1089" s="4"/>
      <c r="P1089" s="4"/>
      <c r="Q1089" s="4"/>
    </row>
    <row r="1090" spans="1:17" ht="25.5" x14ac:dyDescent="0.2">
      <c r="A1090" s="1">
        <f t="shared" ca="1" si="34"/>
        <v>1088</v>
      </c>
      <c r="B1090" s="74" t="s">
        <v>7229</v>
      </c>
      <c r="C1090" s="90" t="s">
        <v>5200</v>
      </c>
      <c r="D1090" s="4"/>
      <c r="E1090" s="4"/>
      <c r="F1090" s="4"/>
      <c r="G1090" s="4"/>
      <c r="H1090" s="4"/>
      <c r="I1090" s="4" t="s">
        <v>502</v>
      </c>
      <c r="J1090" s="4"/>
      <c r="K1090" s="4"/>
      <c r="L1090" s="4"/>
      <c r="M1090" s="4"/>
      <c r="N1090" s="4"/>
      <c r="O1090" s="4"/>
      <c r="P1090" s="4"/>
      <c r="Q1090" s="4"/>
    </row>
    <row r="1091" spans="1:17" ht="38.25" x14ac:dyDescent="0.2">
      <c r="A1091" s="1">
        <f t="shared" ca="1" si="34"/>
        <v>1089</v>
      </c>
      <c r="B1091" s="74" t="s">
        <v>3686</v>
      </c>
      <c r="C1091" s="90" t="s">
        <v>4505</v>
      </c>
      <c r="D1091" s="4"/>
      <c r="E1091" s="4"/>
      <c r="F1091" s="4"/>
      <c r="G1091" s="4"/>
      <c r="H1091" s="4"/>
      <c r="I1091" s="4" t="s">
        <v>503</v>
      </c>
      <c r="J1091" s="4"/>
      <c r="K1091" s="4"/>
      <c r="L1091" s="4"/>
      <c r="M1091" s="4"/>
      <c r="N1091" s="4"/>
      <c r="O1091" s="4"/>
      <c r="P1091" s="4"/>
      <c r="Q1091" s="4"/>
    </row>
    <row r="1092" spans="1:17" ht="38.25" x14ac:dyDescent="0.2">
      <c r="A1092" s="1">
        <f t="shared" ca="1" si="34"/>
        <v>1090</v>
      </c>
      <c r="B1092" s="74" t="s">
        <v>8026</v>
      </c>
      <c r="C1092" s="90" t="s">
        <v>4506</v>
      </c>
      <c r="D1092" s="4"/>
      <c r="E1092" s="4"/>
      <c r="F1092" s="4"/>
      <c r="G1092" s="4"/>
      <c r="H1092" s="4"/>
      <c r="I1092" s="4" t="s">
        <v>504</v>
      </c>
      <c r="J1092" s="4"/>
      <c r="K1092" s="4"/>
      <c r="L1092" s="4"/>
      <c r="M1092" s="4"/>
      <c r="N1092" s="4"/>
      <c r="O1092" s="4"/>
      <c r="P1092" s="4"/>
      <c r="Q1092" s="4"/>
    </row>
    <row r="1093" spans="1:17" ht="153" x14ac:dyDescent="0.2">
      <c r="A1093" s="1">
        <f t="shared" ca="1" si="34"/>
        <v>1091</v>
      </c>
      <c r="B1093" s="74" t="s">
        <v>2884</v>
      </c>
      <c r="C1093" s="90" t="s">
        <v>3158</v>
      </c>
      <c r="D1093" s="4"/>
      <c r="E1093" s="4"/>
      <c r="F1093" s="4"/>
      <c r="G1093" s="4"/>
      <c r="H1093" s="4"/>
      <c r="I1093" s="4" t="s">
        <v>505</v>
      </c>
      <c r="J1093" s="4"/>
      <c r="K1093" s="4"/>
      <c r="L1093" s="4"/>
      <c r="M1093" s="4"/>
      <c r="N1093" s="4"/>
      <c r="O1093" s="4"/>
      <c r="P1093" s="4"/>
      <c r="Q1093" s="4"/>
    </row>
    <row r="1094" spans="1:17" ht="114.75" x14ac:dyDescent="0.2">
      <c r="A1094" s="1">
        <f t="shared" ca="1" si="34"/>
        <v>1092</v>
      </c>
      <c r="B1094" s="74" t="s">
        <v>1968</v>
      </c>
      <c r="C1094" s="90" t="s">
        <v>3159</v>
      </c>
      <c r="D1094" s="4"/>
      <c r="E1094" s="4"/>
      <c r="F1094" s="4"/>
      <c r="G1094" s="4"/>
      <c r="H1094" s="4"/>
      <c r="I1094" s="4" t="s">
        <v>506</v>
      </c>
      <c r="J1094" s="4"/>
      <c r="K1094" s="4"/>
      <c r="L1094" s="4"/>
      <c r="M1094" s="4"/>
      <c r="N1094" s="4"/>
      <c r="O1094" s="4"/>
      <c r="P1094" s="4"/>
      <c r="Q1094" s="4"/>
    </row>
    <row r="1095" spans="1:17" ht="51" x14ac:dyDescent="0.2">
      <c r="A1095" s="1">
        <f t="shared" ca="1" si="34"/>
        <v>1093</v>
      </c>
      <c r="B1095" s="74" t="s">
        <v>3443</v>
      </c>
      <c r="C1095" s="90" t="s">
        <v>6294</v>
      </c>
      <c r="D1095" s="4"/>
      <c r="E1095" s="4"/>
      <c r="F1095" s="4"/>
      <c r="G1095" s="4"/>
      <c r="H1095" s="4"/>
      <c r="I1095" s="4" t="s">
        <v>507</v>
      </c>
      <c r="J1095" s="4"/>
      <c r="K1095" s="4"/>
      <c r="L1095" s="4"/>
      <c r="M1095" s="4"/>
      <c r="N1095" s="4"/>
      <c r="O1095" s="4"/>
      <c r="P1095" s="4"/>
      <c r="Q1095" s="4"/>
    </row>
    <row r="1096" spans="1:17" x14ac:dyDescent="0.2">
      <c r="A1096" s="1">
        <f t="shared" ca="1" si="34"/>
        <v>1094</v>
      </c>
      <c r="B1096" s="74" t="s">
        <v>3444</v>
      </c>
      <c r="C1096" s="90" t="s">
        <v>3198</v>
      </c>
      <c r="D1096" s="4"/>
      <c r="E1096" s="4"/>
      <c r="F1096" s="4"/>
      <c r="G1096" s="4"/>
      <c r="H1096" s="4"/>
      <c r="I1096" s="4" t="s">
        <v>508</v>
      </c>
      <c r="J1096" s="4"/>
      <c r="K1096" s="4"/>
      <c r="L1096" s="4"/>
      <c r="M1096" s="4"/>
      <c r="N1096" s="4"/>
      <c r="O1096" s="4"/>
      <c r="P1096" s="4"/>
      <c r="Q1096" s="4"/>
    </row>
    <row r="1097" spans="1:17" x14ac:dyDescent="0.2">
      <c r="A1097" s="1">
        <f t="shared" ca="1" si="34"/>
        <v>1095</v>
      </c>
      <c r="B1097" s="74" t="s">
        <v>3445</v>
      </c>
      <c r="C1097" s="90" t="s">
        <v>3199</v>
      </c>
      <c r="D1097" s="4"/>
      <c r="E1097" s="4"/>
      <c r="F1097" s="4"/>
      <c r="G1097" s="4"/>
      <c r="H1097" s="4"/>
      <c r="I1097" s="4" t="s">
        <v>509</v>
      </c>
      <c r="J1097" s="4"/>
      <c r="K1097" s="4"/>
      <c r="L1097" s="4"/>
      <c r="M1097" s="4"/>
      <c r="N1097" s="4"/>
      <c r="O1097" s="4"/>
      <c r="P1097" s="4"/>
      <c r="Q1097" s="4"/>
    </row>
    <row r="1098" spans="1:17" x14ac:dyDescent="0.2">
      <c r="A1098" s="1">
        <f t="shared" ca="1" si="34"/>
        <v>1096</v>
      </c>
      <c r="B1098" s="74" t="s">
        <v>3446</v>
      </c>
      <c r="C1098" s="90" t="s">
        <v>3200</v>
      </c>
      <c r="D1098" s="4"/>
      <c r="E1098" s="4"/>
      <c r="F1098" s="4"/>
      <c r="G1098" s="4"/>
      <c r="H1098" s="4"/>
      <c r="I1098" s="4" t="s">
        <v>4465</v>
      </c>
      <c r="J1098" s="4"/>
      <c r="K1098" s="4"/>
      <c r="L1098" s="4"/>
      <c r="M1098" s="4"/>
      <c r="N1098" s="4"/>
      <c r="O1098" s="4"/>
      <c r="P1098" s="4"/>
      <c r="Q1098" s="4"/>
    </row>
    <row r="1099" spans="1:17" x14ac:dyDescent="0.2">
      <c r="A1099" s="1">
        <f t="shared" ca="1" si="34"/>
        <v>1097</v>
      </c>
      <c r="B1099" s="74" t="s">
        <v>3447</v>
      </c>
      <c r="C1099" s="90" t="s">
        <v>3201</v>
      </c>
      <c r="D1099" s="4"/>
      <c r="E1099" s="4"/>
      <c r="F1099" s="4"/>
      <c r="G1099" s="4"/>
      <c r="H1099" s="4"/>
      <c r="I1099" s="4" t="s">
        <v>4466</v>
      </c>
      <c r="J1099" s="4"/>
      <c r="K1099" s="4"/>
      <c r="L1099" s="4"/>
      <c r="M1099" s="4"/>
      <c r="N1099" s="4"/>
      <c r="O1099" s="4"/>
      <c r="P1099" s="4"/>
      <c r="Q1099" s="4"/>
    </row>
    <row r="1100" spans="1:17" ht="102" x14ac:dyDescent="0.2">
      <c r="A1100" s="1">
        <f t="shared" ca="1" si="34"/>
        <v>1098</v>
      </c>
      <c r="B1100" s="74" t="s">
        <v>4214</v>
      </c>
      <c r="C1100" s="90" t="s">
        <v>3736</v>
      </c>
      <c r="D1100" s="4"/>
      <c r="E1100" s="4"/>
      <c r="F1100" s="4"/>
      <c r="G1100" s="4"/>
      <c r="H1100" s="4"/>
      <c r="I1100" s="4" t="s">
        <v>7501</v>
      </c>
      <c r="J1100" s="4"/>
      <c r="K1100" s="4"/>
      <c r="L1100" s="4"/>
      <c r="M1100" s="4"/>
      <c r="N1100" s="4"/>
      <c r="O1100" s="4"/>
      <c r="P1100" s="4"/>
      <c r="Q1100" s="4"/>
    </row>
    <row r="1101" spans="1:17" ht="25.5" x14ac:dyDescent="0.2">
      <c r="A1101" s="1">
        <f t="shared" ca="1" si="34"/>
        <v>1099</v>
      </c>
      <c r="B1101" s="74" t="s">
        <v>4215</v>
      </c>
      <c r="C1101" s="90" t="s">
        <v>6725</v>
      </c>
      <c r="D1101" s="4"/>
      <c r="E1101" s="4"/>
      <c r="F1101" s="4"/>
      <c r="G1101" s="4"/>
      <c r="H1101" s="4"/>
      <c r="I1101" s="4" t="s">
        <v>7502</v>
      </c>
      <c r="J1101" s="4"/>
      <c r="K1101" s="4"/>
      <c r="L1101" s="4"/>
      <c r="M1101" s="4"/>
      <c r="N1101" s="4"/>
      <c r="O1101" s="4"/>
      <c r="P1101" s="4"/>
      <c r="Q1101" s="4"/>
    </row>
    <row r="1102" spans="1:17" ht="38.25" x14ac:dyDescent="0.2">
      <c r="A1102" s="1">
        <f t="shared" ca="1" si="34"/>
        <v>1100</v>
      </c>
      <c r="B1102" s="74" t="s">
        <v>1044</v>
      </c>
      <c r="C1102" s="91" t="s">
        <v>4707</v>
      </c>
      <c r="D1102" s="4"/>
      <c r="E1102" s="4"/>
      <c r="F1102" s="4"/>
      <c r="G1102" s="4"/>
      <c r="H1102" s="4"/>
      <c r="I1102" s="4" t="s">
        <v>7503</v>
      </c>
      <c r="J1102" s="4"/>
      <c r="K1102" s="4"/>
      <c r="L1102" s="4"/>
      <c r="M1102" s="4"/>
      <c r="N1102" s="4"/>
      <c r="O1102" s="4"/>
      <c r="P1102" s="4"/>
      <c r="Q1102" s="4"/>
    </row>
    <row r="1103" spans="1:17" ht="63.75" x14ac:dyDescent="0.2">
      <c r="A1103" s="1">
        <f t="shared" ca="1" si="34"/>
        <v>1101</v>
      </c>
      <c r="B1103" s="74" t="s">
        <v>1045</v>
      </c>
      <c r="C1103" s="90" t="s">
        <v>34</v>
      </c>
      <c r="D1103" s="4"/>
      <c r="E1103" s="4"/>
      <c r="F1103" s="4"/>
      <c r="G1103" s="4"/>
      <c r="H1103" s="4"/>
      <c r="I1103" s="4" t="s">
        <v>7504</v>
      </c>
      <c r="J1103" s="4"/>
      <c r="K1103" s="4"/>
      <c r="L1103" s="4"/>
      <c r="M1103" s="4"/>
      <c r="N1103" s="4"/>
      <c r="O1103" s="4"/>
      <c r="P1103" s="4"/>
      <c r="Q1103" s="4"/>
    </row>
    <row r="1104" spans="1:17" ht="25.5" x14ac:dyDescent="0.2">
      <c r="A1104" s="1">
        <f t="shared" ca="1" si="34"/>
        <v>1102</v>
      </c>
      <c r="B1104" s="74" t="s">
        <v>1046</v>
      </c>
      <c r="C1104" s="90" t="s">
        <v>3202</v>
      </c>
      <c r="D1104" s="4"/>
      <c r="E1104" s="4"/>
      <c r="F1104" s="4"/>
      <c r="G1104" s="4"/>
      <c r="H1104" s="4"/>
      <c r="I1104" s="4" t="s">
        <v>7505</v>
      </c>
      <c r="J1104" s="4"/>
      <c r="K1104" s="4"/>
      <c r="L1104" s="4"/>
      <c r="M1104" s="4"/>
      <c r="N1104" s="4"/>
      <c r="O1104" s="4"/>
      <c r="P1104" s="4"/>
      <c r="Q1104" s="4"/>
    </row>
    <row r="1105" spans="1:17" ht="25.5" x14ac:dyDescent="0.2">
      <c r="A1105" s="1">
        <f t="shared" ca="1" si="34"/>
        <v>1103</v>
      </c>
      <c r="B1105" s="74" t="s">
        <v>1047</v>
      </c>
      <c r="C1105" s="90" t="s">
        <v>35</v>
      </c>
      <c r="D1105" s="4"/>
      <c r="E1105" s="4"/>
      <c r="F1105" s="4"/>
      <c r="G1105" s="4"/>
      <c r="H1105" s="4"/>
      <c r="I1105" s="4" t="s">
        <v>7506</v>
      </c>
      <c r="J1105" s="4"/>
      <c r="K1105" s="4"/>
      <c r="L1105" s="4"/>
      <c r="M1105" s="4"/>
      <c r="N1105" s="4"/>
      <c r="O1105" s="4"/>
      <c r="P1105" s="4"/>
      <c r="Q1105" s="4"/>
    </row>
    <row r="1106" spans="1:17" x14ac:dyDescent="0.2">
      <c r="A1106" s="1">
        <f t="shared" ca="1" si="34"/>
        <v>1104</v>
      </c>
      <c r="B1106" s="74" t="s">
        <v>1048</v>
      </c>
      <c r="C1106" s="90" t="s">
        <v>4399</v>
      </c>
      <c r="D1106" s="4"/>
      <c r="E1106" s="4"/>
      <c r="F1106" s="4"/>
      <c r="G1106" s="4"/>
      <c r="H1106" s="4"/>
      <c r="I1106" s="4" t="s">
        <v>7507</v>
      </c>
      <c r="J1106" s="4"/>
      <c r="K1106" s="4"/>
      <c r="L1106" s="4"/>
      <c r="M1106" s="4"/>
      <c r="N1106" s="4"/>
      <c r="O1106" s="4"/>
      <c r="P1106" s="4"/>
      <c r="Q1106" s="4"/>
    </row>
    <row r="1107" spans="1:17" x14ac:dyDescent="0.2">
      <c r="A1107" s="1">
        <f t="shared" ca="1" si="34"/>
        <v>1105</v>
      </c>
      <c r="B1107" s="74" t="s">
        <v>1049</v>
      </c>
      <c r="C1107" s="90" t="s">
        <v>3203</v>
      </c>
      <c r="D1107" s="4"/>
      <c r="E1107" s="4"/>
      <c r="F1107" s="4"/>
      <c r="G1107" s="4"/>
      <c r="H1107" s="4"/>
      <c r="I1107" s="4" t="s">
        <v>7508</v>
      </c>
      <c r="J1107" s="4"/>
      <c r="K1107" s="4"/>
      <c r="L1107" s="4"/>
      <c r="M1107" s="4"/>
      <c r="N1107" s="4"/>
      <c r="O1107" s="4"/>
      <c r="P1107" s="4"/>
      <c r="Q1107" s="4"/>
    </row>
    <row r="1108" spans="1:17" x14ac:dyDescent="0.2">
      <c r="A1108" s="1">
        <f t="shared" ca="1" si="34"/>
        <v>1106</v>
      </c>
      <c r="B1108" s="74" t="s">
        <v>1050</v>
      </c>
      <c r="C1108" s="90" t="s">
        <v>3204</v>
      </c>
      <c r="D1108" s="4"/>
      <c r="E1108" s="4"/>
      <c r="F1108" s="4"/>
      <c r="G1108" s="4"/>
      <c r="H1108" s="4"/>
      <c r="I1108" s="4" t="s">
        <v>3803</v>
      </c>
      <c r="J1108" s="4"/>
      <c r="K1108" s="4"/>
      <c r="L1108" s="4"/>
      <c r="M1108" s="4"/>
      <c r="N1108" s="4"/>
      <c r="O1108" s="4"/>
      <c r="P1108" s="4"/>
      <c r="Q1108" s="4"/>
    </row>
    <row r="1109" spans="1:17" x14ac:dyDescent="0.2">
      <c r="A1109" s="1">
        <f t="shared" ca="1" si="34"/>
        <v>1107</v>
      </c>
      <c r="B1109" s="74" t="s">
        <v>1051</v>
      </c>
      <c r="C1109" s="90" t="s">
        <v>3205</v>
      </c>
      <c r="D1109" s="4"/>
      <c r="E1109" s="4"/>
      <c r="F1109" s="4"/>
      <c r="G1109" s="4"/>
      <c r="H1109" s="4"/>
      <c r="I1109" s="4" t="s">
        <v>7509</v>
      </c>
      <c r="J1109" s="4"/>
      <c r="K1109" s="4"/>
      <c r="L1109" s="4"/>
      <c r="M1109" s="4"/>
      <c r="N1109" s="4"/>
      <c r="O1109" s="4"/>
      <c r="P1109" s="4"/>
      <c r="Q1109" s="4"/>
    </row>
    <row r="1110" spans="1:17" x14ac:dyDescent="0.2">
      <c r="A1110" s="1">
        <f t="shared" ca="1" si="34"/>
        <v>1108</v>
      </c>
      <c r="B1110" s="74" t="s">
        <v>1052</v>
      </c>
      <c r="C1110" s="90" t="s">
        <v>36</v>
      </c>
      <c r="D1110" s="4"/>
      <c r="E1110" s="4"/>
      <c r="F1110" s="4"/>
      <c r="G1110" s="4"/>
      <c r="H1110" s="4"/>
      <c r="I1110" s="4" t="s">
        <v>7510</v>
      </c>
      <c r="J1110" s="4"/>
      <c r="K1110" s="4"/>
      <c r="L1110" s="4"/>
      <c r="M1110" s="4"/>
      <c r="N1110" s="4"/>
      <c r="O1110" s="4"/>
      <c r="P1110" s="4"/>
      <c r="Q1110" s="4"/>
    </row>
    <row r="1111" spans="1:17" x14ac:dyDescent="0.2">
      <c r="A1111" s="1">
        <f t="shared" ca="1" si="34"/>
        <v>1109</v>
      </c>
      <c r="B1111" s="74" t="s">
        <v>1053</v>
      </c>
      <c r="C1111" s="90" t="s">
        <v>8345</v>
      </c>
      <c r="D1111" s="4"/>
      <c r="E1111" s="4"/>
      <c r="F1111" s="4"/>
      <c r="G1111" s="4"/>
      <c r="H1111" s="4"/>
      <c r="I1111" s="4" t="s">
        <v>7511</v>
      </c>
      <c r="J1111" s="4"/>
      <c r="K1111" s="4"/>
      <c r="L1111" s="4"/>
      <c r="M1111" s="4"/>
      <c r="N1111" s="4"/>
      <c r="O1111" s="4"/>
      <c r="P1111" s="4"/>
      <c r="Q1111" s="4"/>
    </row>
    <row r="1112" spans="1:17" x14ac:dyDescent="0.2">
      <c r="A1112" s="1">
        <f t="shared" ca="1" si="34"/>
        <v>1110</v>
      </c>
      <c r="B1112" s="74" t="s">
        <v>1054</v>
      </c>
      <c r="C1112" s="90" t="s">
        <v>3206</v>
      </c>
      <c r="D1112" s="4"/>
      <c r="E1112" s="4"/>
      <c r="F1112" s="4"/>
      <c r="G1112" s="4"/>
      <c r="H1112" s="4"/>
      <c r="I1112" s="4" t="s">
        <v>7512</v>
      </c>
      <c r="J1112" s="4"/>
      <c r="K1112" s="4"/>
      <c r="L1112" s="4"/>
      <c r="M1112" s="4"/>
      <c r="N1112" s="4"/>
      <c r="O1112" s="4"/>
      <c r="P1112" s="4"/>
      <c r="Q1112" s="4"/>
    </row>
    <row r="1113" spans="1:17" x14ac:dyDescent="0.2">
      <c r="A1113" s="1">
        <f t="shared" ref="A1113:A1184" ca="1" si="35">CELL("row",C1113)-2</f>
        <v>1111</v>
      </c>
      <c r="B1113" s="74" t="s">
        <v>1055</v>
      </c>
      <c r="C1113" s="90" t="s">
        <v>37</v>
      </c>
      <c r="D1113" s="4"/>
      <c r="E1113" s="4"/>
      <c r="F1113" s="4"/>
      <c r="G1113" s="4"/>
      <c r="H1113" s="4"/>
      <c r="I1113" s="4" t="s">
        <v>7513</v>
      </c>
      <c r="J1113" s="4"/>
      <c r="K1113" s="4"/>
      <c r="L1113" s="4"/>
      <c r="M1113" s="4"/>
      <c r="N1113" s="4"/>
      <c r="O1113" s="4"/>
      <c r="P1113" s="4"/>
      <c r="Q1113" s="4"/>
    </row>
    <row r="1114" spans="1:17" x14ac:dyDescent="0.2">
      <c r="A1114" s="1">
        <f t="shared" ca="1" si="35"/>
        <v>1112</v>
      </c>
      <c r="B1114" s="74" t="s">
        <v>1056</v>
      </c>
      <c r="C1114" s="90" t="s">
        <v>3207</v>
      </c>
      <c r="D1114" s="4"/>
      <c r="E1114" s="4"/>
      <c r="F1114" s="4"/>
      <c r="G1114" s="4"/>
      <c r="H1114" s="4"/>
      <c r="I1114" s="4" t="s">
        <v>7514</v>
      </c>
      <c r="J1114" s="4"/>
      <c r="K1114" s="4"/>
      <c r="L1114" s="4"/>
      <c r="M1114" s="4"/>
      <c r="N1114" s="4"/>
      <c r="O1114" s="4"/>
      <c r="P1114" s="4"/>
      <c r="Q1114" s="4"/>
    </row>
    <row r="1115" spans="1:17" x14ac:dyDescent="0.2">
      <c r="A1115" s="1">
        <f t="shared" ca="1" si="35"/>
        <v>1113</v>
      </c>
      <c r="B1115" s="3" t="s">
        <v>1955</v>
      </c>
      <c r="C1115" s="82"/>
      <c r="D1115" s="4"/>
      <c r="E1115" s="4"/>
      <c r="F1115" s="4"/>
      <c r="G1115" s="4"/>
      <c r="H1115" s="4"/>
      <c r="J1115" s="4"/>
      <c r="K1115" s="4"/>
      <c r="L1115" s="4"/>
      <c r="M1115" s="4"/>
      <c r="N1115" s="4"/>
      <c r="O1115" s="4"/>
      <c r="P1115" s="4"/>
      <c r="Q1115" s="4"/>
    </row>
    <row r="1116" spans="1:17" ht="38.25" x14ac:dyDescent="0.2">
      <c r="A1116" s="1">
        <f t="shared" ca="1" si="35"/>
        <v>1114</v>
      </c>
      <c r="B1116" s="5" t="s">
        <v>6676</v>
      </c>
      <c r="C1116" s="82" t="s">
        <v>6528</v>
      </c>
      <c r="D1116" s="4"/>
      <c r="E1116" s="4"/>
      <c r="F1116" s="4"/>
      <c r="G1116" s="4"/>
      <c r="H1116" s="4"/>
      <c r="I1116" s="4" t="s">
        <v>7515</v>
      </c>
      <c r="J1116" s="4"/>
      <c r="K1116" s="4"/>
      <c r="L1116" s="4"/>
      <c r="M1116" s="4"/>
      <c r="N1116" s="4"/>
      <c r="O1116" s="4"/>
      <c r="P1116" s="4"/>
      <c r="Q1116" s="4"/>
    </row>
    <row r="1117" spans="1:17" ht="25.5" x14ac:dyDescent="0.2">
      <c r="A1117" s="1">
        <f t="shared" ca="1" si="35"/>
        <v>1115</v>
      </c>
      <c r="B1117" s="5" t="s">
        <v>2617</v>
      </c>
      <c r="C1117" s="82" t="s">
        <v>6529</v>
      </c>
      <c r="D1117" s="4"/>
      <c r="E1117" s="4"/>
      <c r="F1117" s="4"/>
      <c r="G1117" s="4"/>
      <c r="H1117" s="4"/>
      <c r="I1117" s="4" t="s">
        <v>7516</v>
      </c>
      <c r="J1117" s="4"/>
      <c r="K1117" s="4"/>
      <c r="L1117" s="4"/>
      <c r="M1117" s="4"/>
      <c r="N1117" s="4"/>
      <c r="O1117" s="4"/>
      <c r="P1117" s="4"/>
      <c r="Q1117" s="4"/>
    </row>
    <row r="1118" spans="1:17" x14ac:dyDescent="0.2">
      <c r="A1118" s="1">
        <f t="shared" ca="1" si="35"/>
        <v>1116</v>
      </c>
      <c r="B1118" s="5" t="s">
        <v>2618</v>
      </c>
      <c r="C1118" s="82" t="s">
        <v>3208</v>
      </c>
      <c r="D1118" s="4"/>
      <c r="E1118" s="4"/>
      <c r="F1118" s="4"/>
      <c r="G1118" s="4"/>
      <c r="H1118" s="4"/>
      <c r="I1118" s="4" t="s">
        <v>7517</v>
      </c>
      <c r="J1118" s="4"/>
      <c r="K1118" s="4"/>
      <c r="L1118" s="4"/>
      <c r="M1118" s="4"/>
      <c r="N1118" s="4"/>
      <c r="O1118" s="4"/>
      <c r="P1118" s="4"/>
      <c r="Q1118" s="4"/>
    </row>
    <row r="1119" spans="1:17" ht="25.5" x14ac:dyDescent="0.2">
      <c r="A1119" s="1">
        <f t="shared" ca="1" si="35"/>
        <v>1117</v>
      </c>
      <c r="B1119" s="5" t="s">
        <v>2619</v>
      </c>
      <c r="C1119" s="82" t="s">
        <v>6530</v>
      </c>
      <c r="D1119" s="4"/>
      <c r="E1119" s="4"/>
      <c r="F1119" s="4"/>
      <c r="G1119" s="4"/>
      <c r="H1119" s="4"/>
      <c r="I1119" s="4" t="s">
        <v>7518</v>
      </c>
      <c r="J1119" s="4"/>
      <c r="K1119" s="4"/>
      <c r="L1119" s="4"/>
      <c r="M1119" s="4"/>
      <c r="N1119" s="4"/>
      <c r="O1119" s="4"/>
      <c r="P1119" s="4"/>
      <c r="Q1119" s="4"/>
    </row>
    <row r="1120" spans="1:17" x14ac:dyDescent="0.2">
      <c r="A1120" s="1">
        <f t="shared" ca="1" si="35"/>
        <v>1118</v>
      </c>
      <c r="B1120" s="5" t="s">
        <v>2620</v>
      </c>
      <c r="C1120" s="82" t="s">
        <v>7997</v>
      </c>
      <c r="D1120" s="4"/>
      <c r="E1120" s="4"/>
      <c r="F1120" s="4"/>
      <c r="G1120" s="4"/>
      <c r="H1120" s="4"/>
      <c r="I1120" s="4" t="s">
        <v>7519</v>
      </c>
      <c r="J1120" s="4"/>
      <c r="K1120" s="4"/>
      <c r="L1120" s="4"/>
      <c r="M1120" s="4"/>
      <c r="N1120" s="4"/>
      <c r="O1120" s="4"/>
      <c r="P1120" s="4"/>
      <c r="Q1120" s="4"/>
    </row>
    <row r="1121" spans="1:17" ht="25.5" x14ac:dyDescent="0.2">
      <c r="A1121" s="1">
        <f t="shared" ca="1" si="35"/>
        <v>1119</v>
      </c>
      <c r="B1121" s="5" t="s">
        <v>89</v>
      </c>
      <c r="C1121" s="82" t="s">
        <v>90</v>
      </c>
      <c r="D1121" s="4"/>
      <c r="E1121" s="4"/>
      <c r="F1121" s="4"/>
      <c r="G1121" s="4"/>
      <c r="H1121" s="4"/>
      <c r="J1121" s="4"/>
      <c r="K1121" s="4"/>
      <c r="L1121" s="4"/>
      <c r="M1121" s="4"/>
      <c r="N1121" s="4"/>
      <c r="O1121" s="4"/>
      <c r="P1121" s="4"/>
      <c r="Q1121" s="4"/>
    </row>
    <row r="1122" spans="1:17" x14ac:dyDescent="0.2">
      <c r="A1122" s="1">
        <f t="shared" ca="1" si="35"/>
        <v>1120</v>
      </c>
      <c r="B1122" s="77" t="s">
        <v>8321</v>
      </c>
      <c r="C1122" s="91"/>
      <c r="D1122" s="4"/>
      <c r="E1122" s="4"/>
      <c r="F1122" s="4"/>
      <c r="G1122" s="4"/>
      <c r="H1122" s="4"/>
      <c r="J1122" s="4"/>
      <c r="K1122" s="4"/>
      <c r="L1122" s="4"/>
      <c r="M1122" s="4"/>
      <c r="N1122" s="4"/>
      <c r="O1122" s="4"/>
      <c r="P1122" s="4"/>
      <c r="Q1122" s="4"/>
    </row>
    <row r="1123" spans="1:17" x14ac:dyDescent="0.2">
      <c r="A1123" s="1">
        <f t="shared" ca="1" si="35"/>
        <v>1121</v>
      </c>
      <c r="B1123" s="1" t="s">
        <v>4919</v>
      </c>
      <c r="C1123" s="91" t="s">
        <v>7711</v>
      </c>
      <c r="D1123" s="4"/>
      <c r="E1123" s="4"/>
      <c r="F1123" s="4"/>
      <c r="G1123" s="4"/>
      <c r="H1123" s="4"/>
      <c r="I1123" s="4" t="s">
        <v>7520</v>
      </c>
      <c r="J1123" s="4"/>
      <c r="K1123" s="4"/>
      <c r="L1123" s="4"/>
      <c r="M1123" s="4"/>
      <c r="N1123" s="4"/>
      <c r="O1123" s="4"/>
      <c r="P1123" s="4"/>
      <c r="Q1123" s="4"/>
    </row>
    <row r="1124" spans="1:17" ht="25.5" x14ac:dyDescent="0.2">
      <c r="A1124" s="1">
        <f t="shared" ca="1" si="35"/>
        <v>1122</v>
      </c>
      <c r="B1124" s="1" t="s">
        <v>4920</v>
      </c>
      <c r="C1124" s="91" t="s">
        <v>7712</v>
      </c>
      <c r="D1124" s="4"/>
      <c r="E1124" s="4"/>
      <c r="F1124" s="4"/>
      <c r="G1124" s="4"/>
      <c r="H1124" s="4"/>
      <c r="I1124" s="4" t="s">
        <v>7521</v>
      </c>
      <c r="J1124" s="4"/>
      <c r="K1124" s="4"/>
      <c r="L1124" s="4"/>
      <c r="M1124" s="4"/>
      <c r="N1124" s="4"/>
      <c r="O1124" s="4"/>
      <c r="P1124" s="4"/>
      <c r="Q1124" s="4"/>
    </row>
    <row r="1125" spans="1:17" x14ac:dyDescent="0.2">
      <c r="A1125" s="1">
        <f t="shared" ca="1" si="35"/>
        <v>1123</v>
      </c>
      <c r="B1125" s="76" t="s">
        <v>4921</v>
      </c>
      <c r="C1125" s="91" t="s">
        <v>3209</v>
      </c>
      <c r="D1125" s="4"/>
      <c r="E1125" s="4"/>
      <c r="F1125" s="4"/>
      <c r="G1125" s="4"/>
      <c r="H1125" s="4"/>
      <c r="I1125" s="4" t="s">
        <v>7522</v>
      </c>
      <c r="J1125" s="4"/>
      <c r="K1125" s="4"/>
      <c r="L1125" s="4"/>
      <c r="M1125" s="4"/>
      <c r="N1125" s="4"/>
      <c r="O1125" s="4"/>
      <c r="P1125" s="4"/>
      <c r="Q1125" s="4"/>
    </row>
    <row r="1126" spans="1:17" x14ac:dyDescent="0.2">
      <c r="A1126" s="1">
        <f t="shared" ca="1" si="35"/>
        <v>1124</v>
      </c>
      <c r="B1126" s="76" t="s">
        <v>4922</v>
      </c>
      <c r="C1126" s="91" t="s">
        <v>4922</v>
      </c>
      <c r="D1126" s="4"/>
      <c r="E1126" s="4"/>
      <c r="F1126" s="4"/>
      <c r="G1126" s="4"/>
      <c r="H1126" s="4"/>
      <c r="I1126" s="4" t="s">
        <v>6841</v>
      </c>
      <c r="J1126" s="4"/>
      <c r="K1126" s="4"/>
      <c r="L1126" s="4"/>
      <c r="M1126" s="4"/>
      <c r="N1126" s="4"/>
      <c r="O1126" s="4"/>
      <c r="P1126" s="4"/>
      <c r="Q1126" s="4"/>
    </row>
    <row r="1127" spans="1:17" x14ac:dyDescent="0.2">
      <c r="A1127" s="1">
        <f t="shared" ref="A1127" ca="1" si="36">CELL("row",C1127)-2</f>
        <v>1125</v>
      </c>
      <c r="B1127" s="76" t="s">
        <v>8993</v>
      </c>
      <c r="C1127" s="154" t="s">
        <v>8994</v>
      </c>
      <c r="D1127" s="4"/>
      <c r="E1127" s="4"/>
      <c r="F1127" s="4"/>
      <c r="G1127" s="4"/>
      <c r="H1127" s="4"/>
      <c r="I1127" s="4" t="s">
        <v>8995</v>
      </c>
      <c r="J1127" s="4"/>
      <c r="K1127" s="4"/>
      <c r="L1127" s="4"/>
      <c r="M1127" s="4"/>
      <c r="N1127" s="4"/>
      <c r="O1127" s="4"/>
      <c r="P1127" s="4"/>
      <c r="Q1127" s="4"/>
    </row>
    <row r="1128" spans="1:17" x14ac:dyDescent="0.2">
      <c r="A1128" s="1">
        <f t="shared" ref="A1128" ca="1" si="37">CELL("row",C1128)-2</f>
        <v>1126</v>
      </c>
      <c r="B1128" s="76" t="s">
        <v>8997</v>
      </c>
      <c r="C1128" s="154" t="s">
        <v>8998</v>
      </c>
      <c r="D1128" s="4"/>
      <c r="E1128" s="4"/>
      <c r="F1128" s="4"/>
      <c r="G1128" s="4"/>
      <c r="H1128" s="4"/>
      <c r="I1128" s="4" t="s">
        <v>8999</v>
      </c>
      <c r="J1128" s="4"/>
      <c r="K1128" s="4"/>
      <c r="L1128" s="4"/>
      <c r="M1128" s="4"/>
      <c r="N1128" s="4"/>
      <c r="O1128" s="4"/>
      <c r="P1128" s="4"/>
      <c r="Q1128" s="4"/>
    </row>
    <row r="1129" spans="1:17" x14ac:dyDescent="0.2">
      <c r="A1129" s="1">
        <f t="shared" ca="1" si="35"/>
        <v>1127</v>
      </c>
      <c r="B1129" s="76" t="s">
        <v>8914</v>
      </c>
      <c r="C1129" s="154" t="s">
        <v>8915</v>
      </c>
      <c r="D1129" s="4"/>
      <c r="E1129" s="4"/>
      <c r="F1129" s="4"/>
      <c r="G1129" s="4"/>
      <c r="H1129" s="4"/>
      <c r="I1129" s="4" t="s">
        <v>8996</v>
      </c>
      <c r="J1129" s="4"/>
      <c r="K1129" s="4"/>
      <c r="L1129" s="4"/>
      <c r="M1129" s="4"/>
      <c r="N1129" s="4"/>
      <c r="O1129" s="4"/>
      <c r="P1129" s="4"/>
      <c r="Q1129" s="4"/>
    </row>
    <row r="1130" spans="1:17" x14ac:dyDescent="0.2">
      <c r="A1130" s="1">
        <f t="shared" ca="1" si="35"/>
        <v>1128</v>
      </c>
      <c r="B1130" s="76" t="s">
        <v>2483</v>
      </c>
      <c r="C1130" s="91" t="s">
        <v>8275</v>
      </c>
      <c r="D1130" s="4"/>
      <c r="E1130" s="4"/>
      <c r="F1130" s="4"/>
      <c r="G1130" s="4"/>
      <c r="H1130" s="4"/>
      <c r="I1130" s="4" t="s">
        <v>6842</v>
      </c>
      <c r="J1130" s="4"/>
      <c r="K1130" s="4"/>
      <c r="L1130" s="4"/>
      <c r="M1130" s="4"/>
      <c r="N1130" s="4"/>
      <c r="O1130" s="4"/>
      <c r="P1130" s="4"/>
      <c r="Q1130" s="4"/>
    </row>
    <row r="1131" spans="1:17" ht="25.5" x14ac:dyDescent="0.2">
      <c r="A1131" s="1">
        <f t="shared" ca="1" si="35"/>
        <v>1129</v>
      </c>
      <c r="B1131" s="76" t="s">
        <v>2484</v>
      </c>
      <c r="C1131" s="91" t="s">
        <v>3210</v>
      </c>
      <c r="D1131" s="4"/>
      <c r="E1131" s="4"/>
      <c r="F1131" s="4"/>
      <c r="G1131" s="4"/>
      <c r="H1131" s="4"/>
      <c r="I1131" s="4" t="s">
        <v>6843</v>
      </c>
      <c r="J1131" s="4"/>
      <c r="K1131" s="4"/>
      <c r="L1131" s="4"/>
      <c r="M1131" s="4"/>
      <c r="N1131" s="4"/>
      <c r="O1131" s="4"/>
      <c r="P1131" s="4"/>
      <c r="Q1131" s="4"/>
    </row>
    <row r="1132" spans="1:17" ht="15.75" x14ac:dyDescent="0.2">
      <c r="A1132" s="1">
        <f t="shared" ca="1" si="35"/>
        <v>1130</v>
      </c>
      <c r="B1132" s="74" t="s">
        <v>3435</v>
      </c>
      <c r="C1132" s="91" t="s">
        <v>8223</v>
      </c>
      <c r="D1132" s="4"/>
      <c r="E1132" s="4"/>
      <c r="F1132" s="4"/>
      <c r="G1132" s="4"/>
      <c r="H1132" s="4"/>
      <c r="I1132" s="4" t="s">
        <v>6844</v>
      </c>
      <c r="J1132" s="4"/>
      <c r="K1132" s="4"/>
      <c r="L1132" s="4"/>
      <c r="M1132" s="4"/>
      <c r="N1132" s="4"/>
      <c r="O1132" s="4"/>
      <c r="P1132" s="4"/>
      <c r="Q1132" s="4"/>
    </row>
    <row r="1133" spans="1:17" ht="28.5" x14ac:dyDescent="0.2">
      <c r="A1133" s="1">
        <f t="shared" ca="1" si="35"/>
        <v>1131</v>
      </c>
      <c r="B1133" s="76" t="s">
        <v>3436</v>
      </c>
      <c r="C1133" s="91" t="s">
        <v>8273</v>
      </c>
      <c r="D1133" s="4"/>
      <c r="E1133" s="4"/>
      <c r="F1133" s="4"/>
      <c r="G1133" s="4"/>
      <c r="H1133" s="4"/>
      <c r="I1133" s="4" t="s">
        <v>6845</v>
      </c>
      <c r="J1133" s="4"/>
      <c r="K1133" s="4"/>
      <c r="L1133" s="4"/>
      <c r="M1133" s="4"/>
      <c r="N1133" s="4"/>
      <c r="O1133" s="4"/>
      <c r="P1133" s="4"/>
      <c r="Q1133" s="4"/>
    </row>
    <row r="1134" spans="1:17" x14ac:dyDescent="0.2">
      <c r="A1134" s="1">
        <f t="shared" ca="1" si="35"/>
        <v>1132</v>
      </c>
      <c r="B1134" s="76" t="s">
        <v>2485</v>
      </c>
      <c r="C1134" s="91" t="s">
        <v>3211</v>
      </c>
      <c r="D1134" s="4"/>
      <c r="E1134" s="4"/>
      <c r="F1134" s="4"/>
      <c r="G1134" s="4"/>
      <c r="H1134" s="4"/>
      <c r="I1134" s="4" t="s">
        <v>6846</v>
      </c>
      <c r="J1134" s="4"/>
      <c r="K1134" s="4"/>
      <c r="L1134" s="4"/>
      <c r="M1134" s="4"/>
      <c r="N1134" s="4"/>
      <c r="O1134" s="4"/>
      <c r="P1134" s="4"/>
      <c r="Q1134" s="4"/>
    </row>
    <row r="1135" spans="1:17" x14ac:dyDescent="0.2">
      <c r="A1135" s="1">
        <f t="shared" ca="1" si="35"/>
        <v>1133</v>
      </c>
      <c r="B1135" s="76" t="s">
        <v>8929</v>
      </c>
      <c r="C1135" s="91" t="s">
        <v>3212</v>
      </c>
      <c r="D1135" s="4"/>
      <c r="E1135" s="4"/>
      <c r="F1135" s="4"/>
      <c r="G1135" s="4"/>
      <c r="H1135" s="4"/>
      <c r="I1135" s="4" t="s">
        <v>6847</v>
      </c>
      <c r="J1135" s="4"/>
      <c r="K1135" s="4"/>
      <c r="L1135" s="4"/>
      <c r="M1135" s="4"/>
      <c r="N1135" s="4"/>
      <c r="O1135" s="4"/>
      <c r="P1135" s="4"/>
      <c r="Q1135" s="4"/>
    </row>
    <row r="1136" spans="1:17" ht="28.5" x14ac:dyDescent="0.2">
      <c r="A1136" s="1">
        <f t="shared" ca="1" si="35"/>
        <v>1134</v>
      </c>
      <c r="B1136" s="76" t="s">
        <v>5046</v>
      </c>
      <c r="C1136" s="91" t="s">
        <v>3213</v>
      </c>
      <c r="D1136" s="4"/>
      <c r="E1136" s="4"/>
      <c r="F1136" s="4"/>
      <c r="G1136" s="4"/>
      <c r="H1136" s="4"/>
      <c r="I1136" s="4" t="s">
        <v>6848</v>
      </c>
      <c r="J1136" s="4"/>
      <c r="K1136" s="4"/>
      <c r="L1136" s="4"/>
      <c r="M1136" s="4"/>
      <c r="N1136" s="4"/>
      <c r="O1136" s="4"/>
      <c r="P1136" s="4"/>
      <c r="Q1136" s="4"/>
    </row>
    <row r="1137" spans="1:17" x14ac:dyDescent="0.2">
      <c r="A1137" s="1">
        <f t="shared" ca="1" si="35"/>
        <v>1135</v>
      </c>
      <c r="B1137" s="76" t="s">
        <v>1369</v>
      </c>
      <c r="C1137" s="91" t="s">
        <v>3214</v>
      </c>
      <c r="D1137" s="4"/>
      <c r="E1137" s="4"/>
      <c r="F1137" s="4"/>
      <c r="G1137" s="4"/>
      <c r="H1137" s="4"/>
      <c r="I1137" s="4" t="s">
        <v>6849</v>
      </c>
      <c r="J1137" s="4"/>
      <c r="K1137" s="4"/>
      <c r="L1137" s="4"/>
      <c r="M1137" s="4"/>
      <c r="N1137" s="4"/>
      <c r="O1137" s="4"/>
      <c r="P1137" s="4"/>
      <c r="Q1137" s="4"/>
    </row>
    <row r="1138" spans="1:17" ht="25.5" x14ac:dyDescent="0.2">
      <c r="A1138" s="1">
        <f t="shared" ca="1" si="35"/>
        <v>1136</v>
      </c>
      <c r="B1138" s="76" t="s">
        <v>1370</v>
      </c>
      <c r="C1138" s="91" t="s">
        <v>7445</v>
      </c>
      <c r="D1138" s="4"/>
      <c r="E1138" s="4"/>
      <c r="F1138" s="4"/>
      <c r="G1138" s="4"/>
      <c r="H1138" s="4"/>
      <c r="I1138" s="4" t="s">
        <v>6850</v>
      </c>
      <c r="J1138" s="4"/>
      <c r="K1138" s="4"/>
      <c r="L1138" s="4"/>
      <c r="M1138" s="4"/>
      <c r="N1138" s="4"/>
      <c r="O1138" s="4"/>
      <c r="P1138" s="4"/>
      <c r="Q1138" s="4"/>
    </row>
    <row r="1139" spans="1:17" ht="25.5" x14ac:dyDescent="0.2">
      <c r="A1139" s="1">
        <f t="shared" ca="1" si="35"/>
        <v>1137</v>
      </c>
      <c r="B1139" s="76" t="s">
        <v>1371</v>
      </c>
      <c r="C1139" s="91" t="s">
        <v>3215</v>
      </c>
      <c r="D1139" s="4"/>
      <c r="E1139" s="4"/>
      <c r="F1139" s="4"/>
      <c r="G1139" s="4"/>
      <c r="H1139" s="4"/>
      <c r="I1139" s="4" t="s">
        <v>6851</v>
      </c>
      <c r="J1139" s="4"/>
      <c r="K1139" s="4"/>
      <c r="L1139" s="4"/>
      <c r="M1139" s="4"/>
      <c r="N1139" s="4"/>
      <c r="O1139" s="4"/>
      <c r="P1139" s="4"/>
      <c r="Q1139" s="4"/>
    </row>
    <row r="1140" spans="1:17" ht="25.5" x14ac:dyDescent="0.2">
      <c r="A1140" s="1">
        <f t="shared" ca="1" si="35"/>
        <v>1138</v>
      </c>
      <c r="B1140" s="74" t="s">
        <v>1372</v>
      </c>
      <c r="C1140" s="91" t="s">
        <v>8226</v>
      </c>
      <c r="D1140" s="4"/>
      <c r="E1140" s="4"/>
      <c r="F1140" s="4"/>
      <c r="G1140" s="4"/>
      <c r="H1140" s="4"/>
      <c r="I1140" s="4" t="s">
        <v>6852</v>
      </c>
      <c r="J1140" s="4"/>
      <c r="K1140" s="4"/>
      <c r="L1140" s="4"/>
      <c r="M1140" s="4"/>
      <c r="N1140" s="4"/>
      <c r="O1140" s="4"/>
      <c r="P1140" s="4"/>
      <c r="Q1140" s="4"/>
    </row>
    <row r="1141" spans="1:17" x14ac:dyDescent="0.2">
      <c r="A1141" s="1">
        <f t="shared" ca="1" si="35"/>
        <v>1139</v>
      </c>
      <c r="B1141" s="76" t="s">
        <v>4281</v>
      </c>
      <c r="C1141" s="91" t="s">
        <v>4282</v>
      </c>
      <c r="D1141" s="4"/>
      <c r="E1141" s="4"/>
      <c r="F1141" s="4"/>
      <c r="G1141" s="4"/>
      <c r="H1141" s="4"/>
      <c r="I1141" s="4" t="s">
        <v>6853</v>
      </c>
      <c r="J1141" s="4"/>
      <c r="K1141" s="4"/>
      <c r="L1141" s="4"/>
      <c r="M1141" s="4"/>
      <c r="N1141" s="4"/>
      <c r="O1141" s="4"/>
      <c r="P1141" s="4"/>
      <c r="Q1141" s="4"/>
    </row>
    <row r="1142" spans="1:17" ht="28.5" x14ac:dyDescent="0.2">
      <c r="A1142" s="1">
        <f t="shared" ca="1" si="35"/>
        <v>1140</v>
      </c>
      <c r="B1142" s="76" t="s">
        <v>5047</v>
      </c>
      <c r="C1142" s="91" t="s">
        <v>3216</v>
      </c>
      <c r="D1142" s="4"/>
      <c r="E1142" s="4"/>
      <c r="F1142" s="4"/>
      <c r="G1142" s="4"/>
      <c r="H1142" s="4"/>
      <c r="I1142" s="4" t="s">
        <v>6854</v>
      </c>
      <c r="J1142" s="4"/>
      <c r="K1142" s="4"/>
      <c r="L1142" s="4"/>
      <c r="M1142" s="4"/>
      <c r="N1142" s="4"/>
      <c r="O1142" s="4"/>
      <c r="P1142" s="4"/>
      <c r="Q1142" s="4"/>
    </row>
    <row r="1143" spans="1:17" x14ac:dyDescent="0.2">
      <c r="A1143" s="1">
        <f t="shared" ca="1" si="35"/>
        <v>1141</v>
      </c>
      <c r="B1143" s="76" t="s">
        <v>1373</v>
      </c>
      <c r="C1143" s="91" t="s">
        <v>3217</v>
      </c>
      <c r="D1143" s="4"/>
      <c r="E1143" s="4"/>
      <c r="F1143" s="4"/>
      <c r="G1143" s="4"/>
      <c r="H1143" s="4"/>
      <c r="I1143" s="4" t="s">
        <v>6855</v>
      </c>
      <c r="J1143" s="4"/>
      <c r="K1143" s="4"/>
      <c r="L1143" s="4"/>
      <c r="M1143" s="4"/>
      <c r="N1143" s="4"/>
      <c r="O1143" s="4"/>
      <c r="P1143" s="4"/>
      <c r="Q1143" s="4"/>
    </row>
    <row r="1144" spans="1:17" x14ac:dyDescent="0.2">
      <c r="A1144" s="1">
        <f t="shared" ref="A1144" ca="1" si="38">CELL("row",C1144)-2</f>
        <v>1142</v>
      </c>
      <c r="B1144" s="76" t="s">
        <v>9019</v>
      </c>
      <c r="C1144" s="154" t="s">
        <v>9037</v>
      </c>
      <c r="D1144" s="4"/>
      <c r="E1144" s="4"/>
      <c r="F1144" s="4"/>
      <c r="G1144" s="4"/>
      <c r="H1144" s="4"/>
      <c r="J1144" s="4"/>
      <c r="K1144" s="4"/>
      <c r="L1144" s="4"/>
      <c r="M1144" s="4"/>
      <c r="N1144" s="4"/>
      <c r="O1144" s="4"/>
      <c r="P1144" s="4"/>
      <c r="Q1144" s="4"/>
    </row>
    <row r="1145" spans="1:17" ht="25.5" x14ac:dyDescent="0.2">
      <c r="A1145" s="1">
        <f t="shared" ca="1" si="35"/>
        <v>1143</v>
      </c>
      <c r="B1145" s="76" t="s">
        <v>5477</v>
      </c>
      <c r="C1145" s="91" t="s">
        <v>3218</v>
      </c>
      <c r="D1145" s="4"/>
      <c r="E1145" s="4"/>
      <c r="F1145" s="4"/>
      <c r="G1145" s="4"/>
      <c r="H1145" s="4"/>
      <c r="I1145" s="4" t="s">
        <v>6856</v>
      </c>
      <c r="J1145" s="4"/>
      <c r="K1145" s="4"/>
      <c r="L1145" s="4"/>
      <c r="M1145" s="4"/>
      <c r="N1145" s="4"/>
      <c r="O1145" s="4"/>
      <c r="P1145" s="4"/>
      <c r="Q1145" s="4"/>
    </row>
    <row r="1146" spans="1:17" x14ac:dyDescent="0.2">
      <c r="A1146" s="1">
        <f t="shared" ca="1" si="35"/>
        <v>1144</v>
      </c>
      <c r="B1146" s="76" t="s">
        <v>5573</v>
      </c>
      <c r="C1146" s="91" t="s">
        <v>3219</v>
      </c>
      <c r="D1146" s="4"/>
      <c r="E1146" s="4"/>
      <c r="F1146" s="4"/>
      <c r="G1146" s="4"/>
      <c r="H1146" s="4"/>
      <c r="I1146" s="4" t="s">
        <v>6857</v>
      </c>
      <c r="J1146" s="4"/>
      <c r="K1146" s="4"/>
      <c r="L1146" s="4"/>
      <c r="M1146" s="4"/>
      <c r="N1146" s="4"/>
      <c r="O1146" s="4"/>
      <c r="P1146" s="4"/>
      <c r="Q1146" s="4"/>
    </row>
    <row r="1147" spans="1:17" x14ac:dyDescent="0.2">
      <c r="A1147" s="1">
        <f t="shared" ca="1" si="35"/>
        <v>1145</v>
      </c>
      <c r="B1147" s="76" t="s">
        <v>6491</v>
      </c>
      <c r="C1147" s="91" t="s">
        <v>3220</v>
      </c>
      <c r="D1147" s="4"/>
      <c r="E1147" s="4"/>
      <c r="F1147" s="4"/>
      <c r="G1147" s="4"/>
      <c r="H1147" s="4"/>
      <c r="I1147" s="4" t="s">
        <v>6858</v>
      </c>
      <c r="J1147" s="4"/>
      <c r="K1147" s="4"/>
      <c r="L1147" s="4"/>
      <c r="M1147" s="4"/>
      <c r="N1147" s="4"/>
      <c r="O1147" s="4"/>
      <c r="P1147" s="4"/>
      <c r="Q1147" s="4"/>
    </row>
    <row r="1148" spans="1:17" x14ac:dyDescent="0.2">
      <c r="A1148" s="1">
        <f t="shared" ref="A1148" ca="1" si="39">CELL("row",C1148)-2</f>
        <v>1146</v>
      </c>
      <c r="B1148" s="76" t="s">
        <v>2605</v>
      </c>
      <c r="C1148" s="154" t="s">
        <v>7998</v>
      </c>
      <c r="D1148" s="4"/>
      <c r="E1148" s="4"/>
      <c r="F1148" s="4"/>
      <c r="G1148" s="4"/>
      <c r="H1148" s="4"/>
      <c r="I1148" s="4" t="s">
        <v>8956</v>
      </c>
      <c r="J1148" s="4"/>
      <c r="K1148" s="4"/>
      <c r="L1148" s="4"/>
      <c r="M1148" s="4"/>
      <c r="N1148" s="4"/>
      <c r="O1148" s="4"/>
      <c r="P1148" s="4"/>
      <c r="Q1148" s="4"/>
    </row>
    <row r="1149" spans="1:17" x14ac:dyDescent="0.2">
      <c r="A1149" s="1">
        <f t="shared" ca="1" si="35"/>
        <v>1147</v>
      </c>
      <c r="B1149" s="76" t="s">
        <v>6492</v>
      </c>
      <c r="C1149" s="91" t="s">
        <v>4874</v>
      </c>
      <c r="D1149" s="4"/>
      <c r="E1149" s="4"/>
      <c r="F1149" s="4"/>
      <c r="G1149" s="4"/>
      <c r="H1149" s="4"/>
      <c r="I1149" s="4" t="s">
        <v>6859</v>
      </c>
      <c r="J1149" s="4"/>
      <c r="K1149" s="4"/>
      <c r="L1149" s="4"/>
      <c r="M1149" s="4"/>
      <c r="N1149" s="4"/>
      <c r="O1149" s="4"/>
      <c r="P1149" s="4"/>
      <c r="Q1149" s="4"/>
    </row>
    <row r="1150" spans="1:17" ht="25.5" x14ac:dyDescent="0.2">
      <c r="A1150" s="1">
        <f t="shared" ca="1" si="35"/>
        <v>1148</v>
      </c>
      <c r="B1150" s="76" t="s">
        <v>3911</v>
      </c>
      <c r="C1150" s="91" t="s">
        <v>1590</v>
      </c>
      <c r="D1150" s="4"/>
      <c r="E1150" s="4"/>
      <c r="F1150" s="4"/>
      <c r="G1150" s="4"/>
      <c r="H1150" s="4"/>
      <c r="I1150" s="4" t="s">
        <v>6860</v>
      </c>
      <c r="J1150" s="4"/>
      <c r="K1150" s="4"/>
      <c r="L1150" s="4"/>
      <c r="M1150" s="4"/>
      <c r="N1150" s="4"/>
      <c r="O1150" s="4"/>
      <c r="P1150" s="4"/>
      <c r="Q1150" s="4"/>
    </row>
    <row r="1151" spans="1:17" x14ac:dyDescent="0.2">
      <c r="A1151" s="1">
        <f t="shared" ca="1" si="35"/>
        <v>1149</v>
      </c>
      <c r="B1151" s="76" t="s">
        <v>4921</v>
      </c>
      <c r="C1151" s="91" t="s">
        <v>3209</v>
      </c>
      <c r="D1151" s="4"/>
      <c r="E1151" s="4"/>
      <c r="F1151" s="4"/>
      <c r="G1151" s="4"/>
      <c r="H1151" s="4"/>
      <c r="I1151" s="4" t="s">
        <v>6861</v>
      </c>
      <c r="J1151" s="4"/>
      <c r="K1151" s="4"/>
      <c r="L1151" s="4"/>
      <c r="M1151" s="4"/>
      <c r="N1151" s="4"/>
      <c r="O1151" s="4"/>
      <c r="P1151" s="4"/>
      <c r="Q1151" s="4"/>
    </row>
    <row r="1152" spans="1:17" x14ac:dyDescent="0.2">
      <c r="A1152" s="1">
        <f t="shared" ref="A1152" ca="1" si="40">CELL("row",C1152)-2</f>
        <v>1150</v>
      </c>
      <c r="B1152" s="76" t="s">
        <v>1938</v>
      </c>
      <c r="C1152" s="154" t="s">
        <v>3221</v>
      </c>
      <c r="D1152" s="4"/>
      <c r="E1152" s="4"/>
      <c r="F1152" s="4"/>
      <c r="G1152" s="4"/>
      <c r="H1152" s="4"/>
      <c r="I1152" s="4" t="s">
        <v>9025</v>
      </c>
      <c r="J1152" s="4"/>
      <c r="K1152" s="4"/>
      <c r="L1152" s="4"/>
      <c r="M1152" s="4"/>
      <c r="N1152" s="4"/>
      <c r="O1152" s="4"/>
      <c r="P1152" s="4"/>
      <c r="Q1152" s="4"/>
    </row>
    <row r="1153" spans="1:17" x14ac:dyDescent="0.2">
      <c r="A1153" s="1">
        <f t="shared" ca="1" si="35"/>
        <v>1151</v>
      </c>
      <c r="B1153" s="76" t="s">
        <v>8948</v>
      </c>
      <c r="C1153" s="154" t="s">
        <v>8949</v>
      </c>
      <c r="D1153" s="4"/>
      <c r="E1153" s="4"/>
      <c r="F1153" s="4"/>
      <c r="G1153" s="4"/>
      <c r="H1153" s="4"/>
      <c r="I1153" s="4" t="s">
        <v>8950</v>
      </c>
      <c r="J1153" s="4"/>
      <c r="K1153" s="4"/>
      <c r="L1153" s="4"/>
      <c r="M1153" s="4"/>
      <c r="N1153" s="4"/>
      <c r="O1153" s="4"/>
      <c r="P1153" s="4"/>
      <c r="Q1153" s="4"/>
    </row>
    <row r="1154" spans="1:17" x14ac:dyDescent="0.2">
      <c r="A1154" s="1">
        <f t="shared" ca="1" si="35"/>
        <v>1152</v>
      </c>
      <c r="B1154" s="76" t="s">
        <v>1939</v>
      </c>
      <c r="C1154" s="91" t="s">
        <v>3222</v>
      </c>
      <c r="D1154" s="4"/>
      <c r="E1154" s="4"/>
      <c r="F1154" s="4"/>
      <c r="G1154" s="4"/>
      <c r="H1154" s="4"/>
      <c r="I1154" s="4" t="s">
        <v>6862</v>
      </c>
      <c r="J1154" s="4"/>
      <c r="K1154" s="4"/>
      <c r="L1154" s="4"/>
      <c r="M1154" s="4"/>
      <c r="N1154" s="4"/>
      <c r="O1154" s="4"/>
      <c r="P1154" s="4"/>
      <c r="Q1154" s="4"/>
    </row>
    <row r="1155" spans="1:17" x14ac:dyDescent="0.2">
      <c r="A1155" s="1">
        <f t="shared" ca="1" si="35"/>
        <v>1153</v>
      </c>
      <c r="B1155" s="76" t="s">
        <v>1942</v>
      </c>
      <c r="C1155" s="91" t="s">
        <v>3223</v>
      </c>
      <c r="D1155" s="4"/>
      <c r="E1155" s="4"/>
      <c r="F1155" s="4"/>
      <c r="G1155" s="4"/>
      <c r="H1155" s="4"/>
      <c r="I1155" s="4" t="s">
        <v>5386</v>
      </c>
      <c r="J1155" s="4"/>
      <c r="K1155" s="4"/>
      <c r="L1155" s="4"/>
      <c r="M1155" s="4"/>
      <c r="N1155" s="4"/>
      <c r="O1155" s="4"/>
      <c r="P1155" s="4"/>
      <c r="Q1155" s="4"/>
    </row>
    <row r="1156" spans="1:17" x14ac:dyDescent="0.2">
      <c r="A1156" s="1">
        <f t="shared" ref="A1156" ca="1" si="41">CELL("row",C1156)-2</f>
        <v>1154</v>
      </c>
      <c r="B1156" s="76" t="s">
        <v>1943</v>
      </c>
      <c r="C1156" s="154" t="s">
        <v>3224</v>
      </c>
      <c r="D1156" s="4"/>
      <c r="E1156" s="4"/>
      <c r="F1156" s="4"/>
      <c r="G1156" s="4"/>
      <c r="H1156" s="4"/>
      <c r="I1156" s="4" t="s">
        <v>5387</v>
      </c>
      <c r="J1156" s="4"/>
      <c r="K1156" s="4"/>
      <c r="L1156" s="4"/>
      <c r="M1156" s="4"/>
      <c r="N1156" s="4"/>
      <c r="O1156" s="4"/>
      <c r="P1156" s="4"/>
      <c r="Q1156" s="4"/>
    </row>
    <row r="1157" spans="1:17" x14ac:dyDescent="0.2">
      <c r="A1157" s="1">
        <f t="shared" ca="1" si="35"/>
        <v>1155</v>
      </c>
      <c r="B1157" s="76" t="s">
        <v>8942</v>
      </c>
      <c r="C1157" s="154" t="s">
        <v>8943</v>
      </c>
      <c r="D1157" s="4"/>
      <c r="E1157" s="4"/>
      <c r="F1157" s="4"/>
      <c r="G1157" s="4"/>
      <c r="H1157" s="4"/>
      <c r="I1157" s="4" t="s">
        <v>8944</v>
      </c>
      <c r="J1157" s="4"/>
      <c r="K1157" s="4"/>
      <c r="L1157" s="4"/>
      <c r="M1157" s="4"/>
      <c r="N1157" s="4"/>
      <c r="O1157" s="4"/>
      <c r="P1157" s="4"/>
      <c r="Q1157" s="4"/>
    </row>
    <row r="1158" spans="1:17" ht="25.5" x14ac:dyDescent="0.2">
      <c r="A1158" s="1">
        <f t="shared" ca="1" si="35"/>
        <v>1156</v>
      </c>
      <c r="B1158" s="74" t="s">
        <v>1944</v>
      </c>
      <c r="C1158" s="91" t="s">
        <v>8224</v>
      </c>
      <c r="D1158" s="4"/>
      <c r="E1158" s="4"/>
      <c r="F1158" s="4"/>
      <c r="G1158" s="4"/>
      <c r="H1158" s="4"/>
      <c r="I1158" s="4" t="s">
        <v>5952</v>
      </c>
      <c r="J1158" s="4"/>
      <c r="K1158" s="4"/>
      <c r="L1158" s="4"/>
      <c r="M1158" s="4"/>
      <c r="N1158" s="4"/>
      <c r="O1158" s="4"/>
      <c r="P1158" s="4"/>
      <c r="Q1158" s="4"/>
    </row>
    <row r="1159" spans="1:17" x14ac:dyDescent="0.2">
      <c r="A1159" s="1">
        <f t="shared" ca="1" si="35"/>
        <v>1157</v>
      </c>
      <c r="B1159" s="76" t="s">
        <v>1945</v>
      </c>
      <c r="C1159" s="91" t="s">
        <v>4875</v>
      </c>
      <c r="D1159" s="4"/>
      <c r="E1159" s="4"/>
      <c r="F1159" s="4"/>
      <c r="G1159" s="4"/>
      <c r="H1159" s="4"/>
      <c r="I1159" s="4" t="s">
        <v>1867</v>
      </c>
      <c r="J1159" s="4"/>
      <c r="K1159" s="4"/>
      <c r="L1159" s="4"/>
      <c r="M1159" s="4"/>
      <c r="N1159" s="4"/>
      <c r="O1159" s="4"/>
      <c r="P1159" s="4"/>
      <c r="Q1159" s="4"/>
    </row>
    <row r="1160" spans="1:17" x14ac:dyDescent="0.2">
      <c r="A1160" s="1">
        <f t="shared" ca="1" si="35"/>
        <v>1158</v>
      </c>
      <c r="B1160" s="76" t="s">
        <v>8248</v>
      </c>
      <c r="C1160" s="91" t="s">
        <v>8249</v>
      </c>
      <c r="D1160" s="4"/>
      <c r="E1160" s="4"/>
      <c r="F1160" s="4"/>
      <c r="G1160" s="4"/>
      <c r="H1160" s="4"/>
      <c r="I1160" s="4" t="s">
        <v>8250</v>
      </c>
      <c r="J1160" s="4"/>
      <c r="K1160" s="4"/>
      <c r="L1160" s="4"/>
      <c r="M1160" s="4"/>
      <c r="N1160" s="4"/>
      <c r="O1160" s="4"/>
      <c r="P1160" s="4"/>
      <c r="Q1160" s="4"/>
    </row>
    <row r="1161" spans="1:17" ht="25.5" x14ac:dyDescent="0.2">
      <c r="A1161" s="1">
        <f t="shared" ca="1" si="35"/>
        <v>1159</v>
      </c>
      <c r="B1161" s="76" t="s">
        <v>4460</v>
      </c>
      <c r="C1161" s="91" t="s">
        <v>3225</v>
      </c>
      <c r="D1161" s="4"/>
      <c r="E1161" s="4"/>
      <c r="F1161" s="4"/>
      <c r="G1161" s="4"/>
      <c r="H1161" s="4"/>
      <c r="I1161" s="4" t="s">
        <v>3613</v>
      </c>
      <c r="J1161" s="4"/>
      <c r="K1161" s="4"/>
      <c r="L1161" s="4"/>
      <c r="M1161" s="4"/>
      <c r="N1161" s="4"/>
      <c r="O1161" s="4"/>
      <c r="P1161" s="4"/>
      <c r="Q1161" s="4"/>
    </row>
    <row r="1162" spans="1:17" x14ac:dyDescent="0.2">
      <c r="A1162" s="1">
        <f t="shared" ca="1" si="35"/>
        <v>1160</v>
      </c>
      <c r="B1162" s="78" t="s">
        <v>4461</v>
      </c>
      <c r="C1162" s="91" t="s">
        <v>3226</v>
      </c>
      <c r="D1162" s="4"/>
      <c r="E1162" s="4"/>
      <c r="F1162" s="4"/>
      <c r="G1162" s="4"/>
      <c r="H1162" s="4"/>
      <c r="I1162" s="4" t="s">
        <v>3614</v>
      </c>
      <c r="J1162" s="4"/>
      <c r="K1162" s="4"/>
      <c r="L1162" s="4"/>
      <c r="M1162" s="4"/>
      <c r="N1162" s="4"/>
      <c r="O1162" s="4"/>
      <c r="P1162" s="4"/>
      <c r="Q1162" s="4"/>
    </row>
    <row r="1163" spans="1:17" x14ac:dyDescent="0.2">
      <c r="A1163" s="1">
        <f t="shared" ca="1" si="35"/>
        <v>1161</v>
      </c>
      <c r="B1163" s="76" t="s">
        <v>4462</v>
      </c>
      <c r="C1163" s="91" t="s">
        <v>3227</v>
      </c>
      <c r="D1163" s="4"/>
      <c r="E1163" s="4"/>
      <c r="F1163" s="4"/>
      <c r="G1163" s="4"/>
      <c r="H1163" s="4"/>
      <c r="I1163" s="4" t="s">
        <v>3615</v>
      </c>
      <c r="J1163" s="4"/>
      <c r="K1163" s="4"/>
      <c r="L1163" s="4"/>
      <c r="M1163" s="4"/>
      <c r="N1163" s="4"/>
      <c r="O1163" s="4"/>
      <c r="P1163" s="4"/>
      <c r="Q1163" s="4"/>
    </row>
    <row r="1164" spans="1:17" x14ac:dyDescent="0.2">
      <c r="A1164" s="1">
        <f t="shared" ca="1" si="35"/>
        <v>1162</v>
      </c>
      <c r="B1164" s="76" t="s">
        <v>4463</v>
      </c>
      <c r="C1164" s="91" t="s">
        <v>3228</v>
      </c>
      <c r="D1164" s="4"/>
      <c r="E1164" s="4"/>
      <c r="F1164" s="4"/>
      <c r="G1164" s="4"/>
      <c r="H1164" s="4"/>
      <c r="I1164" s="4" t="s">
        <v>3058</v>
      </c>
      <c r="J1164" s="4"/>
      <c r="K1164" s="4"/>
      <c r="L1164" s="4"/>
      <c r="M1164" s="4"/>
      <c r="N1164" s="4"/>
      <c r="O1164" s="4"/>
      <c r="P1164" s="4"/>
      <c r="Q1164" s="4"/>
    </row>
    <row r="1165" spans="1:17" ht="38.25" x14ac:dyDescent="0.2">
      <c r="A1165" s="1">
        <f t="shared" ca="1" si="35"/>
        <v>1163</v>
      </c>
      <c r="B1165" s="76" t="s">
        <v>4464</v>
      </c>
      <c r="C1165" s="91" t="s">
        <v>3229</v>
      </c>
      <c r="D1165" s="4"/>
      <c r="E1165" s="4"/>
      <c r="F1165" s="4"/>
      <c r="G1165" s="4"/>
      <c r="H1165" s="4"/>
      <c r="I1165" s="4" t="s">
        <v>3616</v>
      </c>
      <c r="J1165" s="4"/>
      <c r="K1165" s="4"/>
      <c r="L1165" s="4"/>
      <c r="M1165" s="4"/>
      <c r="N1165" s="4"/>
      <c r="O1165" s="4"/>
      <c r="P1165" s="4"/>
      <c r="Q1165" s="4"/>
    </row>
    <row r="1166" spans="1:17" ht="38.25" x14ac:dyDescent="0.2">
      <c r="A1166" s="1">
        <f t="shared" ca="1" si="35"/>
        <v>1164</v>
      </c>
      <c r="B1166" s="74" t="s">
        <v>5112</v>
      </c>
      <c r="C1166" s="91" t="s">
        <v>3230</v>
      </c>
      <c r="D1166" s="4"/>
      <c r="E1166" s="4"/>
      <c r="F1166" s="4"/>
      <c r="G1166" s="4"/>
      <c r="H1166" s="4"/>
      <c r="I1166" s="4" t="s">
        <v>3617</v>
      </c>
      <c r="J1166" s="4"/>
      <c r="K1166" s="4"/>
      <c r="L1166" s="4"/>
      <c r="M1166" s="4"/>
      <c r="N1166" s="4"/>
      <c r="O1166" s="4"/>
      <c r="P1166" s="4"/>
      <c r="Q1166" s="4"/>
    </row>
    <row r="1167" spans="1:17" x14ac:dyDescent="0.2">
      <c r="A1167" s="1">
        <f t="shared" ca="1" si="35"/>
        <v>1165</v>
      </c>
      <c r="B1167" s="76" t="s">
        <v>5089</v>
      </c>
      <c r="C1167" s="91" t="s">
        <v>3231</v>
      </c>
      <c r="D1167" s="4"/>
      <c r="E1167" s="4"/>
      <c r="F1167" s="4"/>
      <c r="G1167" s="4"/>
      <c r="H1167" s="4"/>
      <c r="I1167" s="4" t="s">
        <v>8210</v>
      </c>
      <c r="J1167" s="4"/>
      <c r="K1167" s="4"/>
      <c r="L1167" s="4"/>
      <c r="M1167" s="4"/>
      <c r="N1167" s="4"/>
      <c r="O1167" s="4"/>
      <c r="P1167" s="4"/>
      <c r="Q1167" s="4"/>
    </row>
    <row r="1168" spans="1:17" x14ac:dyDescent="0.2">
      <c r="A1168" s="1">
        <f t="shared" ca="1" si="35"/>
        <v>1166</v>
      </c>
      <c r="B1168" s="76" t="s">
        <v>5090</v>
      </c>
      <c r="C1168" s="91" t="s">
        <v>3232</v>
      </c>
      <c r="D1168" s="4"/>
      <c r="E1168" s="4"/>
      <c r="F1168" s="4"/>
      <c r="G1168" s="4"/>
      <c r="H1168" s="4"/>
      <c r="I1168" s="4" t="s">
        <v>8211</v>
      </c>
      <c r="J1168" s="4"/>
      <c r="K1168" s="4"/>
      <c r="L1168" s="4"/>
      <c r="M1168" s="4"/>
      <c r="N1168" s="4"/>
      <c r="O1168" s="4"/>
      <c r="P1168" s="4"/>
      <c r="Q1168" s="4"/>
    </row>
    <row r="1169" spans="1:17" x14ac:dyDescent="0.2">
      <c r="A1169" s="1">
        <f t="shared" ca="1" si="35"/>
        <v>1167</v>
      </c>
      <c r="B1169" s="76" t="s">
        <v>5091</v>
      </c>
      <c r="C1169" s="91" t="s">
        <v>3233</v>
      </c>
      <c r="D1169" s="4"/>
      <c r="E1169" s="4"/>
      <c r="F1169" s="4"/>
      <c r="G1169" s="4"/>
      <c r="H1169" s="4"/>
      <c r="I1169" s="4" t="s">
        <v>8212</v>
      </c>
      <c r="J1169" s="4"/>
      <c r="K1169" s="4"/>
      <c r="L1169" s="4"/>
      <c r="M1169" s="4"/>
      <c r="N1169" s="4"/>
      <c r="O1169" s="4"/>
      <c r="P1169" s="4"/>
      <c r="Q1169" s="4"/>
    </row>
    <row r="1170" spans="1:17" x14ac:dyDescent="0.2">
      <c r="A1170" s="1">
        <f t="shared" ref="A1170" ca="1" si="42">CELL("row",C1170)-2</f>
        <v>1168</v>
      </c>
      <c r="B1170" s="76" t="s">
        <v>8983</v>
      </c>
      <c r="C1170" s="154" t="s">
        <v>8984</v>
      </c>
      <c r="D1170" s="4"/>
      <c r="E1170" s="4"/>
      <c r="F1170" s="4"/>
      <c r="G1170" s="4"/>
      <c r="H1170" s="4"/>
      <c r="I1170" s="4" t="s">
        <v>8985</v>
      </c>
      <c r="J1170" s="4"/>
      <c r="K1170" s="4"/>
      <c r="L1170" s="4"/>
      <c r="M1170" s="4"/>
      <c r="N1170" s="4"/>
      <c r="O1170" s="4"/>
      <c r="P1170" s="4"/>
      <c r="Q1170" s="4"/>
    </row>
    <row r="1171" spans="1:17" x14ac:dyDescent="0.2">
      <c r="A1171" s="1">
        <f t="shared" ca="1" si="35"/>
        <v>1169</v>
      </c>
      <c r="B1171" s="76" t="s">
        <v>9029</v>
      </c>
      <c r="C1171" s="91" t="s">
        <v>5092</v>
      </c>
      <c r="D1171" s="4"/>
      <c r="E1171" s="4"/>
      <c r="F1171" s="4"/>
      <c r="G1171" s="4"/>
      <c r="H1171" s="4"/>
      <c r="I1171" s="4" t="s">
        <v>8213</v>
      </c>
      <c r="J1171" s="4"/>
      <c r="K1171" s="4"/>
      <c r="L1171" s="4"/>
      <c r="M1171" s="4"/>
      <c r="N1171" s="4"/>
      <c r="O1171" s="4"/>
      <c r="P1171" s="4"/>
      <c r="Q1171" s="4"/>
    </row>
    <row r="1172" spans="1:17" x14ac:dyDescent="0.2">
      <c r="A1172" s="1">
        <f t="shared" ca="1" si="35"/>
        <v>1170</v>
      </c>
      <c r="B1172" s="76" t="s">
        <v>5093</v>
      </c>
      <c r="C1172" s="91" t="s">
        <v>2625</v>
      </c>
      <c r="D1172" s="4"/>
      <c r="E1172" s="4"/>
      <c r="F1172" s="4"/>
      <c r="G1172" s="4"/>
      <c r="H1172" s="4"/>
      <c r="I1172" s="4" t="s">
        <v>8214</v>
      </c>
      <c r="J1172" s="4"/>
      <c r="K1172" s="4"/>
      <c r="L1172" s="4"/>
      <c r="M1172" s="4"/>
      <c r="N1172" s="4"/>
      <c r="O1172" s="4"/>
      <c r="P1172" s="4"/>
      <c r="Q1172" s="4"/>
    </row>
    <row r="1173" spans="1:17" ht="25.5" x14ac:dyDescent="0.2">
      <c r="A1173" s="1">
        <f t="shared" ca="1" si="35"/>
        <v>1171</v>
      </c>
      <c r="B1173" s="76" t="s">
        <v>5094</v>
      </c>
      <c r="C1173" s="91" t="s">
        <v>2626</v>
      </c>
      <c r="D1173" s="4"/>
      <c r="E1173" s="4"/>
      <c r="F1173" s="4"/>
      <c r="G1173" s="4"/>
      <c r="H1173" s="4"/>
      <c r="I1173" s="4" t="s">
        <v>8215</v>
      </c>
      <c r="J1173" s="4"/>
      <c r="K1173" s="4"/>
      <c r="L1173" s="4"/>
      <c r="M1173" s="4"/>
      <c r="N1173" s="4"/>
      <c r="O1173" s="4"/>
      <c r="P1173" s="4"/>
      <c r="Q1173" s="4"/>
    </row>
    <row r="1174" spans="1:17" ht="51" x14ac:dyDescent="0.2">
      <c r="A1174" s="1">
        <f t="shared" ca="1" si="35"/>
        <v>1172</v>
      </c>
      <c r="B1174" s="74" t="s">
        <v>5095</v>
      </c>
      <c r="C1174" s="91" t="s">
        <v>5616</v>
      </c>
      <c r="D1174" s="4"/>
      <c r="E1174" s="4"/>
      <c r="F1174" s="4"/>
      <c r="G1174" s="4"/>
      <c r="H1174" s="4"/>
      <c r="I1174" s="4" t="s">
        <v>8216</v>
      </c>
      <c r="J1174" s="4"/>
      <c r="K1174" s="4"/>
      <c r="L1174" s="4"/>
      <c r="M1174" s="4"/>
      <c r="N1174" s="4"/>
      <c r="O1174" s="4"/>
      <c r="P1174" s="4"/>
      <c r="Q1174" s="4"/>
    </row>
    <row r="1175" spans="1:17" x14ac:dyDescent="0.2">
      <c r="A1175" s="1">
        <f t="shared" ca="1" si="35"/>
        <v>1173</v>
      </c>
      <c r="B1175" s="76" t="s">
        <v>5096</v>
      </c>
      <c r="C1175" s="91" t="s">
        <v>8276</v>
      </c>
      <c r="D1175" s="4"/>
      <c r="E1175" s="4"/>
      <c r="F1175" s="4"/>
      <c r="G1175" s="4"/>
      <c r="H1175" s="4"/>
      <c r="I1175" s="4" t="s">
        <v>4578</v>
      </c>
      <c r="J1175" s="4"/>
      <c r="K1175" s="4"/>
      <c r="L1175" s="4"/>
      <c r="M1175" s="4"/>
      <c r="N1175" s="4"/>
      <c r="O1175" s="4"/>
      <c r="P1175" s="4"/>
      <c r="Q1175" s="4"/>
    </row>
    <row r="1176" spans="1:17" ht="25.5" x14ac:dyDescent="0.2">
      <c r="A1176" s="1">
        <f t="shared" ca="1" si="35"/>
        <v>1174</v>
      </c>
      <c r="B1176" s="74" t="s">
        <v>8095</v>
      </c>
      <c r="C1176" s="91" t="s">
        <v>5617</v>
      </c>
      <c r="D1176" s="4"/>
      <c r="E1176" s="4"/>
      <c r="F1176" s="4"/>
      <c r="G1176" s="4"/>
      <c r="H1176" s="4"/>
      <c r="I1176" s="4" t="s">
        <v>6250</v>
      </c>
      <c r="J1176" s="4"/>
      <c r="K1176" s="4"/>
      <c r="L1176" s="4"/>
      <c r="M1176" s="4"/>
      <c r="N1176" s="4"/>
      <c r="O1176" s="4"/>
      <c r="P1176" s="4"/>
      <c r="Q1176" s="4"/>
    </row>
    <row r="1177" spans="1:17" x14ac:dyDescent="0.2">
      <c r="A1177" s="1">
        <f t="shared" ca="1" si="35"/>
        <v>1175</v>
      </c>
      <c r="B1177" s="1" t="s">
        <v>8096</v>
      </c>
      <c r="C1177" s="90" t="s">
        <v>8277</v>
      </c>
      <c r="D1177" s="4"/>
      <c r="E1177" s="4"/>
      <c r="F1177" s="4"/>
      <c r="G1177" s="4"/>
      <c r="H1177" s="4"/>
      <c r="I1177" s="4" t="s">
        <v>4579</v>
      </c>
      <c r="J1177" s="4"/>
      <c r="K1177" s="4"/>
      <c r="L1177" s="4"/>
      <c r="M1177" s="4"/>
      <c r="N1177" s="4"/>
      <c r="O1177" s="4"/>
      <c r="P1177" s="4"/>
      <c r="Q1177" s="4"/>
    </row>
    <row r="1178" spans="1:17" x14ac:dyDescent="0.2">
      <c r="A1178" s="1">
        <f t="shared" ca="1" si="35"/>
        <v>1176</v>
      </c>
      <c r="B1178" s="74" t="s">
        <v>8097</v>
      </c>
      <c r="C1178" s="90" t="s">
        <v>5618</v>
      </c>
      <c r="D1178" s="4"/>
      <c r="E1178" s="4"/>
      <c r="F1178" s="4"/>
      <c r="G1178" s="4"/>
      <c r="H1178" s="4"/>
      <c r="I1178" s="4" t="s">
        <v>1868</v>
      </c>
      <c r="J1178" s="4"/>
      <c r="K1178" s="4"/>
      <c r="L1178" s="4"/>
      <c r="M1178" s="4"/>
      <c r="N1178" s="4"/>
      <c r="O1178" s="4"/>
      <c r="P1178" s="4"/>
      <c r="Q1178" s="4"/>
    </row>
    <row r="1179" spans="1:17" ht="25.5" x14ac:dyDescent="0.2">
      <c r="A1179" s="1">
        <f t="shared" ca="1" si="35"/>
        <v>1177</v>
      </c>
      <c r="B1179" s="74" t="s">
        <v>1199</v>
      </c>
      <c r="C1179" s="90" t="s">
        <v>5619</v>
      </c>
      <c r="D1179" s="4"/>
      <c r="E1179" s="4"/>
      <c r="F1179" s="4"/>
      <c r="G1179" s="4"/>
      <c r="H1179" s="4"/>
      <c r="I1179" s="4" t="s">
        <v>1869</v>
      </c>
      <c r="J1179" s="4"/>
      <c r="K1179" s="4"/>
      <c r="L1179" s="4"/>
      <c r="M1179" s="4"/>
      <c r="N1179" s="4"/>
      <c r="O1179" s="4"/>
      <c r="P1179" s="4"/>
      <c r="Q1179" s="4"/>
    </row>
    <row r="1180" spans="1:17" ht="25.5" x14ac:dyDescent="0.2">
      <c r="A1180" s="1">
        <f t="shared" ca="1" si="35"/>
        <v>1178</v>
      </c>
      <c r="B1180" s="74" t="s">
        <v>1200</v>
      </c>
      <c r="C1180" s="92" t="s">
        <v>5620</v>
      </c>
      <c r="D1180" s="4"/>
      <c r="E1180" s="4"/>
      <c r="F1180" s="4"/>
      <c r="G1180" s="4"/>
      <c r="H1180" s="4"/>
      <c r="I1180" s="4" t="s">
        <v>2117</v>
      </c>
      <c r="J1180" s="4"/>
      <c r="K1180" s="4"/>
      <c r="L1180" s="4"/>
      <c r="M1180" s="4"/>
      <c r="N1180" s="4"/>
      <c r="O1180" s="4"/>
      <c r="P1180" s="4"/>
      <c r="Q1180" s="4"/>
    </row>
    <row r="1181" spans="1:17" ht="25.5" x14ac:dyDescent="0.2">
      <c r="A1181" s="1">
        <f t="shared" ca="1" si="35"/>
        <v>1179</v>
      </c>
      <c r="B1181" s="74" t="s">
        <v>4013</v>
      </c>
      <c r="C1181" s="90" t="s">
        <v>5621</v>
      </c>
      <c r="D1181" s="4"/>
      <c r="E1181" s="4"/>
      <c r="F1181" s="4"/>
      <c r="G1181" s="4"/>
      <c r="H1181" s="4"/>
      <c r="I1181" s="4" t="s">
        <v>2118</v>
      </c>
      <c r="J1181" s="4"/>
      <c r="K1181" s="4"/>
      <c r="L1181" s="4"/>
      <c r="M1181" s="4"/>
      <c r="N1181" s="4"/>
      <c r="O1181" s="4"/>
      <c r="P1181" s="4"/>
      <c r="Q1181" s="4"/>
    </row>
    <row r="1182" spans="1:17" ht="25.5" x14ac:dyDescent="0.2">
      <c r="A1182" s="1">
        <f t="shared" ca="1" si="35"/>
        <v>1180</v>
      </c>
      <c r="B1182" s="74" t="s">
        <v>4014</v>
      </c>
      <c r="C1182" s="90" t="s">
        <v>5622</v>
      </c>
      <c r="D1182" s="4"/>
      <c r="E1182" s="4"/>
      <c r="F1182" s="4"/>
      <c r="G1182" s="4"/>
      <c r="H1182" s="4"/>
      <c r="I1182" s="4" t="s">
        <v>2181</v>
      </c>
      <c r="J1182" s="4"/>
      <c r="K1182" s="4"/>
      <c r="L1182" s="4"/>
      <c r="M1182" s="4"/>
      <c r="N1182" s="4"/>
      <c r="O1182" s="4"/>
      <c r="P1182" s="4"/>
      <c r="Q1182" s="4"/>
    </row>
    <row r="1183" spans="1:17" ht="25.5" x14ac:dyDescent="0.2">
      <c r="A1183" s="1">
        <f t="shared" ca="1" si="35"/>
        <v>1181</v>
      </c>
      <c r="B1183" s="74" t="s">
        <v>4015</v>
      </c>
      <c r="C1183" s="90" t="s">
        <v>5623</v>
      </c>
      <c r="D1183" s="4"/>
      <c r="E1183" s="4"/>
      <c r="F1183" s="4"/>
      <c r="G1183" s="4"/>
      <c r="H1183" s="4"/>
      <c r="I1183" s="4" t="s">
        <v>2182</v>
      </c>
      <c r="J1183" s="4"/>
      <c r="K1183" s="4"/>
      <c r="L1183" s="4"/>
      <c r="M1183" s="4"/>
      <c r="N1183" s="4"/>
      <c r="O1183" s="4"/>
      <c r="P1183" s="4"/>
      <c r="Q1183" s="4"/>
    </row>
    <row r="1184" spans="1:17" x14ac:dyDescent="0.2">
      <c r="A1184" s="1">
        <f t="shared" ca="1" si="35"/>
        <v>1182</v>
      </c>
      <c r="B1184" s="74" t="s">
        <v>6612</v>
      </c>
      <c r="C1184" s="90" t="s">
        <v>5624</v>
      </c>
      <c r="D1184" s="4"/>
      <c r="E1184" s="4"/>
      <c r="F1184" s="4"/>
      <c r="G1184" s="4"/>
      <c r="H1184" s="4"/>
      <c r="I1184" s="4" t="s">
        <v>2183</v>
      </c>
      <c r="J1184" s="4"/>
      <c r="K1184" s="4"/>
      <c r="L1184" s="4"/>
      <c r="M1184" s="4"/>
      <c r="N1184" s="4"/>
      <c r="O1184" s="4"/>
      <c r="P1184" s="4"/>
      <c r="Q1184" s="4"/>
    </row>
    <row r="1185" spans="1:17" x14ac:dyDescent="0.2">
      <c r="A1185" s="1">
        <f t="shared" ref="A1185:A1251" ca="1" si="43">CELL("row",C1185)-2</f>
        <v>1183</v>
      </c>
      <c r="B1185" s="74" t="s">
        <v>4016</v>
      </c>
      <c r="C1185" s="90" t="s">
        <v>5625</v>
      </c>
      <c r="D1185" s="4"/>
      <c r="E1185" s="4"/>
      <c r="F1185" s="4"/>
      <c r="G1185" s="4"/>
      <c r="H1185" s="4"/>
      <c r="I1185" s="4" t="s">
        <v>2184</v>
      </c>
      <c r="J1185" s="4"/>
      <c r="K1185" s="4"/>
      <c r="L1185" s="4"/>
      <c r="M1185" s="4"/>
      <c r="N1185" s="4"/>
      <c r="O1185" s="4"/>
      <c r="P1185" s="4"/>
      <c r="Q1185" s="4"/>
    </row>
    <row r="1186" spans="1:17" x14ac:dyDescent="0.2">
      <c r="A1186" s="1">
        <f t="shared" ca="1" si="43"/>
        <v>1184</v>
      </c>
      <c r="B1186" s="74" t="s">
        <v>6613</v>
      </c>
      <c r="C1186" s="90" t="s">
        <v>5626</v>
      </c>
      <c r="D1186" s="4"/>
      <c r="E1186" s="4"/>
      <c r="F1186" s="4"/>
      <c r="G1186" s="4"/>
      <c r="H1186" s="4"/>
      <c r="I1186" s="4" t="s">
        <v>2185</v>
      </c>
      <c r="J1186" s="4"/>
      <c r="K1186" s="4"/>
      <c r="L1186" s="4"/>
      <c r="M1186" s="4"/>
      <c r="N1186" s="4"/>
      <c r="O1186" s="4"/>
      <c r="P1186" s="4"/>
      <c r="Q1186" s="4"/>
    </row>
    <row r="1187" spans="1:17" x14ac:dyDescent="0.2">
      <c r="A1187" s="1">
        <f t="shared" ca="1" si="43"/>
        <v>1185</v>
      </c>
      <c r="B1187" s="74" t="s">
        <v>4017</v>
      </c>
      <c r="C1187" s="90" t="s">
        <v>5627</v>
      </c>
      <c r="D1187" s="4"/>
      <c r="E1187" s="4"/>
      <c r="F1187" s="4"/>
      <c r="G1187" s="4"/>
      <c r="H1187" s="4"/>
      <c r="I1187" s="4" t="s">
        <v>2186</v>
      </c>
      <c r="J1187" s="4"/>
      <c r="K1187" s="4"/>
      <c r="L1187" s="4"/>
      <c r="M1187" s="4"/>
      <c r="N1187" s="4"/>
      <c r="O1187" s="4"/>
      <c r="P1187" s="4"/>
      <c r="Q1187" s="4"/>
    </row>
    <row r="1188" spans="1:17" x14ac:dyDescent="0.2">
      <c r="A1188" s="1">
        <f t="shared" ca="1" si="43"/>
        <v>1186</v>
      </c>
      <c r="B1188" s="74" t="s">
        <v>963</v>
      </c>
      <c r="C1188" s="90" t="s">
        <v>5628</v>
      </c>
      <c r="D1188" s="4"/>
      <c r="E1188" s="4"/>
      <c r="F1188" s="4"/>
      <c r="G1188" s="4"/>
      <c r="H1188" s="4"/>
      <c r="I1188" s="4" t="s">
        <v>2187</v>
      </c>
      <c r="J1188" s="4"/>
      <c r="K1188" s="4"/>
      <c r="L1188" s="4"/>
      <c r="M1188" s="4"/>
      <c r="N1188" s="4"/>
      <c r="O1188" s="4"/>
      <c r="P1188" s="4"/>
      <c r="Q1188" s="4"/>
    </row>
    <row r="1189" spans="1:17" x14ac:dyDescent="0.2">
      <c r="A1189" s="1">
        <f t="shared" ca="1" si="43"/>
        <v>1187</v>
      </c>
      <c r="B1189" s="74" t="s">
        <v>6614</v>
      </c>
      <c r="C1189" s="90" t="s">
        <v>5629</v>
      </c>
      <c r="D1189" s="4"/>
      <c r="E1189" s="4"/>
      <c r="F1189" s="4"/>
      <c r="G1189" s="4"/>
      <c r="H1189" s="4"/>
      <c r="I1189" s="4" t="s">
        <v>2188</v>
      </c>
      <c r="J1189" s="4"/>
      <c r="K1189" s="4"/>
      <c r="L1189" s="4"/>
      <c r="M1189" s="4"/>
      <c r="N1189" s="4"/>
      <c r="O1189" s="4"/>
      <c r="P1189" s="4"/>
      <c r="Q1189" s="4"/>
    </row>
    <row r="1190" spans="1:17" x14ac:dyDescent="0.2">
      <c r="A1190" s="1">
        <f t="shared" ca="1" si="43"/>
        <v>1188</v>
      </c>
      <c r="B1190" s="74" t="s">
        <v>4018</v>
      </c>
      <c r="C1190" s="90" t="s">
        <v>2627</v>
      </c>
      <c r="D1190" s="4"/>
      <c r="E1190" s="4"/>
      <c r="F1190" s="4"/>
      <c r="G1190" s="4"/>
      <c r="H1190" s="4"/>
      <c r="I1190" s="4" t="s">
        <v>2189</v>
      </c>
      <c r="J1190" s="4"/>
      <c r="K1190" s="4"/>
      <c r="L1190" s="4"/>
      <c r="M1190" s="4"/>
      <c r="N1190" s="4"/>
      <c r="O1190" s="4"/>
      <c r="P1190" s="4"/>
      <c r="Q1190" s="4"/>
    </row>
    <row r="1191" spans="1:17" ht="25.5" x14ac:dyDescent="0.2">
      <c r="A1191" s="1">
        <f t="shared" ca="1" si="43"/>
        <v>1189</v>
      </c>
      <c r="B1191" s="74" t="s">
        <v>8514</v>
      </c>
      <c r="C1191" s="90" t="s">
        <v>5630</v>
      </c>
      <c r="D1191" s="4"/>
      <c r="E1191" s="4"/>
      <c r="F1191" s="4"/>
      <c r="G1191" s="4"/>
      <c r="H1191" s="4"/>
      <c r="I1191" s="4" t="s">
        <v>2190</v>
      </c>
      <c r="J1191" s="4"/>
      <c r="K1191" s="4"/>
      <c r="L1191" s="4"/>
      <c r="M1191" s="4"/>
      <c r="N1191" s="4"/>
      <c r="O1191" s="4"/>
      <c r="P1191" s="4"/>
      <c r="Q1191" s="4"/>
    </row>
    <row r="1192" spans="1:17" x14ac:dyDescent="0.2">
      <c r="A1192" s="1">
        <f t="shared" ca="1" si="43"/>
        <v>1190</v>
      </c>
      <c r="B1192" s="74" t="s">
        <v>8515</v>
      </c>
      <c r="C1192" s="90" t="s">
        <v>6538</v>
      </c>
      <c r="D1192" s="4"/>
      <c r="E1192" s="4"/>
      <c r="F1192" s="4"/>
      <c r="G1192" s="4"/>
      <c r="H1192" s="4"/>
      <c r="I1192" s="4" t="s">
        <v>3812</v>
      </c>
      <c r="J1192" s="4"/>
      <c r="K1192" s="4"/>
      <c r="L1192" s="4"/>
      <c r="M1192" s="4"/>
      <c r="N1192" s="4"/>
      <c r="O1192" s="4"/>
      <c r="P1192" s="4"/>
      <c r="Q1192" s="4"/>
    </row>
    <row r="1193" spans="1:17" x14ac:dyDescent="0.2">
      <c r="A1193" s="1">
        <f t="shared" ca="1" si="43"/>
        <v>1191</v>
      </c>
      <c r="B1193" s="74" t="s">
        <v>8516</v>
      </c>
      <c r="C1193" s="90" t="s">
        <v>5631</v>
      </c>
      <c r="D1193" s="4"/>
      <c r="E1193" s="4"/>
      <c r="F1193" s="4"/>
      <c r="G1193" s="4"/>
      <c r="H1193" s="4"/>
      <c r="I1193" s="4" t="s">
        <v>2191</v>
      </c>
      <c r="J1193" s="4"/>
      <c r="K1193" s="4"/>
      <c r="L1193" s="4"/>
      <c r="M1193" s="4"/>
      <c r="N1193" s="4"/>
      <c r="O1193" s="4"/>
      <c r="P1193" s="4"/>
      <c r="Q1193" s="4"/>
    </row>
    <row r="1194" spans="1:17" x14ac:dyDescent="0.2">
      <c r="A1194" s="1">
        <f t="shared" ca="1" si="43"/>
        <v>1192</v>
      </c>
      <c r="B1194" s="74" t="s">
        <v>8517</v>
      </c>
      <c r="C1194" s="90" t="s">
        <v>5632</v>
      </c>
      <c r="D1194" s="4"/>
      <c r="E1194" s="4"/>
      <c r="F1194" s="4"/>
      <c r="G1194" s="4"/>
      <c r="H1194" s="4"/>
      <c r="I1194" s="4" t="s">
        <v>2192</v>
      </c>
      <c r="J1194" s="4"/>
      <c r="K1194" s="4"/>
      <c r="L1194" s="4"/>
      <c r="M1194" s="4"/>
      <c r="N1194" s="4"/>
      <c r="O1194" s="4"/>
      <c r="P1194" s="4"/>
      <c r="Q1194" s="4"/>
    </row>
    <row r="1195" spans="1:17" x14ac:dyDescent="0.2">
      <c r="A1195" s="1">
        <f t="shared" ca="1" si="43"/>
        <v>1193</v>
      </c>
      <c r="B1195" s="74" t="s">
        <v>8518</v>
      </c>
      <c r="C1195" s="90" t="s">
        <v>5633</v>
      </c>
      <c r="D1195" s="4"/>
      <c r="E1195" s="4"/>
      <c r="F1195" s="4"/>
      <c r="G1195" s="4"/>
      <c r="H1195" s="4"/>
      <c r="I1195" s="4" t="s">
        <v>5052</v>
      </c>
      <c r="J1195" s="4"/>
      <c r="K1195" s="4"/>
      <c r="L1195" s="4"/>
      <c r="M1195" s="4"/>
      <c r="N1195" s="4"/>
      <c r="O1195" s="4"/>
      <c r="P1195" s="4"/>
      <c r="Q1195" s="4"/>
    </row>
    <row r="1196" spans="1:17" x14ac:dyDescent="0.2">
      <c r="A1196" s="1">
        <f t="shared" ca="1" si="43"/>
        <v>1194</v>
      </c>
      <c r="B1196" s="74" t="s">
        <v>7058</v>
      </c>
      <c r="C1196" s="90" t="s">
        <v>5634</v>
      </c>
      <c r="D1196" s="4"/>
      <c r="E1196" s="4"/>
      <c r="F1196" s="4"/>
      <c r="G1196" s="4"/>
      <c r="H1196" s="4"/>
      <c r="I1196" s="4" t="s">
        <v>5053</v>
      </c>
      <c r="J1196" s="4"/>
      <c r="K1196" s="4"/>
      <c r="L1196" s="4"/>
      <c r="M1196" s="4"/>
      <c r="N1196" s="4"/>
      <c r="O1196" s="4"/>
      <c r="P1196" s="4"/>
      <c r="Q1196" s="4"/>
    </row>
    <row r="1197" spans="1:17" x14ac:dyDescent="0.2">
      <c r="A1197" s="1">
        <f t="shared" ca="1" si="43"/>
        <v>1195</v>
      </c>
      <c r="B1197" s="74" t="s">
        <v>7059</v>
      </c>
      <c r="C1197" s="90" t="s">
        <v>5635</v>
      </c>
      <c r="D1197" s="4"/>
      <c r="E1197" s="4"/>
      <c r="F1197" s="4"/>
      <c r="G1197" s="4"/>
      <c r="H1197" s="4"/>
      <c r="I1197" s="4" t="s">
        <v>2193</v>
      </c>
      <c r="J1197" s="4"/>
      <c r="K1197" s="4"/>
      <c r="L1197" s="4"/>
      <c r="M1197" s="4"/>
      <c r="N1197" s="4"/>
      <c r="O1197" s="4"/>
      <c r="P1197" s="4"/>
      <c r="Q1197" s="4"/>
    </row>
    <row r="1198" spans="1:17" x14ac:dyDescent="0.2">
      <c r="A1198" s="1">
        <f t="shared" ca="1" si="43"/>
        <v>1196</v>
      </c>
      <c r="B1198" s="74" t="s">
        <v>7060</v>
      </c>
      <c r="C1198" s="90" t="s">
        <v>323</v>
      </c>
      <c r="D1198" s="4"/>
      <c r="E1198" s="4"/>
      <c r="F1198" s="4"/>
      <c r="G1198" s="4"/>
      <c r="H1198" s="4"/>
      <c r="I1198" s="4" t="s">
        <v>2194</v>
      </c>
      <c r="J1198" s="4"/>
      <c r="K1198" s="4"/>
      <c r="L1198" s="4"/>
      <c r="M1198" s="4"/>
      <c r="N1198" s="4"/>
      <c r="O1198" s="4"/>
      <c r="P1198" s="4"/>
      <c r="Q1198" s="4"/>
    </row>
    <row r="1199" spans="1:17" ht="25.5" x14ac:dyDescent="0.2">
      <c r="A1199" s="1">
        <f t="shared" ca="1" si="43"/>
        <v>1197</v>
      </c>
      <c r="B1199" s="74" t="s">
        <v>7061</v>
      </c>
      <c r="C1199" s="90" t="s">
        <v>5636</v>
      </c>
      <c r="D1199" s="4"/>
      <c r="E1199" s="4"/>
      <c r="F1199" s="4"/>
      <c r="G1199" s="4"/>
      <c r="H1199" s="4"/>
      <c r="I1199" s="4" t="s">
        <v>2195</v>
      </c>
      <c r="J1199" s="4"/>
      <c r="K1199" s="4"/>
      <c r="L1199" s="4"/>
      <c r="M1199" s="4"/>
      <c r="N1199" s="4"/>
      <c r="O1199" s="4"/>
      <c r="P1199" s="4"/>
      <c r="Q1199" s="4"/>
    </row>
    <row r="1200" spans="1:17" x14ac:dyDescent="0.2">
      <c r="A1200" s="1">
        <f t="shared" ca="1" si="43"/>
        <v>1198</v>
      </c>
      <c r="B1200" s="79" t="s">
        <v>1057</v>
      </c>
      <c r="D1200" s="4"/>
      <c r="E1200" s="4"/>
      <c r="F1200" s="4"/>
      <c r="G1200" s="4"/>
      <c r="H1200" s="4"/>
      <c r="J1200" s="4"/>
      <c r="K1200" s="4"/>
      <c r="L1200" s="4"/>
      <c r="M1200" s="4"/>
      <c r="N1200" s="4"/>
      <c r="O1200" s="4"/>
      <c r="P1200" s="4"/>
      <c r="Q1200" s="4"/>
    </row>
    <row r="1201" spans="1:17" x14ac:dyDescent="0.2">
      <c r="A1201" s="1">
        <f t="shared" ca="1" si="43"/>
        <v>1199</v>
      </c>
      <c r="B1201" s="74" t="s">
        <v>1058</v>
      </c>
      <c r="C1201" s="91" t="s">
        <v>5637</v>
      </c>
      <c r="D1201" s="4"/>
      <c r="E1201" s="4"/>
      <c r="F1201" s="4"/>
      <c r="G1201" s="4"/>
      <c r="H1201" s="4"/>
      <c r="I1201" s="4" t="s">
        <v>2196</v>
      </c>
      <c r="J1201" s="4"/>
      <c r="K1201" s="4"/>
      <c r="L1201" s="4"/>
      <c r="M1201" s="4"/>
      <c r="N1201" s="4"/>
      <c r="O1201" s="4"/>
      <c r="P1201" s="4"/>
      <c r="Q1201" s="4"/>
    </row>
    <row r="1202" spans="1:17" ht="25.5" x14ac:dyDescent="0.2">
      <c r="A1202" s="1">
        <f t="shared" ca="1" si="43"/>
        <v>1200</v>
      </c>
      <c r="B1202" s="74" t="s">
        <v>7949</v>
      </c>
      <c r="C1202" s="90" t="s">
        <v>6953</v>
      </c>
      <c r="D1202" s="4"/>
      <c r="E1202" s="4"/>
      <c r="F1202" s="4"/>
      <c r="G1202" s="4"/>
      <c r="H1202" s="4"/>
      <c r="I1202" s="4" t="s">
        <v>2197</v>
      </c>
      <c r="J1202" s="4"/>
      <c r="K1202" s="4"/>
      <c r="L1202" s="4"/>
      <c r="M1202" s="4"/>
      <c r="N1202" s="4"/>
      <c r="O1202" s="4"/>
      <c r="P1202" s="4"/>
      <c r="Q1202" s="4"/>
    </row>
    <row r="1203" spans="1:17" ht="51" x14ac:dyDescent="0.2">
      <c r="A1203" s="1">
        <f t="shared" ca="1" si="43"/>
        <v>1201</v>
      </c>
      <c r="B1203" s="74" t="s">
        <v>3519</v>
      </c>
      <c r="C1203" s="90" t="s">
        <v>3520</v>
      </c>
      <c r="D1203" s="4"/>
      <c r="E1203" s="4"/>
      <c r="F1203" s="4"/>
      <c r="G1203" s="4"/>
      <c r="H1203" s="4"/>
      <c r="I1203" s="4" t="s">
        <v>558</v>
      </c>
      <c r="J1203" s="4"/>
      <c r="K1203" s="4"/>
      <c r="L1203" s="4"/>
      <c r="M1203" s="4"/>
      <c r="N1203" s="4"/>
      <c r="O1203" s="4"/>
      <c r="P1203" s="4"/>
      <c r="Q1203" s="4"/>
    </row>
    <row r="1204" spans="1:17" x14ac:dyDescent="0.2">
      <c r="A1204" s="1">
        <f t="shared" ca="1" si="43"/>
        <v>1202</v>
      </c>
      <c r="B1204" s="74" t="s">
        <v>3521</v>
      </c>
      <c r="C1204" s="90" t="s">
        <v>3522</v>
      </c>
      <c r="D1204" s="4"/>
      <c r="E1204" s="4"/>
      <c r="F1204" s="4"/>
      <c r="G1204" s="4"/>
      <c r="H1204" s="4"/>
      <c r="I1204" s="4" t="s">
        <v>559</v>
      </c>
      <c r="J1204" s="4"/>
      <c r="K1204" s="4"/>
      <c r="L1204" s="4"/>
      <c r="M1204" s="4"/>
      <c r="N1204" s="4"/>
      <c r="O1204" s="4"/>
      <c r="P1204" s="4"/>
      <c r="Q1204" s="4"/>
    </row>
    <row r="1205" spans="1:17" ht="38.25" x14ac:dyDescent="0.2">
      <c r="A1205" s="1">
        <f t="shared" ca="1" si="43"/>
        <v>1203</v>
      </c>
      <c r="B1205" s="74" t="s">
        <v>7452</v>
      </c>
      <c r="C1205" s="90" t="s">
        <v>38</v>
      </c>
      <c r="D1205" s="4"/>
      <c r="E1205" s="4"/>
      <c r="F1205" s="4"/>
      <c r="G1205" s="4"/>
      <c r="H1205" s="4"/>
      <c r="I1205" s="4" t="s">
        <v>560</v>
      </c>
      <c r="J1205" s="4"/>
      <c r="K1205" s="4"/>
      <c r="L1205" s="4"/>
      <c r="M1205" s="4"/>
      <c r="N1205" s="4"/>
      <c r="O1205" s="4"/>
      <c r="P1205" s="4"/>
      <c r="Q1205" s="4"/>
    </row>
    <row r="1206" spans="1:17" x14ac:dyDescent="0.2">
      <c r="A1206" s="1">
        <f t="shared" ca="1" si="43"/>
        <v>1204</v>
      </c>
      <c r="B1206" s="74" t="s">
        <v>7453</v>
      </c>
      <c r="C1206" s="90" t="s">
        <v>7453</v>
      </c>
      <c r="D1206" s="4"/>
      <c r="E1206" s="4"/>
      <c r="F1206" s="4"/>
      <c r="G1206" s="4"/>
      <c r="H1206" s="4"/>
      <c r="I1206" s="4" t="s">
        <v>561</v>
      </c>
      <c r="J1206" s="4"/>
      <c r="K1206" s="4"/>
      <c r="L1206" s="4"/>
      <c r="M1206" s="4"/>
      <c r="N1206" s="4"/>
      <c r="O1206" s="4"/>
      <c r="P1206" s="4"/>
      <c r="Q1206" s="4"/>
    </row>
    <row r="1207" spans="1:17" ht="25.5" x14ac:dyDescent="0.2">
      <c r="A1207" s="1">
        <f t="shared" ca="1" si="43"/>
        <v>1205</v>
      </c>
      <c r="B1207" s="74" t="s">
        <v>7454</v>
      </c>
      <c r="C1207" s="90" t="s">
        <v>5638</v>
      </c>
      <c r="D1207" s="4"/>
      <c r="E1207" s="4"/>
      <c r="F1207" s="4"/>
      <c r="G1207" s="4"/>
      <c r="H1207" s="4"/>
      <c r="I1207" s="4" t="s">
        <v>562</v>
      </c>
      <c r="J1207" s="4"/>
      <c r="K1207" s="4"/>
      <c r="L1207" s="4"/>
      <c r="M1207" s="4"/>
      <c r="N1207" s="4"/>
      <c r="O1207" s="4"/>
      <c r="P1207" s="4"/>
      <c r="Q1207" s="4"/>
    </row>
    <row r="1208" spans="1:17" ht="25.5" x14ac:dyDescent="0.2">
      <c r="A1208" s="1">
        <f t="shared" ca="1" si="43"/>
        <v>1206</v>
      </c>
      <c r="B1208" s="74" t="s">
        <v>7455</v>
      </c>
      <c r="C1208" s="90" t="s">
        <v>5639</v>
      </c>
      <c r="D1208" s="4"/>
      <c r="E1208" s="4"/>
      <c r="F1208" s="4"/>
      <c r="G1208" s="4"/>
      <c r="H1208" s="4"/>
      <c r="I1208" s="4" t="s">
        <v>563</v>
      </c>
      <c r="J1208" s="4"/>
      <c r="K1208" s="4"/>
      <c r="L1208" s="4"/>
      <c r="M1208" s="4"/>
      <c r="N1208" s="4"/>
      <c r="O1208" s="4"/>
      <c r="P1208" s="4"/>
      <c r="Q1208" s="4"/>
    </row>
    <row r="1209" spans="1:17" x14ac:dyDescent="0.2">
      <c r="A1209" s="1">
        <f t="shared" ca="1" si="43"/>
        <v>1207</v>
      </c>
      <c r="B1209" s="147" t="s">
        <v>8968</v>
      </c>
      <c r="C1209" s="146" t="s">
        <v>8969</v>
      </c>
      <c r="D1209" s="4"/>
      <c r="E1209" s="4"/>
      <c r="F1209" s="4"/>
      <c r="G1209" s="4"/>
      <c r="H1209" s="4"/>
      <c r="I1209" s="4" t="s">
        <v>8971</v>
      </c>
      <c r="J1209" s="4"/>
      <c r="K1209" s="4"/>
      <c r="L1209" s="4"/>
      <c r="M1209" s="4"/>
      <c r="N1209" s="4"/>
      <c r="O1209" s="4"/>
      <c r="P1209" s="4"/>
      <c r="Q1209" s="4"/>
    </row>
    <row r="1210" spans="1:17" x14ac:dyDescent="0.2">
      <c r="A1210" s="1">
        <f t="shared" ref="A1210" ca="1" si="44">CELL("row",C1210)-2</f>
        <v>1208</v>
      </c>
      <c r="B1210" s="147" t="s">
        <v>8957</v>
      </c>
      <c r="C1210" s="146" t="s">
        <v>8958</v>
      </c>
      <c r="D1210" s="4"/>
      <c r="E1210" s="4"/>
      <c r="F1210" s="4"/>
      <c r="G1210" s="4"/>
      <c r="H1210" s="4"/>
      <c r="I1210" s="4" t="s">
        <v>8959</v>
      </c>
      <c r="J1210" s="4"/>
      <c r="K1210" s="4"/>
      <c r="L1210" s="4"/>
      <c r="M1210" s="4"/>
      <c r="N1210" s="4"/>
      <c r="O1210" s="4"/>
      <c r="P1210" s="4"/>
      <c r="Q1210" s="4"/>
    </row>
    <row r="1211" spans="1:17" x14ac:dyDescent="0.2">
      <c r="A1211" s="1">
        <f t="shared" ca="1" si="43"/>
        <v>1209</v>
      </c>
      <c r="B1211" s="147" t="s">
        <v>8967</v>
      </c>
      <c r="C1211" s="146" t="s">
        <v>8970</v>
      </c>
      <c r="D1211" s="4"/>
      <c r="E1211" s="4"/>
      <c r="F1211" s="4"/>
      <c r="G1211" s="4"/>
      <c r="H1211" s="4"/>
      <c r="I1211" s="4" t="s">
        <v>8972</v>
      </c>
      <c r="J1211" s="4"/>
      <c r="K1211" s="4"/>
      <c r="L1211" s="4"/>
      <c r="M1211" s="4"/>
      <c r="N1211" s="4"/>
      <c r="O1211" s="4"/>
      <c r="P1211" s="4"/>
      <c r="Q1211" s="4"/>
    </row>
    <row r="1212" spans="1:17" x14ac:dyDescent="0.2">
      <c r="A1212" s="1">
        <f t="shared" ca="1" si="43"/>
        <v>1210</v>
      </c>
      <c r="B1212" s="74" t="s">
        <v>7456</v>
      </c>
      <c r="C1212" s="90" t="s">
        <v>5640</v>
      </c>
      <c r="D1212" s="4"/>
      <c r="E1212" s="4"/>
      <c r="F1212" s="4"/>
      <c r="G1212" s="4"/>
      <c r="H1212" s="4"/>
      <c r="I1212" s="4" t="s">
        <v>564</v>
      </c>
      <c r="J1212" s="4"/>
      <c r="K1212" s="4"/>
      <c r="L1212" s="4"/>
      <c r="M1212" s="4"/>
      <c r="N1212" s="4"/>
      <c r="O1212" s="4"/>
      <c r="P1212" s="4"/>
      <c r="Q1212" s="4"/>
    </row>
    <row r="1213" spans="1:17" ht="25.5" x14ac:dyDescent="0.2">
      <c r="A1213" s="1">
        <f t="shared" ca="1" si="43"/>
        <v>1211</v>
      </c>
      <c r="B1213" s="74" t="s">
        <v>7457</v>
      </c>
      <c r="C1213" s="90" t="s">
        <v>5641</v>
      </c>
      <c r="D1213" s="4"/>
      <c r="E1213" s="4"/>
      <c r="F1213" s="4"/>
      <c r="G1213" s="4"/>
      <c r="H1213" s="4"/>
      <c r="I1213" s="4" t="s">
        <v>565</v>
      </c>
      <c r="J1213" s="4"/>
      <c r="K1213" s="4"/>
      <c r="L1213" s="4"/>
      <c r="M1213" s="4"/>
      <c r="N1213" s="4"/>
      <c r="O1213" s="4"/>
      <c r="P1213" s="4"/>
      <c r="Q1213" s="4"/>
    </row>
    <row r="1214" spans="1:17" x14ac:dyDescent="0.2">
      <c r="A1214" s="1">
        <f t="shared" ca="1" si="43"/>
        <v>1212</v>
      </c>
      <c r="B1214" s="74" t="s">
        <v>7458</v>
      </c>
      <c r="C1214" s="90" t="s">
        <v>5642</v>
      </c>
      <c r="D1214" s="4"/>
      <c r="E1214" s="4"/>
      <c r="F1214" s="4"/>
      <c r="G1214" s="4"/>
      <c r="H1214" s="4"/>
      <c r="I1214" s="4" t="s">
        <v>566</v>
      </c>
      <c r="J1214" s="4"/>
      <c r="K1214" s="4"/>
      <c r="L1214" s="4"/>
      <c r="M1214" s="4"/>
      <c r="N1214" s="4"/>
      <c r="O1214" s="4"/>
      <c r="P1214" s="4"/>
      <c r="Q1214" s="4"/>
    </row>
    <row r="1215" spans="1:17" x14ac:dyDescent="0.2">
      <c r="A1215" s="1">
        <f t="shared" ref="A1215" ca="1" si="45">CELL("row",C1215)-2</f>
        <v>1213</v>
      </c>
      <c r="B1215" s="147" t="s">
        <v>9003</v>
      </c>
      <c r="C1215" s="146" t="s">
        <v>9004</v>
      </c>
      <c r="D1215" s="4"/>
      <c r="E1215" s="4"/>
      <c r="F1215" s="4"/>
      <c r="G1215" s="4"/>
      <c r="H1215" s="4"/>
      <c r="I1215" s="4" t="s">
        <v>9005</v>
      </c>
      <c r="J1215" s="4"/>
      <c r="K1215" s="4"/>
      <c r="L1215" s="4"/>
      <c r="M1215" s="4"/>
      <c r="N1215" s="4"/>
      <c r="O1215" s="4"/>
      <c r="P1215" s="4"/>
      <c r="Q1215" s="4"/>
    </row>
    <row r="1216" spans="1:17" ht="25.5" x14ac:dyDescent="0.2">
      <c r="A1216" s="1">
        <f t="shared" ca="1" si="43"/>
        <v>1214</v>
      </c>
      <c r="B1216" s="74" t="s">
        <v>7848</v>
      </c>
      <c r="C1216" s="90" t="s">
        <v>5643</v>
      </c>
      <c r="D1216" s="4"/>
      <c r="E1216" s="4"/>
      <c r="F1216" s="4"/>
      <c r="G1216" s="4"/>
      <c r="H1216" s="4"/>
      <c r="I1216" s="4" t="s">
        <v>567</v>
      </c>
      <c r="J1216" s="4"/>
      <c r="K1216" s="4"/>
      <c r="L1216" s="4"/>
      <c r="M1216" s="4"/>
      <c r="N1216" s="4"/>
      <c r="O1216" s="4"/>
      <c r="P1216" s="4"/>
      <c r="Q1216" s="4"/>
    </row>
    <row r="1217" spans="1:17" ht="28.5" x14ac:dyDescent="0.2">
      <c r="A1217" s="1">
        <f t="shared" ca="1" si="43"/>
        <v>1215</v>
      </c>
      <c r="B1217" s="74" t="s">
        <v>678</v>
      </c>
      <c r="C1217" s="90" t="s">
        <v>5644</v>
      </c>
      <c r="D1217" s="4"/>
      <c r="E1217" s="4"/>
      <c r="F1217" s="4"/>
      <c r="G1217" s="4"/>
      <c r="H1217" s="4"/>
      <c r="I1217" s="4" t="s">
        <v>568</v>
      </c>
      <c r="J1217" s="4"/>
      <c r="K1217" s="4"/>
      <c r="L1217" s="4"/>
      <c r="M1217" s="4"/>
      <c r="N1217" s="4"/>
      <c r="O1217" s="4"/>
      <c r="P1217" s="4"/>
      <c r="Q1217" s="4"/>
    </row>
    <row r="1218" spans="1:17" x14ac:dyDescent="0.2">
      <c r="A1218" s="1">
        <f t="shared" ref="A1218" ca="1" si="46">CELL("row",C1218)-2</f>
        <v>1216</v>
      </c>
      <c r="B1218" s="147" t="s">
        <v>9000</v>
      </c>
      <c r="C1218" s="146" t="s">
        <v>9001</v>
      </c>
      <c r="D1218" s="4"/>
      <c r="E1218" s="4"/>
      <c r="F1218" s="4"/>
      <c r="G1218" s="4"/>
      <c r="H1218" s="4"/>
      <c r="I1218" s="4" t="s">
        <v>9002</v>
      </c>
      <c r="J1218" s="4"/>
      <c r="K1218" s="4"/>
      <c r="L1218" s="4"/>
      <c r="M1218" s="4"/>
      <c r="N1218" s="4"/>
      <c r="O1218" s="4"/>
      <c r="P1218" s="4"/>
      <c r="Q1218" s="4"/>
    </row>
    <row r="1219" spans="1:17" ht="15.75" x14ac:dyDescent="0.2">
      <c r="A1219" s="1">
        <f t="shared" ca="1" si="43"/>
        <v>1217</v>
      </c>
      <c r="B1219" s="74" t="s">
        <v>679</v>
      </c>
      <c r="C1219" s="90" t="s">
        <v>5645</v>
      </c>
      <c r="D1219" s="4"/>
      <c r="E1219" s="4"/>
      <c r="F1219" s="4"/>
      <c r="G1219" s="4"/>
      <c r="H1219" s="4"/>
      <c r="I1219" s="4" t="s">
        <v>569</v>
      </c>
      <c r="J1219" s="4"/>
      <c r="K1219" s="4"/>
      <c r="L1219" s="4"/>
      <c r="M1219" s="4"/>
      <c r="N1219" s="4"/>
      <c r="O1219" s="4"/>
      <c r="P1219" s="4"/>
      <c r="Q1219" s="4"/>
    </row>
    <row r="1220" spans="1:17" ht="15.75" x14ac:dyDescent="0.2">
      <c r="A1220" s="1">
        <f t="shared" ca="1" si="43"/>
        <v>1218</v>
      </c>
      <c r="B1220" s="74" t="s">
        <v>3531</v>
      </c>
      <c r="C1220" s="90" t="s">
        <v>5646</v>
      </c>
      <c r="D1220" s="4"/>
      <c r="E1220" s="4"/>
      <c r="F1220" s="4"/>
      <c r="G1220" s="4"/>
      <c r="H1220" s="4"/>
      <c r="I1220" s="4" t="s">
        <v>570</v>
      </c>
      <c r="J1220" s="4"/>
      <c r="K1220" s="4"/>
      <c r="L1220" s="4"/>
      <c r="M1220" s="4"/>
      <c r="N1220" s="4"/>
      <c r="O1220" s="4"/>
      <c r="P1220" s="4"/>
      <c r="Q1220" s="4"/>
    </row>
    <row r="1221" spans="1:17" ht="15.75" x14ac:dyDescent="0.2">
      <c r="A1221" s="1">
        <f t="shared" ca="1" si="43"/>
        <v>1219</v>
      </c>
      <c r="B1221" s="74" t="s">
        <v>3532</v>
      </c>
      <c r="C1221" s="91" t="s">
        <v>1591</v>
      </c>
      <c r="D1221" s="4"/>
      <c r="E1221" s="4"/>
      <c r="F1221" s="4"/>
      <c r="G1221" s="4"/>
      <c r="H1221" s="4"/>
      <c r="I1221" s="4" t="s">
        <v>571</v>
      </c>
      <c r="J1221" s="4"/>
      <c r="K1221" s="4"/>
      <c r="L1221" s="4"/>
      <c r="M1221" s="4"/>
      <c r="N1221" s="4"/>
      <c r="O1221" s="4"/>
      <c r="P1221" s="4"/>
      <c r="Q1221" s="4"/>
    </row>
    <row r="1222" spans="1:17" ht="28.5" x14ac:dyDescent="0.2">
      <c r="A1222" s="1">
        <f t="shared" ca="1" si="43"/>
        <v>1220</v>
      </c>
      <c r="B1222" s="74" t="s">
        <v>7230</v>
      </c>
      <c r="C1222" s="90" t="s">
        <v>5647</v>
      </c>
      <c r="D1222" s="4"/>
      <c r="E1222" s="4"/>
      <c r="F1222" s="4"/>
      <c r="G1222" s="4"/>
      <c r="H1222" s="4"/>
      <c r="I1222" s="4" t="s">
        <v>572</v>
      </c>
      <c r="J1222" s="4"/>
      <c r="K1222" s="4"/>
      <c r="L1222" s="4"/>
      <c r="M1222" s="4"/>
      <c r="N1222" s="4"/>
      <c r="O1222" s="4"/>
      <c r="P1222" s="4"/>
      <c r="Q1222" s="4"/>
    </row>
    <row r="1223" spans="1:17" ht="28.5" x14ac:dyDescent="0.2">
      <c r="A1223" s="1">
        <f t="shared" ca="1" si="43"/>
        <v>1221</v>
      </c>
      <c r="B1223" s="74" t="s">
        <v>7231</v>
      </c>
      <c r="C1223" s="90" t="s">
        <v>5648</v>
      </c>
      <c r="D1223" s="4"/>
      <c r="E1223" s="4"/>
      <c r="F1223" s="4"/>
      <c r="G1223" s="4"/>
      <c r="H1223" s="4"/>
      <c r="I1223" s="4" t="s">
        <v>573</v>
      </c>
      <c r="J1223" s="4"/>
      <c r="K1223" s="4"/>
      <c r="L1223" s="4"/>
      <c r="M1223" s="4"/>
      <c r="N1223" s="4"/>
      <c r="O1223" s="4"/>
      <c r="P1223" s="4"/>
      <c r="Q1223" s="4"/>
    </row>
    <row r="1224" spans="1:17" ht="25.5" x14ac:dyDescent="0.2">
      <c r="A1224" s="1">
        <f t="shared" ca="1" si="43"/>
        <v>1222</v>
      </c>
      <c r="B1224" s="74" t="s">
        <v>7232</v>
      </c>
      <c r="C1224" s="90" t="s">
        <v>5649</v>
      </c>
      <c r="D1224" s="4"/>
      <c r="E1224" s="4"/>
      <c r="F1224" s="4"/>
      <c r="G1224" s="4"/>
      <c r="H1224" s="4"/>
      <c r="I1224" s="4" t="s">
        <v>574</v>
      </c>
      <c r="J1224" s="4"/>
      <c r="K1224" s="4"/>
      <c r="L1224" s="4"/>
      <c r="M1224" s="4"/>
      <c r="N1224" s="4"/>
      <c r="O1224" s="4"/>
      <c r="P1224" s="4"/>
      <c r="Q1224" s="4"/>
    </row>
    <row r="1225" spans="1:17" ht="25.5" x14ac:dyDescent="0.2">
      <c r="A1225" s="1">
        <f t="shared" ca="1" si="43"/>
        <v>1223</v>
      </c>
      <c r="B1225" s="74" t="s">
        <v>6633</v>
      </c>
      <c r="C1225" s="90" t="s">
        <v>5650</v>
      </c>
      <c r="D1225" s="4"/>
      <c r="E1225" s="4"/>
      <c r="F1225" s="4"/>
      <c r="G1225" s="4"/>
      <c r="H1225" s="4"/>
      <c r="I1225" s="4" t="s">
        <v>575</v>
      </c>
      <c r="J1225" s="4"/>
      <c r="K1225" s="4"/>
      <c r="L1225" s="4"/>
      <c r="M1225" s="4"/>
      <c r="N1225" s="4"/>
      <c r="O1225" s="4"/>
      <c r="P1225" s="4"/>
      <c r="Q1225" s="4"/>
    </row>
    <row r="1226" spans="1:17" x14ac:dyDescent="0.2">
      <c r="A1226" s="1">
        <f t="shared" ca="1" si="43"/>
        <v>1224</v>
      </c>
      <c r="B1226" s="74" t="s">
        <v>7849</v>
      </c>
      <c r="C1226" s="90" t="s">
        <v>5651</v>
      </c>
      <c r="D1226" s="4"/>
      <c r="E1226" s="4"/>
      <c r="F1226" s="4"/>
      <c r="G1226" s="4"/>
      <c r="H1226" s="4"/>
      <c r="I1226" s="4" t="s">
        <v>576</v>
      </c>
      <c r="J1226" s="4"/>
      <c r="K1226" s="4"/>
      <c r="L1226" s="4"/>
      <c r="M1226" s="4"/>
      <c r="N1226" s="4"/>
      <c r="O1226" s="4"/>
      <c r="P1226" s="4"/>
      <c r="Q1226" s="4"/>
    </row>
    <row r="1227" spans="1:17" x14ac:dyDescent="0.2">
      <c r="A1227" s="1">
        <f t="shared" ca="1" si="43"/>
        <v>1225</v>
      </c>
      <c r="B1227" s="74" t="s">
        <v>7850</v>
      </c>
      <c r="C1227" s="90" t="s">
        <v>5652</v>
      </c>
      <c r="D1227" s="4"/>
      <c r="E1227" s="4"/>
      <c r="F1227" s="4"/>
      <c r="G1227" s="4"/>
      <c r="H1227" s="4"/>
      <c r="I1227" s="4" t="s">
        <v>577</v>
      </c>
      <c r="J1227" s="4"/>
      <c r="K1227" s="4"/>
      <c r="L1227" s="4"/>
      <c r="M1227" s="4"/>
      <c r="N1227" s="4"/>
      <c r="O1227" s="4"/>
      <c r="P1227" s="4"/>
      <c r="Q1227" s="4"/>
    </row>
    <row r="1228" spans="1:17" ht="25.5" x14ac:dyDescent="0.2">
      <c r="A1228" s="1">
        <f t="shared" ca="1" si="43"/>
        <v>1226</v>
      </c>
      <c r="B1228" s="74" t="s">
        <v>1210</v>
      </c>
      <c r="C1228" s="90" t="s">
        <v>5653</v>
      </c>
      <c r="D1228" s="4"/>
      <c r="E1228" s="4"/>
      <c r="F1228" s="4"/>
      <c r="G1228" s="4"/>
      <c r="H1228" s="4"/>
      <c r="I1228" s="4" t="s">
        <v>578</v>
      </c>
      <c r="J1228" s="4"/>
      <c r="K1228" s="4"/>
      <c r="L1228" s="4"/>
      <c r="M1228" s="4"/>
      <c r="N1228" s="4"/>
      <c r="O1228" s="4"/>
      <c r="P1228" s="4"/>
      <c r="Q1228" s="4"/>
    </row>
    <row r="1229" spans="1:17" ht="51" x14ac:dyDescent="0.2">
      <c r="A1229" s="1">
        <f t="shared" ca="1" si="43"/>
        <v>1227</v>
      </c>
      <c r="B1229" s="74" t="s">
        <v>1211</v>
      </c>
      <c r="C1229" s="90" t="s">
        <v>39</v>
      </c>
      <c r="D1229" s="4"/>
      <c r="E1229" s="4"/>
      <c r="F1229" s="4"/>
      <c r="G1229" s="4"/>
      <c r="H1229" s="4"/>
      <c r="I1229" s="4" t="s">
        <v>579</v>
      </c>
      <c r="J1229" s="4"/>
      <c r="K1229" s="4"/>
      <c r="L1229" s="4"/>
      <c r="M1229" s="4"/>
      <c r="N1229" s="4"/>
      <c r="O1229" s="4"/>
      <c r="P1229" s="4"/>
      <c r="Q1229" s="4"/>
    </row>
    <row r="1230" spans="1:17" x14ac:dyDescent="0.2">
      <c r="A1230" s="1">
        <f t="shared" ca="1" si="43"/>
        <v>1228</v>
      </c>
      <c r="B1230" s="74" t="s">
        <v>1212</v>
      </c>
      <c r="C1230" s="90" t="s">
        <v>5654</v>
      </c>
      <c r="D1230" s="4"/>
      <c r="E1230" s="4"/>
      <c r="F1230" s="4"/>
      <c r="G1230" s="4"/>
      <c r="H1230" s="4"/>
      <c r="I1230" s="4" t="s">
        <v>580</v>
      </c>
      <c r="J1230" s="4"/>
      <c r="K1230" s="4"/>
      <c r="L1230" s="4"/>
      <c r="M1230" s="4"/>
      <c r="N1230" s="4"/>
      <c r="O1230" s="4"/>
      <c r="P1230" s="4"/>
      <c r="Q1230" s="4"/>
    </row>
    <row r="1231" spans="1:17" ht="25.5" x14ac:dyDescent="0.2">
      <c r="A1231" s="1">
        <f t="shared" ca="1" si="43"/>
        <v>1229</v>
      </c>
      <c r="B1231" s="74" t="s">
        <v>7848</v>
      </c>
      <c r="C1231" s="90" t="s">
        <v>5643</v>
      </c>
      <c r="D1231" s="4"/>
      <c r="E1231" s="4"/>
      <c r="F1231" s="4"/>
      <c r="G1231" s="4"/>
      <c r="H1231" s="4"/>
      <c r="I1231" s="4" t="s">
        <v>567</v>
      </c>
      <c r="J1231" s="4"/>
      <c r="K1231" s="4"/>
      <c r="L1231" s="4"/>
      <c r="M1231" s="4"/>
      <c r="N1231" s="4"/>
      <c r="O1231" s="4"/>
      <c r="P1231" s="4"/>
      <c r="Q1231" s="4"/>
    </row>
    <row r="1232" spans="1:17" x14ac:dyDescent="0.2">
      <c r="A1232" s="1">
        <f t="shared" ca="1" si="43"/>
        <v>1230</v>
      </c>
      <c r="B1232" s="74" t="s">
        <v>1213</v>
      </c>
      <c r="C1232" s="90" t="s">
        <v>5655</v>
      </c>
      <c r="D1232" s="4"/>
      <c r="E1232" s="4"/>
      <c r="F1232" s="4"/>
      <c r="G1232" s="4"/>
      <c r="H1232" s="4"/>
      <c r="I1232" s="4" t="s">
        <v>581</v>
      </c>
      <c r="J1232" s="4"/>
      <c r="K1232" s="4"/>
      <c r="L1232" s="4"/>
      <c r="M1232" s="4"/>
      <c r="N1232" s="4"/>
      <c r="O1232" s="4"/>
      <c r="P1232" s="4"/>
      <c r="Q1232" s="4"/>
    </row>
    <row r="1233" spans="1:17" x14ac:dyDescent="0.2">
      <c r="A1233" s="1">
        <f t="shared" ca="1" si="43"/>
        <v>1231</v>
      </c>
      <c r="B1233" s="74" t="s">
        <v>1214</v>
      </c>
      <c r="C1233" s="90" t="s">
        <v>5656</v>
      </c>
      <c r="D1233" s="4"/>
      <c r="E1233" s="4"/>
      <c r="F1233" s="4"/>
      <c r="G1233" s="4"/>
      <c r="H1233" s="4"/>
      <c r="I1233" s="4" t="s">
        <v>582</v>
      </c>
      <c r="J1233" s="4"/>
      <c r="K1233" s="4"/>
      <c r="L1233" s="4"/>
      <c r="M1233" s="4"/>
      <c r="N1233" s="4"/>
      <c r="O1233" s="4"/>
      <c r="P1233" s="4"/>
      <c r="Q1233" s="4"/>
    </row>
    <row r="1234" spans="1:17" x14ac:dyDescent="0.2">
      <c r="A1234" s="1">
        <f t="shared" ca="1" si="43"/>
        <v>1232</v>
      </c>
      <c r="B1234" s="74" t="s">
        <v>1215</v>
      </c>
      <c r="C1234" s="90" t="s">
        <v>5657</v>
      </c>
      <c r="D1234" s="4"/>
      <c r="E1234" s="4"/>
      <c r="F1234" s="4"/>
      <c r="G1234" s="4"/>
      <c r="H1234" s="4"/>
      <c r="I1234" s="4" t="s">
        <v>583</v>
      </c>
      <c r="J1234" s="4"/>
      <c r="K1234" s="4"/>
      <c r="L1234" s="4"/>
      <c r="M1234" s="4"/>
      <c r="N1234" s="4"/>
      <c r="O1234" s="4"/>
      <c r="P1234" s="4"/>
      <c r="Q1234" s="4"/>
    </row>
    <row r="1235" spans="1:17" x14ac:dyDescent="0.2">
      <c r="A1235" s="1">
        <f t="shared" ca="1" si="43"/>
        <v>1233</v>
      </c>
      <c r="B1235" s="74" t="s">
        <v>1216</v>
      </c>
      <c r="C1235" s="90" t="s">
        <v>40</v>
      </c>
      <c r="D1235" s="4"/>
      <c r="E1235" s="4"/>
      <c r="F1235" s="4"/>
      <c r="G1235" s="4"/>
      <c r="H1235" s="4"/>
      <c r="I1235" s="4" t="s">
        <v>2797</v>
      </c>
      <c r="J1235" s="4"/>
      <c r="K1235" s="4"/>
      <c r="L1235" s="4"/>
      <c r="M1235" s="4"/>
      <c r="N1235" s="4"/>
      <c r="O1235" s="4"/>
      <c r="P1235" s="4"/>
      <c r="Q1235" s="4"/>
    </row>
    <row r="1236" spans="1:17" ht="25.5" x14ac:dyDescent="0.2">
      <c r="A1236" s="1">
        <f t="shared" ca="1" si="43"/>
        <v>1234</v>
      </c>
      <c r="B1236" s="74" t="s">
        <v>1217</v>
      </c>
      <c r="C1236" s="90" t="s">
        <v>5658</v>
      </c>
      <c r="D1236" s="4"/>
      <c r="E1236" s="4"/>
      <c r="F1236" s="4"/>
      <c r="G1236" s="4"/>
      <c r="H1236" s="4"/>
      <c r="I1236" s="4" t="s">
        <v>584</v>
      </c>
      <c r="J1236" s="4"/>
      <c r="K1236" s="4"/>
      <c r="L1236" s="4"/>
      <c r="M1236" s="4"/>
      <c r="N1236" s="4"/>
      <c r="O1236" s="4"/>
      <c r="P1236" s="4"/>
      <c r="Q1236" s="4"/>
    </row>
    <row r="1237" spans="1:17" x14ac:dyDescent="0.2">
      <c r="A1237" s="1">
        <f t="shared" ca="1" si="43"/>
        <v>1235</v>
      </c>
      <c r="B1237" s="74" t="s">
        <v>1218</v>
      </c>
      <c r="C1237" s="90" t="s">
        <v>5659</v>
      </c>
      <c r="D1237" s="4"/>
      <c r="E1237" s="4"/>
      <c r="F1237" s="4"/>
      <c r="G1237" s="4"/>
      <c r="H1237" s="4"/>
      <c r="I1237" s="4" t="s">
        <v>585</v>
      </c>
      <c r="J1237" s="4"/>
      <c r="K1237" s="4"/>
      <c r="L1237" s="4"/>
      <c r="M1237" s="4"/>
      <c r="N1237" s="4"/>
      <c r="O1237" s="4"/>
      <c r="P1237" s="4"/>
      <c r="Q1237" s="4"/>
    </row>
    <row r="1238" spans="1:17" ht="25.5" x14ac:dyDescent="0.2">
      <c r="A1238" s="1">
        <f t="shared" ca="1" si="43"/>
        <v>1236</v>
      </c>
      <c r="B1238" s="74" t="s">
        <v>1219</v>
      </c>
      <c r="C1238" s="90" t="s">
        <v>1220</v>
      </c>
      <c r="D1238" s="4"/>
      <c r="E1238" s="4"/>
      <c r="F1238" s="4"/>
      <c r="G1238" s="4"/>
      <c r="H1238" s="4"/>
      <c r="I1238" s="4" t="s">
        <v>586</v>
      </c>
      <c r="J1238" s="4"/>
      <c r="K1238" s="4"/>
      <c r="L1238" s="4"/>
      <c r="M1238" s="4"/>
      <c r="N1238" s="4"/>
      <c r="O1238" s="4"/>
      <c r="P1238" s="4"/>
      <c r="Q1238" s="4"/>
    </row>
    <row r="1239" spans="1:17" x14ac:dyDescent="0.2">
      <c r="A1239" s="1">
        <f t="shared" ca="1" si="43"/>
        <v>1237</v>
      </c>
      <c r="B1239" s="74" t="s">
        <v>1221</v>
      </c>
      <c r="C1239" s="90" t="s">
        <v>5660</v>
      </c>
      <c r="D1239" s="4"/>
      <c r="E1239" s="4"/>
      <c r="F1239" s="4"/>
      <c r="G1239" s="4"/>
      <c r="H1239" s="4"/>
      <c r="I1239" s="4" t="s">
        <v>587</v>
      </c>
      <c r="J1239" s="4"/>
      <c r="K1239" s="4"/>
      <c r="L1239" s="4"/>
      <c r="M1239" s="4"/>
      <c r="N1239" s="4"/>
      <c r="O1239" s="4"/>
      <c r="P1239" s="4"/>
      <c r="Q1239" s="4"/>
    </row>
    <row r="1240" spans="1:17" x14ac:dyDescent="0.2">
      <c r="A1240" s="1">
        <f t="shared" ca="1" si="43"/>
        <v>1238</v>
      </c>
      <c r="B1240" s="74" t="s">
        <v>1222</v>
      </c>
      <c r="C1240" s="90" t="s">
        <v>41</v>
      </c>
      <c r="D1240" s="4"/>
      <c r="E1240" s="4"/>
      <c r="F1240" s="4"/>
      <c r="G1240" s="4"/>
      <c r="H1240" s="4"/>
      <c r="I1240" s="4" t="s">
        <v>588</v>
      </c>
      <c r="J1240" s="4"/>
      <c r="K1240" s="4"/>
      <c r="L1240" s="4"/>
      <c r="M1240" s="4"/>
      <c r="N1240" s="4"/>
      <c r="O1240" s="4"/>
      <c r="P1240" s="4"/>
      <c r="Q1240" s="4"/>
    </row>
    <row r="1241" spans="1:17" x14ac:dyDescent="0.2">
      <c r="A1241" s="1">
        <f t="shared" ca="1" si="43"/>
        <v>1239</v>
      </c>
      <c r="B1241" s="74" t="s">
        <v>1223</v>
      </c>
      <c r="C1241" s="90" t="s">
        <v>5661</v>
      </c>
      <c r="D1241" s="4"/>
      <c r="E1241" s="4"/>
      <c r="F1241" s="4"/>
      <c r="G1241" s="4"/>
      <c r="H1241" s="4"/>
      <c r="I1241" s="4" t="s">
        <v>589</v>
      </c>
      <c r="J1241" s="4"/>
      <c r="K1241" s="4"/>
      <c r="L1241" s="4"/>
      <c r="M1241" s="4"/>
      <c r="N1241" s="4"/>
      <c r="O1241" s="4"/>
      <c r="P1241" s="4"/>
      <c r="Q1241" s="4"/>
    </row>
    <row r="1242" spans="1:17" x14ac:dyDescent="0.2">
      <c r="A1242" s="1">
        <f t="shared" ca="1" si="43"/>
        <v>1240</v>
      </c>
      <c r="B1242" s="74" t="s">
        <v>1224</v>
      </c>
      <c r="C1242" s="90" t="s">
        <v>5662</v>
      </c>
      <c r="D1242" s="4"/>
      <c r="E1242" s="4"/>
      <c r="F1242" s="4"/>
      <c r="G1242" s="4"/>
      <c r="H1242" s="4"/>
      <c r="I1242" s="4" t="s">
        <v>590</v>
      </c>
      <c r="J1242" s="4"/>
      <c r="K1242" s="4"/>
      <c r="L1242" s="4"/>
      <c r="M1242" s="4"/>
      <c r="N1242" s="4"/>
      <c r="O1242" s="4"/>
      <c r="P1242" s="4"/>
      <c r="Q1242" s="4"/>
    </row>
    <row r="1243" spans="1:17" x14ac:dyDescent="0.2">
      <c r="A1243" s="1">
        <f t="shared" ca="1" si="43"/>
        <v>1241</v>
      </c>
      <c r="B1243" s="74" t="s">
        <v>1225</v>
      </c>
      <c r="C1243" s="90" t="s">
        <v>4554</v>
      </c>
      <c r="D1243" s="4"/>
      <c r="E1243" s="4"/>
      <c r="F1243" s="4"/>
      <c r="G1243" s="4"/>
      <c r="H1243" s="4"/>
      <c r="I1243" s="4" t="s">
        <v>591</v>
      </c>
      <c r="J1243" s="4"/>
      <c r="K1243" s="4"/>
      <c r="L1243" s="4"/>
      <c r="M1243" s="4"/>
      <c r="N1243" s="4"/>
      <c r="O1243" s="4"/>
      <c r="P1243" s="4"/>
      <c r="Q1243" s="4"/>
    </row>
    <row r="1244" spans="1:17" x14ac:dyDescent="0.2">
      <c r="A1244" s="1">
        <f t="shared" ca="1" si="43"/>
        <v>1242</v>
      </c>
      <c r="B1244" s="74" t="s">
        <v>4613</v>
      </c>
      <c r="C1244" s="90" t="s">
        <v>4555</v>
      </c>
      <c r="D1244" s="4"/>
      <c r="E1244" s="4"/>
      <c r="F1244" s="4"/>
      <c r="G1244" s="4"/>
      <c r="H1244" s="4"/>
      <c r="I1244" s="4" t="s">
        <v>592</v>
      </c>
      <c r="J1244" s="4"/>
      <c r="K1244" s="4"/>
      <c r="L1244" s="4"/>
      <c r="M1244" s="4"/>
      <c r="N1244" s="4"/>
      <c r="O1244" s="4"/>
      <c r="P1244" s="4"/>
      <c r="Q1244" s="4"/>
    </row>
    <row r="1245" spans="1:17" x14ac:dyDescent="0.2">
      <c r="A1245" s="1">
        <f t="shared" ca="1" si="43"/>
        <v>1243</v>
      </c>
      <c r="B1245" s="74" t="s">
        <v>3052</v>
      </c>
      <c r="C1245" s="90" t="s">
        <v>4556</v>
      </c>
      <c r="D1245" s="4"/>
      <c r="E1245" s="4"/>
      <c r="F1245" s="4"/>
      <c r="G1245" s="4"/>
      <c r="H1245" s="4"/>
      <c r="I1245" s="4" t="s">
        <v>593</v>
      </c>
      <c r="J1245" s="4"/>
      <c r="K1245" s="4"/>
      <c r="L1245" s="4"/>
      <c r="M1245" s="4"/>
      <c r="N1245" s="4"/>
      <c r="O1245" s="4"/>
      <c r="P1245" s="4"/>
      <c r="Q1245" s="4"/>
    </row>
    <row r="1246" spans="1:17" x14ac:dyDescent="0.2">
      <c r="A1246" s="1">
        <f t="shared" ca="1" si="43"/>
        <v>1244</v>
      </c>
      <c r="B1246" s="74" t="s">
        <v>3053</v>
      </c>
      <c r="C1246" s="90" t="s">
        <v>4557</v>
      </c>
      <c r="D1246" s="4"/>
      <c r="E1246" s="4"/>
      <c r="F1246" s="4"/>
      <c r="G1246" s="4"/>
      <c r="H1246" s="4"/>
      <c r="I1246" s="4" t="s">
        <v>594</v>
      </c>
      <c r="J1246" s="4"/>
      <c r="K1246" s="4"/>
      <c r="L1246" s="4"/>
      <c r="M1246" s="4"/>
      <c r="N1246" s="4"/>
      <c r="O1246" s="4"/>
      <c r="P1246" s="4"/>
      <c r="Q1246" s="4"/>
    </row>
    <row r="1247" spans="1:17" x14ac:dyDescent="0.2">
      <c r="A1247" s="1">
        <f t="shared" ca="1" si="43"/>
        <v>1245</v>
      </c>
      <c r="B1247" s="74" t="s">
        <v>4767</v>
      </c>
      <c r="C1247" s="90" t="s">
        <v>4558</v>
      </c>
      <c r="D1247" s="4"/>
      <c r="E1247" s="4"/>
      <c r="F1247" s="4"/>
      <c r="G1247" s="4"/>
      <c r="H1247" s="4"/>
      <c r="I1247" s="4" t="s">
        <v>595</v>
      </c>
      <c r="J1247" s="4"/>
      <c r="K1247" s="4"/>
      <c r="L1247" s="4"/>
      <c r="M1247" s="4"/>
      <c r="N1247" s="4"/>
      <c r="O1247" s="4"/>
      <c r="P1247" s="4"/>
      <c r="Q1247" s="4"/>
    </row>
    <row r="1248" spans="1:17" x14ac:dyDescent="0.2">
      <c r="A1248" s="1">
        <f t="shared" ca="1" si="43"/>
        <v>1246</v>
      </c>
      <c r="B1248" s="74" t="s">
        <v>7121</v>
      </c>
      <c r="C1248" s="91" t="s">
        <v>3607</v>
      </c>
      <c r="D1248" s="4"/>
      <c r="E1248" s="4"/>
      <c r="F1248" s="4"/>
      <c r="G1248" s="4"/>
      <c r="H1248" s="4"/>
      <c r="I1248" s="4" t="s">
        <v>596</v>
      </c>
      <c r="J1248" s="4"/>
      <c r="K1248" s="4"/>
      <c r="L1248" s="4"/>
      <c r="M1248" s="4"/>
      <c r="N1248" s="4"/>
      <c r="O1248" s="4"/>
      <c r="P1248" s="4"/>
      <c r="Q1248" s="4"/>
    </row>
    <row r="1249" spans="1:17" x14ac:dyDescent="0.2">
      <c r="A1249" s="1">
        <f t="shared" ca="1" si="43"/>
        <v>1247</v>
      </c>
      <c r="B1249" s="74" t="s">
        <v>955</v>
      </c>
      <c r="C1249" s="91" t="s">
        <v>4559</v>
      </c>
      <c r="D1249" s="4"/>
      <c r="E1249" s="4"/>
      <c r="F1249" s="4"/>
      <c r="G1249" s="4"/>
      <c r="H1249" s="4"/>
      <c r="I1249" s="4" t="s">
        <v>597</v>
      </c>
      <c r="J1249" s="4"/>
      <c r="K1249" s="4"/>
      <c r="L1249" s="4"/>
      <c r="M1249" s="4"/>
      <c r="N1249" s="4"/>
      <c r="O1249" s="4"/>
      <c r="P1249" s="4"/>
      <c r="Q1249" s="4"/>
    </row>
    <row r="1250" spans="1:17" x14ac:dyDescent="0.2">
      <c r="A1250" s="1">
        <f t="shared" ca="1" si="43"/>
        <v>1248</v>
      </c>
      <c r="B1250" s="74" t="s">
        <v>956</v>
      </c>
      <c r="C1250" s="91" t="s">
        <v>956</v>
      </c>
      <c r="D1250" s="4"/>
      <c r="E1250" s="4"/>
      <c r="F1250" s="4"/>
      <c r="G1250" s="4"/>
      <c r="H1250" s="4"/>
      <c r="I1250" s="4" t="s">
        <v>485</v>
      </c>
      <c r="J1250" s="4"/>
      <c r="K1250" s="4"/>
      <c r="L1250" s="4"/>
      <c r="M1250" s="4"/>
      <c r="N1250" s="4"/>
      <c r="O1250" s="4"/>
      <c r="P1250" s="4"/>
      <c r="Q1250" s="4"/>
    </row>
    <row r="1251" spans="1:17" x14ac:dyDescent="0.2">
      <c r="A1251" s="1">
        <f t="shared" ca="1" si="43"/>
        <v>1249</v>
      </c>
      <c r="B1251" s="74" t="s">
        <v>957</v>
      </c>
      <c r="C1251" s="90" t="s">
        <v>4560</v>
      </c>
      <c r="D1251" s="4"/>
      <c r="E1251" s="4"/>
      <c r="F1251" s="4"/>
      <c r="G1251" s="4"/>
      <c r="H1251" s="4"/>
      <c r="I1251" s="4" t="s">
        <v>598</v>
      </c>
      <c r="J1251" s="4"/>
      <c r="K1251" s="4"/>
      <c r="L1251" s="4"/>
      <c r="M1251" s="4"/>
      <c r="N1251" s="4"/>
      <c r="O1251" s="4"/>
      <c r="P1251" s="4"/>
      <c r="Q1251" s="4"/>
    </row>
    <row r="1252" spans="1:17" x14ac:dyDescent="0.2">
      <c r="A1252" s="1">
        <f t="shared" ref="A1252:A1316" ca="1" si="47">CELL("row",C1252)-2</f>
        <v>1250</v>
      </c>
      <c r="B1252" s="74" t="s">
        <v>958</v>
      </c>
      <c r="C1252" s="90" t="s">
        <v>4560</v>
      </c>
      <c r="D1252" s="4"/>
      <c r="E1252" s="4"/>
      <c r="F1252" s="4"/>
      <c r="G1252" s="4"/>
      <c r="H1252" s="4"/>
      <c r="I1252" s="4" t="s">
        <v>598</v>
      </c>
      <c r="J1252" s="4"/>
      <c r="K1252" s="4"/>
      <c r="L1252" s="4"/>
      <c r="M1252" s="4"/>
      <c r="N1252" s="4"/>
      <c r="O1252" s="4"/>
      <c r="P1252" s="4"/>
      <c r="Q1252" s="4"/>
    </row>
    <row r="1253" spans="1:17" ht="25.5" x14ac:dyDescent="0.2">
      <c r="A1253" s="1">
        <f t="shared" ca="1" si="47"/>
        <v>1251</v>
      </c>
      <c r="B1253" s="74" t="s">
        <v>959</v>
      </c>
      <c r="C1253" s="90" t="s">
        <v>4561</v>
      </c>
      <c r="D1253" s="4"/>
      <c r="E1253" s="4"/>
      <c r="F1253" s="4"/>
      <c r="G1253" s="4"/>
      <c r="H1253" s="4"/>
      <c r="I1253" s="4" t="s">
        <v>599</v>
      </c>
      <c r="J1253" s="4"/>
      <c r="K1253" s="4"/>
      <c r="L1253" s="4"/>
      <c r="M1253" s="4"/>
      <c r="N1253" s="4"/>
      <c r="O1253" s="4"/>
      <c r="P1253" s="4"/>
      <c r="Q1253" s="4"/>
    </row>
    <row r="1254" spans="1:17" x14ac:dyDescent="0.2">
      <c r="A1254" s="1">
        <f t="shared" ca="1" si="47"/>
        <v>1252</v>
      </c>
      <c r="B1254" s="74" t="s">
        <v>960</v>
      </c>
      <c r="C1254" s="90" t="s">
        <v>4562</v>
      </c>
      <c r="D1254" s="4"/>
      <c r="E1254" s="4"/>
      <c r="F1254" s="4"/>
      <c r="G1254" s="4"/>
      <c r="H1254" s="4"/>
      <c r="I1254" s="4" t="s">
        <v>600</v>
      </c>
      <c r="J1254" s="4"/>
      <c r="K1254" s="4"/>
      <c r="L1254" s="4"/>
      <c r="M1254" s="4"/>
      <c r="N1254" s="4"/>
      <c r="O1254" s="4"/>
      <c r="P1254" s="4"/>
      <c r="Q1254" s="4"/>
    </row>
    <row r="1255" spans="1:17" x14ac:dyDescent="0.2">
      <c r="A1255" s="1">
        <f t="shared" ca="1" si="47"/>
        <v>1253</v>
      </c>
      <c r="B1255" s="74" t="s">
        <v>961</v>
      </c>
      <c r="C1255" s="90" t="s">
        <v>4563</v>
      </c>
      <c r="D1255" s="4"/>
      <c r="E1255" s="4"/>
      <c r="F1255" s="4"/>
      <c r="G1255" s="4"/>
      <c r="H1255" s="4"/>
      <c r="I1255" s="4" t="s">
        <v>601</v>
      </c>
      <c r="J1255" s="4"/>
      <c r="K1255" s="4"/>
      <c r="L1255" s="4"/>
      <c r="M1255" s="4"/>
      <c r="N1255" s="4"/>
      <c r="O1255" s="4"/>
      <c r="P1255" s="4"/>
      <c r="Q1255" s="4"/>
    </row>
    <row r="1256" spans="1:17" x14ac:dyDescent="0.2">
      <c r="A1256" s="1">
        <f t="shared" ca="1" si="47"/>
        <v>1254</v>
      </c>
      <c r="B1256" s="74" t="s">
        <v>962</v>
      </c>
      <c r="C1256" s="91" t="s">
        <v>4564</v>
      </c>
      <c r="D1256" s="4"/>
      <c r="E1256" s="4"/>
      <c r="F1256" s="4"/>
      <c r="G1256" s="4"/>
      <c r="H1256" s="4"/>
      <c r="I1256" s="4" t="s">
        <v>602</v>
      </c>
      <c r="J1256" s="4"/>
      <c r="K1256" s="4"/>
      <c r="L1256" s="4"/>
      <c r="M1256" s="4"/>
      <c r="N1256" s="4"/>
      <c r="O1256" s="4"/>
      <c r="P1256" s="4"/>
      <c r="Q1256" s="4"/>
    </row>
    <row r="1257" spans="1:17" x14ac:dyDescent="0.2">
      <c r="A1257" s="1">
        <f t="shared" ca="1" si="47"/>
        <v>1255</v>
      </c>
      <c r="B1257" s="74" t="s">
        <v>963</v>
      </c>
      <c r="C1257" s="90" t="s">
        <v>4565</v>
      </c>
      <c r="D1257" s="4"/>
      <c r="E1257" s="4"/>
      <c r="F1257" s="4"/>
      <c r="G1257" s="4"/>
      <c r="H1257" s="4"/>
      <c r="I1257" s="4" t="s">
        <v>2187</v>
      </c>
      <c r="J1257" s="4"/>
      <c r="K1257" s="4"/>
      <c r="L1257" s="4"/>
      <c r="M1257" s="4"/>
      <c r="N1257" s="4"/>
      <c r="O1257" s="4"/>
      <c r="P1257" s="4"/>
      <c r="Q1257" s="4"/>
    </row>
    <row r="1258" spans="1:17" x14ac:dyDescent="0.2">
      <c r="A1258" s="1">
        <f t="shared" ca="1" si="47"/>
        <v>1256</v>
      </c>
      <c r="B1258" s="74" t="s">
        <v>6917</v>
      </c>
      <c r="C1258" s="90" t="s">
        <v>6534</v>
      </c>
      <c r="D1258" s="4"/>
      <c r="E1258" s="4"/>
      <c r="F1258" s="4"/>
      <c r="G1258" s="4"/>
      <c r="H1258" s="4"/>
      <c r="I1258" s="4" t="s">
        <v>2188</v>
      </c>
      <c r="J1258" s="4"/>
      <c r="K1258" s="4"/>
      <c r="L1258" s="4"/>
      <c r="M1258" s="4"/>
      <c r="N1258" s="4"/>
      <c r="O1258" s="4"/>
      <c r="P1258" s="4"/>
      <c r="Q1258" s="4"/>
    </row>
    <row r="1259" spans="1:17" x14ac:dyDescent="0.2">
      <c r="A1259" s="1">
        <f t="shared" ca="1" si="47"/>
        <v>1257</v>
      </c>
      <c r="B1259" s="74" t="s">
        <v>6918</v>
      </c>
      <c r="C1259" s="90" t="s">
        <v>4566</v>
      </c>
      <c r="D1259" s="4"/>
      <c r="E1259" s="4"/>
      <c r="F1259" s="4"/>
      <c r="G1259" s="4"/>
      <c r="H1259" s="4"/>
      <c r="I1259" s="4" t="s">
        <v>603</v>
      </c>
      <c r="J1259" s="4"/>
      <c r="K1259" s="4"/>
      <c r="L1259" s="4"/>
      <c r="M1259" s="4"/>
      <c r="N1259" s="4"/>
      <c r="O1259" s="4"/>
      <c r="P1259" s="4"/>
      <c r="Q1259" s="4"/>
    </row>
    <row r="1260" spans="1:17" x14ac:dyDescent="0.2">
      <c r="A1260" s="1">
        <f t="shared" ca="1" si="47"/>
        <v>1258</v>
      </c>
      <c r="B1260" s="74" t="s">
        <v>4283</v>
      </c>
      <c r="C1260" s="90" t="s">
        <v>4284</v>
      </c>
      <c r="D1260" s="4"/>
      <c r="E1260" s="4"/>
      <c r="F1260" s="4"/>
      <c r="G1260" s="4"/>
      <c r="H1260" s="4"/>
      <c r="J1260" s="4"/>
      <c r="K1260" s="4"/>
      <c r="L1260" s="4"/>
      <c r="M1260" s="4"/>
      <c r="N1260" s="4"/>
      <c r="O1260" s="4"/>
      <c r="P1260" s="4"/>
      <c r="Q1260" s="4"/>
    </row>
    <row r="1261" spans="1:17" x14ac:dyDescent="0.2">
      <c r="A1261" s="1">
        <f t="shared" ca="1" si="47"/>
        <v>1259</v>
      </c>
      <c r="B1261" s="74" t="s">
        <v>6919</v>
      </c>
      <c r="C1261" s="90" t="s">
        <v>4567</v>
      </c>
      <c r="D1261" s="4"/>
      <c r="E1261" s="4"/>
      <c r="F1261" s="4"/>
      <c r="G1261" s="4"/>
      <c r="H1261" s="4"/>
      <c r="I1261" s="4" t="s">
        <v>604</v>
      </c>
      <c r="J1261" s="4"/>
      <c r="K1261" s="4"/>
      <c r="L1261" s="4"/>
      <c r="M1261" s="4"/>
      <c r="N1261" s="4"/>
      <c r="O1261" s="4"/>
      <c r="P1261" s="4"/>
      <c r="Q1261" s="4"/>
    </row>
    <row r="1262" spans="1:17" x14ac:dyDescent="0.2">
      <c r="A1262" s="1">
        <f t="shared" ca="1" si="47"/>
        <v>1260</v>
      </c>
      <c r="B1262" s="74" t="s">
        <v>6920</v>
      </c>
      <c r="C1262" s="90" t="s">
        <v>4568</v>
      </c>
      <c r="D1262" s="4"/>
      <c r="E1262" s="4"/>
      <c r="F1262" s="4"/>
      <c r="G1262" s="4"/>
      <c r="H1262" s="4"/>
      <c r="I1262" s="4" t="s">
        <v>605</v>
      </c>
      <c r="J1262" s="4"/>
      <c r="K1262" s="4"/>
      <c r="L1262" s="4"/>
      <c r="M1262" s="4"/>
      <c r="N1262" s="4"/>
      <c r="O1262" s="4"/>
      <c r="P1262" s="4"/>
      <c r="Q1262" s="4"/>
    </row>
    <row r="1263" spans="1:17" x14ac:dyDescent="0.2">
      <c r="A1263" s="1">
        <f t="shared" ca="1" si="47"/>
        <v>1261</v>
      </c>
      <c r="B1263" s="74" t="s">
        <v>6921</v>
      </c>
      <c r="C1263" s="90" t="s">
        <v>4569</v>
      </c>
      <c r="D1263" s="4"/>
      <c r="E1263" s="4"/>
      <c r="F1263" s="4"/>
      <c r="G1263" s="4"/>
      <c r="H1263" s="4"/>
      <c r="I1263" s="4" t="s">
        <v>606</v>
      </c>
      <c r="J1263" s="4"/>
      <c r="K1263" s="4"/>
      <c r="L1263" s="4"/>
      <c r="M1263" s="4"/>
      <c r="N1263" s="4"/>
      <c r="O1263" s="4"/>
      <c r="P1263" s="4"/>
      <c r="Q1263" s="4"/>
    </row>
    <row r="1264" spans="1:17" ht="15.75" x14ac:dyDescent="0.2">
      <c r="A1264" s="1">
        <f t="shared" ca="1" si="47"/>
        <v>1262</v>
      </c>
      <c r="B1264" s="1" t="s">
        <v>6634</v>
      </c>
      <c r="C1264" s="90" t="s">
        <v>3194</v>
      </c>
      <c r="D1264" s="4"/>
      <c r="E1264" s="4"/>
      <c r="F1264" s="4"/>
      <c r="G1264" s="4"/>
      <c r="H1264" s="4"/>
      <c r="I1264" s="4" t="s">
        <v>607</v>
      </c>
      <c r="J1264" s="4"/>
      <c r="K1264" s="4"/>
      <c r="L1264" s="4"/>
      <c r="M1264" s="4"/>
      <c r="N1264" s="4"/>
      <c r="O1264" s="4"/>
      <c r="P1264" s="4"/>
      <c r="Q1264" s="4"/>
    </row>
    <row r="1265" spans="1:17" ht="15.75" x14ac:dyDescent="0.2">
      <c r="A1265" s="1">
        <f t="shared" ca="1" si="47"/>
        <v>1263</v>
      </c>
      <c r="B1265" s="1" t="s">
        <v>6635</v>
      </c>
      <c r="C1265" s="90" t="s">
        <v>4570</v>
      </c>
      <c r="D1265" s="4"/>
      <c r="E1265" s="4"/>
      <c r="F1265" s="4"/>
      <c r="G1265" s="4"/>
      <c r="H1265" s="4"/>
      <c r="I1265" s="4" t="s">
        <v>608</v>
      </c>
      <c r="J1265" s="4"/>
      <c r="K1265" s="4"/>
      <c r="L1265" s="4"/>
      <c r="M1265" s="4"/>
      <c r="N1265" s="4"/>
      <c r="O1265" s="4"/>
      <c r="P1265" s="4"/>
      <c r="Q1265" s="4"/>
    </row>
    <row r="1266" spans="1:17" ht="25.5" x14ac:dyDescent="0.2">
      <c r="A1266" s="1">
        <f t="shared" ca="1" si="47"/>
        <v>1264</v>
      </c>
      <c r="B1266" s="1" t="s">
        <v>6922</v>
      </c>
      <c r="C1266" s="90" t="s">
        <v>4571</v>
      </c>
      <c r="D1266" s="4"/>
      <c r="E1266" s="4"/>
      <c r="F1266" s="4"/>
      <c r="G1266" s="4"/>
      <c r="H1266" s="4"/>
      <c r="I1266" s="4" t="s">
        <v>275</v>
      </c>
      <c r="J1266" s="4"/>
      <c r="K1266" s="4"/>
      <c r="L1266" s="4"/>
      <c r="M1266" s="4"/>
      <c r="N1266" s="4"/>
      <c r="O1266" s="4"/>
      <c r="P1266" s="4"/>
      <c r="Q1266" s="4"/>
    </row>
    <row r="1267" spans="1:17" x14ac:dyDescent="0.2">
      <c r="A1267" s="1">
        <f t="shared" ca="1" si="47"/>
        <v>1265</v>
      </c>
      <c r="B1267" s="1" t="s">
        <v>6923</v>
      </c>
      <c r="C1267" s="90" t="s">
        <v>4516</v>
      </c>
      <c r="D1267" s="4"/>
      <c r="E1267" s="4"/>
      <c r="F1267" s="4"/>
      <c r="G1267" s="4"/>
      <c r="H1267" s="4"/>
      <c r="I1267" s="4" t="s">
        <v>276</v>
      </c>
      <c r="J1267" s="4"/>
      <c r="K1267" s="4"/>
      <c r="L1267" s="4"/>
      <c r="M1267" s="4"/>
      <c r="N1267" s="4"/>
      <c r="O1267" s="4"/>
      <c r="P1267" s="4"/>
      <c r="Q1267" s="4"/>
    </row>
    <row r="1268" spans="1:17" x14ac:dyDescent="0.2">
      <c r="A1268" s="1">
        <f t="shared" ca="1" si="47"/>
        <v>1266</v>
      </c>
      <c r="B1268" s="1" t="s">
        <v>3975</v>
      </c>
      <c r="C1268" s="90" t="s">
        <v>3528</v>
      </c>
      <c r="D1268" s="4"/>
      <c r="E1268" s="4"/>
      <c r="F1268" s="4"/>
      <c r="G1268" s="4"/>
      <c r="H1268" s="4"/>
      <c r="I1268" s="4" t="s">
        <v>277</v>
      </c>
      <c r="J1268" s="4"/>
      <c r="K1268" s="4"/>
      <c r="L1268" s="4"/>
      <c r="M1268" s="4"/>
      <c r="N1268" s="4"/>
      <c r="O1268" s="4"/>
      <c r="P1268" s="4"/>
      <c r="Q1268" s="4"/>
    </row>
    <row r="1269" spans="1:17" ht="25.5" x14ac:dyDescent="0.2">
      <c r="A1269" s="1">
        <f t="shared" ca="1" si="47"/>
        <v>1267</v>
      </c>
      <c r="B1269" s="1" t="s">
        <v>3976</v>
      </c>
      <c r="C1269" s="90" t="s">
        <v>4517</v>
      </c>
      <c r="D1269" s="4"/>
      <c r="E1269" s="4"/>
      <c r="F1269" s="4"/>
      <c r="G1269" s="4"/>
      <c r="H1269" s="4"/>
      <c r="I1269" s="4" t="s">
        <v>278</v>
      </c>
      <c r="J1269" s="4"/>
      <c r="K1269" s="4"/>
      <c r="L1269" s="4"/>
      <c r="M1269" s="4"/>
      <c r="N1269" s="4"/>
      <c r="O1269" s="4"/>
      <c r="P1269" s="4"/>
      <c r="Q1269" s="4"/>
    </row>
    <row r="1270" spans="1:17" x14ac:dyDescent="0.2">
      <c r="A1270" s="1">
        <f t="shared" ca="1" si="47"/>
        <v>1268</v>
      </c>
      <c r="B1270" s="1" t="s">
        <v>3977</v>
      </c>
      <c r="C1270" s="90" t="s">
        <v>3978</v>
      </c>
      <c r="D1270" s="4"/>
      <c r="E1270" s="4"/>
      <c r="F1270" s="4"/>
      <c r="G1270" s="4"/>
      <c r="H1270" s="4"/>
      <c r="I1270" s="4" t="s">
        <v>279</v>
      </c>
      <c r="J1270" s="4"/>
      <c r="K1270" s="4"/>
      <c r="L1270" s="4"/>
      <c r="M1270" s="4"/>
      <c r="N1270" s="4"/>
      <c r="O1270" s="4"/>
      <c r="P1270" s="4"/>
      <c r="Q1270" s="4"/>
    </row>
    <row r="1271" spans="1:17" x14ac:dyDescent="0.2">
      <c r="A1271" s="1">
        <f t="shared" ca="1" si="47"/>
        <v>1269</v>
      </c>
      <c r="B1271" s="1" t="s">
        <v>3979</v>
      </c>
      <c r="C1271" s="90" t="s">
        <v>7927</v>
      </c>
      <c r="D1271" s="4"/>
      <c r="E1271" s="4"/>
      <c r="F1271" s="4"/>
      <c r="G1271" s="4"/>
      <c r="H1271" s="4"/>
      <c r="I1271" s="4" t="s">
        <v>280</v>
      </c>
      <c r="J1271" s="4"/>
      <c r="K1271" s="4"/>
      <c r="L1271" s="4"/>
      <c r="M1271" s="4"/>
      <c r="N1271" s="4"/>
      <c r="O1271" s="4"/>
      <c r="P1271" s="4"/>
      <c r="Q1271" s="4"/>
    </row>
    <row r="1272" spans="1:17" x14ac:dyDescent="0.2">
      <c r="A1272" s="1">
        <f t="shared" ca="1" si="47"/>
        <v>1270</v>
      </c>
      <c r="B1272" s="1" t="s">
        <v>3980</v>
      </c>
      <c r="C1272" s="90" t="s">
        <v>3715</v>
      </c>
      <c r="D1272" s="4"/>
      <c r="E1272" s="4"/>
      <c r="F1272" s="4"/>
      <c r="G1272" s="4"/>
      <c r="H1272" s="4"/>
      <c r="I1272" s="4" t="s">
        <v>4992</v>
      </c>
      <c r="J1272" s="4"/>
      <c r="K1272" s="4"/>
      <c r="L1272" s="4"/>
      <c r="M1272" s="4"/>
      <c r="N1272" s="4"/>
      <c r="O1272" s="4"/>
      <c r="P1272" s="4"/>
      <c r="Q1272" s="4"/>
    </row>
    <row r="1273" spans="1:17" ht="25.5" x14ac:dyDescent="0.2">
      <c r="A1273" s="1">
        <f t="shared" ca="1" si="47"/>
        <v>1271</v>
      </c>
      <c r="B1273" s="1" t="s">
        <v>3981</v>
      </c>
      <c r="C1273" s="90" t="s">
        <v>7928</v>
      </c>
      <c r="D1273" s="4"/>
      <c r="E1273" s="4"/>
      <c r="F1273" s="4"/>
      <c r="G1273" s="4"/>
      <c r="H1273" s="4"/>
      <c r="I1273" s="4" t="s">
        <v>281</v>
      </c>
      <c r="J1273" s="4"/>
      <c r="K1273" s="4"/>
      <c r="L1273" s="4"/>
      <c r="M1273" s="4"/>
      <c r="N1273" s="4"/>
      <c r="O1273" s="4"/>
      <c r="P1273" s="4"/>
      <c r="Q1273" s="4"/>
    </row>
    <row r="1274" spans="1:17" x14ac:dyDescent="0.2">
      <c r="A1274" s="1">
        <f t="shared" ca="1" si="47"/>
        <v>1272</v>
      </c>
      <c r="B1274" s="1" t="s">
        <v>3982</v>
      </c>
      <c r="C1274" s="90" t="s">
        <v>7929</v>
      </c>
      <c r="D1274" s="4"/>
      <c r="E1274" s="4"/>
      <c r="F1274" s="4"/>
      <c r="G1274" s="4"/>
      <c r="H1274" s="4"/>
      <c r="I1274" s="4" t="s">
        <v>282</v>
      </c>
      <c r="J1274" s="4"/>
      <c r="K1274" s="4"/>
      <c r="L1274" s="4"/>
      <c r="M1274" s="4"/>
      <c r="N1274" s="4"/>
      <c r="O1274" s="4"/>
      <c r="P1274" s="4"/>
      <c r="Q1274" s="4"/>
    </row>
    <row r="1275" spans="1:17" ht="25.5" x14ac:dyDescent="0.2">
      <c r="A1275" s="1">
        <f t="shared" ca="1" si="47"/>
        <v>1273</v>
      </c>
      <c r="B1275" s="1" t="s">
        <v>8498</v>
      </c>
      <c r="C1275" s="90" t="s">
        <v>7930</v>
      </c>
      <c r="D1275" s="4"/>
      <c r="E1275" s="4"/>
      <c r="F1275" s="4"/>
      <c r="G1275" s="4"/>
      <c r="H1275" s="4"/>
      <c r="I1275" s="4" t="s">
        <v>283</v>
      </c>
      <c r="J1275" s="4"/>
      <c r="K1275" s="4"/>
      <c r="L1275" s="4"/>
      <c r="M1275" s="4"/>
      <c r="N1275" s="4"/>
      <c r="O1275" s="4"/>
      <c r="P1275" s="4"/>
      <c r="Q1275" s="4"/>
    </row>
    <row r="1276" spans="1:17" ht="25.5" x14ac:dyDescent="0.2">
      <c r="A1276" s="1">
        <f t="shared" ca="1" si="47"/>
        <v>1274</v>
      </c>
      <c r="B1276" s="1" t="s">
        <v>8499</v>
      </c>
      <c r="C1276" s="90" t="s">
        <v>7931</v>
      </c>
      <c r="D1276" s="4"/>
      <c r="E1276" s="4"/>
      <c r="F1276" s="4"/>
      <c r="G1276" s="4"/>
      <c r="H1276" s="4"/>
      <c r="I1276" s="4" t="s">
        <v>284</v>
      </c>
      <c r="J1276" s="4"/>
      <c r="K1276" s="4"/>
      <c r="L1276" s="4"/>
      <c r="M1276" s="4"/>
      <c r="N1276" s="4"/>
      <c r="O1276" s="4"/>
      <c r="P1276" s="4"/>
      <c r="Q1276" s="4"/>
    </row>
    <row r="1277" spans="1:17" x14ac:dyDescent="0.2">
      <c r="A1277" s="1">
        <f t="shared" ca="1" si="47"/>
        <v>1275</v>
      </c>
      <c r="B1277" s="1" t="s">
        <v>8500</v>
      </c>
      <c r="C1277" s="90" t="s">
        <v>8501</v>
      </c>
      <c r="D1277" s="4"/>
      <c r="E1277" s="4"/>
      <c r="F1277" s="4"/>
      <c r="G1277" s="4"/>
      <c r="H1277" s="4"/>
      <c r="I1277" s="4" t="s">
        <v>285</v>
      </c>
      <c r="J1277" s="4"/>
      <c r="K1277" s="4"/>
      <c r="L1277" s="4"/>
      <c r="M1277" s="4"/>
      <c r="N1277" s="4"/>
      <c r="O1277" s="4"/>
      <c r="P1277" s="4"/>
      <c r="Q1277" s="4"/>
    </row>
    <row r="1278" spans="1:17" x14ac:dyDescent="0.2">
      <c r="A1278" s="1">
        <f t="shared" ca="1" si="47"/>
        <v>1276</v>
      </c>
      <c r="B1278" s="1" t="s">
        <v>513</v>
      </c>
      <c r="C1278" s="90" t="s">
        <v>7932</v>
      </c>
      <c r="D1278" s="4"/>
      <c r="E1278" s="4"/>
      <c r="F1278" s="4"/>
      <c r="G1278" s="4"/>
      <c r="H1278" s="4"/>
      <c r="I1278" s="4" t="s">
        <v>286</v>
      </c>
      <c r="J1278" s="4"/>
      <c r="K1278" s="4"/>
      <c r="L1278" s="4"/>
      <c r="M1278" s="4"/>
      <c r="N1278" s="4"/>
      <c r="O1278" s="4"/>
      <c r="P1278" s="4"/>
      <c r="Q1278" s="4"/>
    </row>
    <row r="1279" spans="1:17" x14ac:dyDescent="0.2">
      <c r="A1279" s="1">
        <f t="shared" ca="1" si="47"/>
        <v>1277</v>
      </c>
      <c r="B1279" s="1" t="s">
        <v>2486</v>
      </c>
      <c r="C1279" s="90" t="s">
        <v>7933</v>
      </c>
      <c r="D1279" s="4"/>
      <c r="E1279" s="4"/>
      <c r="F1279" s="4"/>
      <c r="G1279" s="4"/>
      <c r="H1279" s="4"/>
      <c r="I1279" s="4" t="s">
        <v>287</v>
      </c>
      <c r="J1279" s="4"/>
      <c r="K1279" s="4"/>
      <c r="L1279" s="4"/>
      <c r="M1279" s="4"/>
      <c r="N1279" s="4"/>
      <c r="O1279" s="4"/>
      <c r="P1279" s="4"/>
      <c r="Q1279" s="4"/>
    </row>
    <row r="1280" spans="1:17" x14ac:dyDescent="0.2">
      <c r="A1280" s="1">
        <f t="shared" ca="1" si="47"/>
        <v>1278</v>
      </c>
      <c r="B1280" s="1" t="s">
        <v>4876</v>
      </c>
      <c r="C1280" s="90" t="s">
        <v>4833</v>
      </c>
      <c r="D1280" s="4"/>
      <c r="E1280" s="4"/>
      <c r="F1280" s="4"/>
      <c r="G1280" s="4"/>
      <c r="H1280" s="4"/>
      <c r="I1280" s="4" t="s">
        <v>288</v>
      </c>
      <c r="J1280" s="4"/>
      <c r="K1280" s="4"/>
      <c r="L1280" s="4"/>
      <c r="M1280" s="4"/>
      <c r="N1280" s="4"/>
      <c r="O1280" s="4"/>
      <c r="P1280" s="4"/>
      <c r="Q1280" s="4"/>
    </row>
    <row r="1281" spans="1:17" x14ac:dyDescent="0.2">
      <c r="A1281" s="1">
        <f t="shared" ca="1" si="47"/>
        <v>1279</v>
      </c>
      <c r="B1281" s="1" t="s">
        <v>4877</v>
      </c>
      <c r="C1281" s="90" t="s">
        <v>7934</v>
      </c>
      <c r="D1281" s="4"/>
      <c r="E1281" s="4"/>
      <c r="F1281" s="4"/>
      <c r="G1281" s="4"/>
      <c r="H1281" s="4"/>
      <c r="I1281" s="4" t="s">
        <v>3515</v>
      </c>
      <c r="J1281" s="4"/>
      <c r="K1281" s="4"/>
      <c r="L1281" s="4"/>
      <c r="M1281" s="4"/>
      <c r="N1281" s="4"/>
      <c r="O1281" s="4"/>
      <c r="P1281" s="4"/>
      <c r="Q1281" s="4"/>
    </row>
    <row r="1282" spans="1:17" ht="25.5" x14ac:dyDescent="0.2">
      <c r="A1282" s="1">
        <f t="shared" ca="1" si="47"/>
        <v>1280</v>
      </c>
      <c r="B1282" s="1" t="s">
        <v>7740</v>
      </c>
      <c r="C1282" s="90" t="s">
        <v>7935</v>
      </c>
      <c r="D1282" s="4"/>
      <c r="E1282" s="4"/>
      <c r="F1282" s="4"/>
      <c r="G1282" s="4"/>
      <c r="H1282" s="4"/>
      <c r="I1282" s="4" t="s">
        <v>3516</v>
      </c>
      <c r="J1282" s="4"/>
      <c r="K1282" s="4"/>
      <c r="L1282" s="4"/>
      <c r="M1282" s="4"/>
      <c r="N1282" s="4"/>
      <c r="O1282" s="4"/>
      <c r="P1282" s="4"/>
      <c r="Q1282" s="4"/>
    </row>
    <row r="1283" spans="1:17" ht="25.5" x14ac:dyDescent="0.2">
      <c r="A1283" s="1">
        <f t="shared" ca="1" si="47"/>
        <v>1281</v>
      </c>
      <c r="B1283" s="1" t="s">
        <v>4878</v>
      </c>
      <c r="C1283" s="90" t="s">
        <v>7936</v>
      </c>
      <c r="D1283" s="4"/>
      <c r="E1283" s="4"/>
      <c r="F1283" s="4"/>
      <c r="G1283" s="4"/>
      <c r="H1283" s="4"/>
      <c r="I1283" s="4" t="s">
        <v>3517</v>
      </c>
      <c r="J1283" s="4"/>
      <c r="K1283" s="4"/>
      <c r="L1283" s="4"/>
      <c r="M1283" s="4"/>
      <c r="N1283" s="4"/>
      <c r="O1283" s="4"/>
      <c r="P1283" s="4"/>
      <c r="Q1283" s="4"/>
    </row>
    <row r="1284" spans="1:17" x14ac:dyDescent="0.2">
      <c r="A1284" s="1">
        <f t="shared" ca="1" si="47"/>
        <v>1282</v>
      </c>
      <c r="B1284" s="1" t="s">
        <v>4879</v>
      </c>
      <c r="C1284" s="90" t="s">
        <v>4832</v>
      </c>
      <c r="D1284" s="4"/>
      <c r="E1284" s="4"/>
      <c r="F1284" s="4"/>
      <c r="G1284" s="4"/>
      <c r="H1284" s="4"/>
      <c r="I1284" s="4" t="s">
        <v>3518</v>
      </c>
      <c r="J1284" s="4"/>
      <c r="K1284" s="4"/>
      <c r="L1284" s="4"/>
      <c r="M1284" s="4"/>
      <c r="N1284" s="4"/>
      <c r="O1284" s="4"/>
      <c r="P1284" s="4"/>
      <c r="Q1284" s="4"/>
    </row>
    <row r="1285" spans="1:17" ht="38.25" x14ac:dyDescent="0.2">
      <c r="A1285" s="1">
        <f t="shared" ca="1" si="47"/>
        <v>1283</v>
      </c>
      <c r="B1285" s="1" t="s">
        <v>7739</v>
      </c>
      <c r="C1285" s="90" t="s">
        <v>1767</v>
      </c>
      <c r="D1285" s="4"/>
      <c r="E1285" s="4"/>
      <c r="F1285" s="4"/>
      <c r="G1285" s="4"/>
      <c r="H1285" s="4"/>
      <c r="I1285" s="4" t="s">
        <v>3485</v>
      </c>
      <c r="J1285" s="4"/>
      <c r="K1285" s="4"/>
      <c r="L1285" s="4"/>
      <c r="M1285" s="4"/>
      <c r="N1285" s="4"/>
      <c r="O1285" s="4"/>
      <c r="P1285" s="4"/>
      <c r="Q1285" s="4"/>
    </row>
    <row r="1286" spans="1:17" x14ac:dyDescent="0.2">
      <c r="A1286" s="1">
        <f t="shared" ca="1" si="47"/>
        <v>1284</v>
      </c>
      <c r="B1286" s="73" t="s">
        <v>8322</v>
      </c>
      <c r="C1286" s="82"/>
      <c r="D1286" s="4"/>
      <c r="E1286" s="4"/>
      <c r="F1286" s="4"/>
      <c r="G1286" s="4"/>
      <c r="H1286" s="4"/>
      <c r="J1286" s="4"/>
      <c r="K1286" s="4"/>
      <c r="L1286" s="4"/>
      <c r="M1286" s="4"/>
      <c r="N1286" s="4"/>
      <c r="O1286" s="4"/>
      <c r="P1286" s="4"/>
      <c r="Q1286" s="4"/>
    </row>
    <row r="1287" spans="1:17" x14ac:dyDescent="0.2">
      <c r="A1287" s="1">
        <f t="shared" ca="1" si="47"/>
        <v>1285</v>
      </c>
      <c r="B1287" s="2" t="s">
        <v>4483</v>
      </c>
      <c r="C1287" s="82" t="s">
        <v>4535</v>
      </c>
      <c r="D1287" s="4"/>
      <c r="E1287" s="4"/>
      <c r="F1287" s="4"/>
      <c r="G1287" s="4"/>
      <c r="H1287" s="4"/>
      <c r="I1287" s="4" t="s">
        <v>3486</v>
      </c>
      <c r="J1287" s="4"/>
      <c r="K1287" s="4"/>
      <c r="L1287" s="4"/>
      <c r="M1287" s="4"/>
      <c r="N1287" s="4"/>
      <c r="O1287" s="4"/>
      <c r="P1287" s="4"/>
      <c r="Q1287" s="4"/>
    </row>
    <row r="1288" spans="1:17" x14ac:dyDescent="0.2">
      <c r="A1288" s="1">
        <f t="shared" ca="1" si="47"/>
        <v>1286</v>
      </c>
      <c r="B1288" s="74" t="s">
        <v>4484</v>
      </c>
      <c r="C1288" s="91" t="s">
        <v>1768</v>
      </c>
      <c r="D1288" s="4"/>
      <c r="E1288" s="4"/>
      <c r="F1288" s="4"/>
      <c r="G1288" s="4"/>
      <c r="H1288" s="4"/>
      <c r="I1288" s="4" t="s">
        <v>3487</v>
      </c>
      <c r="J1288" s="4"/>
      <c r="K1288" s="4"/>
      <c r="L1288" s="4"/>
      <c r="M1288" s="4"/>
      <c r="N1288" s="4"/>
      <c r="O1288" s="4"/>
      <c r="P1288" s="4"/>
      <c r="Q1288" s="4"/>
    </row>
    <row r="1289" spans="1:17" x14ac:dyDescent="0.2">
      <c r="A1289" s="1">
        <f t="shared" ca="1" si="47"/>
        <v>1287</v>
      </c>
      <c r="B1289" s="74" t="s">
        <v>4485</v>
      </c>
      <c r="C1289" s="91" t="s">
        <v>1769</v>
      </c>
      <c r="D1289" s="4"/>
      <c r="E1289" s="4"/>
      <c r="F1289" s="4"/>
      <c r="G1289" s="4"/>
      <c r="H1289" s="4"/>
      <c r="I1289" s="4" t="s">
        <v>3488</v>
      </c>
      <c r="J1289" s="4"/>
      <c r="K1289" s="4"/>
      <c r="L1289" s="4"/>
      <c r="M1289" s="4"/>
      <c r="N1289" s="4"/>
      <c r="O1289" s="4"/>
      <c r="P1289" s="4"/>
      <c r="Q1289" s="4"/>
    </row>
    <row r="1290" spans="1:17" x14ac:dyDescent="0.2">
      <c r="A1290" s="1">
        <f t="shared" ca="1" si="47"/>
        <v>1288</v>
      </c>
      <c r="B1290" s="74" t="s">
        <v>4486</v>
      </c>
      <c r="C1290" s="91" t="s">
        <v>1770</v>
      </c>
      <c r="D1290" s="4"/>
      <c r="E1290" s="4"/>
      <c r="F1290" s="4"/>
      <c r="G1290" s="4"/>
      <c r="H1290" s="4"/>
      <c r="I1290" s="4" t="s">
        <v>3489</v>
      </c>
      <c r="J1290" s="4"/>
      <c r="K1290" s="4"/>
      <c r="L1290" s="4"/>
      <c r="M1290" s="4"/>
      <c r="N1290" s="4"/>
      <c r="O1290" s="4"/>
      <c r="P1290" s="4"/>
      <c r="Q1290" s="4"/>
    </row>
    <row r="1291" spans="1:17" ht="25.5" x14ac:dyDescent="0.2">
      <c r="A1291" s="1">
        <f t="shared" ca="1" si="47"/>
        <v>1289</v>
      </c>
      <c r="B1291" s="74" t="s">
        <v>4487</v>
      </c>
      <c r="C1291" s="91" t="s">
        <v>7010</v>
      </c>
      <c r="D1291" s="4"/>
      <c r="E1291" s="4"/>
      <c r="F1291" s="4"/>
      <c r="G1291" s="4"/>
      <c r="H1291" s="4"/>
      <c r="I1291" s="4" t="s">
        <v>3490</v>
      </c>
      <c r="J1291" s="4"/>
      <c r="K1291" s="4"/>
      <c r="L1291" s="4"/>
      <c r="M1291" s="4"/>
      <c r="N1291" s="4"/>
      <c r="O1291" s="4"/>
      <c r="P1291" s="4"/>
      <c r="Q1291" s="4"/>
    </row>
    <row r="1292" spans="1:17" x14ac:dyDescent="0.2">
      <c r="A1292" s="1">
        <f t="shared" ca="1" si="47"/>
        <v>1290</v>
      </c>
      <c r="B1292" s="74" t="s">
        <v>5054</v>
      </c>
      <c r="C1292" s="91" t="s">
        <v>1771</v>
      </c>
      <c r="D1292" s="4"/>
      <c r="E1292" s="4"/>
      <c r="F1292" s="4"/>
      <c r="G1292" s="4"/>
      <c r="H1292" s="4"/>
      <c r="I1292" s="4" t="s">
        <v>3491</v>
      </c>
      <c r="J1292" s="4"/>
      <c r="K1292" s="4"/>
      <c r="L1292" s="4"/>
      <c r="M1292" s="4"/>
      <c r="N1292" s="4"/>
      <c r="O1292" s="4"/>
      <c r="P1292" s="4"/>
      <c r="Q1292" s="4"/>
    </row>
    <row r="1293" spans="1:17" x14ac:dyDescent="0.2">
      <c r="A1293" s="1">
        <f t="shared" ca="1" si="47"/>
        <v>1291</v>
      </c>
      <c r="B1293" s="74" t="s">
        <v>5055</v>
      </c>
      <c r="C1293" s="91" t="s">
        <v>1772</v>
      </c>
      <c r="D1293" s="4"/>
      <c r="E1293" s="4"/>
      <c r="F1293" s="4"/>
      <c r="G1293" s="4"/>
      <c r="H1293" s="4"/>
      <c r="I1293" s="4" t="s">
        <v>3492</v>
      </c>
      <c r="J1293" s="4"/>
      <c r="K1293" s="4"/>
      <c r="L1293" s="4"/>
      <c r="M1293" s="4"/>
      <c r="N1293" s="4"/>
      <c r="O1293" s="4"/>
      <c r="P1293" s="4"/>
      <c r="Q1293" s="4"/>
    </row>
    <row r="1294" spans="1:17" x14ac:dyDescent="0.2">
      <c r="A1294" s="1">
        <f t="shared" ca="1" si="47"/>
        <v>1292</v>
      </c>
      <c r="B1294" s="74" t="s">
        <v>6450</v>
      </c>
      <c r="C1294" s="91" t="s">
        <v>1773</v>
      </c>
      <c r="D1294" s="4"/>
      <c r="E1294" s="4"/>
      <c r="F1294" s="4"/>
      <c r="G1294" s="4"/>
      <c r="H1294" s="4"/>
      <c r="I1294" s="4" t="s">
        <v>3493</v>
      </c>
      <c r="J1294" s="4"/>
      <c r="K1294" s="4"/>
      <c r="L1294" s="4"/>
      <c r="M1294" s="4"/>
      <c r="N1294" s="4"/>
      <c r="O1294" s="4"/>
      <c r="P1294" s="4"/>
      <c r="Q1294" s="4"/>
    </row>
    <row r="1295" spans="1:17" ht="25.5" x14ac:dyDescent="0.2">
      <c r="A1295" s="1">
        <f t="shared" ca="1" si="47"/>
        <v>1293</v>
      </c>
      <c r="B1295" s="74" t="s">
        <v>2808</v>
      </c>
      <c r="C1295" s="91" t="s">
        <v>1774</v>
      </c>
      <c r="D1295" s="4"/>
      <c r="E1295" s="4"/>
      <c r="F1295" s="4"/>
      <c r="G1295" s="4"/>
      <c r="H1295" s="4"/>
      <c r="I1295" s="4" t="s">
        <v>3494</v>
      </c>
      <c r="J1295" s="4"/>
      <c r="K1295" s="4"/>
      <c r="L1295" s="4"/>
      <c r="M1295" s="4"/>
      <c r="N1295" s="4"/>
      <c r="O1295" s="4"/>
      <c r="P1295" s="4"/>
      <c r="Q1295" s="4"/>
    </row>
    <row r="1296" spans="1:17" x14ac:dyDescent="0.2">
      <c r="A1296" s="1">
        <f t="shared" ca="1" si="47"/>
        <v>1294</v>
      </c>
      <c r="B1296" s="74" t="s">
        <v>2809</v>
      </c>
      <c r="C1296" s="91" t="s">
        <v>1775</v>
      </c>
      <c r="D1296" s="4"/>
      <c r="E1296" s="4"/>
      <c r="F1296" s="4"/>
      <c r="G1296" s="4"/>
      <c r="H1296" s="4"/>
      <c r="I1296" s="4" t="s">
        <v>2062</v>
      </c>
      <c r="J1296" s="4"/>
      <c r="K1296" s="4"/>
      <c r="L1296" s="4"/>
      <c r="M1296" s="4"/>
      <c r="N1296" s="4"/>
      <c r="O1296" s="4"/>
      <c r="P1296" s="4"/>
      <c r="Q1296" s="4"/>
    </row>
    <row r="1297" spans="1:17" x14ac:dyDescent="0.2">
      <c r="A1297" s="1">
        <f t="shared" ca="1" si="47"/>
        <v>1295</v>
      </c>
      <c r="B1297" s="74" t="s">
        <v>2810</v>
      </c>
      <c r="C1297" s="91" t="s">
        <v>1776</v>
      </c>
      <c r="D1297" s="4"/>
      <c r="E1297" s="4"/>
      <c r="F1297" s="4"/>
      <c r="G1297" s="4"/>
      <c r="H1297" s="4"/>
      <c r="I1297" s="4" t="s">
        <v>2063</v>
      </c>
      <c r="J1297" s="4"/>
      <c r="K1297" s="4"/>
      <c r="L1297" s="4"/>
      <c r="M1297" s="4"/>
      <c r="N1297" s="4"/>
      <c r="O1297" s="4"/>
      <c r="P1297" s="4"/>
      <c r="Q1297" s="4"/>
    </row>
    <row r="1298" spans="1:17" x14ac:dyDescent="0.2">
      <c r="A1298" s="1">
        <f t="shared" ca="1" si="47"/>
        <v>1296</v>
      </c>
      <c r="B1298" s="74" t="s">
        <v>764</v>
      </c>
      <c r="C1298" s="91" t="s">
        <v>1777</v>
      </c>
      <c r="D1298" s="4"/>
      <c r="E1298" s="4"/>
      <c r="F1298" s="4"/>
      <c r="G1298" s="4"/>
      <c r="H1298" s="4"/>
      <c r="I1298" s="4" t="s">
        <v>2064</v>
      </c>
      <c r="J1298" s="4"/>
      <c r="K1298" s="4"/>
      <c r="L1298" s="4"/>
      <c r="M1298" s="4"/>
      <c r="N1298" s="4"/>
      <c r="O1298" s="4"/>
      <c r="P1298" s="4"/>
      <c r="Q1298" s="4"/>
    </row>
    <row r="1299" spans="1:17" x14ac:dyDescent="0.2">
      <c r="A1299" s="1">
        <f t="shared" ca="1" si="47"/>
        <v>1297</v>
      </c>
      <c r="B1299" s="74" t="s">
        <v>2811</v>
      </c>
      <c r="C1299" s="91" t="s">
        <v>1778</v>
      </c>
      <c r="D1299" s="4"/>
      <c r="E1299" s="4"/>
      <c r="F1299" s="4"/>
      <c r="G1299" s="4"/>
      <c r="H1299" s="4"/>
      <c r="I1299" s="4" t="s">
        <v>2065</v>
      </c>
      <c r="J1299" s="4"/>
      <c r="K1299" s="4"/>
      <c r="L1299" s="4"/>
      <c r="M1299" s="4"/>
      <c r="N1299" s="4"/>
      <c r="O1299" s="4"/>
      <c r="P1299" s="4"/>
      <c r="Q1299" s="4"/>
    </row>
    <row r="1300" spans="1:17" ht="25.5" x14ac:dyDescent="0.2">
      <c r="A1300" s="1">
        <f t="shared" ca="1" si="47"/>
        <v>1298</v>
      </c>
      <c r="B1300" s="74" t="s">
        <v>2812</v>
      </c>
      <c r="C1300" s="91" t="s">
        <v>1779</v>
      </c>
      <c r="D1300" s="4"/>
      <c r="E1300" s="4"/>
      <c r="F1300" s="4"/>
      <c r="G1300" s="4"/>
      <c r="H1300" s="4"/>
      <c r="I1300" s="4" t="s">
        <v>2066</v>
      </c>
      <c r="J1300" s="4"/>
      <c r="K1300" s="4"/>
      <c r="L1300" s="4"/>
      <c r="M1300" s="4"/>
      <c r="N1300" s="4"/>
      <c r="O1300" s="4"/>
      <c r="P1300" s="4"/>
      <c r="Q1300" s="4"/>
    </row>
    <row r="1301" spans="1:17" x14ac:dyDescent="0.2">
      <c r="A1301" s="1">
        <f t="shared" ca="1" si="47"/>
        <v>1299</v>
      </c>
      <c r="B1301" s="74" t="s">
        <v>2813</v>
      </c>
      <c r="C1301" s="91" t="s">
        <v>1780</v>
      </c>
      <c r="D1301" s="4"/>
      <c r="E1301" s="4"/>
      <c r="F1301" s="4"/>
      <c r="G1301" s="4"/>
      <c r="H1301" s="4"/>
      <c r="I1301" s="4" t="s">
        <v>2067</v>
      </c>
      <c r="J1301" s="4"/>
      <c r="K1301" s="4"/>
      <c r="L1301" s="4"/>
      <c r="M1301" s="4"/>
      <c r="N1301" s="4"/>
      <c r="O1301" s="4"/>
      <c r="P1301" s="4"/>
      <c r="Q1301" s="4"/>
    </row>
    <row r="1302" spans="1:17" x14ac:dyDescent="0.2">
      <c r="A1302" s="1">
        <f t="shared" ca="1" si="47"/>
        <v>1300</v>
      </c>
      <c r="B1302" s="74" t="s">
        <v>2814</v>
      </c>
      <c r="C1302" s="91" t="s">
        <v>7266</v>
      </c>
      <c r="D1302" s="4"/>
      <c r="E1302" s="4"/>
      <c r="F1302" s="4"/>
      <c r="G1302" s="4"/>
      <c r="H1302" s="4"/>
      <c r="I1302" s="4" t="s">
        <v>1530</v>
      </c>
      <c r="J1302" s="4"/>
      <c r="K1302" s="4"/>
      <c r="L1302" s="4"/>
      <c r="M1302" s="4"/>
      <c r="N1302" s="4"/>
      <c r="O1302" s="4"/>
      <c r="P1302" s="4"/>
      <c r="Q1302" s="4"/>
    </row>
    <row r="1303" spans="1:17" x14ac:dyDescent="0.2">
      <c r="A1303" s="1">
        <f t="shared" ca="1" si="47"/>
        <v>1301</v>
      </c>
      <c r="B1303" s="74" t="s">
        <v>2815</v>
      </c>
      <c r="C1303" s="91" t="s">
        <v>6538</v>
      </c>
      <c r="D1303" s="4"/>
      <c r="E1303" s="4"/>
      <c r="F1303" s="4"/>
      <c r="G1303" s="4"/>
      <c r="H1303" s="4"/>
      <c r="I1303" s="4" t="s">
        <v>3812</v>
      </c>
      <c r="J1303" s="4"/>
      <c r="K1303" s="4"/>
      <c r="L1303" s="4"/>
      <c r="M1303" s="4"/>
      <c r="N1303" s="4"/>
      <c r="O1303" s="4"/>
      <c r="P1303" s="4"/>
      <c r="Q1303" s="4"/>
    </row>
    <row r="1304" spans="1:17" x14ac:dyDescent="0.2">
      <c r="A1304" s="1">
        <f t="shared" ca="1" si="47"/>
        <v>1302</v>
      </c>
      <c r="B1304" s="74" t="s">
        <v>2816</v>
      </c>
      <c r="C1304" s="91" t="s">
        <v>3856</v>
      </c>
      <c r="D1304" s="4"/>
      <c r="E1304" s="4"/>
      <c r="F1304" s="4"/>
      <c r="G1304" s="4"/>
      <c r="H1304" s="4"/>
      <c r="I1304" s="4" t="s">
        <v>2068</v>
      </c>
      <c r="J1304" s="4"/>
      <c r="K1304" s="4"/>
      <c r="L1304" s="4"/>
      <c r="M1304" s="4"/>
      <c r="N1304" s="4"/>
      <c r="O1304" s="4"/>
      <c r="P1304" s="4"/>
      <c r="Q1304" s="4"/>
    </row>
    <row r="1305" spans="1:17" x14ac:dyDescent="0.2">
      <c r="A1305" s="1">
        <f t="shared" ca="1" si="47"/>
        <v>1303</v>
      </c>
      <c r="B1305" s="74" t="s">
        <v>2817</v>
      </c>
      <c r="C1305" s="91" t="s">
        <v>3857</v>
      </c>
      <c r="D1305" s="4"/>
      <c r="E1305" s="4"/>
      <c r="F1305" s="4"/>
      <c r="G1305" s="4"/>
      <c r="H1305" s="4"/>
      <c r="I1305" s="4" t="s">
        <v>2069</v>
      </c>
      <c r="J1305" s="4"/>
      <c r="K1305" s="4"/>
      <c r="L1305" s="4"/>
      <c r="M1305" s="4"/>
      <c r="N1305" s="4"/>
      <c r="O1305" s="4"/>
      <c r="P1305" s="4"/>
      <c r="Q1305" s="4"/>
    </row>
    <row r="1306" spans="1:17" ht="16.5" customHeight="1" x14ac:dyDescent="0.2">
      <c r="A1306" s="1">
        <f t="shared" ca="1" si="47"/>
        <v>1304</v>
      </c>
      <c r="B1306" s="74" t="s">
        <v>2818</v>
      </c>
      <c r="C1306" s="91" t="s">
        <v>7065</v>
      </c>
      <c r="D1306" s="4"/>
      <c r="E1306" s="4"/>
      <c r="F1306" s="4"/>
      <c r="G1306" s="4"/>
      <c r="H1306" s="4"/>
      <c r="I1306" s="4" t="s">
        <v>2070</v>
      </c>
      <c r="J1306" s="4"/>
      <c r="K1306" s="4"/>
      <c r="L1306" s="4"/>
      <c r="M1306" s="4"/>
      <c r="N1306" s="4"/>
      <c r="O1306" s="4"/>
      <c r="P1306" s="4"/>
      <c r="Q1306" s="4"/>
    </row>
    <row r="1307" spans="1:17" ht="25.5" x14ac:dyDescent="0.2">
      <c r="A1307" s="1">
        <f t="shared" ca="1" si="47"/>
        <v>1305</v>
      </c>
      <c r="B1307" s="74" t="s">
        <v>762</v>
      </c>
      <c r="C1307" s="91" t="s">
        <v>7066</v>
      </c>
      <c r="D1307" s="4"/>
      <c r="E1307" s="4"/>
      <c r="F1307" s="4"/>
      <c r="G1307" s="4"/>
      <c r="H1307" s="4"/>
      <c r="I1307" s="4" t="s">
        <v>2071</v>
      </c>
      <c r="J1307" s="4"/>
      <c r="K1307" s="4"/>
      <c r="L1307" s="4"/>
      <c r="M1307" s="4"/>
      <c r="N1307" s="4"/>
      <c r="O1307" s="4"/>
      <c r="P1307" s="4"/>
      <c r="Q1307" s="4"/>
    </row>
    <row r="1308" spans="1:17" ht="27" x14ac:dyDescent="0.2">
      <c r="A1308" s="1">
        <f t="shared" ca="1" si="47"/>
        <v>1306</v>
      </c>
      <c r="B1308" s="74" t="s">
        <v>6249</v>
      </c>
      <c r="C1308" s="91" t="s">
        <v>7067</v>
      </c>
      <c r="D1308" s="4"/>
      <c r="E1308" s="4"/>
      <c r="F1308" s="4"/>
      <c r="G1308" s="4"/>
      <c r="H1308" s="4"/>
      <c r="I1308" s="4" t="s">
        <v>2072</v>
      </c>
      <c r="J1308" s="4"/>
      <c r="K1308" s="4"/>
      <c r="L1308" s="4"/>
      <c r="M1308" s="4"/>
      <c r="N1308" s="4"/>
      <c r="O1308" s="4"/>
      <c r="P1308" s="4"/>
      <c r="Q1308" s="4"/>
    </row>
    <row r="1309" spans="1:17" ht="15.75" x14ac:dyDescent="0.2">
      <c r="A1309" s="1">
        <f t="shared" ca="1" si="47"/>
        <v>1307</v>
      </c>
      <c r="B1309" s="74" t="s">
        <v>1076</v>
      </c>
      <c r="C1309" s="91" t="s">
        <v>7068</v>
      </c>
      <c r="D1309" s="4"/>
      <c r="E1309" s="4"/>
      <c r="F1309" s="4"/>
      <c r="G1309" s="4"/>
      <c r="H1309" s="4"/>
      <c r="I1309" s="4" t="s">
        <v>2073</v>
      </c>
      <c r="J1309" s="4"/>
      <c r="K1309" s="4"/>
      <c r="L1309" s="4"/>
      <c r="M1309" s="4"/>
      <c r="N1309" s="4"/>
      <c r="O1309" s="4"/>
      <c r="P1309" s="4"/>
      <c r="Q1309" s="4"/>
    </row>
    <row r="1310" spans="1:17" ht="25.5" x14ac:dyDescent="0.2">
      <c r="A1310" s="1">
        <f t="shared" ca="1" si="47"/>
        <v>1308</v>
      </c>
      <c r="B1310" s="74" t="s">
        <v>7372</v>
      </c>
      <c r="C1310" s="91" t="s">
        <v>7069</v>
      </c>
      <c r="D1310" s="4"/>
      <c r="E1310" s="4"/>
      <c r="F1310" s="4"/>
      <c r="G1310" s="4"/>
      <c r="H1310" s="4"/>
      <c r="I1310" s="4" t="s">
        <v>2074</v>
      </c>
      <c r="J1310" s="4"/>
      <c r="K1310" s="4"/>
      <c r="L1310" s="4"/>
      <c r="M1310" s="4"/>
      <c r="N1310" s="4"/>
      <c r="O1310" s="4"/>
      <c r="P1310" s="4"/>
      <c r="Q1310" s="4"/>
    </row>
    <row r="1311" spans="1:17" ht="25.5" x14ac:dyDescent="0.2">
      <c r="A1311" s="1">
        <f t="shared" ca="1" si="47"/>
        <v>1309</v>
      </c>
      <c r="B1311" s="74" t="s">
        <v>7373</v>
      </c>
      <c r="C1311" s="91" t="s">
        <v>8420</v>
      </c>
      <c r="D1311" s="4"/>
      <c r="E1311" s="4"/>
      <c r="F1311" s="4"/>
      <c r="G1311" s="4"/>
      <c r="H1311" s="4"/>
      <c r="I1311" s="4" t="s">
        <v>2075</v>
      </c>
      <c r="J1311" s="4"/>
      <c r="K1311" s="4"/>
      <c r="L1311" s="4"/>
      <c r="M1311" s="4"/>
      <c r="N1311" s="4"/>
      <c r="O1311" s="4"/>
      <c r="P1311" s="4"/>
      <c r="Q1311" s="4"/>
    </row>
    <row r="1312" spans="1:17" ht="15.75" x14ac:dyDescent="0.2">
      <c r="A1312" s="1">
        <f t="shared" ca="1" si="47"/>
        <v>1310</v>
      </c>
      <c r="B1312" s="74" t="s">
        <v>1077</v>
      </c>
      <c r="C1312" s="91" t="s">
        <v>8421</v>
      </c>
      <c r="D1312" s="4"/>
      <c r="E1312" s="4"/>
      <c r="F1312" s="4"/>
      <c r="G1312" s="4"/>
      <c r="H1312" s="4"/>
      <c r="I1312" s="4" t="s">
        <v>2076</v>
      </c>
      <c r="J1312" s="4"/>
      <c r="K1312" s="4"/>
      <c r="L1312" s="4"/>
      <c r="M1312" s="4"/>
      <c r="N1312" s="4"/>
      <c r="O1312" s="4"/>
      <c r="P1312" s="4"/>
      <c r="Q1312" s="4"/>
    </row>
    <row r="1313" spans="1:17" ht="15.75" x14ac:dyDescent="0.2">
      <c r="A1313" s="1">
        <f t="shared" ca="1" si="47"/>
        <v>1311</v>
      </c>
      <c r="B1313" s="74" t="s">
        <v>1078</v>
      </c>
      <c r="C1313" s="91" t="s">
        <v>8422</v>
      </c>
      <c r="D1313" s="4"/>
      <c r="E1313" s="4"/>
      <c r="F1313" s="4"/>
      <c r="G1313" s="4"/>
      <c r="H1313" s="4"/>
      <c r="I1313" s="4" t="s">
        <v>2077</v>
      </c>
      <c r="J1313" s="4"/>
      <c r="K1313" s="4"/>
      <c r="L1313" s="4"/>
      <c r="M1313" s="4"/>
      <c r="N1313" s="4"/>
      <c r="O1313" s="4"/>
      <c r="P1313" s="4"/>
      <c r="Q1313" s="4"/>
    </row>
    <row r="1314" spans="1:17" ht="28.5" x14ac:dyDescent="0.2">
      <c r="A1314" s="1">
        <f t="shared" ca="1" si="47"/>
        <v>1312</v>
      </c>
      <c r="B1314" s="74" t="s">
        <v>362</v>
      </c>
      <c r="C1314" s="91" t="s">
        <v>8423</v>
      </c>
      <c r="D1314" s="4"/>
      <c r="E1314" s="4"/>
      <c r="F1314" s="4"/>
      <c r="G1314" s="4"/>
      <c r="H1314" s="4"/>
      <c r="I1314" s="4" t="s">
        <v>2078</v>
      </c>
      <c r="J1314" s="4"/>
      <c r="K1314" s="4"/>
      <c r="L1314" s="4"/>
      <c r="M1314" s="4"/>
      <c r="N1314" s="4"/>
      <c r="O1314" s="4"/>
      <c r="P1314" s="4"/>
      <c r="Q1314" s="4"/>
    </row>
    <row r="1315" spans="1:17" ht="41.25" x14ac:dyDescent="0.2">
      <c r="A1315" s="1">
        <f t="shared" ca="1" si="47"/>
        <v>1313</v>
      </c>
      <c r="B1315" s="74" t="s">
        <v>6369</v>
      </c>
      <c r="C1315" s="91" t="s">
        <v>1403</v>
      </c>
      <c r="D1315" s="4"/>
      <c r="E1315" s="4"/>
      <c r="F1315" s="4"/>
      <c r="G1315" s="4"/>
      <c r="H1315" s="4"/>
      <c r="I1315" s="4" t="s">
        <v>2079</v>
      </c>
      <c r="J1315" s="4"/>
      <c r="K1315" s="4"/>
      <c r="L1315" s="4"/>
      <c r="M1315" s="4"/>
      <c r="N1315" s="4"/>
      <c r="O1315" s="4"/>
      <c r="P1315" s="4"/>
      <c r="Q1315" s="4"/>
    </row>
    <row r="1316" spans="1:17" ht="41.25" x14ac:dyDescent="0.2">
      <c r="A1316" s="1">
        <f t="shared" ca="1" si="47"/>
        <v>1314</v>
      </c>
      <c r="B1316" s="74" t="s">
        <v>6370</v>
      </c>
      <c r="C1316" s="91" t="s">
        <v>1404</v>
      </c>
      <c r="D1316" s="4"/>
      <c r="E1316" s="4"/>
      <c r="F1316" s="4"/>
      <c r="G1316" s="4"/>
      <c r="H1316" s="4"/>
      <c r="I1316" s="4" t="s">
        <v>2080</v>
      </c>
      <c r="J1316" s="4"/>
      <c r="K1316" s="4"/>
      <c r="L1316" s="4"/>
      <c r="M1316" s="4"/>
      <c r="N1316" s="4"/>
      <c r="O1316" s="4"/>
      <c r="P1316" s="4"/>
      <c r="Q1316" s="4"/>
    </row>
    <row r="1317" spans="1:17" ht="25.5" x14ac:dyDescent="0.2">
      <c r="A1317" s="1">
        <f t="shared" ref="A1317:A1382" ca="1" si="48">CELL("row",C1317)-2</f>
        <v>1315</v>
      </c>
      <c r="B1317" s="74" t="s">
        <v>5234</v>
      </c>
      <c r="C1317" s="91" t="s">
        <v>1405</v>
      </c>
      <c r="D1317" s="4"/>
      <c r="E1317" s="4"/>
      <c r="F1317" s="4"/>
      <c r="G1317" s="4"/>
      <c r="H1317" s="4"/>
      <c r="I1317" s="4" t="s">
        <v>2081</v>
      </c>
      <c r="J1317" s="4"/>
      <c r="K1317" s="4"/>
      <c r="L1317" s="4"/>
      <c r="M1317" s="4"/>
      <c r="N1317" s="4"/>
      <c r="O1317" s="4"/>
      <c r="P1317" s="4"/>
      <c r="Q1317" s="4"/>
    </row>
    <row r="1318" spans="1:17" ht="15.75" x14ac:dyDescent="0.2">
      <c r="A1318" s="1">
        <f t="shared" ca="1" si="48"/>
        <v>1316</v>
      </c>
      <c r="B1318" s="74" t="s">
        <v>7632</v>
      </c>
      <c r="C1318" s="91" t="s">
        <v>1406</v>
      </c>
      <c r="D1318" s="4"/>
      <c r="E1318" s="4"/>
      <c r="F1318" s="4"/>
      <c r="G1318" s="4"/>
      <c r="H1318" s="4"/>
      <c r="I1318" s="4" t="s">
        <v>2535</v>
      </c>
      <c r="J1318" s="4"/>
      <c r="K1318" s="4"/>
      <c r="L1318" s="4"/>
      <c r="M1318" s="4"/>
      <c r="N1318" s="4"/>
      <c r="O1318" s="4"/>
      <c r="P1318" s="4"/>
      <c r="Q1318" s="4"/>
    </row>
    <row r="1319" spans="1:17" ht="25.5" x14ac:dyDescent="0.2">
      <c r="A1319" s="1">
        <f t="shared" ca="1" si="48"/>
        <v>1317</v>
      </c>
      <c r="B1319" s="74" t="s">
        <v>763</v>
      </c>
      <c r="C1319" s="91" t="s">
        <v>1407</v>
      </c>
      <c r="D1319" s="4"/>
      <c r="E1319" s="4"/>
      <c r="F1319" s="4"/>
      <c r="G1319" s="4"/>
      <c r="H1319" s="4"/>
      <c r="I1319" s="4" t="s">
        <v>2536</v>
      </c>
      <c r="J1319" s="4"/>
      <c r="K1319" s="4"/>
      <c r="L1319" s="4"/>
      <c r="M1319" s="4"/>
      <c r="N1319" s="4"/>
      <c r="O1319" s="4"/>
      <c r="P1319" s="4"/>
      <c r="Q1319" s="4"/>
    </row>
    <row r="1320" spans="1:17" ht="25.5" x14ac:dyDescent="0.2">
      <c r="A1320" s="1">
        <f t="shared" ca="1" si="48"/>
        <v>1318</v>
      </c>
      <c r="B1320" s="74" t="s">
        <v>7374</v>
      </c>
      <c r="C1320" s="91" t="s">
        <v>8086</v>
      </c>
      <c r="D1320" s="4"/>
      <c r="E1320" s="4"/>
      <c r="F1320" s="4"/>
      <c r="G1320" s="4"/>
      <c r="H1320" s="4"/>
      <c r="I1320" s="4" t="s">
        <v>2537</v>
      </c>
      <c r="J1320" s="4"/>
      <c r="K1320" s="4"/>
      <c r="L1320" s="4"/>
      <c r="M1320" s="4"/>
      <c r="N1320" s="4"/>
      <c r="O1320" s="4"/>
      <c r="P1320" s="4"/>
      <c r="Q1320" s="4"/>
    </row>
    <row r="1321" spans="1:17" ht="25.5" x14ac:dyDescent="0.2">
      <c r="A1321" s="1">
        <f t="shared" ca="1" si="48"/>
        <v>1319</v>
      </c>
      <c r="B1321" s="74" t="s">
        <v>7375</v>
      </c>
      <c r="C1321" s="91" t="s">
        <v>8087</v>
      </c>
      <c r="D1321" s="4"/>
      <c r="E1321" s="4"/>
      <c r="F1321" s="4"/>
      <c r="G1321" s="4"/>
      <c r="H1321" s="4"/>
      <c r="I1321" s="4" t="s">
        <v>2538</v>
      </c>
      <c r="J1321" s="4"/>
      <c r="K1321" s="4"/>
      <c r="L1321" s="4"/>
      <c r="M1321" s="4"/>
      <c r="N1321" s="4"/>
      <c r="O1321" s="4"/>
      <c r="P1321" s="4"/>
      <c r="Q1321" s="4"/>
    </row>
    <row r="1322" spans="1:17" x14ac:dyDescent="0.2">
      <c r="A1322" s="1">
        <f t="shared" ca="1" si="48"/>
        <v>1320</v>
      </c>
      <c r="B1322" s="74" t="s">
        <v>7376</v>
      </c>
      <c r="C1322" s="91" t="s">
        <v>8088</v>
      </c>
      <c r="D1322" s="4"/>
      <c r="E1322" s="4"/>
      <c r="F1322" s="4"/>
      <c r="G1322" s="4"/>
      <c r="H1322" s="4"/>
      <c r="I1322" s="4" t="s">
        <v>2539</v>
      </c>
      <c r="J1322" s="4"/>
      <c r="K1322" s="4"/>
      <c r="L1322" s="4"/>
      <c r="M1322" s="4"/>
      <c r="N1322" s="4"/>
      <c r="O1322" s="4"/>
      <c r="P1322" s="4"/>
      <c r="Q1322" s="4"/>
    </row>
    <row r="1323" spans="1:17" x14ac:dyDescent="0.2">
      <c r="A1323" s="1">
        <f t="shared" ca="1" si="48"/>
        <v>1321</v>
      </c>
      <c r="B1323" s="74" t="s">
        <v>3968</v>
      </c>
      <c r="C1323" s="91" t="s">
        <v>8089</v>
      </c>
      <c r="D1323" s="4"/>
      <c r="E1323" s="4"/>
      <c r="F1323" s="4"/>
      <c r="G1323" s="4"/>
      <c r="H1323" s="4"/>
      <c r="I1323" s="4" t="s">
        <v>2540</v>
      </c>
      <c r="J1323" s="4"/>
      <c r="K1323" s="4"/>
      <c r="L1323" s="4"/>
      <c r="M1323" s="4"/>
      <c r="N1323" s="4"/>
      <c r="O1323" s="4"/>
      <c r="P1323" s="4"/>
      <c r="Q1323" s="4"/>
    </row>
    <row r="1324" spans="1:17" x14ac:dyDescent="0.2">
      <c r="A1324" s="1">
        <f t="shared" ca="1" si="48"/>
        <v>1322</v>
      </c>
      <c r="B1324" s="74" t="s">
        <v>7377</v>
      </c>
      <c r="C1324" s="91" t="s">
        <v>4910</v>
      </c>
      <c r="D1324" s="4"/>
      <c r="E1324" s="4"/>
      <c r="F1324" s="4"/>
      <c r="G1324" s="4"/>
      <c r="H1324" s="4"/>
      <c r="I1324" s="4" t="s">
        <v>2541</v>
      </c>
      <c r="J1324" s="4"/>
      <c r="K1324" s="4"/>
      <c r="L1324" s="4"/>
      <c r="M1324" s="4"/>
      <c r="N1324" s="4"/>
      <c r="O1324" s="4"/>
      <c r="P1324" s="4"/>
      <c r="Q1324" s="4"/>
    </row>
    <row r="1325" spans="1:17" ht="25.5" x14ac:dyDescent="0.2">
      <c r="A1325" s="1">
        <f t="shared" ca="1" si="48"/>
        <v>1323</v>
      </c>
      <c r="B1325" s="74" t="s">
        <v>8017</v>
      </c>
      <c r="C1325" s="91" t="s">
        <v>8090</v>
      </c>
      <c r="D1325" s="4"/>
      <c r="E1325" s="4"/>
      <c r="F1325" s="4"/>
      <c r="G1325" s="4"/>
      <c r="H1325" s="4"/>
      <c r="I1325" s="4" t="s">
        <v>2542</v>
      </c>
      <c r="J1325" s="4"/>
      <c r="K1325" s="4"/>
      <c r="L1325" s="4"/>
      <c r="M1325" s="4"/>
      <c r="N1325" s="4"/>
      <c r="O1325" s="4"/>
      <c r="P1325" s="4"/>
      <c r="Q1325" s="4"/>
    </row>
    <row r="1326" spans="1:17" ht="52.5" x14ac:dyDescent="0.2">
      <c r="A1326" s="1">
        <f t="shared" ca="1" si="48"/>
        <v>1324</v>
      </c>
      <c r="B1326" s="75" t="s">
        <v>3434</v>
      </c>
      <c r="C1326" s="93" t="s">
        <v>4820</v>
      </c>
      <c r="D1326" s="4"/>
      <c r="E1326" s="4"/>
      <c r="F1326" s="4"/>
      <c r="G1326" s="4"/>
      <c r="H1326" s="4"/>
      <c r="I1326" s="121" t="s">
        <v>2543</v>
      </c>
      <c r="J1326" s="4"/>
      <c r="K1326" s="4"/>
      <c r="L1326" s="4"/>
      <c r="M1326" s="4"/>
      <c r="N1326" s="4"/>
      <c r="O1326" s="4"/>
      <c r="P1326" s="4"/>
      <c r="Q1326" s="4"/>
    </row>
    <row r="1327" spans="1:17" x14ac:dyDescent="0.2">
      <c r="A1327" s="1">
        <f t="shared" ca="1" si="48"/>
        <v>1325</v>
      </c>
      <c r="B1327" s="76" t="s">
        <v>8018</v>
      </c>
      <c r="C1327" s="90" t="s">
        <v>1673</v>
      </c>
      <c r="D1327" s="4"/>
      <c r="E1327" s="4"/>
      <c r="F1327" s="4"/>
      <c r="G1327" s="4"/>
      <c r="H1327" s="4"/>
      <c r="I1327" s="4" t="s">
        <v>2544</v>
      </c>
      <c r="J1327" s="4"/>
      <c r="K1327" s="4"/>
      <c r="L1327" s="4"/>
      <c r="M1327" s="4"/>
      <c r="N1327" s="4"/>
      <c r="O1327" s="4"/>
      <c r="P1327" s="4"/>
      <c r="Q1327" s="4"/>
    </row>
    <row r="1328" spans="1:17" x14ac:dyDescent="0.2">
      <c r="A1328" s="1">
        <f t="shared" ca="1" si="48"/>
        <v>1326</v>
      </c>
      <c r="B1328" s="1" t="s">
        <v>8019</v>
      </c>
      <c r="C1328" s="90" t="s">
        <v>8091</v>
      </c>
      <c r="D1328" s="4"/>
      <c r="E1328" s="4"/>
      <c r="F1328" s="4"/>
      <c r="G1328" s="4"/>
      <c r="H1328" s="4"/>
      <c r="I1328" s="4" t="s">
        <v>2545</v>
      </c>
      <c r="J1328" s="4"/>
      <c r="K1328" s="4"/>
      <c r="L1328" s="4"/>
      <c r="M1328" s="4"/>
      <c r="N1328" s="4"/>
      <c r="O1328" s="4"/>
      <c r="P1328" s="4"/>
      <c r="Q1328" s="4"/>
    </row>
    <row r="1329" spans="1:17" x14ac:dyDescent="0.2">
      <c r="A1329" s="1">
        <f t="shared" ca="1" si="48"/>
        <v>1327</v>
      </c>
      <c r="B1329" s="76" t="s">
        <v>8020</v>
      </c>
      <c r="C1329" s="90" t="s">
        <v>8092</v>
      </c>
      <c r="D1329" s="4"/>
      <c r="E1329" s="4"/>
      <c r="F1329" s="4"/>
      <c r="G1329" s="4"/>
      <c r="H1329" s="4"/>
      <c r="I1329" s="4" t="s">
        <v>2546</v>
      </c>
      <c r="J1329" s="4"/>
      <c r="K1329" s="4"/>
      <c r="L1329" s="4"/>
      <c r="M1329" s="4"/>
      <c r="N1329" s="4"/>
      <c r="O1329" s="4"/>
      <c r="P1329" s="4"/>
      <c r="Q1329" s="4"/>
    </row>
    <row r="1330" spans="1:17" x14ac:dyDescent="0.2">
      <c r="A1330" s="1">
        <f t="shared" ca="1" si="48"/>
        <v>1328</v>
      </c>
      <c r="B1330" s="76" t="s">
        <v>8021</v>
      </c>
      <c r="C1330" s="90" t="s">
        <v>8093</v>
      </c>
      <c r="D1330" s="4"/>
      <c r="E1330" s="4"/>
      <c r="F1330" s="4"/>
      <c r="G1330" s="4"/>
      <c r="H1330" s="4"/>
      <c r="I1330" s="4" t="s">
        <v>2547</v>
      </c>
      <c r="J1330" s="4"/>
      <c r="K1330" s="4"/>
      <c r="L1330" s="4"/>
      <c r="M1330" s="4"/>
      <c r="N1330" s="4"/>
      <c r="O1330" s="4"/>
      <c r="P1330" s="4"/>
      <c r="Q1330" s="4"/>
    </row>
    <row r="1331" spans="1:17" x14ac:dyDescent="0.2">
      <c r="A1331" s="1">
        <f t="shared" ca="1" si="48"/>
        <v>1329</v>
      </c>
      <c r="B1331" s="76" t="s">
        <v>8022</v>
      </c>
      <c r="C1331" s="90" t="s">
        <v>8094</v>
      </c>
      <c r="D1331" s="4"/>
      <c r="E1331" s="4"/>
      <c r="F1331" s="4"/>
      <c r="G1331" s="4"/>
      <c r="H1331" s="4"/>
      <c r="I1331" s="4" t="s">
        <v>2548</v>
      </c>
      <c r="J1331" s="4"/>
      <c r="K1331" s="4"/>
      <c r="L1331" s="4"/>
      <c r="M1331" s="4"/>
      <c r="N1331" s="4"/>
      <c r="O1331" s="4"/>
      <c r="P1331" s="4"/>
      <c r="Q1331" s="4"/>
    </row>
    <row r="1332" spans="1:17" x14ac:dyDescent="0.2">
      <c r="A1332" s="1">
        <f t="shared" ca="1" si="48"/>
        <v>1330</v>
      </c>
      <c r="B1332" s="76" t="s">
        <v>4195</v>
      </c>
      <c r="C1332" s="90" t="s">
        <v>2058</v>
      </c>
      <c r="D1332" s="4"/>
      <c r="E1332" s="4"/>
      <c r="F1332" s="4"/>
      <c r="G1332" s="4"/>
      <c r="H1332" s="4"/>
      <c r="I1332" s="4" t="s">
        <v>2549</v>
      </c>
      <c r="J1332" s="4"/>
      <c r="K1332" s="4"/>
      <c r="L1332" s="4"/>
      <c r="M1332" s="4"/>
      <c r="N1332" s="4"/>
      <c r="O1332" s="4"/>
      <c r="P1332" s="4"/>
      <c r="Q1332" s="4"/>
    </row>
    <row r="1333" spans="1:17" x14ac:dyDescent="0.2">
      <c r="A1333" s="1">
        <f t="shared" ca="1" si="48"/>
        <v>1331</v>
      </c>
      <c r="B1333" s="76" t="s">
        <v>4196</v>
      </c>
      <c r="C1333" s="90" t="s">
        <v>4370</v>
      </c>
      <c r="D1333" s="4"/>
      <c r="E1333" s="4"/>
      <c r="F1333" s="4"/>
      <c r="G1333" s="4"/>
      <c r="H1333" s="4"/>
      <c r="I1333" s="4" t="s">
        <v>2550</v>
      </c>
      <c r="J1333" s="4"/>
      <c r="K1333" s="4"/>
      <c r="L1333" s="4"/>
      <c r="M1333" s="4"/>
      <c r="N1333" s="4"/>
      <c r="O1333" s="4"/>
      <c r="P1333" s="4"/>
      <c r="Q1333" s="4"/>
    </row>
    <row r="1334" spans="1:17" x14ac:dyDescent="0.2">
      <c r="A1334" s="1">
        <f t="shared" ca="1" si="48"/>
        <v>1332</v>
      </c>
      <c r="B1334" s="74" t="s">
        <v>6544</v>
      </c>
      <c r="C1334" s="90" t="s">
        <v>7550</v>
      </c>
      <c r="D1334" s="4"/>
      <c r="E1334" s="4"/>
      <c r="F1334" s="4"/>
      <c r="G1334" s="4"/>
      <c r="H1334" s="4"/>
      <c r="I1334" s="4" t="s">
        <v>2551</v>
      </c>
      <c r="J1334" s="4"/>
      <c r="K1334" s="4"/>
      <c r="L1334" s="4"/>
      <c r="M1334" s="4"/>
      <c r="N1334" s="4"/>
      <c r="O1334" s="4"/>
      <c r="P1334" s="4"/>
      <c r="Q1334" s="4"/>
    </row>
    <row r="1335" spans="1:17" x14ac:dyDescent="0.2">
      <c r="A1335" s="1">
        <f t="shared" ca="1" si="48"/>
        <v>1333</v>
      </c>
      <c r="B1335" s="76" t="s">
        <v>6545</v>
      </c>
      <c r="C1335" s="90" t="s">
        <v>4371</v>
      </c>
      <c r="D1335" s="4"/>
      <c r="E1335" s="4"/>
      <c r="F1335" s="4"/>
      <c r="G1335" s="4"/>
      <c r="H1335" s="4"/>
      <c r="I1335" s="4" t="s">
        <v>2552</v>
      </c>
      <c r="J1335" s="4"/>
      <c r="K1335" s="4"/>
      <c r="L1335" s="4"/>
      <c r="M1335" s="4"/>
      <c r="N1335" s="4"/>
      <c r="O1335" s="4"/>
      <c r="P1335" s="4"/>
      <c r="Q1335" s="4"/>
    </row>
    <row r="1336" spans="1:17" x14ac:dyDescent="0.2">
      <c r="A1336" s="1">
        <f t="shared" ca="1" si="48"/>
        <v>1334</v>
      </c>
      <c r="B1336" s="76" t="s">
        <v>6546</v>
      </c>
      <c r="C1336" s="90" t="s">
        <v>6428</v>
      </c>
      <c r="D1336" s="4"/>
      <c r="E1336" s="4"/>
      <c r="F1336" s="4"/>
      <c r="G1336" s="4"/>
      <c r="H1336" s="4"/>
      <c r="I1336" s="4" t="s">
        <v>2553</v>
      </c>
      <c r="J1336" s="4"/>
      <c r="K1336" s="4"/>
      <c r="L1336" s="4"/>
      <c r="M1336" s="4"/>
      <c r="N1336" s="4"/>
      <c r="O1336" s="4"/>
      <c r="P1336" s="4"/>
      <c r="Q1336" s="4"/>
    </row>
    <row r="1337" spans="1:17" x14ac:dyDescent="0.2">
      <c r="A1337" s="1">
        <f t="shared" ca="1" si="48"/>
        <v>1335</v>
      </c>
      <c r="B1337" s="76" t="s">
        <v>6547</v>
      </c>
      <c r="C1337" s="90" t="s">
        <v>4372</v>
      </c>
      <c r="D1337" s="4"/>
      <c r="E1337" s="4"/>
      <c r="F1337" s="4"/>
      <c r="G1337" s="4"/>
      <c r="H1337" s="4"/>
      <c r="I1337" s="4" t="s">
        <v>2554</v>
      </c>
      <c r="J1337" s="4"/>
      <c r="K1337" s="4"/>
      <c r="L1337" s="4"/>
      <c r="M1337" s="4"/>
      <c r="N1337" s="4"/>
      <c r="O1337" s="4"/>
      <c r="P1337" s="4"/>
      <c r="Q1337" s="4"/>
    </row>
    <row r="1338" spans="1:17" x14ac:dyDescent="0.2">
      <c r="A1338" s="1">
        <f t="shared" ca="1" si="48"/>
        <v>1336</v>
      </c>
      <c r="B1338" s="76" t="s">
        <v>6548</v>
      </c>
      <c r="C1338" s="90" t="s">
        <v>4373</v>
      </c>
      <c r="D1338" s="4"/>
      <c r="E1338" s="4"/>
      <c r="F1338" s="4"/>
      <c r="G1338" s="4"/>
      <c r="H1338" s="4"/>
      <c r="I1338" s="4" t="s">
        <v>2555</v>
      </c>
      <c r="J1338" s="4"/>
      <c r="K1338" s="4"/>
      <c r="L1338" s="4"/>
      <c r="M1338" s="4"/>
      <c r="N1338" s="4"/>
      <c r="O1338" s="4"/>
      <c r="P1338" s="4"/>
      <c r="Q1338" s="4"/>
    </row>
    <row r="1339" spans="1:17" x14ac:dyDescent="0.2">
      <c r="A1339" s="1">
        <f t="shared" ca="1" si="48"/>
        <v>1337</v>
      </c>
      <c r="B1339" s="76" t="s">
        <v>6549</v>
      </c>
      <c r="C1339" s="90" t="s">
        <v>4374</v>
      </c>
      <c r="D1339" s="4"/>
      <c r="E1339" s="4"/>
      <c r="F1339" s="4"/>
      <c r="G1339" s="4"/>
      <c r="H1339" s="4"/>
      <c r="I1339" s="4" t="s">
        <v>2556</v>
      </c>
      <c r="J1339" s="4"/>
      <c r="K1339" s="4"/>
      <c r="L1339" s="4"/>
      <c r="M1339" s="4"/>
      <c r="N1339" s="4"/>
      <c r="O1339" s="4"/>
      <c r="P1339" s="4"/>
      <c r="Q1339" s="4"/>
    </row>
    <row r="1340" spans="1:17" x14ac:dyDescent="0.2">
      <c r="A1340" s="1">
        <f t="shared" ref="A1340" ca="1" si="49">CELL("row",C1340)-2</f>
        <v>1338</v>
      </c>
      <c r="B1340" s="1" t="s">
        <v>8955</v>
      </c>
      <c r="C1340" s="90" t="s">
        <v>4375</v>
      </c>
      <c r="D1340" s="4"/>
      <c r="E1340" s="4"/>
      <c r="F1340" s="4"/>
      <c r="G1340" s="4"/>
      <c r="H1340" s="4"/>
      <c r="I1340" s="4" t="s">
        <v>2557</v>
      </c>
      <c r="J1340" s="4"/>
      <c r="K1340" s="4"/>
      <c r="L1340" s="4"/>
      <c r="M1340" s="4"/>
      <c r="N1340" s="4"/>
      <c r="O1340" s="4"/>
      <c r="P1340" s="4"/>
      <c r="Q1340" s="4"/>
    </row>
    <row r="1341" spans="1:17" x14ac:dyDescent="0.2">
      <c r="A1341" s="1">
        <f t="shared" ca="1" si="48"/>
        <v>1339</v>
      </c>
      <c r="B1341" s="1" t="s">
        <v>6550</v>
      </c>
      <c r="C1341" s="90" t="s">
        <v>4375</v>
      </c>
      <c r="D1341" s="4"/>
      <c r="E1341" s="4"/>
      <c r="F1341" s="4"/>
      <c r="G1341" s="4"/>
      <c r="H1341" s="4"/>
      <c r="I1341" s="4" t="s">
        <v>2557</v>
      </c>
      <c r="J1341" s="4"/>
      <c r="K1341" s="4"/>
      <c r="L1341" s="4"/>
      <c r="M1341" s="4"/>
      <c r="N1341" s="4"/>
      <c r="O1341" s="4"/>
      <c r="P1341" s="4"/>
      <c r="Q1341" s="4"/>
    </row>
    <row r="1342" spans="1:17" x14ac:dyDescent="0.2">
      <c r="A1342" s="1">
        <f t="shared" ca="1" si="48"/>
        <v>1340</v>
      </c>
      <c r="B1342" s="76" t="s">
        <v>6551</v>
      </c>
      <c r="C1342" s="90" t="s">
        <v>4376</v>
      </c>
      <c r="D1342" s="4"/>
      <c r="E1342" s="4"/>
      <c r="F1342" s="4"/>
      <c r="G1342" s="4"/>
      <c r="H1342" s="4"/>
      <c r="I1342" s="4" t="s">
        <v>2558</v>
      </c>
      <c r="J1342" s="4"/>
      <c r="K1342" s="4"/>
      <c r="L1342" s="4"/>
      <c r="M1342" s="4"/>
      <c r="N1342" s="4"/>
      <c r="O1342" s="4"/>
      <c r="P1342" s="4"/>
      <c r="Q1342" s="4"/>
    </row>
    <row r="1343" spans="1:17" x14ac:dyDescent="0.2">
      <c r="A1343" s="1">
        <f t="shared" ca="1" si="48"/>
        <v>1341</v>
      </c>
      <c r="B1343" s="76" t="s">
        <v>6552</v>
      </c>
      <c r="C1343" s="90" t="s">
        <v>4377</v>
      </c>
      <c r="D1343" s="4"/>
      <c r="E1343" s="4"/>
      <c r="F1343" s="4"/>
      <c r="G1343" s="4"/>
      <c r="H1343" s="4"/>
      <c r="I1343" s="4" t="s">
        <v>2559</v>
      </c>
      <c r="J1343" s="4"/>
      <c r="K1343" s="4"/>
      <c r="L1343" s="4"/>
      <c r="M1343" s="4"/>
      <c r="N1343" s="4"/>
      <c r="O1343" s="4"/>
      <c r="P1343" s="4"/>
      <c r="Q1343" s="4"/>
    </row>
    <row r="1344" spans="1:17" ht="25.5" x14ac:dyDescent="0.2">
      <c r="A1344" s="1">
        <f t="shared" ca="1" si="48"/>
        <v>1342</v>
      </c>
      <c r="B1344" s="76" t="s">
        <v>1408</v>
      </c>
      <c r="C1344" s="90" t="s">
        <v>4378</v>
      </c>
      <c r="D1344" s="4"/>
      <c r="E1344" s="4"/>
      <c r="F1344" s="4"/>
      <c r="G1344" s="4"/>
      <c r="H1344" s="4"/>
      <c r="I1344" s="4" t="s">
        <v>2560</v>
      </c>
      <c r="J1344" s="4"/>
      <c r="K1344" s="4"/>
      <c r="L1344" s="4"/>
      <c r="M1344" s="4"/>
      <c r="N1344" s="4"/>
      <c r="O1344" s="4"/>
      <c r="P1344" s="4"/>
      <c r="Q1344" s="4"/>
    </row>
    <row r="1345" spans="1:17" ht="25.5" x14ac:dyDescent="0.2">
      <c r="A1345" s="1">
        <f t="shared" ca="1" si="48"/>
        <v>1343</v>
      </c>
      <c r="B1345" s="76" t="s">
        <v>1409</v>
      </c>
      <c r="C1345" s="90" t="s">
        <v>4379</v>
      </c>
      <c r="D1345" s="4"/>
      <c r="E1345" s="4"/>
      <c r="F1345" s="4"/>
      <c r="G1345" s="4"/>
      <c r="H1345" s="4"/>
      <c r="I1345" s="4" t="s">
        <v>2561</v>
      </c>
      <c r="J1345" s="4"/>
      <c r="K1345" s="4"/>
      <c r="L1345" s="4"/>
      <c r="M1345" s="4"/>
      <c r="N1345" s="4"/>
      <c r="O1345" s="4"/>
      <c r="P1345" s="4"/>
      <c r="Q1345" s="4"/>
    </row>
    <row r="1346" spans="1:17" ht="25.5" x14ac:dyDescent="0.2">
      <c r="A1346" s="1">
        <f t="shared" ca="1" si="48"/>
        <v>1344</v>
      </c>
      <c r="B1346" s="76" t="s">
        <v>1410</v>
      </c>
      <c r="C1346" s="90" t="s">
        <v>4380</v>
      </c>
      <c r="D1346" s="4"/>
      <c r="E1346" s="4"/>
      <c r="F1346" s="4"/>
      <c r="G1346" s="4"/>
      <c r="H1346" s="4"/>
      <c r="I1346" s="4" t="s">
        <v>2562</v>
      </c>
      <c r="J1346" s="4"/>
      <c r="K1346" s="4"/>
      <c r="L1346" s="4"/>
      <c r="M1346" s="4"/>
      <c r="N1346" s="4"/>
      <c r="O1346" s="4"/>
      <c r="P1346" s="4"/>
      <c r="Q1346" s="4"/>
    </row>
    <row r="1347" spans="1:17" x14ac:dyDescent="0.2">
      <c r="A1347" s="1">
        <f t="shared" ca="1" si="48"/>
        <v>1345</v>
      </c>
      <c r="B1347" s="74" t="s">
        <v>1411</v>
      </c>
      <c r="C1347" s="90" t="s">
        <v>4381</v>
      </c>
      <c r="D1347" s="4"/>
      <c r="E1347" s="4"/>
      <c r="F1347" s="4"/>
      <c r="G1347" s="4"/>
      <c r="H1347" s="4"/>
      <c r="I1347" s="4" t="s">
        <v>2563</v>
      </c>
      <c r="J1347" s="4"/>
      <c r="K1347" s="4"/>
      <c r="L1347" s="4"/>
      <c r="M1347" s="4"/>
      <c r="N1347" s="4"/>
      <c r="O1347" s="4"/>
      <c r="P1347" s="4"/>
      <c r="Q1347" s="4"/>
    </row>
    <row r="1348" spans="1:17" x14ac:dyDescent="0.2">
      <c r="A1348" s="1">
        <f t="shared" ca="1" si="48"/>
        <v>1346</v>
      </c>
      <c r="B1348" s="76" t="s">
        <v>1412</v>
      </c>
      <c r="C1348" s="90" t="s">
        <v>4382</v>
      </c>
      <c r="D1348" s="4"/>
      <c r="E1348" s="4"/>
      <c r="F1348" s="4"/>
      <c r="G1348" s="4"/>
      <c r="H1348" s="4"/>
      <c r="I1348" s="4" t="s">
        <v>2564</v>
      </c>
      <c r="J1348" s="4"/>
      <c r="K1348" s="4"/>
      <c r="L1348" s="4"/>
      <c r="M1348" s="4"/>
      <c r="N1348" s="4"/>
      <c r="O1348" s="4"/>
      <c r="P1348" s="4"/>
      <c r="Q1348" s="4"/>
    </row>
    <row r="1349" spans="1:17" ht="25.5" x14ac:dyDescent="0.2">
      <c r="A1349" s="1">
        <f t="shared" ca="1" si="48"/>
        <v>1347</v>
      </c>
      <c r="B1349" s="76" t="s">
        <v>1413</v>
      </c>
      <c r="C1349" s="90" t="s">
        <v>4383</v>
      </c>
      <c r="D1349" s="4"/>
      <c r="E1349" s="4"/>
      <c r="F1349" s="4"/>
      <c r="G1349" s="4"/>
      <c r="H1349" s="4"/>
      <c r="I1349" s="4" t="s">
        <v>2565</v>
      </c>
      <c r="J1349" s="4"/>
      <c r="K1349" s="4"/>
      <c r="L1349" s="4"/>
      <c r="M1349" s="4"/>
      <c r="N1349" s="4"/>
      <c r="O1349" s="4"/>
      <c r="P1349" s="4"/>
      <c r="Q1349" s="4"/>
    </row>
    <row r="1350" spans="1:17" x14ac:dyDescent="0.2">
      <c r="A1350" s="1">
        <f t="shared" ca="1" si="48"/>
        <v>1348</v>
      </c>
      <c r="B1350" s="76" t="s">
        <v>4816</v>
      </c>
      <c r="C1350" s="90" t="s">
        <v>4384</v>
      </c>
      <c r="D1350" s="4"/>
      <c r="E1350" s="4"/>
      <c r="F1350" s="4"/>
      <c r="G1350" s="4"/>
      <c r="H1350" s="4"/>
      <c r="I1350" s="4" t="s">
        <v>2566</v>
      </c>
      <c r="J1350" s="4"/>
      <c r="K1350" s="4"/>
      <c r="L1350" s="4"/>
      <c r="M1350" s="4"/>
      <c r="N1350" s="4"/>
      <c r="O1350" s="4"/>
      <c r="P1350" s="4"/>
      <c r="Q1350" s="4"/>
    </row>
    <row r="1351" spans="1:17" x14ac:dyDescent="0.2">
      <c r="A1351" s="1">
        <f t="shared" ca="1" si="48"/>
        <v>1349</v>
      </c>
      <c r="B1351" s="76" t="s">
        <v>4817</v>
      </c>
      <c r="C1351" s="90" t="s">
        <v>4385</v>
      </c>
      <c r="D1351" s="4"/>
      <c r="E1351" s="4"/>
      <c r="F1351" s="4"/>
      <c r="G1351" s="4"/>
      <c r="H1351" s="4"/>
      <c r="I1351" s="4" t="s">
        <v>2567</v>
      </c>
      <c r="J1351" s="4"/>
      <c r="K1351" s="4"/>
      <c r="L1351" s="4"/>
      <c r="M1351" s="4"/>
      <c r="N1351" s="4"/>
      <c r="O1351" s="4"/>
      <c r="P1351" s="4"/>
      <c r="Q1351" s="4"/>
    </row>
    <row r="1352" spans="1:17" x14ac:dyDescent="0.2">
      <c r="A1352" s="1">
        <f t="shared" ca="1" si="48"/>
        <v>1350</v>
      </c>
      <c r="B1352" s="1" t="s">
        <v>4818</v>
      </c>
      <c r="C1352" s="90" t="s">
        <v>4386</v>
      </c>
      <c r="G1352" s="7"/>
      <c r="I1352" s="4" t="s">
        <v>2568</v>
      </c>
    </row>
    <row r="1353" spans="1:17" ht="25.5" x14ac:dyDescent="0.2">
      <c r="A1353" s="1">
        <f t="shared" ca="1" si="48"/>
        <v>1351</v>
      </c>
      <c r="B1353" s="76" t="s">
        <v>5282</v>
      </c>
      <c r="C1353" s="90" t="s">
        <v>5342</v>
      </c>
      <c r="G1353" s="7"/>
      <c r="I1353" s="4" t="s">
        <v>2569</v>
      </c>
    </row>
    <row r="1354" spans="1:17" ht="25.5" x14ac:dyDescent="0.2">
      <c r="A1354" s="1">
        <f t="shared" ca="1" si="48"/>
        <v>1352</v>
      </c>
      <c r="B1354" s="76" t="s">
        <v>5283</v>
      </c>
      <c r="C1354" s="90" t="s">
        <v>5341</v>
      </c>
      <c r="G1354" s="7"/>
      <c r="I1354" s="4" t="s">
        <v>871</v>
      </c>
    </row>
    <row r="1355" spans="1:17" x14ac:dyDescent="0.2">
      <c r="A1355" s="1">
        <f t="shared" ca="1" si="48"/>
        <v>1353</v>
      </c>
      <c r="B1355" s="76" t="s">
        <v>5227</v>
      </c>
      <c r="C1355" s="90" t="s">
        <v>1166</v>
      </c>
      <c r="G1355" s="7"/>
      <c r="I1355" s="4" t="s">
        <v>872</v>
      </c>
    </row>
    <row r="1356" spans="1:17" ht="38.25" x14ac:dyDescent="0.2">
      <c r="A1356" s="1">
        <f t="shared" ca="1" si="48"/>
        <v>1354</v>
      </c>
      <c r="B1356" s="76" t="s">
        <v>1422</v>
      </c>
      <c r="C1356" s="90" t="s">
        <v>1167</v>
      </c>
      <c r="G1356" s="7"/>
      <c r="I1356" s="4" t="s">
        <v>873</v>
      </c>
    </row>
    <row r="1357" spans="1:17" ht="38.25" x14ac:dyDescent="0.2">
      <c r="A1357" s="1">
        <f t="shared" ca="1" si="48"/>
        <v>1355</v>
      </c>
      <c r="B1357" s="76" t="s">
        <v>7834</v>
      </c>
      <c r="C1357" s="90" t="s">
        <v>1168</v>
      </c>
      <c r="G1357" s="7"/>
      <c r="I1357" s="4" t="s">
        <v>874</v>
      </c>
    </row>
    <row r="1358" spans="1:17" x14ac:dyDescent="0.2">
      <c r="A1358" s="1">
        <f t="shared" ca="1" si="48"/>
        <v>1356</v>
      </c>
      <c r="B1358" s="74" t="s">
        <v>7835</v>
      </c>
      <c r="C1358" s="90" t="s">
        <v>1169</v>
      </c>
      <c r="G1358" s="7"/>
      <c r="I1358" s="4" t="s">
        <v>875</v>
      </c>
    </row>
    <row r="1359" spans="1:17" ht="25.5" x14ac:dyDescent="0.2">
      <c r="A1359" s="1">
        <f t="shared" ca="1" si="48"/>
        <v>1357</v>
      </c>
      <c r="B1359" s="76" t="s">
        <v>5178</v>
      </c>
      <c r="C1359" s="90" t="s">
        <v>1170</v>
      </c>
      <c r="G1359" s="7"/>
      <c r="I1359" s="4" t="s">
        <v>876</v>
      </c>
    </row>
    <row r="1360" spans="1:17" ht="25.5" x14ac:dyDescent="0.2">
      <c r="A1360" s="1">
        <f t="shared" ca="1" si="48"/>
        <v>1358</v>
      </c>
      <c r="B1360" s="76" t="s">
        <v>6368</v>
      </c>
      <c r="C1360" s="90" t="s">
        <v>1171</v>
      </c>
      <c r="G1360" s="7"/>
      <c r="I1360" s="4" t="s">
        <v>877</v>
      </c>
    </row>
    <row r="1361" spans="1:9" x14ac:dyDescent="0.2">
      <c r="A1361" s="1">
        <f t="shared" ca="1" si="48"/>
        <v>1359</v>
      </c>
      <c r="B1361" s="74" t="s">
        <v>5179</v>
      </c>
      <c r="C1361" s="90" t="s">
        <v>5370</v>
      </c>
      <c r="G1361" s="7"/>
      <c r="I1361" s="4" t="s">
        <v>878</v>
      </c>
    </row>
    <row r="1362" spans="1:9" ht="25.5" x14ac:dyDescent="0.2">
      <c r="A1362" s="1">
        <f t="shared" ca="1" si="48"/>
        <v>1360</v>
      </c>
      <c r="B1362" s="74" t="s">
        <v>5369</v>
      </c>
      <c r="C1362" s="90" t="s">
        <v>5454</v>
      </c>
      <c r="G1362" s="7"/>
      <c r="I1362" s="4" t="s">
        <v>879</v>
      </c>
    </row>
    <row r="1363" spans="1:9" x14ac:dyDescent="0.2">
      <c r="A1363" s="1">
        <f t="shared" ca="1" si="48"/>
        <v>1361</v>
      </c>
      <c r="B1363" s="74" t="s">
        <v>2613</v>
      </c>
      <c r="C1363" s="90" t="s">
        <v>5455</v>
      </c>
      <c r="G1363" s="7"/>
      <c r="I1363" s="4" t="s">
        <v>880</v>
      </c>
    </row>
    <row r="1364" spans="1:9" ht="25.5" x14ac:dyDescent="0.2">
      <c r="A1364" s="1">
        <f t="shared" ca="1" si="48"/>
        <v>1362</v>
      </c>
      <c r="B1364" s="76" t="s">
        <v>7836</v>
      </c>
      <c r="C1364" s="90" t="s">
        <v>1172</v>
      </c>
      <c r="G1364" s="7"/>
      <c r="I1364" s="4" t="s">
        <v>881</v>
      </c>
    </row>
    <row r="1365" spans="1:9" x14ac:dyDescent="0.2">
      <c r="A1365" s="1">
        <f t="shared" ca="1" si="48"/>
        <v>1363</v>
      </c>
      <c r="B1365" s="76" t="s">
        <v>7837</v>
      </c>
      <c r="C1365" s="90" t="s">
        <v>1173</v>
      </c>
      <c r="G1365" s="7"/>
      <c r="I1365" s="4" t="s">
        <v>882</v>
      </c>
    </row>
    <row r="1366" spans="1:9" ht="25.5" x14ac:dyDescent="0.2">
      <c r="A1366" s="1">
        <f t="shared" ca="1" si="48"/>
        <v>1364</v>
      </c>
      <c r="B1366" s="76" t="s">
        <v>7838</v>
      </c>
      <c r="C1366" s="90" t="s">
        <v>1174</v>
      </c>
      <c r="G1366" s="7"/>
      <c r="I1366" s="4" t="s">
        <v>883</v>
      </c>
    </row>
    <row r="1367" spans="1:9" x14ac:dyDescent="0.2">
      <c r="A1367" s="1">
        <f t="shared" ca="1" si="48"/>
        <v>1365</v>
      </c>
      <c r="B1367" s="76" t="s">
        <v>4442</v>
      </c>
      <c r="C1367" s="90" t="s">
        <v>1175</v>
      </c>
      <c r="G1367" s="7"/>
      <c r="I1367" s="4" t="s">
        <v>884</v>
      </c>
    </row>
    <row r="1368" spans="1:9" x14ac:dyDescent="0.2">
      <c r="A1368" s="1">
        <f t="shared" ref="A1368" ca="1" si="50">CELL("row",C1368)-2</f>
        <v>1366</v>
      </c>
      <c r="B1368" s="76" t="s">
        <v>9017</v>
      </c>
      <c r="C1368" s="146" t="s">
        <v>9018</v>
      </c>
      <c r="G1368" s="7"/>
    </row>
    <row r="1369" spans="1:9" x14ac:dyDescent="0.2">
      <c r="A1369" s="1">
        <f t="shared" ca="1" si="48"/>
        <v>1367</v>
      </c>
      <c r="B1369" s="76" t="s">
        <v>4443</v>
      </c>
      <c r="C1369" s="90" t="s">
        <v>1176</v>
      </c>
      <c r="G1369" s="7"/>
      <c r="I1369" s="4" t="s">
        <v>885</v>
      </c>
    </row>
    <row r="1370" spans="1:9" x14ac:dyDescent="0.2">
      <c r="A1370" s="1">
        <f t="shared" ca="1" si="48"/>
        <v>1368</v>
      </c>
      <c r="B1370" s="1" t="s">
        <v>3579</v>
      </c>
      <c r="C1370" s="90" t="s">
        <v>369</v>
      </c>
      <c r="G1370" s="7"/>
      <c r="I1370" s="4" t="s">
        <v>886</v>
      </c>
    </row>
    <row r="1371" spans="1:9" x14ac:dyDescent="0.2">
      <c r="A1371" s="1">
        <f t="shared" ca="1" si="48"/>
        <v>1369</v>
      </c>
      <c r="B1371" s="76" t="s">
        <v>3580</v>
      </c>
      <c r="C1371" s="90" t="s">
        <v>1177</v>
      </c>
      <c r="G1371" s="7"/>
      <c r="I1371" s="4" t="s">
        <v>887</v>
      </c>
    </row>
    <row r="1372" spans="1:9" x14ac:dyDescent="0.2">
      <c r="A1372" s="1">
        <f t="shared" ca="1" si="48"/>
        <v>1370</v>
      </c>
      <c r="B1372" s="76" t="s">
        <v>3581</v>
      </c>
      <c r="C1372" s="90" t="s">
        <v>1178</v>
      </c>
      <c r="G1372" s="7"/>
      <c r="I1372" s="4" t="s">
        <v>2440</v>
      </c>
    </row>
    <row r="1373" spans="1:9" x14ac:dyDescent="0.2">
      <c r="A1373" s="1">
        <f t="shared" ca="1" si="48"/>
        <v>1371</v>
      </c>
      <c r="B1373" s="76" t="s">
        <v>3582</v>
      </c>
      <c r="C1373" s="90" t="s">
        <v>1179</v>
      </c>
      <c r="G1373" s="7"/>
      <c r="I1373" s="4" t="s">
        <v>888</v>
      </c>
    </row>
    <row r="1374" spans="1:9" x14ac:dyDescent="0.2">
      <c r="A1374" s="1">
        <f t="shared" ca="1" si="48"/>
        <v>1372</v>
      </c>
      <c r="B1374" s="76" t="s">
        <v>3583</v>
      </c>
      <c r="C1374" s="90" t="s">
        <v>1180</v>
      </c>
      <c r="G1374" s="7"/>
      <c r="I1374" s="4" t="s">
        <v>889</v>
      </c>
    </row>
    <row r="1375" spans="1:9" x14ac:dyDescent="0.2">
      <c r="A1375" s="1">
        <f t="shared" ca="1" si="48"/>
        <v>1373</v>
      </c>
      <c r="B1375" s="76" t="s">
        <v>3584</v>
      </c>
      <c r="C1375" s="90" t="s">
        <v>1181</v>
      </c>
      <c r="G1375" s="7"/>
      <c r="I1375" s="4" t="s">
        <v>890</v>
      </c>
    </row>
    <row r="1376" spans="1:9" x14ac:dyDescent="0.2">
      <c r="A1376" s="1">
        <f t="shared" ca="1" si="48"/>
        <v>1374</v>
      </c>
      <c r="B1376" s="74" t="s">
        <v>3585</v>
      </c>
      <c r="C1376" s="90" t="s">
        <v>6465</v>
      </c>
      <c r="G1376" s="7"/>
      <c r="I1376" s="4" t="s">
        <v>891</v>
      </c>
    </row>
    <row r="1377" spans="1:9" x14ac:dyDescent="0.2">
      <c r="A1377" s="1">
        <f t="shared" ca="1" si="48"/>
        <v>1375</v>
      </c>
      <c r="B1377" s="76" t="s">
        <v>3586</v>
      </c>
      <c r="C1377" s="90" t="s">
        <v>1176</v>
      </c>
      <c r="G1377" s="7"/>
      <c r="I1377" s="4" t="s">
        <v>892</v>
      </c>
    </row>
    <row r="1378" spans="1:9" x14ac:dyDescent="0.2">
      <c r="A1378" s="1">
        <f t="shared" ca="1" si="48"/>
        <v>1376</v>
      </c>
      <c r="B1378" s="76" t="s">
        <v>1570</v>
      </c>
      <c r="C1378" s="90" t="s">
        <v>1571</v>
      </c>
      <c r="G1378" s="7"/>
      <c r="I1378" s="4" t="s">
        <v>893</v>
      </c>
    </row>
    <row r="1379" spans="1:9" x14ac:dyDescent="0.2">
      <c r="A1379" s="1">
        <f t="shared" ca="1" si="48"/>
        <v>1377</v>
      </c>
      <c r="B1379" s="76" t="s">
        <v>1572</v>
      </c>
      <c r="C1379" s="90" t="s">
        <v>7706</v>
      </c>
      <c r="G1379" s="7"/>
      <c r="I1379" s="4" t="s">
        <v>894</v>
      </c>
    </row>
    <row r="1380" spans="1:9" x14ac:dyDescent="0.2">
      <c r="A1380" s="1">
        <f t="shared" ca="1" si="48"/>
        <v>1378</v>
      </c>
      <c r="B1380" s="76" t="s">
        <v>1573</v>
      </c>
      <c r="C1380" s="90" t="s">
        <v>7707</v>
      </c>
      <c r="G1380" s="7"/>
      <c r="I1380" s="4" t="s">
        <v>895</v>
      </c>
    </row>
    <row r="1381" spans="1:9" x14ac:dyDescent="0.2">
      <c r="A1381" s="1">
        <f t="shared" ca="1" si="48"/>
        <v>1379</v>
      </c>
      <c r="B1381" s="1" t="s">
        <v>1574</v>
      </c>
      <c r="C1381" s="90" t="s">
        <v>1575</v>
      </c>
      <c r="G1381" s="7"/>
      <c r="I1381" s="4" t="s">
        <v>896</v>
      </c>
    </row>
    <row r="1382" spans="1:9" x14ac:dyDescent="0.2">
      <c r="A1382" s="1">
        <f t="shared" ca="1" si="48"/>
        <v>1380</v>
      </c>
      <c r="B1382" s="76" t="s">
        <v>1576</v>
      </c>
      <c r="C1382" s="90" t="s">
        <v>7708</v>
      </c>
      <c r="G1382" s="7"/>
      <c r="I1382" s="4" t="s">
        <v>897</v>
      </c>
    </row>
    <row r="1383" spans="1:9" x14ac:dyDescent="0.2">
      <c r="A1383" s="1">
        <f t="shared" ref="A1383:A1453" ca="1" si="51">CELL("row",C1383)-2</f>
        <v>1381</v>
      </c>
      <c r="B1383" s="76" t="s">
        <v>1577</v>
      </c>
      <c r="C1383" s="90" t="s">
        <v>7709</v>
      </c>
      <c r="G1383" s="7"/>
      <c r="I1383" s="4" t="s">
        <v>898</v>
      </c>
    </row>
    <row r="1384" spans="1:9" x14ac:dyDescent="0.2">
      <c r="A1384" s="1">
        <f t="shared" ca="1" si="51"/>
        <v>1382</v>
      </c>
      <c r="B1384" s="76" t="s">
        <v>1111</v>
      </c>
      <c r="C1384" s="90" t="s">
        <v>1182</v>
      </c>
      <c r="G1384" s="7"/>
      <c r="I1384" s="4" t="s">
        <v>5001</v>
      </c>
    </row>
    <row r="1385" spans="1:9" x14ac:dyDescent="0.2">
      <c r="A1385" s="1">
        <f t="shared" ca="1" si="51"/>
        <v>1383</v>
      </c>
      <c r="B1385" s="76" t="s">
        <v>1112</v>
      </c>
      <c r="C1385" s="90" t="s">
        <v>2659</v>
      </c>
      <c r="G1385" s="7"/>
      <c r="I1385" s="4" t="s">
        <v>899</v>
      </c>
    </row>
    <row r="1386" spans="1:9" x14ac:dyDescent="0.2">
      <c r="A1386" s="1">
        <f t="shared" ca="1" si="51"/>
        <v>1384</v>
      </c>
      <c r="B1386" s="76" t="s">
        <v>2660</v>
      </c>
      <c r="C1386" s="90" t="s">
        <v>2661</v>
      </c>
      <c r="G1386" s="7"/>
      <c r="I1386" s="4" t="s">
        <v>900</v>
      </c>
    </row>
    <row r="1387" spans="1:9" x14ac:dyDescent="0.2">
      <c r="A1387" s="1">
        <f t="shared" ca="1" si="51"/>
        <v>1385</v>
      </c>
      <c r="B1387" s="74" t="s">
        <v>7710</v>
      </c>
      <c r="C1387" s="90" t="s">
        <v>1183</v>
      </c>
      <c r="G1387" s="7"/>
      <c r="I1387" s="4" t="s">
        <v>901</v>
      </c>
    </row>
    <row r="1388" spans="1:9" x14ac:dyDescent="0.2">
      <c r="A1388" s="1">
        <f t="shared" ca="1" si="51"/>
        <v>1386</v>
      </c>
      <c r="B1388" s="76" t="s">
        <v>2662</v>
      </c>
      <c r="C1388" s="90" t="s">
        <v>1184</v>
      </c>
      <c r="G1388" s="7"/>
      <c r="I1388" s="4" t="s">
        <v>902</v>
      </c>
    </row>
    <row r="1389" spans="1:9" x14ac:dyDescent="0.2">
      <c r="A1389" s="1">
        <f t="shared" ca="1" si="51"/>
        <v>1387</v>
      </c>
      <c r="B1389" s="1" t="s">
        <v>2663</v>
      </c>
      <c r="C1389" s="90" t="s">
        <v>2664</v>
      </c>
      <c r="G1389" s="7"/>
      <c r="I1389" s="4" t="s">
        <v>903</v>
      </c>
    </row>
    <row r="1390" spans="1:9" x14ac:dyDescent="0.2">
      <c r="A1390" s="1">
        <f t="shared" ca="1" si="51"/>
        <v>1388</v>
      </c>
      <c r="B1390" s="1" t="s">
        <v>2665</v>
      </c>
      <c r="C1390" s="90" t="s">
        <v>1185</v>
      </c>
      <c r="G1390" s="7"/>
      <c r="I1390" s="4" t="s">
        <v>904</v>
      </c>
    </row>
    <row r="1391" spans="1:9" x14ac:dyDescent="0.2">
      <c r="A1391" s="1">
        <f t="shared" ca="1" si="51"/>
        <v>1389</v>
      </c>
      <c r="B1391" s="1" t="s">
        <v>4914</v>
      </c>
      <c r="C1391" s="90" t="s">
        <v>1186</v>
      </c>
      <c r="G1391" s="7"/>
      <c r="I1391" s="4" t="s">
        <v>905</v>
      </c>
    </row>
    <row r="1392" spans="1:9" x14ac:dyDescent="0.2">
      <c r="A1392" s="1">
        <f t="shared" ca="1" si="51"/>
        <v>1390</v>
      </c>
      <c r="B1392" s="1" t="s">
        <v>4915</v>
      </c>
      <c r="C1392" s="90" t="s">
        <v>1187</v>
      </c>
      <c r="G1392" s="7"/>
      <c r="I1392" s="4" t="s">
        <v>906</v>
      </c>
    </row>
    <row r="1393" spans="1:9" x14ac:dyDescent="0.2">
      <c r="A1393" s="1">
        <f t="shared" ca="1" si="51"/>
        <v>1391</v>
      </c>
      <c r="B1393" s="1" t="s">
        <v>4916</v>
      </c>
      <c r="C1393" s="90" t="s">
        <v>4713</v>
      </c>
      <c r="G1393" s="7"/>
      <c r="I1393" s="4" t="s">
        <v>907</v>
      </c>
    </row>
    <row r="1394" spans="1:9" x14ac:dyDescent="0.2">
      <c r="A1394" s="1">
        <f t="shared" ca="1" si="51"/>
        <v>1392</v>
      </c>
      <c r="B1394" s="1" t="s">
        <v>4917</v>
      </c>
      <c r="C1394" s="90" t="s">
        <v>1188</v>
      </c>
      <c r="G1394" s="7"/>
      <c r="I1394" s="4" t="s">
        <v>3177</v>
      </c>
    </row>
    <row r="1395" spans="1:9" x14ac:dyDescent="0.2">
      <c r="A1395" s="1">
        <f t="shared" ca="1" si="51"/>
        <v>1393</v>
      </c>
      <c r="B1395" s="1" t="s">
        <v>4918</v>
      </c>
      <c r="C1395" s="90" t="s">
        <v>1189</v>
      </c>
      <c r="G1395" s="7"/>
      <c r="I1395" s="4" t="s">
        <v>3178</v>
      </c>
    </row>
    <row r="1396" spans="1:9" x14ac:dyDescent="0.2">
      <c r="A1396" s="1">
        <f t="shared" ca="1" si="51"/>
        <v>1394</v>
      </c>
      <c r="B1396" s="1" t="s">
        <v>8325</v>
      </c>
      <c r="C1396" s="90" t="s">
        <v>1190</v>
      </c>
      <c r="G1396" s="7"/>
      <c r="I1396" s="4" t="s">
        <v>3179</v>
      </c>
    </row>
    <row r="1397" spans="1:9" x14ac:dyDescent="0.2">
      <c r="A1397" s="1">
        <f t="shared" ca="1" si="51"/>
        <v>1395</v>
      </c>
      <c r="B1397" s="1" t="s">
        <v>8323</v>
      </c>
      <c r="C1397" s="90" t="s">
        <v>1191</v>
      </c>
      <c r="G1397" s="7"/>
      <c r="I1397" s="4" t="s">
        <v>3180</v>
      </c>
    </row>
    <row r="1398" spans="1:9" x14ac:dyDescent="0.2">
      <c r="A1398" s="1">
        <f t="shared" ca="1" si="51"/>
        <v>1396</v>
      </c>
      <c r="B1398" s="1" t="s">
        <v>8324</v>
      </c>
      <c r="C1398" s="90" t="s">
        <v>1192</v>
      </c>
      <c r="G1398" s="7"/>
      <c r="I1398" s="4" t="s">
        <v>3181</v>
      </c>
    </row>
    <row r="1399" spans="1:9" ht="25.5" x14ac:dyDescent="0.2">
      <c r="A1399" s="1">
        <f t="shared" ca="1" si="51"/>
        <v>1397</v>
      </c>
      <c r="B1399" s="1" t="s">
        <v>1668</v>
      </c>
      <c r="C1399" s="90" t="s">
        <v>1193</v>
      </c>
      <c r="G1399" s="7"/>
      <c r="I1399" s="4" t="s">
        <v>3182</v>
      </c>
    </row>
    <row r="1400" spans="1:9" ht="38.25" x14ac:dyDescent="0.2">
      <c r="A1400" s="1">
        <f t="shared" ca="1" si="51"/>
        <v>1398</v>
      </c>
      <c r="B1400" s="1" t="s">
        <v>7569</v>
      </c>
      <c r="C1400" s="90" t="s">
        <v>1194</v>
      </c>
      <c r="G1400" s="7"/>
      <c r="I1400" s="4" t="s">
        <v>909</v>
      </c>
    </row>
    <row r="1401" spans="1:9" x14ac:dyDescent="0.2">
      <c r="A1401" s="1">
        <f t="shared" ca="1" si="51"/>
        <v>1399</v>
      </c>
      <c r="B1401" s="79" t="s">
        <v>5083</v>
      </c>
      <c r="G1401" s="7"/>
    </row>
    <row r="1402" spans="1:9" ht="25.5" x14ac:dyDescent="0.2">
      <c r="A1402" s="1">
        <f t="shared" ca="1" si="51"/>
        <v>1400</v>
      </c>
      <c r="B1402" s="1" t="s">
        <v>2084</v>
      </c>
      <c r="C1402" s="90" t="s">
        <v>5198</v>
      </c>
      <c r="G1402" s="7"/>
      <c r="I1402" s="4" t="s">
        <v>910</v>
      </c>
    </row>
    <row r="1403" spans="1:9" ht="25.5" x14ac:dyDescent="0.2">
      <c r="A1403" s="1">
        <f t="shared" ca="1" si="51"/>
        <v>1401</v>
      </c>
      <c r="B1403" s="74" t="s">
        <v>4253</v>
      </c>
      <c r="C1403" s="91" t="s">
        <v>5957</v>
      </c>
      <c r="G1403" s="7"/>
      <c r="I1403" s="4" t="s">
        <v>911</v>
      </c>
    </row>
    <row r="1404" spans="1:9" x14ac:dyDescent="0.2">
      <c r="A1404" s="1">
        <f t="shared" ca="1" si="51"/>
        <v>1402</v>
      </c>
      <c r="B1404" s="76" t="s">
        <v>4254</v>
      </c>
      <c r="C1404" s="91" t="s">
        <v>5958</v>
      </c>
      <c r="G1404" s="7"/>
      <c r="I1404" s="4" t="s">
        <v>912</v>
      </c>
    </row>
    <row r="1405" spans="1:9" ht="127.5" x14ac:dyDescent="0.2">
      <c r="A1405" s="1">
        <f t="shared" ca="1" si="51"/>
        <v>1403</v>
      </c>
      <c r="B1405" s="76" t="s">
        <v>6527</v>
      </c>
      <c r="C1405" s="91" t="s">
        <v>5504</v>
      </c>
      <c r="G1405" s="7"/>
      <c r="I1405" s="91" t="s">
        <v>1781</v>
      </c>
    </row>
    <row r="1406" spans="1:9" ht="102" x14ac:dyDescent="0.2">
      <c r="A1406" s="1">
        <f t="shared" ca="1" si="51"/>
        <v>1404</v>
      </c>
      <c r="B1406" s="76" t="s">
        <v>9147</v>
      </c>
      <c r="C1406" s="91" t="s">
        <v>8014</v>
      </c>
      <c r="G1406" s="7"/>
      <c r="I1406" s="4" t="s">
        <v>1782</v>
      </c>
    </row>
    <row r="1407" spans="1:9" x14ac:dyDescent="0.2">
      <c r="A1407" s="1">
        <f t="shared" ca="1" si="51"/>
        <v>1405</v>
      </c>
      <c r="B1407" s="76" t="s">
        <v>7048</v>
      </c>
      <c r="C1407" s="91" t="s">
        <v>7987</v>
      </c>
      <c r="G1407" s="7"/>
      <c r="I1407" s="4" t="s">
        <v>1783</v>
      </c>
    </row>
    <row r="1408" spans="1:9" x14ac:dyDescent="0.2">
      <c r="A1408" s="1">
        <f t="shared" ca="1" si="51"/>
        <v>1406</v>
      </c>
      <c r="B1408" s="76" t="s">
        <v>7049</v>
      </c>
      <c r="C1408" s="91" t="s">
        <v>7986</v>
      </c>
      <c r="G1408" s="7"/>
      <c r="I1408" s="4" t="s">
        <v>1784</v>
      </c>
    </row>
    <row r="1409" spans="1:9" ht="28.5" x14ac:dyDescent="0.2">
      <c r="A1409" s="1">
        <f t="shared" ref="A1409" ca="1" si="52">CELL("row",C1409)-2</f>
        <v>1407</v>
      </c>
      <c r="B1409" s="76" t="s">
        <v>8925</v>
      </c>
      <c r="C1409" s="154" t="s">
        <v>8926</v>
      </c>
      <c r="G1409" s="7"/>
      <c r="I1409" s="4" t="s">
        <v>1785</v>
      </c>
    </row>
    <row r="1410" spans="1:9" ht="28.5" x14ac:dyDescent="0.2">
      <c r="A1410" s="1">
        <f t="shared" ca="1" si="51"/>
        <v>1408</v>
      </c>
      <c r="B1410" s="76" t="s">
        <v>5048</v>
      </c>
      <c r="C1410" s="91" t="s">
        <v>7985</v>
      </c>
      <c r="G1410" s="7"/>
      <c r="I1410" s="4" t="s">
        <v>1785</v>
      </c>
    </row>
    <row r="1411" spans="1:9" ht="28.5" x14ac:dyDescent="0.2">
      <c r="A1411" s="1">
        <f t="shared" ca="1" si="51"/>
        <v>1409</v>
      </c>
      <c r="B1411" s="76" t="s">
        <v>3432</v>
      </c>
      <c r="C1411" s="91" t="s">
        <v>188</v>
      </c>
      <c r="G1411" s="7"/>
      <c r="I1411" s="91" t="s">
        <v>1786</v>
      </c>
    </row>
    <row r="1412" spans="1:9" ht="28.5" x14ac:dyDescent="0.2">
      <c r="A1412" s="1">
        <f t="shared" ca="1" si="51"/>
        <v>1410</v>
      </c>
      <c r="B1412" s="76" t="s">
        <v>5049</v>
      </c>
      <c r="C1412" s="91" t="s">
        <v>187</v>
      </c>
      <c r="G1412" s="7"/>
      <c r="I1412" s="4" t="s">
        <v>1787</v>
      </c>
    </row>
    <row r="1413" spans="1:9" ht="54" x14ac:dyDescent="0.2">
      <c r="A1413" s="1">
        <f t="shared" ca="1" si="51"/>
        <v>1411</v>
      </c>
      <c r="B1413" s="76" t="s">
        <v>5050</v>
      </c>
      <c r="C1413" s="91" t="s">
        <v>186</v>
      </c>
      <c r="G1413" s="7"/>
      <c r="I1413" s="4" t="s">
        <v>1788</v>
      </c>
    </row>
    <row r="1414" spans="1:9" x14ac:dyDescent="0.2">
      <c r="A1414" s="1">
        <f t="shared" ca="1" si="51"/>
        <v>1412</v>
      </c>
      <c r="B1414" s="76" t="s">
        <v>7960</v>
      </c>
      <c r="C1414" s="91" t="s">
        <v>185</v>
      </c>
      <c r="G1414" s="7"/>
      <c r="I1414" s="4" t="s">
        <v>1789</v>
      </c>
    </row>
    <row r="1415" spans="1:9" x14ac:dyDescent="0.2">
      <c r="A1415" s="1">
        <f t="shared" ref="A1415" ca="1" si="53">CELL("row",C1415)-2</f>
        <v>1413</v>
      </c>
      <c r="B1415" s="76" t="s">
        <v>8931</v>
      </c>
      <c r="C1415" s="154" t="s">
        <v>8932</v>
      </c>
      <c r="G1415" s="7"/>
      <c r="I1415" s="4" t="s">
        <v>8933</v>
      </c>
    </row>
    <row r="1416" spans="1:9" ht="28.5" x14ac:dyDescent="0.2">
      <c r="A1416" s="1">
        <f t="shared" ca="1" si="51"/>
        <v>1414</v>
      </c>
      <c r="B1416" s="76" t="s">
        <v>5051</v>
      </c>
      <c r="C1416" s="91" t="s">
        <v>184</v>
      </c>
      <c r="G1416" s="7"/>
      <c r="I1416" s="4" t="s">
        <v>1790</v>
      </c>
    </row>
    <row r="1417" spans="1:9" ht="28.5" x14ac:dyDescent="0.2">
      <c r="A1417" s="1">
        <f t="shared" ca="1" si="51"/>
        <v>1415</v>
      </c>
      <c r="B1417" s="76" t="s">
        <v>4211</v>
      </c>
      <c r="C1417" s="91" t="s">
        <v>4044</v>
      </c>
      <c r="G1417" s="7"/>
      <c r="I1417" s="4" t="s">
        <v>96</v>
      </c>
    </row>
    <row r="1418" spans="1:9" x14ac:dyDescent="0.2">
      <c r="A1418" s="1">
        <f t="shared" ref="A1418" ca="1" si="54">CELL("row",C1418)-2</f>
        <v>1416</v>
      </c>
      <c r="B1418" s="9" t="s">
        <v>8960</v>
      </c>
      <c r="C1418" s="94" t="s">
        <v>7234</v>
      </c>
      <c r="G1418" s="7"/>
      <c r="I1418" s="94" t="s">
        <v>8961</v>
      </c>
    </row>
    <row r="1419" spans="1:9" x14ac:dyDescent="0.2">
      <c r="A1419" s="1">
        <f t="shared" ca="1" si="51"/>
        <v>1417</v>
      </c>
      <c r="B1419" s="9" t="s">
        <v>7961</v>
      </c>
      <c r="C1419" s="94" t="s">
        <v>8015</v>
      </c>
      <c r="G1419" s="7"/>
      <c r="I1419" s="94" t="s">
        <v>97</v>
      </c>
    </row>
    <row r="1420" spans="1:9" ht="25.5" x14ac:dyDescent="0.2">
      <c r="A1420" s="1">
        <f t="shared" ca="1" si="51"/>
        <v>1418</v>
      </c>
      <c r="B1420" s="76" t="s">
        <v>8577</v>
      </c>
      <c r="C1420" s="154" t="s">
        <v>8580</v>
      </c>
      <c r="G1420" s="7"/>
      <c r="I1420" s="4" t="s">
        <v>8583</v>
      </c>
    </row>
    <row r="1421" spans="1:9" ht="25.5" x14ac:dyDescent="0.2">
      <c r="A1421" s="1">
        <f t="shared" ca="1" si="51"/>
        <v>1419</v>
      </c>
      <c r="B1421" s="76" t="s">
        <v>8578</v>
      </c>
      <c r="C1421" s="154" t="s">
        <v>8581</v>
      </c>
      <c r="G1421" s="7"/>
      <c r="I1421" s="4" t="s">
        <v>8584</v>
      </c>
    </row>
    <row r="1422" spans="1:9" ht="38.25" x14ac:dyDescent="0.2">
      <c r="A1422" s="1">
        <f t="shared" ca="1" si="51"/>
        <v>1420</v>
      </c>
      <c r="B1422" s="76" t="s">
        <v>8579</v>
      </c>
      <c r="C1422" s="154" t="s">
        <v>8582</v>
      </c>
      <c r="G1422" s="7"/>
      <c r="I1422" s="4" t="s">
        <v>8585</v>
      </c>
    </row>
    <row r="1423" spans="1:9" ht="25.5" x14ac:dyDescent="0.2">
      <c r="A1423" s="1">
        <f t="shared" ca="1" si="51"/>
        <v>1421</v>
      </c>
      <c r="B1423" s="76" t="s">
        <v>8568</v>
      </c>
      <c r="C1423" s="154" t="s">
        <v>8570</v>
      </c>
      <c r="G1423" s="7"/>
      <c r="I1423" s="154" t="s">
        <v>8572</v>
      </c>
    </row>
    <row r="1424" spans="1:9" ht="25.5" x14ac:dyDescent="0.2">
      <c r="A1424" s="1">
        <f t="shared" ca="1" si="51"/>
        <v>1422</v>
      </c>
      <c r="B1424" s="76" t="s">
        <v>8569</v>
      </c>
      <c r="C1424" s="154" t="s">
        <v>8571</v>
      </c>
      <c r="G1424" s="7"/>
      <c r="I1424" s="154" t="s">
        <v>8573</v>
      </c>
    </row>
    <row r="1425" spans="1:9" ht="25.5" x14ac:dyDescent="0.2">
      <c r="A1425" s="1">
        <f t="shared" ca="1" si="51"/>
        <v>1423</v>
      </c>
      <c r="B1425" s="76" t="s">
        <v>6350</v>
      </c>
      <c r="C1425" s="91" t="s">
        <v>8251</v>
      </c>
      <c r="G1425" s="7"/>
      <c r="I1425" s="4" t="s">
        <v>2441</v>
      </c>
    </row>
    <row r="1426" spans="1:9" x14ac:dyDescent="0.2">
      <c r="A1426" s="1">
        <f t="shared" ca="1" si="51"/>
        <v>1424</v>
      </c>
      <c r="B1426" s="74" t="s">
        <v>6347</v>
      </c>
      <c r="C1426" s="91" t="s">
        <v>6348</v>
      </c>
      <c r="G1426" s="7"/>
      <c r="I1426" s="4" t="s">
        <v>7633</v>
      </c>
    </row>
    <row r="1427" spans="1:9" ht="15.75" x14ac:dyDescent="0.2">
      <c r="A1427" s="1">
        <f t="shared" ca="1" si="51"/>
        <v>1425</v>
      </c>
      <c r="B1427" s="74" t="s">
        <v>5286</v>
      </c>
      <c r="C1427" s="91" t="s">
        <v>4045</v>
      </c>
      <c r="G1427" s="7"/>
      <c r="I1427" s="4" t="s">
        <v>8608</v>
      </c>
    </row>
    <row r="1428" spans="1:9" x14ac:dyDescent="0.2">
      <c r="A1428" s="1">
        <f t="shared" ref="A1428:A1429" ca="1" si="55">CELL("row",C1428)-2</f>
        <v>1426</v>
      </c>
      <c r="B1428" s="147" t="s">
        <v>8609</v>
      </c>
      <c r="C1428" s="154" t="s">
        <v>8610</v>
      </c>
      <c r="G1428" s="7"/>
      <c r="I1428" s="4" t="s">
        <v>8611</v>
      </c>
    </row>
    <row r="1429" spans="1:9" ht="15.75" x14ac:dyDescent="0.2">
      <c r="A1429" s="1">
        <f t="shared" ca="1" si="55"/>
        <v>1427</v>
      </c>
      <c r="B1429" s="147" t="s">
        <v>8606</v>
      </c>
      <c r="C1429" s="154" t="s">
        <v>8607</v>
      </c>
      <c r="G1429" s="7"/>
      <c r="I1429" s="4" t="s">
        <v>7634</v>
      </c>
    </row>
    <row r="1430" spans="1:9" ht="39.75" x14ac:dyDescent="0.2">
      <c r="A1430" s="1">
        <f t="shared" ca="1" si="51"/>
        <v>1428</v>
      </c>
      <c r="B1430" s="75" t="s">
        <v>3437</v>
      </c>
      <c r="C1430" s="93" t="s">
        <v>183</v>
      </c>
      <c r="G1430" s="7"/>
      <c r="I1430" s="93" t="s">
        <v>98</v>
      </c>
    </row>
    <row r="1431" spans="1:9" ht="15.75" x14ac:dyDescent="0.2">
      <c r="A1431" s="1">
        <f t="shared" ca="1" si="51"/>
        <v>1429</v>
      </c>
      <c r="B1431" s="1" t="s">
        <v>8574</v>
      </c>
      <c r="C1431" s="146" t="s">
        <v>8575</v>
      </c>
      <c r="G1431" s="7"/>
      <c r="I1431" s="4" t="s">
        <v>8576</v>
      </c>
    </row>
    <row r="1432" spans="1:9" ht="25.5" x14ac:dyDescent="0.2">
      <c r="A1432" s="1">
        <f t="shared" ca="1" si="51"/>
        <v>1430</v>
      </c>
      <c r="B1432" s="2" t="s">
        <v>8565</v>
      </c>
      <c r="C1432" s="146" t="s">
        <v>8566</v>
      </c>
      <c r="G1432" s="7"/>
      <c r="I1432" s="4" t="s">
        <v>8567</v>
      </c>
    </row>
    <row r="1433" spans="1:9" x14ac:dyDescent="0.2">
      <c r="A1433" s="1">
        <f t="shared" ca="1" si="51"/>
        <v>1431</v>
      </c>
      <c r="B1433" s="2" t="s">
        <v>1117</v>
      </c>
      <c r="C1433" s="90" t="s">
        <v>7847</v>
      </c>
      <c r="G1433" s="7"/>
      <c r="I1433" s="4" t="s">
        <v>5734</v>
      </c>
    </row>
    <row r="1434" spans="1:9" x14ac:dyDescent="0.2">
      <c r="A1434" s="1">
        <f t="shared" ref="A1434" ca="1" si="56">CELL("row",C1434)-2</f>
        <v>1432</v>
      </c>
      <c r="B1434" s="2" t="s">
        <v>8614</v>
      </c>
      <c r="C1434" s="146" t="s">
        <v>8615</v>
      </c>
      <c r="G1434" s="7"/>
      <c r="I1434" s="4" t="s">
        <v>8616</v>
      </c>
    </row>
    <row r="1435" spans="1:9" ht="25.5" x14ac:dyDescent="0.2">
      <c r="A1435" s="1">
        <f t="shared" ca="1" si="51"/>
        <v>1433</v>
      </c>
      <c r="B1435" s="2" t="s">
        <v>3920</v>
      </c>
      <c r="C1435" s="90" t="s">
        <v>7846</v>
      </c>
      <c r="G1435" s="7"/>
      <c r="I1435" s="4" t="s">
        <v>5735</v>
      </c>
    </row>
    <row r="1436" spans="1:9" ht="25.5" x14ac:dyDescent="0.2">
      <c r="A1436" s="1">
        <f t="shared" ref="A1436" ca="1" si="57">CELL("row",C1436)-2</f>
        <v>1434</v>
      </c>
      <c r="B1436" s="1" t="s">
        <v>9010</v>
      </c>
      <c r="C1436" s="146" t="s">
        <v>9011</v>
      </c>
      <c r="G1436" s="7"/>
      <c r="I1436" s="4" t="s">
        <v>9012</v>
      </c>
    </row>
    <row r="1437" spans="1:9" ht="25.5" x14ac:dyDescent="0.2">
      <c r="A1437" s="1">
        <f t="shared" ca="1" si="51"/>
        <v>1435</v>
      </c>
      <c r="B1437" s="1" t="s">
        <v>3921</v>
      </c>
      <c r="C1437" s="90" t="s">
        <v>7845</v>
      </c>
      <c r="G1437" s="7"/>
      <c r="I1437" s="4" t="s">
        <v>5736</v>
      </c>
    </row>
    <row r="1438" spans="1:9" ht="25.5" x14ac:dyDescent="0.2">
      <c r="A1438" s="1">
        <f t="shared" ca="1" si="51"/>
        <v>1436</v>
      </c>
      <c r="B1438" s="1" t="s">
        <v>3922</v>
      </c>
      <c r="C1438" s="90" t="s">
        <v>7844</v>
      </c>
      <c r="G1438" s="7"/>
      <c r="I1438" s="4" t="s">
        <v>5737</v>
      </c>
    </row>
    <row r="1439" spans="1:9" ht="25.5" x14ac:dyDescent="0.2">
      <c r="A1439" s="1">
        <f t="shared" ca="1" si="51"/>
        <v>1437</v>
      </c>
      <c r="B1439" s="2" t="s">
        <v>3923</v>
      </c>
      <c r="C1439" s="90" t="s">
        <v>7843</v>
      </c>
      <c r="G1439" s="7"/>
      <c r="I1439" s="4" t="s">
        <v>5738</v>
      </c>
    </row>
    <row r="1440" spans="1:9" x14ac:dyDescent="0.2">
      <c r="A1440" s="1">
        <f t="shared" ca="1" si="51"/>
        <v>1438</v>
      </c>
      <c r="B1440" s="2" t="s">
        <v>3924</v>
      </c>
      <c r="C1440" s="90" t="s">
        <v>7842</v>
      </c>
      <c r="G1440" s="7"/>
      <c r="I1440" s="4" t="s">
        <v>5739</v>
      </c>
    </row>
    <row r="1441" spans="1:9" x14ac:dyDescent="0.2">
      <c r="A1441" s="1">
        <f t="shared" ca="1" si="51"/>
        <v>1439</v>
      </c>
      <c r="B1441" s="2" t="s">
        <v>3925</v>
      </c>
      <c r="C1441" s="90" t="s">
        <v>7841</v>
      </c>
      <c r="G1441" s="7"/>
      <c r="I1441" s="4" t="s">
        <v>5740</v>
      </c>
    </row>
    <row r="1442" spans="1:9" ht="25.5" x14ac:dyDescent="0.2">
      <c r="A1442" s="1">
        <f t="shared" ca="1" si="51"/>
        <v>1440</v>
      </c>
      <c r="B1442" s="2" t="s">
        <v>3926</v>
      </c>
      <c r="C1442" s="90" t="s">
        <v>7840</v>
      </c>
      <c r="G1442" s="7"/>
      <c r="I1442" s="4" t="s">
        <v>5741</v>
      </c>
    </row>
    <row r="1443" spans="1:9" ht="25.5" x14ac:dyDescent="0.2">
      <c r="A1443" s="1">
        <f t="shared" ca="1" si="51"/>
        <v>1441</v>
      </c>
      <c r="B1443" s="2" t="s">
        <v>3927</v>
      </c>
      <c r="C1443" s="90" t="s">
        <v>7839</v>
      </c>
      <c r="G1443" s="7"/>
      <c r="I1443" s="4" t="s">
        <v>5742</v>
      </c>
    </row>
    <row r="1444" spans="1:9" ht="25.5" x14ac:dyDescent="0.2">
      <c r="A1444" s="1">
        <f t="shared" ca="1" si="51"/>
        <v>1442</v>
      </c>
      <c r="B1444" s="2" t="s">
        <v>3928</v>
      </c>
      <c r="C1444" s="90" t="s">
        <v>4912</v>
      </c>
      <c r="G1444" s="7"/>
      <c r="I1444" s="4" t="s">
        <v>5743</v>
      </c>
    </row>
    <row r="1445" spans="1:9" x14ac:dyDescent="0.2">
      <c r="A1445" s="1">
        <f t="shared" ca="1" si="51"/>
        <v>1443</v>
      </c>
      <c r="B1445" s="2" t="s">
        <v>3929</v>
      </c>
      <c r="C1445" s="90" t="s">
        <v>4911</v>
      </c>
      <c r="G1445" s="7"/>
      <c r="I1445" s="4" t="s">
        <v>7723</v>
      </c>
    </row>
    <row r="1446" spans="1:9" x14ac:dyDescent="0.2">
      <c r="A1446" s="1">
        <f t="shared" ca="1" si="51"/>
        <v>1444</v>
      </c>
      <c r="B1446" s="2" t="s">
        <v>3930</v>
      </c>
      <c r="C1446" s="90" t="s">
        <v>4910</v>
      </c>
      <c r="G1446" s="7"/>
      <c r="I1446" s="4" t="s">
        <v>7724</v>
      </c>
    </row>
    <row r="1447" spans="1:9" ht="38.25" x14ac:dyDescent="0.2">
      <c r="A1447" s="1">
        <f t="shared" ca="1" si="51"/>
        <v>1445</v>
      </c>
      <c r="B1447" s="2" t="s">
        <v>3931</v>
      </c>
      <c r="C1447" s="90" t="s">
        <v>4909</v>
      </c>
      <c r="G1447" s="7"/>
      <c r="I1447" s="4" t="s">
        <v>7725</v>
      </c>
    </row>
    <row r="1448" spans="1:9" x14ac:dyDescent="0.2">
      <c r="A1448" s="1">
        <f t="shared" ca="1" si="51"/>
        <v>1446</v>
      </c>
      <c r="B1448" s="2" t="s">
        <v>3932</v>
      </c>
      <c r="C1448" s="90" t="s">
        <v>4889</v>
      </c>
      <c r="G1448" s="7"/>
      <c r="I1448" s="4" t="s">
        <v>7726</v>
      </c>
    </row>
    <row r="1449" spans="1:9" x14ac:dyDescent="0.2">
      <c r="A1449" s="1">
        <f t="shared" ca="1" si="51"/>
        <v>1447</v>
      </c>
      <c r="B1449" s="2" t="s">
        <v>7831</v>
      </c>
      <c r="C1449" s="90" t="s">
        <v>4888</v>
      </c>
      <c r="G1449" s="7"/>
      <c r="I1449" s="4" t="s">
        <v>7727</v>
      </c>
    </row>
    <row r="1450" spans="1:9" x14ac:dyDescent="0.2">
      <c r="A1450" s="1">
        <f t="shared" ca="1" si="51"/>
        <v>1448</v>
      </c>
      <c r="B1450" s="2" t="s">
        <v>7832</v>
      </c>
      <c r="C1450" s="90" t="s">
        <v>4887</v>
      </c>
      <c r="G1450" s="7"/>
      <c r="I1450" s="4" t="s">
        <v>7728</v>
      </c>
    </row>
    <row r="1451" spans="1:9" x14ac:dyDescent="0.2">
      <c r="A1451" s="1">
        <f t="shared" ca="1" si="51"/>
        <v>1449</v>
      </c>
      <c r="B1451" s="2" t="s">
        <v>7833</v>
      </c>
      <c r="C1451" s="90" t="s">
        <v>7833</v>
      </c>
      <c r="G1451" s="7"/>
      <c r="I1451" s="4" t="s">
        <v>8425</v>
      </c>
    </row>
    <row r="1452" spans="1:9" ht="25.5" x14ac:dyDescent="0.2">
      <c r="A1452" s="1">
        <f t="shared" ca="1" si="51"/>
        <v>1450</v>
      </c>
      <c r="B1452" s="2" t="s">
        <v>5611</v>
      </c>
      <c r="C1452" s="90" t="s">
        <v>4886</v>
      </c>
      <c r="G1452" s="7"/>
      <c r="I1452" s="4" t="s">
        <v>8426</v>
      </c>
    </row>
    <row r="1453" spans="1:9" x14ac:dyDescent="0.2">
      <c r="A1453" s="1">
        <f t="shared" ca="1" si="51"/>
        <v>1451</v>
      </c>
      <c r="B1453" s="2" t="s">
        <v>5612</v>
      </c>
      <c r="C1453" s="90" t="s">
        <v>4885</v>
      </c>
      <c r="G1453" s="7"/>
      <c r="I1453" s="4" t="s">
        <v>8427</v>
      </c>
    </row>
    <row r="1454" spans="1:9" x14ac:dyDescent="0.2">
      <c r="A1454" s="1">
        <f t="shared" ref="A1454:A1524" ca="1" si="58">CELL("row",C1454)-2</f>
        <v>1452</v>
      </c>
      <c r="B1454" s="2" t="s">
        <v>5613</v>
      </c>
      <c r="C1454" s="90" t="s">
        <v>4884</v>
      </c>
      <c r="G1454" s="7"/>
      <c r="I1454" s="4" t="s">
        <v>8428</v>
      </c>
    </row>
    <row r="1455" spans="1:9" x14ac:dyDescent="0.2">
      <c r="A1455" s="1">
        <f t="shared" ca="1" si="58"/>
        <v>1453</v>
      </c>
      <c r="B1455" s="2" t="s">
        <v>4849</v>
      </c>
      <c r="C1455" s="90" t="s">
        <v>4883</v>
      </c>
      <c r="G1455" s="7"/>
      <c r="I1455" s="4" t="s">
        <v>8429</v>
      </c>
    </row>
    <row r="1456" spans="1:9" x14ac:dyDescent="0.2">
      <c r="A1456" s="1">
        <f t="shared" ca="1" si="58"/>
        <v>1454</v>
      </c>
      <c r="B1456" s="79" t="s">
        <v>5158</v>
      </c>
      <c r="G1456" s="7"/>
    </row>
    <row r="1457" spans="1:9" ht="25.5" x14ac:dyDescent="0.2">
      <c r="A1457" s="1">
        <f t="shared" ca="1" si="58"/>
        <v>1455</v>
      </c>
      <c r="B1457" s="2" t="s">
        <v>7573</v>
      </c>
      <c r="C1457" s="90" t="s">
        <v>387</v>
      </c>
      <c r="G1457" s="7"/>
      <c r="I1457" s="4" t="s">
        <v>8430</v>
      </c>
    </row>
    <row r="1458" spans="1:9" ht="25.5" x14ac:dyDescent="0.2">
      <c r="A1458" s="1">
        <f t="shared" ca="1" si="58"/>
        <v>1456</v>
      </c>
      <c r="B1458" s="1" t="s">
        <v>8372</v>
      </c>
      <c r="C1458" s="91" t="s">
        <v>4882</v>
      </c>
      <c r="G1458" s="7"/>
      <c r="I1458" s="4" t="s">
        <v>8431</v>
      </c>
    </row>
    <row r="1459" spans="1:9" ht="153" x14ac:dyDescent="0.2">
      <c r="A1459" s="1">
        <f t="shared" ca="1" si="58"/>
        <v>1457</v>
      </c>
      <c r="B1459" s="2" t="s">
        <v>3109</v>
      </c>
      <c r="C1459" s="90" t="s">
        <v>3542</v>
      </c>
      <c r="G1459" s="7"/>
      <c r="I1459" s="4" t="s">
        <v>4801</v>
      </c>
    </row>
    <row r="1460" spans="1:9" ht="89.25" x14ac:dyDescent="0.2">
      <c r="A1460" s="1">
        <f t="shared" ca="1" si="58"/>
        <v>1458</v>
      </c>
      <c r="B1460" s="76" t="s">
        <v>3680</v>
      </c>
      <c r="C1460" s="91" t="s">
        <v>7568</v>
      </c>
      <c r="G1460" s="7"/>
      <c r="I1460" s="4" t="s">
        <v>3481</v>
      </c>
    </row>
    <row r="1461" spans="1:9" ht="65.25" x14ac:dyDescent="0.2">
      <c r="A1461" s="1">
        <f t="shared" ca="1" si="58"/>
        <v>1459</v>
      </c>
      <c r="B1461" s="80" t="s">
        <v>3681</v>
      </c>
      <c r="C1461" s="93" t="s">
        <v>4255</v>
      </c>
      <c r="G1461" s="7"/>
      <c r="I1461" s="121" t="s">
        <v>1895</v>
      </c>
    </row>
    <row r="1462" spans="1:9" ht="38.25" x14ac:dyDescent="0.2">
      <c r="A1462" s="1">
        <f t="shared" ca="1" si="58"/>
        <v>1460</v>
      </c>
      <c r="B1462" s="76" t="s">
        <v>651</v>
      </c>
      <c r="C1462" s="91" t="s">
        <v>653</v>
      </c>
      <c r="G1462" s="7"/>
      <c r="I1462" s="4" t="s">
        <v>1896</v>
      </c>
    </row>
    <row r="1463" spans="1:9" ht="114.75" x14ac:dyDescent="0.2">
      <c r="A1463" s="1">
        <f t="shared" ca="1" si="58"/>
        <v>1461</v>
      </c>
      <c r="B1463" s="76" t="s">
        <v>652</v>
      </c>
      <c r="C1463" s="91" t="s">
        <v>654</v>
      </c>
      <c r="G1463" s="7"/>
      <c r="I1463" s="4" t="s">
        <v>1897</v>
      </c>
    </row>
    <row r="1464" spans="1:9" x14ac:dyDescent="0.2">
      <c r="A1464" s="1">
        <f t="shared" ca="1" si="58"/>
        <v>1462</v>
      </c>
      <c r="B1464" s="76" t="s">
        <v>3682</v>
      </c>
      <c r="C1464" s="91" t="s">
        <v>4881</v>
      </c>
      <c r="G1464" s="7"/>
      <c r="I1464" s="4" t="s">
        <v>1898</v>
      </c>
    </row>
    <row r="1465" spans="1:9" x14ac:dyDescent="0.2">
      <c r="A1465" s="1">
        <f t="shared" ca="1" si="58"/>
        <v>1463</v>
      </c>
      <c r="B1465" s="74" t="s">
        <v>3683</v>
      </c>
      <c r="C1465" s="91" t="s">
        <v>4880</v>
      </c>
      <c r="G1465" s="7"/>
      <c r="I1465" s="4" t="s">
        <v>1899</v>
      </c>
    </row>
    <row r="1466" spans="1:9" x14ac:dyDescent="0.2">
      <c r="A1466" s="1">
        <f t="shared" ca="1" si="58"/>
        <v>1464</v>
      </c>
      <c r="B1466" s="74" t="s">
        <v>3684</v>
      </c>
      <c r="C1466" s="91" t="s">
        <v>2658</v>
      </c>
      <c r="G1466" s="7"/>
      <c r="I1466" s="4" t="s">
        <v>6706</v>
      </c>
    </row>
    <row r="1467" spans="1:9" x14ac:dyDescent="0.2">
      <c r="A1467" s="1">
        <f t="shared" ca="1" si="58"/>
        <v>1465</v>
      </c>
      <c r="B1467" s="74" t="s">
        <v>3685</v>
      </c>
      <c r="C1467" s="91" t="s">
        <v>2657</v>
      </c>
      <c r="G1467" s="7"/>
      <c r="I1467" s="4" t="s">
        <v>1900</v>
      </c>
    </row>
    <row r="1468" spans="1:9" ht="25.5" x14ac:dyDescent="0.2">
      <c r="A1468" s="1">
        <f t="shared" ca="1" si="58"/>
        <v>1466</v>
      </c>
      <c r="B1468" s="74" t="s">
        <v>7242</v>
      </c>
      <c r="C1468" s="91" t="s">
        <v>2656</v>
      </c>
      <c r="G1468" s="7"/>
      <c r="I1468" s="4" t="s">
        <v>1901</v>
      </c>
    </row>
    <row r="1469" spans="1:9" x14ac:dyDescent="0.2">
      <c r="A1469" s="1">
        <f t="shared" ref="A1469" ca="1" si="59">CELL("row",C1469)-2</f>
        <v>1467</v>
      </c>
      <c r="B1469" s="147" t="s">
        <v>7243</v>
      </c>
      <c r="C1469" s="154" t="s">
        <v>2655</v>
      </c>
      <c r="G1469" s="7"/>
      <c r="I1469" s="4" t="s">
        <v>8979</v>
      </c>
    </row>
    <row r="1470" spans="1:9" x14ac:dyDescent="0.2">
      <c r="A1470" s="1">
        <f t="shared" ca="1" si="58"/>
        <v>1468</v>
      </c>
      <c r="B1470" s="147" t="s">
        <v>8947</v>
      </c>
      <c r="C1470" s="154" t="s">
        <v>8481</v>
      </c>
      <c r="G1470" s="7"/>
      <c r="I1470" s="4" t="s">
        <v>1328</v>
      </c>
    </row>
    <row r="1471" spans="1:9" x14ac:dyDescent="0.2">
      <c r="A1471" s="1">
        <f t="shared" ca="1" si="58"/>
        <v>1469</v>
      </c>
      <c r="B1471" s="76" t="s">
        <v>6234</v>
      </c>
      <c r="C1471" s="91" t="s">
        <v>2654</v>
      </c>
      <c r="G1471" s="7"/>
      <c r="I1471" s="4" t="s">
        <v>1902</v>
      </c>
    </row>
    <row r="1472" spans="1:9" x14ac:dyDescent="0.2">
      <c r="A1472" s="1">
        <f t="shared" ca="1" si="58"/>
        <v>1470</v>
      </c>
      <c r="B1472" s="76" t="s">
        <v>6235</v>
      </c>
      <c r="C1472" s="91" t="s">
        <v>2653</v>
      </c>
      <c r="G1472" s="7"/>
      <c r="I1472" s="4" t="s">
        <v>1903</v>
      </c>
    </row>
    <row r="1473" spans="1:9" x14ac:dyDescent="0.2">
      <c r="A1473" s="1">
        <f t="shared" ca="1" si="58"/>
        <v>1471</v>
      </c>
      <c r="B1473" s="76" t="s">
        <v>6236</v>
      </c>
      <c r="C1473" s="91" t="s">
        <v>8143</v>
      </c>
      <c r="G1473" s="7"/>
      <c r="I1473" s="4" t="s">
        <v>2544</v>
      </c>
    </row>
    <row r="1474" spans="1:9" x14ac:dyDescent="0.2">
      <c r="A1474" s="1">
        <f t="shared" ref="A1474" ca="1" si="60">CELL("row",C1474)-2</f>
        <v>1472</v>
      </c>
      <c r="B1474" s="76" t="s">
        <v>9030</v>
      </c>
      <c r="C1474" s="154" t="s">
        <v>9031</v>
      </c>
      <c r="G1474" s="7"/>
      <c r="I1474" s="4" t="s">
        <v>9032</v>
      </c>
    </row>
    <row r="1475" spans="1:9" x14ac:dyDescent="0.2">
      <c r="A1475" s="1">
        <f t="shared" ca="1" si="58"/>
        <v>1473</v>
      </c>
      <c r="B1475" s="76" t="s">
        <v>6237</v>
      </c>
      <c r="C1475" s="91" t="s">
        <v>2652</v>
      </c>
      <c r="G1475" s="7"/>
      <c r="I1475" s="4" t="s">
        <v>1904</v>
      </c>
    </row>
    <row r="1476" spans="1:9" x14ac:dyDescent="0.2">
      <c r="A1476" s="1">
        <f t="shared" ca="1" si="58"/>
        <v>1474</v>
      </c>
      <c r="B1476" s="76" t="s">
        <v>6238</v>
      </c>
      <c r="C1476" s="91" t="s">
        <v>2651</v>
      </c>
      <c r="G1476" s="7"/>
      <c r="I1476" s="4" t="s">
        <v>1905</v>
      </c>
    </row>
    <row r="1477" spans="1:9" x14ac:dyDescent="0.2">
      <c r="A1477" s="1">
        <f t="shared" ca="1" si="58"/>
        <v>1475</v>
      </c>
      <c r="B1477" s="76" t="s">
        <v>3592</v>
      </c>
      <c r="C1477" s="91" t="s">
        <v>2650</v>
      </c>
      <c r="G1477" s="7"/>
      <c r="I1477" s="4" t="s">
        <v>1906</v>
      </c>
    </row>
    <row r="1478" spans="1:9" x14ac:dyDescent="0.2">
      <c r="A1478" s="1">
        <f t="shared" ca="1" si="58"/>
        <v>1476</v>
      </c>
      <c r="B1478" s="76" t="s">
        <v>3593</v>
      </c>
      <c r="C1478" s="91" t="s">
        <v>2649</v>
      </c>
      <c r="G1478" s="7"/>
      <c r="I1478" s="4" t="s">
        <v>1907</v>
      </c>
    </row>
    <row r="1479" spans="1:9" ht="25.5" x14ac:dyDescent="0.2">
      <c r="A1479" s="1">
        <f t="shared" ca="1" si="58"/>
        <v>1477</v>
      </c>
      <c r="B1479" s="76" t="s">
        <v>3594</v>
      </c>
      <c r="C1479" s="91" t="s">
        <v>2648</v>
      </c>
      <c r="G1479" s="7"/>
      <c r="I1479" s="4" t="s">
        <v>1908</v>
      </c>
    </row>
    <row r="1480" spans="1:9" ht="25.5" x14ac:dyDescent="0.2">
      <c r="A1480" s="1">
        <f t="shared" ca="1" si="58"/>
        <v>1478</v>
      </c>
      <c r="B1480" s="76" t="s">
        <v>3595</v>
      </c>
      <c r="C1480" s="91" t="s">
        <v>7105</v>
      </c>
      <c r="G1480" s="7"/>
      <c r="I1480" s="4" t="s">
        <v>1909</v>
      </c>
    </row>
    <row r="1481" spans="1:9" x14ac:dyDescent="0.2">
      <c r="A1481" s="1">
        <f t="shared" ca="1" si="58"/>
        <v>1479</v>
      </c>
      <c r="B1481" s="76" t="s">
        <v>3596</v>
      </c>
      <c r="C1481" s="91" t="s">
        <v>7104</v>
      </c>
      <c r="G1481" s="7"/>
      <c r="I1481" s="4" t="s">
        <v>1910</v>
      </c>
    </row>
    <row r="1482" spans="1:9" x14ac:dyDescent="0.2">
      <c r="A1482" s="1">
        <f t="shared" ca="1" si="58"/>
        <v>1480</v>
      </c>
      <c r="B1482" s="76" t="s">
        <v>3597</v>
      </c>
      <c r="C1482" s="91" t="s">
        <v>7103</v>
      </c>
      <c r="G1482" s="7"/>
      <c r="I1482" s="4" t="s">
        <v>1911</v>
      </c>
    </row>
    <row r="1483" spans="1:9" x14ac:dyDescent="0.2">
      <c r="A1483" s="1">
        <f t="shared" ca="1" si="58"/>
        <v>1481</v>
      </c>
      <c r="B1483" s="76" t="s">
        <v>3598</v>
      </c>
      <c r="C1483" s="91" t="s">
        <v>7102</v>
      </c>
      <c r="G1483" s="7"/>
      <c r="I1483" s="4" t="s">
        <v>1912</v>
      </c>
    </row>
    <row r="1484" spans="1:9" x14ac:dyDescent="0.2">
      <c r="A1484" s="1">
        <f t="shared" ca="1" si="58"/>
        <v>1482</v>
      </c>
      <c r="B1484" s="76" t="s">
        <v>8934</v>
      </c>
      <c r="C1484" s="154" t="s">
        <v>8935</v>
      </c>
      <c r="G1484" s="7"/>
      <c r="I1484" s="4" t="s">
        <v>8936</v>
      </c>
    </row>
    <row r="1485" spans="1:9" x14ac:dyDescent="0.2">
      <c r="A1485" s="1">
        <f t="shared" ca="1" si="58"/>
        <v>1483</v>
      </c>
      <c r="B1485" s="76" t="s">
        <v>3599</v>
      </c>
      <c r="C1485" s="91" t="s">
        <v>7101</v>
      </c>
      <c r="G1485" s="7"/>
      <c r="I1485" s="4" t="s">
        <v>1913</v>
      </c>
    </row>
    <row r="1486" spans="1:9" x14ac:dyDescent="0.2">
      <c r="A1486" s="1">
        <f t="shared" ref="A1486" ca="1" si="61">CELL("row",C1486)-2</f>
        <v>1484</v>
      </c>
      <c r="B1486" s="76" t="s">
        <v>9006</v>
      </c>
      <c r="C1486" s="154" t="s">
        <v>9007</v>
      </c>
      <c r="G1486" s="7"/>
    </row>
    <row r="1487" spans="1:9" ht="25.5" x14ac:dyDescent="0.2">
      <c r="A1487" s="1">
        <f t="shared" ca="1" si="58"/>
        <v>1485</v>
      </c>
      <c r="B1487" s="76" t="s">
        <v>8939</v>
      </c>
      <c r="C1487" s="154" t="s">
        <v>8940</v>
      </c>
      <c r="G1487" s="7"/>
      <c r="I1487" s="4" t="s">
        <v>8941</v>
      </c>
    </row>
    <row r="1488" spans="1:9" ht="25.5" x14ac:dyDescent="0.2">
      <c r="A1488" s="1">
        <f t="shared" ca="1" si="58"/>
        <v>1486</v>
      </c>
      <c r="B1488" s="74" t="s">
        <v>3600</v>
      </c>
      <c r="C1488" s="91" t="s">
        <v>7100</v>
      </c>
      <c r="G1488" s="7"/>
      <c r="I1488" s="4" t="s">
        <v>1914</v>
      </c>
    </row>
    <row r="1489" spans="1:9" x14ac:dyDescent="0.2">
      <c r="A1489" s="1">
        <f t="shared" ca="1" si="58"/>
        <v>1487</v>
      </c>
      <c r="B1489" s="74" t="s">
        <v>3619</v>
      </c>
      <c r="C1489" s="91" t="s">
        <v>7099</v>
      </c>
      <c r="G1489" s="7"/>
      <c r="I1489" s="4" t="s">
        <v>1915</v>
      </c>
    </row>
    <row r="1490" spans="1:9" x14ac:dyDescent="0.2">
      <c r="A1490" s="1">
        <f ca="1">CELL("row",C1490)-2</f>
        <v>1488</v>
      </c>
      <c r="B1490" s="74" t="s">
        <v>8194</v>
      </c>
      <c r="C1490" s="91" t="s">
        <v>8195</v>
      </c>
      <c r="G1490" s="7"/>
    </row>
    <row r="1491" spans="1:9" ht="28.5" x14ac:dyDescent="0.2">
      <c r="A1491" s="1">
        <f t="shared" ca="1" si="58"/>
        <v>1489</v>
      </c>
      <c r="B1491" s="74" t="s">
        <v>3438</v>
      </c>
      <c r="C1491" s="91" t="s">
        <v>7098</v>
      </c>
      <c r="G1491" s="7"/>
      <c r="I1491" s="4" t="s">
        <v>2706</v>
      </c>
    </row>
    <row r="1492" spans="1:9" x14ac:dyDescent="0.2">
      <c r="A1492" s="1">
        <f t="shared" ca="1" si="58"/>
        <v>1490</v>
      </c>
      <c r="B1492" s="1" t="s">
        <v>3620</v>
      </c>
      <c r="C1492" s="90" t="s">
        <v>7097</v>
      </c>
      <c r="G1492" s="7"/>
      <c r="I1492" s="4" t="s">
        <v>2707</v>
      </c>
    </row>
    <row r="1493" spans="1:9" x14ac:dyDescent="0.2">
      <c r="A1493" s="1">
        <f t="shared" ca="1" si="58"/>
        <v>1491</v>
      </c>
      <c r="B1493" s="1" t="s">
        <v>7574</v>
      </c>
      <c r="C1493" s="90" t="s">
        <v>7096</v>
      </c>
      <c r="G1493" s="7"/>
      <c r="I1493" s="4" t="s">
        <v>2708</v>
      </c>
    </row>
    <row r="1494" spans="1:9" x14ac:dyDescent="0.2">
      <c r="A1494" s="1">
        <f t="shared" ca="1" si="58"/>
        <v>1492</v>
      </c>
      <c r="B1494" s="1" t="s">
        <v>7575</v>
      </c>
      <c r="C1494" s="90" t="s">
        <v>7095</v>
      </c>
      <c r="G1494" s="7"/>
      <c r="I1494" s="4" t="s">
        <v>2709</v>
      </c>
    </row>
    <row r="1495" spans="1:9" ht="51" x14ac:dyDescent="0.2">
      <c r="A1495" s="1">
        <f t="shared" ca="1" si="58"/>
        <v>1493</v>
      </c>
      <c r="B1495" s="1" t="s">
        <v>7576</v>
      </c>
      <c r="C1495" s="90" t="s">
        <v>7094</v>
      </c>
      <c r="G1495" s="7"/>
      <c r="I1495" s="4" t="s">
        <v>2710</v>
      </c>
    </row>
    <row r="1496" spans="1:9" ht="28.5" x14ac:dyDescent="0.2">
      <c r="A1496" s="1">
        <f t="shared" ca="1" si="58"/>
        <v>1494</v>
      </c>
      <c r="B1496" s="1" t="s">
        <v>3439</v>
      </c>
      <c r="C1496" s="90" t="s">
        <v>7093</v>
      </c>
      <c r="G1496" s="7"/>
      <c r="I1496" s="4" t="s">
        <v>2711</v>
      </c>
    </row>
    <row r="1497" spans="1:9" x14ac:dyDescent="0.2">
      <c r="A1497" s="1">
        <f t="shared" ca="1" si="58"/>
        <v>1495</v>
      </c>
      <c r="B1497" s="1" t="s">
        <v>5791</v>
      </c>
      <c r="C1497" s="90" t="s">
        <v>7092</v>
      </c>
      <c r="G1497" s="7"/>
      <c r="I1497" s="4" t="s">
        <v>2712</v>
      </c>
    </row>
    <row r="1498" spans="1:9" x14ac:dyDescent="0.2">
      <c r="A1498" s="1">
        <f t="shared" ca="1" si="58"/>
        <v>1496</v>
      </c>
      <c r="B1498" s="1" t="s">
        <v>5792</v>
      </c>
      <c r="C1498" s="82" t="s">
        <v>6824</v>
      </c>
      <c r="G1498" s="7"/>
      <c r="I1498" s="4" t="s">
        <v>2713</v>
      </c>
    </row>
    <row r="1499" spans="1:9" x14ac:dyDescent="0.2">
      <c r="A1499" s="1">
        <f t="shared" ca="1" si="58"/>
        <v>1497</v>
      </c>
      <c r="B1499" s="1" t="s">
        <v>5793</v>
      </c>
      <c r="C1499" s="82" t="s">
        <v>7091</v>
      </c>
      <c r="G1499" s="7"/>
      <c r="I1499" s="4" t="s">
        <v>2714</v>
      </c>
    </row>
    <row r="1500" spans="1:9" x14ac:dyDescent="0.2">
      <c r="A1500" s="1">
        <f t="shared" ca="1" si="58"/>
        <v>1498</v>
      </c>
      <c r="B1500" s="1" t="s">
        <v>5794</v>
      </c>
      <c r="C1500" s="82" t="s">
        <v>7090</v>
      </c>
      <c r="G1500" s="7"/>
      <c r="I1500" s="4" t="s">
        <v>2715</v>
      </c>
    </row>
    <row r="1501" spans="1:9" ht="25.5" x14ac:dyDescent="0.2">
      <c r="A1501" s="1">
        <f t="shared" ca="1" si="58"/>
        <v>1499</v>
      </c>
      <c r="B1501" s="1" t="s">
        <v>5795</v>
      </c>
      <c r="C1501" s="82" t="s">
        <v>7089</v>
      </c>
      <c r="G1501" s="7"/>
      <c r="I1501" s="4" t="s">
        <v>2716</v>
      </c>
    </row>
    <row r="1502" spans="1:9" x14ac:dyDescent="0.2">
      <c r="A1502" s="1">
        <f t="shared" ref="A1502" ca="1" si="62">CELL("row",C1502)-2</f>
        <v>1500</v>
      </c>
      <c r="B1502" s="1" t="s">
        <v>9026</v>
      </c>
      <c r="C1502" s="145" t="s">
        <v>9027</v>
      </c>
      <c r="G1502" s="7"/>
    </row>
    <row r="1503" spans="1:9" ht="25.5" x14ac:dyDescent="0.2">
      <c r="A1503" s="1">
        <f t="shared" ca="1" si="58"/>
        <v>1501</v>
      </c>
      <c r="B1503" s="1" t="s">
        <v>5796</v>
      </c>
      <c r="C1503" s="82" t="s">
        <v>7088</v>
      </c>
      <c r="G1503" s="7"/>
      <c r="I1503" s="4" t="s">
        <v>2717</v>
      </c>
    </row>
    <row r="1504" spans="1:9" ht="25.5" x14ac:dyDescent="0.2">
      <c r="A1504" s="1">
        <f t="shared" ca="1" si="58"/>
        <v>1502</v>
      </c>
      <c r="B1504" s="1" t="s">
        <v>5797</v>
      </c>
      <c r="C1504" s="82" t="s">
        <v>7087</v>
      </c>
      <c r="G1504" s="7"/>
      <c r="I1504" s="4" t="s">
        <v>2718</v>
      </c>
    </row>
    <row r="1505" spans="1:9" ht="25.5" x14ac:dyDescent="0.2">
      <c r="A1505" s="1">
        <f t="shared" ca="1" si="58"/>
        <v>1503</v>
      </c>
      <c r="B1505" s="1" t="s">
        <v>109</v>
      </c>
      <c r="C1505" s="82" t="s">
        <v>7086</v>
      </c>
      <c r="G1505" s="7"/>
      <c r="I1505" s="4" t="s">
        <v>2719</v>
      </c>
    </row>
    <row r="1506" spans="1:9" ht="25.5" x14ac:dyDescent="0.2">
      <c r="A1506" s="1">
        <f t="shared" ca="1" si="58"/>
        <v>1504</v>
      </c>
      <c r="B1506" s="1" t="s">
        <v>110</v>
      </c>
      <c r="C1506" s="82" t="s">
        <v>7085</v>
      </c>
      <c r="G1506" s="7"/>
      <c r="I1506" s="4" t="s">
        <v>2720</v>
      </c>
    </row>
    <row r="1507" spans="1:9" ht="38.25" x14ac:dyDescent="0.2">
      <c r="A1507" s="1">
        <f t="shared" ca="1" si="58"/>
        <v>1505</v>
      </c>
      <c r="B1507" s="1" t="s">
        <v>111</v>
      </c>
      <c r="C1507" s="82" t="s">
        <v>7084</v>
      </c>
      <c r="G1507" s="7"/>
      <c r="I1507" s="4" t="s">
        <v>2721</v>
      </c>
    </row>
    <row r="1508" spans="1:9" x14ac:dyDescent="0.2">
      <c r="A1508" s="1">
        <f t="shared" ca="1" si="58"/>
        <v>1506</v>
      </c>
      <c r="B1508" s="73" t="s">
        <v>2532</v>
      </c>
      <c r="C1508" s="82"/>
      <c r="G1508" s="7"/>
    </row>
    <row r="1509" spans="1:9" ht="25.5" x14ac:dyDescent="0.2">
      <c r="A1509" s="1">
        <f t="shared" ca="1" si="58"/>
        <v>1507</v>
      </c>
      <c r="B1509" s="1" t="s">
        <v>2533</v>
      </c>
      <c r="C1509" s="82" t="s">
        <v>7083</v>
      </c>
      <c r="G1509" s="7"/>
      <c r="I1509" s="4" t="s">
        <v>2722</v>
      </c>
    </row>
    <row r="1510" spans="1:9" ht="51" x14ac:dyDescent="0.2">
      <c r="A1510" s="1">
        <f t="shared" ca="1" si="58"/>
        <v>1508</v>
      </c>
      <c r="B1510" s="1" t="s">
        <v>2534</v>
      </c>
      <c r="C1510" s="82" t="s">
        <v>7082</v>
      </c>
      <c r="G1510" s="7"/>
      <c r="I1510" s="4" t="s">
        <v>2723</v>
      </c>
    </row>
    <row r="1511" spans="1:9" ht="38.25" x14ac:dyDescent="0.2">
      <c r="A1511" s="1">
        <f t="shared" ca="1" si="58"/>
        <v>1509</v>
      </c>
      <c r="B1511" s="1" t="s">
        <v>2523</v>
      </c>
      <c r="C1511" s="82" t="s">
        <v>7081</v>
      </c>
      <c r="G1511" s="7"/>
      <c r="I1511" s="4" t="s">
        <v>2724</v>
      </c>
    </row>
    <row r="1512" spans="1:9" x14ac:dyDescent="0.2">
      <c r="A1512" s="1">
        <f t="shared" ca="1" si="58"/>
        <v>1510</v>
      </c>
      <c r="B1512" s="1" t="s">
        <v>2524</v>
      </c>
      <c r="C1512" s="82" t="s">
        <v>4204</v>
      </c>
      <c r="G1512" s="7"/>
      <c r="I1512" s="4" t="s">
        <v>2725</v>
      </c>
    </row>
    <row r="1513" spans="1:9" ht="25.5" x14ac:dyDescent="0.2">
      <c r="A1513" s="1">
        <f t="shared" ca="1" si="58"/>
        <v>1511</v>
      </c>
      <c r="B1513" s="1" t="s">
        <v>8904</v>
      </c>
      <c r="C1513" s="145" t="s">
        <v>8905</v>
      </c>
      <c r="G1513" s="7"/>
      <c r="I1513" s="4" t="s">
        <v>2726</v>
      </c>
    </row>
    <row r="1514" spans="1:9" ht="25.5" x14ac:dyDescent="0.2">
      <c r="A1514" s="1">
        <f t="shared" ca="1" si="58"/>
        <v>1512</v>
      </c>
      <c r="B1514" s="1" t="s">
        <v>8906</v>
      </c>
      <c r="C1514" s="145" t="s">
        <v>8907</v>
      </c>
      <c r="G1514" s="7"/>
      <c r="I1514" s="4" t="s">
        <v>2727</v>
      </c>
    </row>
    <row r="1515" spans="1:9" x14ac:dyDescent="0.2">
      <c r="A1515" s="1">
        <f t="shared" ca="1" si="58"/>
        <v>1513</v>
      </c>
      <c r="B1515" s="1" t="s">
        <v>8965</v>
      </c>
      <c r="C1515" s="82" t="s">
        <v>6524</v>
      </c>
      <c r="G1515" s="7"/>
      <c r="I1515" s="4" t="s">
        <v>2728</v>
      </c>
    </row>
    <row r="1516" spans="1:9" ht="25.5" x14ac:dyDescent="0.2">
      <c r="A1516" s="1">
        <f t="shared" ca="1" si="58"/>
        <v>1514</v>
      </c>
      <c r="B1516" s="1" t="s">
        <v>5360</v>
      </c>
      <c r="C1516" s="82" t="s">
        <v>6523</v>
      </c>
      <c r="G1516" s="7"/>
      <c r="I1516" s="4" t="s">
        <v>2729</v>
      </c>
    </row>
    <row r="1517" spans="1:9" x14ac:dyDescent="0.2">
      <c r="A1517" s="1">
        <f t="shared" ca="1" si="58"/>
        <v>1515</v>
      </c>
      <c r="B1517" s="1" t="s">
        <v>4002</v>
      </c>
      <c r="C1517" s="82" t="s">
        <v>6522</v>
      </c>
      <c r="G1517" s="7"/>
      <c r="I1517" s="4" t="s">
        <v>2730</v>
      </c>
    </row>
    <row r="1518" spans="1:9" x14ac:dyDescent="0.2">
      <c r="A1518" s="1">
        <f t="shared" ca="1" si="58"/>
        <v>1516</v>
      </c>
      <c r="B1518" s="1" t="s">
        <v>5361</v>
      </c>
      <c r="C1518" s="82" t="s">
        <v>6521</v>
      </c>
      <c r="G1518" s="7"/>
      <c r="I1518" s="4" t="s">
        <v>2731</v>
      </c>
    </row>
    <row r="1519" spans="1:9" ht="25.5" x14ac:dyDescent="0.2">
      <c r="A1519" s="1">
        <f t="shared" ca="1" si="58"/>
        <v>1517</v>
      </c>
      <c r="B1519" s="1" t="s">
        <v>5362</v>
      </c>
      <c r="C1519" s="82" t="s">
        <v>6520</v>
      </c>
      <c r="G1519" s="7"/>
      <c r="I1519" s="4" t="s">
        <v>2732</v>
      </c>
    </row>
    <row r="1520" spans="1:9" x14ac:dyDescent="0.2">
      <c r="A1520" s="1">
        <f t="shared" ca="1" si="58"/>
        <v>1518</v>
      </c>
      <c r="B1520" s="1" t="s">
        <v>5363</v>
      </c>
      <c r="C1520" s="82" t="s">
        <v>6519</v>
      </c>
      <c r="G1520" s="7"/>
      <c r="I1520" s="4" t="s">
        <v>2733</v>
      </c>
    </row>
    <row r="1521" spans="1:9" x14ac:dyDescent="0.2">
      <c r="A1521" s="1">
        <f t="shared" ca="1" si="58"/>
        <v>1519</v>
      </c>
      <c r="B1521" s="1" t="s">
        <v>5364</v>
      </c>
      <c r="C1521" s="82" t="s">
        <v>6518</v>
      </c>
      <c r="G1521" s="7"/>
      <c r="I1521" s="4" t="s">
        <v>2734</v>
      </c>
    </row>
    <row r="1522" spans="1:9" x14ac:dyDescent="0.2">
      <c r="A1522" s="1">
        <f t="shared" ca="1" si="58"/>
        <v>1520</v>
      </c>
      <c r="B1522" s="1" t="s">
        <v>5365</v>
      </c>
      <c r="C1522" s="82" t="s">
        <v>6517</v>
      </c>
      <c r="G1522" s="7"/>
      <c r="I1522" s="4" t="s">
        <v>2735</v>
      </c>
    </row>
    <row r="1523" spans="1:9" x14ac:dyDescent="0.2">
      <c r="A1523" s="1">
        <f t="shared" ca="1" si="58"/>
        <v>1521</v>
      </c>
      <c r="B1523" s="1" t="s">
        <v>5366</v>
      </c>
      <c r="C1523" s="82" t="s">
        <v>6516</v>
      </c>
      <c r="G1523" s="7"/>
      <c r="I1523" s="4" t="s">
        <v>2736</v>
      </c>
    </row>
    <row r="1524" spans="1:9" x14ac:dyDescent="0.2">
      <c r="A1524" s="1">
        <f t="shared" ca="1" si="58"/>
        <v>1522</v>
      </c>
      <c r="B1524" s="1" t="s">
        <v>5367</v>
      </c>
      <c r="C1524" s="82" t="s">
        <v>6515</v>
      </c>
      <c r="G1524" s="7"/>
      <c r="I1524" s="4" t="s">
        <v>2737</v>
      </c>
    </row>
    <row r="1525" spans="1:9" x14ac:dyDescent="0.2">
      <c r="A1525" s="1">
        <f t="shared" ref="A1525:A1588" ca="1" si="63">CELL("row",C1525)-2</f>
        <v>1523</v>
      </c>
      <c r="B1525" s="1" t="s">
        <v>5368</v>
      </c>
      <c r="C1525" s="82" t="s">
        <v>3080</v>
      </c>
      <c r="G1525" s="7"/>
      <c r="I1525" s="4" t="s">
        <v>2738</v>
      </c>
    </row>
    <row r="1526" spans="1:9" x14ac:dyDescent="0.2">
      <c r="A1526" s="1">
        <f t="shared" ca="1" si="63"/>
        <v>1524</v>
      </c>
      <c r="B1526" s="1" t="s">
        <v>3081</v>
      </c>
      <c r="C1526" s="82" t="s">
        <v>6514</v>
      </c>
      <c r="G1526" s="7"/>
      <c r="I1526" s="4" t="s">
        <v>2739</v>
      </c>
    </row>
    <row r="1527" spans="1:9" ht="38.25" x14ac:dyDescent="0.2">
      <c r="A1527" s="1">
        <f t="shared" ca="1" si="63"/>
        <v>1525</v>
      </c>
      <c r="B1527" s="1" t="s">
        <v>7918</v>
      </c>
      <c r="C1527" s="82" t="s">
        <v>6513</v>
      </c>
      <c r="G1527" s="7"/>
      <c r="I1527" s="82" t="s">
        <v>2740</v>
      </c>
    </row>
    <row r="1528" spans="1:9" ht="25.5" x14ac:dyDescent="0.2">
      <c r="A1528" s="1">
        <f t="shared" ca="1" si="63"/>
        <v>1526</v>
      </c>
      <c r="B1528" s="1" t="s">
        <v>7919</v>
      </c>
      <c r="C1528" s="82" t="s">
        <v>6512</v>
      </c>
      <c r="G1528" s="7"/>
      <c r="I1528" s="4" t="s">
        <v>2741</v>
      </c>
    </row>
    <row r="1529" spans="1:9" x14ac:dyDescent="0.2">
      <c r="A1529" s="1">
        <f t="shared" ca="1" si="63"/>
        <v>1527</v>
      </c>
      <c r="B1529" s="1" t="s">
        <v>7920</v>
      </c>
      <c r="C1529" s="82" t="s">
        <v>4167</v>
      </c>
      <c r="G1529" s="7"/>
      <c r="I1529" s="4" t="s">
        <v>2742</v>
      </c>
    </row>
    <row r="1530" spans="1:9" ht="25.5" x14ac:dyDescent="0.2">
      <c r="A1530" s="1">
        <f t="shared" ca="1" si="63"/>
        <v>1528</v>
      </c>
      <c r="B1530" s="1" t="s">
        <v>8900</v>
      </c>
      <c r="C1530" s="145" t="s">
        <v>8901</v>
      </c>
      <c r="G1530" s="7"/>
      <c r="I1530" s="4" t="s">
        <v>2743</v>
      </c>
    </row>
    <row r="1531" spans="1:9" ht="25.5" x14ac:dyDescent="0.2">
      <c r="A1531" s="1">
        <f t="shared" ca="1" si="63"/>
        <v>1529</v>
      </c>
      <c r="B1531" s="1" t="s">
        <v>8902</v>
      </c>
      <c r="C1531" s="145" t="s">
        <v>8903</v>
      </c>
      <c r="G1531" s="7"/>
      <c r="I1531" s="4" t="s">
        <v>2744</v>
      </c>
    </row>
    <row r="1532" spans="1:9" ht="25.5" x14ac:dyDescent="0.2">
      <c r="A1532" s="1">
        <f t="shared" ca="1" si="63"/>
        <v>1530</v>
      </c>
      <c r="B1532" s="1" t="s">
        <v>5360</v>
      </c>
      <c r="C1532" s="82" t="s">
        <v>6821</v>
      </c>
      <c r="G1532" s="7"/>
      <c r="I1532" s="4" t="s">
        <v>2745</v>
      </c>
    </row>
    <row r="1533" spans="1:9" ht="25.5" x14ac:dyDescent="0.2">
      <c r="A1533" s="1">
        <f t="shared" ca="1" si="63"/>
        <v>1531</v>
      </c>
      <c r="B1533" s="1" t="s">
        <v>7921</v>
      </c>
      <c r="C1533" s="82" t="s">
        <v>6822</v>
      </c>
      <c r="G1533" s="7"/>
      <c r="I1533" s="4" t="s">
        <v>2746</v>
      </c>
    </row>
    <row r="1534" spans="1:9" ht="25.5" x14ac:dyDescent="0.2">
      <c r="A1534" s="1">
        <f t="shared" ca="1" si="63"/>
        <v>1532</v>
      </c>
      <c r="B1534" s="1" t="s">
        <v>7922</v>
      </c>
      <c r="C1534" s="82" t="s">
        <v>6823</v>
      </c>
      <c r="G1534" s="7"/>
      <c r="I1534" s="4" t="s">
        <v>2747</v>
      </c>
    </row>
    <row r="1535" spans="1:9" x14ac:dyDescent="0.2">
      <c r="A1535" s="1">
        <f t="shared" ca="1" si="63"/>
        <v>1533</v>
      </c>
      <c r="B1535" s="1" t="s">
        <v>7923</v>
      </c>
      <c r="C1535" s="82" t="s">
        <v>7924</v>
      </c>
      <c r="G1535" s="7"/>
      <c r="I1535" s="4" t="s">
        <v>2748</v>
      </c>
    </row>
    <row r="1536" spans="1:9" x14ac:dyDescent="0.2">
      <c r="A1536" s="1">
        <f t="shared" ca="1" si="63"/>
        <v>1534</v>
      </c>
      <c r="B1536" s="1" t="s">
        <v>5792</v>
      </c>
      <c r="C1536" s="82" t="s">
        <v>6824</v>
      </c>
      <c r="G1536" s="7"/>
      <c r="I1536" s="4" t="s">
        <v>2749</v>
      </c>
    </row>
    <row r="1537" spans="1:9" ht="38.25" x14ac:dyDescent="0.2">
      <c r="A1537" s="1">
        <f t="shared" ca="1" si="63"/>
        <v>1535</v>
      </c>
      <c r="B1537" s="1" t="s">
        <v>7925</v>
      </c>
      <c r="C1537" s="82" t="s">
        <v>4166</v>
      </c>
      <c r="G1537" s="7"/>
      <c r="I1537" s="4" t="s">
        <v>2750</v>
      </c>
    </row>
    <row r="1538" spans="1:9" x14ac:dyDescent="0.2">
      <c r="A1538" s="1">
        <f t="shared" ca="1" si="63"/>
        <v>1536</v>
      </c>
      <c r="B1538" s="73" t="s">
        <v>7926</v>
      </c>
      <c r="C1538" s="82"/>
      <c r="G1538" s="7"/>
    </row>
    <row r="1539" spans="1:9" ht="25.5" x14ac:dyDescent="0.2">
      <c r="A1539" s="1">
        <f t="shared" ca="1" si="63"/>
        <v>1537</v>
      </c>
      <c r="B1539" s="1" t="s">
        <v>1096</v>
      </c>
      <c r="C1539" s="82" t="s">
        <v>6820</v>
      </c>
      <c r="G1539" s="7"/>
      <c r="I1539" s="4" t="s">
        <v>2751</v>
      </c>
    </row>
    <row r="1540" spans="1:9" ht="25.5" x14ac:dyDescent="0.2">
      <c r="A1540" s="1">
        <f t="shared" ca="1" si="63"/>
        <v>1538</v>
      </c>
      <c r="B1540" s="1" t="s">
        <v>5251</v>
      </c>
      <c r="C1540" s="82" t="s">
        <v>6819</v>
      </c>
      <c r="G1540" s="7"/>
      <c r="I1540" s="4" t="s">
        <v>2752</v>
      </c>
    </row>
    <row r="1541" spans="1:9" ht="38.25" x14ac:dyDescent="0.2">
      <c r="A1541" s="1">
        <f t="shared" ca="1" si="63"/>
        <v>1539</v>
      </c>
      <c r="B1541" s="1" t="s">
        <v>7217</v>
      </c>
      <c r="C1541" s="82" t="s">
        <v>6818</v>
      </c>
      <c r="G1541" s="7"/>
      <c r="I1541" s="4" t="s">
        <v>2753</v>
      </c>
    </row>
    <row r="1542" spans="1:9" ht="25.5" x14ac:dyDescent="0.2">
      <c r="A1542" s="1">
        <f t="shared" ca="1" si="63"/>
        <v>1540</v>
      </c>
      <c r="B1542" s="1" t="s">
        <v>7218</v>
      </c>
      <c r="C1542" s="82" t="s">
        <v>4421</v>
      </c>
      <c r="G1542" s="7"/>
      <c r="I1542" s="4" t="s">
        <v>2754</v>
      </c>
    </row>
    <row r="1543" spans="1:9" ht="25.5" x14ac:dyDescent="0.2">
      <c r="A1543" s="1">
        <f t="shared" ca="1" si="63"/>
        <v>1541</v>
      </c>
      <c r="B1543" s="1" t="s">
        <v>8908</v>
      </c>
      <c r="C1543" s="145" t="s">
        <v>8909</v>
      </c>
      <c r="G1543" s="7"/>
      <c r="I1543" s="4" t="s">
        <v>2755</v>
      </c>
    </row>
    <row r="1544" spans="1:9" x14ac:dyDescent="0.2">
      <c r="A1544" s="1">
        <f t="shared" ca="1" si="63"/>
        <v>1542</v>
      </c>
      <c r="B1544" s="1" t="s">
        <v>7219</v>
      </c>
      <c r="C1544" s="82" t="s">
        <v>4420</v>
      </c>
      <c r="G1544" s="7"/>
      <c r="I1544" s="4" t="s">
        <v>2756</v>
      </c>
    </row>
    <row r="1545" spans="1:9" x14ac:dyDescent="0.2">
      <c r="A1545" s="1">
        <f t="shared" ca="1" si="63"/>
        <v>1543</v>
      </c>
      <c r="B1545" s="1" t="s">
        <v>7220</v>
      </c>
      <c r="C1545" s="82" t="s">
        <v>4419</v>
      </c>
      <c r="G1545" s="7"/>
      <c r="I1545" s="4" t="s">
        <v>2757</v>
      </c>
    </row>
    <row r="1546" spans="1:9" ht="25.5" x14ac:dyDescent="0.2">
      <c r="A1546" s="1">
        <f t="shared" ca="1" si="63"/>
        <v>1544</v>
      </c>
      <c r="B1546" s="1" t="s">
        <v>7221</v>
      </c>
      <c r="C1546" s="82" t="s">
        <v>4418</v>
      </c>
      <c r="G1546" s="7"/>
      <c r="I1546" s="4" t="s">
        <v>2758</v>
      </c>
    </row>
    <row r="1547" spans="1:9" ht="51" x14ac:dyDescent="0.2">
      <c r="A1547" s="1">
        <f t="shared" ca="1" si="63"/>
        <v>1545</v>
      </c>
      <c r="B1547" s="1" t="s">
        <v>7222</v>
      </c>
      <c r="C1547" s="82" t="s">
        <v>5492</v>
      </c>
      <c r="G1547" s="7"/>
      <c r="I1547" s="82" t="s">
        <v>2759</v>
      </c>
    </row>
    <row r="1548" spans="1:9" ht="25.5" x14ac:dyDescent="0.2">
      <c r="A1548" s="1">
        <f t="shared" ca="1" si="63"/>
        <v>1546</v>
      </c>
      <c r="B1548" s="1" t="s">
        <v>7223</v>
      </c>
      <c r="C1548" s="82" t="s">
        <v>4417</v>
      </c>
      <c r="G1548" s="7"/>
      <c r="I1548" s="4" t="s">
        <v>2666</v>
      </c>
    </row>
    <row r="1549" spans="1:9" x14ac:dyDescent="0.2">
      <c r="A1549" s="1">
        <f t="shared" ca="1" si="63"/>
        <v>1547</v>
      </c>
      <c r="B1549" s="1" t="s">
        <v>1382</v>
      </c>
      <c r="C1549" s="82" t="s">
        <v>4416</v>
      </c>
      <c r="G1549" s="7"/>
      <c r="I1549" s="4" t="s">
        <v>2667</v>
      </c>
    </row>
    <row r="1550" spans="1:9" x14ac:dyDescent="0.2">
      <c r="A1550" s="1">
        <f t="shared" ca="1" si="63"/>
        <v>1548</v>
      </c>
      <c r="B1550" s="1" t="s">
        <v>1383</v>
      </c>
      <c r="C1550" s="82" t="s">
        <v>4415</v>
      </c>
      <c r="G1550" s="7"/>
      <c r="I1550" s="4" t="s">
        <v>2668</v>
      </c>
    </row>
    <row r="1551" spans="1:9" x14ac:dyDescent="0.2">
      <c r="A1551" s="1">
        <f t="shared" ca="1" si="63"/>
        <v>1549</v>
      </c>
      <c r="B1551" s="1" t="s">
        <v>4614</v>
      </c>
      <c r="C1551" s="82" t="s">
        <v>4414</v>
      </c>
      <c r="G1551" s="7"/>
      <c r="I1551" s="4" t="s">
        <v>2669</v>
      </c>
    </row>
    <row r="1552" spans="1:9" ht="38.25" x14ac:dyDescent="0.2">
      <c r="A1552" s="1">
        <f t="shared" ca="1" si="63"/>
        <v>1550</v>
      </c>
      <c r="B1552" s="1" t="s">
        <v>4615</v>
      </c>
      <c r="C1552" s="82" t="s">
        <v>4413</v>
      </c>
      <c r="G1552" s="7"/>
      <c r="I1552" s="4" t="s">
        <v>2670</v>
      </c>
    </row>
    <row r="1553" spans="1:9" ht="25.5" x14ac:dyDescent="0.2">
      <c r="A1553" s="1">
        <f t="shared" ca="1" si="63"/>
        <v>1551</v>
      </c>
      <c r="B1553" s="1" t="s">
        <v>4616</v>
      </c>
      <c r="C1553" s="82" t="s">
        <v>4412</v>
      </c>
      <c r="G1553" s="7"/>
      <c r="I1553" s="4" t="s">
        <v>2671</v>
      </c>
    </row>
    <row r="1554" spans="1:9" x14ac:dyDescent="0.2">
      <c r="A1554" s="1">
        <f t="shared" ca="1" si="63"/>
        <v>1552</v>
      </c>
      <c r="B1554" s="1" t="s">
        <v>4617</v>
      </c>
      <c r="C1554" s="82" t="s">
        <v>4411</v>
      </c>
      <c r="G1554" s="7"/>
      <c r="I1554" s="4" t="s">
        <v>2672</v>
      </c>
    </row>
    <row r="1555" spans="1:9" ht="25.5" x14ac:dyDescent="0.2">
      <c r="A1555" s="1">
        <f t="shared" ca="1" si="63"/>
        <v>1553</v>
      </c>
      <c r="B1555" s="1" t="s">
        <v>4618</v>
      </c>
      <c r="C1555" s="82" t="s">
        <v>4410</v>
      </c>
      <c r="G1555" s="7"/>
      <c r="I1555" s="4" t="s">
        <v>2673</v>
      </c>
    </row>
    <row r="1556" spans="1:9" x14ac:dyDescent="0.2">
      <c r="A1556" s="1">
        <f t="shared" ca="1" si="63"/>
        <v>1554</v>
      </c>
      <c r="B1556" s="1" t="s">
        <v>4619</v>
      </c>
      <c r="C1556" s="82" t="s">
        <v>4409</v>
      </c>
      <c r="G1556" s="7"/>
      <c r="I1556" s="4" t="s">
        <v>2674</v>
      </c>
    </row>
    <row r="1557" spans="1:9" x14ac:dyDescent="0.2">
      <c r="A1557" s="1">
        <f t="shared" ca="1" si="63"/>
        <v>1555</v>
      </c>
      <c r="B1557" s="1" t="s">
        <v>4620</v>
      </c>
      <c r="C1557" s="82" t="s">
        <v>4408</v>
      </c>
      <c r="G1557" s="7"/>
      <c r="I1557" s="4" t="s">
        <v>2675</v>
      </c>
    </row>
    <row r="1558" spans="1:9" x14ac:dyDescent="0.2">
      <c r="A1558" s="1">
        <f t="shared" ca="1" si="63"/>
        <v>1556</v>
      </c>
      <c r="B1558" s="1" t="s">
        <v>4621</v>
      </c>
      <c r="C1558" s="82" t="s">
        <v>4407</v>
      </c>
      <c r="G1558" s="7"/>
      <c r="I1558" s="4" t="s">
        <v>4890</v>
      </c>
    </row>
    <row r="1559" spans="1:9" x14ac:dyDescent="0.2">
      <c r="A1559" s="1">
        <f t="shared" ca="1" si="63"/>
        <v>1557</v>
      </c>
      <c r="B1559" s="1" t="s">
        <v>4622</v>
      </c>
      <c r="C1559" s="82" t="s">
        <v>4406</v>
      </c>
      <c r="G1559" s="7"/>
      <c r="I1559" s="4" t="s">
        <v>4891</v>
      </c>
    </row>
    <row r="1560" spans="1:9" ht="25.5" x14ac:dyDescent="0.2">
      <c r="A1560" s="1">
        <f t="shared" ca="1" si="63"/>
        <v>1558</v>
      </c>
      <c r="B1560" s="1" t="s">
        <v>4623</v>
      </c>
      <c r="C1560" s="82" t="s">
        <v>4405</v>
      </c>
      <c r="G1560" s="7"/>
      <c r="I1560" s="4" t="s">
        <v>4892</v>
      </c>
    </row>
    <row r="1561" spans="1:9" x14ac:dyDescent="0.2">
      <c r="A1561" s="1">
        <f t="shared" ca="1" si="63"/>
        <v>1559</v>
      </c>
      <c r="B1561" s="1" t="s">
        <v>4624</v>
      </c>
      <c r="C1561" s="82" t="s">
        <v>4404</v>
      </c>
      <c r="G1561" s="7"/>
      <c r="I1561" s="4" t="s">
        <v>4893</v>
      </c>
    </row>
    <row r="1562" spans="1:9" x14ac:dyDescent="0.2">
      <c r="A1562" s="1">
        <f t="shared" ca="1" si="63"/>
        <v>1560</v>
      </c>
      <c r="B1562" s="1" t="s">
        <v>4625</v>
      </c>
      <c r="C1562" s="82" t="s">
        <v>4403</v>
      </c>
      <c r="G1562" s="7"/>
      <c r="I1562" s="4" t="s">
        <v>4894</v>
      </c>
    </row>
    <row r="1563" spans="1:9" x14ac:dyDescent="0.2">
      <c r="A1563" s="1">
        <f t="shared" ca="1" si="63"/>
        <v>1561</v>
      </c>
      <c r="B1563" s="1" t="s">
        <v>1123</v>
      </c>
      <c r="C1563" s="82" t="s">
        <v>4402</v>
      </c>
      <c r="G1563" s="7"/>
      <c r="I1563" s="4" t="s">
        <v>4895</v>
      </c>
    </row>
    <row r="1564" spans="1:9" x14ac:dyDescent="0.2">
      <c r="A1564" s="1">
        <f t="shared" ca="1" si="63"/>
        <v>1562</v>
      </c>
      <c r="B1564" s="1" t="s">
        <v>1124</v>
      </c>
      <c r="C1564" s="82" t="s">
        <v>4401</v>
      </c>
      <c r="G1564" s="7"/>
      <c r="I1564" s="4" t="s">
        <v>4896</v>
      </c>
    </row>
    <row r="1565" spans="1:9" x14ac:dyDescent="0.2">
      <c r="A1565" s="1">
        <f t="shared" ca="1" si="63"/>
        <v>1563</v>
      </c>
      <c r="B1565" s="1" t="s">
        <v>1125</v>
      </c>
      <c r="C1565" s="82" t="s">
        <v>4400</v>
      </c>
      <c r="G1565" s="7"/>
      <c r="I1565" s="4" t="s">
        <v>4897</v>
      </c>
    </row>
    <row r="1566" spans="1:9" x14ac:dyDescent="0.2">
      <c r="A1566" s="1">
        <f t="shared" ca="1" si="63"/>
        <v>1564</v>
      </c>
      <c r="B1566" s="1" t="s">
        <v>1126</v>
      </c>
      <c r="C1566" s="82" t="s">
        <v>4399</v>
      </c>
      <c r="G1566" s="7"/>
      <c r="I1566" s="4" t="s">
        <v>4898</v>
      </c>
    </row>
    <row r="1567" spans="1:9" x14ac:dyDescent="0.2">
      <c r="A1567" s="1">
        <f t="shared" ca="1" si="63"/>
        <v>1565</v>
      </c>
      <c r="B1567" s="1" t="s">
        <v>1127</v>
      </c>
      <c r="C1567" s="82" t="s">
        <v>4398</v>
      </c>
      <c r="G1567" s="7"/>
      <c r="I1567" s="4" t="s">
        <v>4899</v>
      </c>
    </row>
    <row r="1568" spans="1:9" x14ac:dyDescent="0.2">
      <c r="A1568" s="1">
        <f t="shared" ca="1" si="63"/>
        <v>1566</v>
      </c>
      <c r="B1568" s="1" t="s">
        <v>1128</v>
      </c>
      <c r="C1568" s="82" t="s">
        <v>4397</v>
      </c>
      <c r="G1568" s="7"/>
      <c r="I1568" s="4" t="s">
        <v>4900</v>
      </c>
    </row>
    <row r="1569" spans="1:9" x14ac:dyDescent="0.2">
      <c r="A1569" s="1">
        <f t="shared" ca="1" si="63"/>
        <v>1567</v>
      </c>
      <c r="B1569" s="1" t="s">
        <v>1129</v>
      </c>
      <c r="C1569" s="82" t="s">
        <v>4396</v>
      </c>
      <c r="G1569" s="7"/>
      <c r="I1569" s="4" t="s">
        <v>4901</v>
      </c>
    </row>
    <row r="1570" spans="1:9" x14ac:dyDescent="0.2">
      <c r="A1570" s="1">
        <f t="shared" ca="1" si="63"/>
        <v>1568</v>
      </c>
      <c r="B1570" s="1" t="s">
        <v>1130</v>
      </c>
      <c r="C1570" s="82" t="s">
        <v>4395</v>
      </c>
      <c r="G1570" s="7"/>
      <c r="I1570" s="4" t="s">
        <v>4902</v>
      </c>
    </row>
    <row r="1571" spans="1:9" x14ac:dyDescent="0.2">
      <c r="A1571" s="1">
        <f t="shared" ca="1" si="63"/>
        <v>1569</v>
      </c>
      <c r="B1571" s="1" t="s">
        <v>1131</v>
      </c>
      <c r="C1571" s="82" t="s">
        <v>4394</v>
      </c>
      <c r="G1571" s="7"/>
      <c r="I1571" s="4" t="s">
        <v>4903</v>
      </c>
    </row>
    <row r="1572" spans="1:9" x14ac:dyDescent="0.2">
      <c r="A1572" s="1">
        <f t="shared" ca="1" si="63"/>
        <v>1570</v>
      </c>
      <c r="B1572" s="1" t="s">
        <v>3366</v>
      </c>
      <c r="C1572" s="82" t="s">
        <v>4393</v>
      </c>
      <c r="G1572" s="7"/>
      <c r="I1572" s="4" t="s">
        <v>4904</v>
      </c>
    </row>
    <row r="1573" spans="1:9" x14ac:dyDescent="0.2">
      <c r="A1573" s="1">
        <f t="shared" ca="1" si="63"/>
        <v>1571</v>
      </c>
      <c r="B1573" s="1" t="s">
        <v>3367</v>
      </c>
      <c r="C1573" s="82" t="s">
        <v>4392</v>
      </c>
      <c r="G1573" s="7"/>
      <c r="I1573" s="4" t="s">
        <v>4905</v>
      </c>
    </row>
    <row r="1574" spans="1:9" x14ac:dyDescent="0.2">
      <c r="A1574" s="1">
        <f t="shared" ca="1" si="63"/>
        <v>1572</v>
      </c>
      <c r="B1574" s="1" t="s">
        <v>3368</v>
      </c>
      <c r="C1574" s="82" t="s">
        <v>4391</v>
      </c>
      <c r="G1574" s="7"/>
      <c r="I1574" s="4" t="s">
        <v>4906</v>
      </c>
    </row>
    <row r="1575" spans="1:9" ht="38.25" x14ac:dyDescent="0.2">
      <c r="A1575" s="1">
        <f t="shared" ca="1" si="63"/>
        <v>1573</v>
      </c>
      <c r="B1575" s="1" t="s">
        <v>3417</v>
      </c>
      <c r="C1575" s="82" t="s">
        <v>4390</v>
      </c>
      <c r="G1575" s="7"/>
      <c r="I1575" s="4" t="s">
        <v>4907</v>
      </c>
    </row>
    <row r="1576" spans="1:9" ht="25.5" x14ac:dyDescent="0.2">
      <c r="A1576" s="1">
        <f t="shared" ca="1" si="63"/>
        <v>1574</v>
      </c>
      <c r="B1576" s="1" t="s">
        <v>3418</v>
      </c>
      <c r="C1576" s="82" t="s">
        <v>4389</v>
      </c>
      <c r="G1576" s="7"/>
      <c r="I1576" s="4" t="s">
        <v>4908</v>
      </c>
    </row>
    <row r="1577" spans="1:9" ht="25.5" x14ac:dyDescent="0.2">
      <c r="A1577" s="1">
        <f t="shared" ca="1" si="63"/>
        <v>1575</v>
      </c>
      <c r="B1577" s="1" t="s">
        <v>3419</v>
      </c>
      <c r="C1577" s="82" t="s">
        <v>4388</v>
      </c>
      <c r="G1577" s="7"/>
      <c r="I1577" s="4" t="s">
        <v>2702</v>
      </c>
    </row>
    <row r="1578" spans="1:9" x14ac:dyDescent="0.2">
      <c r="A1578" s="1">
        <f t="shared" ca="1" si="63"/>
        <v>1576</v>
      </c>
      <c r="B1578" s="1" t="s">
        <v>3420</v>
      </c>
      <c r="C1578" s="82" t="s">
        <v>4387</v>
      </c>
      <c r="G1578" s="7"/>
      <c r="I1578" s="4" t="s">
        <v>2703</v>
      </c>
    </row>
    <row r="1579" spans="1:9" x14ac:dyDescent="0.2">
      <c r="A1579" s="1">
        <f t="shared" ca="1" si="63"/>
        <v>1577</v>
      </c>
      <c r="B1579" s="1" t="s">
        <v>3421</v>
      </c>
      <c r="C1579" s="82" t="s">
        <v>2022</v>
      </c>
      <c r="G1579" s="7"/>
      <c r="I1579" s="4" t="s">
        <v>2704</v>
      </c>
    </row>
    <row r="1580" spans="1:9" ht="25.5" x14ac:dyDescent="0.2">
      <c r="A1580" s="1">
        <f t="shared" ca="1" si="63"/>
        <v>1578</v>
      </c>
      <c r="B1580" s="1" t="s">
        <v>3422</v>
      </c>
      <c r="C1580" s="82" t="s">
        <v>2021</v>
      </c>
      <c r="G1580" s="7"/>
      <c r="I1580" s="4" t="s">
        <v>2705</v>
      </c>
    </row>
    <row r="1581" spans="1:9" x14ac:dyDescent="0.2">
      <c r="A1581" s="1">
        <f t="shared" ca="1" si="63"/>
        <v>1579</v>
      </c>
      <c r="B1581" s="1" t="s">
        <v>3423</v>
      </c>
      <c r="C1581" s="82" t="s">
        <v>2020</v>
      </c>
      <c r="G1581" s="7"/>
      <c r="I1581" s="4" t="s">
        <v>4926</v>
      </c>
    </row>
    <row r="1582" spans="1:9" x14ac:dyDescent="0.2">
      <c r="A1582" s="1">
        <f t="shared" ca="1" si="63"/>
        <v>1580</v>
      </c>
      <c r="B1582" s="1" t="s">
        <v>3424</v>
      </c>
      <c r="C1582" s="82" t="s">
        <v>2019</v>
      </c>
      <c r="G1582" s="7"/>
      <c r="I1582" s="4" t="s">
        <v>4927</v>
      </c>
    </row>
    <row r="1583" spans="1:9" ht="25.5" x14ac:dyDescent="0.2">
      <c r="A1583" s="1">
        <f t="shared" ca="1" si="63"/>
        <v>1581</v>
      </c>
      <c r="B1583" s="1" t="s">
        <v>3425</v>
      </c>
      <c r="C1583" s="82" t="s">
        <v>1674</v>
      </c>
      <c r="G1583" s="7"/>
      <c r="I1583" s="4" t="s">
        <v>4928</v>
      </c>
    </row>
    <row r="1584" spans="1:9" x14ac:dyDescent="0.2">
      <c r="A1584" s="1">
        <f t="shared" ca="1" si="63"/>
        <v>1582</v>
      </c>
      <c r="B1584" s="1" t="s">
        <v>3426</v>
      </c>
      <c r="C1584" s="82" t="s">
        <v>5296</v>
      </c>
      <c r="G1584" s="7"/>
      <c r="I1584" s="4" t="s">
        <v>4929</v>
      </c>
    </row>
    <row r="1585" spans="1:9" x14ac:dyDescent="0.2">
      <c r="A1585" s="1">
        <f t="shared" ca="1" si="63"/>
        <v>1583</v>
      </c>
      <c r="B1585" s="1" t="s">
        <v>3427</v>
      </c>
      <c r="C1585" s="82" t="s">
        <v>2018</v>
      </c>
      <c r="G1585" s="7"/>
      <c r="I1585" s="4" t="s">
        <v>4930</v>
      </c>
    </row>
    <row r="1586" spans="1:9" ht="25.5" x14ac:dyDescent="0.2">
      <c r="A1586" s="1">
        <f t="shared" ca="1" si="63"/>
        <v>1584</v>
      </c>
      <c r="B1586" s="1" t="s">
        <v>7027</v>
      </c>
      <c r="C1586" s="82" t="s">
        <v>2017</v>
      </c>
      <c r="G1586" s="7"/>
      <c r="I1586" s="4" t="s">
        <v>4931</v>
      </c>
    </row>
    <row r="1587" spans="1:9" x14ac:dyDescent="0.2">
      <c r="A1587" s="1">
        <f t="shared" ca="1" si="63"/>
        <v>1585</v>
      </c>
      <c r="B1587" s="1" t="s">
        <v>7028</v>
      </c>
      <c r="C1587" s="82" t="s">
        <v>5297</v>
      </c>
      <c r="G1587" s="7"/>
      <c r="I1587" s="4" t="s">
        <v>4932</v>
      </c>
    </row>
    <row r="1588" spans="1:9" x14ac:dyDescent="0.2">
      <c r="A1588" s="1">
        <f t="shared" ca="1" si="63"/>
        <v>1586</v>
      </c>
      <c r="B1588" s="1" t="s">
        <v>7029</v>
      </c>
      <c r="C1588" s="82" t="s">
        <v>5298</v>
      </c>
      <c r="G1588" s="7"/>
      <c r="I1588" s="4" t="s">
        <v>4933</v>
      </c>
    </row>
    <row r="1589" spans="1:9" ht="38.25" x14ac:dyDescent="0.2">
      <c r="A1589" s="1">
        <f t="shared" ref="A1589:A1652" ca="1" si="64">CELL("row",C1589)-2</f>
        <v>1587</v>
      </c>
      <c r="B1589" s="1" t="s">
        <v>7802</v>
      </c>
      <c r="C1589" s="82" t="s">
        <v>7414</v>
      </c>
      <c r="G1589" s="7"/>
      <c r="I1589" s="4" t="s">
        <v>7127</v>
      </c>
    </row>
    <row r="1590" spans="1:9" ht="25.5" x14ac:dyDescent="0.2">
      <c r="A1590" s="1">
        <f t="shared" ca="1" si="64"/>
        <v>1588</v>
      </c>
      <c r="B1590" s="1" t="s">
        <v>6231</v>
      </c>
      <c r="C1590" s="82" t="s">
        <v>2016</v>
      </c>
      <c r="G1590" s="7"/>
      <c r="I1590" s="4" t="s">
        <v>7128</v>
      </c>
    </row>
    <row r="1591" spans="1:9" ht="38.25" x14ac:dyDescent="0.2">
      <c r="A1591" s="1">
        <f t="shared" ca="1" si="64"/>
        <v>1589</v>
      </c>
      <c r="B1591" s="1" t="s">
        <v>6232</v>
      </c>
      <c r="C1591" s="82" t="s">
        <v>2015</v>
      </c>
      <c r="G1591" s="7"/>
      <c r="I1591" s="4" t="s">
        <v>7129</v>
      </c>
    </row>
    <row r="1592" spans="1:9" x14ac:dyDescent="0.2">
      <c r="A1592" s="1">
        <f t="shared" ca="1" si="64"/>
        <v>1590</v>
      </c>
      <c r="B1592" s="1" t="s">
        <v>6233</v>
      </c>
      <c r="C1592" s="82" t="s">
        <v>2014</v>
      </c>
      <c r="G1592" s="7"/>
      <c r="I1592" s="4" t="s">
        <v>7130</v>
      </c>
    </row>
    <row r="1593" spans="1:9" ht="25.5" x14ac:dyDescent="0.2">
      <c r="A1593" s="1">
        <f t="shared" ca="1" si="64"/>
        <v>1591</v>
      </c>
      <c r="B1593" s="1" t="s">
        <v>5057</v>
      </c>
      <c r="C1593" s="82" t="s">
        <v>2013</v>
      </c>
      <c r="G1593" s="7"/>
      <c r="I1593" s="4" t="s">
        <v>7131</v>
      </c>
    </row>
    <row r="1594" spans="1:9" x14ac:dyDescent="0.2">
      <c r="A1594" s="1">
        <f t="shared" ca="1" si="64"/>
        <v>1592</v>
      </c>
      <c r="B1594" s="1" t="s">
        <v>5058</v>
      </c>
      <c r="C1594" s="82" t="s">
        <v>2012</v>
      </c>
      <c r="G1594" s="7"/>
      <c r="I1594" s="4" t="s">
        <v>7132</v>
      </c>
    </row>
    <row r="1595" spans="1:9" ht="38.25" x14ac:dyDescent="0.2">
      <c r="A1595" s="1">
        <f t="shared" ca="1" si="64"/>
        <v>1593</v>
      </c>
      <c r="B1595" s="1" t="s">
        <v>5059</v>
      </c>
      <c r="C1595" s="82" t="s">
        <v>2011</v>
      </c>
      <c r="G1595" s="7"/>
      <c r="I1595" s="4" t="s">
        <v>7133</v>
      </c>
    </row>
    <row r="1596" spans="1:9" ht="25.5" x14ac:dyDescent="0.2">
      <c r="A1596" s="1">
        <f t="shared" ca="1" si="64"/>
        <v>1594</v>
      </c>
      <c r="B1596" s="1" t="s">
        <v>5060</v>
      </c>
      <c r="C1596" s="82" t="s">
        <v>2010</v>
      </c>
      <c r="G1596" s="7"/>
      <c r="I1596" s="4" t="s">
        <v>7134</v>
      </c>
    </row>
    <row r="1597" spans="1:9" x14ac:dyDescent="0.2">
      <c r="A1597" s="1">
        <f t="shared" ca="1" si="64"/>
        <v>1595</v>
      </c>
      <c r="B1597" s="1" t="s">
        <v>5061</v>
      </c>
      <c r="C1597" s="82" t="s">
        <v>7266</v>
      </c>
      <c r="G1597" s="7"/>
      <c r="I1597" s="4" t="s">
        <v>7135</v>
      </c>
    </row>
    <row r="1598" spans="1:9" x14ac:dyDescent="0.2">
      <c r="A1598" s="1">
        <f t="shared" ca="1" si="64"/>
        <v>1596</v>
      </c>
      <c r="B1598" s="1" t="s">
        <v>5062</v>
      </c>
      <c r="C1598" s="82" t="s">
        <v>2009</v>
      </c>
      <c r="G1598" s="7"/>
      <c r="I1598" s="4" t="s">
        <v>7136</v>
      </c>
    </row>
    <row r="1599" spans="1:9" x14ac:dyDescent="0.2">
      <c r="A1599" s="1">
        <f t="shared" ca="1" si="64"/>
        <v>1597</v>
      </c>
      <c r="B1599" s="1" t="s">
        <v>5063</v>
      </c>
      <c r="C1599" s="82" t="s">
        <v>2008</v>
      </c>
      <c r="G1599" s="7"/>
      <c r="I1599" s="4" t="s">
        <v>7137</v>
      </c>
    </row>
    <row r="1600" spans="1:9" ht="25.5" x14ac:dyDescent="0.2">
      <c r="A1600" s="1">
        <f t="shared" ca="1" si="64"/>
        <v>1598</v>
      </c>
      <c r="B1600" s="1" t="s">
        <v>2775</v>
      </c>
      <c r="C1600" s="82" t="s">
        <v>2007</v>
      </c>
      <c r="G1600" s="7"/>
      <c r="I1600" s="4" t="s">
        <v>7138</v>
      </c>
    </row>
    <row r="1601" spans="1:9" x14ac:dyDescent="0.2">
      <c r="A1601" s="1">
        <f t="shared" ca="1" si="64"/>
        <v>1599</v>
      </c>
      <c r="B1601" s="1" t="s">
        <v>2776</v>
      </c>
      <c r="C1601" s="82" t="s">
        <v>2006</v>
      </c>
      <c r="G1601" s="7"/>
      <c r="I1601" s="4" t="s">
        <v>7139</v>
      </c>
    </row>
    <row r="1602" spans="1:9" x14ac:dyDescent="0.2">
      <c r="A1602" s="1">
        <f t="shared" ca="1" si="64"/>
        <v>1600</v>
      </c>
      <c r="B1602" s="1" t="s">
        <v>2777</v>
      </c>
      <c r="C1602" s="82" t="s">
        <v>2005</v>
      </c>
      <c r="G1602" s="7"/>
      <c r="I1602" s="4" t="s">
        <v>7140</v>
      </c>
    </row>
    <row r="1603" spans="1:9" x14ac:dyDescent="0.2">
      <c r="A1603" s="1">
        <f t="shared" ca="1" si="64"/>
        <v>1601</v>
      </c>
      <c r="B1603" s="1" t="s">
        <v>2778</v>
      </c>
      <c r="C1603" s="82" t="s">
        <v>2004</v>
      </c>
      <c r="G1603" s="7"/>
      <c r="I1603" s="4" t="s">
        <v>7141</v>
      </c>
    </row>
    <row r="1604" spans="1:9" x14ac:dyDescent="0.2">
      <c r="A1604" s="1">
        <f t="shared" ca="1" si="64"/>
        <v>1602</v>
      </c>
      <c r="B1604" s="1" t="s">
        <v>2779</v>
      </c>
      <c r="C1604" s="82" t="s">
        <v>648</v>
      </c>
      <c r="G1604" s="7"/>
      <c r="I1604" s="4" t="s">
        <v>1533</v>
      </c>
    </row>
    <row r="1605" spans="1:9" x14ac:dyDescent="0.2">
      <c r="A1605" s="1">
        <f t="shared" ca="1" si="64"/>
        <v>1603</v>
      </c>
      <c r="B1605" s="1" t="s">
        <v>649</v>
      </c>
      <c r="C1605" s="82" t="s">
        <v>2003</v>
      </c>
      <c r="G1605" s="7"/>
      <c r="I1605" s="4" t="s">
        <v>1534</v>
      </c>
    </row>
    <row r="1606" spans="1:9" x14ac:dyDescent="0.2">
      <c r="A1606" s="1">
        <f t="shared" ca="1" si="64"/>
        <v>1604</v>
      </c>
      <c r="B1606" s="1" t="s">
        <v>650</v>
      </c>
      <c r="C1606" s="82" t="s">
        <v>2002</v>
      </c>
      <c r="G1606" s="7"/>
      <c r="I1606" s="4" t="s">
        <v>7142</v>
      </c>
    </row>
    <row r="1607" spans="1:9" ht="25.5" x14ac:dyDescent="0.2">
      <c r="A1607" s="1">
        <f t="shared" ca="1" si="64"/>
        <v>1605</v>
      </c>
      <c r="B1607" s="1" t="s">
        <v>1847</v>
      </c>
      <c r="C1607" s="82" t="s">
        <v>2001</v>
      </c>
      <c r="G1607" s="7"/>
      <c r="I1607" s="4" t="s">
        <v>7143</v>
      </c>
    </row>
    <row r="1608" spans="1:9" ht="25.5" x14ac:dyDescent="0.2">
      <c r="A1608" s="1">
        <f t="shared" ca="1" si="64"/>
        <v>1606</v>
      </c>
      <c r="B1608" s="1" t="s">
        <v>1848</v>
      </c>
      <c r="C1608" s="82" t="s">
        <v>2000</v>
      </c>
      <c r="G1608" s="7"/>
      <c r="I1608" s="4" t="s">
        <v>7144</v>
      </c>
    </row>
    <row r="1609" spans="1:9" ht="25.5" x14ac:dyDescent="0.2">
      <c r="A1609" s="1">
        <f t="shared" ca="1" si="64"/>
        <v>1607</v>
      </c>
      <c r="B1609" s="1" t="s">
        <v>1849</v>
      </c>
      <c r="C1609" s="82" t="s">
        <v>1999</v>
      </c>
      <c r="G1609" s="7"/>
      <c r="I1609" s="4" t="s">
        <v>7145</v>
      </c>
    </row>
    <row r="1610" spans="1:9" x14ac:dyDescent="0.2">
      <c r="A1610" s="1">
        <f t="shared" ca="1" si="64"/>
        <v>1608</v>
      </c>
      <c r="B1610" s="1" t="s">
        <v>1850</v>
      </c>
      <c r="C1610" s="82" t="s">
        <v>7541</v>
      </c>
      <c r="G1610" s="7"/>
      <c r="I1610" s="4" t="s">
        <v>1558</v>
      </c>
    </row>
    <row r="1611" spans="1:9" x14ac:dyDescent="0.2">
      <c r="A1611" s="1">
        <f t="shared" ca="1" si="64"/>
        <v>1609</v>
      </c>
      <c r="B1611" s="1" t="s">
        <v>1851</v>
      </c>
      <c r="C1611" s="82" t="s">
        <v>1998</v>
      </c>
      <c r="G1611" s="7"/>
      <c r="I1611" s="4" t="s">
        <v>7146</v>
      </c>
    </row>
    <row r="1612" spans="1:9" x14ac:dyDescent="0.2">
      <c r="A1612" s="1">
        <f t="shared" ca="1" si="64"/>
        <v>1610</v>
      </c>
      <c r="B1612" s="1" t="s">
        <v>8081</v>
      </c>
      <c r="C1612" s="82" t="s">
        <v>1947</v>
      </c>
      <c r="G1612" s="7"/>
      <c r="I1612" s="4" t="s">
        <v>7147</v>
      </c>
    </row>
    <row r="1613" spans="1:9" x14ac:dyDescent="0.2">
      <c r="A1613" s="1">
        <f t="shared" ca="1" si="64"/>
        <v>1611</v>
      </c>
      <c r="B1613" s="1" t="s">
        <v>8082</v>
      </c>
      <c r="C1613" s="82" t="s">
        <v>1948</v>
      </c>
      <c r="G1613" s="7"/>
      <c r="I1613" s="4" t="s">
        <v>7148</v>
      </c>
    </row>
    <row r="1614" spans="1:9" x14ac:dyDescent="0.2">
      <c r="A1614" s="1">
        <f t="shared" ca="1" si="64"/>
        <v>1612</v>
      </c>
      <c r="B1614" s="1" t="s">
        <v>8083</v>
      </c>
      <c r="C1614" s="82" t="s">
        <v>1997</v>
      </c>
      <c r="G1614" s="7"/>
      <c r="I1614" s="4" t="s">
        <v>7149</v>
      </c>
    </row>
    <row r="1615" spans="1:9" x14ac:dyDescent="0.2">
      <c r="A1615" s="1">
        <f t="shared" ca="1" si="64"/>
        <v>1613</v>
      </c>
      <c r="B1615" s="1" t="s">
        <v>8084</v>
      </c>
      <c r="C1615" s="82" t="s">
        <v>1949</v>
      </c>
      <c r="G1615" s="7"/>
      <c r="I1615" s="4" t="s">
        <v>7150</v>
      </c>
    </row>
    <row r="1616" spans="1:9" ht="25.5" x14ac:dyDescent="0.2">
      <c r="A1616" s="1">
        <f t="shared" ca="1" si="64"/>
        <v>1614</v>
      </c>
      <c r="B1616" s="1" t="s">
        <v>8085</v>
      </c>
      <c r="C1616" s="82" t="s">
        <v>1996</v>
      </c>
      <c r="G1616" s="7"/>
      <c r="I1616" s="4" t="s">
        <v>7151</v>
      </c>
    </row>
    <row r="1617" spans="1:9" x14ac:dyDescent="0.2">
      <c r="A1617" s="1">
        <f t="shared" ca="1" si="64"/>
        <v>1615</v>
      </c>
      <c r="B1617" s="1" t="s">
        <v>2692</v>
      </c>
      <c r="C1617" s="82" t="s">
        <v>1995</v>
      </c>
      <c r="G1617" s="7"/>
      <c r="I1617" s="4" t="s">
        <v>7152</v>
      </c>
    </row>
    <row r="1618" spans="1:9" ht="25.5" x14ac:dyDescent="0.2">
      <c r="A1618" s="1">
        <f t="shared" ca="1" si="64"/>
        <v>1616</v>
      </c>
      <c r="B1618" s="1" t="s">
        <v>2693</v>
      </c>
      <c r="C1618" s="82" t="s">
        <v>7554</v>
      </c>
      <c r="G1618" s="7"/>
      <c r="I1618" s="4" t="s">
        <v>7153</v>
      </c>
    </row>
    <row r="1619" spans="1:9" ht="25.5" x14ac:dyDescent="0.2">
      <c r="A1619" s="1">
        <f t="shared" ca="1" si="64"/>
        <v>1617</v>
      </c>
      <c r="B1619" s="1" t="s">
        <v>2694</v>
      </c>
      <c r="C1619" s="82" t="s">
        <v>7553</v>
      </c>
      <c r="G1619" s="7"/>
      <c r="I1619" s="4" t="s">
        <v>7154</v>
      </c>
    </row>
    <row r="1620" spans="1:9" ht="25.5" x14ac:dyDescent="0.2">
      <c r="A1620" s="1">
        <f t="shared" ca="1" si="64"/>
        <v>1618</v>
      </c>
      <c r="B1620" s="1" t="s">
        <v>2695</v>
      </c>
      <c r="C1620" s="82" t="s">
        <v>7552</v>
      </c>
      <c r="G1620" s="7"/>
      <c r="I1620" s="4" t="s">
        <v>7155</v>
      </c>
    </row>
    <row r="1621" spans="1:9" ht="25.5" x14ac:dyDescent="0.2">
      <c r="A1621" s="1">
        <f t="shared" ca="1" si="64"/>
        <v>1619</v>
      </c>
      <c r="B1621" s="1" t="s">
        <v>2696</v>
      </c>
      <c r="C1621" s="82" t="s">
        <v>7551</v>
      </c>
      <c r="G1621" s="7"/>
      <c r="I1621" s="4" t="s">
        <v>7156</v>
      </c>
    </row>
    <row r="1622" spans="1:9" x14ac:dyDescent="0.2">
      <c r="A1622" s="1">
        <f t="shared" ca="1" si="64"/>
        <v>1620</v>
      </c>
      <c r="B1622" s="1" t="s">
        <v>2697</v>
      </c>
      <c r="C1622" s="82" t="s">
        <v>7550</v>
      </c>
      <c r="G1622" s="7"/>
      <c r="I1622" s="4" t="s">
        <v>2551</v>
      </c>
    </row>
    <row r="1623" spans="1:9" x14ac:dyDescent="0.2">
      <c r="A1623" s="1">
        <f t="shared" ca="1" si="64"/>
        <v>1621</v>
      </c>
      <c r="B1623" s="1" t="s">
        <v>7765</v>
      </c>
      <c r="C1623" s="82" t="s">
        <v>7549</v>
      </c>
      <c r="G1623" s="7"/>
      <c r="I1623" s="4" t="s">
        <v>7157</v>
      </c>
    </row>
    <row r="1624" spans="1:9" x14ac:dyDescent="0.2">
      <c r="A1624" s="1">
        <f t="shared" ca="1" si="64"/>
        <v>1622</v>
      </c>
      <c r="B1624" s="1" t="s">
        <v>7766</v>
      </c>
      <c r="C1624" s="82" t="s">
        <v>7548</v>
      </c>
      <c r="G1624" s="7"/>
      <c r="I1624" s="4" t="s">
        <v>7158</v>
      </c>
    </row>
    <row r="1625" spans="1:9" x14ac:dyDescent="0.2">
      <c r="A1625" s="1">
        <f t="shared" ca="1" si="64"/>
        <v>1623</v>
      </c>
      <c r="B1625" s="1" t="s">
        <v>7767</v>
      </c>
      <c r="C1625" s="82" t="s">
        <v>7767</v>
      </c>
      <c r="G1625" s="7"/>
      <c r="I1625" s="4" t="s">
        <v>7159</v>
      </c>
    </row>
    <row r="1626" spans="1:9" ht="25.5" x14ac:dyDescent="0.2">
      <c r="A1626" s="1">
        <f t="shared" ca="1" si="64"/>
        <v>1624</v>
      </c>
      <c r="B1626" s="1" t="s">
        <v>7768</v>
      </c>
      <c r="C1626" s="82" t="s">
        <v>7547</v>
      </c>
      <c r="G1626" s="7"/>
      <c r="I1626" s="4" t="s">
        <v>7160</v>
      </c>
    </row>
    <row r="1627" spans="1:9" ht="25.5" x14ac:dyDescent="0.2">
      <c r="A1627" s="1">
        <f t="shared" ca="1" si="64"/>
        <v>1625</v>
      </c>
      <c r="B1627" s="1" t="s">
        <v>5452</v>
      </c>
      <c r="C1627" s="82" t="s">
        <v>7546</v>
      </c>
      <c r="G1627" s="7"/>
      <c r="I1627" s="4" t="s">
        <v>7161</v>
      </c>
    </row>
    <row r="1628" spans="1:9" x14ac:dyDescent="0.2">
      <c r="A1628" s="1">
        <f t="shared" ca="1" si="64"/>
        <v>1626</v>
      </c>
      <c r="B1628" s="1" t="s">
        <v>2698</v>
      </c>
      <c r="C1628" s="82" t="s">
        <v>7545</v>
      </c>
      <c r="G1628" s="7"/>
      <c r="I1628" s="4" t="s">
        <v>7162</v>
      </c>
    </row>
    <row r="1629" spans="1:9" x14ac:dyDescent="0.2">
      <c r="A1629" s="1">
        <f t="shared" ca="1" si="64"/>
        <v>1627</v>
      </c>
      <c r="B1629" s="1" t="s">
        <v>2699</v>
      </c>
      <c r="C1629" s="82" t="s">
        <v>7544</v>
      </c>
      <c r="G1629" s="7"/>
      <c r="I1629" s="4" t="s">
        <v>7163</v>
      </c>
    </row>
    <row r="1630" spans="1:9" ht="25.5" x14ac:dyDescent="0.2">
      <c r="A1630" s="1">
        <f t="shared" ca="1" si="64"/>
        <v>1628</v>
      </c>
      <c r="B1630" s="1" t="s">
        <v>2700</v>
      </c>
      <c r="C1630" s="82" t="s">
        <v>7543</v>
      </c>
      <c r="G1630" s="7"/>
      <c r="I1630" s="4" t="s">
        <v>7164</v>
      </c>
    </row>
    <row r="1631" spans="1:9" x14ac:dyDescent="0.2">
      <c r="A1631" s="1">
        <f t="shared" ca="1" si="64"/>
        <v>1629</v>
      </c>
      <c r="B1631" s="1" t="s">
        <v>2701</v>
      </c>
      <c r="C1631" s="82" t="s">
        <v>4645</v>
      </c>
      <c r="G1631" s="7"/>
      <c r="I1631" s="4" t="s">
        <v>7165</v>
      </c>
    </row>
    <row r="1632" spans="1:9" x14ac:dyDescent="0.2">
      <c r="A1632" s="1">
        <f t="shared" ca="1" si="64"/>
        <v>1630</v>
      </c>
      <c r="B1632" s="1" t="s">
        <v>1156</v>
      </c>
      <c r="C1632" s="82" t="s">
        <v>1156</v>
      </c>
      <c r="G1632" s="7"/>
      <c r="I1632" s="4" t="s">
        <v>7166</v>
      </c>
    </row>
    <row r="1633" spans="1:9" x14ac:dyDescent="0.2">
      <c r="A1633" s="1">
        <f t="shared" ca="1" si="64"/>
        <v>1631</v>
      </c>
      <c r="B1633" s="1" t="s">
        <v>1157</v>
      </c>
      <c r="C1633" s="82" t="s">
        <v>4644</v>
      </c>
      <c r="G1633" s="7"/>
      <c r="I1633" s="4" t="s">
        <v>7167</v>
      </c>
    </row>
    <row r="1634" spans="1:9" x14ac:dyDescent="0.2">
      <c r="A1634" s="1">
        <f t="shared" ca="1" si="64"/>
        <v>1632</v>
      </c>
      <c r="B1634" s="1" t="s">
        <v>1158</v>
      </c>
      <c r="C1634" s="82" t="s">
        <v>4643</v>
      </c>
      <c r="G1634" s="7"/>
      <c r="I1634" s="4" t="s">
        <v>7168</v>
      </c>
    </row>
    <row r="1635" spans="1:9" x14ac:dyDescent="0.2">
      <c r="A1635" s="1">
        <f t="shared" ca="1" si="64"/>
        <v>1633</v>
      </c>
      <c r="B1635" s="1" t="s">
        <v>1159</v>
      </c>
      <c r="C1635" s="82" t="s">
        <v>4642</v>
      </c>
      <c r="G1635" s="7"/>
      <c r="I1635" s="4" t="s">
        <v>7169</v>
      </c>
    </row>
    <row r="1636" spans="1:9" x14ac:dyDescent="0.2">
      <c r="A1636" s="1">
        <f t="shared" ca="1" si="64"/>
        <v>1634</v>
      </c>
      <c r="B1636" s="1" t="s">
        <v>3914</v>
      </c>
      <c r="C1636" s="82" t="s">
        <v>4641</v>
      </c>
      <c r="G1636" s="7"/>
      <c r="I1636" s="4" t="s">
        <v>7170</v>
      </c>
    </row>
    <row r="1637" spans="1:9" x14ac:dyDescent="0.2">
      <c r="A1637" s="1">
        <f t="shared" ca="1" si="64"/>
        <v>1635</v>
      </c>
      <c r="B1637" s="1" t="s">
        <v>3915</v>
      </c>
      <c r="C1637" s="82" t="s">
        <v>4640</v>
      </c>
      <c r="G1637" s="7"/>
      <c r="I1637" s="4" t="s">
        <v>7171</v>
      </c>
    </row>
    <row r="1638" spans="1:9" x14ac:dyDescent="0.2">
      <c r="A1638" s="1">
        <f t="shared" ca="1" si="64"/>
        <v>1636</v>
      </c>
      <c r="B1638" s="1" t="s">
        <v>3916</v>
      </c>
      <c r="C1638" s="82" t="s">
        <v>4639</v>
      </c>
      <c r="G1638" s="7"/>
      <c r="I1638" s="4" t="s">
        <v>7172</v>
      </c>
    </row>
    <row r="1639" spans="1:9" x14ac:dyDescent="0.2">
      <c r="A1639" s="1">
        <f t="shared" ca="1" si="64"/>
        <v>1637</v>
      </c>
      <c r="B1639" s="1" t="s">
        <v>3917</v>
      </c>
      <c r="C1639" s="82" t="s">
        <v>4638</v>
      </c>
      <c r="G1639" s="7"/>
      <c r="I1639" s="4" t="s">
        <v>7173</v>
      </c>
    </row>
    <row r="1640" spans="1:9" x14ac:dyDescent="0.2">
      <c r="A1640" s="1">
        <f t="shared" ca="1" si="64"/>
        <v>1638</v>
      </c>
      <c r="B1640" s="5" t="s">
        <v>4495</v>
      </c>
      <c r="C1640" s="82" t="s">
        <v>1082</v>
      </c>
      <c r="G1640" s="7"/>
      <c r="I1640" s="4" t="s">
        <v>7174</v>
      </c>
    </row>
    <row r="1641" spans="1:9" ht="25.5" x14ac:dyDescent="0.2">
      <c r="A1641" s="1">
        <f t="shared" ca="1" si="64"/>
        <v>1639</v>
      </c>
      <c r="B1641" s="5" t="s">
        <v>4496</v>
      </c>
      <c r="C1641" s="82" t="s">
        <v>1083</v>
      </c>
      <c r="G1641" s="7"/>
      <c r="I1641" s="4" t="s">
        <v>7175</v>
      </c>
    </row>
    <row r="1642" spans="1:9" ht="25.5" x14ac:dyDescent="0.2">
      <c r="A1642" s="1">
        <f t="shared" ca="1" si="64"/>
        <v>1640</v>
      </c>
      <c r="B1642" s="5" t="s">
        <v>4497</v>
      </c>
      <c r="C1642" s="82" t="s">
        <v>1084</v>
      </c>
      <c r="G1642" s="7"/>
      <c r="I1642" s="4" t="s">
        <v>7176</v>
      </c>
    </row>
    <row r="1643" spans="1:9" ht="25.5" x14ac:dyDescent="0.2">
      <c r="A1643" s="1">
        <f t="shared" ca="1" si="64"/>
        <v>1641</v>
      </c>
      <c r="B1643" s="88" t="s">
        <v>3670</v>
      </c>
      <c r="C1643" s="95" t="s">
        <v>3671</v>
      </c>
      <c r="G1643" s="7"/>
      <c r="I1643" s="4" t="s">
        <v>7177</v>
      </c>
    </row>
    <row r="1644" spans="1:9" ht="25.5" x14ac:dyDescent="0.2">
      <c r="A1644" s="1">
        <f t="shared" ca="1" si="64"/>
        <v>1642</v>
      </c>
      <c r="B1644" s="87" t="s">
        <v>3672</v>
      </c>
      <c r="C1644" s="95" t="s">
        <v>4637</v>
      </c>
      <c r="G1644" s="7"/>
      <c r="I1644" s="4" t="s">
        <v>7178</v>
      </c>
    </row>
    <row r="1645" spans="1:9" ht="25.5" x14ac:dyDescent="0.2">
      <c r="A1645" s="1">
        <f t="shared" ca="1" si="64"/>
        <v>1643</v>
      </c>
      <c r="B1645" s="88" t="s">
        <v>4437</v>
      </c>
      <c r="C1645" s="95" t="s">
        <v>227</v>
      </c>
      <c r="G1645" s="7"/>
      <c r="I1645" s="4" t="s">
        <v>7179</v>
      </c>
    </row>
    <row r="1646" spans="1:9" ht="38.25" x14ac:dyDescent="0.2">
      <c r="A1646" s="1">
        <f t="shared" ca="1" si="64"/>
        <v>1644</v>
      </c>
      <c r="B1646" s="88" t="s">
        <v>2880</v>
      </c>
      <c r="C1646" s="95" t="s">
        <v>3705</v>
      </c>
      <c r="G1646" s="7"/>
      <c r="I1646" s="4" t="s">
        <v>7180</v>
      </c>
    </row>
    <row r="1647" spans="1:9" ht="38.25" x14ac:dyDescent="0.2">
      <c r="A1647" s="1">
        <f t="shared" ca="1" si="64"/>
        <v>1645</v>
      </c>
      <c r="B1647" s="88" t="s">
        <v>2881</v>
      </c>
      <c r="C1647" s="95" t="s">
        <v>7563</v>
      </c>
      <c r="G1647" s="7"/>
      <c r="I1647" s="4" t="s">
        <v>7181</v>
      </c>
    </row>
    <row r="1648" spans="1:9" ht="25.5" x14ac:dyDescent="0.2">
      <c r="A1648" s="1">
        <f t="shared" ca="1" si="64"/>
        <v>1646</v>
      </c>
      <c r="B1648" s="88" t="s">
        <v>2801</v>
      </c>
      <c r="C1648" s="95" t="s">
        <v>7562</v>
      </c>
      <c r="G1648" s="7"/>
      <c r="I1648" s="4" t="s">
        <v>7182</v>
      </c>
    </row>
    <row r="1649" spans="1:9" x14ac:dyDescent="0.2">
      <c r="A1649" s="1">
        <f t="shared" ca="1" si="64"/>
        <v>1647</v>
      </c>
      <c r="B1649" s="73" t="s">
        <v>2487</v>
      </c>
      <c r="G1649" s="7"/>
    </row>
    <row r="1650" spans="1:9" x14ac:dyDescent="0.2">
      <c r="A1650" s="1">
        <f t="shared" ca="1" si="64"/>
        <v>1648</v>
      </c>
      <c r="B1650" s="5" t="s">
        <v>7996</v>
      </c>
      <c r="C1650" s="82" t="s">
        <v>7561</v>
      </c>
      <c r="G1650" s="7"/>
      <c r="I1650" s="4" t="s">
        <v>7183</v>
      </c>
    </row>
    <row r="1651" spans="1:9" x14ac:dyDescent="0.2">
      <c r="A1651" s="1">
        <f t="shared" ca="1" si="64"/>
        <v>1649</v>
      </c>
      <c r="B1651" s="5" t="s">
        <v>7080</v>
      </c>
      <c r="C1651" s="82" t="s">
        <v>6543</v>
      </c>
      <c r="G1651" s="7"/>
      <c r="I1651" s="4" t="s">
        <v>7184</v>
      </c>
    </row>
    <row r="1652" spans="1:9" x14ac:dyDescent="0.2">
      <c r="A1652" s="1">
        <f t="shared" ca="1" si="64"/>
        <v>1650</v>
      </c>
      <c r="B1652" s="1" t="s">
        <v>2488</v>
      </c>
      <c r="C1652" s="90" t="s">
        <v>7560</v>
      </c>
      <c r="G1652" s="7"/>
      <c r="I1652" s="4" t="s">
        <v>7185</v>
      </c>
    </row>
    <row r="1653" spans="1:9" ht="38.25" x14ac:dyDescent="0.2">
      <c r="A1653" s="1">
        <f t="shared" ref="A1653:A1722" ca="1" si="65">CELL("row",C1653)-2</f>
        <v>1651</v>
      </c>
      <c r="B1653" s="1" t="s">
        <v>105</v>
      </c>
      <c r="C1653" s="90" t="s">
        <v>7559</v>
      </c>
      <c r="G1653" s="7"/>
      <c r="I1653" s="4" t="s">
        <v>7186</v>
      </c>
    </row>
    <row r="1654" spans="1:9" x14ac:dyDescent="0.2">
      <c r="A1654" s="1">
        <f t="shared" ca="1" si="65"/>
        <v>1652</v>
      </c>
      <c r="B1654" s="1" t="s">
        <v>99</v>
      </c>
      <c r="C1654" s="90" t="s">
        <v>7558</v>
      </c>
      <c r="G1654" s="7"/>
      <c r="I1654" s="4" t="s">
        <v>7187</v>
      </c>
    </row>
    <row r="1655" spans="1:9" x14ac:dyDescent="0.2">
      <c r="A1655" s="1">
        <f t="shared" ca="1" si="65"/>
        <v>1653</v>
      </c>
      <c r="B1655" s="1" t="s">
        <v>100</v>
      </c>
      <c r="C1655" s="90" t="s">
        <v>7557</v>
      </c>
      <c r="G1655" s="7"/>
      <c r="I1655" s="4" t="s">
        <v>7188</v>
      </c>
    </row>
    <row r="1656" spans="1:9" x14ac:dyDescent="0.2">
      <c r="A1656" s="1">
        <f t="shared" ca="1" si="65"/>
        <v>1654</v>
      </c>
      <c r="B1656" s="1" t="s">
        <v>101</v>
      </c>
      <c r="C1656" s="90" t="s">
        <v>7556</v>
      </c>
      <c r="G1656" s="7"/>
      <c r="I1656" s="4" t="s">
        <v>7189</v>
      </c>
    </row>
    <row r="1657" spans="1:9" x14ac:dyDescent="0.2">
      <c r="A1657" s="1">
        <f t="shared" ca="1" si="65"/>
        <v>1655</v>
      </c>
      <c r="B1657" s="1" t="s">
        <v>102</v>
      </c>
      <c r="C1657" s="90" t="s">
        <v>7555</v>
      </c>
      <c r="G1657" s="7"/>
      <c r="I1657" s="4" t="s">
        <v>7190</v>
      </c>
    </row>
    <row r="1658" spans="1:9" ht="25.5" x14ac:dyDescent="0.2">
      <c r="A1658" s="1">
        <f t="shared" ca="1" si="65"/>
        <v>1656</v>
      </c>
      <c r="B1658" s="1" t="s">
        <v>103</v>
      </c>
      <c r="C1658" s="90" t="s">
        <v>7851</v>
      </c>
      <c r="G1658" s="7"/>
      <c r="I1658" s="4" t="s">
        <v>7191</v>
      </c>
    </row>
    <row r="1659" spans="1:9" ht="25.5" x14ac:dyDescent="0.2">
      <c r="A1659" s="1">
        <f t="shared" ca="1" si="65"/>
        <v>1657</v>
      </c>
      <c r="B1659" s="1" t="s">
        <v>8175</v>
      </c>
      <c r="C1659" s="90" t="s">
        <v>5208</v>
      </c>
      <c r="G1659" s="7"/>
      <c r="I1659" s="4" t="s">
        <v>7192</v>
      </c>
    </row>
    <row r="1660" spans="1:9" x14ac:dyDescent="0.2">
      <c r="A1660" s="1">
        <f t="shared" ca="1" si="65"/>
        <v>1658</v>
      </c>
      <c r="B1660" s="1" t="s">
        <v>3601</v>
      </c>
      <c r="C1660" s="90" t="s">
        <v>5207</v>
      </c>
      <c r="G1660" s="7"/>
      <c r="I1660" s="4" t="s">
        <v>7193</v>
      </c>
    </row>
    <row r="1661" spans="1:9" ht="25.5" x14ac:dyDescent="0.2">
      <c r="A1661" s="1">
        <f t="shared" ca="1" si="65"/>
        <v>1659</v>
      </c>
      <c r="B1661" s="1" t="s">
        <v>4233</v>
      </c>
      <c r="C1661" s="90" t="s">
        <v>5206</v>
      </c>
      <c r="G1661" s="7"/>
      <c r="I1661" s="4" t="s">
        <v>7194</v>
      </c>
    </row>
    <row r="1662" spans="1:9" ht="63.75" x14ac:dyDescent="0.2">
      <c r="A1662" s="1">
        <f t="shared" ca="1" si="65"/>
        <v>1660</v>
      </c>
      <c r="B1662" s="1" t="s">
        <v>4234</v>
      </c>
      <c r="C1662" s="91" t="s">
        <v>5205</v>
      </c>
      <c r="G1662" s="7"/>
      <c r="I1662" s="4" t="s">
        <v>7195</v>
      </c>
    </row>
    <row r="1663" spans="1:9" ht="38.25" x14ac:dyDescent="0.2">
      <c r="A1663" s="1">
        <f t="shared" ca="1" si="65"/>
        <v>1661</v>
      </c>
      <c r="B1663" s="1" t="s">
        <v>3960</v>
      </c>
      <c r="C1663" s="90" t="s">
        <v>2461</v>
      </c>
      <c r="G1663" s="7"/>
      <c r="I1663" s="4" t="s">
        <v>7196</v>
      </c>
    </row>
    <row r="1664" spans="1:9" ht="25.5" x14ac:dyDescent="0.2">
      <c r="A1664" s="1">
        <f t="shared" ca="1" si="65"/>
        <v>1662</v>
      </c>
      <c r="B1664" s="1" t="s">
        <v>3961</v>
      </c>
      <c r="C1664" s="90" t="s">
        <v>2460</v>
      </c>
      <c r="G1664" s="7"/>
      <c r="I1664" s="4" t="s">
        <v>5036</v>
      </c>
    </row>
    <row r="1665" spans="1:9" x14ac:dyDescent="0.2">
      <c r="A1665" s="1">
        <f t="shared" ca="1" si="65"/>
        <v>1663</v>
      </c>
      <c r="B1665" s="1" t="s">
        <v>3962</v>
      </c>
      <c r="C1665" s="90" t="s">
        <v>2459</v>
      </c>
      <c r="G1665" s="7"/>
      <c r="I1665" s="4" t="s">
        <v>5037</v>
      </c>
    </row>
    <row r="1666" spans="1:9" x14ac:dyDescent="0.2">
      <c r="A1666" s="1">
        <f t="shared" ca="1" si="65"/>
        <v>1664</v>
      </c>
      <c r="B1666" s="1" t="s">
        <v>3963</v>
      </c>
      <c r="C1666" s="90" t="s">
        <v>2458</v>
      </c>
      <c r="G1666" s="7"/>
      <c r="I1666" s="4" t="s">
        <v>5022</v>
      </c>
    </row>
    <row r="1667" spans="1:9" ht="25.5" x14ac:dyDescent="0.2">
      <c r="A1667" s="1">
        <f t="shared" ca="1" si="65"/>
        <v>1665</v>
      </c>
      <c r="B1667" s="1" t="s">
        <v>3964</v>
      </c>
      <c r="C1667" s="90" t="s">
        <v>2457</v>
      </c>
      <c r="G1667" s="7"/>
      <c r="I1667" s="4" t="s">
        <v>5038</v>
      </c>
    </row>
    <row r="1668" spans="1:9" x14ac:dyDescent="0.2">
      <c r="A1668" s="1">
        <f t="shared" ca="1" si="65"/>
        <v>1666</v>
      </c>
      <c r="B1668" s="1" t="s">
        <v>5418</v>
      </c>
      <c r="C1668" s="90" t="s">
        <v>2456</v>
      </c>
      <c r="G1668" s="7"/>
      <c r="I1668" s="4" t="s">
        <v>5024</v>
      </c>
    </row>
    <row r="1669" spans="1:9" x14ac:dyDescent="0.2">
      <c r="A1669" s="1">
        <f t="shared" ca="1" si="65"/>
        <v>1667</v>
      </c>
      <c r="B1669" s="1" t="s">
        <v>5419</v>
      </c>
      <c r="C1669" s="90" t="s">
        <v>2455</v>
      </c>
      <c r="G1669" s="7"/>
      <c r="I1669" s="4" t="s">
        <v>5025</v>
      </c>
    </row>
    <row r="1670" spans="1:9" x14ac:dyDescent="0.2">
      <c r="A1670" s="1">
        <f t="shared" ca="1" si="65"/>
        <v>1668</v>
      </c>
      <c r="B1670" s="1" t="s">
        <v>5420</v>
      </c>
      <c r="C1670" s="90" t="s">
        <v>2454</v>
      </c>
      <c r="G1670" s="7"/>
      <c r="I1670" s="4" t="s">
        <v>5026</v>
      </c>
    </row>
    <row r="1671" spans="1:9" x14ac:dyDescent="0.2">
      <c r="A1671" s="1">
        <f t="shared" ca="1" si="65"/>
        <v>1669</v>
      </c>
      <c r="B1671" s="1" t="s">
        <v>5421</v>
      </c>
      <c r="C1671" s="90" t="s">
        <v>2453</v>
      </c>
      <c r="G1671" s="7"/>
      <c r="I1671" s="4" t="s">
        <v>5039</v>
      </c>
    </row>
    <row r="1672" spans="1:9" x14ac:dyDescent="0.2">
      <c r="A1672" s="1">
        <f t="shared" ca="1" si="65"/>
        <v>1670</v>
      </c>
      <c r="B1672" s="1" t="s">
        <v>5422</v>
      </c>
      <c r="C1672" s="90" t="s">
        <v>1946</v>
      </c>
      <c r="G1672" s="7"/>
      <c r="I1672" s="4" t="s">
        <v>5040</v>
      </c>
    </row>
    <row r="1673" spans="1:9" ht="25.5" x14ac:dyDescent="0.2">
      <c r="A1673" s="1">
        <f t="shared" ca="1" si="65"/>
        <v>1671</v>
      </c>
      <c r="B1673" s="1" t="s">
        <v>5423</v>
      </c>
      <c r="C1673" s="90" t="s">
        <v>2452</v>
      </c>
      <c r="G1673" s="7"/>
      <c r="I1673" s="4" t="s">
        <v>5041</v>
      </c>
    </row>
    <row r="1674" spans="1:9" ht="25.5" x14ac:dyDescent="0.2">
      <c r="A1674" s="1">
        <f t="shared" ca="1" si="65"/>
        <v>1672</v>
      </c>
      <c r="B1674" s="1" t="s">
        <v>5424</v>
      </c>
      <c r="C1674" s="90" t="s">
        <v>2451</v>
      </c>
      <c r="G1674" s="7"/>
      <c r="I1674" s="4" t="s">
        <v>5042</v>
      </c>
    </row>
    <row r="1675" spans="1:9" ht="25.5" x14ac:dyDescent="0.2">
      <c r="A1675" s="1">
        <f t="shared" ca="1" si="65"/>
        <v>1673</v>
      </c>
      <c r="B1675" s="1" t="s">
        <v>3191</v>
      </c>
      <c r="C1675" s="90" t="s">
        <v>2450</v>
      </c>
      <c r="G1675" s="7"/>
      <c r="I1675" s="4" t="s">
        <v>5043</v>
      </c>
    </row>
    <row r="1676" spans="1:9" ht="38.25" x14ac:dyDescent="0.2">
      <c r="A1676" s="1">
        <f t="shared" ca="1" si="65"/>
        <v>1674</v>
      </c>
      <c r="B1676" s="1" t="s">
        <v>3192</v>
      </c>
      <c r="C1676" s="90" t="s">
        <v>2449</v>
      </c>
      <c r="G1676" s="7"/>
      <c r="I1676" s="4" t="s">
        <v>5044</v>
      </c>
    </row>
    <row r="1677" spans="1:9" ht="25.5" x14ac:dyDescent="0.2">
      <c r="A1677" s="1">
        <f t="shared" ca="1" si="65"/>
        <v>1675</v>
      </c>
      <c r="B1677" s="1" t="s">
        <v>3193</v>
      </c>
      <c r="C1677" s="90" t="s">
        <v>2448</v>
      </c>
      <c r="G1677" s="7"/>
      <c r="I1677" s="4" t="s">
        <v>5045</v>
      </c>
    </row>
    <row r="1678" spans="1:9" ht="38.25" x14ac:dyDescent="0.2">
      <c r="A1678" s="1">
        <f t="shared" ca="1" si="65"/>
        <v>1676</v>
      </c>
      <c r="B1678" s="1" t="s">
        <v>1594</v>
      </c>
      <c r="C1678" s="90" t="s">
        <v>2447</v>
      </c>
      <c r="G1678" s="7"/>
      <c r="I1678" s="4" t="s">
        <v>3786</v>
      </c>
    </row>
    <row r="1679" spans="1:9" ht="38.25" x14ac:dyDescent="0.2">
      <c r="A1679" s="1">
        <f t="shared" ca="1" si="65"/>
        <v>1677</v>
      </c>
      <c r="B1679" s="1" t="s">
        <v>3196</v>
      </c>
      <c r="C1679" s="90" t="s">
        <v>2446</v>
      </c>
      <c r="G1679" s="7"/>
      <c r="I1679" s="4" t="s">
        <v>3787</v>
      </c>
    </row>
    <row r="1680" spans="1:9" ht="38.25" x14ac:dyDescent="0.2">
      <c r="A1680" s="1">
        <f t="shared" ca="1" si="65"/>
        <v>1678</v>
      </c>
      <c r="B1680" s="1" t="s">
        <v>3197</v>
      </c>
      <c r="C1680" s="90" t="s">
        <v>2445</v>
      </c>
      <c r="G1680" s="7"/>
      <c r="I1680" s="4" t="s">
        <v>3788</v>
      </c>
    </row>
    <row r="1681" spans="1:9" ht="25.5" x14ac:dyDescent="0.2">
      <c r="A1681" s="1">
        <f t="shared" ca="1" si="65"/>
        <v>1679</v>
      </c>
      <c r="B1681" s="1" t="s">
        <v>1801</v>
      </c>
      <c r="C1681" s="90" t="s">
        <v>2444</v>
      </c>
      <c r="G1681" s="7"/>
      <c r="I1681" s="4" t="s">
        <v>3789</v>
      </c>
    </row>
    <row r="1682" spans="1:9" ht="25.5" x14ac:dyDescent="0.2">
      <c r="A1682" s="1">
        <f t="shared" ca="1" si="65"/>
        <v>1680</v>
      </c>
      <c r="B1682" s="1" t="s">
        <v>5614</v>
      </c>
      <c r="C1682" s="90" t="s">
        <v>4594</v>
      </c>
      <c r="G1682" s="7"/>
      <c r="I1682" s="4" t="s">
        <v>3790</v>
      </c>
    </row>
    <row r="1683" spans="1:9" ht="25.5" x14ac:dyDescent="0.2">
      <c r="A1683" s="1">
        <f t="shared" ca="1" si="65"/>
        <v>1681</v>
      </c>
      <c r="B1683" s="1" t="s">
        <v>5615</v>
      </c>
      <c r="C1683" s="90" t="s">
        <v>2443</v>
      </c>
      <c r="G1683" s="7"/>
      <c r="I1683" s="4" t="s">
        <v>3791</v>
      </c>
    </row>
    <row r="1684" spans="1:9" ht="25.5" x14ac:dyDescent="0.2">
      <c r="A1684" s="1">
        <f t="shared" ca="1" si="65"/>
        <v>1682</v>
      </c>
      <c r="B1684" s="1" t="s">
        <v>4646</v>
      </c>
      <c r="C1684" s="90" t="s">
        <v>4602</v>
      </c>
      <c r="G1684" s="7"/>
      <c r="I1684" s="4" t="s">
        <v>1596</v>
      </c>
    </row>
    <row r="1685" spans="1:9" ht="25.5" x14ac:dyDescent="0.2">
      <c r="A1685" s="1">
        <f t="shared" ca="1" si="65"/>
        <v>1683</v>
      </c>
      <c r="B1685" s="1" t="s">
        <v>4647</v>
      </c>
      <c r="C1685" s="90" t="s">
        <v>2442</v>
      </c>
      <c r="G1685" s="7"/>
      <c r="I1685" s="4" t="s">
        <v>5045</v>
      </c>
    </row>
    <row r="1686" spans="1:9" ht="25.5" x14ac:dyDescent="0.2">
      <c r="A1686" s="1">
        <f t="shared" ca="1" si="65"/>
        <v>1684</v>
      </c>
      <c r="B1686" s="1" t="s">
        <v>4648</v>
      </c>
      <c r="C1686" s="90" t="s">
        <v>4601</v>
      </c>
      <c r="G1686" s="7"/>
      <c r="I1686" s="4" t="s">
        <v>1597</v>
      </c>
    </row>
    <row r="1687" spans="1:9" x14ac:dyDescent="0.2">
      <c r="A1687" s="1">
        <f t="shared" ca="1" si="65"/>
        <v>1685</v>
      </c>
      <c r="B1687" s="1" t="s">
        <v>4649</v>
      </c>
      <c r="C1687" s="90" t="s">
        <v>4600</v>
      </c>
      <c r="G1687" s="7"/>
      <c r="I1687" s="4" t="s">
        <v>1598</v>
      </c>
    </row>
    <row r="1688" spans="1:9" x14ac:dyDescent="0.2">
      <c r="A1688" s="1">
        <f t="shared" ca="1" si="65"/>
        <v>1686</v>
      </c>
      <c r="B1688" s="1" t="s">
        <v>4650</v>
      </c>
      <c r="C1688" s="90" t="s">
        <v>4651</v>
      </c>
      <c r="G1688" s="7"/>
      <c r="I1688" s="4" t="s">
        <v>1599</v>
      </c>
    </row>
    <row r="1689" spans="1:9" x14ac:dyDescent="0.2">
      <c r="A1689" s="1">
        <f t="shared" ca="1" si="65"/>
        <v>1687</v>
      </c>
      <c r="B1689" s="1" t="s">
        <v>4652</v>
      </c>
      <c r="C1689" s="90" t="s">
        <v>4599</v>
      </c>
      <c r="G1689" s="7"/>
      <c r="I1689" s="4" t="s">
        <v>1600</v>
      </c>
    </row>
    <row r="1690" spans="1:9" x14ac:dyDescent="0.2">
      <c r="A1690" s="1">
        <f t="shared" ca="1" si="65"/>
        <v>1688</v>
      </c>
      <c r="B1690" s="1" t="s">
        <v>4727</v>
      </c>
      <c r="C1690" s="90" t="s">
        <v>4598</v>
      </c>
      <c r="G1690" s="7"/>
      <c r="I1690" s="4" t="s">
        <v>1601</v>
      </c>
    </row>
    <row r="1691" spans="1:9" x14ac:dyDescent="0.2">
      <c r="A1691" s="1">
        <f t="shared" ca="1" si="65"/>
        <v>1689</v>
      </c>
      <c r="B1691" s="1" t="s">
        <v>4728</v>
      </c>
      <c r="C1691" s="90" t="s">
        <v>6542</v>
      </c>
      <c r="G1691" s="7"/>
      <c r="I1691" s="4" t="s">
        <v>1602</v>
      </c>
    </row>
    <row r="1692" spans="1:9" x14ac:dyDescent="0.2">
      <c r="A1692" s="1">
        <f t="shared" ca="1" si="65"/>
        <v>1690</v>
      </c>
      <c r="B1692" s="1" t="s">
        <v>4729</v>
      </c>
      <c r="C1692" s="90" t="s">
        <v>8121</v>
      </c>
      <c r="G1692" s="7"/>
      <c r="I1692" s="4" t="s">
        <v>1603</v>
      </c>
    </row>
    <row r="1693" spans="1:9" x14ac:dyDescent="0.2">
      <c r="A1693" s="1">
        <f t="shared" ca="1" si="65"/>
        <v>1691</v>
      </c>
      <c r="B1693" s="1" t="s">
        <v>4730</v>
      </c>
      <c r="C1693" s="90" t="s">
        <v>6349</v>
      </c>
      <c r="G1693" s="7"/>
      <c r="I1693" s="4" t="s">
        <v>1604</v>
      </c>
    </row>
    <row r="1694" spans="1:9" x14ac:dyDescent="0.2">
      <c r="A1694" s="1">
        <f t="shared" ca="1" si="65"/>
        <v>1692</v>
      </c>
      <c r="B1694" s="1" t="s">
        <v>4731</v>
      </c>
      <c r="C1694" s="90" t="s">
        <v>4597</v>
      </c>
      <c r="G1694" s="7"/>
      <c r="I1694" s="4" t="s">
        <v>1605</v>
      </c>
    </row>
    <row r="1695" spans="1:9" x14ac:dyDescent="0.2">
      <c r="A1695" s="1">
        <f t="shared" ca="1" si="65"/>
        <v>1693</v>
      </c>
      <c r="B1695" s="1" t="s">
        <v>4732</v>
      </c>
      <c r="C1695" s="90" t="s">
        <v>4596</v>
      </c>
      <c r="G1695" s="7"/>
      <c r="I1695" s="4" t="s">
        <v>1606</v>
      </c>
    </row>
    <row r="1696" spans="1:9" x14ac:dyDescent="0.2">
      <c r="A1696" s="1">
        <f t="shared" ca="1" si="65"/>
        <v>1694</v>
      </c>
      <c r="B1696" s="1" t="s">
        <v>4733</v>
      </c>
      <c r="C1696" s="90" t="s">
        <v>4595</v>
      </c>
      <c r="G1696" s="7"/>
      <c r="I1696" s="4" t="s">
        <v>1607</v>
      </c>
    </row>
    <row r="1697" spans="1:9" x14ac:dyDescent="0.2">
      <c r="A1697" s="1">
        <f t="shared" ca="1" si="65"/>
        <v>1695</v>
      </c>
      <c r="B1697" s="1" t="s">
        <v>5614</v>
      </c>
      <c r="C1697" s="90" t="s">
        <v>4594</v>
      </c>
      <c r="G1697" s="7"/>
      <c r="I1697" s="4" t="s">
        <v>1608</v>
      </c>
    </row>
    <row r="1698" spans="1:9" x14ac:dyDescent="0.2">
      <c r="A1698" s="1">
        <f t="shared" ca="1" si="65"/>
        <v>1696</v>
      </c>
      <c r="B1698" s="1" t="s">
        <v>4734</v>
      </c>
      <c r="C1698" s="90" t="s">
        <v>4593</v>
      </c>
      <c r="G1698" s="7"/>
      <c r="I1698" s="4" t="s">
        <v>1609</v>
      </c>
    </row>
    <row r="1699" spans="1:9" x14ac:dyDescent="0.2">
      <c r="A1699" s="1">
        <f t="shared" ca="1" si="65"/>
        <v>1697</v>
      </c>
      <c r="B1699" s="1" t="s">
        <v>8920</v>
      </c>
      <c r="C1699" s="90" t="s">
        <v>4593</v>
      </c>
      <c r="G1699" s="7"/>
      <c r="I1699" s="4" t="s">
        <v>1609</v>
      </c>
    </row>
    <row r="1700" spans="1:9" x14ac:dyDescent="0.2">
      <c r="A1700" s="1">
        <f t="shared" ca="1" si="65"/>
        <v>1698</v>
      </c>
      <c r="B1700" s="1" t="s">
        <v>4735</v>
      </c>
      <c r="C1700" s="90" t="s">
        <v>1792</v>
      </c>
      <c r="G1700" s="7"/>
      <c r="I1700" s="4" t="s">
        <v>1610</v>
      </c>
    </row>
    <row r="1701" spans="1:9" x14ac:dyDescent="0.2">
      <c r="A1701" s="1">
        <f t="shared" ca="1" si="65"/>
        <v>1699</v>
      </c>
      <c r="B1701" s="1" t="s">
        <v>3498</v>
      </c>
      <c r="C1701" s="90" t="s">
        <v>4592</v>
      </c>
      <c r="G1701" s="7"/>
      <c r="I1701" s="4" t="s">
        <v>1611</v>
      </c>
    </row>
    <row r="1702" spans="1:9" x14ac:dyDescent="0.2">
      <c r="A1702" s="1">
        <f t="shared" ca="1" si="65"/>
        <v>1700</v>
      </c>
      <c r="B1702" s="1" t="s">
        <v>3499</v>
      </c>
      <c r="C1702" s="90" t="s">
        <v>4591</v>
      </c>
      <c r="G1702" s="7"/>
      <c r="I1702" s="4" t="s">
        <v>1612</v>
      </c>
    </row>
    <row r="1703" spans="1:9" x14ac:dyDescent="0.2">
      <c r="A1703" s="1">
        <f t="shared" ca="1" si="65"/>
        <v>1701</v>
      </c>
      <c r="B1703" s="73" t="s">
        <v>8023</v>
      </c>
      <c r="G1703" s="7"/>
    </row>
    <row r="1704" spans="1:9" x14ac:dyDescent="0.2">
      <c r="A1704" s="1">
        <f t="shared" ca="1" si="65"/>
        <v>1702</v>
      </c>
      <c r="B1704" s="1" t="s">
        <v>8024</v>
      </c>
      <c r="C1704" s="90" t="s">
        <v>6978</v>
      </c>
      <c r="G1704" s="7"/>
      <c r="I1704" s="4" t="s">
        <v>1613</v>
      </c>
    </row>
    <row r="1705" spans="1:9" x14ac:dyDescent="0.2">
      <c r="A1705" s="1">
        <f t="shared" ca="1" si="65"/>
        <v>1703</v>
      </c>
      <c r="B1705" s="1" t="s">
        <v>8025</v>
      </c>
      <c r="C1705" s="90" t="s">
        <v>6977</v>
      </c>
      <c r="G1705" s="7"/>
      <c r="I1705" s="4" t="s">
        <v>1614</v>
      </c>
    </row>
    <row r="1706" spans="1:9" x14ac:dyDescent="0.2">
      <c r="A1706" s="1">
        <f ca="1">CELL("row",C1706)-2</f>
        <v>1704</v>
      </c>
      <c r="B1706" s="1" t="s">
        <v>8375</v>
      </c>
      <c r="C1706" s="90" t="s">
        <v>8376</v>
      </c>
      <c r="G1706" s="7"/>
      <c r="I1706" s="4" t="s">
        <v>1615</v>
      </c>
    </row>
    <row r="1707" spans="1:9" x14ac:dyDescent="0.2">
      <c r="A1707" s="1">
        <f ca="1">CELL("row",C1707)-2</f>
        <v>1705</v>
      </c>
      <c r="B1707" s="1" t="s">
        <v>869</v>
      </c>
      <c r="C1707" s="90" t="s">
        <v>870</v>
      </c>
      <c r="G1707" s="7"/>
    </row>
    <row r="1708" spans="1:9" x14ac:dyDescent="0.2">
      <c r="A1708" s="1">
        <f t="shared" ca="1" si="65"/>
        <v>1706</v>
      </c>
      <c r="B1708" s="73" t="s">
        <v>3500</v>
      </c>
      <c r="C1708" s="82"/>
      <c r="G1708" s="7"/>
    </row>
    <row r="1709" spans="1:9" x14ac:dyDescent="0.2">
      <c r="A1709" s="1">
        <f ca="1">CELL("row",C1709)-2</f>
        <v>1707</v>
      </c>
      <c r="B1709" s="1" t="s">
        <v>8409</v>
      </c>
      <c r="C1709" s="90" t="s">
        <v>8410</v>
      </c>
      <c r="G1709" s="7"/>
      <c r="I1709" s="4" t="s">
        <v>1616</v>
      </c>
    </row>
    <row r="1710" spans="1:9" x14ac:dyDescent="0.2">
      <c r="A1710" s="1">
        <f t="shared" ca="1" si="65"/>
        <v>1708</v>
      </c>
      <c r="B1710" s="1" t="s">
        <v>3501</v>
      </c>
      <c r="C1710" s="90" t="s">
        <v>6976</v>
      </c>
      <c r="G1710" s="7"/>
      <c r="I1710" s="4" t="s">
        <v>1617</v>
      </c>
    </row>
    <row r="1711" spans="1:9" ht="25.5" x14ac:dyDescent="0.2">
      <c r="A1711" s="1">
        <f t="shared" ca="1" si="65"/>
        <v>1709</v>
      </c>
      <c r="B1711" s="1" t="s">
        <v>7854</v>
      </c>
      <c r="C1711" s="90" t="s">
        <v>6975</v>
      </c>
      <c r="G1711" s="7"/>
      <c r="I1711" s="4" t="s">
        <v>1618</v>
      </c>
    </row>
    <row r="1712" spans="1:9" ht="51" x14ac:dyDescent="0.2">
      <c r="A1712" s="1">
        <f t="shared" ca="1" si="65"/>
        <v>1710</v>
      </c>
      <c r="B1712" s="81" t="s">
        <v>6203</v>
      </c>
      <c r="C1712" s="90" t="s">
        <v>1793</v>
      </c>
      <c r="G1712" s="7"/>
      <c r="I1712" s="4" t="s">
        <v>1619</v>
      </c>
    </row>
    <row r="1713" spans="1:9" x14ac:dyDescent="0.2">
      <c r="A1713" s="1">
        <f t="shared" ca="1" si="65"/>
        <v>1711</v>
      </c>
      <c r="B1713" s="1" t="s">
        <v>6204</v>
      </c>
      <c r="C1713" s="90" t="s">
        <v>6974</v>
      </c>
      <c r="G1713" s="7"/>
      <c r="I1713" s="4" t="s">
        <v>1620</v>
      </c>
    </row>
    <row r="1714" spans="1:9" x14ac:dyDescent="0.2">
      <c r="A1714" s="1">
        <f t="shared" ca="1" si="65"/>
        <v>1712</v>
      </c>
      <c r="B1714" s="1" t="s">
        <v>6205</v>
      </c>
      <c r="C1714" s="90" t="s">
        <v>6973</v>
      </c>
      <c r="G1714" s="7"/>
      <c r="I1714" s="4" t="s">
        <v>1621</v>
      </c>
    </row>
    <row r="1715" spans="1:9" x14ac:dyDescent="0.2">
      <c r="A1715" s="1">
        <f t="shared" ref="A1715" ca="1" si="66">CELL("row",C1715)-2</f>
        <v>1713</v>
      </c>
      <c r="B1715" s="1" t="s">
        <v>8980</v>
      </c>
      <c r="C1715" s="146" t="s">
        <v>8981</v>
      </c>
      <c r="G1715" s="7"/>
      <c r="I1715" s="4" t="s">
        <v>8982</v>
      </c>
    </row>
    <row r="1716" spans="1:9" x14ac:dyDescent="0.2">
      <c r="A1716" s="1">
        <f t="shared" ca="1" si="65"/>
        <v>1714</v>
      </c>
      <c r="B1716" s="1" t="s">
        <v>6206</v>
      </c>
      <c r="C1716" s="90" t="s">
        <v>6972</v>
      </c>
      <c r="G1716" s="7"/>
      <c r="I1716" s="4" t="s">
        <v>1622</v>
      </c>
    </row>
    <row r="1717" spans="1:9" x14ac:dyDescent="0.2">
      <c r="A1717" s="1">
        <f t="shared" ca="1" si="65"/>
        <v>1715</v>
      </c>
      <c r="B1717" s="1" t="s">
        <v>8317</v>
      </c>
      <c r="C1717" s="90" t="s">
        <v>6971</v>
      </c>
      <c r="G1717" s="7"/>
      <c r="I1717" s="4" t="s">
        <v>1623</v>
      </c>
    </row>
    <row r="1718" spans="1:9" x14ac:dyDescent="0.2">
      <c r="A1718" s="1">
        <f t="shared" ca="1" si="65"/>
        <v>1716</v>
      </c>
      <c r="B1718" s="1" t="s">
        <v>9033</v>
      </c>
      <c r="C1718" s="146" t="s">
        <v>9034</v>
      </c>
      <c r="G1718" s="7"/>
    </row>
    <row r="1719" spans="1:9" x14ac:dyDescent="0.2">
      <c r="A1719" s="1">
        <f t="shared" ca="1" si="65"/>
        <v>1717</v>
      </c>
      <c r="B1719" s="1" t="s">
        <v>8318</v>
      </c>
      <c r="C1719" s="82" t="s">
        <v>6970</v>
      </c>
      <c r="G1719" s="7"/>
      <c r="I1719" s="4" t="s">
        <v>1624</v>
      </c>
    </row>
    <row r="1720" spans="1:9" x14ac:dyDescent="0.2">
      <c r="A1720" s="1">
        <f t="shared" ca="1" si="65"/>
        <v>1718</v>
      </c>
      <c r="B1720" s="1" t="s">
        <v>8319</v>
      </c>
      <c r="C1720" s="82" t="s">
        <v>6969</v>
      </c>
      <c r="G1720" s="7"/>
      <c r="I1720" s="4" t="s">
        <v>1625</v>
      </c>
    </row>
    <row r="1721" spans="1:9" x14ac:dyDescent="0.2">
      <c r="A1721" s="1">
        <f t="shared" ca="1" si="65"/>
        <v>1719</v>
      </c>
      <c r="B1721" s="1" t="s">
        <v>8320</v>
      </c>
      <c r="C1721" s="90" t="s">
        <v>6490</v>
      </c>
      <c r="G1721" s="7"/>
      <c r="I1721" s="4" t="s">
        <v>1626</v>
      </c>
    </row>
    <row r="1722" spans="1:9" x14ac:dyDescent="0.2">
      <c r="A1722" s="1">
        <f t="shared" ca="1" si="65"/>
        <v>1720</v>
      </c>
      <c r="B1722" s="1" t="s">
        <v>3887</v>
      </c>
      <c r="C1722" s="90" t="s">
        <v>6489</v>
      </c>
      <c r="G1722" s="7"/>
      <c r="I1722" s="4" t="s">
        <v>1627</v>
      </c>
    </row>
    <row r="1723" spans="1:9" x14ac:dyDescent="0.2">
      <c r="A1723" s="1">
        <f t="shared" ref="A1723:A1787" ca="1" si="67">CELL("row",C1723)-2</f>
        <v>1721</v>
      </c>
      <c r="B1723" s="1" t="s">
        <v>3888</v>
      </c>
      <c r="C1723" s="90" t="s">
        <v>6488</v>
      </c>
      <c r="G1723" s="7"/>
      <c r="I1723" s="4" t="s">
        <v>1628</v>
      </c>
    </row>
    <row r="1724" spans="1:9" x14ac:dyDescent="0.2">
      <c r="A1724" s="1">
        <f t="shared" ca="1" si="67"/>
        <v>1722</v>
      </c>
      <c r="B1724" s="1" t="s">
        <v>3875</v>
      </c>
      <c r="C1724" s="90" t="s">
        <v>6487</v>
      </c>
      <c r="G1724" s="7"/>
      <c r="I1724" s="4" t="s">
        <v>1629</v>
      </c>
    </row>
    <row r="1725" spans="1:9" x14ac:dyDescent="0.2">
      <c r="A1725" s="1">
        <f t="shared" ca="1" si="67"/>
        <v>1723</v>
      </c>
      <c r="B1725" s="1" t="s">
        <v>1313</v>
      </c>
      <c r="C1725" s="90" t="s">
        <v>6486</v>
      </c>
      <c r="G1725" s="7"/>
      <c r="I1725" s="4" t="s">
        <v>1630</v>
      </c>
    </row>
    <row r="1726" spans="1:9" x14ac:dyDescent="0.2">
      <c r="A1726" s="1">
        <f t="shared" ca="1" si="67"/>
        <v>1724</v>
      </c>
      <c r="B1726" s="1" t="s">
        <v>3876</v>
      </c>
      <c r="C1726" s="90" t="s">
        <v>6485</v>
      </c>
      <c r="G1726" s="7"/>
      <c r="I1726" s="4" t="s">
        <v>1631</v>
      </c>
    </row>
    <row r="1727" spans="1:9" ht="25.5" x14ac:dyDescent="0.2">
      <c r="A1727" s="1">
        <f t="shared" ref="A1727" ca="1" si="68">CELL("row",C1727)-2</f>
        <v>1725</v>
      </c>
      <c r="B1727" s="1" t="s">
        <v>8991</v>
      </c>
      <c r="C1727" s="90" t="s">
        <v>3154</v>
      </c>
      <c r="G1727" s="7"/>
      <c r="I1727" s="4" t="s">
        <v>1632</v>
      </c>
    </row>
    <row r="1728" spans="1:9" ht="25.5" x14ac:dyDescent="0.2">
      <c r="A1728" s="1">
        <f t="shared" ca="1" si="67"/>
        <v>1726</v>
      </c>
      <c r="B1728" s="1" t="s">
        <v>5169</v>
      </c>
      <c r="C1728" s="90" t="s">
        <v>3154</v>
      </c>
      <c r="G1728" s="7"/>
      <c r="I1728" s="4" t="s">
        <v>1632</v>
      </c>
    </row>
    <row r="1729" spans="1:9" x14ac:dyDescent="0.2">
      <c r="A1729" s="1">
        <f t="shared" ca="1" si="67"/>
        <v>1727</v>
      </c>
      <c r="B1729" s="1" t="s">
        <v>5170</v>
      </c>
      <c r="C1729" s="90" t="s">
        <v>6484</v>
      </c>
      <c r="G1729" s="7"/>
      <c r="I1729" s="4" t="s">
        <v>1633</v>
      </c>
    </row>
    <row r="1730" spans="1:9" x14ac:dyDescent="0.2">
      <c r="A1730" s="1">
        <f t="shared" ca="1" si="67"/>
        <v>1728</v>
      </c>
      <c r="B1730" s="1" t="s">
        <v>7803</v>
      </c>
      <c r="C1730" s="82" t="s">
        <v>6483</v>
      </c>
      <c r="G1730" s="7"/>
      <c r="I1730" s="4" t="s">
        <v>1634</v>
      </c>
    </row>
    <row r="1731" spans="1:9" x14ac:dyDescent="0.2">
      <c r="A1731" s="1">
        <f t="shared" ca="1" si="67"/>
        <v>1729</v>
      </c>
      <c r="B1731" s="1" t="s">
        <v>5425</v>
      </c>
      <c r="C1731" s="82" t="s">
        <v>6482</v>
      </c>
      <c r="G1731" s="7"/>
      <c r="I1731" s="4" t="s">
        <v>1635</v>
      </c>
    </row>
    <row r="1732" spans="1:9" x14ac:dyDescent="0.2">
      <c r="A1732" s="1">
        <f t="shared" ca="1" si="67"/>
        <v>1730</v>
      </c>
      <c r="B1732" s="1" t="s">
        <v>5426</v>
      </c>
      <c r="C1732" s="90" t="s">
        <v>6481</v>
      </c>
      <c r="G1732" s="7"/>
      <c r="I1732" s="4" t="s">
        <v>1636</v>
      </c>
    </row>
    <row r="1733" spans="1:9" ht="25.5" x14ac:dyDescent="0.2">
      <c r="A1733" s="1">
        <f t="shared" ca="1" si="67"/>
        <v>1731</v>
      </c>
      <c r="B1733" s="1" t="s">
        <v>228</v>
      </c>
      <c r="C1733" s="90" t="s">
        <v>6480</v>
      </c>
      <c r="G1733" s="7"/>
      <c r="I1733" s="4" t="s">
        <v>1637</v>
      </c>
    </row>
    <row r="1734" spans="1:9" ht="25.5" x14ac:dyDescent="0.2">
      <c r="A1734" s="1">
        <f t="shared" ca="1" si="67"/>
        <v>1732</v>
      </c>
      <c r="B1734" s="1" t="s">
        <v>229</v>
      </c>
      <c r="C1734" s="90" t="s">
        <v>6479</v>
      </c>
      <c r="G1734" s="7"/>
      <c r="I1734" s="4" t="s">
        <v>1638</v>
      </c>
    </row>
    <row r="1735" spans="1:9" x14ac:dyDescent="0.2">
      <c r="A1735" s="1">
        <f t="shared" ca="1" si="67"/>
        <v>1733</v>
      </c>
      <c r="B1735" s="1" t="s">
        <v>230</v>
      </c>
      <c r="C1735" s="90" t="s">
        <v>6478</v>
      </c>
      <c r="G1735" s="7"/>
      <c r="I1735" s="4" t="s">
        <v>1639</v>
      </c>
    </row>
    <row r="1736" spans="1:9" x14ac:dyDescent="0.2">
      <c r="A1736" s="1">
        <f t="shared" ca="1" si="67"/>
        <v>1734</v>
      </c>
      <c r="B1736" s="1" t="s">
        <v>5885</v>
      </c>
      <c r="C1736" s="90" t="s">
        <v>7110</v>
      </c>
      <c r="G1736" s="7"/>
      <c r="I1736" s="4" t="s">
        <v>1640</v>
      </c>
    </row>
    <row r="1737" spans="1:9" x14ac:dyDescent="0.2">
      <c r="A1737" s="1">
        <f t="shared" ca="1" si="67"/>
        <v>1735</v>
      </c>
      <c r="B1737" s="1" t="s">
        <v>5886</v>
      </c>
      <c r="C1737" s="90" t="s">
        <v>6477</v>
      </c>
      <c r="G1737" s="7"/>
      <c r="I1737" s="4" t="s">
        <v>1641</v>
      </c>
    </row>
    <row r="1738" spans="1:9" x14ac:dyDescent="0.2">
      <c r="A1738" s="1">
        <f t="shared" ca="1" si="67"/>
        <v>1736</v>
      </c>
      <c r="B1738" s="1" t="s">
        <v>5887</v>
      </c>
      <c r="C1738" s="90" t="s">
        <v>7002</v>
      </c>
      <c r="G1738" s="7"/>
      <c r="I1738" s="4" t="s">
        <v>1642</v>
      </c>
    </row>
    <row r="1739" spans="1:9" x14ac:dyDescent="0.2">
      <c r="A1739" s="1">
        <f t="shared" ca="1" si="67"/>
        <v>1737</v>
      </c>
      <c r="B1739" s="1" t="s">
        <v>5888</v>
      </c>
      <c r="C1739" s="90" t="s">
        <v>6476</v>
      </c>
      <c r="G1739" s="7"/>
      <c r="I1739" s="4" t="s">
        <v>4354</v>
      </c>
    </row>
    <row r="1740" spans="1:9" x14ac:dyDescent="0.2">
      <c r="A1740" s="1">
        <f t="shared" ca="1" si="67"/>
        <v>1738</v>
      </c>
      <c r="B1740" s="1" t="s">
        <v>5889</v>
      </c>
      <c r="C1740" s="90" t="s">
        <v>6475</v>
      </c>
      <c r="G1740" s="7"/>
      <c r="I1740" s="4" t="s">
        <v>4355</v>
      </c>
    </row>
    <row r="1741" spans="1:9" x14ac:dyDescent="0.2">
      <c r="A1741" s="1">
        <f t="shared" ca="1" si="67"/>
        <v>1739</v>
      </c>
      <c r="B1741" s="1" t="s">
        <v>5890</v>
      </c>
      <c r="C1741" s="90" t="s">
        <v>6474</v>
      </c>
      <c r="G1741" s="7"/>
      <c r="I1741" s="4" t="s">
        <v>4356</v>
      </c>
    </row>
    <row r="1742" spans="1:9" x14ac:dyDescent="0.2">
      <c r="A1742" s="1">
        <f t="shared" ca="1" si="67"/>
        <v>1740</v>
      </c>
      <c r="B1742" s="1" t="s">
        <v>6452</v>
      </c>
      <c r="C1742" s="90" t="s">
        <v>6473</v>
      </c>
      <c r="G1742" s="7"/>
      <c r="I1742" s="4" t="s">
        <v>4357</v>
      </c>
    </row>
    <row r="1743" spans="1:9" x14ac:dyDescent="0.2">
      <c r="A1743" s="1">
        <f t="shared" ca="1" si="67"/>
        <v>1741</v>
      </c>
      <c r="B1743" s="1" t="s">
        <v>6453</v>
      </c>
      <c r="C1743" s="90" t="s">
        <v>6472</v>
      </c>
      <c r="G1743" s="7"/>
      <c r="I1743" s="4" t="s">
        <v>4358</v>
      </c>
    </row>
    <row r="1744" spans="1:9" x14ac:dyDescent="0.2">
      <c r="A1744" s="1">
        <f t="shared" ca="1" si="67"/>
        <v>1742</v>
      </c>
      <c r="B1744" s="1" t="s">
        <v>5891</v>
      </c>
      <c r="C1744" s="90" t="s">
        <v>6471</v>
      </c>
      <c r="G1744" s="7"/>
      <c r="I1744" s="4" t="s">
        <v>4359</v>
      </c>
    </row>
    <row r="1745" spans="1:17" x14ac:dyDescent="0.2">
      <c r="A1745" s="1">
        <f t="shared" ca="1" si="67"/>
        <v>1743</v>
      </c>
      <c r="B1745" s="1" t="s">
        <v>5892</v>
      </c>
      <c r="C1745" s="90" t="s">
        <v>6470</v>
      </c>
      <c r="G1745" s="7"/>
      <c r="I1745" s="4" t="s">
        <v>4360</v>
      </c>
    </row>
    <row r="1746" spans="1:17" x14ac:dyDescent="0.2">
      <c r="A1746" s="1">
        <f t="shared" ca="1" si="67"/>
        <v>1744</v>
      </c>
      <c r="B1746" s="1" t="s">
        <v>5893</v>
      </c>
      <c r="C1746" s="90" t="s">
        <v>6469</v>
      </c>
      <c r="G1746" s="7"/>
      <c r="I1746" s="4" t="s">
        <v>4361</v>
      </c>
    </row>
    <row r="1747" spans="1:17" x14ac:dyDescent="0.2">
      <c r="A1747" s="1">
        <f t="shared" ca="1" si="67"/>
        <v>1745</v>
      </c>
      <c r="B1747" s="1" t="s">
        <v>5894</v>
      </c>
      <c r="C1747" s="90" t="s">
        <v>6468</v>
      </c>
      <c r="G1747" s="7"/>
      <c r="I1747" s="4" t="s">
        <v>4362</v>
      </c>
    </row>
    <row r="1748" spans="1:17" x14ac:dyDescent="0.2">
      <c r="A1748" s="1">
        <f t="shared" ca="1" si="67"/>
        <v>1746</v>
      </c>
      <c r="B1748" s="1" t="s">
        <v>5895</v>
      </c>
      <c r="C1748" s="90" t="s">
        <v>6467</v>
      </c>
      <c r="G1748" s="7"/>
      <c r="I1748" s="4" t="s">
        <v>4363</v>
      </c>
    </row>
    <row r="1749" spans="1:17" x14ac:dyDescent="0.2">
      <c r="A1749" s="1">
        <f t="shared" ca="1" si="67"/>
        <v>1747</v>
      </c>
      <c r="B1749" s="1" t="s">
        <v>5896</v>
      </c>
      <c r="C1749" s="90" t="s">
        <v>6466</v>
      </c>
      <c r="G1749" s="7"/>
      <c r="I1749" s="4" t="s">
        <v>2988</v>
      </c>
    </row>
    <row r="1750" spans="1:17" x14ac:dyDescent="0.2">
      <c r="A1750" s="1">
        <f t="shared" ca="1" si="67"/>
        <v>1748</v>
      </c>
      <c r="B1750" s="1" t="s">
        <v>5897</v>
      </c>
      <c r="C1750" s="90" t="s">
        <v>6465</v>
      </c>
      <c r="D1750" s="4"/>
      <c r="E1750" s="4"/>
      <c r="F1750" s="4"/>
      <c r="G1750" s="4"/>
      <c r="H1750" s="4"/>
      <c r="I1750" s="4" t="s">
        <v>2989</v>
      </c>
      <c r="J1750" s="4"/>
      <c r="K1750" s="4"/>
      <c r="L1750" s="4"/>
      <c r="M1750" s="4"/>
      <c r="N1750" s="4"/>
      <c r="O1750" s="4"/>
      <c r="P1750" s="4"/>
      <c r="Q1750" s="4"/>
    </row>
    <row r="1751" spans="1:17" x14ac:dyDescent="0.2">
      <c r="A1751" s="1">
        <f t="shared" ca="1" si="67"/>
        <v>1749</v>
      </c>
      <c r="B1751" s="1" t="s">
        <v>2798</v>
      </c>
      <c r="C1751" s="90" t="s">
        <v>2799</v>
      </c>
      <c r="D1751" s="4"/>
      <c r="E1751" s="4"/>
      <c r="F1751" s="4"/>
      <c r="G1751" s="4"/>
      <c r="H1751" s="4"/>
      <c r="I1751" s="4" t="s">
        <v>2990</v>
      </c>
      <c r="J1751" s="4"/>
      <c r="K1751" s="4"/>
      <c r="L1751" s="4"/>
      <c r="M1751" s="4"/>
      <c r="N1751" s="4"/>
      <c r="O1751" s="4"/>
      <c r="P1751" s="4"/>
      <c r="Q1751" s="4"/>
    </row>
    <row r="1752" spans="1:17" x14ac:dyDescent="0.2">
      <c r="A1752" s="1">
        <f t="shared" ca="1" si="67"/>
        <v>1750</v>
      </c>
      <c r="B1752" s="1" t="s">
        <v>2800</v>
      </c>
      <c r="C1752" s="90" t="s">
        <v>6464</v>
      </c>
      <c r="D1752" s="4"/>
      <c r="E1752" s="4"/>
      <c r="F1752" s="4"/>
      <c r="G1752" s="4"/>
      <c r="H1752" s="4"/>
      <c r="I1752" s="4" t="s">
        <v>2991</v>
      </c>
      <c r="J1752" s="4"/>
      <c r="K1752" s="4"/>
      <c r="L1752" s="4"/>
      <c r="M1752" s="4"/>
      <c r="N1752" s="4"/>
      <c r="O1752" s="4"/>
      <c r="P1752" s="4"/>
      <c r="Q1752" s="4"/>
    </row>
    <row r="1753" spans="1:17" x14ac:dyDescent="0.2">
      <c r="A1753" s="1">
        <f t="shared" ca="1" si="67"/>
        <v>1751</v>
      </c>
      <c r="B1753" s="73" t="s">
        <v>6454</v>
      </c>
      <c r="C1753" s="82"/>
      <c r="D1753" s="4"/>
      <c r="E1753" s="4"/>
      <c r="F1753" s="4"/>
      <c r="G1753" s="4"/>
      <c r="H1753" s="4"/>
      <c r="J1753" s="4"/>
      <c r="K1753" s="4"/>
      <c r="L1753" s="4"/>
      <c r="M1753" s="4"/>
      <c r="N1753" s="4"/>
      <c r="O1753" s="4"/>
      <c r="P1753" s="4"/>
      <c r="Q1753" s="4"/>
    </row>
    <row r="1754" spans="1:17" x14ac:dyDescent="0.2">
      <c r="A1754" s="1">
        <f t="shared" ca="1" si="67"/>
        <v>1752</v>
      </c>
      <c r="B1754" s="1" t="s">
        <v>6455</v>
      </c>
      <c r="C1754" s="90" t="s">
        <v>6463</v>
      </c>
      <c r="D1754" s="4"/>
      <c r="E1754" s="4"/>
      <c r="F1754" s="4"/>
      <c r="G1754" s="4"/>
      <c r="H1754" s="4"/>
      <c r="I1754" s="4" t="s">
        <v>2992</v>
      </c>
      <c r="J1754" s="4"/>
      <c r="K1754" s="4"/>
      <c r="L1754" s="4"/>
      <c r="M1754" s="4"/>
      <c r="N1754" s="4"/>
      <c r="O1754" s="4"/>
      <c r="P1754" s="4"/>
      <c r="Q1754" s="4"/>
    </row>
    <row r="1755" spans="1:17" ht="25.5" x14ac:dyDescent="0.2">
      <c r="A1755" s="1">
        <f t="shared" ca="1" si="67"/>
        <v>1753</v>
      </c>
      <c r="B1755" s="1" t="s">
        <v>6456</v>
      </c>
      <c r="C1755" s="90" t="s">
        <v>6462</v>
      </c>
      <c r="D1755" s="4"/>
      <c r="E1755" s="4"/>
      <c r="F1755" s="4"/>
      <c r="G1755" s="4"/>
      <c r="H1755" s="4"/>
      <c r="I1755" s="4" t="s">
        <v>2993</v>
      </c>
      <c r="J1755" s="4"/>
      <c r="K1755" s="4"/>
      <c r="L1755" s="4"/>
      <c r="M1755" s="4"/>
      <c r="N1755" s="4"/>
      <c r="O1755" s="4"/>
      <c r="P1755" s="4"/>
      <c r="Q1755" s="4"/>
    </row>
    <row r="1756" spans="1:17" ht="25.5" x14ac:dyDescent="0.2">
      <c r="A1756" s="1">
        <f t="shared" ca="1" si="67"/>
        <v>1754</v>
      </c>
      <c r="B1756" s="1" t="s">
        <v>6457</v>
      </c>
      <c r="C1756" s="90" t="s">
        <v>6461</v>
      </c>
      <c r="D1756" s="4"/>
      <c r="E1756" s="4"/>
      <c r="F1756" s="4"/>
      <c r="G1756" s="4"/>
      <c r="H1756" s="4"/>
      <c r="I1756" s="4" t="s">
        <v>2994</v>
      </c>
      <c r="J1756" s="4"/>
      <c r="K1756" s="4"/>
      <c r="L1756" s="4"/>
      <c r="M1756" s="4"/>
      <c r="N1756" s="4"/>
      <c r="O1756" s="4"/>
      <c r="P1756" s="4"/>
      <c r="Q1756" s="4"/>
    </row>
    <row r="1757" spans="1:17" x14ac:dyDescent="0.2">
      <c r="A1757" s="1">
        <f t="shared" ca="1" si="67"/>
        <v>1755</v>
      </c>
      <c r="B1757" s="73" t="s">
        <v>3918</v>
      </c>
      <c r="C1757" s="82"/>
      <c r="D1757" s="4"/>
      <c r="E1757" s="4"/>
      <c r="F1757" s="4"/>
      <c r="G1757" s="4"/>
      <c r="H1757" s="4"/>
      <c r="J1757" s="4"/>
      <c r="K1757" s="4"/>
      <c r="L1757" s="4"/>
      <c r="M1757" s="4"/>
      <c r="N1757" s="4"/>
      <c r="O1757" s="4"/>
      <c r="P1757" s="4"/>
      <c r="Q1757" s="4"/>
    </row>
    <row r="1758" spans="1:17" ht="38.25" x14ac:dyDescent="0.2">
      <c r="A1758" s="1">
        <f t="shared" ca="1" si="67"/>
        <v>1756</v>
      </c>
      <c r="B1758" s="1" t="s">
        <v>3919</v>
      </c>
      <c r="C1758" s="82" t="s">
        <v>1059</v>
      </c>
      <c r="D1758" s="4"/>
      <c r="E1758" s="4"/>
      <c r="F1758" s="4"/>
      <c r="G1758" s="4"/>
      <c r="H1758" s="4"/>
      <c r="I1758" s="4" t="s">
        <v>2995</v>
      </c>
      <c r="J1758" s="4"/>
      <c r="K1758" s="4"/>
      <c r="L1758" s="4"/>
      <c r="M1758" s="4"/>
      <c r="N1758" s="4"/>
      <c r="O1758" s="4"/>
      <c r="P1758" s="4"/>
      <c r="Q1758" s="4"/>
    </row>
    <row r="1759" spans="1:17" ht="51" x14ac:dyDescent="0.2">
      <c r="A1759" s="1">
        <f t="shared" ca="1" si="67"/>
        <v>1757</v>
      </c>
      <c r="B1759" s="1" t="s">
        <v>7828</v>
      </c>
      <c r="C1759" s="82" t="s">
        <v>1155</v>
      </c>
      <c r="D1759" s="4"/>
      <c r="E1759" s="4"/>
      <c r="F1759" s="4"/>
      <c r="G1759" s="4"/>
      <c r="H1759" s="4"/>
      <c r="I1759" s="4" t="s">
        <v>2996</v>
      </c>
      <c r="J1759" s="4"/>
      <c r="K1759" s="4"/>
      <c r="L1759" s="4"/>
      <c r="M1759" s="4"/>
      <c r="N1759" s="4"/>
      <c r="O1759" s="4"/>
      <c r="P1759" s="4"/>
      <c r="Q1759" s="4"/>
    </row>
    <row r="1760" spans="1:17" ht="51" x14ac:dyDescent="0.2">
      <c r="A1760" s="1">
        <f t="shared" ca="1" si="67"/>
        <v>1758</v>
      </c>
      <c r="B1760" s="1" t="s">
        <v>7829</v>
      </c>
      <c r="C1760" s="82" t="s">
        <v>6083</v>
      </c>
      <c r="D1760" s="4"/>
      <c r="E1760" s="4"/>
      <c r="F1760" s="4"/>
      <c r="G1760" s="4"/>
      <c r="H1760" s="4"/>
      <c r="I1760" s="4" t="s">
        <v>2997</v>
      </c>
      <c r="J1760" s="4"/>
      <c r="K1760" s="4"/>
      <c r="L1760" s="4"/>
      <c r="M1760" s="4"/>
      <c r="N1760" s="4"/>
      <c r="O1760" s="4"/>
      <c r="P1760" s="4"/>
      <c r="Q1760" s="4"/>
    </row>
    <row r="1761" spans="1:17" x14ac:dyDescent="0.2">
      <c r="A1761" s="1">
        <f t="shared" ca="1" si="67"/>
        <v>1759</v>
      </c>
      <c r="B1761" s="1" t="s">
        <v>7830</v>
      </c>
      <c r="C1761" s="82" t="s">
        <v>1154</v>
      </c>
      <c r="D1761" s="4"/>
      <c r="E1761" s="4"/>
      <c r="F1761" s="4"/>
      <c r="G1761" s="4"/>
      <c r="H1761" s="4"/>
      <c r="I1761" s="4" t="s">
        <v>2998</v>
      </c>
      <c r="J1761" s="4"/>
      <c r="K1761" s="4"/>
      <c r="L1761" s="4"/>
      <c r="M1761" s="4"/>
      <c r="N1761" s="4"/>
      <c r="O1761" s="4"/>
      <c r="P1761" s="4"/>
      <c r="Q1761" s="4"/>
    </row>
    <row r="1762" spans="1:17" ht="25.5" x14ac:dyDescent="0.2">
      <c r="A1762" s="1">
        <f t="shared" ca="1" si="67"/>
        <v>1760</v>
      </c>
      <c r="B1762" s="1" t="s">
        <v>8445</v>
      </c>
      <c r="C1762" s="82" t="s">
        <v>1153</v>
      </c>
      <c r="D1762" s="4"/>
      <c r="E1762" s="4"/>
      <c r="F1762" s="4"/>
      <c r="G1762" s="4"/>
      <c r="H1762" s="4"/>
      <c r="I1762" s="4" t="s">
        <v>2999</v>
      </c>
      <c r="J1762" s="4"/>
      <c r="K1762" s="4"/>
      <c r="L1762" s="4"/>
      <c r="M1762" s="4"/>
      <c r="N1762" s="4"/>
      <c r="O1762" s="4"/>
      <c r="P1762" s="4"/>
      <c r="Q1762" s="4"/>
    </row>
    <row r="1763" spans="1:17" ht="25.5" x14ac:dyDescent="0.2">
      <c r="A1763" s="1">
        <f t="shared" ca="1" si="67"/>
        <v>1761</v>
      </c>
      <c r="B1763" s="1" t="s">
        <v>8446</v>
      </c>
      <c r="C1763" s="82" t="s">
        <v>5075</v>
      </c>
      <c r="D1763" s="4"/>
      <c r="E1763" s="4"/>
      <c r="F1763" s="4"/>
      <c r="G1763" s="4"/>
      <c r="H1763" s="4"/>
      <c r="I1763" s="4" t="s">
        <v>3000</v>
      </c>
      <c r="J1763" s="4"/>
      <c r="K1763" s="4"/>
      <c r="L1763" s="4"/>
      <c r="M1763" s="4"/>
      <c r="N1763" s="4"/>
      <c r="O1763" s="4"/>
      <c r="P1763" s="4"/>
      <c r="Q1763" s="4"/>
    </row>
    <row r="1764" spans="1:17" x14ac:dyDescent="0.2">
      <c r="A1764" s="1">
        <f t="shared" ca="1" si="67"/>
        <v>1762</v>
      </c>
      <c r="B1764" s="1" t="s">
        <v>8252</v>
      </c>
      <c r="C1764" s="82" t="s">
        <v>1060</v>
      </c>
      <c r="D1764" s="4"/>
      <c r="E1764" s="4"/>
      <c r="F1764" s="4"/>
      <c r="G1764" s="4"/>
      <c r="H1764" s="4"/>
      <c r="I1764" s="4" t="s">
        <v>3001</v>
      </c>
      <c r="J1764" s="4"/>
      <c r="K1764" s="4"/>
      <c r="L1764" s="4"/>
      <c r="M1764" s="4"/>
      <c r="N1764" s="4"/>
      <c r="O1764" s="4"/>
      <c r="P1764" s="4"/>
      <c r="Q1764" s="4"/>
    </row>
    <row r="1765" spans="1:17" ht="38.25" x14ac:dyDescent="0.2">
      <c r="A1765" s="1">
        <f t="shared" ca="1" si="67"/>
        <v>1763</v>
      </c>
      <c r="B1765" s="1" t="s">
        <v>8253</v>
      </c>
      <c r="C1765" s="82" t="s">
        <v>5074</v>
      </c>
      <c r="D1765" s="4"/>
      <c r="E1765" s="4"/>
      <c r="F1765" s="4"/>
      <c r="G1765" s="4"/>
      <c r="H1765" s="4"/>
      <c r="I1765" s="4" t="s">
        <v>3002</v>
      </c>
      <c r="J1765" s="4"/>
      <c r="K1765" s="4"/>
      <c r="L1765" s="4"/>
      <c r="M1765" s="4"/>
      <c r="N1765" s="4"/>
      <c r="O1765" s="4"/>
      <c r="P1765" s="4"/>
      <c r="Q1765" s="4"/>
    </row>
    <row r="1766" spans="1:17" ht="25.5" x14ac:dyDescent="0.2">
      <c r="A1766" s="1">
        <f t="shared" ca="1" si="67"/>
        <v>1764</v>
      </c>
      <c r="B1766" s="1" t="s">
        <v>8254</v>
      </c>
      <c r="C1766" s="82" t="s">
        <v>5073</v>
      </c>
      <c r="D1766" s="4"/>
      <c r="E1766" s="4"/>
      <c r="F1766" s="4"/>
      <c r="G1766" s="4"/>
      <c r="H1766" s="4"/>
      <c r="I1766" s="4" t="s">
        <v>3003</v>
      </c>
      <c r="J1766" s="4"/>
      <c r="K1766" s="4"/>
      <c r="L1766" s="4"/>
      <c r="M1766" s="4"/>
      <c r="N1766" s="4"/>
      <c r="O1766" s="4"/>
      <c r="P1766" s="4"/>
      <c r="Q1766" s="4"/>
    </row>
    <row r="1767" spans="1:17" ht="25.5" x14ac:dyDescent="0.2">
      <c r="A1767" s="1">
        <f t="shared" ca="1" si="67"/>
        <v>1765</v>
      </c>
      <c r="B1767" s="1" t="s">
        <v>8255</v>
      </c>
      <c r="C1767" s="82" t="s">
        <v>5072</v>
      </c>
      <c r="D1767" s="4"/>
      <c r="E1767" s="4"/>
      <c r="F1767" s="4"/>
      <c r="G1767" s="4"/>
      <c r="H1767" s="4"/>
      <c r="I1767" s="4" t="s">
        <v>3004</v>
      </c>
      <c r="J1767" s="4"/>
      <c r="K1767" s="4"/>
      <c r="L1767" s="4"/>
      <c r="M1767" s="4"/>
      <c r="N1767" s="4"/>
      <c r="O1767" s="4"/>
      <c r="P1767" s="4"/>
      <c r="Q1767" s="4"/>
    </row>
    <row r="1768" spans="1:17" ht="25.5" x14ac:dyDescent="0.2">
      <c r="A1768" s="1">
        <f t="shared" ca="1" si="67"/>
        <v>1766</v>
      </c>
      <c r="B1768" s="1" t="s">
        <v>8256</v>
      </c>
      <c r="C1768" s="82" t="s">
        <v>5071</v>
      </c>
      <c r="D1768" s="4"/>
      <c r="E1768" s="4"/>
      <c r="F1768" s="4"/>
      <c r="G1768" s="4"/>
      <c r="H1768" s="4"/>
      <c r="I1768" s="4" t="s">
        <v>3005</v>
      </c>
      <c r="J1768" s="4"/>
      <c r="K1768" s="4"/>
      <c r="L1768" s="4"/>
      <c r="M1768" s="4"/>
      <c r="N1768" s="4"/>
      <c r="O1768" s="4"/>
      <c r="P1768" s="4"/>
      <c r="Q1768" s="4"/>
    </row>
    <row r="1769" spans="1:17" x14ac:dyDescent="0.2">
      <c r="A1769" s="1">
        <f t="shared" ca="1" si="67"/>
        <v>1767</v>
      </c>
      <c r="B1769" s="1" t="s">
        <v>8257</v>
      </c>
      <c r="C1769" s="82" t="s">
        <v>6048</v>
      </c>
      <c r="D1769" s="4"/>
      <c r="E1769" s="4"/>
      <c r="F1769" s="4"/>
      <c r="G1769" s="4"/>
      <c r="H1769" s="4"/>
      <c r="I1769" s="4" t="s">
        <v>3006</v>
      </c>
      <c r="J1769" s="4"/>
      <c r="K1769" s="4"/>
      <c r="L1769" s="4"/>
      <c r="M1769" s="4"/>
      <c r="N1769" s="4"/>
      <c r="O1769" s="4"/>
      <c r="P1769" s="4"/>
      <c r="Q1769" s="4"/>
    </row>
    <row r="1770" spans="1:17" x14ac:dyDescent="0.2">
      <c r="A1770" s="1">
        <f t="shared" ca="1" si="67"/>
        <v>1768</v>
      </c>
      <c r="B1770" s="1" t="s">
        <v>547</v>
      </c>
      <c r="C1770" s="82" t="s">
        <v>1061</v>
      </c>
      <c r="D1770" s="4"/>
      <c r="E1770" s="4"/>
      <c r="F1770" s="4"/>
      <c r="G1770" s="4"/>
      <c r="H1770" s="4"/>
      <c r="I1770" s="4" t="s">
        <v>3802</v>
      </c>
      <c r="J1770" s="4"/>
      <c r="K1770" s="4"/>
      <c r="L1770" s="4"/>
      <c r="M1770" s="4"/>
      <c r="N1770" s="4"/>
      <c r="O1770" s="4"/>
      <c r="P1770" s="4"/>
      <c r="Q1770" s="4"/>
    </row>
    <row r="1771" spans="1:17" x14ac:dyDescent="0.2">
      <c r="A1771" s="1">
        <f t="shared" ca="1" si="67"/>
        <v>1769</v>
      </c>
      <c r="B1771" s="1" t="s">
        <v>548</v>
      </c>
      <c r="C1771" s="82" t="s">
        <v>5070</v>
      </c>
      <c r="D1771" s="4"/>
      <c r="E1771" s="4"/>
      <c r="F1771" s="4"/>
      <c r="G1771" s="4"/>
      <c r="H1771" s="4"/>
      <c r="I1771" s="4" t="s">
        <v>3007</v>
      </c>
      <c r="J1771" s="4"/>
      <c r="K1771" s="4"/>
      <c r="L1771" s="4"/>
      <c r="M1771" s="4"/>
      <c r="N1771" s="4"/>
      <c r="O1771" s="4"/>
      <c r="P1771" s="4"/>
      <c r="Q1771" s="4"/>
    </row>
    <row r="1772" spans="1:17" x14ac:dyDescent="0.2">
      <c r="A1772" s="1">
        <f t="shared" ca="1" si="67"/>
        <v>1770</v>
      </c>
      <c r="B1772" s="1" t="s">
        <v>549</v>
      </c>
      <c r="C1772" s="82" t="s">
        <v>550</v>
      </c>
      <c r="D1772" s="4"/>
      <c r="E1772" s="4"/>
      <c r="F1772" s="4"/>
      <c r="G1772" s="4"/>
      <c r="H1772" s="4"/>
      <c r="I1772" s="4" t="s">
        <v>3008</v>
      </c>
      <c r="J1772" s="4"/>
      <c r="K1772" s="4"/>
      <c r="L1772" s="4"/>
      <c r="M1772" s="4"/>
      <c r="N1772" s="4"/>
      <c r="O1772" s="4"/>
      <c r="P1772" s="4"/>
      <c r="Q1772" s="4"/>
    </row>
    <row r="1773" spans="1:17" x14ac:dyDescent="0.2">
      <c r="A1773" s="1">
        <f t="shared" ca="1" si="67"/>
        <v>1771</v>
      </c>
      <c r="B1773" s="1" t="s">
        <v>551</v>
      </c>
      <c r="C1773" s="82" t="s">
        <v>5069</v>
      </c>
      <c r="D1773" s="4"/>
      <c r="E1773" s="4"/>
      <c r="F1773" s="4"/>
      <c r="G1773" s="4"/>
      <c r="H1773" s="4"/>
      <c r="I1773" s="4" t="s">
        <v>3009</v>
      </c>
      <c r="J1773" s="4"/>
      <c r="K1773" s="4"/>
      <c r="L1773" s="4"/>
      <c r="M1773" s="4"/>
      <c r="N1773" s="4"/>
      <c r="O1773" s="4"/>
      <c r="P1773" s="4"/>
      <c r="Q1773" s="4"/>
    </row>
    <row r="1774" spans="1:17" x14ac:dyDescent="0.2">
      <c r="A1774" s="1">
        <f t="shared" ca="1" si="67"/>
        <v>1772</v>
      </c>
      <c r="B1774" s="1" t="s">
        <v>552</v>
      </c>
      <c r="C1774" s="82" t="s">
        <v>5068</v>
      </c>
      <c r="D1774" s="4"/>
      <c r="E1774" s="4"/>
      <c r="F1774" s="4"/>
      <c r="G1774" s="4"/>
      <c r="H1774" s="4"/>
      <c r="I1774" s="4" t="s">
        <v>3010</v>
      </c>
      <c r="J1774" s="4"/>
      <c r="K1774" s="4"/>
      <c r="L1774" s="4"/>
      <c r="M1774" s="4"/>
      <c r="N1774" s="4"/>
      <c r="O1774" s="4"/>
      <c r="P1774" s="4"/>
      <c r="Q1774" s="4"/>
    </row>
    <row r="1775" spans="1:17" x14ac:dyDescent="0.2">
      <c r="A1775" s="1">
        <f t="shared" ca="1" si="67"/>
        <v>1773</v>
      </c>
      <c r="B1775" s="3" t="s">
        <v>5382</v>
      </c>
      <c r="C1775" s="82"/>
      <c r="D1775" s="4"/>
      <c r="E1775" s="4"/>
      <c r="F1775" s="4"/>
      <c r="G1775" s="4"/>
      <c r="H1775" s="4"/>
      <c r="J1775" s="4"/>
      <c r="K1775" s="4"/>
      <c r="L1775" s="4"/>
      <c r="M1775" s="4"/>
      <c r="N1775" s="4"/>
      <c r="O1775" s="4"/>
      <c r="P1775" s="4"/>
      <c r="Q1775" s="4"/>
    </row>
    <row r="1776" spans="1:17" ht="25.5" x14ac:dyDescent="0.2">
      <c r="A1776" s="1">
        <f t="shared" ca="1" si="67"/>
        <v>1774</v>
      </c>
      <c r="B1776" s="5" t="s">
        <v>5383</v>
      </c>
      <c r="C1776" s="82" t="s">
        <v>8200</v>
      </c>
      <c r="D1776" s="4"/>
      <c r="E1776" s="4"/>
      <c r="F1776" s="4"/>
      <c r="G1776" s="4"/>
      <c r="H1776" s="4"/>
      <c r="I1776" s="4" t="s">
        <v>3011</v>
      </c>
      <c r="J1776" s="4"/>
      <c r="K1776" s="4"/>
      <c r="L1776" s="4"/>
      <c r="M1776" s="4"/>
      <c r="N1776" s="4"/>
      <c r="O1776" s="4"/>
      <c r="P1776" s="4"/>
      <c r="Q1776" s="4"/>
    </row>
    <row r="1777" spans="1:17" ht="25.5" x14ac:dyDescent="0.2">
      <c r="A1777" s="1">
        <f t="shared" ca="1" si="67"/>
        <v>1775</v>
      </c>
      <c r="B1777" s="5" t="s">
        <v>2807</v>
      </c>
      <c r="C1777" s="82" t="s">
        <v>8199</v>
      </c>
      <c r="D1777" s="4"/>
      <c r="E1777" s="4"/>
      <c r="F1777" s="4"/>
      <c r="G1777" s="4"/>
      <c r="H1777" s="4"/>
      <c r="I1777" s="4" t="s">
        <v>4467</v>
      </c>
      <c r="J1777" s="4"/>
      <c r="K1777" s="4"/>
      <c r="L1777" s="4"/>
      <c r="M1777" s="4"/>
      <c r="N1777" s="4"/>
      <c r="O1777" s="4"/>
      <c r="P1777" s="4"/>
      <c r="Q1777" s="4"/>
    </row>
    <row r="1778" spans="1:17" x14ac:dyDescent="0.2">
      <c r="A1778" s="1">
        <f t="shared" ca="1" si="67"/>
        <v>1776</v>
      </c>
      <c r="B1778" s="5" t="s">
        <v>1679</v>
      </c>
      <c r="C1778" s="82" t="s">
        <v>5067</v>
      </c>
      <c r="D1778" s="4"/>
      <c r="E1778" s="4"/>
      <c r="F1778" s="4"/>
      <c r="G1778" s="4"/>
      <c r="H1778" s="4"/>
      <c r="I1778" s="4" t="s">
        <v>4468</v>
      </c>
      <c r="J1778" s="4"/>
      <c r="K1778" s="4"/>
      <c r="L1778" s="4"/>
      <c r="M1778" s="4"/>
      <c r="N1778" s="4"/>
      <c r="O1778" s="4"/>
      <c r="P1778" s="4"/>
      <c r="Q1778" s="4"/>
    </row>
    <row r="1779" spans="1:17" ht="25.5" x14ac:dyDescent="0.2">
      <c r="A1779" s="1">
        <f t="shared" ca="1" si="67"/>
        <v>1777</v>
      </c>
      <c r="B1779" s="5" t="s">
        <v>1680</v>
      </c>
      <c r="C1779" s="82" t="s">
        <v>8197</v>
      </c>
      <c r="D1779" s="4"/>
      <c r="E1779" s="4"/>
      <c r="F1779" s="4"/>
      <c r="G1779" s="4"/>
      <c r="H1779" s="4"/>
      <c r="I1779" s="4" t="s">
        <v>4469</v>
      </c>
      <c r="J1779" s="4"/>
      <c r="K1779" s="4"/>
      <c r="L1779" s="4"/>
      <c r="M1779" s="4"/>
      <c r="N1779" s="4"/>
      <c r="O1779" s="4"/>
      <c r="P1779" s="4"/>
      <c r="Q1779" s="4"/>
    </row>
    <row r="1780" spans="1:17" ht="25.5" x14ac:dyDescent="0.2">
      <c r="A1780" s="1">
        <f t="shared" ca="1" si="67"/>
        <v>1778</v>
      </c>
      <c r="B1780" s="5" t="s">
        <v>8296</v>
      </c>
      <c r="C1780" s="82" t="s">
        <v>5066</v>
      </c>
      <c r="D1780" s="4"/>
      <c r="E1780" s="4"/>
      <c r="F1780" s="4"/>
      <c r="G1780" s="4"/>
      <c r="H1780" s="4"/>
      <c r="I1780" s="4" t="s">
        <v>4470</v>
      </c>
      <c r="J1780" s="4"/>
      <c r="K1780" s="4"/>
      <c r="L1780" s="4"/>
      <c r="M1780" s="4"/>
      <c r="N1780" s="4"/>
      <c r="O1780" s="4"/>
      <c r="P1780" s="4"/>
      <c r="Q1780" s="4"/>
    </row>
    <row r="1781" spans="1:17" ht="25.5" x14ac:dyDescent="0.2">
      <c r="A1781" s="1">
        <f t="shared" ca="1" si="67"/>
        <v>1779</v>
      </c>
      <c r="B1781" s="5" t="s">
        <v>8297</v>
      </c>
      <c r="C1781" s="82" t="s">
        <v>5065</v>
      </c>
      <c r="D1781" s="4"/>
      <c r="E1781" s="4"/>
      <c r="F1781" s="4"/>
      <c r="G1781" s="4"/>
      <c r="H1781" s="4"/>
      <c r="I1781" s="4" t="s">
        <v>4471</v>
      </c>
      <c r="J1781" s="4"/>
      <c r="K1781" s="4"/>
      <c r="L1781" s="4"/>
      <c r="M1781" s="4"/>
      <c r="N1781" s="4"/>
      <c r="O1781" s="4"/>
      <c r="P1781" s="4"/>
      <c r="Q1781" s="4"/>
    </row>
    <row r="1782" spans="1:17" ht="25.5" x14ac:dyDescent="0.2">
      <c r="A1782" s="1">
        <f t="shared" ca="1" si="67"/>
        <v>1780</v>
      </c>
      <c r="B1782" s="5" t="s">
        <v>8298</v>
      </c>
      <c r="C1782" s="82" t="s">
        <v>8198</v>
      </c>
      <c r="D1782" s="4"/>
      <c r="E1782" s="4"/>
      <c r="F1782" s="4"/>
      <c r="G1782" s="4"/>
      <c r="H1782" s="4"/>
      <c r="I1782" s="4" t="s">
        <v>4472</v>
      </c>
      <c r="J1782" s="4"/>
      <c r="K1782" s="4"/>
      <c r="L1782" s="4"/>
      <c r="M1782" s="4"/>
      <c r="N1782" s="4"/>
      <c r="O1782" s="4"/>
      <c r="P1782" s="4"/>
      <c r="Q1782" s="4"/>
    </row>
    <row r="1783" spans="1:17" ht="25.5" x14ac:dyDescent="0.2">
      <c r="A1783" s="1">
        <f t="shared" ca="1" si="67"/>
        <v>1781</v>
      </c>
      <c r="B1783" s="5" t="s">
        <v>7777</v>
      </c>
      <c r="C1783" s="82" t="s">
        <v>5224</v>
      </c>
      <c r="D1783" s="4"/>
      <c r="E1783" s="4"/>
      <c r="F1783" s="4"/>
      <c r="G1783" s="4"/>
      <c r="H1783" s="4"/>
      <c r="I1783" s="4" t="s">
        <v>4473</v>
      </c>
      <c r="J1783" s="4"/>
      <c r="K1783" s="4"/>
      <c r="L1783" s="4"/>
      <c r="M1783" s="4"/>
      <c r="N1783" s="4"/>
      <c r="O1783" s="4"/>
      <c r="P1783" s="4"/>
      <c r="Q1783" s="4"/>
    </row>
    <row r="1784" spans="1:17" ht="25.5" x14ac:dyDescent="0.2">
      <c r="A1784" s="1">
        <f t="shared" ca="1" si="67"/>
        <v>1782</v>
      </c>
      <c r="B1784" s="5" t="s">
        <v>7778</v>
      </c>
      <c r="C1784" s="82" t="s">
        <v>5064</v>
      </c>
      <c r="D1784" s="4"/>
      <c r="E1784" s="4"/>
      <c r="F1784" s="4"/>
      <c r="G1784" s="4"/>
      <c r="H1784" s="4"/>
      <c r="I1784" s="4" t="s">
        <v>4474</v>
      </c>
      <c r="J1784" s="4"/>
      <c r="K1784" s="4"/>
      <c r="L1784" s="4"/>
      <c r="M1784" s="4"/>
      <c r="N1784" s="4"/>
      <c r="O1784" s="4"/>
      <c r="P1784" s="4"/>
      <c r="Q1784" s="4"/>
    </row>
    <row r="1785" spans="1:17" ht="25.5" x14ac:dyDescent="0.2">
      <c r="A1785" s="1">
        <f t="shared" ca="1" si="67"/>
        <v>1783</v>
      </c>
      <c r="B1785" s="5" t="s">
        <v>663</v>
      </c>
      <c r="C1785" s="82" t="s">
        <v>3951</v>
      </c>
      <c r="D1785" s="4"/>
      <c r="E1785" s="4"/>
      <c r="F1785" s="4"/>
      <c r="G1785" s="4"/>
      <c r="H1785" s="4"/>
      <c r="I1785" s="4" t="s">
        <v>4475</v>
      </c>
      <c r="J1785" s="4"/>
      <c r="K1785" s="4"/>
      <c r="L1785" s="4"/>
      <c r="M1785" s="4"/>
      <c r="N1785" s="4"/>
      <c r="O1785" s="4"/>
      <c r="P1785" s="4"/>
      <c r="Q1785" s="4"/>
    </row>
    <row r="1786" spans="1:17" ht="25.5" x14ac:dyDescent="0.2">
      <c r="A1786" s="1">
        <f t="shared" ca="1" si="67"/>
        <v>1784</v>
      </c>
      <c r="B1786" s="5" t="s">
        <v>3621</v>
      </c>
      <c r="C1786" s="82" t="s">
        <v>3950</v>
      </c>
      <c r="D1786" s="4"/>
      <c r="E1786" s="4"/>
      <c r="F1786" s="4"/>
      <c r="G1786" s="4"/>
      <c r="H1786" s="4"/>
      <c r="I1786" s="4" t="s">
        <v>4476</v>
      </c>
      <c r="J1786" s="4"/>
      <c r="K1786" s="4"/>
      <c r="L1786" s="4"/>
      <c r="M1786" s="4"/>
      <c r="N1786" s="4"/>
      <c r="O1786" s="4"/>
      <c r="P1786" s="4"/>
      <c r="Q1786" s="4"/>
    </row>
    <row r="1787" spans="1:17" x14ac:dyDescent="0.2">
      <c r="A1787" s="1">
        <f t="shared" ca="1" si="67"/>
        <v>1785</v>
      </c>
      <c r="B1787" s="5" t="s">
        <v>664</v>
      </c>
      <c r="C1787" s="82" t="s">
        <v>3949</v>
      </c>
      <c r="D1787" s="4"/>
      <c r="E1787" s="4"/>
      <c r="F1787" s="4"/>
      <c r="G1787" s="4"/>
      <c r="H1787" s="4"/>
      <c r="I1787" s="4" t="s">
        <v>4477</v>
      </c>
      <c r="J1787" s="4"/>
      <c r="K1787" s="4"/>
      <c r="L1787" s="4"/>
      <c r="M1787" s="4"/>
      <c r="N1787" s="4"/>
      <c r="O1787" s="4"/>
      <c r="P1787" s="4"/>
      <c r="Q1787" s="4"/>
    </row>
    <row r="1788" spans="1:17" x14ac:dyDescent="0.2">
      <c r="A1788" s="1">
        <f t="shared" ref="A1788:A1851" ca="1" si="69">CELL("row",C1788)-2</f>
        <v>1786</v>
      </c>
      <c r="B1788" s="5" t="s">
        <v>665</v>
      </c>
      <c r="C1788" s="82" t="s">
        <v>3948</v>
      </c>
      <c r="D1788" s="4"/>
      <c r="E1788" s="4"/>
      <c r="F1788" s="4"/>
      <c r="G1788" s="4"/>
      <c r="H1788" s="4"/>
      <c r="I1788" s="4" t="s">
        <v>4478</v>
      </c>
      <c r="J1788" s="4"/>
      <c r="K1788" s="4"/>
      <c r="L1788" s="4"/>
      <c r="M1788" s="4"/>
      <c r="N1788" s="4"/>
      <c r="O1788" s="4"/>
      <c r="P1788" s="4"/>
      <c r="Q1788" s="4"/>
    </row>
    <row r="1789" spans="1:17" ht="25.5" x14ac:dyDescent="0.2">
      <c r="A1789" s="1">
        <f t="shared" ca="1" si="69"/>
        <v>1787</v>
      </c>
      <c r="B1789" s="5" t="s">
        <v>666</v>
      </c>
      <c r="C1789" s="82" t="s">
        <v>7684</v>
      </c>
      <c r="D1789" s="4"/>
      <c r="E1789" s="4"/>
      <c r="F1789" s="4"/>
      <c r="G1789" s="4"/>
      <c r="H1789" s="4"/>
      <c r="I1789" s="4" t="s">
        <v>4479</v>
      </c>
      <c r="J1789" s="4"/>
      <c r="K1789" s="4"/>
      <c r="L1789" s="4"/>
      <c r="M1789" s="4"/>
      <c r="N1789" s="4"/>
      <c r="O1789" s="4"/>
      <c r="P1789" s="4"/>
      <c r="Q1789" s="4"/>
    </row>
    <row r="1790" spans="1:17" ht="38.25" x14ac:dyDescent="0.2">
      <c r="A1790" s="1">
        <f t="shared" ca="1" si="69"/>
        <v>1788</v>
      </c>
      <c r="B1790" s="5" t="s">
        <v>6695</v>
      </c>
      <c r="C1790" s="82" t="s">
        <v>7683</v>
      </c>
      <c r="D1790" s="4"/>
      <c r="E1790" s="4"/>
      <c r="F1790" s="4"/>
      <c r="G1790" s="4"/>
      <c r="H1790" s="4"/>
      <c r="I1790" s="4" t="s">
        <v>6867</v>
      </c>
      <c r="J1790" s="4"/>
      <c r="K1790" s="4"/>
      <c r="L1790" s="4"/>
      <c r="M1790" s="4"/>
      <c r="N1790" s="4"/>
      <c r="O1790" s="4"/>
      <c r="P1790" s="4"/>
      <c r="Q1790" s="4"/>
    </row>
    <row r="1791" spans="1:17" x14ac:dyDescent="0.2">
      <c r="A1791" s="1">
        <f t="shared" ca="1" si="69"/>
        <v>1789</v>
      </c>
      <c r="B1791" s="5" t="s">
        <v>50</v>
      </c>
      <c r="C1791" s="82" t="s">
        <v>7682</v>
      </c>
      <c r="D1791" s="4"/>
      <c r="E1791" s="4"/>
      <c r="F1791" s="4"/>
      <c r="G1791" s="4"/>
      <c r="H1791" s="4"/>
      <c r="I1791" s="4" t="s">
        <v>6868</v>
      </c>
      <c r="J1791" s="4"/>
      <c r="K1791" s="4"/>
      <c r="L1791" s="4"/>
      <c r="M1791" s="4"/>
      <c r="N1791" s="4"/>
      <c r="O1791" s="4"/>
      <c r="P1791" s="4"/>
      <c r="Q1791" s="4"/>
    </row>
    <row r="1792" spans="1:17" x14ac:dyDescent="0.2">
      <c r="A1792" s="1">
        <f t="shared" ca="1" si="69"/>
        <v>1790</v>
      </c>
      <c r="B1792" s="5" t="s">
        <v>2924</v>
      </c>
      <c r="C1792" s="82" t="s">
        <v>3148</v>
      </c>
      <c r="D1792" s="4"/>
      <c r="E1792" s="4"/>
      <c r="F1792" s="4"/>
      <c r="G1792" s="4"/>
      <c r="H1792" s="4"/>
      <c r="I1792" s="4" t="s">
        <v>6869</v>
      </c>
      <c r="J1792" s="4"/>
      <c r="K1792" s="4"/>
      <c r="L1792" s="4"/>
      <c r="M1792" s="4"/>
      <c r="N1792" s="4"/>
      <c r="O1792" s="4"/>
      <c r="P1792" s="4"/>
      <c r="Q1792" s="4"/>
    </row>
    <row r="1793" spans="1:17" ht="25.5" x14ac:dyDescent="0.2">
      <c r="A1793" s="1">
        <f t="shared" ca="1" si="69"/>
        <v>1791</v>
      </c>
      <c r="B1793" s="5" t="s">
        <v>51</v>
      </c>
      <c r="C1793" s="82" t="s">
        <v>3147</v>
      </c>
      <c r="D1793" s="4"/>
      <c r="E1793" s="4"/>
      <c r="F1793" s="4"/>
      <c r="G1793" s="4"/>
      <c r="H1793" s="4"/>
      <c r="I1793" s="4" t="s">
        <v>6870</v>
      </c>
      <c r="J1793" s="4"/>
      <c r="K1793" s="4"/>
      <c r="L1793" s="4"/>
      <c r="M1793" s="4"/>
      <c r="N1793" s="4"/>
      <c r="O1793" s="4"/>
      <c r="P1793" s="4"/>
      <c r="Q1793" s="4"/>
    </row>
    <row r="1794" spans="1:17" x14ac:dyDescent="0.2">
      <c r="A1794" s="1">
        <f t="shared" ca="1" si="69"/>
        <v>1792</v>
      </c>
      <c r="B1794" s="5" t="s">
        <v>4003</v>
      </c>
      <c r="C1794" s="82" t="s">
        <v>5213</v>
      </c>
      <c r="D1794" s="4"/>
      <c r="E1794" s="4"/>
      <c r="F1794" s="4"/>
      <c r="G1794" s="4"/>
      <c r="H1794" s="4"/>
      <c r="I1794" s="4" t="s">
        <v>6871</v>
      </c>
      <c r="J1794" s="4"/>
      <c r="K1794" s="4"/>
      <c r="L1794" s="4"/>
      <c r="M1794" s="4"/>
      <c r="N1794" s="4"/>
      <c r="O1794" s="4"/>
      <c r="P1794" s="4"/>
      <c r="Q1794" s="4"/>
    </row>
    <row r="1795" spans="1:17" ht="25.5" x14ac:dyDescent="0.2">
      <c r="A1795" s="1">
        <f t="shared" ca="1" si="69"/>
        <v>1793</v>
      </c>
      <c r="B1795" s="5" t="s">
        <v>4005</v>
      </c>
      <c r="C1795" s="82" t="s">
        <v>3146</v>
      </c>
      <c r="D1795" s="4"/>
      <c r="E1795" s="4"/>
      <c r="F1795" s="4"/>
      <c r="G1795" s="4"/>
      <c r="H1795" s="4"/>
      <c r="I1795" s="4" t="s">
        <v>6872</v>
      </c>
      <c r="J1795" s="4"/>
      <c r="K1795" s="4"/>
      <c r="L1795" s="4"/>
      <c r="M1795" s="4"/>
      <c r="N1795" s="4"/>
      <c r="O1795" s="4"/>
      <c r="P1795" s="4"/>
      <c r="Q1795" s="4"/>
    </row>
    <row r="1796" spans="1:17" x14ac:dyDescent="0.2">
      <c r="A1796" s="1">
        <f t="shared" ca="1" si="69"/>
        <v>1794</v>
      </c>
      <c r="B1796" s="5" t="s">
        <v>52</v>
      </c>
      <c r="C1796" s="82" t="s">
        <v>3380</v>
      </c>
      <c r="D1796" s="4"/>
      <c r="E1796" s="4"/>
      <c r="F1796" s="4"/>
      <c r="G1796" s="4"/>
      <c r="H1796" s="4"/>
      <c r="I1796" s="4" t="s">
        <v>6873</v>
      </c>
      <c r="J1796" s="4"/>
      <c r="K1796" s="4"/>
      <c r="L1796" s="4"/>
      <c r="M1796" s="4"/>
      <c r="N1796" s="4"/>
      <c r="O1796" s="4"/>
      <c r="P1796" s="4"/>
      <c r="Q1796" s="4"/>
    </row>
    <row r="1797" spans="1:17" x14ac:dyDescent="0.2">
      <c r="A1797" s="1">
        <f t="shared" ca="1" si="69"/>
        <v>1795</v>
      </c>
      <c r="B1797" s="5" t="s">
        <v>4004</v>
      </c>
      <c r="C1797" s="82" t="s">
        <v>3382</v>
      </c>
      <c r="D1797" s="4"/>
      <c r="E1797" s="4"/>
      <c r="F1797" s="4"/>
      <c r="G1797" s="4"/>
      <c r="H1797" s="4"/>
      <c r="I1797" s="4" t="s">
        <v>2731</v>
      </c>
      <c r="J1797" s="4"/>
      <c r="K1797" s="4"/>
      <c r="L1797" s="4"/>
      <c r="M1797" s="4"/>
      <c r="N1797" s="4"/>
      <c r="O1797" s="4"/>
      <c r="P1797" s="4"/>
      <c r="Q1797" s="4"/>
    </row>
    <row r="1798" spans="1:17" x14ac:dyDescent="0.2">
      <c r="A1798" s="1">
        <f t="shared" ca="1" si="69"/>
        <v>1796</v>
      </c>
      <c r="B1798" s="5" t="s">
        <v>53</v>
      </c>
      <c r="C1798" s="82" t="s">
        <v>3145</v>
      </c>
      <c r="D1798" s="4"/>
      <c r="E1798" s="4"/>
      <c r="F1798" s="4"/>
      <c r="G1798" s="4"/>
      <c r="H1798" s="4"/>
      <c r="I1798" s="4" t="s">
        <v>6874</v>
      </c>
      <c r="J1798" s="4"/>
      <c r="K1798" s="4"/>
      <c r="L1798" s="4"/>
      <c r="M1798" s="4"/>
      <c r="N1798" s="4"/>
      <c r="O1798" s="4"/>
      <c r="P1798" s="4"/>
      <c r="Q1798" s="4"/>
    </row>
    <row r="1799" spans="1:17" x14ac:dyDescent="0.2">
      <c r="A1799" s="1">
        <f t="shared" ca="1" si="69"/>
        <v>1797</v>
      </c>
      <c r="B1799" s="5" t="s">
        <v>54</v>
      </c>
      <c r="C1799" s="82" t="s">
        <v>3144</v>
      </c>
      <c r="D1799" s="4"/>
      <c r="E1799" s="4"/>
      <c r="F1799" s="4"/>
      <c r="G1799" s="4"/>
      <c r="H1799" s="4"/>
      <c r="I1799" s="4" t="s">
        <v>6875</v>
      </c>
      <c r="J1799" s="4"/>
      <c r="K1799" s="4"/>
      <c r="L1799" s="4"/>
      <c r="M1799" s="4"/>
      <c r="N1799" s="4"/>
      <c r="O1799" s="4"/>
      <c r="P1799" s="4"/>
      <c r="Q1799" s="4"/>
    </row>
    <row r="1800" spans="1:17" x14ac:dyDescent="0.2">
      <c r="A1800" s="1">
        <f t="shared" ca="1" si="69"/>
        <v>1798</v>
      </c>
      <c r="B1800" s="5" t="s">
        <v>55</v>
      </c>
      <c r="C1800" s="82" t="s">
        <v>3143</v>
      </c>
      <c r="D1800" s="4"/>
      <c r="E1800" s="4"/>
      <c r="F1800" s="4"/>
      <c r="G1800" s="4"/>
      <c r="H1800" s="4"/>
      <c r="I1800" s="4" t="s">
        <v>6876</v>
      </c>
      <c r="J1800" s="4"/>
      <c r="K1800" s="4"/>
      <c r="L1800" s="4"/>
      <c r="M1800" s="4"/>
      <c r="N1800" s="4"/>
      <c r="O1800" s="4"/>
      <c r="P1800" s="4"/>
      <c r="Q1800" s="4"/>
    </row>
    <row r="1801" spans="1:17" ht="25.5" x14ac:dyDescent="0.2">
      <c r="A1801" s="1">
        <f t="shared" ca="1" si="69"/>
        <v>1799</v>
      </c>
      <c r="B1801" s="5" t="s">
        <v>56</v>
      </c>
      <c r="C1801" s="82" t="s">
        <v>3142</v>
      </c>
      <c r="D1801" s="4"/>
      <c r="E1801" s="4"/>
      <c r="F1801" s="4"/>
      <c r="G1801" s="4"/>
      <c r="H1801" s="4"/>
      <c r="I1801" s="4" t="s">
        <v>6877</v>
      </c>
      <c r="J1801" s="4"/>
      <c r="K1801" s="4"/>
      <c r="L1801" s="4"/>
      <c r="M1801" s="4"/>
      <c r="N1801" s="4"/>
      <c r="O1801" s="4"/>
      <c r="P1801" s="4"/>
      <c r="Q1801" s="4"/>
    </row>
    <row r="1802" spans="1:17" ht="25.5" x14ac:dyDescent="0.2">
      <c r="A1802" s="1">
        <f t="shared" ca="1" si="69"/>
        <v>1800</v>
      </c>
      <c r="B1802" s="5" t="s">
        <v>57</v>
      </c>
      <c r="C1802" s="82" t="s">
        <v>3141</v>
      </c>
      <c r="D1802" s="4"/>
      <c r="E1802" s="4"/>
      <c r="F1802" s="4"/>
      <c r="G1802" s="4"/>
      <c r="H1802" s="4"/>
      <c r="I1802" s="4" t="s">
        <v>6878</v>
      </c>
      <c r="J1802" s="4"/>
      <c r="K1802" s="4"/>
      <c r="L1802" s="4"/>
      <c r="M1802" s="4"/>
      <c r="N1802" s="4"/>
      <c r="O1802" s="4"/>
      <c r="P1802" s="4"/>
      <c r="Q1802" s="4"/>
    </row>
    <row r="1803" spans="1:17" ht="25.5" x14ac:dyDescent="0.2">
      <c r="A1803" s="1">
        <f t="shared" ca="1" si="69"/>
        <v>1801</v>
      </c>
      <c r="B1803" s="5" t="s">
        <v>58</v>
      </c>
      <c r="C1803" s="82" t="s">
        <v>4222</v>
      </c>
      <c r="D1803" s="4"/>
      <c r="E1803" s="4"/>
      <c r="F1803" s="4"/>
      <c r="G1803" s="4"/>
      <c r="H1803" s="4"/>
      <c r="I1803" s="4" t="s">
        <v>6879</v>
      </c>
      <c r="J1803" s="4"/>
      <c r="K1803" s="4"/>
      <c r="L1803" s="4"/>
      <c r="M1803" s="4"/>
      <c r="N1803" s="4"/>
      <c r="O1803" s="4"/>
      <c r="P1803" s="4"/>
      <c r="Q1803" s="4"/>
    </row>
    <row r="1804" spans="1:17" ht="25.5" x14ac:dyDescent="0.2">
      <c r="A1804" s="1">
        <f t="shared" ca="1" si="69"/>
        <v>1802</v>
      </c>
      <c r="B1804" s="5" t="s">
        <v>59</v>
      </c>
      <c r="C1804" s="82" t="s">
        <v>4221</v>
      </c>
      <c r="D1804" s="4"/>
      <c r="E1804" s="4"/>
      <c r="F1804" s="4"/>
      <c r="G1804" s="4"/>
      <c r="H1804" s="4"/>
      <c r="I1804" s="4" t="s">
        <v>6880</v>
      </c>
      <c r="J1804" s="4"/>
      <c r="K1804" s="4"/>
      <c r="L1804" s="4"/>
      <c r="M1804" s="4"/>
      <c r="N1804" s="4"/>
      <c r="O1804" s="4"/>
      <c r="P1804" s="4"/>
      <c r="Q1804" s="4"/>
    </row>
    <row r="1805" spans="1:17" x14ac:dyDescent="0.2">
      <c r="A1805" s="1">
        <f t="shared" ca="1" si="69"/>
        <v>1803</v>
      </c>
      <c r="B1805" s="5" t="s">
        <v>326</v>
      </c>
      <c r="C1805" s="82" t="s">
        <v>8129</v>
      </c>
      <c r="D1805" s="4"/>
      <c r="E1805" s="4"/>
      <c r="F1805" s="4"/>
      <c r="G1805" s="4"/>
      <c r="H1805" s="4"/>
      <c r="I1805" s="4" t="s">
        <v>6881</v>
      </c>
      <c r="J1805" s="4"/>
      <c r="K1805" s="4"/>
      <c r="L1805" s="4"/>
      <c r="M1805" s="4"/>
      <c r="N1805" s="4"/>
      <c r="O1805" s="4"/>
      <c r="P1805" s="4"/>
      <c r="Q1805" s="4"/>
    </row>
    <row r="1806" spans="1:17" x14ac:dyDescent="0.2">
      <c r="A1806" s="1">
        <f t="shared" ca="1" si="69"/>
        <v>1804</v>
      </c>
      <c r="B1806" s="5" t="s">
        <v>8910</v>
      </c>
      <c r="C1806" s="145" t="s">
        <v>8911</v>
      </c>
      <c r="D1806" s="4"/>
      <c r="E1806" s="4"/>
      <c r="F1806" s="4"/>
      <c r="G1806" s="4"/>
      <c r="H1806" s="4"/>
      <c r="I1806" s="4" t="s">
        <v>6882</v>
      </c>
      <c r="J1806" s="4"/>
      <c r="K1806" s="4"/>
      <c r="L1806" s="4"/>
      <c r="M1806" s="4"/>
      <c r="N1806" s="4"/>
      <c r="O1806" s="4"/>
      <c r="P1806" s="4"/>
      <c r="Q1806" s="4"/>
    </row>
    <row r="1807" spans="1:17" x14ac:dyDescent="0.2">
      <c r="A1807" s="1">
        <f t="shared" ca="1" si="69"/>
        <v>1805</v>
      </c>
      <c r="B1807" s="5" t="s">
        <v>327</v>
      </c>
      <c r="C1807" s="82" t="s">
        <v>3140</v>
      </c>
      <c r="D1807" s="4"/>
      <c r="E1807" s="4"/>
      <c r="F1807" s="4"/>
      <c r="G1807" s="4"/>
      <c r="H1807" s="4"/>
      <c r="I1807" s="4" t="s">
        <v>6883</v>
      </c>
      <c r="J1807" s="4"/>
      <c r="K1807" s="4"/>
      <c r="L1807" s="4"/>
      <c r="M1807" s="4"/>
      <c r="N1807" s="4"/>
      <c r="O1807" s="4"/>
      <c r="P1807" s="4"/>
      <c r="Q1807" s="4"/>
    </row>
    <row r="1808" spans="1:17" x14ac:dyDescent="0.2">
      <c r="A1808" s="1">
        <f t="shared" ca="1" si="69"/>
        <v>1806</v>
      </c>
      <c r="B1808" s="5" t="s">
        <v>328</v>
      </c>
      <c r="C1808" s="82" t="s">
        <v>8129</v>
      </c>
      <c r="D1808" s="4"/>
      <c r="E1808" s="4"/>
      <c r="F1808" s="4"/>
      <c r="G1808" s="4"/>
      <c r="H1808" s="4"/>
      <c r="I1808" s="4" t="s">
        <v>6712</v>
      </c>
      <c r="J1808" s="4"/>
      <c r="K1808" s="4"/>
      <c r="L1808" s="4"/>
      <c r="M1808" s="4"/>
      <c r="N1808" s="4"/>
      <c r="O1808" s="4"/>
      <c r="P1808" s="4"/>
      <c r="Q1808" s="4"/>
    </row>
    <row r="1809" spans="1:17" x14ac:dyDescent="0.2">
      <c r="A1809" s="1">
        <f t="shared" ca="1" si="69"/>
        <v>1807</v>
      </c>
      <c r="B1809" s="5" t="s">
        <v>329</v>
      </c>
      <c r="C1809" s="82" t="s">
        <v>8131</v>
      </c>
      <c r="D1809" s="4"/>
      <c r="E1809" s="4"/>
      <c r="F1809" s="4"/>
      <c r="G1809" s="4"/>
      <c r="H1809" s="4"/>
      <c r="I1809" s="4" t="s">
        <v>6884</v>
      </c>
      <c r="J1809" s="4"/>
      <c r="K1809" s="4"/>
      <c r="L1809" s="4"/>
      <c r="M1809" s="4"/>
      <c r="N1809" s="4"/>
      <c r="O1809" s="4"/>
      <c r="P1809" s="4"/>
      <c r="Q1809" s="4"/>
    </row>
    <row r="1810" spans="1:17" x14ac:dyDescent="0.2">
      <c r="A1810" s="1">
        <f t="shared" ca="1" si="69"/>
        <v>1808</v>
      </c>
      <c r="B1810" s="5" t="s">
        <v>330</v>
      </c>
      <c r="C1810" s="82" t="s">
        <v>8132</v>
      </c>
      <c r="D1810" s="4"/>
      <c r="E1810" s="4"/>
      <c r="F1810" s="4"/>
      <c r="G1810" s="4"/>
      <c r="H1810" s="4"/>
      <c r="I1810" s="4" t="s">
        <v>6885</v>
      </c>
      <c r="J1810" s="4"/>
      <c r="K1810" s="4"/>
      <c r="L1810" s="4"/>
      <c r="M1810" s="4"/>
      <c r="N1810" s="4"/>
      <c r="O1810" s="4"/>
      <c r="P1810" s="4"/>
      <c r="Q1810" s="4"/>
    </row>
    <row r="1811" spans="1:17" x14ac:dyDescent="0.2">
      <c r="A1811" s="1">
        <f t="shared" ca="1" si="69"/>
        <v>1809</v>
      </c>
      <c r="B1811" s="5" t="s">
        <v>331</v>
      </c>
      <c r="C1811" s="82" t="s">
        <v>8133</v>
      </c>
      <c r="D1811" s="4"/>
      <c r="E1811" s="4"/>
      <c r="F1811" s="4"/>
      <c r="G1811" s="4"/>
      <c r="H1811" s="4"/>
      <c r="I1811" s="4" t="s">
        <v>6886</v>
      </c>
      <c r="J1811" s="4"/>
      <c r="K1811" s="4"/>
      <c r="L1811" s="4"/>
      <c r="M1811" s="4"/>
      <c r="N1811" s="4"/>
      <c r="O1811" s="4"/>
      <c r="P1811" s="4"/>
      <c r="Q1811" s="4"/>
    </row>
    <row r="1812" spans="1:17" x14ac:dyDescent="0.2">
      <c r="A1812" s="1">
        <f t="shared" ca="1" si="69"/>
        <v>1810</v>
      </c>
      <c r="B1812" s="5" t="s">
        <v>332</v>
      </c>
      <c r="C1812" s="82" t="s">
        <v>8134</v>
      </c>
      <c r="D1812" s="4"/>
      <c r="E1812" s="4"/>
      <c r="F1812" s="4"/>
      <c r="G1812" s="4"/>
      <c r="H1812" s="4"/>
      <c r="I1812" s="4" t="s">
        <v>6887</v>
      </c>
      <c r="J1812" s="4"/>
      <c r="K1812" s="4"/>
      <c r="L1812" s="4"/>
      <c r="M1812" s="4"/>
      <c r="N1812" s="4"/>
      <c r="O1812" s="4"/>
      <c r="P1812" s="4"/>
      <c r="Q1812" s="4"/>
    </row>
    <row r="1813" spans="1:17" x14ac:dyDescent="0.2">
      <c r="A1813" s="1">
        <f t="shared" ca="1" si="69"/>
        <v>1811</v>
      </c>
      <c r="B1813" s="5" t="s">
        <v>333</v>
      </c>
      <c r="C1813" s="82" t="s">
        <v>8135</v>
      </c>
      <c r="D1813" s="4"/>
      <c r="E1813" s="4"/>
      <c r="F1813" s="4"/>
      <c r="G1813" s="4"/>
      <c r="H1813" s="4"/>
      <c r="I1813" s="4" t="s">
        <v>6888</v>
      </c>
      <c r="J1813" s="4"/>
      <c r="K1813" s="4"/>
      <c r="L1813" s="4"/>
      <c r="M1813" s="4"/>
      <c r="N1813" s="4"/>
      <c r="O1813" s="4"/>
      <c r="P1813" s="4"/>
      <c r="Q1813" s="4"/>
    </row>
    <row r="1814" spans="1:17" x14ac:dyDescent="0.2">
      <c r="A1814" s="1">
        <f t="shared" ca="1" si="69"/>
        <v>1812</v>
      </c>
      <c r="B1814" s="5" t="s">
        <v>156</v>
      </c>
      <c r="C1814" s="82" t="s">
        <v>154</v>
      </c>
      <c r="D1814" s="4"/>
      <c r="E1814" s="4"/>
      <c r="F1814" s="4"/>
      <c r="G1814" s="4"/>
      <c r="H1814" s="4"/>
      <c r="I1814" s="4" t="s">
        <v>1863</v>
      </c>
      <c r="J1814" s="4"/>
      <c r="K1814" s="4"/>
      <c r="L1814" s="4"/>
      <c r="M1814" s="4"/>
      <c r="N1814" s="4"/>
      <c r="O1814" s="4"/>
      <c r="P1814" s="4"/>
      <c r="Q1814" s="4"/>
    </row>
    <row r="1815" spans="1:17" x14ac:dyDescent="0.2">
      <c r="A1815" s="1">
        <f t="shared" ca="1" si="69"/>
        <v>1813</v>
      </c>
      <c r="B1815" s="5" t="s">
        <v>4536</v>
      </c>
      <c r="C1815" s="82" t="s">
        <v>3139</v>
      </c>
      <c r="D1815" s="4"/>
      <c r="E1815" s="4"/>
      <c r="F1815" s="4"/>
      <c r="G1815" s="4"/>
      <c r="H1815" s="4"/>
      <c r="I1815" s="4" t="s">
        <v>6889</v>
      </c>
      <c r="J1815" s="4"/>
      <c r="K1815" s="4"/>
      <c r="L1815" s="4"/>
      <c r="M1815" s="4"/>
      <c r="N1815" s="4"/>
      <c r="O1815" s="4"/>
      <c r="P1815" s="4"/>
      <c r="Q1815" s="4"/>
    </row>
    <row r="1816" spans="1:17" ht="25.5" x14ac:dyDescent="0.2">
      <c r="A1816" s="1">
        <f t="shared" ca="1" si="69"/>
        <v>1814</v>
      </c>
      <c r="B1816" s="5" t="s">
        <v>4537</v>
      </c>
      <c r="C1816" s="82" t="s">
        <v>3138</v>
      </c>
      <c r="D1816" s="4"/>
      <c r="E1816" s="4"/>
      <c r="F1816" s="4"/>
      <c r="G1816" s="4"/>
      <c r="H1816" s="4"/>
      <c r="I1816" s="4" t="s">
        <v>4137</v>
      </c>
      <c r="J1816" s="4"/>
      <c r="K1816" s="4"/>
      <c r="L1816" s="4"/>
      <c r="M1816" s="4"/>
      <c r="N1816" s="4"/>
      <c r="O1816" s="4"/>
      <c r="P1816" s="4"/>
      <c r="Q1816" s="4"/>
    </row>
    <row r="1817" spans="1:17" x14ac:dyDescent="0.2">
      <c r="A1817" s="1">
        <f t="shared" ca="1" si="69"/>
        <v>1815</v>
      </c>
      <c r="B1817" s="5" t="s">
        <v>4538</v>
      </c>
      <c r="C1817" s="82" t="s">
        <v>8138</v>
      </c>
      <c r="D1817" s="4"/>
      <c r="E1817" s="4"/>
      <c r="F1817" s="4"/>
      <c r="G1817" s="4"/>
      <c r="H1817" s="4"/>
      <c r="I1817" s="4" t="s">
        <v>6890</v>
      </c>
      <c r="J1817" s="4"/>
      <c r="K1817" s="4"/>
      <c r="L1817" s="4"/>
      <c r="M1817" s="4"/>
      <c r="N1817" s="4"/>
      <c r="O1817" s="4"/>
      <c r="P1817" s="4"/>
      <c r="Q1817" s="4"/>
    </row>
    <row r="1818" spans="1:17" ht="25.5" x14ac:dyDescent="0.2">
      <c r="A1818" s="1">
        <f t="shared" ca="1" si="69"/>
        <v>1816</v>
      </c>
      <c r="B1818" s="5" t="s">
        <v>4539</v>
      </c>
      <c r="C1818" s="82" t="s">
        <v>8139</v>
      </c>
      <c r="D1818" s="4"/>
      <c r="E1818" s="4"/>
      <c r="F1818" s="4"/>
      <c r="G1818" s="4"/>
      <c r="H1818" s="4"/>
      <c r="I1818" s="4" t="s">
        <v>6891</v>
      </c>
      <c r="J1818" s="4"/>
      <c r="K1818" s="4"/>
      <c r="L1818" s="4"/>
      <c r="M1818" s="4"/>
      <c r="N1818" s="4"/>
      <c r="O1818" s="4"/>
      <c r="P1818" s="4"/>
      <c r="Q1818" s="4"/>
    </row>
    <row r="1819" spans="1:17" x14ac:dyDescent="0.2">
      <c r="A1819" s="1">
        <f t="shared" ca="1" si="69"/>
        <v>1817</v>
      </c>
      <c r="B1819" s="5" t="s">
        <v>4540</v>
      </c>
      <c r="C1819" s="82" t="s">
        <v>3137</v>
      </c>
      <c r="D1819" s="4"/>
      <c r="E1819" s="4"/>
      <c r="F1819" s="4"/>
      <c r="G1819" s="4"/>
      <c r="H1819" s="4"/>
      <c r="I1819" s="4" t="s">
        <v>6892</v>
      </c>
      <c r="J1819" s="4"/>
      <c r="K1819" s="4"/>
      <c r="L1819" s="4"/>
      <c r="M1819" s="4"/>
      <c r="N1819" s="4"/>
      <c r="O1819" s="4"/>
      <c r="P1819" s="4"/>
      <c r="Q1819" s="4"/>
    </row>
    <row r="1820" spans="1:17" x14ac:dyDescent="0.2">
      <c r="A1820" s="1">
        <f t="shared" ca="1" si="69"/>
        <v>1818</v>
      </c>
      <c r="B1820" s="5" t="s">
        <v>4541</v>
      </c>
      <c r="C1820" s="82" t="s">
        <v>3136</v>
      </c>
      <c r="D1820" s="4"/>
      <c r="E1820" s="4"/>
      <c r="F1820" s="4"/>
      <c r="G1820" s="4"/>
      <c r="H1820" s="4"/>
      <c r="I1820" s="4" t="s">
        <v>6893</v>
      </c>
      <c r="J1820" s="4"/>
      <c r="K1820" s="4"/>
      <c r="L1820" s="4"/>
      <c r="M1820" s="4"/>
      <c r="N1820" s="4"/>
      <c r="O1820" s="4"/>
      <c r="P1820" s="4"/>
      <c r="Q1820" s="4"/>
    </row>
    <row r="1821" spans="1:17" x14ac:dyDescent="0.2">
      <c r="A1821" s="1">
        <f t="shared" ca="1" si="69"/>
        <v>1819</v>
      </c>
      <c r="B1821" s="5" t="s">
        <v>4542</v>
      </c>
      <c r="C1821" s="82" t="s">
        <v>4769</v>
      </c>
      <c r="D1821" s="4"/>
      <c r="E1821" s="4"/>
      <c r="F1821" s="4"/>
      <c r="G1821" s="4"/>
      <c r="H1821" s="4"/>
      <c r="I1821" s="4" t="s">
        <v>6894</v>
      </c>
      <c r="J1821" s="4"/>
      <c r="K1821" s="4"/>
      <c r="L1821" s="4"/>
      <c r="M1821" s="4"/>
      <c r="N1821" s="4"/>
      <c r="O1821" s="4"/>
      <c r="P1821" s="4"/>
      <c r="Q1821" s="4"/>
    </row>
    <row r="1822" spans="1:17" ht="25.5" x14ac:dyDescent="0.2">
      <c r="A1822" s="1">
        <f t="shared" ca="1" si="69"/>
        <v>1820</v>
      </c>
      <c r="B1822" s="5" t="s">
        <v>4543</v>
      </c>
      <c r="C1822" s="82" t="s">
        <v>8142</v>
      </c>
      <c r="D1822" s="4"/>
      <c r="E1822" s="4"/>
      <c r="F1822" s="4"/>
      <c r="G1822" s="4"/>
      <c r="H1822" s="4"/>
      <c r="I1822" s="4" t="s">
        <v>6895</v>
      </c>
      <c r="J1822" s="4"/>
      <c r="K1822" s="4"/>
      <c r="L1822" s="4"/>
      <c r="M1822" s="4"/>
      <c r="N1822" s="4"/>
      <c r="O1822" s="4"/>
      <c r="P1822" s="4"/>
      <c r="Q1822" s="4"/>
    </row>
    <row r="1823" spans="1:17" x14ac:dyDescent="0.2">
      <c r="A1823" s="1">
        <f t="shared" ca="1" si="69"/>
        <v>1821</v>
      </c>
      <c r="B1823" s="5" t="s">
        <v>6236</v>
      </c>
      <c r="C1823" s="82" t="s">
        <v>3135</v>
      </c>
      <c r="D1823" s="4"/>
      <c r="E1823" s="4"/>
      <c r="F1823" s="4"/>
      <c r="G1823" s="4"/>
      <c r="H1823" s="4"/>
      <c r="I1823" s="4" t="s">
        <v>991</v>
      </c>
      <c r="J1823" s="4"/>
      <c r="K1823" s="4"/>
      <c r="L1823" s="4"/>
      <c r="M1823" s="4"/>
      <c r="N1823" s="4"/>
      <c r="O1823" s="4"/>
      <c r="P1823" s="4"/>
      <c r="Q1823" s="4"/>
    </row>
    <row r="1824" spans="1:17" x14ac:dyDescent="0.2">
      <c r="A1824" s="1">
        <f t="shared" ca="1" si="69"/>
        <v>1822</v>
      </c>
      <c r="B1824" s="5" t="s">
        <v>2664</v>
      </c>
      <c r="C1824" s="82" t="s">
        <v>3134</v>
      </c>
      <c r="D1824" s="4"/>
      <c r="E1824" s="4"/>
      <c r="F1824" s="4"/>
      <c r="G1824" s="4"/>
      <c r="H1824" s="4"/>
      <c r="I1824" s="4" t="s">
        <v>5039</v>
      </c>
      <c r="J1824" s="4"/>
      <c r="K1824" s="4"/>
      <c r="L1824" s="4"/>
      <c r="M1824" s="4"/>
      <c r="N1824" s="4"/>
      <c r="O1824" s="4"/>
      <c r="P1824" s="4"/>
      <c r="Q1824" s="4"/>
    </row>
    <row r="1825" spans="1:17" x14ac:dyDescent="0.2">
      <c r="A1825" s="1">
        <f t="shared" ca="1" si="69"/>
        <v>1823</v>
      </c>
      <c r="B1825" s="5" t="s">
        <v>3889</v>
      </c>
      <c r="C1825" s="82" t="s">
        <v>3133</v>
      </c>
      <c r="D1825" s="4"/>
      <c r="E1825" s="4"/>
      <c r="F1825" s="4"/>
      <c r="G1825" s="4"/>
      <c r="H1825" s="4"/>
      <c r="I1825" s="4" t="s">
        <v>6896</v>
      </c>
      <c r="J1825" s="4"/>
      <c r="K1825" s="4"/>
      <c r="L1825" s="4"/>
      <c r="M1825" s="4"/>
      <c r="N1825" s="4"/>
      <c r="O1825" s="4"/>
      <c r="P1825" s="4"/>
      <c r="Q1825" s="4"/>
    </row>
    <row r="1826" spans="1:17" x14ac:dyDescent="0.2">
      <c r="A1826" s="1">
        <f t="shared" ca="1" si="69"/>
        <v>1824</v>
      </c>
      <c r="B1826" s="5" t="s">
        <v>4544</v>
      </c>
      <c r="C1826" s="82" t="s">
        <v>8146</v>
      </c>
      <c r="D1826" s="4"/>
      <c r="E1826" s="4"/>
      <c r="F1826" s="4"/>
      <c r="G1826" s="4"/>
      <c r="H1826" s="4"/>
      <c r="I1826" s="4" t="s">
        <v>6897</v>
      </c>
      <c r="J1826" s="4"/>
      <c r="K1826" s="4"/>
      <c r="L1826" s="4"/>
      <c r="M1826" s="4"/>
      <c r="N1826" s="4"/>
      <c r="O1826" s="4"/>
      <c r="P1826" s="4"/>
      <c r="Q1826" s="4"/>
    </row>
    <row r="1827" spans="1:17" ht="38.25" x14ac:dyDescent="0.2">
      <c r="A1827" s="1">
        <f t="shared" ca="1" si="69"/>
        <v>1825</v>
      </c>
      <c r="B1827" s="5" t="s">
        <v>6451</v>
      </c>
      <c r="C1827" s="82" t="s">
        <v>8369</v>
      </c>
      <c r="D1827" s="4"/>
      <c r="E1827" s="4"/>
      <c r="F1827" s="4"/>
      <c r="G1827" s="4"/>
      <c r="H1827" s="4"/>
      <c r="I1827" s="4" t="s">
        <v>6898</v>
      </c>
      <c r="J1827" s="4"/>
      <c r="K1827" s="4"/>
      <c r="L1827" s="4"/>
      <c r="M1827" s="4"/>
      <c r="N1827" s="4"/>
      <c r="O1827" s="4"/>
      <c r="P1827" s="4"/>
      <c r="Q1827" s="4"/>
    </row>
    <row r="1828" spans="1:17" x14ac:dyDescent="0.2">
      <c r="A1828" s="1">
        <f t="shared" ca="1" si="69"/>
        <v>1826</v>
      </c>
      <c r="B1828" s="5" t="s">
        <v>8447</v>
      </c>
      <c r="C1828" s="82" t="s">
        <v>3130</v>
      </c>
      <c r="D1828" s="4"/>
      <c r="E1828" s="4"/>
      <c r="F1828" s="4"/>
      <c r="G1828" s="4"/>
      <c r="H1828" s="4"/>
      <c r="I1828" s="82" t="s">
        <v>6899</v>
      </c>
      <c r="J1828" s="4"/>
      <c r="K1828" s="4"/>
      <c r="L1828" s="4"/>
      <c r="M1828" s="4"/>
      <c r="N1828" s="4"/>
      <c r="O1828" s="4"/>
      <c r="P1828" s="4"/>
      <c r="Q1828" s="4"/>
    </row>
    <row r="1829" spans="1:17" ht="38.25" x14ac:dyDescent="0.2">
      <c r="A1829" s="1">
        <f t="shared" ca="1" si="69"/>
        <v>1827</v>
      </c>
      <c r="B1829" s="5" t="s">
        <v>8448</v>
      </c>
      <c r="C1829" s="82" t="s">
        <v>8370</v>
      </c>
      <c r="D1829" s="4"/>
      <c r="E1829" s="4"/>
      <c r="F1829" s="4"/>
      <c r="G1829" s="4"/>
      <c r="H1829" s="4"/>
      <c r="I1829" s="4" t="s">
        <v>6900</v>
      </c>
      <c r="J1829" s="4"/>
      <c r="K1829" s="4"/>
      <c r="L1829" s="4"/>
      <c r="M1829" s="4"/>
      <c r="N1829" s="4"/>
      <c r="O1829" s="4"/>
      <c r="P1829" s="4"/>
      <c r="Q1829" s="4"/>
    </row>
    <row r="1830" spans="1:17" ht="25.5" x14ac:dyDescent="0.2">
      <c r="A1830" s="1">
        <f t="shared" ca="1" si="69"/>
        <v>1828</v>
      </c>
      <c r="B1830" s="5" t="s">
        <v>8449</v>
      </c>
      <c r="C1830" s="82" t="s">
        <v>3132</v>
      </c>
      <c r="D1830" s="4"/>
      <c r="E1830" s="4"/>
      <c r="F1830" s="4"/>
      <c r="G1830" s="4"/>
      <c r="H1830" s="4"/>
      <c r="I1830" s="82" t="s">
        <v>5186</v>
      </c>
      <c r="J1830" s="4"/>
      <c r="K1830" s="4"/>
      <c r="L1830" s="4"/>
      <c r="M1830" s="4"/>
      <c r="N1830" s="4"/>
      <c r="O1830" s="4"/>
      <c r="P1830" s="4"/>
      <c r="Q1830" s="4"/>
    </row>
    <row r="1831" spans="1:17" ht="38.25" x14ac:dyDescent="0.2">
      <c r="A1831" s="1">
        <f t="shared" ca="1" si="69"/>
        <v>1829</v>
      </c>
      <c r="B1831" s="5" t="s">
        <v>8016</v>
      </c>
      <c r="C1831" s="82" t="s">
        <v>3129</v>
      </c>
      <c r="D1831" s="4"/>
      <c r="E1831" s="4"/>
      <c r="F1831" s="4"/>
      <c r="G1831" s="4"/>
      <c r="H1831" s="4"/>
      <c r="I1831" s="4" t="s">
        <v>5187</v>
      </c>
      <c r="J1831" s="4"/>
      <c r="K1831" s="4"/>
      <c r="L1831" s="4"/>
      <c r="M1831" s="4"/>
      <c r="N1831" s="4"/>
      <c r="O1831" s="4"/>
      <c r="P1831" s="4"/>
      <c r="Q1831" s="4"/>
    </row>
    <row r="1832" spans="1:17" x14ac:dyDescent="0.2">
      <c r="A1832" s="1">
        <f t="shared" ca="1" si="69"/>
        <v>1830</v>
      </c>
      <c r="B1832" s="5" t="s">
        <v>1589</v>
      </c>
      <c r="C1832" s="82" t="s">
        <v>3131</v>
      </c>
      <c r="D1832" s="4"/>
      <c r="E1832" s="4"/>
      <c r="F1832" s="4"/>
      <c r="G1832" s="4"/>
      <c r="H1832" s="4"/>
      <c r="I1832" s="82" t="s">
        <v>5388</v>
      </c>
      <c r="J1832" s="4"/>
      <c r="K1832" s="4"/>
      <c r="L1832" s="4"/>
      <c r="M1832" s="4"/>
      <c r="N1832" s="4"/>
      <c r="O1832" s="4"/>
      <c r="P1832" s="4"/>
      <c r="Q1832" s="4"/>
    </row>
    <row r="1833" spans="1:17" x14ac:dyDescent="0.2">
      <c r="A1833" s="1">
        <f t="shared" ca="1" si="69"/>
        <v>1831</v>
      </c>
      <c r="B1833" s="5" t="s">
        <v>8182</v>
      </c>
      <c r="C1833" s="82" t="s">
        <v>8362</v>
      </c>
      <c r="D1833" s="4"/>
      <c r="E1833" s="4"/>
      <c r="F1833" s="4"/>
      <c r="G1833" s="4"/>
      <c r="H1833" s="4"/>
      <c r="I1833" s="4" t="s">
        <v>5389</v>
      </c>
      <c r="J1833" s="4"/>
      <c r="K1833" s="4"/>
      <c r="L1833" s="4"/>
      <c r="M1833" s="4"/>
      <c r="N1833" s="4"/>
      <c r="O1833" s="4"/>
      <c r="P1833" s="4"/>
      <c r="Q1833" s="4"/>
    </row>
    <row r="1834" spans="1:17" x14ac:dyDescent="0.2">
      <c r="A1834" s="1">
        <f t="shared" ca="1" si="69"/>
        <v>1832</v>
      </c>
      <c r="B1834" s="5" t="s">
        <v>2925</v>
      </c>
      <c r="C1834" s="82" t="s">
        <v>3128</v>
      </c>
      <c r="D1834" s="4"/>
      <c r="E1834" s="4"/>
      <c r="F1834" s="4"/>
      <c r="G1834" s="4"/>
      <c r="H1834" s="4"/>
      <c r="I1834" s="4" t="s">
        <v>2119</v>
      </c>
      <c r="J1834" s="4"/>
      <c r="K1834" s="4"/>
      <c r="L1834" s="4"/>
      <c r="M1834" s="4"/>
      <c r="N1834" s="4"/>
      <c r="O1834" s="4"/>
      <c r="P1834" s="4"/>
      <c r="Q1834" s="4"/>
    </row>
    <row r="1835" spans="1:17" x14ac:dyDescent="0.2">
      <c r="A1835" s="1">
        <f t="shared" ca="1" si="69"/>
        <v>1833</v>
      </c>
      <c r="B1835" s="5" t="s">
        <v>2926</v>
      </c>
      <c r="C1835" s="82" t="s">
        <v>3607</v>
      </c>
      <c r="D1835" s="4"/>
      <c r="E1835" s="4"/>
      <c r="F1835" s="4"/>
      <c r="G1835" s="4"/>
      <c r="H1835" s="4"/>
      <c r="I1835" s="4" t="s">
        <v>2120</v>
      </c>
      <c r="J1835" s="4"/>
      <c r="K1835" s="4"/>
      <c r="L1835" s="4"/>
      <c r="M1835" s="4"/>
      <c r="N1835" s="4"/>
      <c r="O1835" s="4"/>
      <c r="P1835" s="4"/>
      <c r="Q1835" s="4"/>
    </row>
    <row r="1836" spans="1:17" x14ac:dyDescent="0.2">
      <c r="A1836" s="1">
        <f t="shared" ca="1" si="69"/>
        <v>1834</v>
      </c>
      <c r="B1836" s="5" t="s">
        <v>2927</v>
      </c>
      <c r="C1836" s="82" t="s">
        <v>3127</v>
      </c>
      <c r="D1836" s="4"/>
      <c r="E1836" s="4"/>
      <c r="F1836" s="4"/>
      <c r="G1836" s="4"/>
      <c r="H1836" s="4"/>
      <c r="I1836" s="4" t="s">
        <v>2121</v>
      </c>
      <c r="J1836" s="4"/>
      <c r="K1836" s="4"/>
      <c r="L1836" s="4"/>
      <c r="M1836" s="4"/>
      <c r="N1836" s="4"/>
      <c r="O1836" s="4"/>
      <c r="P1836" s="4"/>
      <c r="Q1836" s="4"/>
    </row>
    <row r="1837" spans="1:17" x14ac:dyDescent="0.2">
      <c r="A1837" s="1">
        <f t="shared" ca="1" si="69"/>
        <v>1835</v>
      </c>
      <c r="B1837" s="5" t="s">
        <v>2928</v>
      </c>
      <c r="C1837" s="82" t="s">
        <v>2928</v>
      </c>
      <c r="D1837" s="4"/>
      <c r="E1837" s="4"/>
      <c r="F1837" s="4"/>
      <c r="G1837" s="4"/>
      <c r="H1837" s="4"/>
      <c r="I1837" s="4" t="s">
        <v>2122</v>
      </c>
      <c r="J1837" s="4"/>
      <c r="K1837" s="4"/>
      <c r="L1837" s="4"/>
      <c r="M1837" s="4"/>
      <c r="N1837" s="4"/>
      <c r="O1837" s="4"/>
      <c r="P1837" s="4"/>
      <c r="Q1837" s="4"/>
    </row>
    <row r="1838" spans="1:17" x14ac:dyDescent="0.2">
      <c r="A1838" s="1">
        <f t="shared" ca="1" si="69"/>
        <v>1836</v>
      </c>
      <c r="B1838" s="5" t="s">
        <v>2929</v>
      </c>
      <c r="C1838" s="82" t="s">
        <v>3126</v>
      </c>
      <c r="D1838" s="4"/>
      <c r="E1838" s="4"/>
      <c r="F1838" s="4"/>
      <c r="G1838" s="4"/>
      <c r="H1838" s="4"/>
      <c r="I1838" s="4" t="s">
        <v>2123</v>
      </c>
      <c r="J1838" s="4"/>
      <c r="K1838" s="4"/>
      <c r="L1838" s="4"/>
      <c r="M1838" s="4"/>
      <c r="N1838" s="4"/>
      <c r="O1838" s="4"/>
      <c r="P1838" s="4"/>
      <c r="Q1838" s="4"/>
    </row>
    <row r="1839" spans="1:17" x14ac:dyDescent="0.2">
      <c r="A1839" s="1">
        <f t="shared" ca="1" si="69"/>
        <v>1837</v>
      </c>
      <c r="B1839" s="5" t="s">
        <v>2930</v>
      </c>
      <c r="C1839" s="82" t="s">
        <v>3125</v>
      </c>
      <c r="D1839" s="4"/>
      <c r="E1839" s="4"/>
      <c r="F1839" s="4"/>
      <c r="G1839" s="4"/>
      <c r="H1839" s="4"/>
      <c r="I1839" s="4" t="s">
        <v>2124</v>
      </c>
      <c r="J1839" s="4"/>
      <c r="K1839" s="4"/>
      <c r="L1839" s="4"/>
      <c r="M1839" s="4"/>
      <c r="N1839" s="4"/>
      <c r="O1839" s="4"/>
      <c r="P1839" s="4"/>
      <c r="Q1839" s="4"/>
    </row>
    <row r="1840" spans="1:17" x14ac:dyDescent="0.2">
      <c r="A1840" s="1">
        <f t="shared" ca="1" si="69"/>
        <v>1838</v>
      </c>
      <c r="B1840" s="5" t="s">
        <v>2931</v>
      </c>
      <c r="C1840" s="82" t="s">
        <v>3124</v>
      </c>
      <c r="D1840" s="4"/>
      <c r="E1840" s="4"/>
      <c r="F1840" s="4"/>
      <c r="G1840" s="4"/>
      <c r="H1840" s="4"/>
      <c r="I1840" s="4" t="s">
        <v>2125</v>
      </c>
      <c r="J1840" s="4"/>
      <c r="K1840" s="4"/>
      <c r="L1840" s="4"/>
      <c r="M1840" s="4"/>
      <c r="N1840" s="4"/>
      <c r="O1840" s="4"/>
      <c r="P1840" s="4"/>
      <c r="Q1840" s="4"/>
    </row>
    <row r="1841" spans="1:17" x14ac:dyDescent="0.2">
      <c r="A1841" s="1">
        <f t="shared" ca="1" si="69"/>
        <v>1839</v>
      </c>
      <c r="B1841" s="5" t="s">
        <v>2932</v>
      </c>
      <c r="C1841" s="82" t="s">
        <v>3123</v>
      </c>
      <c r="D1841" s="4"/>
      <c r="E1841" s="4"/>
      <c r="F1841" s="4"/>
      <c r="G1841" s="4"/>
      <c r="H1841" s="4"/>
      <c r="I1841" s="4" t="s">
        <v>2126</v>
      </c>
      <c r="J1841" s="4"/>
      <c r="K1841" s="4"/>
      <c r="L1841" s="4"/>
      <c r="M1841" s="4"/>
      <c r="N1841" s="4"/>
      <c r="O1841" s="4"/>
      <c r="P1841" s="4"/>
      <c r="Q1841" s="4"/>
    </row>
    <row r="1842" spans="1:17" x14ac:dyDescent="0.2">
      <c r="A1842" s="1">
        <f t="shared" ca="1" si="69"/>
        <v>1840</v>
      </c>
      <c r="B1842" s="5" t="s">
        <v>2933</v>
      </c>
      <c r="C1842" s="82" t="s">
        <v>3122</v>
      </c>
      <c r="D1842" s="4"/>
      <c r="E1842" s="4"/>
      <c r="F1842" s="4"/>
      <c r="G1842" s="4"/>
      <c r="H1842" s="4"/>
      <c r="I1842" s="4" t="s">
        <v>2127</v>
      </c>
      <c r="J1842" s="4"/>
      <c r="K1842" s="4"/>
      <c r="L1842" s="4"/>
      <c r="M1842" s="4"/>
      <c r="N1842" s="4"/>
      <c r="O1842" s="4"/>
      <c r="P1842" s="4"/>
      <c r="Q1842" s="4"/>
    </row>
    <row r="1843" spans="1:17" x14ac:dyDescent="0.2">
      <c r="A1843" s="1">
        <f t="shared" ca="1" si="69"/>
        <v>1841</v>
      </c>
      <c r="B1843" s="5" t="s">
        <v>2934</v>
      </c>
      <c r="C1843" s="82" t="s">
        <v>3121</v>
      </c>
      <c r="D1843" s="4"/>
      <c r="E1843" s="4"/>
      <c r="F1843" s="4"/>
      <c r="G1843" s="4"/>
      <c r="H1843" s="4"/>
      <c r="I1843" s="4" t="s">
        <v>2128</v>
      </c>
      <c r="J1843" s="4"/>
      <c r="K1843" s="4"/>
      <c r="L1843" s="4"/>
      <c r="M1843" s="4"/>
      <c r="N1843" s="4"/>
      <c r="O1843" s="4"/>
      <c r="P1843" s="4"/>
      <c r="Q1843" s="4"/>
    </row>
    <row r="1844" spans="1:17" x14ac:dyDescent="0.2">
      <c r="A1844" s="1">
        <f t="shared" ca="1" si="69"/>
        <v>1842</v>
      </c>
      <c r="B1844" s="5" t="s">
        <v>2935</v>
      </c>
      <c r="C1844" s="82" t="s">
        <v>3120</v>
      </c>
      <c r="D1844" s="4"/>
      <c r="E1844" s="4"/>
      <c r="F1844" s="4"/>
      <c r="G1844" s="4"/>
      <c r="H1844" s="4"/>
      <c r="I1844" s="4" t="s">
        <v>2129</v>
      </c>
      <c r="J1844" s="4"/>
      <c r="K1844" s="4"/>
      <c r="L1844" s="4"/>
      <c r="M1844" s="4"/>
      <c r="N1844" s="4"/>
      <c r="O1844" s="4"/>
      <c r="P1844" s="4"/>
      <c r="Q1844" s="4"/>
    </row>
    <row r="1845" spans="1:17" x14ac:dyDescent="0.2">
      <c r="A1845" s="1">
        <f t="shared" ca="1" si="69"/>
        <v>1843</v>
      </c>
      <c r="B1845" s="5" t="s">
        <v>2936</v>
      </c>
      <c r="C1845" s="82" t="s">
        <v>3119</v>
      </c>
      <c r="D1845" s="4"/>
      <c r="E1845" s="4"/>
      <c r="F1845" s="4"/>
      <c r="G1845" s="4"/>
      <c r="H1845" s="4"/>
      <c r="I1845" s="4" t="s">
        <v>2130</v>
      </c>
      <c r="J1845" s="4"/>
      <c r="K1845" s="4"/>
      <c r="L1845" s="4"/>
      <c r="M1845" s="4"/>
      <c r="N1845" s="4"/>
      <c r="O1845" s="4"/>
      <c r="P1845" s="4"/>
      <c r="Q1845" s="4"/>
    </row>
    <row r="1846" spans="1:17" x14ac:dyDescent="0.2">
      <c r="A1846" s="1">
        <f t="shared" ca="1" si="69"/>
        <v>1844</v>
      </c>
      <c r="B1846" s="5" t="s">
        <v>2937</v>
      </c>
      <c r="C1846" s="82" t="s">
        <v>3118</v>
      </c>
      <c r="D1846" s="4"/>
      <c r="E1846" s="4"/>
      <c r="F1846" s="4"/>
      <c r="G1846" s="4"/>
      <c r="H1846" s="4"/>
      <c r="I1846" s="4" t="s">
        <v>2131</v>
      </c>
      <c r="J1846" s="4"/>
      <c r="K1846" s="4"/>
      <c r="L1846" s="4"/>
      <c r="M1846" s="4"/>
      <c r="N1846" s="4"/>
      <c r="O1846" s="4"/>
      <c r="P1846" s="4"/>
      <c r="Q1846" s="4"/>
    </row>
    <row r="1847" spans="1:17" x14ac:dyDescent="0.2">
      <c r="A1847" s="1">
        <f t="shared" ca="1" si="69"/>
        <v>1845</v>
      </c>
      <c r="B1847" s="5" t="s">
        <v>2938</v>
      </c>
      <c r="C1847" s="82" t="s">
        <v>3117</v>
      </c>
      <c r="D1847" s="4"/>
      <c r="E1847" s="4"/>
      <c r="F1847" s="4"/>
      <c r="G1847" s="4"/>
      <c r="H1847" s="4"/>
      <c r="I1847" s="4" t="s">
        <v>2132</v>
      </c>
      <c r="J1847" s="4"/>
      <c r="K1847" s="4"/>
      <c r="L1847" s="4"/>
      <c r="M1847" s="4"/>
      <c r="N1847" s="4"/>
      <c r="O1847" s="4"/>
      <c r="P1847" s="4"/>
      <c r="Q1847" s="4"/>
    </row>
    <row r="1848" spans="1:17" x14ac:dyDescent="0.2">
      <c r="A1848" s="1">
        <f t="shared" ca="1" si="69"/>
        <v>1846</v>
      </c>
      <c r="B1848" s="5" t="s">
        <v>2939</v>
      </c>
      <c r="C1848" s="82" t="s">
        <v>3116</v>
      </c>
      <c r="D1848" s="4"/>
      <c r="E1848" s="4"/>
      <c r="F1848" s="4"/>
      <c r="G1848" s="4"/>
      <c r="H1848" s="4"/>
      <c r="I1848" s="4" t="s">
        <v>2133</v>
      </c>
      <c r="J1848" s="4"/>
      <c r="K1848" s="4"/>
      <c r="L1848" s="4"/>
      <c r="M1848" s="4"/>
      <c r="N1848" s="4"/>
      <c r="O1848" s="4"/>
      <c r="P1848" s="4"/>
      <c r="Q1848" s="4"/>
    </row>
    <row r="1849" spans="1:17" x14ac:dyDescent="0.2">
      <c r="A1849" s="1">
        <f t="shared" ca="1" si="69"/>
        <v>1847</v>
      </c>
      <c r="B1849" s="5" t="s">
        <v>4488</v>
      </c>
      <c r="C1849" s="82" t="s">
        <v>3115</v>
      </c>
      <c r="D1849" s="4"/>
      <c r="E1849" s="4"/>
      <c r="F1849" s="4"/>
      <c r="G1849" s="4"/>
      <c r="H1849" s="4"/>
      <c r="I1849" s="4" t="s">
        <v>2134</v>
      </c>
      <c r="J1849" s="4"/>
      <c r="K1849" s="4"/>
      <c r="L1849" s="4"/>
      <c r="M1849" s="4"/>
      <c r="N1849" s="4"/>
      <c r="O1849" s="4"/>
      <c r="P1849" s="4"/>
      <c r="Q1849" s="4"/>
    </row>
    <row r="1850" spans="1:17" x14ac:dyDescent="0.2">
      <c r="A1850" s="1">
        <f t="shared" ca="1" si="69"/>
        <v>1848</v>
      </c>
      <c r="B1850" s="5" t="s">
        <v>4489</v>
      </c>
      <c r="C1850" s="82" t="s">
        <v>3114</v>
      </c>
      <c r="D1850" s="4"/>
      <c r="E1850" s="4"/>
      <c r="F1850" s="4"/>
      <c r="G1850" s="4"/>
      <c r="H1850" s="4"/>
      <c r="I1850" s="4" t="s">
        <v>2135</v>
      </c>
      <c r="J1850" s="4"/>
      <c r="K1850" s="4"/>
      <c r="L1850" s="4"/>
      <c r="M1850" s="4"/>
      <c r="N1850" s="4"/>
      <c r="O1850" s="4"/>
      <c r="P1850" s="4"/>
      <c r="Q1850" s="4"/>
    </row>
    <row r="1851" spans="1:17" x14ac:dyDescent="0.2">
      <c r="A1851" s="1">
        <f t="shared" ca="1" si="69"/>
        <v>1849</v>
      </c>
      <c r="B1851" s="5" t="s">
        <v>4490</v>
      </c>
      <c r="C1851" s="82" t="s">
        <v>3113</v>
      </c>
      <c r="D1851" s="4"/>
      <c r="E1851" s="4"/>
      <c r="F1851" s="4"/>
      <c r="G1851" s="4"/>
      <c r="H1851" s="4"/>
      <c r="I1851" s="4" t="s">
        <v>2136</v>
      </c>
      <c r="J1851" s="4"/>
      <c r="K1851" s="4"/>
      <c r="L1851" s="4"/>
      <c r="M1851" s="4"/>
      <c r="N1851" s="4"/>
      <c r="O1851" s="4"/>
      <c r="P1851" s="4"/>
      <c r="Q1851" s="4"/>
    </row>
    <row r="1852" spans="1:17" x14ac:dyDescent="0.2">
      <c r="A1852" s="1">
        <f t="shared" ref="A1852:A1915" ca="1" si="70">CELL("row",C1852)-2</f>
        <v>1850</v>
      </c>
      <c r="B1852" s="5" t="s">
        <v>4491</v>
      </c>
      <c r="C1852" s="82" t="s">
        <v>3112</v>
      </c>
      <c r="D1852" s="4"/>
      <c r="E1852" s="4"/>
      <c r="F1852" s="4"/>
      <c r="G1852" s="4"/>
      <c r="H1852" s="4"/>
      <c r="I1852" s="4" t="s">
        <v>2137</v>
      </c>
      <c r="J1852" s="4"/>
      <c r="K1852" s="4"/>
      <c r="L1852" s="4"/>
      <c r="M1852" s="4"/>
      <c r="N1852" s="4"/>
      <c r="O1852" s="4"/>
      <c r="P1852" s="4"/>
      <c r="Q1852" s="4"/>
    </row>
    <row r="1853" spans="1:17" x14ac:dyDescent="0.2">
      <c r="A1853" s="1">
        <f t="shared" ca="1" si="70"/>
        <v>1851</v>
      </c>
      <c r="B1853" s="5" t="s">
        <v>4492</v>
      </c>
      <c r="C1853" s="82" t="s">
        <v>5079</v>
      </c>
      <c r="D1853" s="4"/>
      <c r="E1853" s="4"/>
      <c r="F1853" s="4"/>
      <c r="G1853" s="4"/>
      <c r="H1853" s="4"/>
      <c r="I1853" s="4" t="s">
        <v>2138</v>
      </c>
      <c r="J1853" s="4"/>
      <c r="K1853" s="4"/>
      <c r="L1853" s="4"/>
      <c r="M1853" s="4"/>
      <c r="N1853" s="4"/>
      <c r="O1853" s="4"/>
      <c r="P1853" s="4"/>
      <c r="Q1853" s="4"/>
    </row>
    <row r="1854" spans="1:17" x14ac:dyDescent="0.2">
      <c r="A1854" s="1">
        <f t="shared" ca="1" si="70"/>
        <v>1852</v>
      </c>
      <c r="B1854" s="5" t="s">
        <v>4493</v>
      </c>
      <c r="C1854" s="82" t="s">
        <v>3111</v>
      </c>
      <c r="D1854" s="4"/>
      <c r="E1854" s="4"/>
      <c r="F1854" s="4"/>
      <c r="G1854" s="4"/>
      <c r="H1854" s="4"/>
      <c r="I1854" s="4" t="s">
        <v>2139</v>
      </c>
      <c r="J1854" s="4"/>
      <c r="K1854" s="4"/>
      <c r="L1854" s="4"/>
      <c r="M1854" s="4"/>
      <c r="N1854" s="4"/>
      <c r="O1854" s="4"/>
      <c r="P1854" s="4"/>
      <c r="Q1854" s="4"/>
    </row>
    <row r="1855" spans="1:17" x14ac:dyDescent="0.2">
      <c r="A1855" s="1">
        <f t="shared" ca="1" si="70"/>
        <v>1853</v>
      </c>
      <c r="B1855" s="5" t="s">
        <v>4494</v>
      </c>
      <c r="C1855" s="82" t="s">
        <v>5078</v>
      </c>
      <c r="D1855" s="4"/>
      <c r="E1855" s="4"/>
      <c r="F1855" s="4"/>
      <c r="G1855" s="4"/>
      <c r="H1855" s="4"/>
      <c r="I1855" s="4" t="s">
        <v>2140</v>
      </c>
      <c r="J1855" s="4"/>
      <c r="K1855" s="4"/>
      <c r="L1855" s="4"/>
      <c r="M1855" s="4"/>
      <c r="N1855" s="4"/>
      <c r="O1855" s="4"/>
      <c r="P1855" s="4"/>
      <c r="Q1855" s="4"/>
    </row>
    <row r="1856" spans="1:17" x14ac:dyDescent="0.2">
      <c r="A1856" s="1">
        <f t="shared" ca="1" si="70"/>
        <v>1854</v>
      </c>
      <c r="B1856" s="5" t="s">
        <v>4545</v>
      </c>
      <c r="C1856" s="82" t="s">
        <v>5077</v>
      </c>
      <c r="D1856" s="4"/>
      <c r="E1856" s="4"/>
      <c r="F1856" s="4"/>
      <c r="G1856" s="4"/>
      <c r="H1856" s="4"/>
      <c r="I1856" s="4" t="s">
        <v>2141</v>
      </c>
      <c r="J1856" s="4"/>
      <c r="K1856" s="4"/>
      <c r="L1856" s="4"/>
      <c r="M1856" s="4"/>
      <c r="N1856" s="4"/>
      <c r="O1856" s="4"/>
      <c r="P1856" s="4"/>
      <c r="Q1856" s="4"/>
    </row>
    <row r="1857" spans="1:17" x14ac:dyDescent="0.2">
      <c r="A1857" s="1">
        <f t="shared" ca="1" si="70"/>
        <v>1855</v>
      </c>
      <c r="B1857" s="5" t="s">
        <v>4546</v>
      </c>
      <c r="C1857" s="82" t="s">
        <v>5076</v>
      </c>
      <c r="D1857" s="4"/>
      <c r="E1857" s="4"/>
      <c r="F1857" s="4"/>
      <c r="G1857" s="4"/>
      <c r="H1857" s="4"/>
      <c r="I1857" s="4" t="s">
        <v>2142</v>
      </c>
      <c r="J1857" s="4"/>
      <c r="K1857" s="4"/>
      <c r="L1857" s="4"/>
      <c r="M1857" s="4"/>
      <c r="N1857" s="4"/>
      <c r="O1857" s="4"/>
      <c r="P1857" s="4"/>
      <c r="Q1857" s="4"/>
    </row>
    <row r="1858" spans="1:17" x14ac:dyDescent="0.2">
      <c r="A1858" s="1">
        <f t="shared" ca="1" si="70"/>
        <v>1856</v>
      </c>
      <c r="B1858" s="5" t="s">
        <v>4547</v>
      </c>
      <c r="C1858" s="82" t="s">
        <v>2039</v>
      </c>
      <c r="D1858" s="4"/>
      <c r="E1858" s="4"/>
      <c r="F1858" s="4"/>
      <c r="G1858" s="4"/>
      <c r="H1858" s="4"/>
      <c r="I1858" s="4" t="s">
        <v>2143</v>
      </c>
      <c r="J1858" s="4"/>
      <c r="K1858" s="4"/>
      <c r="L1858" s="4"/>
      <c r="M1858" s="4"/>
      <c r="N1858" s="4"/>
      <c r="O1858" s="4"/>
      <c r="P1858" s="4"/>
      <c r="Q1858" s="4"/>
    </row>
    <row r="1859" spans="1:17" x14ac:dyDescent="0.2">
      <c r="A1859" s="1">
        <f t="shared" ca="1" si="70"/>
        <v>1857</v>
      </c>
      <c r="B1859" s="5" t="s">
        <v>4548</v>
      </c>
      <c r="C1859" s="82" t="s">
        <v>8209</v>
      </c>
      <c r="D1859" s="4"/>
      <c r="E1859" s="4"/>
      <c r="F1859" s="4"/>
      <c r="G1859" s="4"/>
      <c r="H1859" s="4"/>
      <c r="I1859" s="4" t="s">
        <v>2144</v>
      </c>
      <c r="J1859" s="4"/>
      <c r="K1859" s="4"/>
      <c r="L1859" s="4"/>
      <c r="M1859" s="4"/>
      <c r="N1859" s="4"/>
      <c r="O1859" s="4"/>
      <c r="P1859" s="4"/>
      <c r="Q1859" s="4"/>
    </row>
    <row r="1860" spans="1:17" x14ac:dyDescent="0.2">
      <c r="A1860" s="1">
        <f t="shared" ca="1" si="70"/>
        <v>1858</v>
      </c>
      <c r="B1860" s="5" t="s">
        <v>4549</v>
      </c>
      <c r="C1860" s="82" t="s">
        <v>3153</v>
      </c>
      <c r="D1860" s="4"/>
      <c r="E1860" s="4"/>
      <c r="F1860" s="4"/>
      <c r="G1860" s="4"/>
      <c r="H1860" s="4"/>
      <c r="I1860" s="4" t="s">
        <v>2145</v>
      </c>
      <c r="J1860" s="4"/>
      <c r="K1860" s="4"/>
      <c r="L1860" s="4"/>
      <c r="M1860" s="4"/>
      <c r="N1860" s="4"/>
      <c r="O1860" s="4"/>
      <c r="P1860" s="4"/>
      <c r="Q1860" s="4"/>
    </row>
    <row r="1861" spans="1:17" x14ac:dyDescent="0.2">
      <c r="A1861" s="1">
        <f t="shared" ca="1" si="70"/>
        <v>1859</v>
      </c>
      <c r="B1861" s="5" t="s">
        <v>941</v>
      </c>
      <c r="C1861" s="82" t="s">
        <v>8208</v>
      </c>
      <c r="D1861" s="4"/>
      <c r="E1861" s="4"/>
      <c r="F1861" s="4"/>
      <c r="G1861" s="4"/>
      <c r="H1861" s="4"/>
      <c r="I1861" s="4" t="s">
        <v>2146</v>
      </c>
      <c r="J1861" s="4"/>
      <c r="K1861" s="4"/>
      <c r="L1861" s="4"/>
      <c r="M1861" s="4"/>
      <c r="N1861" s="4"/>
      <c r="O1861" s="4"/>
      <c r="P1861" s="4"/>
      <c r="Q1861" s="4"/>
    </row>
    <row r="1862" spans="1:17" ht="25.5" x14ac:dyDescent="0.2">
      <c r="A1862" s="1">
        <f t="shared" ca="1" si="70"/>
        <v>1860</v>
      </c>
      <c r="B1862" s="5" t="s">
        <v>3604</v>
      </c>
      <c r="C1862" s="82" t="s">
        <v>8207</v>
      </c>
      <c r="D1862" s="4"/>
      <c r="E1862" s="4"/>
      <c r="F1862" s="4"/>
      <c r="G1862" s="4"/>
      <c r="H1862" s="4"/>
      <c r="I1862" s="4" t="s">
        <v>2147</v>
      </c>
      <c r="J1862" s="4"/>
      <c r="K1862" s="4"/>
      <c r="L1862" s="4"/>
      <c r="M1862" s="4"/>
      <c r="N1862" s="4"/>
      <c r="O1862" s="4"/>
      <c r="P1862" s="4"/>
      <c r="Q1862" s="4"/>
    </row>
    <row r="1863" spans="1:17" ht="25.5" x14ac:dyDescent="0.2">
      <c r="A1863" s="1">
        <f t="shared" ca="1" si="70"/>
        <v>1861</v>
      </c>
      <c r="B1863" s="5" t="s">
        <v>3605</v>
      </c>
      <c r="C1863" s="82" t="s">
        <v>8206</v>
      </c>
      <c r="D1863" s="4"/>
      <c r="E1863" s="4"/>
      <c r="F1863" s="4"/>
      <c r="G1863" s="4"/>
      <c r="H1863" s="4"/>
      <c r="I1863" s="4" t="s">
        <v>2148</v>
      </c>
      <c r="J1863" s="4"/>
      <c r="K1863" s="4"/>
      <c r="L1863" s="4"/>
      <c r="M1863" s="4"/>
      <c r="N1863" s="4"/>
      <c r="O1863" s="4"/>
      <c r="P1863" s="4"/>
      <c r="Q1863" s="4"/>
    </row>
    <row r="1864" spans="1:17" x14ac:dyDescent="0.2">
      <c r="A1864" s="1">
        <f t="shared" ca="1" si="70"/>
        <v>1862</v>
      </c>
      <c r="B1864" s="5" t="s">
        <v>4195</v>
      </c>
      <c r="C1864" s="82" t="s">
        <v>2058</v>
      </c>
      <c r="D1864" s="4"/>
      <c r="E1864" s="4"/>
      <c r="F1864" s="4"/>
      <c r="G1864" s="4"/>
      <c r="H1864" s="4"/>
      <c r="I1864" s="4" t="s">
        <v>2549</v>
      </c>
      <c r="J1864" s="4"/>
      <c r="K1864" s="4"/>
      <c r="L1864" s="4"/>
      <c r="M1864" s="4"/>
      <c r="N1864" s="4"/>
      <c r="O1864" s="4"/>
      <c r="P1864" s="4"/>
      <c r="Q1864" s="4"/>
    </row>
    <row r="1865" spans="1:17" x14ac:dyDescent="0.2">
      <c r="A1865" s="1">
        <f t="shared" ca="1" si="70"/>
        <v>1863</v>
      </c>
      <c r="B1865" s="5" t="s">
        <v>6962</v>
      </c>
      <c r="C1865" s="82" t="s">
        <v>8205</v>
      </c>
      <c r="D1865" s="4"/>
      <c r="E1865" s="4"/>
      <c r="F1865" s="4"/>
      <c r="G1865" s="4"/>
      <c r="H1865" s="4"/>
      <c r="I1865" s="4" t="s">
        <v>2149</v>
      </c>
      <c r="J1865" s="4"/>
      <c r="K1865" s="4"/>
      <c r="L1865" s="4"/>
      <c r="M1865" s="4"/>
      <c r="N1865" s="4"/>
      <c r="O1865" s="4"/>
      <c r="P1865" s="4"/>
      <c r="Q1865" s="4"/>
    </row>
    <row r="1866" spans="1:17" x14ac:dyDescent="0.2">
      <c r="A1866" s="1">
        <f t="shared" ca="1" si="70"/>
        <v>1864</v>
      </c>
      <c r="B1866" s="5" t="s">
        <v>3606</v>
      </c>
      <c r="C1866" s="82" t="s">
        <v>8204</v>
      </c>
      <c r="D1866" s="4"/>
      <c r="E1866" s="4"/>
      <c r="F1866" s="4"/>
      <c r="G1866" s="4"/>
      <c r="H1866" s="4"/>
      <c r="I1866" s="4" t="s">
        <v>2150</v>
      </c>
      <c r="J1866" s="4"/>
      <c r="K1866" s="4"/>
      <c r="L1866" s="4"/>
      <c r="M1866" s="4"/>
      <c r="N1866" s="4"/>
      <c r="O1866" s="4"/>
      <c r="P1866" s="4"/>
      <c r="Q1866" s="4"/>
    </row>
    <row r="1867" spans="1:17" ht="25.5" x14ac:dyDescent="0.2">
      <c r="A1867" s="1">
        <f t="shared" ca="1" si="70"/>
        <v>1865</v>
      </c>
      <c r="B1867" s="5" t="s">
        <v>6531</v>
      </c>
      <c r="C1867" s="82" t="s">
        <v>5210</v>
      </c>
      <c r="D1867" s="4"/>
      <c r="E1867" s="4"/>
      <c r="F1867" s="4"/>
      <c r="G1867" s="4"/>
      <c r="H1867" s="4"/>
      <c r="I1867" s="4" t="s">
        <v>3273</v>
      </c>
      <c r="J1867" s="4"/>
      <c r="K1867" s="4"/>
      <c r="L1867" s="4"/>
      <c r="M1867" s="4"/>
      <c r="N1867" s="4"/>
      <c r="O1867" s="4"/>
      <c r="P1867" s="4"/>
      <c r="Q1867" s="4"/>
    </row>
    <row r="1868" spans="1:17" x14ac:dyDescent="0.2">
      <c r="A1868" s="1">
        <f t="shared" ca="1" si="70"/>
        <v>1866</v>
      </c>
      <c r="B1868" s="5" t="s">
        <v>8182</v>
      </c>
      <c r="C1868" s="82" t="s">
        <v>4455</v>
      </c>
      <c r="D1868" s="4"/>
      <c r="E1868" s="4"/>
      <c r="F1868" s="4"/>
      <c r="G1868" s="4"/>
      <c r="H1868" s="4"/>
      <c r="I1868" s="4" t="s">
        <v>3274</v>
      </c>
      <c r="J1868" s="4"/>
      <c r="K1868" s="4"/>
      <c r="L1868" s="4"/>
      <c r="M1868" s="4"/>
      <c r="N1868" s="4"/>
      <c r="O1868" s="4"/>
      <c r="P1868" s="4"/>
      <c r="Q1868" s="4"/>
    </row>
    <row r="1869" spans="1:17" x14ac:dyDescent="0.2">
      <c r="A1869" s="1">
        <f t="shared" ca="1" si="70"/>
        <v>1867</v>
      </c>
      <c r="B1869" s="5" t="s">
        <v>4447</v>
      </c>
      <c r="C1869" s="5" t="s">
        <v>4456</v>
      </c>
      <c r="D1869" s="4"/>
      <c r="E1869" s="4"/>
      <c r="F1869" s="4"/>
      <c r="G1869" s="4"/>
      <c r="H1869" s="4"/>
      <c r="I1869" s="5" t="s">
        <v>3275</v>
      </c>
      <c r="J1869" s="4"/>
      <c r="K1869" s="4"/>
      <c r="L1869" s="4"/>
      <c r="M1869" s="4"/>
      <c r="N1869" s="4"/>
      <c r="O1869" s="4"/>
      <c r="P1869" s="4"/>
      <c r="Q1869" s="4"/>
    </row>
    <row r="1870" spans="1:17" x14ac:dyDescent="0.2">
      <c r="A1870" s="1">
        <f t="shared" ca="1" si="70"/>
        <v>1868</v>
      </c>
      <c r="B1870" s="5" t="s">
        <v>4448</v>
      </c>
      <c r="C1870" s="5" t="s">
        <v>4457</v>
      </c>
      <c r="D1870" s="4"/>
      <c r="E1870" s="4"/>
      <c r="F1870" s="4"/>
      <c r="G1870" s="4"/>
      <c r="H1870" s="4"/>
      <c r="I1870" s="5" t="s">
        <v>3276</v>
      </c>
      <c r="J1870" s="4"/>
      <c r="K1870" s="4"/>
      <c r="L1870" s="4"/>
      <c r="M1870" s="4"/>
      <c r="N1870" s="4"/>
      <c r="O1870" s="4"/>
      <c r="P1870" s="4"/>
      <c r="Q1870" s="4"/>
    </row>
    <row r="1871" spans="1:17" x14ac:dyDescent="0.2">
      <c r="A1871" s="1">
        <f t="shared" ca="1" si="70"/>
        <v>1869</v>
      </c>
      <c r="B1871" s="5" t="s">
        <v>4449</v>
      </c>
      <c r="C1871" s="5" t="s">
        <v>4449</v>
      </c>
      <c r="D1871" s="4"/>
      <c r="E1871" s="4"/>
      <c r="F1871" s="4"/>
      <c r="G1871" s="4"/>
      <c r="H1871" s="4"/>
      <c r="I1871" s="5" t="s">
        <v>3277</v>
      </c>
      <c r="J1871" s="4"/>
      <c r="K1871" s="4"/>
      <c r="L1871" s="4"/>
      <c r="M1871" s="4"/>
      <c r="N1871" s="4"/>
      <c r="O1871" s="4"/>
      <c r="P1871" s="4"/>
      <c r="Q1871" s="4"/>
    </row>
    <row r="1872" spans="1:17" x14ac:dyDescent="0.2">
      <c r="A1872" s="1">
        <f t="shared" ca="1" si="70"/>
        <v>1870</v>
      </c>
      <c r="B1872" s="5" t="s">
        <v>4450</v>
      </c>
      <c r="C1872" s="5" t="s">
        <v>4458</v>
      </c>
      <c r="D1872" s="4"/>
      <c r="E1872" s="4"/>
      <c r="F1872" s="4"/>
      <c r="G1872" s="4"/>
      <c r="H1872" s="4"/>
      <c r="I1872" s="5" t="s">
        <v>3278</v>
      </c>
      <c r="J1872" s="4"/>
      <c r="K1872" s="4"/>
      <c r="L1872" s="4"/>
      <c r="M1872" s="4"/>
      <c r="N1872" s="4"/>
      <c r="O1872" s="4"/>
      <c r="P1872" s="4"/>
      <c r="Q1872" s="4"/>
    </row>
    <row r="1873" spans="1:17" x14ac:dyDescent="0.2">
      <c r="A1873" s="1">
        <f t="shared" ca="1" si="70"/>
        <v>1871</v>
      </c>
      <c r="B1873" s="5" t="s">
        <v>4451</v>
      </c>
      <c r="C1873" s="82" t="s">
        <v>8201</v>
      </c>
      <c r="D1873" s="4"/>
      <c r="E1873" s="4"/>
      <c r="F1873" s="4"/>
      <c r="G1873" s="4"/>
      <c r="H1873" s="4"/>
      <c r="I1873" s="4" t="s">
        <v>3279</v>
      </c>
      <c r="J1873" s="4"/>
      <c r="K1873" s="4"/>
      <c r="L1873" s="4"/>
      <c r="M1873" s="4"/>
      <c r="N1873" s="4"/>
      <c r="O1873" s="4"/>
      <c r="P1873" s="4"/>
      <c r="Q1873" s="4"/>
    </row>
    <row r="1874" spans="1:17" x14ac:dyDescent="0.2">
      <c r="A1874" s="1">
        <f t="shared" ca="1" si="70"/>
        <v>1872</v>
      </c>
      <c r="B1874" s="5" t="s">
        <v>4452</v>
      </c>
      <c r="C1874" s="82" t="s">
        <v>4459</v>
      </c>
      <c r="D1874" s="4"/>
      <c r="E1874" s="4"/>
      <c r="F1874" s="4"/>
      <c r="G1874" s="4"/>
      <c r="H1874" s="4"/>
      <c r="I1874" s="4" t="s">
        <v>3280</v>
      </c>
      <c r="J1874" s="4"/>
      <c r="K1874" s="4"/>
      <c r="L1874" s="4"/>
      <c r="M1874" s="4"/>
      <c r="N1874" s="4"/>
      <c r="O1874" s="4"/>
      <c r="P1874" s="4"/>
      <c r="Q1874" s="4"/>
    </row>
    <row r="1875" spans="1:17" ht="25.5" x14ac:dyDescent="0.2">
      <c r="A1875" s="1">
        <f t="shared" ca="1" si="70"/>
        <v>1873</v>
      </c>
      <c r="B1875" s="5" t="s">
        <v>4453</v>
      </c>
      <c r="C1875" s="5" t="s">
        <v>8202</v>
      </c>
      <c r="D1875" s="4"/>
      <c r="E1875" s="4"/>
      <c r="F1875" s="4"/>
      <c r="G1875" s="4"/>
      <c r="H1875" s="4"/>
      <c r="I1875" s="4" t="s">
        <v>3281</v>
      </c>
      <c r="J1875" s="4"/>
      <c r="K1875" s="4"/>
      <c r="L1875" s="4"/>
      <c r="M1875" s="4"/>
      <c r="N1875" s="4"/>
      <c r="O1875" s="4"/>
      <c r="P1875" s="4"/>
      <c r="Q1875" s="4"/>
    </row>
    <row r="1876" spans="1:17" ht="25.5" x14ac:dyDescent="0.2">
      <c r="A1876" s="1">
        <f t="shared" ca="1" si="70"/>
        <v>1874</v>
      </c>
      <c r="B1876" s="5" t="s">
        <v>4454</v>
      </c>
      <c r="C1876" s="5" t="s">
        <v>8203</v>
      </c>
      <c r="D1876" s="4"/>
      <c r="E1876" s="4"/>
      <c r="F1876" s="4"/>
      <c r="G1876" s="4"/>
      <c r="H1876" s="4"/>
      <c r="I1876" s="4" t="s">
        <v>3282</v>
      </c>
      <c r="J1876" s="4"/>
      <c r="K1876" s="4"/>
      <c r="L1876" s="4"/>
      <c r="M1876" s="4"/>
      <c r="N1876" s="4"/>
      <c r="O1876" s="4"/>
      <c r="P1876" s="4"/>
      <c r="Q1876" s="4"/>
    </row>
    <row r="1877" spans="1:17" x14ac:dyDescent="0.2">
      <c r="A1877" s="1">
        <f t="shared" ca="1" si="70"/>
        <v>1875</v>
      </c>
      <c r="B1877" s="3" t="s">
        <v>6532</v>
      </c>
      <c r="C1877" s="82"/>
      <c r="D1877" s="4"/>
      <c r="E1877" s="4"/>
      <c r="F1877" s="4"/>
      <c r="G1877" s="4"/>
      <c r="H1877" s="4"/>
      <c r="J1877" s="4"/>
      <c r="K1877" s="4"/>
      <c r="L1877" s="4"/>
      <c r="M1877" s="4"/>
      <c r="N1877" s="4"/>
      <c r="O1877" s="4"/>
      <c r="P1877" s="4"/>
      <c r="Q1877" s="4"/>
    </row>
    <row r="1878" spans="1:17" ht="25.5" x14ac:dyDescent="0.2">
      <c r="A1878" s="1">
        <f t="shared" ca="1" si="70"/>
        <v>1876</v>
      </c>
      <c r="B1878" s="5" t="s">
        <v>5383</v>
      </c>
      <c r="C1878" s="82" t="s">
        <v>8200</v>
      </c>
      <c r="D1878" s="4"/>
      <c r="E1878" s="4"/>
      <c r="F1878" s="4"/>
      <c r="G1878" s="4"/>
      <c r="H1878" s="4"/>
      <c r="I1878" s="4" t="s">
        <v>3011</v>
      </c>
      <c r="J1878" s="4"/>
      <c r="K1878" s="4"/>
      <c r="L1878" s="4"/>
      <c r="M1878" s="4"/>
      <c r="N1878" s="4"/>
      <c r="O1878" s="4"/>
      <c r="P1878" s="4"/>
      <c r="Q1878" s="4"/>
    </row>
    <row r="1879" spans="1:17" ht="25.5" x14ac:dyDescent="0.2">
      <c r="A1879" s="1">
        <f t="shared" ca="1" si="70"/>
        <v>1877</v>
      </c>
      <c r="B1879" s="5" t="s">
        <v>2807</v>
      </c>
      <c r="C1879" s="82" t="s">
        <v>8199</v>
      </c>
      <c r="D1879" s="4"/>
      <c r="E1879" s="4"/>
      <c r="F1879" s="4"/>
      <c r="G1879" s="4"/>
      <c r="H1879" s="4"/>
      <c r="I1879" s="4" t="s">
        <v>4467</v>
      </c>
      <c r="J1879" s="4"/>
      <c r="K1879" s="4"/>
      <c r="L1879" s="4"/>
      <c r="M1879" s="4"/>
      <c r="N1879" s="4"/>
      <c r="O1879" s="4"/>
      <c r="P1879" s="4"/>
      <c r="Q1879" s="4"/>
    </row>
    <row r="1880" spans="1:17" x14ac:dyDescent="0.2">
      <c r="A1880" s="1">
        <f t="shared" ca="1" si="70"/>
        <v>1878</v>
      </c>
      <c r="B1880" s="5" t="s">
        <v>1679</v>
      </c>
      <c r="C1880" s="82" t="s">
        <v>8198</v>
      </c>
      <c r="D1880" s="4"/>
      <c r="E1880" s="4"/>
      <c r="F1880" s="4"/>
      <c r="G1880" s="4"/>
      <c r="H1880" s="4"/>
      <c r="I1880" s="4" t="s">
        <v>4468</v>
      </c>
      <c r="J1880" s="4"/>
      <c r="K1880" s="4"/>
      <c r="L1880" s="4"/>
      <c r="M1880" s="4"/>
      <c r="N1880" s="4"/>
      <c r="O1880" s="4"/>
      <c r="P1880" s="4"/>
      <c r="Q1880" s="4"/>
    </row>
    <row r="1881" spans="1:17" ht="25.5" x14ac:dyDescent="0.2">
      <c r="A1881" s="1">
        <f t="shared" ca="1" si="70"/>
        <v>1879</v>
      </c>
      <c r="B1881" s="5" t="s">
        <v>1680</v>
      </c>
      <c r="C1881" s="82" t="s">
        <v>8197</v>
      </c>
      <c r="D1881" s="4"/>
      <c r="E1881" s="4"/>
      <c r="F1881" s="4"/>
      <c r="G1881" s="4"/>
      <c r="H1881" s="4"/>
      <c r="I1881" s="4" t="s">
        <v>4469</v>
      </c>
      <c r="J1881" s="4"/>
      <c r="K1881" s="4"/>
      <c r="L1881" s="4"/>
      <c r="M1881" s="4"/>
      <c r="N1881" s="4"/>
      <c r="O1881" s="4"/>
      <c r="P1881" s="4"/>
      <c r="Q1881" s="4"/>
    </row>
    <row r="1882" spans="1:17" ht="25.5" x14ac:dyDescent="0.2">
      <c r="A1882" s="1">
        <f t="shared" ca="1" si="70"/>
        <v>1880</v>
      </c>
      <c r="B1882" s="5" t="s">
        <v>8296</v>
      </c>
      <c r="C1882" s="82" t="s">
        <v>8196</v>
      </c>
      <c r="D1882" s="4"/>
      <c r="E1882" s="4"/>
      <c r="F1882" s="4"/>
      <c r="G1882" s="4"/>
      <c r="H1882" s="4"/>
      <c r="I1882" s="4" t="s">
        <v>4470</v>
      </c>
      <c r="J1882" s="4"/>
      <c r="K1882" s="4"/>
      <c r="L1882" s="4"/>
      <c r="M1882" s="4"/>
      <c r="N1882" s="4"/>
      <c r="O1882" s="4"/>
      <c r="P1882" s="4"/>
      <c r="Q1882" s="4"/>
    </row>
    <row r="1883" spans="1:17" ht="25.5" x14ac:dyDescent="0.2">
      <c r="A1883" s="1">
        <f t="shared" ca="1" si="70"/>
        <v>1881</v>
      </c>
      <c r="B1883" s="5" t="s">
        <v>8297</v>
      </c>
      <c r="C1883" s="82" t="s">
        <v>5226</v>
      </c>
      <c r="D1883" s="4"/>
      <c r="E1883" s="4"/>
      <c r="F1883" s="4"/>
      <c r="G1883" s="4"/>
      <c r="H1883" s="4"/>
      <c r="I1883" s="4" t="s">
        <v>4471</v>
      </c>
      <c r="J1883" s="4"/>
      <c r="K1883" s="4"/>
      <c r="L1883" s="4"/>
      <c r="M1883" s="4"/>
      <c r="N1883" s="4"/>
      <c r="O1883" s="4"/>
      <c r="P1883" s="4"/>
      <c r="Q1883" s="4"/>
    </row>
    <row r="1884" spans="1:17" ht="25.5" x14ac:dyDescent="0.2">
      <c r="A1884" s="1">
        <f t="shared" ca="1" si="70"/>
        <v>1882</v>
      </c>
      <c r="B1884" s="5" t="s">
        <v>8298</v>
      </c>
      <c r="C1884" s="82" t="s">
        <v>5225</v>
      </c>
      <c r="D1884" s="4"/>
      <c r="E1884" s="4"/>
      <c r="F1884" s="4"/>
      <c r="G1884" s="4"/>
      <c r="H1884" s="4"/>
      <c r="I1884" s="4" t="s">
        <v>4472</v>
      </c>
      <c r="J1884" s="4"/>
      <c r="K1884" s="4"/>
      <c r="L1884" s="4"/>
      <c r="M1884" s="4"/>
      <c r="N1884" s="4"/>
      <c r="O1884" s="4"/>
      <c r="P1884" s="4"/>
      <c r="Q1884" s="4"/>
    </row>
    <row r="1885" spans="1:17" ht="25.5" x14ac:dyDescent="0.2">
      <c r="A1885" s="1">
        <f t="shared" ca="1" si="70"/>
        <v>1883</v>
      </c>
      <c r="B1885" s="5" t="s">
        <v>7777</v>
      </c>
      <c r="C1885" s="82" t="s">
        <v>5224</v>
      </c>
      <c r="D1885" s="4"/>
      <c r="E1885" s="4"/>
      <c r="F1885" s="4"/>
      <c r="G1885" s="4"/>
      <c r="H1885" s="4"/>
      <c r="I1885" s="4" t="s">
        <v>4473</v>
      </c>
      <c r="J1885" s="4"/>
      <c r="K1885" s="4"/>
      <c r="L1885" s="4"/>
      <c r="M1885" s="4"/>
      <c r="N1885" s="4"/>
      <c r="O1885" s="4"/>
      <c r="P1885" s="4"/>
      <c r="Q1885" s="4"/>
    </row>
    <row r="1886" spans="1:17" ht="25.5" x14ac:dyDescent="0.2">
      <c r="A1886" s="1">
        <f t="shared" ca="1" si="70"/>
        <v>1884</v>
      </c>
      <c r="B1886" s="5" t="s">
        <v>6694</v>
      </c>
      <c r="C1886" s="82" t="s">
        <v>5223</v>
      </c>
      <c r="D1886" s="4"/>
      <c r="E1886" s="4"/>
      <c r="F1886" s="4"/>
      <c r="G1886" s="4"/>
      <c r="H1886" s="4"/>
      <c r="I1886" s="4" t="s">
        <v>3283</v>
      </c>
      <c r="J1886" s="4"/>
      <c r="K1886" s="4"/>
      <c r="L1886" s="4"/>
      <c r="M1886" s="4"/>
      <c r="N1886" s="4"/>
      <c r="O1886" s="4"/>
      <c r="P1886" s="4"/>
      <c r="Q1886" s="4"/>
    </row>
    <row r="1887" spans="1:17" x14ac:dyDescent="0.2">
      <c r="A1887" s="1">
        <f t="shared" ca="1" si="70"/>
        <v>1885</v>
      </c>
      <c r="B1887" s="5" t="s">
        <v>664</v>
      </c>
      <c r="C1887" s="82" t="s">
        <v>5222</v>
      </c>
      <c r="D1887" s="4"/>
      <c r="E1887" s="4"/>
      <c r="F1887" s="4"/>
      <c r="G1887" s="4"/>
      <c r="H1887" s="4"/>
      <c r="I1887" s="4" t="s">
        <v>4477</v>
      </c>
      <c r="J1887" s="4"/>
      <c r="K1887" s="4"/>
      <c r="L1887" s="4"/>
      <c r="M1887" s="4"/>
      <c r="N1887" s="4"/>
      <c r="O1887" s="4"/>
      <c r="P1887" s="4"/>
      <c r="Q1887" s="4"/>
    </row>
    <row r="1888" spans="1:17" x14ac:dyDescent="0.2">
      <c r="A1888" s="1">
        <f t="shared" ca="1" si="70"/>
        <v>1886</v>
      </c>
      <c r="B1888" s="5" t="s">
        <v>665</v>
      </c>
      <c r="C1888" s="82" t="s">
        <v>5221</v>
      </c>
      <c r="D1888" s="4"/>
      <c r="E1888" s="4"/>
      <c r="F1888" s="4"/>
      <c r="G1888" s="4"/>
      <c r="H1888" s="4"/>
      <c r="I1888" s="4" t="s">
        <v>4478</v>
      </c>
      <c r="J1888" s="4"/>
      <c r="K1888" s="4"/>
      <c r="L1888" s="4"/>
      <c r="M1888" s="4"/>
      <c r="N1888" s="4"/>
      <c r="O1888" s="4"/>
      <c r="P1888" s="4"/>
      <c r="Q1888" s="4"/>
    </row>
    <row r="1889" spans="1:17" ht="25.5" x14ac:dyDescent="0.2">
      <c r="A1889" s="1">
        <f t="shared" ca="1" si="70"/>
        <v>1887</v>
      </c>
      <c r="B1889" s="5" t="s">
        <v>666</v>
      </c>
      <c r="C1889" s="82" t="s">
        <v>5220</v>
      </c>
      <c r="D1889" s="4"/>
      <c r="E1889" s="4"/>
      <c r="F1889" s="4"/>
      <c r="G1889" s="4"/>
      <c r="H1889" s="4"/>
      <c r="I1889" s="4" t="s">
        <v>4479</v>
      </c>
      <c r="J1889" s="4"/>
      <c r="K1889" s="4"/>
      <c r="L1889" s="4"/>
      <c r="M1889" s="4"/>
      <c r="N1889" s="4"/>
      <c r="O1889" s="4"/>
      <c r="P1889" s="4"/>
      <c r="Q1889" s="4"/>
    </row>
    <row r="1890" spans="1:17" ht="38.25" x14ac:dyDescent="0.2">
      <c r="A1890" s="1">
        <f t="shared" ca="1" si="70"/>
        <v>1888</v>
      </c>
      <c r="B1890" s="5" t="s">
        <v>6695</v>
      </c>
      <c r="C1890" s="82" t="s">
        <v>5219</v>
      </c>
      <c r="D1890" s="4"/>
      <c r="E1890" s="4"/>
      <c r="F1890" s="4"/>
      <c r="G1890" s="4"/>
      <c r="H1890" s="4"/>
      <c r="I1890" s="4" t="s">
        <v>6867</v>
      </c>
      <c r="J1890" s="4"/>
      <c r="K1890" s="4"/>
      <c r="L1890" s="4"/>
      <c r="M1890" s="4"/>
      <c r="N1890" s="4"/>
      <c r="O1890" s="4"/>
      <c r="P1890" s="4"/>
      <c r="Q1890" s="4"/>
    </row>
    <row r="1891" spans="1:17" ht="25.5" x14ac:dyDescent="0.2">
      <c r="A1891" s="1">
        <f t="shared" ca="1" si="70"/>
        <v>1889</v>
      </c>
      <c r="B1891" s="5" t="s">
        <v>6696</v>
      </c>
      <c r="C1891" s="82" t="s">
        <v>5218</v>
      </c>
      <c r="D1891" s="4"/>
      <c r="E1891" s="4"/>
      <c r="F1891" s="4"/>
      <c r="G1891" s="4"/>
      <c r="H1891" s="4"/>
      <c r="I1891" s="4" t="s">
        <v>3284</v>
      </c>
      <c r="J1891" s="4"/>
      <c r="K1891" s="4"/>
      <c r="L1891" s="4"/>
      <c r="M1891" s="4"/>
      <c r="N1891" s="4"/>
      <c r="O1891" s="4"/>
      <c r="P1891" s="4"/>
      <c r="Q1891" s="4"/>
    </row>
    <row r="1892" spans="1:17" ht="38.25" x14ac:dyDescent="0.2">
      <c r="A1892" s="1">
        <f t="shared" ca="1" si="70"/>
        <v>1890</v>
      </c>
      <c r="B1892" s="5" t="s">
        <v>6697</v>
      </c>
      <c r="C1892" s="82" t="s">
        <v>5217</v>
      </c>
      <c r="D1892" s="4"/>
      <c r="E1892" s="4"/>
      <c r="F1892" s="4"/>
      <c r="G1892" s="4"/>
      <c r="H1892" s="4"/>
      <c r="I1892" s="4" t="s">
        <v>3285</v>
      </c>
      <c r="J1892" s="4"/>
      <c r="K1892" s="4"/>
      <c r="L1892" s="4"/>
      <c r="M1892" s="4"/>
      <c r="N1892" s="4"/>
      <c r="O1892" s="4"/>
      <c r="P1892" s="4"/>
      <c r="Q1892" s="4"/>
    </row>
    <row r="1893" spans="1:17" x14ac:dyDescent="0.2">
      <c r="A1893" s="1">
        <f t="shared" ca="1" si="70"/>
        <v>1891</v>
      </c>
      <c r="B1893" s="5" t="s">
        <v>50</v>
      </c>
      <c r="C1893" s="82" t="s">
        <v>5216</v>
      </c>
      <c r="D1893" s="4"/>
      <c r="E1893" s="4"/>
      <c r="F1893" s="4"/>
      <c r="G1893" s="4"/>
      <c r="H1893" s="4"/>
      <c r="I1893" s="4" t="s">
        <v>6868</v>
      </c>
      <c r="J1893" s="4"/>
      <c r="K1893" s="4"/>
      <c r="L1893" s="4"/>
      <c r="M1893" s="4"/>
      <c r="N1893" s="4"/>
      <c r="O1893" s="4"/>
      <c r="P1893" s="4"/>
      <c r="Q1893" s="4"/>
    </row>
    <row r="1894" spans="1:17" x14ac:dyDescent="0.2">
      <c r="A1894" s="1">
        <f t="shared" ca="1" si="70"/>
        <v>1892</v>
      </c>
      <c r="B1894" s="5" t="s">
        <v>2924</v>
      </c>
      <c r="C1894" s="82" t="s">
        <v>5215</v>
      </c>
      <c r="D1894" s="4"/>
      <c r="E1894" s="4"/>
      <c r="F1894" s="4"/>
      <c r="G1894" s="4"/>
      <c r="H1894" s="4"/>
      <c r="I1894" s="4" t="s">
        <v>6869</v>
      </c>
      <c r="J1894" s="4"/>
      <c r="K1894" s="4"/>
      <c r="L1894" s="4"/>
      <c r="M1894" s="4"/>
      <c r="N1894" s="4"/>
      <c r="O1894" s="4"/>
      <c r="P1894" s="4"/>
      <c r="Q1894" s="4"/>
    </row>
    <row r="1895" spans="1:17" ht="25.5" x14ac:dyDescent="0.2">
      <c r="A1895" s="1">
        <f t="shared" ca="1" si="70"/>
        <v>1893</v>
      </c>
      <c r="B1895" s="5" t="s">
        <v>51</v>
      </c>
      <c r="C1895" s="82" t="s">
        <v>5214</v>
      </c>
      <c r="D1895" s="4"/>
      <c r="E1895" s="4"/>
      <c r="F1895" s="4"/>
      <c r="G1895" s="4"/>
      <c r="H1895" s="4"/>
      <c r="I1895" s="4" t="s">
        <v>6870</v>
      </c>
      <c r="J1895" s="4"/>
      <c r="K1895" s="4"/>
      <c r="L1895" s="4"/>
      <c r="M1895" s="4"/>
      <c r="N1895" s="4"/>
      <c r="O1895" s="4"/>
      <c r="P1895" s="4"/>
      <c r="Q1895" s="4"/>
    </row>
    <row r="1896" spans="1:17" x14ac:dyDescent="0.2">
      <c r="A1896" s="1">
        <f t="shared" ca="1" si="70"/>
        <v>1894</v>
      </c>
      <c r="B1896" s="5" t="s">
        <v>4003</v>
      </c>
      <c r="C1896" s="82" t="s">
        <v>5213</v>
      </c>
      <c r="D1896" s="4"/>
      <c r="E1896" s="4"/>
      <c r="F1896" s="4"/>
      <c r="G1896" s="4"/>
      <c r="H1896" s="4"/>
      <c r="I1896" s="4" t="s">
        <v>6871</v>
      </c>
      <c r="J1896" s="4"/>
      <c r="K1896" s="4"/>
      <c r="L1896" s="4"/>
      <c r="M1896" s="4"/>
      <c r="N1896" s="4"/>
      <c r="O1896" s="4"/>
      <c r="P1896" s="4"/>
      <c r="Q1896" s="4"/>
    </row>
    <row r="1897" spans="1:17" ht="25.5" x14ac:dyDescent="0.2">
      <c r="A1897" s="1">
        <f t="shared" ca="1" si="70"/>
        <v>1895</v>
      </c>
      <c r="B1897" s="5" t="s">
        <v>4005</v>
      </c>
      <c r="C1897" s="82" t="s">
        <v>3146</v>
      </c>
      <c r="D1897" s="4"/>
      <c r="E1897" s="4"/>
      <c r="F1897" s="4"/>
      <c r="G1897" s="4"/>
      <c r="H1897" s="4"/>
      <c r="I1897" s="4" t="s">
        <v>6872</v>
      </c>
      <c r="J1897" s="4"/>
      <c r="K1897" s="4"/>
      <c r="L1897" s="4"/>
      <c r="M1897" s="4"/>
      <c r="N1897" s="4"/>
      <c r="O1897" s="4"/>
      <c r="P1897" s="4"/>
      <c r="Q1897" s="4"/>
    </row>
    <row r="1898" spans="1:17" x14ac:dyDescent="0.2">
      <c r="A1898" s="1">
        <f t="shared" ca="1" si="70"/>
        <v>1896</v>
      </c>
      <c r="B1898" s="5" t="s">
        <v>52</v>
      </c>
      <c r="C1898" s="82" t="s">
        <v>3380</v>
      </c>
      <c r="D1898" s="4"/>
      <c r="E1898" s="4"/>
      <c r="F1898" s="4"/>
      <c r="G1898" s="4"/>
      <c r="H1898" s="4"/>
      <c r="I1898" s="4" t="s">
        <v>2730</v>
      </c>
      <c r="J1898" s="4"/>
      <c r="K1898" s="4"/>
      <c r="L1898" s="4"/>
      <c r="M1898" s="4"/>
      <c r="N1898" s="4"/>
      <c r="O1898" s="4"/>
      <c r="P1898" s="4"/>
      <c r="Q1898" s="4"/>
    </row>
    <row r="1899" spans="1:17" x14ac:dyDescent="0.2">
      <c r="A1899" s="1">
        <f t="shared" ca="1" si="70"/>
        <v>1897</v>
      </c>
      <c r="B1899" s="5" t="s">
        <v>4004</v>
      </c>
      <c r="C1899" s="82" t="s">
        <v>3382</v>
      </c>
      <c r="D1899" s="4"/>
      <c r="E1899" s="4"/>
      <c r="F1899" s="4"/>
      <c r="G1899" s="4"/>
      <c r="H1899" s="4"/>
      <c r="I1899" s="4" t="s">
        <v>3022</v>
      </c>
      <c r="J1899" s="4"/>
      <c r="K1899" s="4"/>
      <c r="L1899" s="4"/>
      <c r="M1899" s="4"/>
      <c r="N1899" s="4"/>
      <c r="O1899" s="4"/>
      <c r="P1899" s="4"/>
      <c r="Q1899" s="4"/>
    </row>
    <row r="1900" spans="1:17" x14ac:dyDescent="0.2">
      <c r="A1900" s="1">
        <f t="shared" ca="1" si="70"/>
        <v>1898</v>
      </c>
      <c r="B1900" s="5" t="s">
        <v>53</v>
      </c>
      <c r="C1900" s="82" t="s">
        <v>5212</v>
      </c>
      <c r="D1900" s="4"/>
      <c r="E1900" s="4"/>
      <c r="F1900" s="4"/>
      <c r="G1900" s="4"/>
      <c r="H1900" s="4"/>
      <c r="I1900" s="4" t="s">
        <v>6874</v>
      </c>
      <c r="J1900" s="4"/>
      <c r="K1900" s="4"/>
      <c r="L1900" s="4"/>
      <c r="M1900" s="4"/>
      <c r="N1900" s="4"/>
      <c r="O1900" s="4"/>
      <c r="P1900" s="4"/>
      <c r="Q1900" s="4"/>
    </row>
    <row r="1901" spans="1:17" x14ac:dyDescent="0.2">
      <c r="A1901" s="1">
        <f t="shared" ca="1" si="70"/>
        <v>1899</v>
      </c>
      <c r="B1901" s="5" t="s">
        <v>54</v>
      </c>
      <c r="C1901" s="82" t="s">
        <v>5211</v>
      </c>
      <c r="D1901" s="4"/>
      <c r="E1901" s="4"/>
      <c r="F1901" s="4"/>
      <c r="G1901" s="4"/>
      <c r="H1901" s="4"/>
      <c r="I1901" s="4" t="s">
        <v>3286</v>
      </c>
      <c r="J1901" s="4"/>
      <c r="K1901" s="4"/>
      <c r="L1901" s="4"/>
      <c r="M1901" s="4"/>
      <c r="N1901" s="4"/>
      <c r="O1901" s="4"/>
      <c r="P1901" s="4"/>
      <c r="Q1901" s="4"/>
    </row>
    <row r="1902" spans="1:17" ht="25.5" x14ac:dyDescent="0.2">
      <c r="A1902" s="1">
        <f t="shared" ca="1" si="70"/>
        <v>1900</v>
      </c>
      <c r="B1902" s="5" t="s">
        <v>6531</v>
      </c>
      <c r="C1902" s="82" t="s">
        <v>5210</v>
      </c>
      <c r="D1902" s="4"/>
      <c r="E1902" s="4"/>
      <c r="F1902" s="4"/>
      <c r="G1902" s="4"/>
      <c r="H1902" s="4"/>
      <c r="I1902" s="4" t="s">
        <v>3273</v>
      </c>
      <c r="J1902" s="4"/>
      <c r="K1902" s="4"/>
      <c r="L1902" s="4"/>
      <c r="M1902" s="4"/>
      <c r="N1902" s="4"/>
      <c r="O1902" s="4"/>
      <c r="P1902" s="4"/>
      <c r="Q1902" s="4"/>
    </row>
    <row r="1903" spans="1:17" x14ac:dyDescent="0.2">
      <c r="A1903" s="1">
        <f t="shared" ca="1" si="70"/>
        <v>1901</v>
      </c>
      <c r="B1903" s="5" t="s">
        <v>55</v>
      </c>
      <c r="C1903" s="82" t="s">
        <v>5209</v>
      </c>
      <c r="D1903" s="4"/>
      <c r="E1903" s="4"/>
      <c r="F1903" s="4"/>
      <c r="G1903" s="4"/>
      <c r="H1903" s="4"/>
      <c r="I1903" s="4" t="s">
        <v>3287</v>
      </c>
      <c r="J1903" s="4"/>
      <c r="K1903" s="4"/>
      <c r="L1903" s="4"/>
      <c r="M1903" s="4"/>
      <c r="N1903" s="4"/>
      <c r="O1903" s="4"/>
      <c r="P1903" s="4"/>
      <c r="Q1903" s="4"/>
    </row>
    <row r="1904" spans="1:17" ht="25.5" x14ac:dyDescent="0.2">
      <c r="A1904" s="1">
        <f t="shared" ca="1" si="70"/>
        <v>1902</v>
      </c>
      <c r="B1904" s="5" t="s">
        <v>56</v>
      </c>
      <c r="C1904" s="82" t="s">
        <v>86</v>
      </c>
      <c r="D1904" s="4"/>
      <c r="E1904" s="4"/>
      <c r="F1904" s="4"/>
      <c r="G1904" s="4"/>
      <c r="H1904" s="4"/>
      <c r="I1904" s="4" t="s">
        <v>3288</v>
      </c>
      <c r="J1904" s="4"/>
      <c r="K1904" s="4"/>
      <c r="L1904" s="4"/>
      <c r="M1904" s="4"/>
      <c r="N1904" s="4"/>
      <c r="O1904" s="4"/>
      <c r="P1904" s="4"/>
      <c r="Q1904" s="4"/>
    </row>
    <row r="1905" spans="1:17" ht="25.5" x14ac:dyDescent="0.2">
      <c r="A1905" s="1">
        <f t="shared" ca="1" si="70"/>
        <v>1903</v>
      </c>
      <c r="B1905" s="5" t="s">
        <v>57</v>
      </c>
      <c r="C1905" s="82" t="s">
        <v>325</v>
      </c>
      <c r="D1905" s="4"/>
      <c r="E1905" s="4"/>
      <c r="F1905" s="4"/>
      <c r="G1905" s="4"/>
      <c r="H1905" s="4"/>
      <c r="I1905" s="4" t="s">
        <v>3289</v>
      </c>
      <c r="J1905" s="4"/>
      <c r="K1905" s="4"/>
      <c r="L1905" s="4"/>
      <c r="M1905" s="4"/>
      <c r="N1905" s="4"/>
      <c r="O1905" s="4"/>
      <c r="P1905" s="4"/>
      <c r="Q1905" s="4"/>
    </row>
    <row r="1906" spans="1:17" ht="25.5" x14ac:dyDescent="0.2">
      <c r="A1906" s="1">
        <f t="shared" ca="1" si="70"/>
        <v>1904</v>
      </c>
      <c r="B1906" s="5" t="s">
        <v>58</v>
      </c>
      <c r="C1906" s="82" t="s">
        <v>4222</v>
      </c>
      <c r="D1906" s="4"/>
      <c r="E1906" s="4"/>
      <c r="F1906" s="4"/>
      <c r="G1906" s="4"/>
      <c r="H1906" s="4"/>
      <c r="I1906" s="4" t="s">
        <v>6879</v>
      </c>
      <c r="J1906" s="4"/>
      <c r="K1906" s="4"/>
      <c r="L1906" s="4"/>
      <c r="M1906" s="4"/>
      <c r="N1906" s="4"/>
      <c r="O1906" s="4"/>
      <c r="P1906" s="4"/>
      <c r="Q1906" s="4"/>
    </row>
    <row r="1907" spans="1:17" ht="25.5" x14ac:dyDescent="0.2">
      <c r="A1907" s="1">
        <f t="shared" ca="1" si="70"/>
        <v>1905</v>
      </c>
      <c r="B1907" s="5" t="s">
        <v>59</v>
      </c>
      <c r="C1907" s="82" t="s">
        <v>4221</v>
      </c>
      <c r="D1907" s="4"/>
      <c r="E1907" s="4"/>
      <c r="F1907" s="4"/>
      <c r="G1907" s="4"/>
      <c r="H1907" s="4"/>
      <c r="I1907" s="4" t="s">
        <v>6880</v>
      </c>
      <c r="J1907" s="4"/>
      <c r="K1907" s="4"/>
      <c r="L1907" s="4"/>
      <c r="M1907" s="4"/>
      <c r="N1907" s="4"/>
      <c r="O1907" s="4"/>
      <c r="P1907" s="4"/>
      <c r="Q1907" s="4"/>
    </row>
    <row r="1908" spans="1:17" x14ac:dyDescent="0.2">
      <c r="A1908" s="1">
        <f t="shared" ca="1" si="70"/>
        <v>1906</v>
      </c>
      <c r="B1908" s="5" t="s">
        <v>6698</v>
      </c>
      <c r="C1908" s="82" t="s">
        <v>8120</v>
      </c>
      <c r="D1908" s="4"/>
      <c r="E1908" s="4"/>
      <c r="F1908" s="4"/>
      <c r="G1908" s="4"/>
      <c r="H1908" s="4"/>
      <c r="I1908" s="4" t="s">
        <v>3290</v>
      </c>
      <c r="J1908" s="4"/>
      <c r="K1908" s="4"/>
      <c r="L1908" s="4"/>
      <c r="M1908" s="4"/>
      <c r="N1908" s="4"/>
      <c r="O1908" s="4"/>
      <c r="P1908" s="4"/>
      <c r="Q1908" s="4"/>
    </row>
    <row r="1909" spans="1:17" x14ac:dyDescent="0.2">
      <c r="A1909" s="1">
        <f t="shared" ca="1" si="70"/>
        <v>1907</v>
      </c>
      <c r="B1909" s="5" t="s">
        <v>4729</v>
      </c>
      <c r="C1909" s="82" t="s">
        <v>8121</v>
      </c>
      <c r="D1909" s="4"/>
      <c r="E1909" s="4"/>
      <c r="F1909" s="4"/>
      <c r="G1909" s="4"/>
      <c r="H1909" s="4"/>
      <c r="I1909" s="4" t="s">
        <v>3291</v>
      </c>
      <c r="J1909" s="4"/>
      <c r="K1909" s="4"/>
      <c r="L1909" s="4"/>
      <c r="M1909" s="4"/>
      <c r="N1909" s="4"/>
      <c r="O1909" s="4"/>
      <c r="P1909" s="4"/>
      <c r="Q1909" s="4"/>
    </row>
    <row r="1910" spans="1:17" x14ac:dyDescent="0.2">
      <c r="A1910" s="1">
        <f t="shared" ca="1" si="70"/>
        <v>1908</v>
      </c>
      <c r="B1910" s="5" t="s">
        <v>4031</v>
      </c>
      <c r="C1910" s="82" t="s">
        <v>8122</v>
      </c>
      <c r="D1910" s="4"/>
      <c r="E1910" s="4"/>
      <c r="F1910" s="4"/>
      <c r="G1910" s="4"/>
      <c r="H1910" s="4"/>
      <c r="I1910" s="4" t="s">
        <v>3292</v>
      </c>
      <c r="J1910" s="4"/>
      <c r="K1910" s="4"/>
      <c r="L1910" s="4"/>
      <c r="M1910" s="4"/>
      <c r="N1910" s="4"/>
      <c r="O1910" s="4"/>
      <c r="P1910" s="4"/>
      <c r="Q1910" s="4"/>
    </row>
    <row r="1911" spans="1:17" x14ac:dyDescent="0.2">
      <c r="A1911" s="1">
        <f t="shared" ca="1" si="70"/>
        <v>1909</v>
      </c>
      <c r="B1911" s="5" t="s">
        <v>6699</v>
      </c>
      <c r="C1911" s="82" t="s">
        <v>8123</v>
      </c>
      <c r="D1911" s="4"/>
      <c r="E1911" s="4"/>
      <c r="F1911" s="4"/>
      <c r="G1911" s="4"/>
      <c r="H1911" s="4"/>
      <c r="I1911" s="4" t="s">
        <v>3293</v>
      </c>
      <c r="J1911" s="4"/>
      <c r="K1911" s="4"/>
      <c r="L1911" s="4"/>
      <c r="M1911" s="4"/>
      <c r="N1911" s="4"/>
      <c r="O1911" s="4"/>
      <c r="P1911" s="4"/>
      <c r="Q1911" s="4"/>
    </row>
    <row r="1912" spans="1:17" x14ac:dyDescent="0.2">
      <c r="A1912" s="1">
        <f t="shared" ca="1" si="70"/>
        <v>1910</v>
      </c>
      <c r="B1912" s="5" t="s">
        <v>6700</v>
      </c>
      <c r="C1912" s="82" t="s">
        <v>8124</v>
      </c>
      <c r="D1912" s="4"/>
      <c r="E1912" s="4"/>
      <c r="F1912" s="4"/>
      <c r="G1912" s="4"/>
      <c r="H1912" s="4"/>
      <c r="I1912" s="4" t="s">
        <v>3294</v>
      </c>
      <c r="J1912" s="4"/>
      <c r="K1912" s="4"/>
      <c r="L1912" s="4"/>
      <c r="M1912" s="4"/>
      <c r="N1912" s="4"/>
      <c r="O1912" s="4"/>
      <c r="P1912" s="4"/>
      <c r="Q1912" s="4"/>
    </row>
    <row r="1913" spans="1:17" x14ac:dyDescent="0.2">
      <c r="A1913" s="1">
        <f t="shared" ca="1" si="70"/>
        <v>1911</v>
      </c>
      <c r="B1913" s="5" t="s">
        <v>6701</v>
      </c>
      <c r="C1913" s="82" t="s">
        <v>8125</v>
      </c>
      <c r="D1913" s="4"/>
      <c r="E1913" s="4"/>
      <c r="F1913" s="4"/>
      <c r="G1913" s="4"/>
      <c r="H1913" s="4"/>
      <c r="I1913" s="4" t="s">
        <v>3295</v>
      </c>
      <c r="J1913" s="4"/>
      <c r="K1913" s="4"/>
      <c r="L1913" s="4"/>
      <c r="M1913" s="4"/>
      <c r="N1913" s="4"/>
      <c r="O1913" s="4"/>
      <c r="P1913" s="4"/>
      <c r="Q1913" s="4"/>
    </row>
    <row r="1914" spans="1:17" x14ac:dyDescent="0.2">
      <c r="A1914" s="1">
        <f t="shared" ca="1" si="70"/>
        <v>1912</v>
      </c>
      <c r="B1914" s="5" t="s">
        <v>3470</v>
      </c>
      <c r="C1914" s="82" t="s">
        <v>8126</v>
      </c>
      <c r="D1914" s="4"/>
      <c r="E1914" s="4"/>
      <c r="F1914" s="4"/>
      <c r="G1914" s="4"/>
      <c r="H1914" s="4"/>
      <c r="I1914" s="4" t="s">
        <v>3296</v>
      </c>
      <c r="J1914" s="4"/>
      <c r="K1914" s="4"/>
      <c r="L1914" s="4"/>
      <c r="M1914" s="4"/>
      <c r="N1914" s="4"/>
      <c r="O1914" s="4"/>
      <c r="P1914" s="4"/>
      <c r="Q1914" s="4"/>
    </row>
    <row r="1915" spans="1:17" x14ac:dyDescent="0.2">
      <c r="A1915" s="1">
        <f t="shared" ca="1" si="70"/>
        <v>1913</v>
      </c>
      <c r="B1915" s="5" t="s">
        <v>7909</v>
      </c>
      <c r="C1915" s="82" t="s">
        <v>8127</v>
      </c>
      <c r="D1915" s="4"/>
      <c r="E1915" s="4"/>
      <c r="F1915" s="4"/>
      <c r="G1915" s="4"/>
      <c r="H1915" s="4"/>
      <c r="I1915" s="4" t="s">
        <v>3297</v>
      </c>
      <c r="J1915" s="4"/>
      <c r="K1915" s="4"/>
      <c r="L1915" s="4"/>
      <c r="M1915" s="4"/>
      <c r="N1915" s="4"/>
      <c r="O1915" s="4"/>
      <c r="P1915" s="4"/>
      <c r="Q1915" s="4"/>
    </row>
    <row r="1916" spans="1:17" x14ac:dyDescent="0.2">
      <c r="A1916" s="1">
        <f t="shared" ref="A1916:A1980" ca="1" si="71">CELL("row",C1916)-2</f>
        <v>1914</v>
      </c>
      <c r="B1916" s="5" t="s">
        <v>7910</v>
      </c>
      <c r="C1916" s="82" t="s">
        <v>8128</v>
      </c>
      <c r="D1916" s="4"/>
      <c r="E1916" s="4"/>
      <c r="F1916" s="4"/>
      <c r="G1916" s="4"/>
      <c r="H1916" s="4"/>
      <c r="I1916" s="4" t="s">
        <v>3298</v>
      </c>
      <c r="J1916" s="4"/>
      <c r="K1916" s="4"/>
      <c r="L1916" s="4"/>
      <c r="M1916" s="4"/>
      <c r="N1916" s="4"/>
      <c r="O1916" s="4"/>
      <c r="P1916" s="4"/>
      <c r="Q1916" s="4"/>
    </row>
    <row r="1917" spans="1:17" x14ac:dyDescent="0.2">
      <c r="A1917" s="1">
        <f t="shared" ca="1" si="71"/>
        <v>1915</v>
      </c>
      <c r="B1917" s="5" t="s">
        <v>7911</v>
      </c>
      <c r="C1917" s="82" t="s">
        <v>8129</v>
      </c>
      <c r="D1917" s="4"/>
      <c r="E1917" s="4"/>
      <c r="F1917" s="4"/>
      <c r="G1917" s="4"/>
      <c r="H1917" s="4"/>
      <c r="I1917" s="4" t="s">
        <v>6881</v>
      </c>
      <c r="J1917" s="4"/>
      <c r="K1917" s="4"/>
      <c r="L1917" s="4"/>
      <c r="M1917" s="4"/>
      <c r="N1917" s="4"/>
      <c r="O1917" s="4"/>
      <c r="P1917" s="4"/>
      <c r="Q1917" s="4"/>
    </row>
    <row r="1918" spans="1:17" x14ac:dyDescent="0.2">
      <c r="A1918" s="1">
        <f t="shared" ca="1" si="71"/>
        <v>1916</v>
      </c>
      <c r="B1918" s="5" t="s">
        <v>328</v>
      </c>
      <c r="C1918" s="82" t="s">
        <v>8130</v>
      </c>
      <c r="D1918" s="4"/>
      <c r="E1918" s="4"/>
      <c r="F1918" s="4"/>
      <c r="G1918" s="4"/>
      <c r="H1918" s="4"/>
      <c r="I1918" s="4" t="s">
        <v>4306</v>
      </c>
      <c r="J1918" s="4"/>
      <c r="K1918" s="4"/>
      <c r="L1918" s="4"/>
      <c r="M1918" s="4"/>
      <c r="N1918" s="4"/>
      <c r="O1918" s="4"/>
      <c r="P1918" s="4"/>
      <c r="Q1918" s="4"/>
    </row>
    <row r="1919" spans="1:17" x14ac:dyDescent="0.2">
      <c r="A1919" s="1">
        <f t="shared" ca="1" si="71"/>
        <v>1917</v>
      </c>
      <c r="B1919" s="5" t="s">
        <v>329</v>
      </c>
      <c r="C1919" s="82" t="s">
        <v>8131</v>
      </c>
      <c r="D1919" s="4"/>
      <c r="E1919" s="4"/>
      <c r="F1919" s="4"/>
      <c r="G1919" s="4"/>
      <c r="H1919" s="4"/>
      <c r="I1919" s="4" t="s">
        <v>6884</v>
      </c>
      <c r="J1919" s="4"/>
      <c r="K1919" s="4"/>
      <c r="L1919" s="4"/>
      <c r="M1919" s="4"/>
      <c r="N1919" s="4"/>
      <c r="O1919" s="4"/>
      <c r="P1919" s="4"/>
      <c r="Q1919" s="4"/>
    </row>
    <row r="1920" spans="1:17" x14ac:dyDescent="0.2">
      <c r="A1920" s="1">
        <f t="shared" ca="1" si="71"/>
        <v>1918</v>
      </c>
      <c r="B1920" s="5" t="s">
        <v>330</v>
      </c>
      <c r="C1920" s="82" t="s">
        <v>8132</v>
      </c>
      <c r="D1920" s="4"/>
      <c r="E1920" s="4"/>
      <c r="F1920" s="4"/>
      <c r="G1920" s="4"/>
      <c r="H1920" s="4"/>
      <c r="I1920" s="4" t="s">
        <v>6885</v>
      </c>
      <c r="J1920" s="4"/>
      <c r="K1920" s="4"/>
      <c r="L1920" s="4"/>
      <c r="M1920" s="4"/>
      <c r="N1920" s="4"/>
      <c r="O1920" s="4"/>
      <c r="P1920" s="4"/>
      <c r="Q1920" s="4"/>
    </row>
    <row r="1921" spans="1:17" x14ac:dyDescent="0.2">
      <c r="A1921" s="1">
        <f t="shared" ca="1" si="71"/>
        <v>1919</v>
      </c>
      <c r="B1921" s="5" t="s">
        <v>331</v>
      </c>
      <c r="C1921" s="82" t="s">
        <v>8133</v>
      </c>
      <c r="D1921" s="4"/>
      <c r="E1921" s="4"/>
      <c r="F1921" s="4"/>
      <c r="G1921" s="4"/>
      <c r="H1921" s="4"/>
      <c r="I1921" s="4" t="s">
        <v>6886</v>
      </c>
      <c r="J1921" s="4"/>
      <c r="K1921" s="4"/>
      <c r="L1921" s="4"/>
      <c r="M1921" s="4"/>
      <c r="N1921" s="4"/>
      <c r="O1921" s="4"/>
      <c r="P1921" s="4"/>
      <c r="Q1921" s="4"/>
    </row>
    <row r="1922" spans="1:17" x14ac:dyDescent="0.2">
      <c r="A1922" s="1">
        <f t="shared" ca="1" si="71"/>
        <v>1920</v>
      </c>
      <c r="B1922" s="5" t="s">
        <v>332</v>
      </c>
      <c r="C1922" s="82" t="s">
        <v>8134</v>
      </c>
      <c r="D1922" s="4"/>
      <c r="E1922" s="4"/>
      <c r="F1922" s="4"/>
      <c r="G1922" s="4"/>
      <c r="H1922" s="4"/>
      <c r="I1922" s="4" t="s">
        <v>6887</v>
      </c>
      <c r="J1922" s="4"/>
      <c r="K1922" s="4"/>
      <c r="L1922" s="4"/>
      <c r="M1922" s="4"/>
      <c r="N1922" s="4"/>
      <c r="O1922" s="4"/>
      <c r="P1922" s="4"/>
      <c r="Q1922" s="4"/>
    </row>
    <row r="1923" spans="1:17" x14ac:dyDescent="0.2">
      <c r="A1923" s="1">
        <f t="shared" ca="1" si="71"/>
        <v>1921</v>
      </c>
      <c r="B1923" s="5" t="s">
        <v>333</v>
      </c>
      <c r="C1923" s="82" t="s">
        <v>8135</v>
      </c>
      <c r="D1923" s="4"/>
      <c r="E1923" s="4"/>
      <c r="F1923" s="4"/>
      <c r="G1923" s="4"/>
      <c r="H1923" s="4"/>
      <c r="I1923" s="4" t="s">
        <v>6888</v>
      </c>
      <c r="J1923" s="4"/>
      <c r="K1923" s="4"/>
      <c r="L1923" s="4"/>
      <c r="M1923" s="4"/>
      <c r="N1923" s="4"/>
      <c r="O1923" s="4"/>
      <c r="P1923" s="4"/>
      <c r="Q1923" s="4"/>
    </row>
    <row r="1924" spans="1:17" x14ac:dyDescent="0.2">
      <c r="A1924" s="1">
        <f t="shared" ca="1" si="71"/>
        <v>1922</v>
      </c>
      <c r="B1924" s="5" t="s">
        <v>156</v>
      </c>
      <c r="C1924" s="82" t="s">
        <v>154</v>
      </c>
      <c r="D1924" s="4"/>
      <c r="E1924" s="4"/>
      <c r="F1924" s="4"/>
      <c r="G1924" s="4"/>
      <c r="H1924" s="4"/>
      <c r="I1924" s="4" t="s">
        <v>1863</v>
      </c>
      <c r="J1924" s="4"/>
      <c r="K1924" s="4"/>
      <c r="L1924" s="4"/>
      <c r="M1924" s="4"/>
      <c r="N1924" s="4"/>
      <c r="O1924" s="4"/>
      <c r="P1924" s="4"/>
      <c r="Q1924" s="4"/>
    </row>
    <row r="1925" spans="1:17" ht="25.5" x14ac:dyDescent="0.2">
      <c r="A1925" s="1">
        <f t="shared" ca="1" si="71"/>
        <v>1923</v>
      </c>
      <c r="B1925" s="5" t="s">
        <v>4536</v>
      </c>
      <c r="C1925" s="82" t="s">
        <v>8136</v>
      </c>
      <c r="D1925" s="4"/>
      <c r="E1925" s="4"/>
      <c r="F1925" s="4"/>
      <c r="G1925" s="4"/>
      <c r="H1925" s="4"/>
      <c r="I1925" s="4" t="s">
        <v>3299</v>
      </c>
      <c r="J1925" s="4"/>
      <c r="K1925" s="4"/>
      <c r="L1925" s="4"/>
      <c r="M1925" s="4"/>
      <c r="N1925" s="4"/>
      <c r="O1925" s="4"/>
      <c r="P1925" s="4"/>
      <c r="Q1925" s="4"/>
    </row>
    <row r="1926" spans="1:17" ht="25.5" x14ac:dyDescent="0.2">
      <c r="A1926" s="1">
        <f t="shared" ca="1" si="71"/>
        <v>1924</v>
      </c>
      <c r="B1926" s="5" t="s">
        <v>4537</v>
      </c>
      <c r="C1926" s="82" t="s">
        <v>8137</v>
      </c>
      <c r="D1926" s="4"/>
      <c r="E1926" s="4"/>
      <c r="F1926" s="4"/>
      <c r="G1926" s="4"/>
      <c r="H1926" s="4"/>
      <c r="I1926" s="4" t="s">
        <v>3300</v>
      </c>
      <c r="J1926" s="4"/>
      <c r="K1926" s="4"/>
      <c r="L1926" s="4"/>
      <c r="M1926" s="4"/>
      <c r="N1926" s="4"/>
      <c r="O1926" s="4"/>
      <c r="P1926" s="4"/>
      <c r="Q1926" s="4"/>
    </row>
    <row r="1927" spans="1:17" x14ac:dyDescent="0.2">
      <c r="A1927" s="1">
        <f t="shared" ca="1" si="71"/>
        <v>1925</v>
      </c>
      <c r="B1927" s="5" t="s">
        <v>4538</v>
      </c>
      <c r="C1927" s="82" t="s">
        <v>8138</v>
      </c>
      <c r="D1927" s="4"/>
      <c r="E1927" s="4"/>
      <c r="F1927" s="4"/>
      <c r="G1927" s="4"/>
      <c r="H1927" s="4"/>
      <c r="I1927" s="4" t="s">
        <v>3301</v>
      </c>
      <c r="J1927" s="4"/>
      <c r="K1927" s="4"/>
      <c r="L1927" s="4"/>
      <c r="M1927" s="4"/>
      <c r="N1927" s="4"/>
      <c r="O1927" s="4"/>
      <c r="P1927" s="4"/>
      <c r="Q1927" s="4"/>
    </row>
    <row r="1928" spans="1:17" ht="25.5" x14ac:dyDescent="0.2">
      <c r="A1928" s="1">
        <f t="shared" ca="1" si="71"/>
        <v>1926</v>
      </c>
      <c r="B1928" s="5" t="s">
        <v>4539</v>
      </c>
      <c r="C1928" s="82" t="s">
        <v>8139</v>
      </c>
      <c r="D1928" s="4"/>
      <c r="E1928" s="4"/>
      <c r="F1928" s="4"/>
      <c r="G1928" s="4"/>
      <c r="H1928" s="4"/>
      <c r="I1928" s="4" t="s">
        <v>3302</v>
      </c>
      <c r="J1928" s="4"/>
      <c r="K1928" s="4"/>
      <c r="L1928" s="4"/>
      <c r="M1928" s="4"/>
      <c r="N1928" s="4"/>
      <c r="O1928" s="4"/>
      <c r="P1928" s="4"/>
      <c r="Q1928" s="4"/>
    </row>
    <row r="1929" spans="1:17" x14ac:dyDescent="0.2">
      <c r="A1929" s="1">
        <f t="shared" ca="1" si="71"/>
        <v>1927</v>
      </c>
      <c r="B1929" s="5" t="s">
        <v>4540</v>
      </c>
      <c r="C1929" s="82" t="s">
        <v>8140</v>
      </c>
      <c r="D1929" s="4"/>
      <c r="E1929" s="4"/>
      <c r="F1929" s="4"/>
      <c r="G1929" s="4"/>
      <c r="H1929" s="4"/>
      <c r="I1929" s="4" t="s">
        <v>3303</v>
      </c>
      <c r="J1929" s="4"/>
      <c r="K1929" s="4"/>
      <c r="L1929" s="4"/>
      <c r="M1929" s="4"/>
      <c r="N1929" s="4"/>
      <c r="O1929" s="4"/>
      <c r="P1929" s="4"/>
      <c r="Q1929" s="4"/>
    </row>
    <row r="1930" spans="1:17" x14ac:dyDescent="0.2">
      <c r="A1930" s="1">
        <f t="shared" ca="1" si="71"/>
        <v>1928</v>
      </c>
      <c r="B1930" s="5" t="s">
        <v>4541</v>
      </c>
      <c r="C1930" s="82" t="s">
        <v>8141</v>
      </c>
      <c r="D1930" s="4"/>
      <c r="E1930" s="4"/>
      <c r="F1930" s="4"/>
      <c r="G1930" s="4"/>
      <c r="H1930" s="4"/>
      <c r="I1930" s="4" t="s">
        <v>3304</v>
      </c>
      <c r="J1930" s="4"/>
      <c r="K1930" s="4"/>
      <c r="L1930" s="4"/>
      <c r="M1930" s="4"/>
      <c r="N1930" s="4"/>
      <c r="O1930" s="4"/>
      <c r="P1930" s="4"/>
      <c r="Q1930" s="4"/>
    </row>
    <row r="1931" spans="1:17" x14ac:dyDescent="0.2">
      <c r="A1931" s="1">
        <f t="shared" ca="1" si="71"/>
        <v>1929</v>
      </c>
      <c r="B1931" s="5" t="s">
        <v>4542</v>
      </c>
      <c r="C1931" s="82" t="s">
        <v>4769</v>
      </c>
      <c r="D1931" s="4"/>
      <c r="E1931" s="4"/>
      <c r="F1931" s="4"/>
      <c r="G1931" s="4"/>
      <c r="H1931" s="4"/>
      <c r="I1931" s="4" t="s">
        <v>3305</v>
      </c>
      <c r="J1931" s="4"/>
      <c r="K1931" s="4"/>
      <c r="L1931" s="4"/>
      <c r="M1931" s="4"/>
      <c r="N1931" s="4"/>
      <c r="O1931" s="4"/>
      <c r="P1931" s="4"/>
      <c r="Q1931" s="4"/>
    </row>
    <row r="1932" spans="1:17" ht="25.5" x14ac:dyDescent="0.2">
      <c r="A1932" s="1">
        <f t="shared" ca="1" si="71"/>
        <v>1930</v>
      </c>
      <c r="B1932" s="5" t="s">
        <v>4543</v>
      </c>
      <c r="C1932" s="82" t="s">
        <v>4220</v>
      </c>
      <c r="D1932" s="4"/>
      <c r="E1932" s="4"/>
      <c r="F1932" s="4"/>
      <c r="G1932" s="4"/>
      <c r="H1932" s="4"/>
      <c r="I1932" s="4" t="s">
        <v>6895</v>
      </c>
      <c r="J1932" s="4"/>
      <c r="K1932" s="4"/>
      <c r="L1932" s="4"/>
      <c r="M1932" s="4"/>
      <c r="N1932" s="4"/>
      <c r="O1932" s="4"/>
      <c r="P1932" s="4"/>
      <c r="Q1932" s="4"/>
    </row>
    <row r="1933" spans="1:17" x14ac:dyDescent="0.2">
      <c r="A1933" s="1">
        <f t="shared" ca="1" si="71"/>
        <v>1931</v>
      </c>
      <c r="B1933" s="5" t="s">
        <v>6236</v>
      </c>
      <c r="C1933" s="82" t="s">
        <v>8143</v>
      </c>
      <c r="D1933" s="4"/>
      <c r="E1933" s="4"/>
      <c r="F1933" s="4"/>
      <c r="G1933" s="4"/>
      <c r="H1933" s="4"/>
      <c r="I1933" s="4" t="s">
        <v>2544</v>
      </c>
      <c r="J1933" s="4"/>
      <c r="K1933" s="4"/>
      <c r="L1933" s="4"/>
      <c r="M1933" s="4"/>
      <c r="N1933" s="4"/>
      <c r="O1933" s="4"/>
      <c r="P1933" s="4"/>
      <c r="Q1933" s="4"/>
    </row>
    <row r="1934" spans="1:17" x14ac:dyDescent="0.2">
      <c r="A1934" s="1">
        <f t="shared" ca="1" si="71"/>
        <v>1932</v>
      </c>
      <c r="B1934" s="5" t="s">
        <v>2664</v>
      </c>
      <c r="C1934" s="82" t="s">
        <v>8144</v>
      </c>
      <c r="D1934" s="4"/>
      <c r="E1934" s="4"/>
      <c r="F1934" s="4"/>
      <c r="G1934" s="4"/>
      <c r="H1934" s="4"/>
      <c r="I1934" s="4" t="s">
        <v>5039</v>
      </c>
      <c r="J1934" s="4"/>
      <c r="K1934" s="4"/>
      <c r="L1934" s="4"/>
      <c r="M1934" s="4"/>
      <c r="N1934" s="4"/>
      <c r="O1934" s="4"/>
      <c r="P1934" s="4"/>
      <c r="Q1934" s="4"/>
    </row>
    <row r="1935" spans="1:17" x14ac:dyDescent="0.2">
      <c r="A1935" s="1">
        <f t="shared" ca="1" si="71"/>
        <v>1933</v>
      </c>
      <c r="B1935" s="5" t="s">
        <v>3889</v>
      </c>
      <c r="C1935" s="82" t="s">
        <v>8145</v>
      </c>
      <c r="D1935" s="4"/>
      <c r="E1935" s="4"/>
      <c r="F1935" s="4"/>
      <c r="G1935" s="4"/>
      <c r="H1935" s="4"/>
      <c r="I1935" s="4" t="s">
        <v>6896</v>
      </c>
      <c r="J1935" s="4"/>
      <c r="K1935" s="4"/>
      <c r="L1935" s="4"/>
      <c r="M1935" s="4"/>
      <c r="N1935" s="4"/>
      <c r="O1935" s="4"/>
      <c r="P1935" s="4"/>
      <c r="Q1935" s="4"/>
    </row>
    <row r="1936" spans="1:17" x14ac:dyDescent="0.2">
      <c r="A1936" s="1">
        <f t="shared" ca="1" si="71"/>
        <v>1934</v>
      </c>
      <c r="B1936" s="5" t="s">
        <v>4544</v>
      </c>
      <c r="C1936" s="82" t="s">
        <v>8146</v>
      </c>
      <c r="D1936" s="4"/>
      <c r="E1936" s="4"/>
      <c r="F1936" s="4"/>
      <c r="G1936" s="4"/>
      <c r="H1936" s="4"/>
      <c r="I1936" s="4" t="s">
        <v>3306</v>
      </c>
      <c r="J1936" s="4"/>
      <c r="K1936" s="4"/>
      <c r="L1936" s="4"/>
      <c r="M1936" s="4"/>
      <c r="N1936" s="4"/>
      <c r="O1936" s="4"/>
      <c r="P1936" s="4"/>
      <c r="Q1936" s="4"/>
    </row>
    <row r="1937" spans="1:17" x14ac:dyDescent="0.2">
      <c r="A1937" s="1">
        <f t="shared" ca="1" si="71"/>
        <v>1935</v>
      </c>
      <c r="B1937" s="5" t="s">
        <v>7912</v>
      </c>
      <c r="C1937" s="82" t="s">
        <v>8147</v>
      </c>
      <c r="D1937" s="4"/>
      <c r="E1937" s="4"/>
      <c r="F1937" s="4"/>
      <c r="G1937" s="4"/>
      <c r="H1937" s="4"/>
      <c r="I1937" s="4" t="s">
        <v>3307</v>
      </c>
      <c r="J1937" s="4"/>
      <c r="K1937" s="4"/>
      <c r="L1937" s="4"/>
      <c r="M1937" s="4"/>
      <c r="N1937" s="4"/>
      <c r="O1937" s="4"/>
      <c r="P1937" s="4"/>
      <c r="Q1937" s="4"/>
    </row>
    <row r="1938" spans="1:17" x14ac:dyDescent="0.2">
      <c r="A1938" s="1">
        <f t="shared" ca="1" si="71"/>
        <v>1936</v>
      </c>
      <c r="B1938" s="5" t="s">
        <v>7913</v>
      </c>
      <c r="C1938" s="82" t="s">
        <v>8148</v>
      </c>
      <c r="D1938" s="4"/>
      <c r="E1938" s="4"/>
      <c r="F1938" s="4"/>
      <c r="G1938" s="4"/>
      <c r="H1938" s="4"/>
      <c r="I1938" s="4" t="s">
        <v>3308</v>
      </c>
      <c r="J1938" s="4"/>
      <c r="K1938" s="4"/>
      <c r="L1938" s="4"/>
      <c r="M1938" s="4"/>
      <c r="N1938" s="4"/>
      <c r="O1938" s="4"/>
      <c r="P1938" s="4"/>
      <c r="Q1938" s="4"/>
    </row>
    <row r="1939" spans="1:17" x14ac:dyDescent="0.2">
      <c r="A1939" s="1">
        <f t="shared" ca="1" si="71"/>
        <v>1937</v>
      </c>
      <c r="B1939" s="5" t="s">
        <v>7914</v>
      </c>
      <c r="C1939" s="82" t="s">
        <v>8149</v>
      </c>
      <c r="D1939" s="4"/>
      <c r="E1939" s="4"/>
      <c r="F1939" s="4"/>
      <c r="G1939" s="4"/>
      <c r="H1939" s="4"/>
      <c r="I1939" s="4" t="s">
        <v>3309</v>
      </c>
      <c r="J1939" s="4"/>
      <c r="K1939" s="4"/>
      <c r="L1939" s="4"/>
      <c r="M1939" s="4"/>
      <c r="N1939" s="4"/>
      <c r="O1939" s="4"/>
      <c r="P1939" s="4"/>
      <c r="Q1939" s="4"/>
    </row>
    <row r="1940" spans="1:17" x14ac:dyDescent="0.2">
      <c r="A1940" s="1">
        <f t="shared" ca="1" si="71"/>
        <v>1938</v>
      </c>
      <c r="B1940" s="5" t="s">
        <v>7915</v>
      </c>
      <c r="C1940" s="82" t="s">
        <v>8150</v>
      </c>
      <c r="D1940" s="4"/>
      <c r="E1940" s="4"/>
      <c r="F1940" s="4"/>
      <c r="G1940" s="4"/>
      <c r="H1940" s="4"/>
      <c r="I1940" s="4" t="s">
        <v>3310</v>
      </c>
      <c r="J1940" s="4"/>
      <c r="K1940" s="4"/>
      <c r="L1940" s="4"/>
      <c r="M1940" s="4"/>
      <c r="N1940" s="4"/>
      <c r="O1940" s="4"/>
      <c r="P1940" s="4"/>
      <c r="Q1940" s="4"/>
    </row>
    <row r="1941" spans="1:17" x14ac:dyDescent="0.2">
      <c r="A1941" s="1">
        <f t="shared" ca="1" si="71"/>
        <v>1939</v>
      </c>
      <c r="B1941" s="5" t="s">
        <v>7916</v>
      </c>
      <c r="C1941" s="82" t="s">
        <v>8151</v>
      </c>
      <c r="D1941" s="4"/>
      <c r="E1941" s="4"/>
      <c r="F1941" s="4"/>
      <c r="G1941" s="4"/>
      <c r="H1941" s="4"/>
      <c r="I1941" s="4" t="s">
        <v>3311</v>
      </c>
      <c r="J1941" s="4"/>
      <c r="K1941" s="4"/>
      <c r="L1941" s="4"/>
      <c r="M1941" s="4"/>
      <c r="N1941" s="4"/>
      <c r="O1941" s="4"/>
      <c r="P1941" s="4"/>
      <c r="Q1941" s="4"/>
    </row>
    <row r="1942" spans="1:17" x14ac:dyDescent="0.2">
      <c r="A1942" s="1">
        <f t="shared" ca="1" si="71"/>
        <v>1940</v>
      </c>
      <c r="B1942" s="5" t="s">
        <v>7917</v>
      </c>
      <c r="C1942" s="82" t="s">
        <v>8152</v>
      </c>
      <c r="D1942" s="4"/>
      <c r="E1942" s="4"/>
      <c r="F1942" s="4"/>
      <c r="G1942" s="4"/>
      <c r="H1942" s="4"/>
      <c r="I1942" s="4" t="s">
        <v>3312</v>
      </c>
      <c r="J1942" s="4"/>
      <c r="K1942" s="4"/>
      <c r="L1942" s="4"/>
      <c r="M1942" s="4"/>
      <c r="N1942" s="4"/>
      <c r="O1942" s="4"/>
      <c r="P1942" s="4"/>
      <c r="Q1942" s="4"/>
    </row>
    <row r="1943" spans="1:17" x14ac:dyDescent="0.2">
      <c r="A1943" s="1">
        <f t="shared" ca="1" si="71"/>
        <v>1941</v>
      </c>
      <c r="B1943" s="5" t="s">
        <v>1675</v>
      </c>
      <c r="C1943" s="82" t="s">
        <v>8153</v>
      </c>
      <c r="D1943" s="4"/>
      <c r="E1943" s="4"/>
      <c r="F1943" s="4"/>
      <c r="G1943" s="4"/>
      <c r="H1943" s="4"/>
      <c r="I1943" s="4" t="s">
        <v>3313</v>
      </c>
      <c r="J1943" s="4"/>
      <c r="K1943" s="4"/>
      <c r="L1943" s="4"/>
      <c r="M1943" s="4"/>
      <c r="N1943" s="4"/>
      <c r="O1943" s="4"/>
      <c r="P1943" s="4"/>
      <c r="Q1943" s="4"/>
    </row>
    <row r="1944" spans="1:17" x14ac:dyDescent="0.2">
      <c r="A1944" s="1">
        <f t="shared" ca="1" si="71"/>
        <v>1942</v>
      </c>
      <c r="B1944" s="5" t="s">
        <v>1676</v>
      </c>
      <c r="C1944" s="82" t="s">
        <v>8154</v>
      </c>
      <c r="D1944" s="4"/>
      <c r="E1944" s="4"/>
      <c r="F1944" s="4"/>
      <c r="G1944" s="4"/>
      <c r="H1944" s="4"/>
      <c r="I1944" s="4" t="s">
        <v>3314</v>
      </c>
      <c r="J1944" s="4"/>
      <c r="K1944" s="4"/>
      <c r="L1944" s="4"/>
      <c r="M1944" s="4"/>
      <c r="N1944" s="4"/>
      <c r="O1944" s="4"/>
      <c r="P1944" s="4"/>
      <c r="Q1944" s="4"/>
    </row>
    <row r="1945" spans="1:17" x14ac:dyDescent="0.2">
      <c r="A1945" s="1">
        <f t="shared" ca="1" si="71"/>
        <v>1943</v>
      </c>
      <c r="B1945" s="5" t="s">
        <v>1677</v>
      </c>
      <c r="C1945" s="82" t="s">
        <v>8155</v>
      </c>
      <c r="D1945" s="4"/>
      <c r="E1945" s="4"/>
      <c r="F1945" s="4"/>
      <c r="G1945" s="4"/>
      <c r="H1945" s="4"/>
      <c r="I1945" s="4" t="s">
        <v>3315</v>
      </c>
      <c r="J1945" s="4"/>
      <c r="K1945" s="4"/>
      <c r="L1945" s="4"/>
      <c r="M1945" s="4"/>
      <c r="N1945" s="4"/>
      <c r="O1945" s="4"/>
      <c r="P1945" s="4"/>
      <c r="Q1945" s="4"/>
    </row>
    <row r="1946" spans="1:17" x14ac:dyDescent="0.2">
      <c r="A1946" s="1">
        <f t="shared" ca="1" si="71"/>
        <v>1944</v>
      </c>
      <c r="B1946" s="5" t="s">
        <v>1678</v>
      </c>
      <c r="C1946" s="82" t="s">
        <v>8156</v>
      </c>
      <c r="D1946" s="4"/>
      <c r="E1946" s="4"/>
      <c r="F1946" s="4"/>
      <c r="G1946" s="4"/>
      <c r="H1946" s="4"/>
      <c r="I1946" s="4" t="s">
        <v>3316</v>
      </c>
      <c r="J1946" s="4"/>
      <c r="K1946" s="4"/>
      <c r="L1946" s="4"/>
      <c r="M1946" s="4"/>
      <c r="N1946" s="4"/>
      <c r="O1946" s="4"/>
      <c r="P1946" s="4"/>
      <c r="Q1946" s="4"/>
    </row>
    <row r="1947" spans="1:17" ht="38.25" x14ac:dyDescent="0.2">
      <c r="A1947" s="1">
        <f t="shared" ca="1" si="71"/>
        <v>1945</v>
      </c>
      <c r="B1947" s="5" t="s">
        <v>6451</v>
      </c>
      <c r="C1947" s="82" t="s">
        <v>8369</v>
      </c>
      <c r="D1947" s="4"/>
      <c r="E1947" s="4"/>
      <c r="F1947" s="4"/>
      <c r="G1947" s="4"/>
      <c r="H1947" s="4"/>
      <c r="I1947" s="4" t="s">
        <v>6898</v>
      </c>
      <c r="J1947" s="4"/>
      <c r="K1947" s="4"/>
      <c r="L1947" s="4"/>
      <c r="M1947" s="4"/>
      <c r="N1947" s="4"/>
      <c r="O1947" s="4"/>
      <c r="P1947" s="4"/>
      <c r="Q1947" s="4"/>
    </row>
    <row r="1948" spans="1:17" x14ac:dyDescent="0.2">
      <c r="A1948" s="1">
        <f t="shared" ca="1" si="71"/>
        <v>1946</v>
      </c>
      <c r="B1948" s="5" t="s">
        <v>8447</v>
      </c>
      <c r="C1948" s="82" t="s">
        <v>8183</v>
      </c>
      <c r="D1948" s="4"/>
      <c r="E1948" s="4"/>
      <c r="F1948" s="4"/>
      <c r="G1948" s="4"/>
      <c r="H1948" s="4"/>
      <c r="I1948" s="82" t="s">
        <v>6899</v>
      </c>
      <c r="J1948" s="4"/>
      <c r="K1948" s="4"/>
      <c r="L1948" s="4"/>
      <c r="M1948" s="4"/>
      <c r="N1948" s="4"/>
      <c r="O1948" s="4"/>
      <c r="P1948" s="4"/>
      <c r="Q1948" s="4"/>
    </row>
    <row r="1949" spans="1:17" ht="38.25" x14ac:dyDescent="0.2">
      <c r="A1949" s="1">
        <f t="shared" ca="1" si="71"/>
        <v>1947</v>
      </c>
      <c r="B1949" s="5" t="s">
        <v>8448</v>
      </c>
      <c r="C1949" s="82" t="s">
        <v>8370</v>
      </c>
      <c r="D1949" s="4"/>
      <c r="E1949" s="4"/>
      <c r="F1949" s="4"/>
      <c r="G1949" s="4"/>
      <c r="H1949" s="4"/>
      <c r="I1949" s="4" t="s">
        <v>6900</v>
      </c>
      <c r="J1949" s="4"/>
      <c r="K1949" s="4"/>
      <c r="L1949" s="4"/>
      <c r="M1949" s="4"/>
      <c r="N1949" s="4"/>
      <c r="O1949" s="4"/>
      <c r="P1949" s="4"/>
      <c r="Q1949" s="4"/>
    </row>
    <row r="1950" spans="1:17" x14ac:dyDescent="0.2">
      <c r="A1950" s="1">
        <f t="shared" ca="1" si="71"/>
        <v>1948</v>
      </c>
      <c r="B1950" s="5" t="s">
        <v>8449</v>
      </c>
      <c r="C1950" s="82" t="s">
        <v>7017</v>
      </c>
      <c r="D1950" s="4"/>
      <c r="E1950" s="4"/>
      <c r="F1950" s="4"/>
      <c r="G1950" s="4"/>
      <c r="H1950" s="4"/>
      <c r="I1950" s="82" t="s">
        <v>5186</v>
      </c>
      <c r="J1950" s="4"/>
      <c r="K1950" s="4"/>
      <c r="L1950" s="4"/>
      <c r="M1950" s="4"/>
      <c r="N1950" s="4"/>
      <c r="O1950" s="4"/>
      <c r="P1950" s="4"/>
      <c r="Q1950" s="4"/>
    </row>
    <row r="1951" spans="1:17" ht="38.25" x14ac:dyDescent="0.2">
      <c r="A1951" s="1">
        <f t="shared" ca="1" si="71"/>
        <v>1949</v>
      </c>
      <c r="B1951" s="5" t="s">
        <v>8016</v>
      </c>
      <c r="C1951" s="82" t="s">
        <v>3468</v>
      </c>
      <c r="D1951" s="4"/>
      <c r="E1951" s="4"/>
      <c r="F1951" s="4"/>
      <c r="G1951" s="4"/>
      <c r="H1951" s="4"/>
      <c r="I1951" s="4" t="s">
        <v>5187</v>
      </c>
      <c r="J1951" s="4"/>
      <c r="K1951" s="4"/>
      <c r="L1951" s="4"/>
      <c r="M1951" s="4"/>
      <c r="N1951" s="4"/>
      <c r="O1951" s="4"/>
      <c r="P1951" s="4"/>
      <c r="Q1951" s="4"/>
    </row>
    <row r="1952" spans="1:17" x14ac:dyDescent="0.2">
      <c r="A1952" s="1">
        <f t="shared" ca="1" si="71"/>
        <v>1950</v>
      </c>
      <c r="B1952" s="5" t="s">
        <v>1589</v>
      </c>
      <c r="C1952" s="82" t="s">
        <v>7018</v>
      </c>
      <c r="D1952" s="4"/>
      <c r="E1952" s="4"/>
      <c r="F1952" s="4"/>
      <c r="G1952" s="4"/>
      <c r="H1952" s="4"/>
      <c r="I1952" s="82" t="s">
        <v>5388</v>
      </c>
      <c r="J1952" s="4"/>
      <c r="K1952" s="4"/>
      <c r="L1952" s="4"/>
      <c r="M1952" s="4"/>
      <c r="N1952" s="4"/>
      <c r="O1952" s="4"/>
      <c r="P1952" s="4"/>
      <c r="Q1952" s="4"/>
    </row>
    <row r="1953" spans="1:17" x14ac:dyDescent="0.2">
      <c r="A1953" s="1">
        <f t="shared" ca="1" si="71"/>
        <v>1951</v>
      </c>
      <c r="B1953" s="5" t="s">
        <v>8182</v>
      </c>
      <c r="C1953" s="82" t="s">
        <v>8362</v>
      </c>
      <c r="D1953" s="4"/>
      <c r="E1953" s="4"/>
      <c r="F1953" s="4"/>
      <c r="G1953" s="4"/>
      <c r="H1953" s="4"/>
      <c r="I1953" s="4" t="s">
        <v>3317</v>
      </c>
      <c r="J1953" s="4"/>
      <c r="K1953" s="4"/>
      <c r="L1953" s="4"/>
      <c r="M1953" s="4"/>
      <c r="N1953" s="4"/>
      <c r="O1953" s="4"/>
      <c r="P1953" s="4"/>
      <c r="Q1953" s="4"/>
    </row>
    <row r="1954" spans="1:17" x14ac:dyDescent="0.2">
      <c r="A1954" s="1">
        <f t="shared" ca="1" si="71"/>
        <v>1952</v>
      </c>
      <c r="B1954" s="5" t="s">
        <v>7915</v>
      </c>
      <c r="C1954" s="82" t="s">
        <v>8363</v>
      </c>
      <c r="D1954" s="4"/>
      <c r="E1954" s="4"/>
      <c r="F1954" s="4"/>
      <c r="G1954" s="4"/>
      <c r="H1954" s="4"/>
      <c r="I1954" s="4" t="s">
        <v>3310</v>
      </c>
      <c r="J1954" s="4"/>
      <c r="K1954" s="4"/>
      <c r="L1954" s="4"/>
      <c r="M1954" s="4"/>
      <c r="N1954" s="4"/>
      <c r="O1954" s="4"/>
      <c r="P1954" s="4"/>
      <c r="Q1954" s="4"/>
    </row>
    <row r="1955" spans="1:17" x14ac:dyDescent="0.2">
      <c r="A1955" s="1">
        <f t="shared" ca="1" si="71"/>
        <v>1953</v>
      </c>
      <c r="B1955" s="5" t="s">
        <v>7916</v>
      </c>
      <c r="C1955" s="82" t="s">
        <v>8364</v>
      </c>
      <c r="D1955" s="4"/>
      <c r="E1955" s="4"/>
      <c r="F1955" s="4"/>
      <c r="G1955" s="4"/>
      <c r="H1955" s="4"/>
      <c r="I1955" s="4" t="s">
        <v>3311</v>
      </c>
      <c r="J1955" s="4"/>
      <c r="K1955" s="4"/>
      <c r="L1955" s="4"/>
      <c r="M1955" s="4"/>
      <c r="N1955" s="4"/>
      <c r="O1955" s="4"/>
      <c r="P1955" s="4"/>
      <c r="Q1955" s="4"/>
    </row>
    <row r="1956" spans="1:17" x14ac:dyDescent="0.2">
      <c r="A1956" s="1">
        <f t="shared" ca="1" si="71"/>
        <v>1954</v>
      </c>
      <c r="B1956" s="5" t="s">
        <v>7917</v>
      </c>
      <c r="C1956" s="82" t="s">
        <v>8365</v>
      </c>
      <c r="D1956" s="4"/>
      <c r="E1956" s="4"/>
      <c r="F1956" s="4"/>
      <c r="G1956" s="4"/>
      <c r="H1956" s="4"/>
      <c r="I1956" s="4" t="s">
        <v>3312</v>
      </c>
      <c r="J1956" s="4"/>
      <c r="K1956" s="4"/>
      <c r="L1956" s="4"/>
      <c r="M1956" s="4"/>
      <c r="N1956" s="4"/>
      <c r="O1956" s="4"/>
      <c r="P1956" s="4"/>
      <c r="Q1956" s="4"/>
    </row>
    <row r="1957" spans="1:17" x14ac:dyDescent="0.2">
      <c r="A1957" s="1">
        <f t="shared" ca="1" si="71"/>
        <v>1955</v>
      </c>
      <c r="B1957" s="5" t="s">
        <v>1675</v>
      </c>
      <c r="C1957" s="82" t="s">
        <v>8366</v>
      </c>
      <c r="D1957" s="4"/>
      <c r="E1957" s="4"/>
      <c r="F1957" s="4"/>
      <c r="G1957" s="4"/>
      <c r="H1957" s="4"/>
      <c r="I1957" s="4" t="s">
        <v>3313</v>
      </c>
      <c r="J1957" s="4"/>
      <c r="K1957" s="4"/>
      <c r="L1957" s="4"/>
      <c r="M1957" s="4"/>
      <c r="N1957" s="4"/>
      <c r="O1957" s="4"/>
      <c r="P1957" s="4"/>
      <c r="Q1957" s="4"/>
    </row>
    <row r="1958" spans="1:17" x14ac:dyDescent="0.2">
      <c r="A1958" s="1">
        <f t="shared" ca="1" si="71"/>
        <v>1956</v>
      </c>
      <c r="B1958" s="5" t="s">
        <v>1676</v>
      </c>
      <c r="C1958" s="82" t="s">
        <v>8367</v>
      </c>
      <c r="D1958" s="4"/>
      <c r="E1958" s="4"/>
      <c r="F1958" s="4"/>
      <c r="G1958" s="4"/>
      <c r="H1958" s="4"/>
      <c r="I1958" s="4" t="s">
        <v>3314</v>
      </c>
      <c r="J1958" s="4"/>
      <c r="K1958" s="4"/>
      <c r="L1958" s="4"/>
      <c r="M1958" s="4"/>
      <c r="N1958" s="4"/>
      <c r="O1958" s="4"/>
      <c r="P1958" s="4"/>
      <c r="Q1958" s="4"/>
    </row>
    <row r="1959" spans="1:17" x14ac:dyDescent="0.2">
      <c r="A1959" s="1">
        <f t="shared" ca="1" si="71"/>
        <v>1957</v>
      </c>
      <c r="B1959" s="5" t="s">
        <v>1677</v>
      </c>
      <c r="C1959" s="82" t="s">
        <v>8155</v>
      </c>
      <c r="D1959" s="4"/>
      <c r="E1959" s="4"/>
      <c r="F1959" s="4"/>
      <c r="G1959" s="4"/>
      <c r="H1959" s="4"/>
      <c r="I1959" s="4" t="s">
        <v>3315</v>
      </c>
      <c r="J1959" s="4"/>
      <c r="K1959" s="4"/>
      <c r="L1959" s="4"/>
      <c r="M1959" s="4"/>
      <c r="N1959" s="4"/>
      <c r="O1959" s="4"/>
      <c r="P1959" s="4"/>
      <c r="Q1959" s="4"/>
    </row>
    <row r="1960" spans="1:17" x14ac:dyDescent="0.2">
      <c r="A1960" s="1">
        <f t="shared" ca="1" si="71"/>
        <v>1958</v>
      </c>
      <c r="B1960" s="5" t="s">
        <v>1678</v>
      </c>
      <c r="C1960" s="82" t="s">
        <v>8368</v>
      </c>
      <c r="D1960" s="4"/>
      <c r="E1960" s="4"/>
      <c r="F1960" s="4"/>
      <c r="G1960" s="4"/>
      <c r="H1960" s="4"/>
      <c r="I1960" s="4" t="s">
        <v>3316</v>
      </c>
      <c r="J1960" s="4"/>
      <c r="K1960" s="4"/>
      <c r="L1960" s="4"/>
      <c r="M1960" s="4"/>
      <c r="N1960" s="4"/>
      <c r="O1960" s="4"/>
      <c r="P1960" s="4"/>
      <c r="Q1960" s="4"/>
    </row>
    <row r="1961" spans="1:17" ht="38.25" x14ac:dyDescent="0.2">
      <c r="A1961" s="1">
        <f t="shared" ca="1" si="71"/>
        <v>1959</v>
      </c>
      <c r="B1961" s="5" t="s">
        <v>6451</v>
      </c>
      <c r="C1961" s="82" t="s">
        <v>8369</v>
      </c>
      <c r="D1961" s="4"/>
      <c r="E1961" s="4"/>
      <c r="F1961" s="4"/>
      <c r="G1961" s="4"/>
      <c r="H1961" s="4"/>
      <c r="I1961" s="4" t="s">
        <v>6898</v>
      </c>
      <c r="J1961" s="4"/>
      <c r="K1961" s="4"/>
      <c r="L1961" s="4"/>
      <c r="M1961" s="4"/>
      <c r="N1961" s="4"/>
      <c r="O1961" s="4"/>
      <c r="P1961" s="4"/>
      <c r="Q1961" s="4"/>
    </row>
    <row r="1962" spans="1:17" x14ac:dyDescent="0.2">
      <c r="A1962" s="1">
        <f t="shared" ca="1" si="71"/>
        <v>1960</v>
      </c>
      <c r="B1962" s="5" t="s">
        <v>8447</v>
      </c>
      <c r="C1962" s="82" t="s">
        <v>8183</v>
      </c>
      <c r="D1962" s="4"/>
      <c r="E1962" s="4"/>
      <c r="F1962" s="4"/>
      <c r="G1962" s="4"/>
      <c r="H1962" s="4"/>
      <c r="I1962" s="82" t="s">
        <v>6899</v>
      </c>
      <c r="J1962" s="4"/>
      <c r="K1962" s="4"/>
      <c r="L1962" s="4"/>
      <c r="M1962" s="4"/>
      <c r="N1962" s="4"/>
      <c r="O1962" s="4"/>
      <c r="P1962" s="4"/>
      <c r="Q1962" s="4"/>
    </row>
    <row r="1963" spans="1:17" ht="38.25" x14ac:dyDescent="0.2">
      <c r="A1963" s="1">
        <f t="shared" ca="1" si="71"/>
        <v>1961</v>
      </c>
      <c r="B1963" s="5" t="s">
        <v>8448</v>
      </c>
      <c r="C1963" s="82" t="s">
        <v>8370</v>
      </c>
      <c r="D1963" s="4"/>
      <c r="E1963" s="4"/>
      <c r="F1963" s="4"/>
      <c r="G1963" s="4"/>
      <c r="H1963" s="4"/>
      <c r="I1963" s="4" t="s">
        <v>6900</v>
      </c>
      <c r="J1963" s="4"/>
      <c r="K1963" s="4"/>
      <c r="L1963" s="4"/>
      <c r="M1963" s="4"/>
      <c r="N1963" s="4"/>
      <c r="O1963" s="4"/>
      <c r="P1963" s="4"/>
      <c r="Q1963" s="4"/>
    </row>
    <row r="1964" spans="1:17" x14ac:dyDescent="0.2">
      <c r="A1964" s="1">
        <f t="shared" ca="1" si="71"/>
        <v>1962</v>
      </c>
      <c r="B1964" s="5" t="s">
        <v>8449</v>
      </c>
      <c r="C1964" s="82" t="s">
        <v>7017</v>
      </c>
      <c r="D1964" s="4"/>
      <c r="E1964" s="4"/>
      <c r="F1964" s="4"/>
      <c r="G1964" s="4"/>
      <c r="H1964" s="4"/>
      <c r="I1964" s="82" t="s">
        <v>5186</v>
      </c>
      <c r="J1964" s="4"/>
      <c r="K1964" s="4"/>
      <c r="L1964" s="4"/>
      <c r="M1964" s="4"/>
      <c r="N1964" s="4"/>
      <c r="O1964" s="4"/>
      <c r="P1964" s="4"/>
      <c r="Q1964" s="4"/>
    </row>
    <row r="1965" spans="1:17" ht="38.25" x14ac:dyDescent="0.2">
      <c r="A1965" s="1">
        <f t="shared" ca="1" si="71"/>
        <v>1963</v>
      </c>
      <c r="B1965" s="5" t="s">
        <v>8016</v>
      </c>
      <c r="C1965" s="82" t="s">
        <v>4768</v>
      </c>
      <c r="D1965" s="4"/>
      <c r="E1965" s="4"/>
      <c r="F1965" s="4"/>
      <c r="G1965" s="4"/>
      <c r="H1965" s="4"/>
      <c r="I1965" s="4" t="s">
        <v>5187</v>
      </c>
      <c r="J1965" s="4"/>
      <c r="K1965" s="4"/>
      <c r="L1965" s="4"/>
      <c r="M1965" s="4"/>
      <c r="N1965" s="4"/>
      <c r="O1965" s="4"/>
      <c r="P1965" s="4"/>
      <c r="Q1965" s="4"/>
    </row>
    <row r="1966" spans="1:17" x14ac:dyDescent="0.2">
      <c r="A1966" s="1">
        <f t="shared" ca="1" si="71"/>
        <v>1964</v>
      </c>
      <c r="B1966" s="5" t="s">
        <v>1589</v>
      </c>
      <c r="C1966" s="82" t="s">
        <v>7018</v>
      </c>
      <c r="G1966" s="7"/>
      <c r="I1966" s="82" t="s">
        <v>5388</v>
      </c>
    </row>
    <row r="1967" spans="1:17" x14ac:dyDescent="0.2">
      <c r="A1967" s="1">
        <f t="shared" ca="1" si="71"/>
        <v>1965</v>
      </c>
      <c r="B1967" s="5" t="s">
        <v>8182</v>
      </c>
      <c r="C1967" s="82" t="s">
        <v>2923</v>
      </c>
      <c r="G1967" s="7"/>
      <c r="I1967" s="4" t="s">
        <v>3317</v>
      </c>
    </row>
    <row r="1968" spans="1:17" x14ac:dyDescent="0.2">
      <c r="A1968" s="1">
        <f t="shared" ca="1" si="71"/>
        <v>1966</v>
      </c>
      <c r="B1968" s="5" t="s">
        <v>8182</v>
      </c>
      <c r="C1968" s="82" t="s">
        <v>8362</v>
      </c>
      <c r="G1968" s="7"/>
      <c r="I1968" s="4" t="s">
        <v>3317</v>
      </c>
    </row>
    <row r="1969" spans="1:9" x14ac:dyDescent="0.2">
      <c r="A1969" s="1">
        <f t="shared" ca="1" si="71"/>
        <v>1967</v>
      </c>
      <c r="B1969" s="77" t="s">
        <v>5084</v>
      </c>
      <c r="C1969" s="96" t="s">
        <v>5084</v>
      </c>
      <c r="G1969" s="7"/>
    </row>
    <row r="1970" spans="1:9" ht="25.5" x14ac:dyDescent="0.2">
      <c r="A1970" s="1">
        <f t="shared" ca="1" si="71"/>
        <v>1968</v>
      </c>
      <c r="B1970" s="76" t="s">
        <v>7325</v>
      </c>
      <c r="C1970" s="91" t="s">
        <v>1954</v>
      </c>
      <c r="G1970" s="7"/>
      <c r="I1970" s="4" t="s">
        <v>4434</v>
      </c>
    </row>
    <row r="1971" spans="1:9" x14ac:dyDescent="0.2">
      <c r="A1971" s="1">
        <f t="shared" ca="1" si="71"/>
        <v>1969</v>
      </c>
      <c r="B1971" s="76" t="s">
        <v>7326</v>
      </c>
      <c r="C1971" s="91" t="s">
        <v>2628</v>
      </c>
      <c r="G1971" s="7"/>
      <c r="I1971" s="4" t="s">
        <v>1856</v>
      </c>
    </row>
    <row r="1972" spans="1:9" x14ac:dyDescent="0.2">
      <c r="A1972" s="1">
        <f t="shared" ca="1" si="71"/>
        <v>1970</v>
      </c>
      <c r="B1972" s="76" t="s">
        <v>4608</v>
      </c>
      <c r="C1972" s="91" t="s">
        <v>2629</v>
      </c>
      <c r="G1972" s="7"/>
      <c r="I1972" s="4" t="s">
        <v>1857</v>
      </c>
    </row>
    <row r="1973" spans="1:9" x14ac:dyDescent="0.2">
      <c r="A1973" s="1">
        <f t="shared" ca="1" si="71"/>
        <v>1971</v>
      </c>
      <c r="B1973" s="76" t="s">
        <v>7327</v>
      </c>
      <c r="C1973" s="91" t="s">
        <v>2629</v>
      </c>
      <c r="G1973" s="7"/>
      <c r="I1973" s="4" t="s">
        <v>1857</v>
      </c>
    </row>
    <row r="1974" spans="1:9" x14ac:dyDescent="0.2">
      <c r="A1974" s="1">
        <f t="shared" ca="1" si="71"/>
        <v>1972</v>
      </c>
      <c r="B1974" s="76" t="s">
        <v>7328</v>
      </c>
      <c r="C1974" s="91" t="s">
        <v>2630</v>
      </c>
      <c r="G1974" s="7"/>
      <c r="I1974" s="4" t="s">
        <v>1858</v>
      </c>
    </row>
    <row r="1975" spans="1:9" x14ac:dyDescent="0.2">
      <c r="A1975" s="1">
        <f t="shared" ref="A1975" ca="1" si="72">CELL("row",C1975)-2</f>
        <v>1973</v>
      </c>
      <c r="B1975" s="147" t="s">
        <v>8990</v>
      </c>
      <c r="C1975" s="91" t="s">
        <v>2631</v>
      </c>
      <c r="G1975" s="7"/>
      <c r="I1975" s="4" t="s">
        <v>1859</v>
      </c>
    </row>
    <row r="1976" spans="1:9" x14ac:dyDescent="0.2">
      <c r="A1976" s="1">
        <f t="shared" ca="1" si="71"/>
        <v>1974</v>
      </c>
      <c r="B1976" s="74" t="s">
        <v>7329</v>
      </c>
      <c r="C1976" s="91" t="s">
        <v>2631</v>
      </c>
      <c r="G1976" s="7"/>
      <c r="I1976" s="4" t="s">
        <v>1859</v>
      </c>
    </row>
    <row r="1977" spans="1:9" x14ac:dyDescent="0.2">
      <c r="A1977" s="1">
        <f t="shared" ca="1" si="71"/>
        <v>1975</v>
      </c>
      <c r="B1977" s="74" t="s">
        <v>176</v>
      </c>
      <c r="C1977" s="91" t="s">
        <v>3510</v>
      </c>
      <c r="G1977" s="7"/>
      <c r="I1977" s="4" t="s">
        <v>1860</v>
      </c>
    </row>
    <row r="1978" spans="1:9" x14ac:dyDescent="0.2">
      <c r="A1978" s="1">
        <f t="shared" ca="1" si="71"/>
        <v>1976</v>
      </c>
      <c r="B1978" s="74" t="s">
        <v>3511</v>
      </c>
      <c r="C1978" s="91" t="s">
        <v>3512</v>
      </c>
      <c r="G1978" s="7"/>
      <c r="I1978" s="4" t="s">
        <v>680</v>
      </c>
    </row>
    <row r="1979" spans="1:9" x14ac:dyDescent="0.2">
      <c r="A1979" s="1">
        <f t="shared" ca="1" si="71"/>
        <v>1977</v>
      </c>
      <c r="B1979" s="74" t="s">
        <v>3513</v>
      </c>
      <c r="C1979" s="91" t="s">
        <v>3514</v>
      </c>
      <c r="G1979" s="7"/>
      <c r="I1979" s="4" t="s">
        <v>1861</v>
      </c>
    </row>
    <row r="1980" spans="1:9" x14ac:dyDescent="0.2">
      <c r="A1980" s="1">
        <f t="shared" ca="1" si="71"/>
        <v>1978</v>
      </c>
      <c r="B1980" s="74" t="s">
        <v>152</v>
      </c>
      <c r="C1980" s="91" t="s">
        <v>2632</v>
      </c>
      <c r="G1980" s="7"/>
      <c r="I1980" s="4" t="s">
        <v>1862</v>
      </c>
    </row>
    <row r="1981" spans="1:9" x14ac:dyDescent="0.2">
      <c r="A1981" s="1">
        <f t="shared" ref="A1981:A2045" ca="1" si="73">CELL("row",C1981)-2</f>
        <v>1979</v>
      </c>
      <c r="B1981" s="74" t="s">
        <v>153</v>
      </c>
      <c r="C1981" s="91" t="s">
        <v>154</v>
      </c>
      <c r="G1981" s="7"/>
      <c r="I1981" s="4" t="s">
        <v>1863</v>
      </c>
    </row>
    <row r="1982" spans="1:9" x14ac:dyDescent="0.2">
      <c r="A1982" s="1">
        <f t="shared" ca="1" si="73"/>
        <v>1980</v>
      </c>
      <c r="B1982" s="74" t="s">
        <v>155</v>
      </c>
      <c r="C1982" s="91" t="s">
        <v>2633</v>
      </c>
      <c r="G1982" s="7"/>
      <c r="I1982" s="4" t="s">
        <v>1864</v>
      </c>
    </row>
    <row r="1983" spans="1:9" x14ac:dyDescent="0.2">
      <c r="A1983" s="1">
        <f t="shared" ca="1" si="73"/>
        <v>1981</v>
      </c>
      <c r="B1983" s="74" t="s">
        <v>156</v>
      </c>
      <c r="C1983" s="91" t="s">
        <v>154</v>
      </c>
      <c r="G1983" s="7"/>
      <c r="I1983" s="4" t="s">
        <v>1865</v>
      </c>
    </row>
    <row r="1984" spans="1:9" x14ac:dyDescent="0.2">
      <c r="A1984" s="1">
        <f t="shared" ca="1" si="73"/>
        <v>1982</v>
      </c>
      <c r="B1984" s="74" t="s">
        <v>157</v>
      </c>
      <c r="C1984" s="91" t="s">
        <v>2634</v>
      </c>
      <c r="G1984" s="7"/>
      <c r="I1984" s="4" t="s">
        <v>3058</v>
      </c>
    </row>
    <row r="1985" spans="1:9" x14ac:dyDescent="0.2">
      <c r="A1985" s="1">
        <f t="shared" ca="1" si="73"/>
        <v>1983</v>
      </c>
      <c r="B1985" s="74" t="s">
        <v>158</v>
      </c>
      <c r="C1985" s="91" t="s">
        <v>2635</v>
      </c>
      <c r="G1985" s="7"/>
      <c r="I1985" s="4" t="s">
        <v>1866</v>
      </c>
    </row>
    <row r="1986" spans="1:9" x14ac:dyDescent="0.2">
      <c r="A1986" s="1">
        <f t="shared" ref="A1986" ca="1" si="74">CELL("row",C1986)-2</f>
        <v>1984</v>
      </c>
      <c r="B1986" s="147" t="s">
        <v>159</v>
      </c>
      <c r="C1986" s="154" t="s">
        <v>2636</v>
      </c>
      <c r="G1986" s="7"/>
      <c r="I1986" s="4" t="s">
        <v>1288</v>
      </c>
    </row>
    <row r="1987" spans="1:9" x14ac:dyDescent="0.2">
      <c r="A1987" s="1">
        <f t="shared" ca="1" si="73"/>
        <v>1985</v>
      </c>
      <c r="B1987" s="147" t="s">
        <v>8951</v>
      </c>
      <c r="C1987" s="154" t="s">
        <v>8952</v>
      </c>
      <c r="G1987" s="7"/>
      <c r="I1987" s="4" t="s">
        <v>8953</v>
      </c>
    </row>
    <row r="1988" spans="1:9" x14ac:dyDescent="0.2">
      <c r="A1988" s="1">
        <f t="shared" ca="1" si="73"/>
        <v>1986</v>
      </c>
      <c r="B1988" s="74" t="s">
        <v>160</v>
      </c>
      <c r="C1988" s="91" t="s">
        <v>8361</v>
      </c>
      <c r="G1988" s="7"/>
      <c r="I1988" s="4" t="s">
        <v>1289</v>
      </c>
    </row>
    <row r="1989" spans="1:9" x14ac:dyDescent="0.2">
      <c r="A1989" s="1">
        <f t="shared" ca="1" si="73"/>
        <v>1987</v>
      </c>
      <c r="B1989" s="74" t="s">
        <v>161</v>
      </c>
      <c r="C1989" s="91" t="s">
        <v>8360</v>
      </c>
      <c r="G1989" s="7"/>
      <c r="I1989" s="4" t="s">
        <v>1290</v>
      </c>
    </row>
    <row r="1990" spans="1:9" x14ac:dyDescent="0.2">
      <c r="A1990" s="1">
        <f t="shared" ca="1" si="73"/>
        <v>1988</v>
      </c>
      <c r="B1990" s="74" t="s">
        <v>177</v>
      </c>
      <c r="C1990" s="91" t="s">
        <v>8359</v>
      </c>
      <c r="G1990" s="7"/>
      <c r="I1990" s="4" t="s">
        <v>1291</v>
      </c>
    </row>
    <row r="1991" spans="1:9" x14ac:dyDescent="0.2">
      <c r="A1991" s="1">
        <f t="shared" ca="1" si="73"/>
        <v>1989</v>
      </c>
      <c r="B1991" s="1" t="s">
        <v>162</v>
      </c>
      <c r="C1991" s="90" t="s">
        <v>8358</v>
      </c>
      <c r="G1991" s="7"/>
      <c r="I1991" s="4" t="s">
        <v>4280</v>
      </c>
    </row>
    <row r="1992" spans="1:9" x14ac:dyDescent="0.2">
      <c r="A1992" s="1">
        <f t="shared" ca="1" si="73"/>
        <v>1990</v>
      </c>
      <c r="B1992" s="1" t="s">
        <v>163</v>
      </c>
      <c r="C1992" s="90" t="s">
        <v>8357</v>
      </c>
      <c r="G1992" s="7"/>
      <c r="I1992" s="4" t="s">
        <v>3059</v>
      </c>
    </row>
    <row r="1993" spans="1:9" x14ac:dyDescent="0.2">
      <c r="A1993" s="1">
        <f t="shared" ca="1" si="73"/>
        <v>1991</v>
      </c>
      <c r="B1993" s="79" t="s">
        <v>112</v>
      </c>
      <c r="C1993" s="82"/>
      <c r="G1993" s="7"/>
    </row>
    <row r="1994" spans="1:9" x14ac:dyDescent="0.2">
      <c r="A1994" s="1">
        <f t="shared" ca="1" si="73"/>
        <v>1992</v>
      </c>
      <c r="B1994" s="74" t="s">
        <v>178</v>
      </c>
      <c r="C1994" s="91" t="s">
        <v>1712</v>
      </c>
      <c r="G1994" s="7"/>
      <c r="I1994" s="4" t="s">
        <v>3318</v>
      </c>
    </row>
    <row r="1995" spans="1:9" x14ac:dyDescent="0.2">
      <c r="A1995" s="1">
        <f t="shared" ca="1" si="73"/>
        <v>1993</v>
      </c>
      <c r="B1995" s="74" t="s">
        <v>113</v>
      </c>
      <c r="C1995" s="91" t="s">
        <v>8356</v>
      </c>
      <c r="G1995" s="7"/>
      <c r="I1995" s="4" t="s">
        <v>3319</v>
      </c>
    </row>
    <row r="1996" spans="1:9" x14ac:dyDescent="0.2">
      <c r="A1996" s="1">
        <f t="shared" ca="1" si="73"/>
        <v>1994</v>
      </c>
      <c r="B1996" s="74" t="s">
        <v>114</v>
      </c>
      <c r="C1996" s="91" t="s">
        <v>8355</v>
      </c>
      <c r="G1996" s="7"/>
      <c r="I1996" s="4" t="s">
        <v>3320</v>
      </c>
    </row>
    <row r="1997" spans="1:9" x14ac:dyDescent="0.2">
      <c r="A1997" s="1">
        <f t="shared" ca="1" si="73"/>
        <v>1995</v>
      </c>
      <c r="B1997" s="74" t="s">
        <v>3168</v>
      </c>
      <c r="C1997" s="91" t="s">
        <v>83</v>
      </c>
      <c r="G1997" s="7"/>
      <c r="I1997" s="4" t="s">
        <v>3037</v>
      </c>
    </row>
    <row r="1998" spans="1:9" ht="38.25" x14ac:dyDescent="0.2">
      <c r="A1998" s="1">
        <f t="shared" ca="1" si="73"/>
        <v>1996</v>
      </c>
      <c r="B1998" s="74" t="s">
        <v>115</v>
      </c>
      <c r="C1998" s="91" t="s">
        <v>8354</v>
      </c>
      <c r="G1998" s="7"/>
      <c r="I1998" s="4" t="s">
        <v>3321</v>
      </c>
    </row>
    <row r="1999" spans="1:9" ht="25.5" x14ac:dyDescent="0.2">
      <c r="A1999" s="1">
        <f t="shared" ca="1" si="73"/>
        <v>1997</v>
      </c>
      <c r="B1999" s="74" t="s">
        <v>116</v>
      </c>
      <c r="C1999" s="91" t="s">
        <v>8353</v>
      </c>
      <c r="G1999" s="7"/>
      <c r="I1999" s="4" t="s">
        <v>3322</v>
      </c>
    </row>
    <row r="2000" spans="1:9" ht="25.5" x14ac:dyDescent="0.2">
      <c r="A2000" s="1">
        <f t="shared" ca="1" si="73"/>
        <v>1998</v>
      </c>
      <c r="B2000" s="74" t="s">
        <v>117</v>
      </c>
      <c r="C2000" s="91" t="s">
        <v>8352</v>
      </c>
      <c r="G2000" s="7"/>
      <c r="I2000" s="4" t="s">
        <v>3323</v>
      </c>
    </row>
    <row r="2001" spans="1:9" x14ac:dyDescent="0.2">
      <c r="A2001" s="1">
        <f t="shared" ca="1" si="73"/>
        <v>1999</v>
      </c>
      <c r="B2001" s="74" t="s">
        <v>156</v>
      </c>
      <c r="C2001" s="91" t="s">
        <v>154</v>
      </c>
      <c r="G2001" s="7"/>
      <c r="I2001" s="4" t="s">
        <v>1863</v>
      </c>
    </row>
    <row r="2002" spans="1:9" x14ac:dyDescent="0.2">
      <c r="A2002" s="1">
        <f t="shared" ca="1" si="73"/>
        <v>2000</v>
      </c>
      <c r="B2002" s="74" t="s">
        <v>1824</v>
      </c>
      <c r="C2002" s="91" t="s">
        <v>8351</v>
      </c>
      <c r="G2002" s="7"/>
      <c r="I2002" s="4" t="s">
        <v>3324</v>
      </c>
    </row>
    <row r="2003" spans="1:9" x14ac:dyDescent="0.2">
      <c r="A2003" s="1">
        <f t="shared" ca="1" si="73"/>
        <v>2001</v>
      </c>
      <c r="B2003" s="74" t="s">
        <v>1825</v>
      </c>
      <c r="C2003" s="91" t="s">
        <v>1713</v>
      </c>
      <c r="G2003" s="7"/>
      <c r="I2003" s="4" t="s">
        <v>3325</v>
      </c>
    </row>
    <row r="2004" spans="1:9" x14ac:dyDescent="0.2">
      <c r="A2004" s="1">
        <f t="shared" ca="1" si="73"/>
        <v>2002</v>
      </c>
      <c r="B2004" s="74" t="s">
        <v>1118</v>
      </c>
      <c r="C2004" s="91" t="s">
        <v>1119</v>
      </c>
      <c r="G2004" s="7"/>
      <c r="I2004" s="4" t="s">
        <v>3326</v>
      </c>
    </row>
    <row r="2005" spans="1:9" ht="25.5" x14ac:dyDescent="0.2">
      <c r="A2005" s="1">
        <f t="shared" ca="1" si="73"/>
        <v>2003</v>
      </c>
      <c r="B2005" s="74" t="s">
        <v>1120</v>
      </c>
      <c r="C2005" s="91" t="s">
        <v>1121</v>
      </c>
      <c r="G2005" s="7"/>
      <c r="I2005" s="4" t="s">
        <v>4435</v>
      </c>
    </row>
    <row r="2006" spans="1:9" ht="25.5" x14ac:dyDescent="0.2">
      <c r="A2006" s="1">
        <f t="shared" ca="1" si="73"/>
        <v>2004</v>
      </c>
      <c r="B2006" s="74" t="s">
        <v>1122</v>
      </c>
      <c r="C2006" s="91" t="s">
        <v>1714</v>
      </c>
      <c r="G2006" s="7"/>
      <c r="I2006" s="4" t="s">
        <v>4436</v>
      </c>
    </row>
    <row r="2007" spans="1:9" x14ac:dyDescent="0.2">
      <c r="A2007" s="1">
        <f t="shared" ca="1" si="73"/>
        <v>2005</v>
      </c>
      <c r="B2007" s="74" t="s">
        <v>7123</v>
      </c>
      <c r="C2007" s="91" t="s">
        <v>8350</v>
      </c>
      <c r="G2007" s="7"/>
      <c r="I2007" s="4" t="s">
        <v>3327</v>
      </c>
    </row>
    <row r="2008" spans="1:9" x14ac:dyDescent="0.2">
      <c r="A2008" s="1">
        <f t="shared" ca="1" si="73"/>
        <v>2006</v>
      </c>
      <c r="B2008" s="74" t="s">
        <v>7816</v>
      </c>
      <c r="C2008" s="91" t="s">
        <v>8349</v>
      </c>
      <c r="G2008" s="7"/>
      <c r="I2008" s="4" t="s">
        <v>3328</v>
      </c>
    </row>
    <row r="2009" spans="1:9" ht="38.25" x14ac:dyDescent="0.2">
      <c r="A2009" s="1">
        <f t="shared" ca="1" si="73"/>
        <v>2007</v>
      </c>
      <c r="B2009" s="74" t="s">
        <v>7817</v>
      </c>
      <c r="C2009" s="91" t="s">
        <v>1715</v>
      </c>
      <c r="G2009" s="7"/>
      <c r="I2009" s="4" t="s">
        <v>3329</v>
      </c>
    </row>
    <row r="2010" spans="1:9" x14ac:dyDescent="0.2">
      <c r="A2010" s="1">
        <f t="shared" ca="1" si="73"/>
        <v>2008</v>
      </c>
      <c r="B2010" s="74" t="s">
        <v>7818</v>
      </c>
      <c r="C2010" s="91" t="s">
        <v>8348</v>
      </c>
      <c r="G2010" s="7"/>
      <c r="I2010" s="4" t="s">
        <v>3330</v>
      </c>
    </row>
    <row r="2011" spans="1:9" x14ac:dyDescent="0.2">
      <c r="A2011" s="1">
        <f t="shared" ca="1" si="73"/>
        <v>2009</v>
      </c>
      <c r="B2011" s="74" t="s">
        <v>7819</v>
      </c>
      <c r="C2011" s="91" t="s">
        <v>8347</v>
      </c>
      <c r="G2011" s="7"/>
      <c r="I2011" s="4" t="s">
        <v>3331</v>
      </c>
    </row>
    <row r="2012" spans="1:9" ht="25.5" x14ac:dyDescent="0.2">
      <c r="A2012" s="1">
        <f t="shared" ca="1" si="73"/>
        <v>2010</v>
      </c>
      <c r="B2012" s="74" t="s">
        <v>1840</v>
      </c>
      <c r="C2012" s="91" t="s">
        <v>8346</v>
      </c>
      <c r="G2012" s="7"/>
      <c r="I2012" s="4" t="s">
        <v>3332</v>
      </c>
    </row>
    <row r="2013" spans="1:9" x14ac:dyDescent="0.2">
      <c r="A2013" s="1">
        <f t="shared" ca="1" si="73"/>
        <v>2011</v>
      </c>
      <c r="B2013" s="74" t="s">
        <v>1841</v>
      </c>
      <c r="C2013" s="91" t="s">
        <v>8345</v>
      </c>
      <c r="G2013" s="7"/>
      <c r="I2013" s="4" t="s">
        <v>3333</v>
      </c>
    </row>
    <row r="2014" spans="1:9" x14ac:dyDescent="0.2">
      <c r="A2014" s="1">
        <f t="shared" ca="1" si="73"/>
        <v>2012</v>
      </c>
      <c r="B2014" s="74" t="s">
        <v>1842</v>
      </c>
      <c r="C2014" s="91" t="s">
        <v>8476</v>
      </c>
      <c r="G2014" s="7"/>
      <c r="I2014" s="4" t="s">
        <v>3334</v>
      </c>
    </row>
    <row r="2015" spans="1:9" ht="25.5" x14ac:dyDescent="0.2">
      <c r="A2015" s="1">
        <f t="shared" ca="1" si="73"/>
        <v>2013</v>
      </c>
      <c r="B2015" s="74" t="s">
        <v>1843</v>
      </c>
      <c r="C2015" s="91" t="s">
        <v>8344</v>
      </c>
      <c r="G2015" s="7"/>
      <c r="I2015" s="4" t="s">
        <v>3335</v>
      </c>
    </row>
    <row r="2016" spans="1:9" x14ac:dyDescent="0.2">
      <c r="A2016" s="1">
        <f t="shared" ca="1" si="73"/>
        <v>2014</v>
      </c>
      <c r="B2016" s="74" t="s">
        <v>1844</v>
      </c>
      <c r="C2016" s="91" t="s">
        <v>8343</v>
      </c>
      <c r="G2016" s="7"/>
      <c r="I2016" s="4" t="s">
        <v>3336</v>
      </c>
    </row>
    <row r="2017" spans="1:9" x14ac:dyDescent="0.2">
      <c r="A2017" s="1">
        <f t="shared" ca="1" si="73"/>
        <v>2015</v>
      </c>
      <c r="B2017" s="74" t="s">
        <v>1845</v>
      </c>
      <c r="C2017" s="91" t="s">
        <v>8342</v>
      </c>
      <c r="G2017" s="7"/>
      <c r="I2017" s="4" t="s">
        <v>630</v>
      </c>
    </row>
    <row r="2018" spans="1:9" x14ac:dyDescent="0.2">
      <c r="A2018" s="1">
        <f t="shared" ca="1" si="73"/>
        <v>2016</v>
      </c>
      <c r="B2018" s="74" t="s">
        <v>1292</v>
      </c>
      <c r="C2018" s="91" t="s">
        <v>8341</v>
      </c>
      <c r="G2018" s="7"/>
      <c r="I2018" s="4" t="s">
        <v>3337</v>
      </c>
    </row>
    <row r="2019" spans="1:9" x14ac:dyDescent="0.2">
      <c r="A2019" s="1">
        <f t="shared" ca="1" si="73"/>
        <v>2017</v>
      </c>
      <c r="B2019" s="74" t="s">
        <v>1293</v>
      </c>
      <c r="C2019" s="91" t="s">
        <v>8340</v>
      </c>
      <c r="G2019" s="7"/>
      <c r="I2019" s="4" t="s">
        <v>3338</v>
      </c>
    </row>
    <row r="2020" spans="1:9" x14ac:dyDescent="0.2">
      <c r="A2020" s="1">
        <f t="shared" ca="1" si="73"/>
        <v>2018</v>
      </c>
      <c r="B2020" s="74" t="s">
        <v>1294</v>
      </c>
      <c r="C2020" s="91" t="s">
        <v>6537</v>
      </c>
      <c r="G2020" s="7"/>
      <c r="I2020" s="4" t="s">
        <v>3811</v>
      </c>
    </row>
    <row r="2021" spans="1:9" x14ac:dyDescent="0.2">
      <c r="A2021" s="1">
        <f t="shared" ca="1" si="73"/>
        <v>2019</v>
      </c>
      <c r="B2021" s="74" t="s">
        <v>1746</v>
      </c>
      <c r="C2021" s="91" t="s">
        <v>8339</v>
      </c>
      <c r="G2021" s="7"/>
      <c r="I2021" s="4" t="s">
        <v>3339</v>
      </c>
    </row>
    <row r="2022" spans="1:9" x14ac:dyDescent="0.2">
      <c r="A2022" s="1">
        <f t="shared" ca="1" si="73"/>
        <v>2020</v>
      </c>
      <c r="B2022" s="5" t="s">
        <v>1747</v>
      </c>
      <c r="C2022" s="82" t="s">
        <v>8338</v>
      </c>
      <c r="G2022" s="7"/>
      <c r="I2022" s="4" t="s">
        <v>3340</v>
      </c>
    </row>
    <row r="2023" spans="1:9" x14ac:dyDescent="0.2">
      <c r="A2023" s="1">
        <f t="shared" ca="1" si="73"/>
        <v>2021</v>
      </c>
      <c r="B2023" s="74" t="s">
        <v>1748</v>
      </c>
      <c r="C2023" s="91" t="s">
        <v>8337</v>
      </c>
      <c r="G2023" s="7"/>
      <c r="I2023" s="4" t="s">
        <v>3341</v>
      </c>
    </row>
    <row r="2024" spans="1:9" x14ac:dyDescent="0.2">
      <c r="A2024" s="1">
        <f t="shared" ca="1" si="73"/>
        <v>2022</v>
      </c>
      <c r="B2024" s="74" t="s">
        <v>1749</v>
      </c>
      <c r="C2024" s="91" t="s">
        <v>8336</v>
      </c>
      <c r="G2024" s="7"/>
      <c r="I2024" s="4" t="s">
        <v>3342</v>
      </c>
    </row>
    <row r="2025" spans="1:9" x14ac:dyDescent="0.2">
      <c r="A2025" s="1">
        <f t="shared" ca="1" si="73"/>
        <v>2023</v>
      </c>
      <c r="B2025" s="74" t="s">
        <v>1750</v>
      </c>
      <c r="C2025" s="91" t="s">
        <v>4428</v>
      </c>
      <c r="G2025" s="7"/>
      <c r="I2025" s="4" t="s">
        <v>3343</v>
      </c>
    </row>
    <row r="2026" spans="1:9" x14ac:dyDescent="0.2">
      <c r="A2026" s="1">
        <f t="shared" ca="1" si="73"/>
        <v>2024</v>
      </c>
      <c r="B2026" s="74" t="s">
        <v>1751</v>
      </c>
      <c r="C2026" s="91" t="s">
        <v>8335</v>
      </c>
      <c r="G2026" s="7"/>
      <c r="I2026" s="4" t="s">
        <v>3344</v>
      </c>
    </row>
    <row r="2027" spans="1:9" x14ac:dyDescent="0.2">
      <c r="A2027" s="1">
        <f t="shared" ca="1" si="73"/>
        <v>2025</v>
      </c>
      <c r="B2027" s="74" t="s">
        <v>1752</v>
      </c>
      <c r="C2027" s="91" t="s">
        <v>8334</v>
      </c>
      <c r="G2027" s="7"/>
      <c r="I2027" s="4" t="s">
        <v>3345</v>
      </c>
    </row>
    <row r="2028" spans="1:9" x14ac:dyDescent="0.2">
      <c r="A2028" s="1">
        <f t="shared" ca="1" si="73"/>
        <v>2026</v>
      </c>
      <c r="B2028" s="74" t="s">
        <v>1753</v>
      </c>
      <c r="C2028" s="91" t="s">
        <v>8333</v>
      </c>
      <c r="G2028" s="7"/>
      <c r="I2028" s="4" t="s">
        <v>3346</v>
      </c>
    </row>
    <row r="2029" spans="1:9" x14ac:dyDescent="0.2">
      <c r="A2029" s="1">
        <f t="shared" ca="1" si="73"/>
        <v>2027</v>
      </c>
      <c r="B2029" s="74" t="s">
        <v>1754</v>
      </c>
      <c r="C2029" s="91" t="s">
        <v>8332</v>
      </c>
      <c r="G2029" s="7"/>
      <c r="I2029" s="4" t="s">
        <v>3347</v>
      </c>
    </row>
    <row r="2030" spans="1:9" x14ac:dyDescent="0.2">
      <c r="A2030" s="1">
        <f t="shared" ca="1" si="73"/>
        <v>2028</v>
      </c>
      <c r="B2030" s="74" t="s">
        <v>1755</v>
      </c>
      <c r="C2030" s="91" t="s">
        <v>8331</v>
      </c>
      <c r="G2030" s="7"/>
      <c r="I2030" s="4" t="s">
        <v>3348</v>
      </c>
    </row>
    <row r="2031" spans="1:9" x14ac:dyDescent="0.2">
      <c r="A2031" s="1">
        <f t="shared" ca="1" si="73"/>
        <v>2029</v>
      </c>
      <c r="B2031" s="74" t="s">
        <v>1756</v>
      </c>
      <c r="C2031" s="91" t="s">
        <v>5359</v>
      </c>
      <c r="G2031" s="7"/>
      <c r="I2031" s="4" t="s">
        <v>3349</v>
      </c>
    </row>
    <row r="2032" spans="1:9" ht="25.5" x14ac:dyDescent="0.2">
      <c r="A2032" s="1">
        <f t="shared" ca="1" si="73"/>
        <v>2030</v>
      </c>
      <c r="B2032" s="74" t="s">
        <v>1757</v>
      </c>
      <c r="C2032" s="91" t="s">
        <v>5358</v>
      </c>
      <c r="G2032" s="7"/>
      <c r="I2032" s="4" t="s">
        <v>3350</v>
      </c>
    </row>
    <row r="2033" spans="1:9" x14ac:dyDescent="0.2">
      <c r="A2033" s="1">
        <f t="shared" ca="1" si="73"/>
        <v>2031</v>
      </c>
      <c r="B2033" s="74" t="s">
        <v>1758</v>
      </c>
      <c r="C2033" s="91" t="s">
        <v>5357</v>
      </c>
      <c r="G2033" s="7"/>
      <c r="I2033" s="4" t="s">
        <v>3351</v>
      </c>
    </row>
    <row r="2034" spans="1:9" x14ac:dyDescent="0.2">
      <c r="A2034" s="1">
        <f t="shared" ca="1" si="73"/>
        <v>2032</v>
      </c>
      <c r="B2034" s="74" t="s">
        <v>6296</v>
      </c>
      <c r="C2034" s="91" t="s">
        <v>79</v>
      </c>
      <c r="G2034" s="7"/>
      <c r="I2034" s="4" t="s">
        <v>3352</v>
      </c>
    </row>
    <row r="2035" spans="1:9" x14ac:dyDescent="0.2">
      <c r="A2035" s="1">
        <f t="shared" ca="1" si="73"/>
        <v>2033</v>
      </c>
      <c r="B2035" s="74" t="s">
        <v>1760</v>
      </c>
      <c r="C2035" s="91" t="s">
        <v>7273</v>
      </c>
      <c r="G2035" s="7"/>
      <c r="I2035" s="4" t="s">
        <v>1541</v>
      </c>
    </row>
    <row r="2036" spans="1:9" x14ac:dyDescent="0.2">
      <c r="A2036" s="1">
        <f t="shared" ca="1" si="73"/>
        <v>2034</v>
      </c>
      <c r="B2036" s="74" t="s">
        <v>179</v>
      </c>
      <c r="C2036" s="91" t="s">
        <v>5356</v>
      </c>
      <c r="G2036" s="7"/>
      <c r="I2036" s="4" t="s">
        <v>3353</v>
      </c>
    </row>
    <row r="2037" spans="1:9" x14ac:dyDescent="0.2">
      <c r="A2037" s="1">
        <f t="shared" ca="1" si="73"/>
        <v>2035</v>
      </c>
      <c r="B2037" s="74" t="s">
        <v>1762</v>
      </c>
      <c r="C2037" s="91" t="s">
        <v>8473</v>
      </c>
      <c r="G2037" s="7"/>
      <c r="I2037" s="4" t="s">
        <v>3354</v>
      </c>
    </row>
    <row r="2038" spans="1:9" ht="25.5" x14ac:dyDescent="0.2">
      <c r="A2038" s="1">
        <f t="shared" ca="1" si="73"/>
        <v>2036</v>
      </c>
      <c r="B2038" s="74" t="s">
        <v>1763</v>
      </c>
      <c r="C2038" s="91" t="s">
        <v>5355</v>
      </c>
      <c r="G2038" s="7"/>
      <c r="I2038" s="4" t="s">
        <v>5663</v>
      </c>
    </row>
    <row r="2039" spans="1:9" x14ac:dyDescent="0.2">
      <c r="A2039" s="1">
        <f t="shared" ca="1" si="73"/>
        <v>2037</v>
      </c>
      <c r="B2039" s="74" t="s">
        <v>1764</v>
      </c>
      <c r="C2039" s="91" t="s">
        <v>5354</v>
      </c>
      <c r="G2039" s="7"/>
      <c r="I2039" s="4" t="s">
        <v>5664</v>
      </c>
    </row>
    <row r="2040" spans="1:9" x14ac:dyDescent="0.2">
      <c r="A2040" s="1">
        <f t="shared" ca="1" si="73"/>
        <v>2038</v>
      </c>
      <c r="B2040" s="74" t="s">
        <v>1765</v>
      </c>
      <c r="C2040" s="91" t="s">
        <v>5353</v>
      </c>
      <c r="G2040" s="7"/>
      <c r="I2040" s="4" t="s">
        <v>5665</v>
      </c>
    </row>
    <row r="2041" spans="1:9" x14ac:dyDescent="0.2">
      <c r="A2041" s="1">
        <f t="shared" ca="1" si="73"/>
        <v>2039</v>
      </c>
      <c r="B2041" s="74" t="s">
        <v>1766</v>
      </c>
      <c r="C2041" s="91" t="s">
        <v>5351</v>
      </c>
      <c r="G2041" s="7"/>
      <c r="I2041" s="4" t="s">
        <v>1529</v>
      </c>
    </row>
    <row r="2042" spans="1:9" x14ac:dyDescent="0.2">
      <c r="A2042" s="1">
        <f t="shared" ca="1" si="73"/>
        <v>2040</v>
      </c>
      <c r="B2042" s="74" t="s">
        <v>3085</v>
      </c>
      <c r="C2042" s="91" t="s">
        <v>5352</v>
      </c>
      <c r="G2042" s="7"/>
      <c r="I2042" s="4" t="s">
        <v>3806</v>
      </c>
    </row>
    <row r="2043" spans="1:9" x14ac:dyDescent="0.2">
      <c r="A2043" s="1">
        <f t="shared" ca="1" si="73"/>
        <v>2041</v>
      </c>
      <c r="B2043" s="74" t="s">
        <v>3086</v>
      </c>
      <c r="C2043" s="91" t="s">
        <v>5350</v>
      </c>
      <c r="G2043" s="7"/>
      <c r="I2043" s="4" t="s">
        <v>5666</v>
      </c>
    </row>
    <row r="2044" spans="1:9" x14ac:dyDescent="0.2">
      <c r="A2044" s="1">
        <f t="shared" ca="1" si="73"/>
        <v>2042</v>
      </c>
      <c r="B2044" s="74" t="s">
        <v>3087</v>
      </c>
      <c r="C2044" s="91" t="s">
        <v>5349</v>
      </c>
      <c r="G2044" s="7"/>
      <c r="I2044" s="4" t="s">
        <v>5667</v>
      </c>
    </row>
    <row r="2045" spans="1:9" x14ac:dyDescent="0.2">
      <c r="A2045" s="1">
        <f t="shared" ca="1" si="73"/>
        <v>2043</v>
      </c>
      <c r="B2045" s="147" t="s">
        <v>8433</v>
      </c>
      <c r="C2045" s="91" t="s">
        <v>5348</v>
      </c>
      <c r="G2045" s="7"/>
      <c r="I2045" s="4" t="s">
        <v>5668</v>
      </c>
    </row>
    <row r="2046" spans="1:9" x14ac:dyDescent="0.2">
      <c r="A2046" s="1">
        <f t="shared" ref="A2046:A2129" ca="1" si="75">CELL("row",C2046)-2</f>
        <v>2044</v>
      </c>
      <c r="B2046" s="74" t="s">
        <v>8441</v>
      </c>
      <c r="C2046" s="91" t="s">
        <v>7542</v>
      </c>
      <c r="G2046" s="7"/>
      <c r="I2046" s="4" t="s">
        <v>636</v>
      </c>
    </row>
    <row r="2047" spans="1:9" x14ac:dyDescent="0.2">
      <c r="A2047" s="1">
        <f t="shared" ca="1" si="75"/>
        <v>2045</v>
      </c>
      <c r="B2047" s="74" t="s">
        <v>8443</v>
      </c>
      <c r="C2047" s="91" t="s">
        <v>5347</v>
      </c>
      <c r="G2047" s="7"/>
      <c r="I2047" s="4" t="s">
        <v>5669</v>
      </c>
    </row>
    <row r="2048" spans="1:9" x14ac:dyDescent="0.2">
      <c r="A2048" s="1">
        <f t="shared" ca="1" si="75"/>
        <v>2046</v>
      </c>
      <c r="B2048" s="74" t="s">
        <v>8444</v>
      </c>
      <c r="C2048" s="91" t="s">
        <v>8434</v>
      </c>
      <c r="G2048" s="7"/>
      <c r="I2048" s="4" t="s">
        <v>5670</v>
      </c>
    </row>
    <row r="2049" spans="1:9" x14ac:dyDescent="0.2">
      <c r="A2049" s="1">
        <f t="shared" ca="1" si="75"/>
        <v>2047</v>
      </c>
      <c r="B2049" s="74" t="s">
        <v>4802</v>
      </c>
      <c r="C2049" s="91" t="s">
        <v>526</v>
      </c>
      <c r="G2049" s="7"/>
      <c r="I2049" s="4" t="s">
        <v>5671</v>
      </c>
    </row>
    <row r="2050" spans="1:9" x14ac:dyDescent="0.2">
      <c r="A2050" s="1">
        <f t="shared" ca="1" si="75"/>
        <v>2048</v>
      </c>
      <c r="B2050" s="74" t="s">
        <v>4803</v>
      </c>
      <c r="C2050" s="91" t="s">
        <v>5346</v>
      </c>
      <c r="G2050" s="7"/>
      <c r="I2050" s="4" t="s">
        <v>5672</v>
      </c>
    </row>
    <row r="2051" spans="1:9" x14ac:dyDescent="0.2">
      <c r="A2051" s="1">
        <f t="shared" ca="1" si="75"/>
        <v>2049</v>
      </c>
      <c r="B2051" s="74" t="s">
        <v>8076</v>
      </c>
      <c r="C2051" s="91" t="s">
        <v>5345</v>
      </c>
      <c r="G2051" s="7"/>
      <c r="I2051" s="4" t="s">
        <v>205</v>
      </c>
    </row>
    <row r="2052" spans="1:9" ht="25.5" x14ac:dyDescent="0.2">
      <c r="A2052" s="1">
        <f t="shared" ca="1" si="75"/>
        <v>2050</v>
      </c>
      <c r="B2052" s="74" t="s">
        <v>6228</v>
      </c>
      <c r="C2052" s="91" t="s">
        <v>5344</v>
      </c>
      <c r="G2052" s="7"/>
      <c r="I2052" s="4" t="s">
        <v>5673</v>
      </c>
    </row>
    <row r="2053" spans="1:9" ht="25.5" x14ac:dyDescent="0.2">
      <c r="A2053" s="1">
        <f t="shared" ca="1" si="75"/>
        <v>2051</v>
      </c>
      <c r="B2053" s="74" t="s">
        <v>1724</v>
      </c>
      <c r="C2053" s="91" t="s">
        <v>5343</v>
      </c>
      <c r="G2053" s="7"/>
      <c r="I2053" s="4" t="s">
        <v>5674</v>
      </c>
    </row>
    <row r="2054" spans="1:9" ht="25.5" x14ac:dyDescent="0.2">
      <c r="A2054" s="1">
        <f t="shared" ca="1" si="75"/>
        <v>2052</v>
      </c>
      <c r="B2054" s="74" t="s">
        <v>1725</v>
      </c>
      <c r="C2054" s="91" t="s">
        <v>5342</v>
      </c>
      <c r="G2054" s="7"/>
      <c r="I2054" s="4" t="s">
        <v>2569</v>
      </c>
    </row>
    <row r="2055" spans="1:9" ht="25.5" x14ac:dyDescent="0.2">
      <c r="A2055" s="1">
        <f t="shared" ca="1" si="75"/>
        <v>2053</v>
      </c>
      <c r="B2055" s="74" t="s">
        <v>1726</v>
      </c>
      <c r="C2055" s="91" t="s">
        <v>5341</v>
      </c>
      <c r="G2055" s="7"/>
      <c r="I2055" s="4" t="s">
        <v>871</v>
      </c>
    </row>
    <row r="2056" spans="1:9" x14ac:dyDescent="0.2">
      <c r="A2056" s="1">
        <f t="shared" ca="1" si="75"/>
        <v>2054</v>
      </c>
      <c r="B2056" s="74" t="s">
        <v>1727</v>
      </c>
      <c r="C2056" s="91" t="s">
        <v>1728</v>
      </c>
      <c r="G2056" s="7"/>
      <c r="I2056" s="4" t="s">
        <v>5675</v>
      </c>
    </row>
    <row r="2057" spans="1:9" ht="25.5" x14ac:dyDescent="0.2">
      <c r="A2057" s="1">
        <f t="shared" ca="1" si="75"/>
        <v>2055</v>
      </c>
      <c r="B2057" s="74" t="s">
        <v>1729</v>
      </c>
      <c r="C2057" s="91" t="s">
        <v>3543</v>
      </c>
      <c r="G2057" s="7"/>
      <c r="I2057" s="4" t="s">
        <v>5676</v>
      </c>
    </row>
    <row r="2058" spans="1:9" ht="25.5" x14ac:dyDescent="0.2">
      <c r="A2058" s="1">
        <f t="shared" ca="1" si="75"/>
        <v>2056</v>
      </c>
      <c r="B2058" s="147" t="s">
        <v>9036</v>
      </c>
      <c r="C2058" s="91" t="s">
        <v>3544</v>
      </c>
      <c r="G2058" s="7"/>
      <c r="I2058" s="4" t="s">
        <v>5677</v>
      </c>
    </row>
    <row r="2059" spans="1:9" x14ac:dyDescent="0.2">
      <c r="A2059" s="1">
        <f t="shared" ca="1" si="75"/>
        <v>2057</v>
      </c>
      <c r="B2059" s="2" t="s">
        <v>3889</v>
      </c>
      <c r="C2059" s="90" t="s">
        <v>8145</v>
      </c>
      <c r="G2059" s="7"/>
      <c r="I2059" s="4" t="s">
        <v>5678</v>
      </c>
    </row>
    <row r="2060" spans="1:9" x14ac:dyDescent="0.2">
      <c r="A2060" s="1">
        <f t="shared" ca="1" si="75"/>
        <v>2058</v>
      </c>
      <c r="B2060" s="2" t="s">
        <v>3890</v>
      </c>
      <c r="C2060" s="90" t="s">
        <v>5340</v>
      </c>
      <c r="G2060" s="7"/>
      <c r="I2060" s="4" t="s">
        <v>5679</v>
      </c>
    </row>
    <row r="2061" spans="1:9" x14ac:dyDescent="0.2">
      <c r="A2061" s="1">
        <f t="shared" ca="1" si="75"/>
        <v>2059</v>
      </c>
      <c r="B2061" s="2" t="s">
        <v>3891</v>
      </c>
      <c r="C2061" s="90" t="s">
        <v>5339</v>
      </c>
      <c r="G2061" s="7"/>
      <c r="I2061" s="4" t="s">
        <v>5680</v>
      </c>
    </row>
    <row r="2062" spans="1:9" x14ac:dyDescent="0.2">
      <c r="A2062" s="1">
        <f t="shared" ca="1" si="75"/>
        <v>2060</v>
      </c>
      <c r="B2062" s="74" t="s">
        <v>3892</v>
      </c>
      <c r="C2062" s="91" t="s">
        <v>5338</v>
      </c>
      <c r="G2062" s="7"/>
      <c r="I2062" s="4" t="s">
        <v>5681</v>
      </c>
    </row>
    <row r="2063" spans="1:9" x14ac:dyDescent="0.2">
      <c r="A2063" s="1">
        <f t="shared" ca="1" si="75"/>
        <v>2061</v>
      </c>
      <c r="B2063" s="74" t="s">
        <v>3893</v>
      </c>
      <c r="C2063" s="91" t="s">
        <v>5337</v>
      </c>
      <c r="G2063" s="7"/>
      <c r="I2063" s="4" t="s">
        <v>5682</v>
      </c>
    </row>
    <row r="2064" spans="1:9" x14ac:dyDescent="0.2">
      <c r="A2064" s="1">
        <f t="shared" ca="1" si="75"/>
        <v>2062</v>
      </c>
      <c r="B2064" s="74" t="s">
        <v>180</v>
      </c>
      <c r="C2064" s="91" t="s">
        <v>5336</v>
      </c>
      <c r="G2064" s="7"/>
      <c r="I2064" s="4" t="s">
        <v>5683</v>
      </c>
    </row>
    <row r="2065" spans="1:9" ht="51" x14ac:dyDescent="0.2">
      <c r="A2065" s="1">
        <f t="shared" ca="1" si="75"/>
        <v>2063</v>
      </c>
      <c r="B2065" s="74" t="s">
        <v>181</v>
      </c>
      <c r="C2065" s="91" t="s">
        <v>3724</v>
      </c>
      <c r="G2065" s="7"/>
      <c r="I2065" s="4" t="s">
        <v>5684</v>
      </c>
    </row>
    <row r="2066" spans="1:9" ht="38.25" x14ac:dyDescent="0.2">
      <c r="A2066" s="1">
        <f t="shared" ca="1" si="75"/>
        <v>2064</v>
      </c>
      <c r="B2066" s="2" t="s">
        <v>1252</v>
      </c>
      <c r="C2066" s="90" t="s">
        <v>3725</v>
      </c>
      <c r="G2066" s="7"/>
      <c r="I2066" s="4" t="s">
        <v>5685</v>
      </c>
    </row>
    <row r="2067" spans="1:9" x14ac:dyDescent="0.2">
      <c r="A2067" s="1">
        <f t="shared" ca="1" si="75"/>
        <v>2065</v>
      </c>
      <c r="B2067" s="74" t="s">
        <v>1253</v>
      </c>
      <c r="C2067" s="90" t="s">
        <v>1253</v>
      </c>
      <c r="G2067" s="7"/>
      <c r="I2067" s="4" t="s">
        <v>5686</v>
      </c>
    </row>
    <row r="2068" spans="1:9" x14ac:dyDescent="0.2">
      <c r="A2068" s="1">
        <f t="shared" ca="1" si="75"/>
        <v>2066</v>
      </c>
      <c r="B2068" s="74" t="s">
        <v>1254</v>
      </c>
      <c r="C2068" s="91" t="s">
        <v>5335</v>
      </c>
      <c r="G2068" s="7"/>
      <c r="I2068" s="4" t="s">
        <v>5687</v>
      </c>
    </row>
    <row r="2069" spans="1:9" x14ac:dyDescent="0.2">
      <c r="A2069" s="1">
        <f t="shared" ca="1" si="75"/>
        <v>2067</v>
      </c>
      <c r="B2069" s="74" t="s">
        <v>1255</v>
      </c>
      <c r="C2069" s="91" t="s">
        <v>5334</v>
      </c>
      <c r="G2069" s="7"/>
      <c r="I2069" s="4" t="s">
        <v>5688</v>
      </c>
    </row>
    <row r="2070" spans="1:9" ht="15.75" x14ac:dyDescent="0.2">
      <c r="A2070" s="1">
        <f t="shared" ca="1" si="75"/>
        <v>2068</v>
      </c>
      <c r="B2070" s="74" t="s">
        <v>1937</v>
      </c>
      <c r="C2070" s="91" t="s">
        <v>5333</v>
      </c>
      <c r="G2070" s="7"/>
      <c r="I2070" s="4" t="s">
        <v>5689</v>
      </c>
    </row>
    <row r="2071" spans="1:9" x14ac:dyDescent="0.2">
      <c r="A2071" s="1">
        <f t="shared" ca="1" si="75"/>
        <v>2069</v>
      </c>
      <c r="B2071" s="74" t="s">
        <v>1256</v>
      </c>
      <c r="C2071" s="91" t="s">
        <v>5332</v>
      </c>
      <c r="G2071" s="7"/>
      <c r="I2071" s="4" t="s">
        <v>5690</v>
      </c>
    </row>
    <row r="2072" spans="1:9" x14ac:dyDescent="0.2">
      <c r="A2072" s="1">
        <f t="shared" ca="1" si="75"/>
        <v>2070</v>
      </c>
      <c r="B2072" s="1" t="s">
        <v>1257</v>
      </c>
      <c r="C2072" s="90" t="s">
        <v>5331</v>
      </c>
      <c r="G2072" s="7"/>
      <c r="I2072" s="4" t="s">
        <v>5691</v>
      </c>
    </row>
    <row r="2073" spans="1:9" x14ac:dyDescent="0.2">
      <c r="A2073" s="1">
        <f t="shared" ca="1" si="75"/>
        <v>2071</v>
      </c>
      <c r="B2073" s="10" t="s">
        <v>5480</v>
      </c>
      <c r="C2073" s="90" t="s">
        <v>5330</v>
      </c>
      <c r="G2073" s="7"/>
      <c r="I2073" s="4" t="s">
        <v>5692</v>
      </c>
    </row>
    <row r="2074" spans="1:9" x14ac:dyDescent="0.2">
      <c r="A2074" s="1">
        <f t="shared" ca="1" si="75"/>
        <v>2072</v>
      </c>
      <c r="B2074" s="10" t="s">
        <v>5481</v>
      </c>
      <c r="C2074" s="90" t="s">
        <v>5329</v>
      </c>
      <c r="G2074" s="7"/>
      <c r="I2074" s="4" t="s">
        <v>5693</v>
      </c>
    </row>
    <row r="2075" spans="1:9" x14ac:dyDescent="0.2">
      <c r="A2075" s="1">
        <f t="shared" ca="1" si="75"/>
        <v>2073</v>
      </c>
      <c r="B2075" s="10" t="s">
        <v>5482</v>
      </c>
      <c r="C2075" s="90" t="s">
        <v>5275</v>
      </c>
      <c r="G2075" s="7"/>
      <c r="I2075" s="4" t="s">
        <v>633</v>
      </c>
    </row>
    <row r="2076" spans="1:9" x14ac:dyDescent="0.2">
      <c r="A2076" s="1">
        <f t="shared" ca="1" si="75"/>
        <v>2074</v>
      </c>
      <c r="B2076" s="10" t="s">
        <v>418</v>
      </c>
      <c r="C2076" s="90" t="s">
        <v>419</v>
      </c>
      <c r="G2076" s="7"/>
    </row>
    <row r="2077" spans="1:9" x14ac:dyDescent="0.2">
      <c r="A2077" s="1">
        <f t="shared" ca="1" si="75"/>
        <v>2075</v>
      </c>
      <c r="B2077" s="10" t="s">
        <v>420</v>
      </c>
      <c r="C2077" s="90" t="s">
        <v>422</v>
      </c>
      <c r="G2077" s="7"/>
    </row>
    <row r="2078" spans="1:9" x14ac:dyDescent="0.2">
      <c r="A2078" s="1">
        <f t="shared" ca="1" si="75"/>
        <v>2076</v>
      </c>
      <c r="B2078" s="10" t="s">
        <v>421</v>
      </c>
      <c r="C2078" s="90" t="s">
        <v>423</v>
      </c>
      <c r="G2078" s="7"/>
    </row>
    <row r="2079" spans="1:9" ht="25.5" x14ac:dyDescent="0.2">
      <c r="A2079" s="1">
        <f t="shared" ca="1" si="75"/>
        <v>2077</v>
      </c>
      <c r="B2079" s="10" t="s">
        <v>424</v>
      </c>
      <c r="C2079" s="90" t="s">
        <v>425</v>
      </c>
      <c r="G2079" s="7"/>
    </row>
    <row r="2080" spans="1:9" x14ac:dyDescent="0.2">
      <c r="A2080" s="1">
        <f t="shared" ca="1" si="75"/>
        <v>2078</v>
      </c>
      <c r="B2080" s="10" t="s">
        <v>428</v>
      </c>
      <c r="C2080" s="90" t="s">
        <v>426</v>
      </c>
      <c r="G2080" s="7"/>
    </row>
    <row r="2081" spans="1:7" x14ac:dyDescent="0.2">
      <c r="A2081" s="1">
        <f t="shared" ca="1" si="75"/>
        <v>2079</v>
      </c>
      <c r="B2081" s="1" t="s">
        <v>8966</v>
      </c>
      <c r="C2081" s="90" t="s">
        <v>427</v>
      </c>
      <c r="G2081" s="7"/>
    </row>
    <row r="2082" spans="1:7" x14ac:dyDescent="0.2">
      <c r="A2082" s="1">
        <f t="shared" ref="A2082:A2095" ca="1" si="76">CELL("row",C2082)-2</f>
        <v>2080</v>
      </c>
      <c r="B2082" s="10" t="s">
        <v>1944</v>
      </c>
      <c r="C2082" s="90" t="s">
        <v>429</v>
      </c>
      <c r="G2082" s="7"/>
    </row>
    <row r="2083" spans="1:7" x14ac:dyDescent="0.2">
      <c r="A2083" s="1">
        <f t="shared" ca="1" si="76"/>
        <v>2081</v>
      </c>
      <c r="B2083" s="1" t="s">
        <v>6962</v>
      </c>
      <c r="C2083" s="90" t="s">
        <v>2059</v>
      </c>
    </row>
    <row r="2084" spans="1:7" x14ac:dyDescent="0.2">
      <c r="A2084" s="1">
        <f t="shared" ca="1" si="76"/>
        <v>2082</v>
      </c>
      <c r="B2084" s="1" t="s">
        <v>430</v>
      </c>
      <c r="C2084" s="82" t="s">
        <v>442</v>
      </c>
      <c r="G2084" s="7"/>
    </row>
    <row r="2085" spans="1:7" x14ac:dyDescent="0.2">
      <c r="A2085" s="1">
        <f t="shared" ca="1" si="76"/>
        <v>2083</v>
      </c>
      <c r="B2085" s="1" t="s">
        <v>431</v>
      </c>
      <c r="C2085" s="82" t="s">
        <v>440</v>
      </c>
      <c r="G2085" s="7"/>
    </row>
    <row r="2086" spans="1:7" x14ac:dyDescent="0.2">
      <c r="A2086" s="1">
        <f t="shared" ca="1" si="76"/>
        <v>2084</v>
      </c>
      <c r="B2086" s="1" t="s">
        <v>432</v>
      </c>
      <c r="C2086" s="82" t="s">
        <v>441</v>
      </c>
      <c r="G2086" s="7"/>
    </row>
    <row r="2087" spans="1:7" x14ac:dyDescent="0.2">
      <c r="A2087" s="1">
        <f t="shared" ca="1" si="76"/>
        <v>2085</v>
      </c>
      <c r="B2087" s="1" t="s">
        <v>1311</v>
      </c>
      <c r="C2087" s="82" t="s">
        <v>3757</v>
      </c>
      <c r="G2087" s="7"/>
    </row>
    <row r="2088" spans="1:7" x14ac:dyDescent="0.2">
      <c r="A2088" s="1">
        <f t="shared" ca="1" si="76"/>
        <v>2086</v>
      </c>
      <c r="B2088" s="1" t="s">
        <v>433</v>
      </c>
      <c r="C2088" s="82" t="s">
        <v>443</v>
      </c>
      <c r="G2088" s="7"/>
    </row>
    <row r="2089" spans="1:7" x14ac:dyDescent="0.2">
      <c r="A2089" s="1">
        <f t="shared" ca="1" si="76"/>
        <v>2087</v>
      </c>
      <c r="B2089" s="1" t="s">
        <v>4625</v>
      </c>
      <c r="C2089" s="82" t="s">
        <v>444</v>
      </c>
      <c r="G2089" s="7"/>
    </row>
    <row r="2090" spans="1:7" x14ac:dyDescent="0.2">
      <c r="A2090" s="1">
        <f t="shared" ca="1" si="76"/>
        <v>2088</v>
      </c>
      <c r="B2090" s="1" t="s">
        <v>434</v>
      </c>
      <c r="C2090" s="82" t="s">
        <v>445</v>
      </c>
      <c r="G2090" s="7"/>
    </row>
    <row r="2091" spans="1:7" x14ac:dyDescent="0.2">
      <c r="A2091" s="1">
        <f t="shared" ca="1" si="76"/>
        <v>2089</v>
      </c>
      <c r="B2091" s="1" t="s">
        <v>435</v>
      </c>
      <c r="C2091" s="82" t="s">
        <v>446</v>
      </c>
      <c r="G2091" s="7"/>
    </row>
    <row r="2092" spans="1:7" x14ac:dyDescent="0.2">
      <c r="A2092" s="1">
        <f t="shared" ca="1" si="76"/>
        <v>2090</v>
      </c>
      <c r="B2092" s="1" t="s">
        <v>436</v>
      </c>
      <c r="C2092" s="82" t="s">
        <v>447</v>
      </c>
      <c r="G2092" s="7"/>
    </row>
    <row r="2093" spans="1:7" x14ac:dyDescent="0.2">
      <c r="A2093" s="1">
        <f t="shared" ca="1" si="76"/>
        <v>2091</v>
      </c>
      <c r="B2093" s="1" t="s">
        <v>437</v>
      </c>
      <c r="C2093" s="82" t="s">
        <v>448</v>
      </c>
      <c r="G2093" s="7"/>
    </row>
    <row r="2094" spans="1:7" x14ac:dyDescent="0.2">
      <c r="A2094" s="1">
        <f t="shared" ca="1" si="76"/>
        <v>2092</v>
      </c>
      <c r="B2094" s="1" t="s">
        <v>438</v>
      </c>
      <c r="C2094" s="82" t="s">
        <v>449</v>
      </c>
      <c r="G2094" s="7"/>
    </row>
    <row r="2095" spans="1:7" x14ac:dyDescent="0.2">
      <c r="A2095" s="1">
        <f t="shared" ca="1" si="76"/>
        <v>2093</v>
      </c>
      <c r="B2095" s="1" t="s">
        <v>439</v>
      </c>
      <c r="C2095" s="82" t="s">
        <v>450</v>
      </c>
      <c r="G2095" s="7"/>
    </row>
    <row r="2096" spans="1:7" x14ac:dyDescent="0.2">
      <c r="A2096" s="1">
        <f ca="1">CELL("row",C2096)-2</f>
        <v>2094</v>
      </c>
      <c r="B2096" s="73" t="s">
        <v>5898</v>
      </c>
      <c r="C2096" s="82"/>
      <c r="G2096" s="7"/>
    </row>
    <row r="2097" spans="1:9" x14ac:dyDescent="0.2">
      <c r="A2097" s="1">
        <f t="shared" ca="1" si="75"/>
        <v>2095</v>
      </c>
      <c r="B2097" s="1" t="s">
        <v>5984</v>
      </c>
      <c r="C2097" s="82" t="s">
        <v>7111</v>
      </c>
      <c r="G2097" s="7"/>
      <c r="I2097" s="4" t="s">
        <v>5694</v>
      </c>
    </row>
    <row r="2098" spans="1:9" ht="114.75" x14ac:dyDescent="0.2">
      <c r="A2098" s="1">
        <f t="shared" ca="1" si="75"/>
        <v>2096</v>
      </c>
      <c r="B2098" s="1" t="s">
        <v>5980</v>
      </c>
      <c r="C2098" s="90" t="s">
        <v>5328</v>
      </c>
      <c r="G2098" s="7"/>
      <c r="I2098" s="4" t="s">
        <v>3388</v>
      </c>
    </row>
    <row r="2099" spans="1:9" ht="51" x14ac:dyDescent="0.2">
      <c r="A2099" s="1">
        <f t="shared" ca="1" si="75"/>
        <v>2097</v>
      </c>
      <c r="B2099" s="1" t="s">
        <v>5968</v>
      </c>
      <c r="C2099" s="90" t="s">
        <v>6533</v>
      </c>
      <c r="G2099" s="7"/>
      <c r="I2099" s="4" t="s">
        <v>3389</v>
      </c>
    </row>
    <row r="2100" spans="1:9" x14ac:dyDescent="0.2">
      <c r="A2100" s="1">
        <f t="shared" ca="1" si="75"/>
        <v>2098</v>
      </c>
      <c r="B2100" s="1" t="s">
        <v>5969</v>
      </c>
      <c r="C2100" s="90" t="s">
        <v>5970</v>
      </c>
      <c r="G2100" s="7"/>
      <c r="I2100" s="4" t="s">
        <v>3390</v>
      </c>
    </row>
    <row r="2101" spans="1:9" x14ac:dyDescent="0.2">
      <c r="A2101" s="1">
        <f t="shared" ca="1" si="75"/>
        <v>2099</v>
      </c>
      <c r="B2101" s="1" t="s">
        <v>5971</v>
      </c>
      <c r="C2101" s="90" t="s">
        <v>5972</v>
      </c>
      <c r="G2101" s="7"/>
      <c r="I2101" s="4" t="s">
        <v>3391</v>
      </c>
    </row>
    <row r="2102" spans="1:9" x14ac:dyDescent="0.2">
      <c r="A2102" s="1">
        <f t="shared" ca="1" si="75"/>
        <v>2100</v>
      </c>
      <c r="B2102" s="1" t="s">
        <v>5973</v>
      </c>
      <c r="C2102" s="90" t="s">
        <v>5974</v>
      </c>
      <c r="G2102" s="7"/>
      <c r="I2102" s="4" t="s">
        <v>3392</v>
      </c>
    </row>
    <row r="2103" spans="1:9" x14ac:dyDescent="0.2">
      <c r="A2103" s="1">
        <f t="shared" ca="1" si="75"/>
        <v>2101</v>
      </c>
      <c r="B2103" s="1" t="s">
        <v>5975</v>
      </c>
      <c r="C2103" s="90" t="s">
        <v>4842</v>
      </c>
      <c r="G2103" s="7"/>
      <c r="I2103" s="4" t="s">
        <v>3393</v>
      </c>
    </row>
    <row r="2104" spans="1:9" x14ac:dyDescent="0.2">
      <c r="A2104" s="1">
        <f t="shared" ca="1" si="75"/>
        <v>2102</v>
      </c>
      <c r="B2104" s="1" t="s">
        <v>5976</v>
      </c>
      <c r="C2104" s="90" t="s">
        <v>5977</v>
      </c>
      <c r="G2104" s="7"/>
      <c r="I2104" s="4" t="s">
        <v>3394</v>
      </c>
    </row>
    <row r="2105" spans="1:9" x14ac:dyDescent="0.2">
      <c r="A2105" s="1">
        <f t="shared" ca="1" si="75"/>
        <v>2103</v>
      </c>
      <c r="B2105" s="1" t="s">
        <v>5978</v>
      </c>
      <c r="C2105" s="90" t="s">
        <v>41</v>
      </c>
      <c r="G2105" s="7"/>
      <c r="I2105" s="4" t="s">
        <v>3395</v>
      </c>
    </row>
    <row r="2106" spans="1:9" x14ac:dyDescent="0.2">
      <c r="A2106" s="1">
        <f t="shared" ca="1" si="75"/>
        <v>2104</v>
      </c>
      <c r="B2106" s="1" t="s">
        <v>5979</v>
      </c>
      <c r="C2106" s="90" t="s">
        <v>4843</v>
      </c>
      <c r="G2106" s="7"/>
      <c r="I2106" s="4" t="s">
        <v>3396</v>
      </c>
    </row>
    <row r="2107" spans="1:9" ht="63.75" x14ac:dyDescent="0.2">
      <c r="A2107" s="1">
        <f t="shared" ca="1" si="75"/>
        <v>2105</v>
      </c>
      <c r="B2107" s="1" t="s">
        <v>3448</v>
      </c>
      <c r="C2107" s="90" t="s">
        <v>2682</v>
      </c>
      <c r="G2107" s="7"/>
      <c r="I2107" s="4" t="s">
        <v>3397</v>
      </c>
    </row>
    <row r="2108" spans="1:9" ht="25.5" x14ac:dyDescent="0.2">
      <c r="A2108" s="1">
        <f t="shared" ca="1" si="75"/>
        <v>2106</v>
      </c>
      <c r="B2108" s="1" t="s">
        <v>3449</v>
      </c>
      <c r="C2108" s="90" t="s">
        <v>7076</v>
      </c>
      <c r="G2108" s="7"/>
      <c r="I2108" s="4" t="s">
        <v>3835</v>
      </c>
    </row>
    <row r="2109" spans="1:9" ht="38.25" x14ac:dyDescent="0.2">
      <c r="A2109" s="1">
        <f t="shared" ca="1" si="75"/>
        <v>2107</v>
      </c>
      <c r="B2109" s="1" t="s">
        <v>7077</v>
      </c>
      <c r="C2109" s="90" t="s">
        <v>7078</v>
      </c>
      <c r="G2109" s="7"/>
      <c r="I2109" s="4" t="s">
        <v>3836</v>
      </c>
    </row>
    <row r="2110" spans="1:9" ht="25.5" x14ac:dyDescent="0.2">
      <c r="A2110" s="1">
        <f t="shared" ca="1" si="75"/>
        <v>2108</v>
      </c>
      <c r="B2110" s="1" t="s">
        <v>9020</v>
      </c>
      <c r="C2110" s="90" t="s">
        <v>3088</v>
      </c>
      <c r="G2110" s="7"/>
      <c r="I2110" s="4" t="s">
        <v>3837</v>
      </c>
    </row>
    <row r="2111" spans="1:9" ht="76.5" x14ac:dyDescent="0.2">
      <c r="A2111" s="1">
        <f t="shared" ca="1" si="75"/>
        <v>2109</v>
      </c>
      <c r="B2111" s="1" t="s">
        <v>7079</v>
      </c>
      <c r="C2111" s="90" t="s">
        <v>2853</v>
      </c>
      <c r="G2111" s="7"/>
      <c r="I2111" s="4" t="s">
        <v>3838</v>
      </c>
    </row>
    <row r="2112" spans="1:9" ht="51" x14ac:dyDescent="0.2">
      <c r="A2112" s="1">
        <f t="shared" ca="1" si="75"/>
        <v>2110</v>
      </c>
      <c r="B2112" s="1" t="s">
        <v>4026</v>
      </c>
      <c r="C2112" s="90" t="s">
        <v>3050</v>
      </c>
      <c r="G2112" s="7"/>
      <c r="I2112" s="4" t="s">
        <v>3839</v>
      </c>
    </row>
    <row r="2113" spans="1:9" x14ac:dyDescent="0.2">
      <c r="A2113" s="1">
        <f t="shared" ca="1" si="75"/>
        <v>2111</v>
      </c>
      <c r="B2113" s="1" t="s">
        <v>4027</v>
      </c>
      <c r="C2113" s="90" t="s">
        <v>3051</v>
      </c>
      <c r="G2113" s="7"/>
      <c r="I2113" s="4" t="s">
        <v>3840</v>
      </c>
    </row>
    <row r="2114" spans="1:9" x14ac:dyDescent="0.2">
      <c r="A2114" s="1">
        <f t="shared" ca="1" si="75"/>
        <v>2112</v>
      </c>
      <c r="B2114" s="1" t="s">
        <v>4028</v>
      </c>
      <c r="C2114" s="90" t="s">
        <v>2852</v>
      </c>
      <c r="G2114" s="7"/>
      <c r="I2114" s="4" t="s">
        <v>3841</v>
      </c>
    </row>
    <row r="2115" spans="1:9" ht="51" x14ac:dyDescent="0.2">
      <c r="A2115" s="1">
        <f t="shared" ca="1" si="75"/>
        <v>2113</v>
      </c>
      <c r="B2115" s="1" t="s">
        <v>6671</v>
      </c>
      <c r="C2115" s="90" t="s">
        <v>2851</v>
      </c>
      <c r="G2115" s="7"/>
      <c r="I2115" s="4" t="s">
        <v>3842</v>
      </c>
    </row>
    <row r="2116" spans="1:9" ht="140.25" x14ac:dyDescent="0.2">
      <c r="A2116" s="1">
        <f ca="1">CELL("row",C2116)-2</f>
        <v>2114</v>
      </c>
      <c r="B2116" s="1" t="s">
        <v>7995</v>
      </c>
      <c r="C2116" s="90" t="s">
        <v>7631</v>
      </c>
      <c r="G2116" s="7"/>
      <c r="I2116" s="4" t="s">
        <v>3843</v>
      </c>
    </row>
    <row r="2117" spans="1:9" ht="165.75" x14ac:dyDescent="0.2">
      <c r="A2117" s="1">
        <f t="shared" ca="1" si="75"/>
        <v>2115</v>
      </c>
      <c r="B2117" s="1" t="s">
        <v>5544</v>
      </c>
      <c r="C2117" s="90" t="s">
        <v>2850</v>
      </c>
      <c r="G2117" s="7"/>
      <c r="I2117" s="4" t="s">
        <v>3844</v>
      </c>
    </row>
    <row r="2118" spans="1:9" ht="114.75" x14ac:dyDescent="0.2">
      <c r="A2118" s="1">
        <f t="shared" ca="1" si="75"/>
        <v>2116</v>
      </c>
      <c r="B2118" s="1" t="s">
        <v>2462</v>
      </c>
      <c r="C2118" s="90" t="s">
        <v>2793</v>
      </c>
      <c r="G2118" s="7"/>
      <c r="I2118" s="4" t="s">
        <v>6118</v>
      </c>
    </row>
    <row r="2119" spans="1:9" ht="76.5" x14ac:dyDescent="0.2">
      <c r="A2119" s="1">
        <f t="shared" ca="1" si="75"/>
        <v>2117</v>
      </c>
      <c r="B2119" s="1" t="s">
        <v>7315</v>
      </c>
      <c r="C2119" s="90" t="s">
        <v>6001</v>
      </c>
      <c r="G2119" s="7"/>
      <c r="I2119" s="4" t="s">
        <v>6119</v>
      </c>
    </row>
    <row r="2120" spans="1:9" ht="38.25" x14ac:dyDescent="0.2">
      <c r="A2120" s="1">
        <f t="shared" ca="1" si="75"/>
        <v>2118</v>
      </c>
      <c r="B2120" s="1" t="s">
        <v>7316</v>
      </c>
      <c r="C2120" s="90" t="s">
        <v>6295</v>
      </c>
      <c r="G2120" s="7"/>
      <c r="I2120" s="4" t="s">
        <v>6120</v>
      </c>
    </row>
    <row r="2121" spans="1:9" x14ac:dyDescent="0.2">
      <c r="A2121" s="1">
        <f t="shared" ca="1" si="75"/>
        <v>2119</v>
      </c>
      <c r="B2121" s="1" t="s">
        <v>2945</v>
      </c>
      <c r="C2121" s="90" t="s">
        <v>6002</v>
      </c>
      <c r="G2121" s="7"/>
      <c r="I2121" s="4" t="s">
        <v>6121</v>
      </c>
    </row>
    <row r="2122" spans="1:9" ht="63.75" x14ac:dyDescent="0.2">
      <c r="A2122" s="1">
        <f t="shared" ca="1" si="75"/>
        <v>2120</v>
      </c>
      <c r="B2122" s="1" t="s">
        <v>2946</v>
      </c>
      <c r="C2122" s="90" t="s">
        <v>3442</v>
      </c>
      <c r="G2122" s="7"/>
      <c r="I2122" s="4" t="s">
        <v>6122</v>
      </c>
    </row>
    <row r="2123" spans="1:9" x14ac:dyDescent="0.2">
      <c r="A2123" s="1">
        <f t="shared" ca="1" si="75"/>
        <v>2121</v>
      </c>
      <c r="B2123" s="1" t="s">
        <v>2947</v>
      </c>
      <c r="C2123" s="82" t="s">
        <v>2947</v>
      </c>
      <c r="G2123" s="7"/>
      <c r="I2123" s="4" t="s">
        <v>6123</v>
      </c>
    </row>
    <row r="2124" spans="1:9" x14ac:dyDescent="0.2">
      <c r="A2124" s="1">
        <f t="shared" ca="1" si="75"/>
        <v>2122</v>
      </c>
      <c r="B2124" s="1" t="s">
        <v>2948</v>
      </c>
      <c r="C2124" s="90" t="s">
        <v>7032</v>
      </c>
      <c r="G2124" s="7"/>
      <c r="I2124" s="4" t="s">
        <v>6124</v>
      </c>
    </row>
    <row r="2125" spans="1:9" x14ac:dyDescent="0.2">
      <c r="A2125" s="1">
        <f t="shared" ca="1" si="75"/>
        <v>2123</v>
      </c>
      <c r="B2125" s="1" t="s">
        <v>2949</v>
      </c>
      <c r="C2125" s="82" t="s">
        <v>2496</v>
      </c>
      <c r="G2125" s="7"/>
      <c r="I2125" s="4" t="s">
        <v>6125</v>
      </c>
    </row>
    <row r="2126" spans="1:9" ht="25.5" x14ac:dyDescent="0.2">
      <c r="A2126" s="1">
        <f t="shared" ca="1" si="75"/>
        <v>2124</v>
      </c>
      <c r="B2126" s="1" t="s">
        <v>2950</v>
      </c>
      <c r="C2126" s="82" t="s">
        <v>2497</v>
      </c>
      <c r="G2126" s="7"/>
      <c r="I2126" s="4" t="s">
        <v>6126</v>
      </c>
    </row>
    <row r="2127" spans="1:9" ht="25.5" x14ac:dyDescent="0.2">
      <c r="A2127" s="1">
        <f t="shared" ca="1" si="75"/>
        <v>2125</v>
      </c>
      <c r="B2127" s="1" t="s">
        <v>2951</v>
      </c>
      <c r="C2127" s="82" t="s">
        <v>7030</v>
      </c>
      <c r="G2127" s="7"/>
      <c r="I2127" s="4" t="s">
        <v>858</v>
      </c>
    </row>
    <row r="2128" spans="1:9" ht="38.25" x14ac:dyDescent="0.2">
      <c r="A2128" s="1">
        <f t="shared" ca="1" si="75"/>
        <v>2126</v>
      </c>
      <c r="B2128" s="1" t="s">
        <v>2952</v>
      </c>
      <c r="C2128" s="97" t="s">
        <v>7031</v>
      </c>
      <c r="G2128" s="7"/>
      <c r="I2128" s="4" t="s">
        <v>6127</v>
      </c>
    </row>
    <row r="2129" spans="1:9" ht="25.5" x14ac:dyDescent="0.2">
      <c r="A2129" s="1">
        <f t="shared" ca="1" si="75"/>
        <v>2127</v>
      </c>
      <c r="B2129" s="1" t="s">
        <v>2953</v>
      </c>
      <c r="C2129" s="82" t="s">
        <v>6020</v>
      </c>
      <c r="G2129" s="7"/>
      <c r="I2129" s="4" t="s">
        <v>861</v>
      </c>
    </row>
    <row r="2130" spans="1:9" x14ac:dyDescent="0.2">
      <c r="A2130" s="1">
        <f t="shared" ref="A2130:A2193" ca="1" si="77">CELL("row",C2130)-2</f>
        <v>2128</v>
      </c>
      <c r="B2130" s="1" t="s">
        <v>2954</v>
      </c>
      <c r="C2130" s="90" t="s">
        <v>2955</v>
      </c>
      <c r="G2130" s="7"/>
      <c r="I2130" s="4" t="s">
        <v>6128</v>
      </c>
    </row>
    <row r="2131" spans="1:9" ht="38.25" x14ac:dyDescent="0.2">
      <c r="A2131" s="1">
        <f t="shared" ca="1" si="77"/>
        <v>2129</v>
      </c>
      <c r="B2131" s="1" t="s">
        <v>8326</v>
      </c>
      <c r="C2131" s="90" t="s">
        <v>4870</v>
      </c>
      <c r="G2131" s="7"/>
      <c r="I2131" s="4" t="s">
        <v>6129</v>
      </c>
    </row>
    <row r="2132" spans="1:9" ht="25.5" x14ac:dyDescent="0.2">
      <c r="A2132" s="1">
        <f t="shared" ca="1" si="77"/>
        <v>2130</v>
      </c>
      <c r="B2132" s="1" t="s">
        <v>4871</v>
      </c>
      <c r="C2132" s="90" t="s">
        <v>6003</v>
      </c>
      <c r="G2132" s="7"/>
      <c r="I2132" s="4" t="s">
        <v>6130</v>
      </c>
    </row>
    <row r="2133" spans="1:9" x14ac:dyDescent="0.2">
      <c r="A2133" s="1">
        <f t="shared" ca="1" si="77"/>
        <v>2131</v>
      </c>
      <c r="B2133" s="1" t="s">
        <v>2945</v>
      </c>
      <c r="C2133" s="90" t="s">
        <v>2495</v>
      </c>
      <c r="G2133" s="7"/>
      <c r="I2133" s="4" t="s">
        <v>6131</v>
      </c>
    </row>
    <row r="2134" spans="1:9" x14ac:dyDescent="0.2">
      <c r="A2134" s="1">
        <f t="shared" ca="1" si="77"/>
        <v>2132</v>
      </c>
      <c r="B2134" s="1" t="s">
        <v>4872</v>
      </c>
      <c r="C2134" s="90" t="s">
        <v>4873</v>
      </c>
      <c r="G2134" s="7"/>
      <c r="I2134" s="4" t="s">
        <v>6132</v>
      </c>
    </row>
    <row r="2135" spans="1:9" x14ac:dyDescent="0.2">
      <c r="A2135" s="1">
        <f t="shared" ca="1" si="77"/>
        <v>2133</v>
      </c>
      <c r="B2135" s="1" t="s">
        <v>1956</v>
      </c>
      <c r="C2135" s="90" t="s">
        <v>6004</v>
      </c>
      <c r="G2135" s="7"/>
      <c r="I2135" s="4" t="s">
        <v>6133</v>
      </c>
    </row>
    <row r="2136" spans="1:9" ht="38.25" x14ac:dyDescent="0.2">
      <c r="A2136" s="1">
        <f t="shared" ca="1" si="77"/>
        <v>2134</v>
      </c>
      <c r="B2136" s="1" t="s">
        <v>4809</v>
      </c>
      <c r="C2136" s="90" t="s">
        <v>6005</v>
      </c>
      <c r="G2136" s="7"/>
      <c r="I2136" s="4" t="s">
        <v>6134</v>
      </c>
    </row>
    <row r="2137" spans="1:9" ht="38.25" x14ac:dyDescent="0.2">
      <c r="A2137" s="1">
        <f t="shared" ca="1" si="77"/>
        <v>2135</v>
      </c>
      <c r="B2137" s="1" t="s">
        <v>1957</v>
      </c>
      <c r="C2137" s="90" t="s">
        <v>6685</v>
      </c>
      <c r="G2137" s="7"/>
      <c r="I2137" s="4" t="s">
        <v>7597</v>
      </c>
    </row>
    <row r="2138" spans="1:9" x14ac:dyDescent="0.2">
      <c r="A2138" s="1">
        <f t="shared" ca="1" si="77"/>
        <v>2136</v>
      </c>
      <c r="B2138" s="1" t="s">
        <v>1643</v>
      </c>
      <c r="C2138" s="90" t="s">
        <v>6686</v>
      </c>
      <c r="G2138" s="7"/>
      <c r="I2138" s="4" t="s">
        <v>6135</v>
      </c>
    </row>
    <row r="2139" spans="1:9" x14ac:dyDescent="0.2">
      <c r="A2139" s="1">
        <f t="shared" ca="1" si="77"/>
        <v>2137</v>
      </c>
      <c r="B2139" s="1" t="s">
        <v>1958</v>
      </c>
      <c r="C2139" s="82" t="s">
        <v>1959</v>
      </c>
      <c r="G2139" s="7"/>
      <c r="I2139" s="4" t="s">
        <v>6136</v>
      </c>
    </row>
    <row r="2140" spans="1:9" ht="25.5" x14ac:dyDescent="0.2">
      <c r="A2140" s="1">
        <f t="shared" ca="1" si="77"/>
        <v>2138</v>
      </c>
      <c r="B2140" s="1" t="s">
        <v>1960</v>
      </c>
      <c r="C2140" s="90" t="s">
        <v>6687</v>
      </c>
      <c r="G2140" s="7"/>
      <c r="I2140" s="4" t="s">
        <v>6137</v>
      </c>
    </row>
    <row r="2141" spans="1:9" x14ac:dyDescent="0.2">
      <c r="A2141" s="1">
        <f t="shared" ca="1" si="77"/>
        <v>2139</v>
      </c>
      <c r="B2141" s="1" t="s">
        <v>1961</v>
      </c>
      <c r="C2141" s="82" t="s">
        <v>1962</v>
      </c>
      <c r="G2141" s="7"/>
      <c r="I2141" s="4" t="s">
        <v>6138</v>
      </c>
    </row>
    <row r="2142" spans="1:9" ht="25.5" x14ac:dyDescent="0.2">
      <c r="A2142" s="1">
        <f t="shared" ca="1" si="77"/>
        <v>2140</v>
      </c>
      <c r="B2142" s="1" t="s">
        <v>1963</v>
      </c>
      <c r="C2142" s="90" t="s">
        <v>6688</v>
      </c>
      <c r="G2142" s="7"/>
      <c r="I2142" s="4" t="s">
        <v>6139</v>
      </c>
    </row>
    <row r="2143" spans="1:9" ht="25.5" x14ac:dyDescent="0.2">
      <c r="A2143" s="1">
        <f t="shared" ca="1" si="77"/>
        <v>2141</v>
      </c>
      <c r="B2143" s="1" t="s">
        <v>1964</v>
      </c>
      <c r="C2143" s="90" t="s">
        <v>1965</v>
      </c>
      <c r="G2143" s="7"/>
      <c r="I2143" s="4" t="s">
        <v>6140</v>
      </c>
    </row>
    <row r="2144" spans="1:9" x14ac:dyDescent="0.2">
      <c r="A2144" s="1">
        <f t="shared" ca="1" si="77"/>
        <v>2142</v>
      </c>
      <c r="B2144" s="1" t="s">
        <v>2945</v>
      </c>
      <c r="C2144" s="90" t="s">
        <v>6689</v>
      </c>
      <c r="G2144" s="7"/>
      <c r="I2144" s="4" t="s">
        <v>6141</v>
      </c>
    </row>
    <row r="2145" spans="1:9" ht="38.25" x14ac:dyDescent="0.2">
      <c r="A2145" s="1">
        <f t="shared" ca="1" si="77"/>
        <v>2143</v>
      </c>
      <c r="B2145" s="1" t="s">
        <v>6621</v>
      </c>
      <c r="C2145" s="90" t="s">
        <v>6622</v>
      </c>
      <c r="G2145" s="7"/>
      <c r="I2145" s="4" t="s">
        <v>6142</v>
      </c>
    </row>
    <row r="2146" spans="1:9" x14ac:dyDescent="0.2">
      <c r="A2146" s="1">
        <f t="shared" ca="1" si="77"/>
        <v>2144</v>
      </c>
      <c r="B2146" s="1" t="s">
        <v>3456</v>
      </c>
      <c r="C2146" s="82" t="s">
        <v>3457</v>
      </c>
      <c r="G2146" s="7"/>
      <c r="I2146" s="4" t="s">
        <v>2797</v>
      </c>
    </row>
    <row r="2147" spans="1:9" x14ac:dyDescent="0.2">
      <c r="A2147" s="1">
        <f t="shared" ca="1" si="77"/>
        <v>2145</v>
      </c>
      <c r="B2147" s="1" t="s">
        <v>5546</v>
      </c>
      <c r="C2147" s="91" t="s">
        <v>6623</v>
      </c>
      <c r="G2147" s="7"/>
      <c r="I2147" s="4" t="s">
        <v>6143</v>
      </c>
    </row>
    <row r="2148" spans="1:9" x14ac:dyDescent="0.2">
      <c r="A2148" s="1">
        <f t="shared" ca="1" si="77"/>
        <v>2146</v>
      </c>
      <c r="B2148" s="1" t="s">
        <v>5984</v>
      </c>
      <c r="C2148" s="91" t="s">
        <v>3458</v>
      </c>
      <c r="G2148" s="7"/>
      <c r="I2148" s="4" t="s">
        <v>6144</v>
      </c>
    </row>
    <row r="2149" spans="1:9" x14ac:dyDescent="0.2">
      <c r="A2149" s="1">
        <f t="shared" ca="1" si="77"/>
        <v>2147</v>
      </c>
      <c r="B2149" s="1" t="s">
        <v>6952</v>
      </c>
      <c r="C2149" s="82" t="s">
        <v>6624</v>
      </c>
      <c r="G2149" s="7"/>
      <c r="I2149" s="4" t="s">
        <v>6145</v>
      </c>
    </row>
    <row r="2150" spans="1:9" x14ac:dyDescent="0.2">
      <c r="A2150" s="1">
        <f t="shared" ca="1" si="77"/>
        <v>2148</v>
      </c>
      <c r="B2150" s="1" t="s">
        <v>7758</v>
      </c>
      <c r="C2150" s="82" t="s">
        <v>6625</v>
      </c>
      <c r="G2150" s="7"/>
      <c r="I2150" s="4" t="s">
        <v>6146</v>
      </c>
    </row>
    <row r="2151" spans="1:9" x14ac:dyDescent="0.2">
      <c r="A2151" s="1">
        <f t="shared" ca="1" si="77"/>
        <v>2149</v>
      </c>
      <c r="B2151" s="1" t="s">
        <v>3459</v>
      </c>
      <c r="C2151" s="82" t="s">
        <v>2494</v>
      </c>
      <c r="G2151" s="7"/>
      <c r="I2151" s="4" t="s">
        <v>6147</v>
      </c>
    </row>
    <row r="2152" spans="1:9" x14ac:dyDescent="0.2">
      <c r="A2152" s="1">
        <f t="shared" ca="1" si="77"/>
        <v>2150</v>
      </c>
      <c r="B2152" s="1" t="s">
        <v>5981</v>
      </c>
      <c r="C2152" s="82" t="s">
        <v>2493</v>
      </c>
      <c r="G2152" s="7"/>
      <c r="I2152" s="4" t="s">
        <v>6148</v>
      </c>
    </row>
    <row r="2153" spans="1:9" x14ac:dyDescent="0.2">
      <c r="A2153" s="1">
        <f t="shared" ca="1" si="77"/>
        <v>2151</v>
      </c>
      <c r="B2153" s="1" t="s">
        <v>3460</v>
      </c>
      <c r="C2153" s="82" t="s">
        <v>2492</v>
      </c>
      <c r="G2153" s="7"/>
      <c r="I2153" s="4" t="s">
        <v>6149</v>
      </c>
    </row>
    <row r="2154" spans="1:9" x14ac:dyDescent="0.2">
      <c r="A2154" s="1">
        <f t="shared" ca="1" si="77"/>
        <v>2152</v>
      </c>
      <c r="B2154" s="1" t="s">
        <v>5982</v>
      </c>
      <c r="C2154" s="91" t="s">
        <v>4721</v>
      </c>
      <c r="G2154" s="7"/>
      <c r="I2154" s="4" t="s">
        <v>6150</v>
      </c>
    </row>
    <row r="2155" spans="1:9" x14ac:dyDescent="0.2">
      <c r="A2155" s="1">
        <f t="shared" ca="1" si="77"/>
        <v>2153</v>
      </c>
      <c r="B2155" s="1" t="s">
        <v>5983</v>
      </c>
      <c r="C2155" s="82" t="s">
        <v>4720</v>
      </c>
      <c r="G2155" s="7"/>
      <c r="I2155" s="4" t="s">
        <v>6151</v>
      </c>
    </row>
    <row r="2156" spans="1:9" x14ac:dyDescent="0.2">
      <c r="A2156" s="1">
        <f t="shared" ca="1" si="77"/>
        <v>2154</v>
      </c>
      <c r="B2156" s="1" t="s">
        <v>3461</v>
      </c>
      <c r="C2156" s="82" t="s">
        <v>5453</v>
      </c>
      <c r="G2156" s="7"/>
      <c r="I2156" s="4" t="s">
        <v>6152</v>
      </c>
    </row>
    <row r="2157" spans="1:9" x14ac:dyDescent="0.2">
      <c r="A2157" s="1">
        <f t="shared" ca="1" si="77"/>
        <v>2155</v>
      </c>
      <c r="B2157" s="1" t="s">
        <v>3462</v>
      </c>
      <c r="C2157" s="82" t="s">
        <v>4719</v>
      </c>
      <c r="G2157" s="7"/>
      <c r="I2157" s="4" t="s">
        <v>6153</v>
      </c>
    </row>
    <row r="2158" spans="1:9" ht="25.5" x14ac:dyDescent="0.2">
      <c r="A2158" s="1">
        <f t="shared" ca="1" si="77"/>
        <v>2156</v>
      </c>
      <c r="B2158" s="1" t="s">
        <v>5545</v>
      </c>
      <c r="C2158" s="82" t="s">
        <v>3548</v>
      </c>
      <c r="G2158" s="7"/>
      <c r="I2158" s="4" t="s">
        <v>6154</v>
      </c>
    </row>
    <row r="2159" spans="1:9" x14ac:dyDescent="0.2">
      <c r="A2159" s="1">
        <f t="shared" ca="1" si="77"/>
        <v>2157</v>
      </c>
      <c r="B2159" s="73" t="s">
        <v>3463</v>
      </c>
      <c r="C2159" s="82"/>
      <c r="G2159" s="7"/>
    </row>
    <row r="2160" spans="1:9" ht="25.5" x14ac:dyDescent="0.2">
      <c r="A2160" s="1">
        <f t="shared" ca="1" si="77"/>
        <v>2158</v>
      </c>
      <c r="B2160" s="1" t="s">
        <v>3464</v>
      </c>
      <c r="C2160" s="90" t="s">
        <v>4718</v>
      </c>
      <c r="G2160" s="7"/>
      <c r="I2160" s="4" t="s">
        <v>6155</v>
      </c>
    </row>
    <row r="2161" spans="1:9" x14ac:dyDescent="0.2">
      <c r="A2161" s="1">
        <f t="shared" ca="1" si="77"/>
        <v>2159</v>
      </c>
      <c r="B2161" s="1" t="s">
        <v>3465</v>
      </c>
      <c r="C2161" s="90" t="s">
        <v>4717</v>
      </c>
      <c r="G2161" s="7"/>
      <c r="I2161" s="4" t="s">
        <v>6156</v>
      </c>
    </row>
    <row r="2162" spans="1:9" x14ac:dyDescent="0.2">
      <c r="A2162" s="1">
        <f t="shared" ca="1" si="77"/>
        <v>2160</v>
      </c>
      <c r="B2162" s="1" t="s">
        <v>3466</v>
      </c>
      <c r="C2162" s="90" t="s">
        <v>4716</v>
      </c>
      <c r="G2162" s="7"/>
      <c r="I2162" s="4" t="s">
        <v>6157</v>
      </c>
    </row>
    <row r="2163" spans="1:9" ht="25.5" x14ac:dyDescent="0.2">
      <c r="A2163" s="1">
        <f t="shared" ca="1" si="77"/>
        <v>2161</v>
      </c>
      <c r="B2163" s="1" t="s">
        <v>104</v>
      </c>
      <c r="C2163" s="90" t="s">
        <v>4715</v>
      </c>
      <c r="G2163" s="7"/>
      <c r="I2163" s="4" t="s">
        <v>6158</v>
      </c>
    </row>
    <row r="2164" spans="1:9" x14ac:dyDescent="0.2">
      <c r="A2164" s="1">
        <f t="shared" ca="1" si="77"/>
        <v>2162</v>
      </c>
      <c r="B2164" s="1" t="s">
        <v>7875</v>
      </c>
      <c r="C2164" s="90" t="s">
        <v>8505</v>
      </c>
      <c r="G2164" s="7"/>
      <c r="I2164" s="4" t="s">
        <v>6159</v>
      </c>
    </row>
    <row r="2165" spans="1:9" x14ac:dyDescent="0.2">
      <c r="A2165" s="1">
        <f t="shared" ca="1" si="77"/>
        <v>2163</v>
      </c>
      <c r="B2165" s="1" t="s">
        <v>7876</v>
      </c>
      <c r="C2165" s="90" t="s">
        <v>8506</v>
      </c>
      <c r="G2165" s="7"/>
      <c r="I2165" s="4" t="s">
        <v>6160</v>
      </c>
    </row>
    <row r="2166" spans="1:9" x14ac:dyDescent="0.2">
      <c r="A2166" s="1">
        <f t="shared" ca="1" si="77"/>
        <v>2164</v>
      </c>
      <c r="B2166" s="1" t="s">
        <v>7877</v>
      </c>
      <c r="C2166" s="90" t="s">
        <v>4714</v>
      </c>
      <c r="G2166" s="7"/>
      <c r="I2166" s="4" t="s">
        <v>6161</v>
      </c>
    </row>
    <row r="2167" spans="1:9" ht="63.75" x14ac:dyDescent="0.2">
      <c r="A2167" s="1">
        <f t="shared" ca="1" si="77"/>
        <v>2165</v>
      </c>
      <c r="B2167" s="1" t="s">
        <v>7688</v>
      </c>
      <c r="C2167" s="90" t="s">
        <v>3545</v>
      </c>
      <c r="G2167" s="7"/>
      <c r="I2167" s="90" t="s">
        <v>6162</v>
      </c>
    </row>
    <row r="2168" spans="1:9" ht="76.5" x14ac:dyDescent="0.2">
      <c r="A2168" s="1">
        <f t="shared" ca="1" si="77"/>
        <v>2166</v>
      </c>
      <c r="B2168" s="10" t="s">
        <v>6825</v>
      </c>
      <c r="C2168" s="90" t="s">
        <v>1236</v>
      </c>
      <c r="G2168" s="7"/>
      <c r="I2168" s="4" t="s">
        <v>6163</v>
      </c>
    </row>
    <row r="2169" spans="1:9" x14ac:dyDescent="0.2">
      <c r="A2169" s="1">
        <f t="shared" ca="1" si="77"/>
        <v>2167</v>
      </c>
      <c r="B2169" s="1" t="s">
        <v>2664</v>
      </c>
      <c r="C2169" s="82" t="s">
        <v>8144</v>
      </c>
      <c r="G2169" s="7"/>
      <c r="I2169" s="4" t="s">
        <v>5039</v>
      </c>
    </row>
    <row r="2170" spans="1:9" x14ac:dyDescent="0.2">
      <c r="A2170" s="1">
        <f t="shared" ca="1" si="77"/>
        <v>2168</v>
      </c>
      <c r="B2170" s="1" t="s">
        <v>6826</v>
      </c>
      <c r="C2170" s="82" t="s">
        <v>4713</v>
      </c>
      <c r="G2170" s="7"/>
      <c r="I2170" s="4" t="s">
        <v>907</v>
      </c>
    </row>
    <row r="2171" spans="1:9" x14ac:dyDescent="0.2">
      <c r="A2171" s="1">
        <f t="shared" ca="1" si="77"/>
        <v>2169</v>
      </c>
      <c r="B2171" s="1" t="s">
        <v>6827</v>
      </c>
      <c r="C2171" s="82" t="s">
        <v>4712</v>
      </c>
      <c r="G2171" s="7"/>
      <c r="I2171" s="4" t="s">
        <v>6164</v>
      </c>
    </row>
    <row r="2172" spans="1:9" x14ac:dyDescent="0.2">
      <c r="A2172" s="1">
        <f t="shared" ca="1" si="77"/>
        <v>2170</v>
      </c>
      <c r="B2172" s="1" t="s">
        <v>6828</v>
      </c>
      <c r="C2172" s="82" t="s">
        <v>4711</v>
      </c>
      <c r="G2172" s="7"/>
      <c r="I2172" s="4" t="s">
        <v>6165</v>
      </c>
    </row>
    <row r="2173" spans="1:9" ht="25.5" x14ac:dyDescent="0.2">
      <c r="A2173" s="1">
        <f t="shared" ca="1" si="77"/>
        <v>2171</v>
      </c>
      <c r="B2173" s="1" t="s">
        <v>6829</v>
      </c>
      <c r="C2173" s="90" t="s">
        <v>6830</v>
      </c>
      <c r="G2173" s="7"/>
      <c r="I2173" s="4" t="s">
        <v>6166</v>
      </c>
    </row>
    <row r="2174" spans="1:9" x14ac:dyDescent="0.2">
      <c r="A2174" s="1">
        <f t="shared" ca="1" si="77"/>
        <v>2172</v>
      </c>
      <c r="B2174" s="1" t="s">
        <v>6831</v>
      </c>
      <c r="C2174" s="82" t="s">
        <v>4710</v>
      </c>
      <c r="G2174" s="7"/>
      <c r="I2174" s="4" t="s">
        <v>6167</v>
      </c>
    </row>
    <row r="2175" spans="1:9" x14ac:dyDescent="0.2">
      <c r="A2175" s="1">
        <f t="shared" ca="1" si="77"/>
        <v>2173</v>
      </c>
      <c r="B2175" s="1" t="s">
        <v>6832</v>
      </c>
      <c r="C2175" s="82" t="s">
        <v>4709</v>
      </c>
      <c r="G2175" s="7"/>
      <c r="I2175" s="4" t="s">
        <v>6168</v>
      </c>
    </row>
    <row r="2176" spans="1:9" x14ac:dyDescent="0.2">
      <c r="A2176" s="1">
        <f t="shared" ca="1" si="77"/>
        <v>2174</v>
      </c>
      <c r="B2176" s="1" t="s">
        <v>6833</v>
      </c>
      <c r="C2176" s="82" t="s">
        <v>4708</v>
      </c>
      <c r="G2176" s="7"/>
      <c r="I2176" s="4" t="s">
        <v>6169</v>
      </c>
    </row>
    <row r="2177" spans="1:9" x14ac:dyDescent="0.2">
      <c r="A2177" s="1">
        <f t="shared" ca="1" si="77"/>
        <v>2175</v>
      </c>
      <c r="B2177" s="1" t="s">
        <v>6834</v>
      </c>
      <c r="C2177" s="90" t="s">
        <v>1237</v>
      </c>
      <c r="G2177" s="7"/>
      <c r="I2177" s="4" t="s">
        <v>6170</v>
      </c>
    </row>
    <row r="2178" spans="1:9" x14ac:dyDescent="0.2">
      <c r="A2178" s="1">
        <f t="shared" ca="1" si="77"/>
        <v>2176</v>
      </c>
      <c r="B2178" s="1" t="s">
        <v>6835</v>
      </c>
      <c r="C2178" s="82" t="s">
        <v>7362</v>
      </c>
      <c r="G2178" s="7"/>
      <c r="I2178" s="4" t="s">
        <v>6171</v>
      </c>
    </row>
    <row r="2179" spans="1:9" x14ac:dyDescent="0.2">
      <c r="A2179" s="1">
        <f t="shared" ca="1" si="77"/>
        <v>2177</v>
      </c>
      <c r="B2179" s="1" t="s">
        <v>2802</v>
      </c>
      <c r="C2179" s="82" t="s">
        <v>7361</v>
      </c>
      <c r="G2179" s="7"/>
      <c r="I2179" s="4" t="s">
        <v>6172</v>
      </c>
    </row>
    <row r="2180" spans="1:9" x14ac:dyDescent="0.2">
      <c r="A2180" s="1">
        <f t="shared" ca="1" si="77"/>
        <v>2178</v>
      </c>
      <c r="B2180" s="1" t="s">
        <v>2803</v>
      </c>
      <c r="C2180" s="82" t="s">
        <v>7360</v>
      </c>
      <c r="G2180" s="7"/>
      <c r="I2180" s="4" t="s">
        <v>6173</v>
      </c>
    </row>
    <row r="2181" spans="1:9" x14ac:dyDescent="0.2">
      <c r="A2181" s="1">
        <f t="shared" ca="1" si="77"/>
        <v>2179</v>
      </c>
      <c r="B2181" s="1" t="s">
        <v>2804</v>
      </c>
      <c r="C2181" s="90" t="s">
        <v>2805</v>
      </c>
      <c r="G2181" s="7"/>
      <c r="I2181" s="4" t="s">
        <v>6174</v>
      </c>
    </row>
    <row r="2182" spans="1:9" x14ac:dyDescent="0.2">
      <c r="A2182" s="1">
        <f t="shared" ca="1" si="77"/>
        <v>2180</v>
      </c>
      <c r="B2182" s="1" t="s">
        <v>2806</v>
      </c>
      <c r="C2182" s="82" t="s">
        <v>1946</v>
      </c>
      <c r="G2182" s="7"/>
      <c r="I2182" s="4" t="s">
        <v>6175</v>
      </c>
    </row>
    <row r="2183" spans="1:9" x14ac:dyDescent="0.2">
      <c r="A2183" s="1">
        <f t="shared" ca="1" si="77"/>
        <v>2181</v>
      </c>
      <c r="B2183" s="1" t="s">
        <v>7662</v>
      </c>
      <c r="C2183" s="90" t="s">
        <v>8037</v>
      </c>
      <c r="G2183" s="7"/>
      <c r="I2183" s="4" t="s">
        <v>6176</v>
      </c>
    </row>
    <row r="2184" spans="1:9" x14ac:dyDescent="0.2">
      <c r="A2184" s="1">
        <f t="shared" ca="1" si="77"/>
        <v>2182</v>
      </c>
      <c r="B2184" s="1" t="s">
        <v>7663</v>
      </c>
      <c r="C2184" s="90" t="s">
        <v>5273</v>
      </c>
      <c r="G2184" s="7"/>
      <c r="I2184" s="4" t="s">
        <v>6177</v>
      </c>
    </row>
    <row r="2185" spans="1:9" ht="38.25" x14ac:dyDescent="0.2">
      <c r="A2185" s="1">
        <f t="shared" ca="1" si="77"/>
        <v>2183</v>
      </c>
      <c r="B2185" s="1" t="s">
        <v>1295</v>
      </c>
      <c r="C2185" s="90" t="s">
        <v>4151</v>
      </c>
      <c r="G2185" s="7"/>
      <c r="I2185" s="4" t="s">
        <v>6178</v>
      </c>
    </row>
    <row r="2186" spans="1:9" x14ac:dyDescent="0.2">
      <c r="A2186" s="1">
        <f t="shared" ca="1" si="77"/>
        <v>2184</v>
      </c>
      <c r="B2186" s="1" t="s">
        <v>1296</v>
      </c>
      <c r="C2186" s="90" t="s">
        <v>7359</v>
      </c>
      <c r="G2186" s="7"/>
      <c r="I2186" s="4" t="s">
        <v>6179</v>
      </c>
    </row>
    <row r="2187" spans="1:9" x14ac:dyDescent="0.2">
      <c r="A2187" s="1">
        <f t="shared" ca="1" si="77"/>
        <v>2185</v>
      </c>
      <c r="B2187" s="1" t="s">
        <v>1297</v>
      </c>
      <c r="C2187" s="90" t="s">
        <v>7358</v>
      </c>
      <c r="G2187" s="7"/>
      <c r="I2187" s="4" t="s">
        <v>6180</v>
      </c>
    </row>
    <row r="2188" spans="1:9" x14ac:dyDescent="0.2">
      <c r="A2188" s="1">
        <f t="shared" ca="1" si="77"/>
        <v>2186</v>
      </c>
      <c r="B2188" s="1" t="s">
        <v>1298</v>
      </c>
      <c r="C2188" s="90" t="s">
        <v>7357</v>
      </c>
      <c r="G2188" s="7"/>
      <c r="I2188" s="4" t="s">
        <v>6181</v>
      </c>
    </row>
    <row r="2189" spans="1:9" x14ac:dyDescent="0.2">
      <c r="A2189" s="1">
        <f t="shared" ca="1" si="77"/>
        <v>2187</v>
      </c>
      <c r="B2189" s="1" t="s">
        <v>1299</v>
      </c>
      <c r="C2189" s="90" t="s">
        <v>7356</v>
      </c>
      <c r="G2189" s="7"/>
      <c r="I2189" s="4" t="s">
        <v>6182</v>
      </c>
    </row>
    <row r="2190" spans="1:9" x14ac:dyDescent="0.2">
      <c r="A2190" s="1">
        <f t="shared" ca="1" si="77"/>
        <v>2188</v>
      </c>
      <c r="B2190" s="1" t="s">
        <v>1300</v>
      </c>
      <c r="C2190" s="90" t="s">
        <v>7354</v>
      </c>
      <c r="G2190" s="7"/>
      <c r="I2190" s="4" t="s">
        <v>6183</v>
      </c>
    </row>
    <row r="2191" spans="1:9" x14ac:dyDescent="0.2">
      <c r="A2191" s="1">
        <f t="shared" ca="1" si="77"/>
        <v>2189</v>
      </c>
      <c r="B2191" s="1" t="s">
        <v>1301</v>
      </c>
      <c r="C2191" s="90" t="s">
        <v>7355</v>
      </c>
      <c r="G2191" s="7"/>
      <c r="I2191" s="4" t="s">
        <v>6184</v>
      </c>
    </row>
    <row r="2192" spans="1:9" x14ac:dyDescent="0.2">
      <c r="A2192" s="1">
        <f t="shared" ca="1" si="77"/>
        <v>2190</v>
      </c>
      <c r="B2192" s="1" t="s">
        <v>1302</v>
      </c>
      <c r="C2192" s="82" t="s">
        <v>7353</v>
      </c>
      <c r="G2192" s="7"/>
      <c r="I2192" s="4" t="s">
        <v>6185</v>
      </c>
    </row>
    <row r="2193" spans="1:9" x14ac:dyDescent="0.2">
      <c r="A2193" s="1">
        <f t="shared" ca="1" si="77"/>
        <v>2191</v>
      </c>
      <c r="B2193" s="1" t="s">
        <v>1303</v>
      </c>
      <c r="C2193" s="90" t="s">
        <v>7352</v>
      </c>
      <c r="G2193" s="7"/>
      <c r="I2193" s="4" t="s">
        <v>6186</v>
      </c>
    </row>
    <row r="2194" spans="1:9" ht="25.5" x14ac:dyDescent="0.2">
      <c r="A2194" s="1">
        <f t="shared" ref="A2194:A2262" ca="1" si="78">CELL("row",C2194)-2</f>
        <v>2192</v>
      </c>
      <c r="B2194" s="1" t="s">
        <v>1304</v>
      </c>
      <c r="C2194" s="90" t="s">
        <v>7351</v>
      </c>
      <c r="G2194" s="7"/>
      <c r="I2194" s="4" t="s">
        <v>6187</v>
      </c>
    </row>
    <row r="2195" spans="1:9" x14ac:dyDescent="0.2">
      <c r="A2195" s="1">
        <f t="shared" ca="1" si="78"/>
        <v>2193</v>
      </c>
      <c r="B2195" s="1" t="s">
        <v>1305</v>
      </c>
      <c r="C2195" s="90" t="s">
        <v>7350</v>
      </c>
      <c r="G2195" s="7"/>
      <c r="I2195" s="4" t="s">
        <v>6188</v>
      </c>
    </row>
    <row r="2196" spans="1:9" x14ac:dyDescent="0.2">
      <c r="A2196" s="1">
        <f t="shared" ca="1" si="78"/>
        <v>2194</v>
      </c>
      <c r="B2196" s="1" t="s">
        <v>1306</v>
      </c>
      <c r="C2196" s="90" t="s">
        <v>7349</v>
      </c>
      <c r="G2196" s="7"/>
      <c r="I2196" s="4" t="s">
        <v>6189</v>
      </c>
    </row>
    <row r="2197" spans="1:9" x14ac:dyDescent="0.2">
      <c r="A2197" s="1">
        <f t="shared" ca="1" si="78"/>
        <v>2195</v>
      </c>
      <c r="B2197" s="1" t="s">
        <v>1307</v>
      </c>
      <c r="C2197" s="90" t="s">
        <v>7348</v>
      </c>
      <c r="G2197" s="7"/>
      <c r="I2197" s="4" t="s">
        <v>6190</v>
      </c>
    </row>
    <row r="2198" spans="1:9" x14ac:dyDescent="0.2">
      <c r="A2198" s="1">
        <f t="shared" ca="1" si="78"/>
        <v>2196</v>
      </c>
      <c r="B2198" s="1" t="s">
        <v>1308</v>
      </c>
      <c r="C2198" s="90" t="s">
        <v>7347</v>
      </c>
      <c r="G2198" s="7"/>
      <c r="I2198" s="4" t="s">
        <v>6191</v>
      </c>
    </row>
    <row r="2199" spans="1:9" ht="25.5" x14ac:dyDescent="0.2">
      <c r="A2199" s="1">
        <f t="shared" ca="1" si="78"/>
        <v>2197</v>
      </c>
      <c r="B2199" s="1" t="s">
        <v>1309</v>
      </c>
      <c r="C2199" s="90" t="s">
        <v>7346</v>
      </c>
      <c r="G2199" s="7"/>
      <c r="I2199" s="4" t="s">
        <v>6192</v>
      </c>
    </row>
    <row r="2200" spans="1:9" ht="25.5" x14ac:dyDescent="0.2">
      <c r="A2200" s="1">
        <f t="shared" ca="1" si="78"/>
        <v>2198</v>
      </c>
      <c r="B2200" s="1" t="s">
        <v>1310</v>
      </c>
      <c r="C2200" s="90" t="s">
        <v>7345</v>
      </c>
      <c r="G2200" s="7"/>
      <c r="I2200" s="4" t="s">
        <v>980</v>
      </c>
    </row>
    <row r="2201" spans="1:9" x14ac:dyDescent="0.2">
      <c r="A2201" s="1">
        <f t="shared" ca="1" si="78"/>
        <v>2199</v>
      </c>
      <c r="B2201" s="1" t="s">
        <v>1311</v>
      </c>
      <c r="C2201" s="90" t="s">
        <v>7264</v>
      </c>
      <c r="G2201" s="7"/>
      <c r="I2201" s="4" t="s">
        <v>6193</v>
      </c>
    </row>
    <row r="2202" spans="1:9" x14ac:dyDescent="0.2">
      <c r="A2202" s="1">
        <f t="shared" ca="1" si="78"/>
        <v>2200</v>
      </c>
      <c r="B2202" s="1" t="s">
        <v>1312</v>
      </c>
      <c r="C2202" s="90" t="s">
        <v>7263</v>
      </c>
      <c r="G2202" s="7"/>
      <c r="I2202" s="4" t="s">
        <v>6194</v>
      </c>
    </row>
    <row r="2203" spans="1:9" x14ac:dyDescent="0.2">
      <c r="A2203" s="1">
        <f t="shared" ca="1" si="78"/>
        <v>2201</v>
      </c>
      <c r="B2203" s="1" t="s">
        <v>7577</v>
      </c>
      <c r="C2203" s="90" t="s">
        <v>7262</v>
      </c>
      <c r="G2203" s="7"/>
      <c r="I2203" s="4" t="s">
        <v>6195</v>
      </c>
    </row>
    <row r="2204" spans="1:9" x14ac:dyDescent="0.2">
      <c r="A2204" s="1">
        <f t="shared" ca="1" si="78"/>
        <v>2202</v>
      </c>
      <c r="B2204" s="1" t="s">
        <v>7578</v>
      </c>
      <c r="C2204" s="90" t="s">
        <v>7261</v>
      </c>
      <c r="G2204" s="7"/>
      <c r="I2204" s="4" t="s">
        <v>6196</v>
      </c>
    </row>
    <row r="2205" spans="1:9" x14ac:dyDescent="0.2">
      <c r="A2205" s="1">
        <f t="shared" ca="1" si="78"/>
        <v>2203</v>
      </c>
      <c r="B2205" s="1" t="s">
        <v>7579</v>
      </c>
      <c r="C2205" s="90" t="s">
        <v>7260</v>
      </c>
      <c r="G2205" s="7"/>
      <c r="I2205" s="4" t="s">
        <v>2760</v>
      </c>
    </row>
    <row r="2206" spans="1:9" x14ac:dyDescent="0.2">
      <c r="A2206" s="1">
        <f t="shared" ca="1" si="78"/>
        <v>2204</v>
      </c>
      <c r="B2206" s="1" t="s">
        <v>7580</v>
      </c>
      <c r="C2206" s="90" t="s">
        <v>8038</v>
      </c>
      <c r="G2206" s="7"/>
      <c r="I2206" s="4" t="s">
        <v>2761</v>
      </c>
    </row>
    <row r="2207" spans="1:9" x14ac:dyDescent="0.2">
      <c r="A2207" s="1">
        <f t="shared" ca="1" si="78"/>
        <v>2205</v>
      </c>
      <c r="B2207" s="1" t="s">
        <v>7581</v>
      </c>
      <c r="C2207" s="90" t="s">
        <v>7240</v>
      </c>
      <c r="G2207" s="7"/>
      <c r="I2207" s="4" t="s">
        <v>2762</v>
      </c>
    </row>
    <row r="2208" spans="1:9" ht="25.5" x14ac:dyDescent="0.2">
      <c r="A2208" s="1">
        <f t="shared" ca="1" si="78"/>
        <v>2206</v>
      </c>
      <c r="B2208" s="1" t="s">
        <v>7582</v>
      </c>
      <c r="C2208" s="90" t="s">
        <v>7239</v>
      </c>
      <c r="G2208" s="7"/>
      <c r="I2208" s="4" t="s">
        <v>2763</v>
      </c>
    </row>
    <row r="2209" spans="1:9" x14ac:dyDescent="0.2">
      <c r="A2209" s="1">
        <f t="shared" ca="1" si="78"/>
        <v>2207</v>
      </c>
      <c r="B2209" s="1" t="s">
        <v>7583</v>
      </c>
      <c r="C2209" s="90" t="s">
        <v>5204</v>
      </c>
      <c r="G2209" s="7"/>
      <c r="I2209" s="4" t="s">
        <v>2764</v>
      </c>
    </row>
    <row r="2210" spans="1:9" x14ac:dyDescent="0.2">
      <c r="A2210" s="1">
        <f t="shared" ca="1" si="78"/>
        <v>2208</v>
      </c>
      <c r="B2210" s="1" t="s">
        <v>7584</v>
      </c>
      <c r="C2210" s="90" t="s">
        <v>5203</v>
      </c>
      <c r="G2210" s="7"/>
      <c r="I2210" s="4" t="s">
        <v>2765</v>
      </c>
    </row>
    <row r="2211" spans="1:9" x14ac:dyDescent="0.2">
      <c r="A2211" s="1">
        <f t="shared" ca="1" si="78"/>
        <v>2209</v>
      </c>
      <c r="B2211" s="1" t="s">
        <v>7585</v>
      </c>
      <c r="C2211" s="90" t="s">
        <v>5202</v>
      </c>
      <c r="G2211" s="7"/>
      <c r="I2211" s="4" t="s">
        <v>2766</v>
      </c>
    </row>
    <row r="2212" spans="1:9" x14ac:dyDescent="0.2">
      <c r="A2212" s="1">
        <f t="shared" ca="1" si="78"/>
        <v>2210</v>
      </c>
      <c r="B2212" s="1" t="s">
        <v>7591</v>
      </c>
      <c r="C2212" s="90" t="s">
        <v>2897</v>
      </c>
      <c r="G2212" s="7"/>
      <c r="I2212" s="4" t="s">
        <v>2767</v>
      </c>
    </row>
    <row r="2213" spans="1:9" ht="25.5" x14ac:dyDescent="0.2">
      <c r="A2213" s="1">
        <f t="shared" ca="1" si="78"/>
        <v>2211</v>
      </c>
      <c r="B2213" s="1" t="s">
        <v>7592</v>
      </c>
      <c r="C2213" s="90" t="s">
        <v>2896</v>
      </c>
      <c r="G2213" s="7"/>
      <c r="I2213" s="4" t="s">
        <v>2768</v>
      </c>
    </row>
    <row r="2214" spans="1:9" x14ac:dyDescent="0.2">
      <c r="A2214" s="1">
        <f t="shared" ref="A2214" ca="1" si="79">CELL("row",C2214)-2</f>
        <v>2212</v>
      </c>
      <c r="B2214" s="1" t="s">
        <v>8937</v>
      </c>
      <c r="C2214" s="146" t="s">
        <v>8938</v>
      </c>
      <c r="G2214" s="7"/>
      <c r="I2214" s="4" t="s">
        <v>2769</v>
      </c>
    </row>
    <row r="2215" spans="1:9" x14ac:dyDescent="0.2">
      <c r="A2215" s="1">
        <f t="shared" ca="1" si="78"/>
        <v>2213</v>
      </c>
      <c r="B2215" s="1" t="s">
        <v>7593</v>
      </c>
      <c r="C2215" s="90" t="s">
        <v>8039</v>
      </c>
      <c r="G2215" s="7"/>
      <c r="I2215" s="4" t="s">
        <v>2769</v>
      </c>
    </row>
    <row r="2216" spans="1:9" x14ac:dyDescent="0.2">
      <c r="A2216" s="1">
        <f t="shared" ca="1" si="78"/>
        <v>2214</v>
      </c>
      <c r="B2216" s="1" t="s">
        <v>7594</v>
      </c>
      <c r="C2216" s="90" t="s">
        <v>2895</v>
      </c>
      <c r="G2216" s="7"/>
      <c r="I2216" s="4" t="s">
        <v>2770</v>
      </c>
    </row>
    <row r="2217" spans="1:9" x14ac:dyDescent="0.2">
      <c r="A2217" s="1">
        <f ca="1">CELL("row",C2217)-2</f>
        <v>2215</v>
      </c>
      <c r="B2217" s="73" t="s">
        <v>1363</v>
      </c>
      <c r="G2217" s="7"/>
    </row>
    <row r="2218" spans="1:9" x14ac:dyDescent="0.2">
      <c r="A2218" s="1">
        <f ca="1">CELL("row",C2218)-2</f>
        <v>2216</v>
      </c>
      <c r="B2218" s="1" t="s">
        <v>545</v>
      </c>
      <c r="C2218" s="82" t="s">
        <v>546</v>
      </c>
      <c r="G2218" s="7"/>
      <c r="I2218" s="4" t="s">
        <v>2771</v>
      </c>
    </row>
    <row r="2219" spans="1:9" x14ac:dyDescent="0.2">
      <c r="A2219" s="1">
        <f t="shared" ca="1" si="78"/>
        <v>2217</v>
      </c>
      <c r="B2219" s="73" t="s">
        <v>7595</v>
      </c>
      <c r="G2219" s="7"/>
    </row>
    <row r="2220" spans="1:9" ht="25.5" x14ac:dyDescent="0.2">
      <c r="A2220" s="1">
        <f t="shared" ca="1" si="78"/>
        <v>2218</v>
      </c>
      <c r="B2220" s="1" t="s">
        <v>7596</v>
      </c>
      <c r="C2220" s="82" t="s">
        <v>6587</v>
      </c>
      <c r="G2220" s="7"/>
      <c r="I2220" s="4" t="s">
        <v>2772</v>
      </c>
    </row>
    <row r="2221" spans="1:9" x14ac:dyDescent="0.2">
      <c r="A2221" s="1">
        <f t="shared" ca="1" si="78"/>
        <v>2219</v>
      </c>
      <c r="B2221" s="1" t="s">
        <v>759</v>
      </c>
      <c r="C2221" s="82" t="s">
        <v>6588</v>
      </c>
      <c r="G2221" s="7"/>
      <c r="I2221" s="4" t="s">
        <v>2773</v>
      </c>
    </row>
    <row r="2222" spans="1:9" ht="25.5" x14ac:dyDescent="0.2">
      <c r="A2222" s="1">
        <f t="shared" ca="1" si="78"/>
        <v>2220</v>
      </c>
      <c r="B2222" s="1" t="s">
        <v>759</v>
      </c>
      <c r="C2222" s="82" t="s">
        <v>2891</v>
      </c>
      <c r="G2222" s="7"/>
      <c r="I2222" s="4" t="s">
        <v>2774</v>
      </c>
    </row>
    <row r="2223" spans="1:9" x14ac:dyDescent="0.2">
      <c r="A2223" s="1">
        <f t="shared" ca="1" si="78"/>
        <v>2221</v>
      </c>
      <c r="B2223" s="1" t="s">
        <v>2464</v>
      </c>
      <c r="C2223" s="82" t="s">
        <v>2892</v>
      </c>
      <c r="G2223" s="7"/>
      <c r="I2223" s="4" t="s">
        <v>453</v>
      </c>
    </row>
    <row r="2224" spans="1:9" ht="25.5" x14ac:dyDescent="0.2">
      <c r="A2224" s="1">
        <f t="shared" ca="1" si="78"/>
        <v>2222</v>
      </c>
      <c r="B2224" s="1" t="s">
        <v>760</v>
      </c>
      <c r="C2224" s="82" t="s">
        <v>2893</v>
      </c>
      <c r="G2224" s="7"/>
      <c r="I2224" s="4" t="s">
        <v>454</v>
      </c>
    </row>
    <row r="2225" spans="1:9" ht="25.5" x14ac:dyDescent="0.2">
      <c r="A2225" s="1">
        <f t="shared" ca="1" si="78"/>
        <v>2223</v>
      </c>
      <c r="B2225" s="1" t="s">
        <v>761</v>
      </c>
      <c r="C2225" s="82" t="s">
        <v>2894</v>
      </c>
      <c r="G2225" s="7"/>
      <c r="I2225" s="4" t="s">
        <v>455</v>
      </c>
    </row>
    <row r="2226" spans="1:9" x14ac:dyDescent="0.2">
      <c r="A2226" s="1">
        <f t="shared" ca="1" si="78"/>
        <v>2224</v>
      </c>
      <c r="B2226" s="1" t="s">
        <v>2199</v>
      </c>
      <c r="C2226" s="82" t="s">
        <v>6586</v>
      </c>
      <c r="G2226" s="7"/>
      <c r="I2226" s="4" t="s">
        <v>456</v>
      </c>
    </row>
    <row r="2227" spans="1:9" x14ac:dyDescent="0.2">
      <c r="A2227" s="1">
        <f t="shared" ca="1" si="78"/>
        <v>2225</v>
      </c>
      <c r="B2227" s="1" t="s">
        <v>8560</v>
      </c>
      <c r="C2227" s="145" t="s">
        <v>8559</v>
      </c>
      <c r="G2227" s="7"/>
    </row>
    <row r="2228" spans="1:9" ht="38.25" x14ac:dyDescent="0.2">
      <c r="A2228" s="1">
        <f t="shared" ca="1" si="78"/>
        <v>2226</v>
      </c>
      <c r="B2228" s="1" t="s">
        <v>2200</v>
      </c>
      <c r="C2228" s="82" t="s">
        <v>2201</v>
      </c>
      <c r="G2228" s="7"/>
      <c r="I2228" s="4" t="s">
        <v>457</v>
      </c>
    </row>
    <row r="2229" spans="1:9" ht="38.25" x14ac:dyDescent="0.2">
      <c r="A2229" s="1">
        <f t="shared" ca="1" si="78"/>
        <v>2227</v>
      </c>
      <c r="B2229" s="1" t="s">
        <v>7241</v>
      </c>
      <c r="C2229" s="82" t="s">
        <v>6585</v>
      </c>
      <c r="G2229" s="7"/>
      <c r="I2229" s="4" t="s">
        <v>458</v>
      </c>
    </row>
    <row r="2230" spans="1:9" ht="25.5" x14ac:dyDescent="0.2">
      <c r="A2230" s="1">
        <f t="shared" ca="1" si="78"/>
        <v>2228</v>
      </c>
      <c r="B2230" s="1" t="s">
        <v>5427</v>
      </c>
      <c r="C2230" s="82" t="s">
        <v>1870</v>
      </c>
      <c r="G2230" s="7"/>
      <c r="I2230" s="4" t="s">
        <v>459</v>
      </c>
    </row>
    <row r="2231" spans="1:9" ht="38.25" x14ac:dyDescent="0.2">
      <c r="A2231" s="1">
        <f t="shared" ca="1" si="78"/>
        <v>2229</v>
      </c>
      <c r="B2231" s="1" t="s">
        <v>1871</v>
      </c>
      <c r="C2231" s="82" t="s">
        <v>4073</v>
      </c>
      <c r="G2231" s="7"/>
      <c r="I2231" s="4" t="s">
        <v>460</v>
      </c>
    </row>
    <row r="2232" spans="1:9" ht="51" x14ac:dyDescent="0.2">
      <c r="A2232" s="1">
        <f t="shared" ca="1" si="78"/>
        <v>2230</v>
      </c>
      <c r="B2232" s="1" t="s">
        <v>4074</v>
      </c>
      <c r="C2232" s="82" t="s">
        <v>4075</v>
      </c>
      <c r="G2232" s="7"/>
      <c r="I2232" s="4" t="s">
        <v>461</v>
      </c>
    </row>
    <row r="2233" spans="1:9" ht="38.25" x14ac:dyDescent="0.2">
      <c r="A2233" s="1">
        <f t="shared" ca="1" si="78"/>
        <v>2231</v>
      </c>
      <c r="B2233" s="1" t="s">
        <v>4076</v>
      </c>
      <c r="C2233" s="82" t="s">
        <v>4077</v>
      </c>
      <c r="G2233" s="7"/>
      <c r="I2233" s="4" t="s">
        <v>462</v>
      </c>
    </row>
    <row r="2234" spans="1:9" ht="38.25" x14ac:dyDescent="0.2">
      <c r="A2234" s="1">
        <f t="shared" ca="1" si="78"/>
        <v>2232</v>
      </c>
      <c r="B2234" s="1" t="s">
        <v>4078</v>
      </c>
      <c r="C2234" s="82" t="s">
        <v>1933</v>
      </c>
      <c r="G2234" s="7"/>
      <c r="I2234" s="82" t="s">
        <v>463</v>
      </c>
    </row>
    <row r="2235" spans="1:9" ht="38.25" x14ac:dyDescent="0.2">
      <c r="A2235" s="1">
        <f t="shared" ca="1" si="78"/>
        <v>2233</v>
      </c>
      <c r="B2235" s="1" t="s">
        <v>1934</v>
      </c>
      <c r="C2235" s="82" t="s">
        <v>2676</v>
      </c>
      <c r="G2235" s="7"/>
      <c r="I2235" s="4" t="s">
        <v>464</v>
      </c>
    </row>
    <row r="2236" spans="1:9" ht="25.5" x14ac:dyDescent="0.2">
      <c r="A2236" s="1">
        <f t="shared" ref="A2236" ca="1" si="80">CELL("row",C2236)-2</f>
        <v>2234</v>
      </c>
      <c r="B2236" s="1" t="s">
        <v>8562</v>
      </c>
      <c r="C2236" s="145" t="s">
        <v>8561</v>
      </c>
      <c r="G2236" s="7"/>
    </row>
    <row r="2237" spans="1:9" ht="25.5" x14ac:dyDescent="0.2">
      <c r="A2237" s="1">
        <f t="shared" ca="1" si="78"/>
        <v>2235</v>
      </c>
      <c r="B2237" s="1" t="s">
        <v>231</v>
      </c>
      <c r="C2237" s="82" t="s">
        <v>6584</v>
      </c>
      <c r="G2237" s="7"/>
      <c r="I2237" s="4" t="s">
        <v>465</v>
      </c>
    </row>
    <row r="2238" spans="1:9" x14ac:dyDescent="0.2">
      <c r="A2238" s="1">
        <f t="shared" ca="1" si="78"/>
        <v>2236</v>
      </c>
      <c r="B2238" s="1" t="s">
        <v>232</v>
      </c>
      <c r="C2238" s="82" t="s">
        <v>6583</v>
      </c>
      <c r="G2238" s="7"/>
      <c r="I2238" s="4" t="s">
        <v>466</v>
      </c>
    </row>
    <row r="2239" spans="1:9" ht="25.5" x14ac:dyDescent="0.2">
      <c r="A2239" s="1">
        <f t="shared" ca="1" si="78"/>
        <v>2237</v>
      </c>
      <c r="B2239" s="1" t="s">
        <v>2463</v>
      </c>
      <c r="C2239" s="82" t="s">
        <v>6582</v>
      </c>
      <c r="G2239" s="7"/>
      <c r="I2239" s="4" t="s">
        <v>467</v>
      </c>
    </row>
    <row r="2240" spans="1:9" x14ac:dyDescent="0.2">
      <c r="A2240" s="1">
        <f t="shared" ca="1" si="78"/>
        <v>2238</v>
      </c>
      <c r="B2240" s="73" t="s">
        <v>7781</v>
      </c>
      <c r="G2240" s="7"/>
    </row>
    <row r="2241" spans="1:9" x14ac:dyDescent="0.2">
      <c r="A2241" s="1">
        <f t="shared" ca="1" si="78"/>
        <v>2239</v>
      </c>
      <c r="B2241" s="1" t="s">
        <v>5494</v>
      </c>
      <c r="C2241" s="90" t="s">
        <v>7782</v>
      </c>
      <c r="G2241" s="7"/>
      <c r="I2241" s="4" t="s">
        <v>468</v>
      </c>
    </row>
    <row r="2242" spans="1:9" x14ac:dyDescent="0.2">
      <c r="A2242" s="1">
        <f t="shared" ca="1" si="78"/>
        <v>2240</v>
      </c>
      <c r="B2242" s="1" t="s">
        <v>5495</v>
      </c>
      <c r="C2242" s="90" t="s">
        <v>7783</v>
      </c>
      <c r="G2242" s="7"/>
      <c r="I2242" s="4" t="s">
        <v>6165</v>
      </c>
    </row>
    <row r="2243" spans="1:9" x14ac:dyDescent="0.2">
      <c r="A2243" s="1">
        <f t="shared" ca="1" si="78"/>
        <v>2241</v>
      </c>
      <c r="B2243" s="1" t="s">
        <v>5496</v>
      </c>
      <c r="C2243" s="90" t="s">
        <v>7784</v>
      </c>
      <c r="G2243" s="7"/>
      <c r="I2243" s="4" t="s">
        <v>469</v>
      </c>
    </row>
    <row r="2244" spans="1:9" x14ac:dyDescent="0.2">
      <c r="A2244" s="1">
        <f t="shared" ca="1" si="78"/>
        <v>2242</v>
      </c>
      <c r="B2244" s="1" t="s">
        <v>5497</v>
      </c>
      <c r="C2244" s="90" t="s">
        <v>7785</v>
      </c>
      <c r="G2244" s="7"/>
      <c r="I2244" s="4" t="s">
        <v>470</v>
      </c>
    </row>
    <row r="2245" spans="1:9" ht="25.5" x14ac:dyDescent="0.2">
      <c r="A2245" s="1">
        <f t="shared" ca="1" si="78"/>
        <v>2243</v>
      </c>
      <c r="B2245" s="1" t="s">
        <v>5498</v>
      </c>
      <c r="C2245" s="90" t="s">
        <v>2686</v>
      </c>
      <c r="G2245" s="7"/>
      <c r="I2245" s="4" t="s">
        <v>471</v>
      </c>
    </row>
    <row r="2246" spans="1:9" x14ac:dyDescent="0.2">
      <c r="A2246" s="1">
        <f t="shared" ca="1" si="78"/>
        <v>2244</v>
      </c>
      <c r="B2246" s="1" t="s">
        <v>2687</v>
      </c>
      <c r="C2246" s="90" t="s">
        <v>2688</v>
      </c>
      <c r="G2246" s="7"/>
      <c r="I2246" s="4" t="s">
        <v>472</v>
      </c>
    </row>
    <row r="2247" spans="1:9" ht="25.5" x14ac:dyDescent="0.2">
      <c r="A2247" s="1">
        <f t="shared" ca="1" si="78"/>
        <v>2245</v>
      </c>
      <c r="B2247" s="1" t="s">
        <v>4202</v>
      </c>
      <c r="C2247" s="90" t="s">
        <v>7786</v>
      </c>
      <c r="G2247" s="7"/>
      <c r="I2247" s="4" t="s">
        <v>473</v>
      </c>
    </row>
    <row r="2248" spans="1:9" x14ac:dyDescent="0.2">
      <c r="A2248" s="1">
        <f t="shared" ca="1" si="78"/>
        <v>2246</v>
      </c>
      <c r="B2248" s="1" t="s">
        <v>4203</v>
      </c>
      <c r="C2248" s="90" t="s">
        <v>7339</v>
      </c>
      <c r="G2248" s="7"/>
      <c r="I2248" s="4" t="s">
        <v>474</v>
      </c>
    </row>
    <row r="2249" spans="1:9" x14ac:dyDescent="0.2">
      <c r="A2249" s="1">
        <f t="shared" ca="1" si="78"/>
        <v>2247</v>
      </c>
      <c r="B2249" s="1" t="s">
        <v>7338</v>
      </c>
      <c r="C2249" s="90" t="s">
        <v>6578</v>
      </c>
      <c r="G2249" s="7"/>
      <c r="I2249" s="4" t="s">
        <v>475</v>
      </c>
    </row>
    <row r="2250" spans="1:9" x14ac:dyDescent="0.2">
      <c r="A2250" s="1">
        <f t="shared" ca="1" si="78"/>
        <v>2248</v>
      </c>
      <c r="B2250" s="1" t="s">
        <v>6827</v>
      </c>
      <c r="C2250" s="90" t="s">
        <v>7787</v>
      </c>
      <c r="G2250" s="7"/>
      <c r="I2250" s="4" t="s">
        <v>6164</v>
      </c>
    </row>
    <row r="2251" spans="1:9" x14ac:dyDescent="0.2">
      <c r="A2251" s="1">
        <f t="shared" ca="1" si="78"/>
        <v>2249</v>
      </c>
      <c r="B2251" s="1" t="s">
        <v>2689</v>
      </c>
      <c r="C2251" s="90" t="s">
        <v>5493</v>
      </c>
      <c r="G2251" s="7"/>
      <c r="I2251" s="4" t="s">
        <v>476</v>
      </c>
    </row>
    <row r="2252" spans="1:9" x14ac:dyDescent="0.2">
      <c r="A2252" s="1">
        <f t="shared" ca="1" si="78"/>
        <v>2250</v>
      </c>
      <c r="B2252" s="1" t="s">
        <v>7814</v>
      </c>
      <c r="C2252" s="90" t="s">
        <v>7814</v>
      </c>
      <c r="G2252" s="7"/>
      <c r="I2252" s="4" t="s">
        <v>477</v>
      </c>
    </row>
    <row r="2253" spans="1:9" x14ac:dyDescent="0.2">
      <c r="A2253" s="1">
        <f t="shared" ca="1" si="78"/>
        <v>2251</v>
      </c>
      <c r="B2253" s="1" t="s">
        <v>2690</v>
      </c>
      <c r="C2253" s="90" t="s">
        <v>6576</v>
      </c>
      <c r="G2253" s="7"/>
      <c r="I2253" s="4" t="s">
        <v>478</v>
      </c>
    </row>
    <row r="2254" spans="1:9" x14ac:dyDescent="0.2">
      <c r="A2254" s="1">
        <f t="shared" ca="1" si="78"/>
        <v>2252</v>
      </c>
      <c r="B2254" s="1" t="s">
        <v>2691</v>
      </c>
      <c r="C2254" s="90" t="s">
        <v>6577</v>
      </c>
      <c r="G2254" s="7"/>
      <c r="I2254" s="4" t="s">
        <v>479</v>
      </c>
    </row>
    <row r="2255" spans="1:9" x14ac:dyDescent="0.2">
      <c r="A2255" s="1">
        <f t="shared" ca="1" si="78"/>
        <v>2253</v>
      </c>
      <c r="B2255" s="1" t="s">
        <v>4661</v>
      </c>
      <c r="C2255" s="90" t="s">
        <v>4660</v>
      </c>
      <c r="G2255" s="7"/>
      <c r="I2255" s="4" t="s">
        <v>480</v>
      </c>
    </row>
    <row r="2256" spans="1:9" x14ac:dyDescent="0.2">
      <c r="A2256" s="1">
        <f t="shared" ca="1" si="78"/>
        <v>2254</v>
      </c>
      <c r="B2256" s="1" t="s">
        <v>4662</v>
      </c>
      <c r="C2256" s="90" t="s">
        <v>4664</v>
      </c>
      <c r="G2256" s="7"/>
      <c r="I2256" s="4" t="s">
        <v>481</v>
      </c>
    </row>
    <row r="2257" spans="1:17" x14ac:dyDescent="0.2">
      <c r="A2257" s="1">
        <f t="shared" ca="1" si="78"/>
        <v>2255</v>
      </c>
      <c r="B2257" s="1" t="s">
        <v>8954</v>
      </c>
      <c r="C2257" s="90" t="s">
        <v>4663</v>
      </c>
      <c r="G2257" s="7"/>
      <c r="I2257" s="4" t="s">
        <v>482</v>
      </c>
    </row>
    <row r="2258" spans="1:17" x14ac:dyDescent="0.2">
      <c r="A2258" s="1">
        <f t="shared" ca="1" si="78"/>
        <v>2256</v>
      </c>
      <c r="B2258" s="1" t="s">
        <v>4665</v>
      </c>
      <c r="C2258" s="90" t="s">
        <v>4666</v>
      </c>
      <c r="G2258" s="7"/>
      <c r="I2258" s="4" t="s">
        <v>4934</v>
      </c>
    </row>
    <row r="2259" spans="1:17" x14ac:dyDescent="0.2">
      <c r="A2259" s="1">
        <f t="shared" ca="1" si="78"/>
        <v>2257</v>
      </c>
      <c r="B2259" s="1" t="s">
        <v>4667</v>
      </c>
      <c r="C2259" s="90" t="s">
        <v>4861</v>
      </c>
      <c r="G2259" s="7"/>
      <c r="I2259" s="4" t="s">
        <v>597</v>
      </c>
    </row>
    <row r="2260" spans="1:17" x14ac:dyDescent="0.2">
      <c r="A2260" s="1">
        <f t="shared" ca="1" si="78"/>
        <v>2258</v>
      </c>
      <c r="B2260" s="1" t="s">
        <v>7340</v>
      </c>
      <c r="C2260" s="90" t="s">
        <v>7341</v>
      </c>
      <c r="G2260" s="7"/>
      <c r="I2260" s="4" t="s">
        <v>4935</v>
      </c>
    </row>
    <row r="2261" spans="1:17" x14ac:dyDescent="0.2">
      <c r="A2261" s="1">
        <f t="shared" ca="1" si="78"/>
        <v>2259</v>
      </c>
      <c r="B2261" s="1" t="s">
        <v>1250</v>
      </c>
      <c r="C2261" s="90" t="s">
        <v>7342</v>
      </c>
      <c r="G2261" s="7"/>
      <c r="I2261" s="4" t="s">
        <v>6157</v>
      </c>
    </row>
    <row r="2262" spans="1:17" x14ac:dyDescent="0.2">
      <c r="A2262" s="1">
        <f t="shared" ca="1" si="78"/>
        <v>2260</v>
      </c>
      <c r="B2262" s="1" t="s">
        <v>3083</v>
      </c>
      <c r="C2262" s="90" t="s">
        <v>3084</v>
      </c>
      <c r="G2262" s="7"/>
      <c r="I2262" s="4" t="s">
        <v>4936</v>
      </c>
    </row>
    <row r="2263" spans="1:17" x14ac:dyDescent="0.2">
      <c r="A2263" s="1">
        <f t="shared" ref="A2263:A2325" ca="1" si="81">CELL("row",C2263)-2</f>
        <v>2261</v>
      </c>
      <c r="B2263" s="1" t="s">
        <v>8192</v>
      </c>
      <c r="C2263" s="82" t="s">
        <v>6575</v>
      </c>
      <c r="D2263" s="4"/>
      <c r="E2263" s="4"/>
      <c r="F2263" s="71"/>
      <c r="G2263" s="4"/>
      <c r="H2263" s="4"/>
      <c r="I2263" s="4" t="s">
        <v>4937</v>
      </c>
      <c r="J2263" s="6"/>
      <c r="K2263" s="6"/>
      <c r="L2263" s="6"/>
      <c r="M2263" s="6"/>
      <c r="N2263" s="6"/>
      <c r="O2263" s="6"/>
      <c r="P2263" s="6"/>
      <c r="Q2263" s="6"/>
    </row>
    <row r="2264" spans="1:17" x14ac:dyDescent="0.2">
      <c r="A2264" s="1">
        <f t="shared" ca="1" si="81"/>
        <v>2262</v>
      </c>
      <c r="B2264" s="1" t="s">
        <v>1592</v>
      </c>
      <c r="C2264" s="90" t="s">
        <v>1593</v>
      </c>
      <c r="G2264" s="7"/>
      <c r="I2264" s="4" t="s">
        <v>4938</v>
      </c>
    </row>
    <row r="2265" spans="1:17" x14ac:dyDescent="0.2">
      <c r="A2265" s="1">
        <f t="shared" ca="1" si="81"/>
        <v>2263</v>
      </c>
      <c r="B2265" s="1" t="s">
        <v>4589</v>
      </c>
      <c r="C2265" s="90" t="s">
        <v>4590</v>
      </c>
      <c r="G2265" s="7"/>
      <c r="I2265" s="4" t="s">
        <v>4939</v>
      </c>
    </row>
    <row r="2266" spans="1:17" ht="25.5" x14ac:dyDescent="0.2">
      <c r="A2266" s="1">
        <f t="shared" ca="1" si="81"/>
        <v>2264</v>
      </c>
      <c r="B2266" s="1" t="s">
        <v>4160</v>
      </c>
      <c r="C2266" s="90" t="s">
        <v>6574</v>
      </c>
      <c r="G2266" s="7"/>
      <c r="I2266" s="4" t="s">
        <v>4940</v>
      </c>
    </row>
    <row r="2267" spans="1:17" x14ac:dyDescent="0.2">
      <c r="A2267" s="1">
        <f t="shared" ca="1" si="81"/>
        <v>2265</v>
      </c>
      <c r="B2267" s="1" t="s">
        <v>4161</v>
      </c>
      <c r="C2267" s="90" t="s">
        <v>6573</v>
      </c>
      <c r="G2267" s="7"/>
      <c r="I2267" s="4" t="s">
        <v>4941</v>
      </c>
    </row>
    <row r="2268" spans="1:17" x14ac:dyDescent="0.2">
      <c r="A2268" s="1">
        <f t="shared" ca="1" si="81"/>
        <v>2266</v>
      </c>
      <c r="B2268" s="1" t="s">
        <v>4162</v>
      </c>
      <c r="C2268" s="90" t="s">
        <v>6572</v>
      </c>
      <c r="G2268" s="7"/>
      <c r="I2268" s="4" t="s">
        <v>4942</v>
      </c>
    </row>
    <row r="2269" spans="1:17" x14ac:dyDescent="0.2">
      <c r="A2269" s="1">
        <f t="shared" ca="1" si="81"/>
        <v>2267</v>
      </c>
      <c r="B2269" s="1" t="s">
        <v>4152</v>
      </c>
      <c r="C2269" s="90" t="s">
        <v>6571</v>
      </c>
      <c r="G2269" s="7"/>
      <c r="I2269" s="4" t="s">
        <v>4943</v>
      </c>
    </row>
    <row r="2270" spans="1:17" x14ac:dyDescent="0.2">
      <c r="A2270" s="1">
        <f t="shared" ca="1" si="81"/>
        <v>2268</v>
      </c>
      <c r="B2270" s="1" t="s">
        <v>6589</v>
      </c>
      <c r="C2270" s="90" t="s">
        <v>6581</v>
      </c>
      <c r="G2270" s="7"/>
      <c r="I2270" s="4" t="s">
        <v>4944</v>
      </c>
    </row>
    <row r="2271" spans="1:17" x14ac:dyDescent="0.2">
      <c r="A2271" s="1">
        <f t="shared" ca="1" si="81"/>
        <v>2269</v>
      </c>
      <c r="B2271" s="1" t="s">
        <v>6590</v>
      </c>
      <c r="C2271" s="90" t="s">
        <v>6579</v>
      </c>
      <c r="G2271" s="7"/>
      <c r="I2271" s="4" t="s">
        <v>4945</v>
      </c>
    </row>
    <row r="2272" spans="1:17" x14ac:dyDescent="0.2">
      <c r="A2272" s="1">
        <f t="shared" ca="1" si="81"/>
        <v>2270</v>
      </c>
      <c r="B2272" s="1" t="s">
        <v>6591</v>
      </c>
      <c r="C2272" s="90" t="s">
        <v>6580</v>
      </c>
      <c r="G2272" s="7"/>
      <c r="I2272" s="4" t="s">
        <v>4946</v>
      </c>
    </row>
    <row r="2273" spans="1:9" ht="25.5" x14ac:dyDescent="0.2">
      <c r="A2273" s="1">
        <f t="shared" ca="1" si="81"/>
        <v>2271</v>
      </c>
      <c r="B2273" s="1" t="s">
        <v>6592</v>
      </c>
      <c r="C2273" s="90" t="s">
        <v>6570</v>
      </c>
      <c r="G2273" s="7"/>
      <c r="I2273" s="4" t="s">
        <v>4947</v>
      </c>
    </row>
    <row r="2274" spans="1:9" x14ac:dyDescent="0.2">
      <c r="A2274" s="1">
        <f t="shared" ca="1" si="81"/>
        <v>2272</v>
      </c>
      <c r="B2274" s="1" t="s">
        <v>6593</v>
      </c>
      <c r="C2274" s="90" t="s">
        <v>6569</v>
      </c>
      <c r="G2274" s="7"/>
      <c r="I2274" s="4" t="s">
        <v>4948</v>
      </c>
    </row>
    <row r="2275" spans="1:9" x14ac:dyDescent="0.2">
      <c r="A2275" s="1">
        <f t="shared" ca="1" si="81"/>
        <v>2273</v>
      </c>
      <c r="B2275" s="1" t="s">
        <v>6288</v>
      </c>
      <c r="C2275" s="90" t="s">
        <v>6568</v>
      </c>
      <c r="G2275" s="7"/>
      <c r="I2275" s="4" t="s">
        <v>4949</v>
      </c>
    </row>
    <row r="2276" spans="1:9" x14ac:dyDescent="0.2">
      <c r="A2276" s="1">
        <f t="shared" ca="1" si="81"/>
        <v>2274</v>
      </c>
      <c r="B2276" s="73" t="s">
        <v>3918</v>
      </c>
      <c r="G2276" s="7"/>
    </row>
    <row r="2277" spans="1:9" x14ac:dyDescent="0.2">
      <c r="A2277" s="1">
        <f t="shared" ca="1" si="81"/>
        <v>2275</v>
      </c>
      <c r="B2277" s="1" t="s">
        <v>5508</v>
      </c>
      <c r="C2277" s="90" t="s">
        <v>5522</v>
      </c>
      <c r="G2277" s="7"/>
      <c r="I2277" s="4" t="s">
        <v>4950</v>
      </c>
    </row>
    <row r="2278" spans="1:9" x14ac:dyDescent="0.2">
      <c r="A2278" s="1">
        <f t="shared" ca="1" si="81"/>
        <v>2276</v>
      </c>
      <c r="B2278" s="1" t="s">
        <v>5509</v>
      </c>
      <c r="C2278" s="90" t="s">
        <v>5523</v>
      </c>
      <c r="G2278" s="7"/>
      <c r="I2278" s="4" t="s">
        <v>4951</v>
      </c>
    </row>
    <row r="2279" spans="1:9" x14ac:dyDescent="0.2">
      <c r="A2279" s="1">
        <f t="shared" ca="1" si="81"/>
        <v>2277</v>
      </c>
      <c r="B2279" s="1" t="s">
        <v>5510</v>
      </c>
      <c r="C2279" s="90" t="s">
        <v>5524</v>
      </c>
      <c r="G2279" s="7"/>
      <c r="I2279" s="4" t="s">
        <v>4952</v>
      </c>
    </row>
    <row r="2280" spans="1:9" x14ac:dyDescent="0.2">
      <c r="A2280" s="1">
        <f t="shared" ca="1" si="81"/>
        <v>2278</v>
      </c>
      <c r="B2280" s="1" t="s">
        <v>5511</v>
      </c>
      <c r="C2280" s="90" t="s">
        <v>5525</v>
      </c>
      <c r="G2280" s="7"/>
      <c r="I2280" s="4" t="s">
        <v>4953</v>
      </c>
    </row>
    <row r="2281" spans="1:9" x14ac:dyDescent="0.2">
      <c r="A2281" s="1">
        <f t="shared" ca="1" si="81"/>
        <v>2279</v>
      </c>
      <c r="B2281" s="1" t="s">
        <v>5512</v>
      </c>
      <c r="C2281" s="90" t="s">
        <v>2852</v>
      </c>
      <c r="G2281" s="7"/>
      <c r="I2281" s="4" t="s">
        <v>4954</v>
      </c>
    </row>
    <row r="2282" spans="1:9" x14ac:dyDescent="0.2">
      <c r="A2282" s="1">
        <f t="shared" ca="1" si="81"/>
        <v>2280</v>
      </c>
      <c r="B2282" s="1" t="s">
        <v>5513</v>
      </c>
      <c r="C2282" s="90" t="s">
        <v>4285</v>
      </c>
      <c r="G2282" s="7"/>
      <c r="I2282" s="4" t="s">
        <v>4955</v>
      </c>
    </row>
    <row r="2283" spans="1:9" x14ac:dyDescent="0.2">
      <c r="A2283" s="1">
        <f t="shared" ca="1" si="81"/>
        <v>2281</v>
      </c>
      <c r="B2283" s="1" t="s">
        <v>5514</v>
      </c>
      <c r="C2283" s="90" t="s">
        <v>4286</v>
      </c>
      <c r="G2283" s="7"/>
      <c r="I2283" s="4" t="s">
        <v>4956</v>
      </c>
    </row>
    <row r="2284" spans="1:9" ht="27.75" customHeight="1" x14ac:dyDescent="0.2">
      <c r="A2284" s="1">
        <f t="shared" ca="1" si="81"/>
        <v>2282</v>
      </c>
      <c r="B2284" s="1" t="s">
        <v>5515</v>
      </c>
      <c r="C2284" s="90" t="s">
        <v>4287</v>
      </c>
      <c r="G2284" s="7"/>
      <c r="I2284" s="4" t="s">
        <v>4957</v>
      </c>
    </row>
    <row r="2285" spans="1:9" x14ac:dyDescent="0.2">
      <c r="A2285" s="1">
        <f t="shared" ca="1" si="81"/>
        <v>2283</v>
      </c>
      <c r="B2285" s="1" t="s">
        <v>5516</v>
      </c>
      <c r="C2285" s="90" t="s">
        <v>4288</v>
      </c>
      <c r="G2285" s="7"/>
      <c r="I2285" s="4" t="s">
        <v>4958</v>
      </c>
    </row>
    <row r="2286" spans="1:9" x14ac:dyDescent="0.2">
      <c r="A2286" s="1">
        <f t="shared" ca="1" si="81"/>
        <v>2284</v>
      </c>
      <c r="B2286" s="1" t="s">
        <v>5517</v>
      </c>
      <c r="C2286" s="90" t="s">
        <v>4289</v>
      </c>
      <c r="G2286" s="7"/>
      <c r="I2286" s="4" t="s">
        <v>4959</v>
      </c>
    </row>
    <row r="2287" spans="1:9" x14ac:dyDescent="0.2">
      <c r="A2287" s="1">
        <f t="shared" ca="1" si="81"/>
        <v>2285</v>
      </c>
      <c r="B2287" s="1" t="s">
        <v>6218</v>
      </c>
      <c r="C2287" s="90" t="s">
        <v>4290</v>
      </c>
      <c r="G2287" s="7"/>
      <c r="I2287" s="4" t="s">
        <v>4960</v>
      </c>
    </row>
    <row r="2288" spans="1:9" x14ac:dyDescent="0.2">
      <c r="A2288" s="1">
        <f t="shared" ca="1" si="81"/>
        <v>2286</v>
      </c>
      <c r="B2288" s="1" t="s">
        <v>6361</v>
      </c>
      <c r="C2288" s="90" t="s">
        <v>4291</v>
      </c>
      <c r="G2288" s="7"/>
      <c r="I2288" s="4" t="s">
        <v>4961</v>
      </c>
    </row>
    <row r="2289" spans="1:9" x14ac:dyDescent="0.2">
      <c r="A2289" s="1">
        <f t="shared" ca="1" si="81"/>
        <v>2287</v>
      </c>
      <c r="B2289" s="1" t="s">
        <v>5518</v>
      </c>
      <c r="C2289" s="90" t="s">
        <v>6227</v>
      </c>
      <c r="G2289" s="7"/>
      <c r="I2289" s="4" t="s">
        <v>4962</v>
      </c>
    </row>
    <row r="2290" spans="1:9" ht="25.5" x14ac:dyDescent="0.2">
      <c r="A2290" s="1">
        <f t="shared" ca="1" si="81"/>
        <v>2288</v>
      </c>
      <c r="B2290" s="1" t="s">
        <v>5519</v>
      </c>
      <c r="C2290" s="90" t="s">
        <v>6226</v>
      </c>
      <c r="G2290" s="7"/>
      <c r="I2290" s="4" t="s">
        <v>4963</v>
      </c>
    </row>
    <row r="2291" spans="1:9" ht="25.5" customHeight="1" x14ac:dyDescent="0.2">
      <c r="A2291" s="1">
        <f t="shared" ca="1" si="81"/>
        <v>2289</v>
      </c>
      <c r="B2291" s="1" t="s">
        <v>5520</v>
      </c>
      <c r="C2291" s="90" t="s">
        <v>4292</v>
      </c>
      <c r="G2291" s="7"/>
      <c r="I2291" s="4" t="s">
        <v>4962</v>
      </c>
    </row>
    <row r="2292" spans="1:9" x14ac:dyDescent="0.2">
      <c r="A2292" s="1">
        <f t="shared" ca="1" si="81"/>
        <v>2290</v>
      </c>
      <c r="B2292" s="1" t="s">
        <v>5521</v>
      </c>
      <c r="C2292" s="90" t="s">
        <v>4668</v>
      </c>
      <c r="G2292" s="7"/>
      <c r="I2292" s="4" t="s">
        <v>4964</v>
      </c>
    </row>
    <row r="2293" spans="1:9" ht="25.5" x14ac:dyDescent="0.2">
      <c r="A2293" s="1">
        <f t="shared" ca="1" si="81"/>
        <v>2291</v>
      </c>
      <c r="B2293" s="1" t="s">
        <v>7797</v>
      </c>
      <c r="C2293" s="90" t="s">
        <v>7798</v>
      </c>
      <c r="G2293" s="7"/>
      <c r="I2293" s="4" t="s">
        <v>4965</v>
      </c>
    </row>
    <row r="2294" spans="1:9" ht="25.5" x14ac:dyDescent="0.2">
      <c r="A2294" s="1">
        <f t="shared" ca="1" si="81"/>
        <v>2292</v>
      </c>
      <c r="B2294" s="1" t="s">
        <v>5324</v>
      </c>
      <c r="C2294" s="90" t="s">
        <v>5325</v>
      </c>
      <c r="G2294" s="7"/>
      <c r="I2294" s="4" t="s">
        <v>4966</v>
      </c>
    </row>
    <row r="2295" spans="1:9" x14ac:dyDescent="0.2">
      <c r="A2295" s="1">
        <f t="shared" ca="1" si="81"/>
        <v>2293</v>
      </c>
      <c r="B2295" s="73" t="s">
        <v>4518</v>
      </c>
      <c r="G2295" s="7"/>
    </row>
    <row r="2296" spans="1:9" x14ac:dyDescent="0.2">
      <c r="A2296" s="1">
        <f t="shared" ca="1" si="81"/>
        <v>2294</v>
      </c>
      <c r="B2296" s="1" t="s">
        <v>4519</v>
      </c>
      <c r="C2296" s="90" t="s">
        <v>6906</v>
      </c>
      <c r="G2296" s="7"/>
      <c r="I2296" s="4" t="s">
        <v>4967</v>
      </c>
    </row>
    <row r="2297" spans="1:9" x14ac:dyDescent="0.2">
      <c r="A2297" s="1">
        <f t="shared" ca="1" si="81"/>
        <v>2295</v>
      </c>
      <c r="B2297" s="1" t="s">
        <v>6902</v>
      </c>
      <c r="C2297" s="90" t="s">
        <v>6905</v>
      </c>
      <c r="G2297" s="7"/>
      <c r="I2297" s="4" t="s">
        <v>4968</v>
      </c>
    </row>
    <row r="2298" spans="1:9" x14ac:dyDescent="0.2">
      <c r="A2298" s="1">
        <f t="shared" ca="1" si="81"/>
        <v>2296</v>
      </c>
      <c r="B2298" s="1" t="s">
        <v>6903</v>
      </c>
      <c r="C2298" s="90" t="s">
        <v>6907</v>
      </c>
      <c r="G2298" s="7"/>
      <c r="I2298" s="4" t="s">
        <v>4969</v>
      </c>
    </row>
    <row r="2299" spans="1:9" x14ac:dyDescent="0.2">
      <c r="A2299" s="1">
        <f t="shared" ca="1" si="81"/>
        <v>2297</v>
      </c>
      <c r="B2299" s="1" t="s">
        <v>6904</v>
      </c>
      <c r="C2299" s="90" t="s">
        <v>6908</v>
      </c>
      <c r="G2299" s="7"/>
      <c r="I2299" s="4" t="s">
        <v>4970</v>
      </c>
    </row>
    <row r="2300" spans="1:9" x14ac:dyDescent="0.2">
      <c r="A2300" s="1">
        <f t="shared" ca="1" si="81"/>
        <v>2298</v>
      </c>
      <c r="B2300" s="73" t="s">
        <v>6035</v>
      </c>
      <c r="G2300" s="7"/>
    </row>
    <row r="2301" spans="1:9" x14ac:dyDescent="0.2">
      <c r="A2301" s="1">
        <f t="shared" ca="1" si="81"/>
        <v>2299</v>
      </c>
      <c r="B2301" s="1" t="s">
        <v>6036</v>
      </c>
      <c r="C2301" s="90" t="s">
        <v>6037</v>
      </c>
      <c r="G2301" s="7"/>
    </row>
    <row r="2302" spans="1:9" ht="25.5" x14ac:dyDescent="0.2">
      <c r="A2302" s="1">
        <f t="shared" ca="1" si="81"/>
        <v>2300</v>
      </c>
      <c r="B2302" s="1" t="s">
        <v>6034</v>
      </c>
      <c r="C2302" s="90" t="s">
        <v>6038</v>
      </c>
      <c r="G2302" s="7"/>
    </row>
    <row r="2303" spans="1:9" x14ac:dyDescent="0.2">
      <c r="A2303" s="1">
        <f t="shared" ca="1" si="81"/>
        <v>2301</v>
      </c>
      <c r="B2303" s="1" t="s">
        <v>2082</v>
      </c>
      <c r="C2303" s="90" t="s">
        <v>2083</v>
      </c>
      <c r="G2303" s="7"/>
    </row>
    <row r="2304" spans="1:9" x14ac:dyDescent="0.2">
      <c r="A2304" s="1">
        <f t="shared" ca="1" si="81"/>
        <v>2302</v>
      </c>
      <c r="B2304" s="1" t="s">
        <v>4046</v>
      </c>
      <c r="C2304" s="90" t="s">
        <v>4047</v>
      </c>
      <c r="G2304" s="7"/>
    </row>
    <row r="2305" spans="1:7" ht="17.25" customHeight="1" x14ac:dyDescent="0.2">
      <c r="A2305" s="1">
        <f t="shared" ca="1" si="81"/>
        <v>2303</v>
      </c>
      <c r="B2305" s="1" t="s">
        <v>266</v>
      </c>
      <c r="C2305" s="90" t="s">
        <v>267</v>
      </c>
      <c r="G2305" s="7"/>
    </row>
    <row r="2306" spans="1:7" x14ac:dyDescent="0.2">
      <c r="A2306" s="1">
        <f t="shared" ca="1" si="81"/>
        <v>2304</v>
      </c>
      <c r="B2306" s="1" t="s">
        <v>268</v>
      </c>
      <c r="C2306" s="90" t="s">
        <v>269</v>
      </c>
      <c r="G2306" s="7"/>
    </row>
    <row r="2307" spans="1:7" x14ac:dyDescent="0.2">
      <c r="A2307" s="1">
        <f t="shared" ca="1" si="81"/>
        <v>2305</v>
      </c>
      <c r="B2307" s="1" t="s">
        <v>270</v>
      </c>
      <c r="C2307" s="90" t="s">
        <v>271</v>
      </c>
      <c r="G2307" s="7"/>
    </row>
    <row r="2308" spans="1:7" x14ac:dyDescent="0.2">
      <c r="A2308" s="1">
        <f t="shared" ca="1" si="81"/>
        <v>2306</v>
      </c>
      <c r="B2308" s="1" t="s">
        <v>273</v>
      </c>
      <c r="C2308" s="90" t="s">
        <v>272</v>
      </c>
      <c r="G2308" s="7"/>
    </row>
    <row r="2309" spans="1:7" x14ac:dyDescent="0.2">
      <c r="A2309" s="1">
        <f t="shared" ca="1" si="81"/>
        <v>2307</v>
      </c>
      <c r="B2309" s="73" t="s">
        <v>3398</v>
      </c>
      <c r="G2309" s="7"/>
    </row>
    <row r="2310" spans="1:7" ht="25.5" x14ac:dyDescent="0.2">
      <c r="A2310" s="1">
        <f t="shared" ca="1" si="81"/>
        <v>2308</v>
      </c>
      <c r="B2310" s="1" t="s">
        <v>3399</v>
      </c>
      <c r="C2310" s="90" t="s">
        <v>5764</v>
      </c>
      <c r="G2310" s="7"/>
    </row>
    <row r="2311" spans="1:7" x14ac:dyDescent="0.2">
      <c r="A2311" s="1">
        <f t="shared" ca="1" si="81"/>
        <v>2309</v>
      </c>
      <c r="B2311" s="1" t="s">
        <v>3400</v>
      </c>
      <c r="C2311" s="90" t="s">
        <v>5766</v>
      </c>
      <c r="G2311" s="7"/>
    </row>
    <row r="2312" spans="1:7" ht="25.5" x14ac:dyDescent="0.2">
      <c r="A2312" s="1">
        <f t="shared" ca="1" si="81"/>
        <v>2310</v>
      </c>
      <c r="B2312" s="1" t="s">
        <v>3401</v>
      </c>
      <c r="C2312" s="90" t="s">
        <v>5765</v>
      </c>
      <c r="G2312" s="7"/>
    </row>
    <row r="2313" spans="1:7" ht="25.5" x14ac:dyDescent="0.2">
      <c r="A2313" s="1">
        <f t="shared" ca="1" si="81"/>
        <v>2311</v>
      </c>
      <c r="B2313" s="1" t="s">
        <v>3402</v>
      </c>
      <c r="C2313" s="90" t="s">
        <v>5767</v>
      </c>
      <c r="G2313" s="7"/>
    </row>
    <row r="2314" spans="1:7" ht="25.5" x14ac:dyDescent="0.2">
      <c r="A2314" s="1">
        <f t="shared" ca="1" si="81"/>
        <v>2312</v>
      </c>
      <c r="B2314" s="1" t="s">
        <v>3403</v>
      </c>
      <c r="C2314" s="90" t="s">
        <v>5768</v>
      </c>
      <c r="G2314" s="7"/>
    </row>
    <row r="2315" spans="1:7" x14ac:dyDescent="0.2">
      <c r="A2315" s="1">
        <f t="shared" ca="1" si="81"/>
        <v>2313</v>
      </c>
      <c r="B2315" s="1" t="s">
        <v>3404</v>
      </c>
      <c r="C2315" s="90" t="s">
        <v>5769</v>
      </c>
      <c r="G2315" s="7"/>
    </row>
    <row r="2316" spans="1:7" ht="25.5" x14ac:dyDescent="0.2">
      <c r="A2316" s="1">
        <f t="shared" ca="1" si="81"/>
        <v>2314</v>
      </c>
      <c r="B2316" s="1" t="s">
        <v>3405</v>
      </c>
      <c r="C2316" s="90" t="s">
        <v>5698</v>
      </c>
      <c r="G2316" s="7"/>
    </row>
    <row r="2317" spans="1:7" ht="25.5" x14ac:dyDescent="0.2">
      <c r="A2317" s="1">
        <f t="shared" ca="1" si="81"/>
        <v>2315</v>
      </c>
      <c r="B2317" s="1" t="s">
        <v>3406</v>
      </c>
      <c r="C2317" s="90" t="s">
        <v>5772</v>
      </c>
      <c r="G2317" s="7"/>
    </row>
    <row r="2318" spans="1:7" ht="25.5" x14ac:dyDescent="0.2">
      <c r="A2318" s="1">
        <f t="shared" ca="1" si="81"/>
        <v>2316</v>
      </c>
      <c r="B2318" s="1" t="s">
        <v>5770</v>
      </c>
      <c r="C2318" s="90" t="s">
        <v>5699</v>
      </c>
      <c r="G2318" s="7"/>
    </row>
    <row r="2319" spans="1:7" ht="25.5" x14ac:dyDescent="0.2">
      <c r="A2319" s="1">
        <f t="shared" ca="1" si="81"/>
        <v>2317</v>
      </c>
      <c r="B2319" s="1" t="s">
        <v>3407</v>
      </c>
      <c r="C2319" s="90" t="s">
        <v>5700</v>
      </c>
      <c r="G2319" s="7"/>
    </row>
    <row r="2320" spans="1:7" ht="25.5" x14ac:dyDescent="0.2">
      <c r="A2320" s="1">
        <f t="shared" ca="1" si="81"/>
        <v>2318</v>
      </c>
      <c r="B2320" s="1" t="s">
        <v>5771</v>
      </c>
      <c r="C2320" s="90" t="s">
        <v>5701</v>
      </c>
      <c r="G2320" s="7"/>
    </row>
    <row r="2321" spans="1:7" x14ac:dyDescent="0.2">
      <c r="A2321" s="1">
        <f t="shared" ca="1" si="81"/>
        <v>2319</v>
      </c>
      <c r="B2321" s="1" t="s">
        <v>3408</v>
      </c>
      <c r="C2321" s="90" t="s">
        <v>5703</v>
      </c>
      <c r="G2321" s="7"/>
    </row>
    <row r="2322" spans="1:7" x14ac:dyDescent="0.2">
      <c r="A2322" s="1">
        <f t="shared" ca="1" si="81"/>
        <v>2320</v>
      </c>
      <c r="B2322" s="1" t="s">
        <v>3409</v>
      </c>
      <c r="C2322" s="90" t="s">
        <v>5702</v>
      </c>
      <c r="G2322" s="7"/>
    </row>
    <row r="2323" spans="1:7" ht="25.5" x14ac:dyDescent="0.2">
      <c r="A2323" s="1">
        <f t="shared" ca="1" si="81"/>
        <v>2321</v>
      </c>
      <c r="B2323" s="1" t="s">
        <v>3410</v>
      </c>
      <c r="C2323" s="90" t="s">
        <v>5704</v>
      </c>
      <c r="G2323" s="7"/>
    </row>
    <row r="2324" spans="1:7" x14ac:dyDescent="0.2">
      <c r="A2324" s="1">
        <f t="shared" ca="1" si="81"/>
        <v>2322</v>
      </c>
      <c r="B2324" s="1" t="s">
        <v>3411</v>
      </c>
      <c r="C2324" s="90" t="s">
        <v>5705</v>
      </c>
      <c r="G2324" s="7"/>
    </row>
    <row r="2325" spans="1:7" ht="25.5" x14ac:dyDescent="0.2">
      <c r="A2325" s="1">
        <f t="shared" ca="1" si="81"/>
        <v>2323</v>
      </c>
      <c r="B2325" s="1" t="s">
        <v>3412</v>
      </c>
      <c r="C2325" s="90" t="s">
        <v>5706</v>
      </c>
      <c r="G2325" s="7"/>
    </row>
    <row r="2326" spans="1:7" ht="25.5" x14ac:dyDescent="0.2">
      <c r="A2326" s="1">
        <f t="shared" ref="A2326:A2353" ca="1" si="82">CELL("row",C2326)-2</f>
        <v>2324</v>
      </c>
      <c r="B2326" s="1" t="s">
        <v>3413</v>
      </c>
      <c r="C2326" s="90" t="s">
        <v>5707</v>
      </c>
      <c r="G2326" s="7"/>
    </row>
    <row r="2327" spans="1:7" ht="25.5" x14ac:dyDescent="0.2">
      <c r="A2327" s="1">
        <f t="shared" ca="1" si="82"/>
        <v>2325</v>
      </c>
      <c r="B2327" s="1" t="s">
        <v>3414</v>
      </c>
      <c r="C2327" s="90" t="s">
        <v>5708</v>
      </c>
      <c r="G2327" s="7"/>
    </row>
    <row r="2328" spans="1:7" ht="25.5" x14ac:dyDescent="0.2">
      <c r="A2328" s="1">
        <f t="shared" ca="1" si="82"/>
        <v>2326</v>
      </c>
      <c r="B2328" s="1" t="s">
        <v>3415</v>
      </c>
      <c r="C2328" s="90" t="s">
        <v>5709</v>
      </c>
      <c r="G2328" s="7"/>
    </row>
    <row r="2329" spans="1:7" ht="25.5" x14ac:dyDescent="0.2">
      <c r="A2329" s="1">
        <f t="shared" ca="1" si="82"/>
        <v>2327</v>
      </c>
      <c r="B2329" s="1" t="s">
        <v>3416</v>
      </c>
      <c r="C2329" s="90" t="s">
        <v>5710</v>
      </c>
      <c r="G2329" s="7"/>
    </row>
    <row r="2330" spans="1:7" ht="25.5" x14ac:dyDescent="0.2">
      <c r="A2330" s="1">
        <f t="shared" ca="1" si="82"/>
        <v>2328</v>
      </c>
      <c r="B2330" s="1" t="s">
        <v>5744</v>
      </c>
      <c r="C2330" s="90" t="s">
        <v>5711</v>
      </c>
      <c r="G2330" s="7"/>
    </row>
    <row r="2331" spans="1:7" ht="25.5" x14ac:dyDescent="0.2">
      <c r="A2331" s="1">
        <f t="shared" ca="1" si="82"/>
        <v>2329</v>
      </c>
      <c r="B2331" s="1" t="s">
        <v>5745</v>
      </c>
      <c r="C2331" s="90" t="s">
        <v>5712</v>
      </c>
      <c r="G2331" s="7"/>
    </row>
    <row r="2332" spans="1:7" ht="25.5" x14ac:dyDescent="0.2">
      <c r="A2332" s="1">
        <f t="shared" ca="1" si="82"/>
        <v>2330</v>
      </c>
      <c r="B2332" s="1" t="s">
        <v>5746</v>
      </c>
      <c r="C2332" s="90" t="s">
        <v>5713</v>
      </c>
      <c r="G2332" s="7"/>
    </row>
    <row r="2333" spans="1:7" ht="25.5" x14ac:dyDescent="0.2">
      <c r="A2333" s="1">
        <f t="shared" ca="1" si="82"/>
        <v>2331</v>
      </c>
      <c r="B2333" s="1" t="s">
        <v>5747</v>
      </c>
      <c r="C2333" s="90" t="s">
        <v>5714</v>
      </c>
      <c r="G2333" s="7"/>
    </row>
    <row r="2334" spans="1:7" ht="25.5" x14ac:dyDescent="0.2">
      <c r="A2334" s="1">
        <f t="shared" ca="1" si="82"/>
        <v>2332</v>
      </c>
      <c r="B2334" s="1" t="s">
        <v>5748</v>
      </c>
      <c r="C2334" s="90" t="s">
        <v>5715</v>
      </c>
      <c r="G2334" s="7"/>
    </row>
    <row r="2335" spans="1:7" ht="25.5" x14ac:dyDescent="0.2">
      <c r="A2335" s="1">
        <f t="shared" ca="1" si="82"/>
        <v>2333</v>
      </c>
      <c r="B2335" s="1" t="s">
        <v>5749</v>
      </c>
      <c r="C2335" s="90" t="s">
        <v>5716</v>
      </c>
      <c r="G2335" s="7"/>
    </row>
    <row r="2336" spans="1:7" x14ac:dyDescent="0.2">
      <c r="A2336" s="1">
        <f t="shared" ca="1" si="82"/>
        <v>2334</v>
      </c>
      <c r="B2336" s="1" t="s">
        <v>5750</v>
      </c>
      <c r="C2336" s="90" t="s">
        <v>5717</v>
      </c>
      <c r="G2336" s="7"/>
    </row>
    <row r="2337" spans="1:7" x14ac:dyDescent="0.2">
      <c r="A2337" s="1">
        <f t="shared" ca="1" si="82"/>
        <v>2335</v>
      </c>
      <c r="B2337" s="1" t="s">
        <v>5751</v>
      </c>
      <c r="C2337" s="90" t="s">
        <v>5718</v>
      </c>
      <c r="G2337" s="7"/>
    </row>
    <row r="2338" spans="1:7" x14ac:dyDescent="0.2">
      <c r="A2338" s="1">
        <f t="shared" ca="1" si="82"/>
        <v>2336</v>
      </c>
      <c r="B2338" s="1" t="s">
        <v>5752</v>
      </c>
      <c r="C2338" s="90" t="s">
        <v>5719</v>
      </c>
      <c r="G2338" s="7"/>
    </row>
    <row r="2339" spans="1:7" x14ac:dyDescent="0.2">
      <c r="A2339" s="1">
        <f t="shared" ca="1" si="82"/>
        <v>2337</v>
      </c>
      <c r="B2339" s="1" t="s">
        <v>5753</v>
      </c>
      <c r="C2339" s="90" t="s">
        <v>5720</v>
      </c>
      <c r="G2339" s="7"/>
    </row>
    <row r="2340" spans="1:7" x14ac:dyDescent="0.2">
      <c r="A2340" s="1">
        <f t="shared" ca="1" si="82"/>
        <v>2338</v>
      </c>
      <c r="B2340" s="1" t="s">
        <v>5612</v>
      </c>
      <c r="C2340" s="90" t="s">
        <v>5721</v>
      </c>
      <c r="G2340" s="7"/>
    </row>
    <row r="2341" spans="1:7" x14ac:dyDescent="0.2">
      <c r="A2341" s="1">
        <f t="shared" ca="1" si="82"/>
        <v>2339</v>
      </c>
      <c r="B2341" s="1" t="s">
        <v>5613</v>
      </c>
      <c r="C2341" s="90" t="s">
        <v>5722</v>
      </c>
      <c r="G2341" s="7"/>
    </row>
    <row r="2342" spans="1:7" x14ac:dyDescent="0.2">
      <c r="A2342" s="1">
        <f t="shared" ca="1" si="82"/>
        <v>2340</v>
      </c>
      <c r="B2342" s="1" t="s">
        <v>5754</v>
      </c>
      <c r="C2342" s="90" t="s">
        <v>5723</v>
      </c>
      <c r="G2342" s="7"/>
    </row>
    <row r="2343" spans="1:7" x14ac:dyDescent="0.2">
      <c r="A2343" s="1">
        <f t="shared" ca="1" si="82"/>
        <v>2341</v>
      </c>
      <c r="B2343" s="1" t="s">
        <v>5755</v>
      </c>
      <c r="C2343" s="90" t="s">
        <v>5724</v>
      </c>
      <c r="G2343" s="7"/>
    </row>
    <row r="2344" spans="1:7" x14ac:dyDescent="0.2">
      <c r="A2344" s="1">
        <f t="shared" ca="1" si="82"/>
        <v>2342</v>
      </c>
      <c r="B2344" s="1" t="s">
        <v>5756</v>
      </c>
      <c r="C2344" s="90" t="s">
        <v>5725</v>
      </c>
      <c r="G2344" s="7"/>
    </row>
    <row r="2345" spans="1:7" x14ac:dyDescent="0.2">
      <c r="A2345" s="1">
        <f t="shared" ca="1" si="82"/>
        <v>2343</v>
      </c>
      <c r="B2345" s="1" t="s">
        <v>5757</v>
      </c>
      <c r="C2345" s="90" t="s">
        <v>5726</v>
      </c>
      <c r="G2345" s="7"/>
    </row>
    <row r="2346" spans="1:7" x14ac:dyDescent="0.2">
      <c r="A2346" s="1">
        <f t="shared" ca="1" si="82"/>
        <v>2344</v>
      </c>
      <c r="B2346" s="1" t="s">
        <v>5758</v>
      </c>
      <c r="C2346" s="90" t="s">
        <v>5727</v>
      </c>
      <c r="G2346" s="7"/>
    </row>
    <row r="2347" spans="1:7" x14ac:dyDescent="0.2">
      <c r="A2347" s="1">
        <f t="shared" ca="1" si="82"/>
        <v>2345</v>
      </c>
      <c r="B2347" s="1" t="s">
        <v>5759</v>
      </c>
      <c r="C2347" s="90" t="s">
        <v>5728</v>
      </c>
      <c r="G2347" s="7"/>
    </row>
    <row r="2348" spans="1:7" x14ac:dyDescent="0.2">
      <c r="A2348" s="1">
        <f t="shared" ca="1" si="82"/>
        <v>2346</v>
      </c>
      <c r="B2348" s="1" t="s">
        <v>5760</v>
      </c>
      <c r="C2348" s="90" t="s">
        <v>5729</v>
      </c>
      <c r="G2348" s="7"/>
    </row>
    <row r="2349" spans="1:7" x14ac:dyDescent="0.2">
      <c r="A2349" s="1">
        <f t="shared" ca="1" si="82"/>
        <v>2347</v>
      </c>
      <c r="B2349" s="1" t="s">
        <v>5761</v>
      </c>
      <c r="C2349" s="90" t="s">
        <v>5730</v>
      </c>
      <c r="G2349" s="7"/>
    </row>
    <row r="2350" spans="1:7" x14ac:dyDescent="0.2">
      <c r="A2350" s="1">
        <f t="shared" ca="1" si="82"/>
        <v>2348</v>
      </c>
      <c r="B2350" s="1" t="s">
        <v>7956</v>
      </c>
      <c r="C2350" s="90" t="s">
        <v>5731</v>
      </c>
      <c r="G2350" s="7"/>
    </row>
    <row r="2351" spans="1:7" x14ac:dyDescent="0.2">
      <c r="A2351" s="1">
        <f t="shared" ca="1" si="82"/>
        <v>2349</v>
      </c>
      <c r="B2351" s="1" t="s">
        <v>8598</v>
      </c>
      <c r="C2351" s="146" t="s">
        <v>8599</v>
      </c>
      <c r="G2351" s="7"/>
    </row>
    <row r="2352" spans="1:7" x14ac:dyDescent="0.2">
      <c r="A2352" s="1">
        <f t="shared" ca="1" si="82"/>
        <v>2350</v>
      </c>
      <c r="B2352" s="1" t="s">
        <v>5762</v>
      </c>
      <c r="C2352" s="90" t="s">
        <v>5732</v>
      </c>
      <c r="G2352" s="7"/>
    </row>
    <row r="2353" spans="1:7" x14ac:dyDescent="0.2">
      <c r="A2353" s="1">
        <f t="shared" ca="1" si="82"/>
        <v>2351</v>
      </c>
      <c r="B2353" s="1" t="s">
        <v>5763</v>
      </c>
      <c r="C2353" s="90" t="s">
        <v>5733</v>
      </c>
      <c r="G2353" s="7"/>
    </row>
    <row r="2354" spans="1:7" ht="140.25" x14ac:dyDescent="0.2">
      <c r="A2354" s="1">
        <f t="shared" ref="A2354:A2359" ca="1" si="83">CELL("row",C2354)-2</f>
        <v>2352</v>
      </c>
      <c r="B2354" s="1" t="s">
        <v>8557</v>
      </c>
      <c r="C2354" s="146" t="s">
        <v>8558</v>
      </c>
      <c r="G2354" s="7"/>
    </row>
    <row r="2355" spans="1:7" x14ac:dyDescent="0.2">
      <c r="A2355" s="1">
        <f t="shared" ca="1" si="83"/>
        <v>2353</v>
      </c>
      <c r="B2355" s="1" t="s">
        <v>8563</v>
      </c>
      <c r="C2355" s="146" t="s">
        <v>8586</v>
      </c>
      <c r="G2355" s="7"/>
    </row>
    <row r="2356" spans="1:7" ht="25.5" x14ac:dyDescent="0.2">
      <c r="A2356" s="1">
        <f t="shared" ca="1" si="83"/>
        <v>2354</v>
      </c>
      <c r="B2356" s="1" t="s">
        <v>9143</v>
      </c>
      <c r="C2356" s="146" t="s">
        <v>9144</v>
      </c>
      <c r="G2356" s="7"/>
    </row>
    <row r="2357" spans="1:7" x14ac:dyDescent="0.2">
      <c r="A2357" s="1">
        <f t="shared" ca="1" si="83"/>
        <v>2355</v>
      </c>
      <c r="B2357" s="1" t="s">
        <v>8564</v>
      </c>
      <c r="C2357" s="146" t="s">
        <v>8587</v>
      </c>
      <c r="G2357" s="7"/>
    </row>
    <row r="2358" spans="1:7" x14ac:dyDescent="0.2">
      <c r="A2358" s="1">
        <f t="shared" ca="1" si="83"/>
        <v>2356</v>
      </c>
      <c r="B2358" s="1" t="s">
        <v>5367</v>
      </c>
      <c r="C2358" s="146" t="s">
        <v>8588</v>
      </c>
      <c r="G2358" s="7"/>
    </row>
    <row r="2359" spans="1:7" x14ac:dyDescent="0.2">
      <c r="A2359" s="1">
        <f t="shared" ca="1" si="83"/>
        <v>2357</v>
      </c>
      <c r="B2359" s="1" t="s">
        <v>8591</v>
      </c>
      <c r="C2359" s="146" t="s">
        <v>8592</v>
      </c>
      <c r="G2359" s="7"/>
    </row>
    <row r="2360" spans="1:7" x14ac:dyDescent="0.2">
      <c r="A2360" s="1">
        <f t="shared" ref="A2360" ca="1" si="84">CELL("row",C2360)-2</f>
        <v>2358</v>
      </c>
      <c r="B2360" s="1" t="s">
        <v>8593</v>
      </c>
      <c r="C2360" s="146" t="s">
        <v>8594</v>
      </c>
      <c r="G2360" s="7"/>
    </row>
    <row r="2361" spans="1:7" x14ac:dyDescent="0.2">
      <c r="A2361" s="1">
        <f t="shared" ref="A2361:A2420" ca="1" si="85">CELL("row",C2361)-2</f>
        <v>2359</v>
      </c>
      <c r="B2361" s="1" t="s">
        <v>8612</v>
      </c>
      <c r="C2361" s="146" t="s">
        <v>8613</v>
      </c>
      <c r="G2361" s="7"/>
    </row>
    <row r="2362" spans="1:7" x14ac:dyDescent="0.2">
      <c r="A2362" s="1">
        <f t="shared" ca="1" si="85"/>
        <v>2360</v>
      </c>
      <c r="B2362" s="1" t="s">
        <v>8892</v>
      </c>
      <c r="C2362" s="146" t="s">
        <v>8880</v>
      </c>
      <c r="G2362" s="7"/>
    </row>
    <row r="2363" spans="1:7" x14ac:dyDescent="0.2">
      <c r="A2363" s="1">
        <f t="shared" ca="1" si="85"/>
        <v>2361</v>
      </c>
      <c r="B2363" s="1" t="s">
        <v>8823</v>
      </c>
      <c r="C2363" s="146" t="s">
        <v>8881</v>
      </c>
      <c r="G2363" s="7"/>
    </row>
    <row r="2364" spans="1:7" x14ac:dyDescent="0.2">
      <c r="A2364" s="1">
        <f t="shared" ca="1" si="85"/>
        <v>2362</v>
      </c>
      <c r="B2364" s="1" t="s">
        <v>8824</v>
      </c>
      <c r="C2364" s="146" t="s">
        <v>8882</v>
      </c>
      <c r="G2364" s="7"/>
    </row>
    <row r="2365" spans="1:7" x14ac:dyDescent="0.2">
      <c r="A2365" s="1">
        <f t="shared" ca="1" si="85"/>
        <v>2363</v>
      </c>
      <c r="B2365" s="1" t="s">
        <v>8825</v>
      </c>
      <c r="C2365" s="146" t="s">
        <v>8862</v>
      </c>
      <c r="G2365" s="7"/>
    </row>
    <row r="2366" spans="1:7" x14ac:dyDescent="0.2">
      <c r="A2366" s="1">
        <f t="shared" ca="1" si="85"/>
        <v>2364</v>
      </c>
      <c r="B2366" s="1" t="s">
        <v>8826</v>
      </c>
      <c r="C2366" s="146" t="s">
        <v>8879</v>
      </c>
      <c r="G2366" s="7"/>
    </row>
    <row r="2367" spans="1:7" x14ac:dyDescent="0.2">
      <c r="A2367" s="1">
        <f t="shared" ca="1" si="85"/>
        <v>2365</v>
      </c>
      <c r="B2367" s="1" t="s">
        <v>8827</v>
      </c>
      <c r="C2367" s="146" t="s">
        <v>2277</v>
      </c>
      <c r="G2367" s="7"/>
    </row>
    <row r="2368" spans="1:7" x14ac:dyDescent="0.2">
      <c r="A2368" s="1">
        <f t="shared" ca="1" si="85"/>
        <v>2366</v>
      </c>
      <c r="B2368" s="1" t="s">
        <v>8828</v>
      </c>
      <c r="C2368" s="146" t="s">
        <v>2284</v>
      </c>
      <c r="G2368" s="7"/>
    </row>
    <row r="2369" spans="1:7" x14ac:dyDescent="0.2">
      <c r="A2369" s="1">
        <f t="shared" ca="1" si="85"/>
        <v>2367</v>
      </c>
      <c r="B2369" s="1" t="s">
        <v>8829</v>
      </c>
      <c r="C2369" s="146" t="s">
        <v>8878</v>
      </c>
      <c r="G2369" s="7"/>
    </row>
    <row r="2370" spans="1:7" x14ac:dyDescent="0.2">
      <c r="A2370" s="1">
        <f t="shared" ca="1" si="85"/>
        <v>2368</v>
      </c>
      <c r="B2370" s="1" t="s">
        <v>8830</v>
      </c>
      <c r="C2370" s="146" t="s">
        <v>8875</v>
      </c>
      <c r="G2370" s="7"/>
    </row>
    <row r="2371" spans="1:7" x14ac:dyDescent="0.2">
      <c r="A2371" s="1">
        <f t="shared" ca="1" si="85"/>
        <v>2369</v>
      </c>
      <c r="B2371" s="1" t="s">
        <v>8831</v>
      </c>
      <c r="C2371" s="146" t="s">
        <v>8876</v>
      </c>
      <c r="G2371" s="7"/>
    </row>
    <row r="2372" spans="1:7" x14ac:dyDescent="0.2">
      <c r="A2372" s="1">
        <f t="shared" ca="1" si="85"/>
        <v>2370</v>
      </c>
      <c r="B2372" s="1" t="s">
        <v>8832</v>
      </c>
      <c r="C2372" s="146" t="s">
        <v>8877</v>
      </c>
      <c r="G2372" s="7"/>
    </row>
    <row r="2373" spans="1:7" ht="38.25" x14ac:dyDescent="0.2">
      <c r="A2373" s="1">
        <f t="shared" ca="1" si="85"/>
        <v>2371</v>
      </c>
      <c r="B2373" s="1" t="s">
        <v>8833</v>
      </c>
      <c r="C2373" s="146" t="s">
        <v>8874</v>
      </c>
      <c r="G2373" s="7"/>
    </row>
    <row r="2374" spans="1:7" x14ac:dyDescent="0.2">
      <c r="A2374" s="1">
        <f t="shared" ca="1" si="85"/>
        <v>2372</v>
      </c>
      <c r="B2374" s="1" t="s">
        <v>8834</v>
      </c>
      <c r="C2374" s="146" t="s">
        <v>8873</v>
      </c>
      <c r="G2374" s="7"/>
    </row>
    <row r="2375" spans="1:7" x14ac:dyDescent="0.2">
      <c r="A2375" s="1">
        <f t="shared" ca="1" si="85"/>
        <v>2373</v>
      </c>
      <c r="B2375" s="1" t="s">
        <v>8835</v>
      </c>
      <c r="C2375" s="146" t="s">
        <v>8872</v>
      </c>
      <c r="G2375" s="7"/>
    </row>
    <row r="2376" spans="1:7" x14ac:dyDescent="0.2">
      <c r="A2376" s="1">
        <f t="shared" ca="1" si="85"/>
        <v>2374</v>
      </c>
      <c r="B2376" s="1" t="s">
        <v>8837</v>
      </c>
      <c r="C2376" s="146" t="s">
        <v>8871</v>
      </c>
      <c r="G2376" s="7"/>
    </row>
    <row r="2377" spans="1:7" x14ac:dyDescent="0.2">
      <c r="A2377" s="1">
        <f t="shared" ca="1" si="85"/>
        <v>2375</v>
      </c>
      <c r="B2377" s="1" t="s">
        <v>8836</v>
      </c>
      <c r="C2377" s="146" t="s">
        <v>8870</v>
      </c>
      <c r="G2377" s="7"/>
    </row>
    <row r="2378" spans="1:7" x14ac:dyDescent="0.2">
      <c r="A2378" s="1">
        <f t="shared" ca="1" si="85"/>
        <v>2376</v>
      </c>
      <c r="B2378" s="1" t="s">
        <v>8838</v>
      </c>
      <c r="C2378" s="146" t="s">
        <v>8869</v>
      </c>
      <c r="G2378" s="7"/>
    </row>
    <row r="2379" spans="1:7" x14ac:dyDescent="0.2">
      <c r="A2379" s="1">
        <f t="shared" ca="1" si="85"/>
        <v>2377</v>
      </c>
      <c r="B2379" s="1" t="s">
        <v>8839</v>
      </c>
      <c r="C2379" s="146" t="s">
        <v>8868</v>
      </c>
      <c r="G2379" s="7"/>
    </row>
    <row r="2380" spans="1:7" ht="25.5" x14ac:dyDescent="0.2">
      <c r="A2380" s="1">
        <f t="shared" ca="1" si="85"/>
        <v>2378</v>
      </c>
      <c r="B2380" s="1" t="s">
        <v>8840</v>
      </c>
      <c r="C2380" s="146" t="s">
        <v>8867</v>
      </c>
      <c r="G2380" s="7"/>
    </row>
    <row r="2381" spans="1:7" ht="25.5" x14ac:dyDescent="0.2">
      <c r="A2381" s="1">
        <f t="shared" ca="1" si="85"/>
        <v>2379</v>
      </c>
      <c r="B2381" s="1" t="s">
        <v>8841</v>
      </c>
      <c r="C2381" s="146" t="s">
        <v>8866</v>
      </c>
      <c r="G2381" s="7"/>
    </row>
    <row r="2382" spans="1:7" ht="38.25" x14ac:dyDescent="0.2">
      <c r="A2382" s="1">
        <f t="shared" ca="1" si="85"/>
        <v>2380</v>
      </c>
      <c r="B2382" s="1" t="s">
        <v>8842</v>
      </c>
      <c r="C2382" s="146" t="s">
        <v>8865</v>
      </c>
      <c r="G2382" s="7"/>
    </row>
    <row r="2383" spans="1:7" ht="38.25" x14ac:dyDescent="0.2">
      <c r="A2383" s="1">
        <f t="shared" ca="1" si="85"/>
        <v>2381</v>
      </c>
      <c r="B2383" s="1" t="s">
        <v>8843</v>
      </c>
      <c r="C2383" s="146" t="s">
        <v>8864</v>
      </c>
      <c r="G2383" s="7"/>
    </row>
    <row r="2384" spans="1:7" ht="25.5" x14ac:dyDescent="0.2">
      <c r="A2384" s="1">
        <f t="shared" ca="1" si="85"/>
        <v>2382</v>
      </c>
      <c r="B2384" s="1" t="s">
        <v>8844</v>
      </c>
      <c r="C2384" s="146" t="s">
        <v>8863</v>
      </c>
      <c r="G2384" s="7"/>
    </row>
    <row r="2385" spans="1:7" x14ac:dyDescent="0.2">
      <c r="A2385" s="1">
        <f t="shared" ca="1" si="85"/>
        <v>2383</v>
      </c>
      <c r="B2385" s="1" t="s">
        <v>8845</v>
      </c>
      <c r="C2385" s="146" t="s">
        <v>8862</v>
      </c>
      <c r="G2385" s="7"/>
    </row>
    <row r="2386" spans="1:7" ht="38.25" x14ac:dyDescent="0.2">
      <c r="A2386" s="1">
        <f t="shared" ca="1" si="85"/>
        <v>2384</v>
      </c>
      <c r="B2386" s="1" t="s">
        <v>8860</v>
      </c>
      <c r="C2386" s="146" t="s">
        <v>8861</v>
      </c>
      <c r="G2386" s="7"/>
    </row>
    <row r="2387" spans="1:7" x14ac:dyDescent="0.2">
      <c r="A2387" s="1">
        <f t="shared" ca="1" si="85"/>
        <v>2385</v>
      </c>
      <c r="B2387" s="1" t="s">
        <v>8846</v>
      </c>
      <c r="C2387" s="146" t="s">
        <v>8859</v>
      </c>
      <c r="G2387" s="7"/>
    </row>
    <row r="2388" spans="1:7" ht="25.5" x14ac:dyDescent="0.2">
      <c r="A2388" s="1">
        <f t="shared" ca="1" si="85"/>
        <v>2386</v>
      </c>
      <c r="B2388" s="1" t="s">
        <v>2868</v>
      </c>
      <c r="C2388" s="146" t="s">
        <v>8858</v>
      </c>
      <c r="G2388" s="7"/>
    </row>
    <row r="2389" spans="1:7" ht="38.25" x14ac:dyDescent="0.2">
      <c r="A2389" s="1">
        <f t="shared" ca="1" si="85"/>
        <v>2387</v>
      </c>
      <c r="B2389" s="1" t="s">
        <v>8847</v>
      </c>
      <c r="C2389" s="146" t="s">
        <v>8857</v>
      </c>
      <c r="G2389" s="7"/>
    </row>
    <row r="2390" spans="1:7" x14ac:dyDescent="0.2">
      <c r="A2390" s="1">
        <f t="shared" ca="1" si="85"/>
        <v>2388</v>
      </c>
      <c r="B2390" s="1" t="s">
        <v>8848</v>
      </c>
      <c r="C2390" s="146" t="s">
        <v>8856</v>
      </c>
      <c r="G2390" s="7"/>
    </row>
    <row r="2391" spans="1:7" ht="38.25" x14ac:dyDescent="0.2">
      <c r="A2391" s="1">
        <f t="shared" ca="1" si="85"/>
        <v>2389</v>
      </c>
      <c r="B2391" s="1" t="s">
        <v>8849</v>
      </c>
      <c r="C2391" s="146" t="s">
        <v>8855</v>
      </c>
      <c r="G2391" s="7"/>
    </row>
    <row r="2392" spans="1:7" x14ac:dyDescent="0.2">
      <c r="A2392" s="1">
        <f t="shared" ca="1" si="85"/>
        <v>2390</v>
      </c>
      <c r="B2392" s="1" t="s">
        <v>8850</v>
      </c>
      <c r="C2392" s="146" t="s">
        <v>3747</v>
      </c>
      <c r="G2392" s="7"/>
    </row>
    <row r="2393" spans="1:7" x14ac:dyDescent="0.2">
      <c r="A2393" s="1">
        <f t="shared" ca="1" si="85"/>
        <v>2391</v>
      </c>
      <c r="B2393" s="1" t="s">
        <v>8851</v>
      </c>
      <c r="C2393" s="146" t="s">
        <v>8854</v>
      </c>
      <c r="G2393" s="7"/>
    </row>
    <row r="2394" spans="1:7" x14ac:dyDescent="0.2">
      <c r="A2394" s="1">
        <f t="shared" ca="1" si="85"/>
        <v>2392</v>
      </c>
      <c r="B2394" s="1" t="s">
        <v>8852</v>
      </c>
      <c r="C2394" s="146" t="s">
        <v>8853</v>
      </c>
      <c r="G2394" s="7"/>
    </row>
    <row r="2395" spans="1:7" x14ac:dyDescent="0.2">
      <c r="A2395" s="1">
        <f t="shared" ca="1" si="85"/>
        <v>2393</v>
      </c>
      <c r="B2395" s="1" t="s">
        <v>8890</v>
      </c>
      <c r="C2395" s="146" t="s">
        <v>8891</v>
      </c>
      <c r="G2395" s="7"/>
    </row>
    <row r="2396" spans="1:7" x14ac:dyDescent="0.2">
      <c r="A2396" s="1">
        <f t="shared" ca="1" si="85"/>
        <v>2394</v>
      </c>
      <c r="B2396" s="1" t="s">
        <v>8893</v>
      </c>
      <c r="C2396" s="146" t="s">
        <v>8894</v>
      </c>
      <c r="G2396" s="7"/>
    </row>
    <row r="2397" spans="1:7" x14ac:dyDescent="0.2">
      <c r="A2397" s="1">
        <f t="shared" ca="1" si="85"/>
        <v>2395</v>
      </c>
      <c r="B2397" s="147" t="s">
        <v>8895</v>
      </c>
      <c r="C2397" s="154" t="s">
        <v>8896</v>
      </c>
      <c r="G2397" s="7"/>
    </row>
    <row r="2398" spans="1:7" x14ac:dyDescent="0.2">
      <c r="A2398" s="1">
        <f t="shared" ca="1" si="85"/>
        <v>2396</v>
      </c>
      <c r="B2398" s="147" t="s">
        <v>8897</v>
      </c>
      <c r="C2398" s="154" t="s">
        <v>8898</v>
      </c>
      <c r="G2398" s="7"/>
    </row>
    <row r="2399" spans="1:7" x14ac:dyDescent="0.2">
      <c r="A2399" s="1">
        <f t="shared" ca="1" si="85"/>
        <v>2397</v>
      </c>
      <c r="B2399" s="1" t="s">
        <v>8899</v>
      </c>
      <c r="C2399" s="146" t="s">
        <v>8899</v>
      </c>
      <c r="G2399" s="7"/>
    </row>
    <row r="2400" spans="1:7" x14ac:dyDescent="0.2">
      <c r="A2400" s="1">
        <f t="shared" ca="1" si="85"/>
        <v>2398</v>
      </c>
      <c r="B2400" s="1" t="s">
        <v>8912</v>
      </c>
      <c r="C2400" s="146" t="s">
        <v>8913</v>
      </c>
      <c r="G2400" s="7"/>
    </row>
    <row r="2401" spans="1:7" x14ac:dyDescent="0.2">
      <c r="A2401" s="1">
        <f t="shared" ca="1" si="85"/>
        <v>2399</v>
      </c>
      <c r="B2401" s="1" t="s">
        <v>8918</v>
      </c>
      <c r="C2401" s="146" t="s">
        <v>8919</v>
      </c>
      <c r="G2401" s="7"/>
    </row>
    <row r="2402" spans="1:7" x14ac:dyDescent="0.2">
      <c r="A2402" s="1">
        <f t="shared" ca="1" si="85"/>
        <v>2400</v>
      </c>
      <c r="B2402" s="1" t="s">
        <v>8975</v>
      </c>
      <c r="C2402" s="146" t="s">
        <v>8976</v>
      </c>
      <c r="G2402" s="7"/>
    </row>
    <row r="2403" spans="1:7" x14ac:dyDescent="0.2">
      <c r="A2403" s="1">
        <f t="shared" ca="1" si="85"/>
        <v>2401</v>
      </c>
      <c r="B2403" s="1" t="s">
        <v>2467</v>
      </c>
      <c r="C2403" s="146" t="s">
        <v>4197</v>
      </c>
      <c r="G2403" s="7"/>
    </row>
    <row r="2404" spans="1:7" ht="25.5" x14ac:dyDescent="0.2">
      <c r="A2404" s="1">
        <f t="shared" ca="1" si="85"/>
        <v>2402</v>
      </c>
      <c r="B2404" s="1" t="s">
        <v>9145</v>
      </c>
      <c r="C2404" s="146" t="s">
        <v>9146</v>
      </c>
      <c r="G2404" s="7"/>
    </row>
    <row r="2405" spans="1:7" ht="25.5" x14ac:dyDescent="0.2">
      <c r="A2405" s="1">
        <f t="shared" ca="1" si="85"/>
        <v>2403</v>
      </c>
      <c r="B2405" s="1" t="s">
        <v>9200</v>
      </c>
      <c r="C2405" s="90" t="s">
        <v>9199</v>
      </c>
      <c r="G2405" s="7"/>
    </row>
    <row r="2406" spans="1:7" x14ac:dyDescent="0.2">
      <c r="A2406" s="1">
        <f t="shared" ca="1" si="85"/>
        <v>2404</v>
      </c>
      <c r="G2406" s="7"/>
    </row>
    <row r="2407" spans="1:7" x14ac:dyDescent="0.2">
      <c r="A2407" s="1">
        <f t="shared" ca="1" si="85"/>
        <v>2405</v>
      </c>
      <c r="G2407" s="7"/>
    </row>
    <row r="2408" spans="1:7" x14ac:dyDescent="0.2">
      <c r="A2408" s="1">
        <f t="shared" ca="1" si="85"/>
        <v>2406</v>
      </c>
      <c r="G2408" s="7"/>
    </row>
    <row r="2409" spans="1:7" x14ac:dyDescent="0.2">
      <c r="A2409" s="1">
        <f t="shared" ca="1" si="85"/>
        <v>2407</v>
      </c>
      <c r="G2409" s="7"/>
    </row>
    <row r="2410" spans="1:7" x14ac:dyDescent="0.2">
      <c r="A2410" s="1">
        <f t="shared" ca="1" si="85"/>
        <v>2408</v>
      </c>
      <c r="G2410" s="7"/>
    </row>
    <row r="2411" spans="1:7" x14ac:dyDescent="0.2">
      <c r="A2411" s="1">
        <f t="shared" ca="1" si="85"/>
        <v>2409</v>
      </c>
      <c r="G2411" s="7"/>
    </row>
    <row r="2412" spans="1:7" x14ac:dyDescent="0.2">
      <c r="A2412" s="1">
        <f t="shared" ca="1" si="85"/>
        <v>2410</v>
      </c>
      <c r="G2412" s="7"/>
    </row>
    <row r="2413" spans="1:7" x14ac:dyDescent="0.2">
      <c r="A2413" s="1">
        <f t="shared" ca="1" si="85"/>
        <v>2411</v>
      </c>
      <c r="G2413" s="7"/>
    </row>
    <row r="2414" spans="1:7" x14ac:dyDescent="0.2">
      <c r="A2414" s="1">
        <f t="shared" ca="1" si="85"/>
        <v>2412</v>
      </c>
      <c r="G2414" s="7"/>
    </row>
    <row r="2415" spans="1:7" x14ac:dyDescent="0.2">
      <c r="A2415" s="1">
        <f t="shared" ca="1" si="85"/>
        <v>2413</v>
      </c>
      <c r="G2415" s="7"/>
    </row>
    <row r="2416" spans="1:7" x14ac:dyDescent="0.2">
      <c r="A2416" s="1">
        <f t="shared" ca="1" si="85"/>
        <v>2414</v>
      </c>
      <c r="G2416" s="7"/>
    </row>
    <row r="2417" spans="1:7" x14ac:dyDescent="0.2">
      <c r="A2417" s="1">
        <f t="shared" ca="1" si="85"/>
        <v>2415</v>
      </c>
      <c r="G2417" s="7"/>
    </row>
    <row r="2418" spans="1:7" x14ac:dyDescent="0.2">
      <c r="A2418" s="1">
        <f t="shared" ca="1" si="85"/>
        <v>2416</v>
      </c>
      <c r="G2418" s="7"/>
    </row>
    <row r="2419" spans="1:7" x14ac:dyDescent="0.2">
      <c r="A2419" s="1">
        <f t="shared" ca="1" si="85"/>
        <v>2417</v>
      </c>
      <c r="G2419" s="7"/>
    </row>
    <row r="2420" spans="1:7" x14ac:dyDescent="0.2">
      <c r="A2420" s="1">
        <f t="shared" ca="1" si="85"/>
        <v>2418</v>
      </c>
      <c r="G2420" s="7"/>
    </row>
    <row r="2421" spans="1:7" x14ac:dyDescent="0.2">
      <c r="G2421" s="7"/>
    </row>
    <row r="2422" spans="1:7" x14ac:dyDescent="0.2">
      <c r="G2422" s="7"/>
    </row>
    <row r="2423" spans="1:7" x14ac:dyDescent="0.2">
      <c r="G2423" s="7"/>
    </row>
    <row r="2424" spans="1:7" x14ac:dyDescent="0.2">
      <c r="G2424" s="7"/>
    </row>
    <row r="2425" spans="1:7" x14ac:dyDescent="0.2">
      <c r="G2425" s="7"/>
    </row>
    <row r="2426" spans="1:7" x14ac:dyDescent="0.2">
      <c r="G2426" s="7"/>
    </row>
    <row r="2427" spans="1:7" x14ac:dyDescent="0.2">
      <c r="G2427" s="7"/>
    </row>
    <row r="2428" spans="1:7" x14ac:dyDescent="0.2">
      <c r="G2428" s="7"/>
    </row>
    <row r="2429" spans="1:7" x14ac:dyDescent="0.2">
      <c r="G2429" s="7"/>
    </row>
    <row r="2430" spans="1:7" x14ac:dyDescent="0.2">
      <c r="G2430" s="7"/>
    </row>
    <row r="2431" spans="1:7" x14ac:dyDescent="0.2">
      <c r="G2431" s="7"/>
    </row>
    <row r="2432" spans="1:7" x14ac:dyDescent="0.2">
      <c r="G2432" s="7"/>
    </row>
    <row r="2433" spans="7:7" x14ac:dyDescent="0.2">
      <c r="G2433" s="7"/>
    </row>
    <row r="2434" spans="7:7" x14ac:dyDescent="0.2">
      <c r="G2434" s="7"/>
    </row>
    <row r="2435" spans="7:7" x14ac:dyDescent="0.2">
      <c r="G2435" s="7"/>
    </row>
    <row r="2436" spans="7:7" x14ac:dyDescent="0.2">
      <c r="G2436" s="7"/>
    </row>
    <row r="2437" spans="7:7" x14ac:dyDescent="0.2">
      <c r="G2437" s="7"/>
    </row>
    <row r="2438" spans="7:7" x14ac:dyDescent="0.2">
      <c r="G2438" s="7"/>
    </row>
    <row r="2439" spans="7:7" x14ac:dyDescent="0.2">
      <c r="G2439" s="7"/>
    </row>
    <row r="2440" spans="7:7" x14ac:dyDescent="0.2">
      <c r="G2440" s="7"/>
    </row>
    <row r="2441" spans="7:7" x14ac:dyDescent="0.2">
      <c r="G2441" s="7"/>
    </row>
    <row r="2442" spans="7:7" x14ac:dyDescent="0.2">
      <c r="G2442" s="7"/>
    </row>
    <row r="2443" spans="7:7" x14ac:dyDescent="0.2">
      <c r="G2443" s="7"/>
    </row>
    <row r="2444" spans="7:7" x14ac:dyDescent="0.2">
      <c r="G2444" s="7"/>
    </row>
    <row r="2445" spans="7:7" x14ac:dyDescent="0.2">
      <c r="G2445" s="7"/>
    </row>
    <row r="2446" spans="7:7" x14ac:dyDescent="0.2">
      <c r="G2446" s="7"/>
    </row>
    <row r="2447" spans="7:7" x14ac:dyDescent="0.2">
      <c r="G2447" s="7"/>
    </row>
    <row r="2448" spans="7:7" x14ac:dyDescent="0.2">
      <c r="G2448" s="7"/>
    </row>
    <row r="2449" spans="7:7" x14ac:dyDescent="0.2">
      <c r="G2449" s="7"/>
    </row>
    <row r="2450" spans="7:7" x14ac:dyDescent="0.2">
      <c r="G2450" s="7"/>
    </row>
    <row r="2451" spans="7:7" x14ac:dyDescent="0.2">
      <c r="G2451" s="7"/>
    </row>
    <row r="2452" spans="7:7" x14ac:dyDescent="0.2">
      <c r="G2452" s="7"/>
    </row>
    <row r="2453" spans="7:7" x14ac:dyDescent="0.2">
      <c r="G2453" s="7"/>
    </row>
    <row r="2454" spans="7:7" x14ac:dyDescent="0.2">
      <c r="G2454" s="7"/>
    </row>
    <row r="2455" spans="7:7" x14ac:dyDescent="0.2">
      <c r="G2455" s="7"/>
    </row>
    <row r="2456" spans="7:7" x14ac:dyDescent="0.2">
      <c r="G2456" s="7"/>
    </row>
    <row r="2457" spans="7:7" x14ac:dyDescent="0.2">
      <c r="G2457" s="7"/>
    </row>
    <row r="2458" spans="7:7" x14ac:dyDescent="0.2">
      <c r="G2458" s="7"/>
    </row>
    <row r="2459" spans="7:7" x14ac:dyDescent="0.2">
      <c r="G2459" s="7"/>
    </row>
    <row r="2460" spans="7:7" x14ac:dyDescent="0.2">
      <c r="G2460" s="7"/>
    </row>
    <row r="2461" spans="7:7" x14ac:dyDescent="0.2">
      <c r="G2461" s="7"/>
    </row>
    <row r="2462" spans="7:7" x14ac:dyDescent="0.2">
      <c r="G2462" s="7"/>
    </row>
    <row r="2463" spans="7:7" x14ac:dyDescent="0.2">
      <c r="G2463" s="7"/>
    </row>
    <row r="2464" spans="7:7" x14ac:dyDescent="0.2">
      <c r="G2464" s="7"/>
    </row>
    <row r="2465" spans="7:7" x14ac:dyDescent="0.2">
      <c r="G2465" s="7"/>
    </row>
    <row r="2466" spans="7:7" x14ac:dyDescent="0.2">
      <c r="G2466" s="7"/>
    </row>
    <row r="2467" spans="7:7" x14ac:dyDescent="0.2">
      <c r="G2467" s="7"/>
    </row>
    <row r="2468" spans="7:7" x14ac:dyDescent="0.2">
      <c r="G2468" s="7"/>
    </row>
    <row r="2469" spans="7:7" x14ac:dyDescent="0.2">
      <c r="G2469" s="7"/>
    </row>
    <row r="2470" spans="7:7" x14ac:dyDescent="0.2">
      <c r="G2470" s="7"/>
    </row>
    <row r="2471" spans="7:7" x14ac:dyDescent="0.2">
      <c r="G2471" s="7"/>
    </row>
    <row r="2472" spans="7:7" x14ac:dyDescent="0.2">
      <c r="G2472" s="7"/>
    </row>
    <row r="2473" spans="7:7" x14ac:dyDescent="0.2">
      <c r="G2473" s="7"/>
    </row>
    <row r="2474" spans="7:7" x14ac:dyDescent="0.2">
      <c r="G2474" s="7"/>
    </row>
    <row r="2475" spans="7:7" x14ac:dyDescent="0.2">
      <c r="G2475" s="7"/>
    </row>
    <row r="2476" spans="7:7" x14ac:dyDescent="0.2">
      <c r="G2476" s="7"/>
    </row>
    <row r="2477" spans="7:7" x14ac:dyDescent="0.2">
      <c r="G2477" s="7"/>
    </row>
    <row r="2478" spans="7:7" x14ac:dyDescent="0.2">
      <c r="G2478" s="7"/>
    </row>
    <row r="2479" spans="7:7" x14ac:dyDescent="0.2">
      <c r="G2479" s="7"/>
    </row>
    <row r="2480" spans="7:7" x14ac:dyDescent="0.2">
      <c r="G2480" s="7"/>
    </row>
    <row r="2481" spans="7:7" x14ac:dyDescent="0.2">
      <c r="G2481" s="7"/>
    </row>
    <row r="2482" spans="7:7" x14ac:dyDescent="0.2">
      <c r="G2482" s="7"/>
    </row>
    <row r="2483" spans="7:7" x14ac:dyDescent="0.2">
      <c r="G2483" s="7"/>
    </row>
    <row r="2484" spans="7:7" x14ac:dyDescent="0.2">
      <c r="G2484" s="7"/>
    </row>
    <row r="2485" spans="7:7" x14ac:dyDescent="0.2">
      <c r="G2485" s="7"/>
    </row>
    <row r="2486" spans="7:7" x14ac:dyDescent="0.2">
      <c r="G2486" s="7"/>
    </row>
    <row r="2487" spans="7:7" x14ac:dyDescent="0.2">
      <c r="G2487" s="7"/>
    </row>
    <row r="2488" spans="7:7" x14ac:dyDescent="0.2">
      <c r="G2488" s="7"/>
    </row>
    <row r="2489" spans="7:7" x14ac:dyDescent="0.2">
      <c r="G2489" s="7"/>
    </row>
    <row r="2490" spans="7:7" x14ac:dyDescent="0.2">
      <c r="G2490" s="7"/>
    </row>
    <row r="2491" spans="7:7" x14ac:dyDescent="0.2">
      <c r="G2491" s="7"/>
    </row>
    <row r="2492" spans="7:7" x14ac:dyDescent="0.2">
      <c r="G2492" s="7"/>
    </row>
    <row r="2493" spans="7:7" x14ac:dyDescent="0.2">
      <c r="G2493" s="7"/>
    </row>
    <row r="2494" spans="7:7" x14ac:dyDescent="0.2">
      <c r="G2494" s="7"/>
    </row>
    <row r="2495" spans="7:7" x14ac:dyDescent="0.2">
      <c r="G2495" s="7"/>
    </row>
    <row r="2496" spans="7:7" x14ac:dyDescent="0.2">
      <c r="G2496" s="7"/>
    </row>
    <row r="2497" spans="7:7" x14ac:dyDescent="0.2">
      <c r="G2497" s="7"/>
    </row>
    <row r="2498" spans="7:7" x14ac:dyDescent="0.2">
      <c r="G2498" s="7"/>
    </row>
    <row r="2499" spans="7:7" x14ac:dyDescent="0.2">
      <c r="G2499" s="7"/>
    </row>
    <row r="2500" spans="7:7" x14ac:dyDescent="0.2">
      <c r="G2500" s="7"/>
    </row>
    <row r="2501" spans="7:7" x14ac:dyDescent="0.2">
      <c r="G2501" s="7"/>
    </row>
    <row r="2502" spans="7:7" x14ac:dyDescent="0.2">
      <c r="G2502" s="7"/>
    </row>
    <row r="2503" spans="7:7" x14ac:dyDescent="0.2">
      <c r="G2503" s="7"/>
    </row>
    <row r="2504" spans="7:7" x14ac:dyDescent="0.2">
      <c r="G2504" s="7"/>
    </row>
    <row r="2505" spans="7:7" x14ac:dyDescent="0.2">
      <c r="G2505" s="7"/>
    </row>
    <row r="2506" spans="7:7" x14ac:dyDescent="0.2">
      <c r="G2506" s="7"/>
    </row>
    <row r="2507" spans="7:7" x14ac:dyDescent="0.2">
      <c r="G2507" s="7"/>
    </row>
    <row r="2508" spans="7:7" x14ac:dyDescent="0.2">
      <c r="G2508" s="7"/>
    </row>
    <row r="2509" spans="7:7" x14ac:dyDescent="0.2">
      <c r="G2509" s="7"/>
    </row>
    <row r="2510" spans="7:7" x14ac:dyDescent="0.2">
      <c r="G2510" s="7"/>
    </row>
    <row r="2511" spans="7:7" x14ac:dyDescent="0.2">
      <c r="G2511" s="7"/>
    </row>
    <row r="2512" spans="7:7" x14ac:dyDescent="0.2">
      <c r="G2512" s="7"/>
    </row>
    <row r="2513" spans="7:7" x14ac:dyDescent="0.2">
      <c r="G2513" s="7"/>
    </row>
    <row r="2514" spans="7:7" x14ac:dyDescent="0.2">
      <c r="G2514" s="7"/>
    </row>
    <row r="2515" spans="7:7" x14ac:dyDescent="0.2">
      <c r="G2515" s="7"/>
    </row>
    <row r="2516" spans="7:7" x14ac:dyDescent="0.2">
      <c r="G2516" s="7"/>
    </row>
    <row r="2517" spans="7:7" x14ac:dyDescent="0.2">
      <c r="G2517" s="7"/>
    </row>
    <row r="2518" spans="7:7" x14ac:dyDescent="0.2">
      <c r="G2518" s="7"/>
    </row>
    <row r="2519" spans="7:7" x14ac:dyDescent="0.2">
      <c r="G2519" s="7"/>
    </row>
    <row r="2520" spans="7:7" x14ac:dyDescent="0.2">
      <c r="G2520" s="7"/>
    </row>
    <row r="2521" spans="7:7" x14ac:dyDescent="0.2">
      <c r="G2521" s="7"/>
    </row>
    <row r="2522" spans="7:7" x14ac:dyDescent="0.2">
      <c r="G2522" s="7"/>
    </row>
    <row r="2523" spans="7:7" x14ac:dyDescent="0.2">
      <c r="G2523" s="7"/>
    </row>
    <row r="2524" spans="7:7" x14ac:dyDescent="0.2">
      <c r="G2524" s="7"/>
    </row>
    <row r="2525" spans="7:7" x14ac:dyDescent="0.2">
      <c r="G2525" s="7"/>
    </row>
    <row r="2526" spans="7:7" x14ac:dyDescent="0.2">
      <c r="G2526" s="7"/>
    </row>
    <row r="2527" spans="7:7" x14ac:dyDescent="0.2">
      <c r="G2527" s="7"/>
    </row>
    <row r="2528" spans="7:7" x14ac:dyDescent="0.2">
      <c r="G2528" s="7"/>
    </row>
    <row r="2529" spans="7:7" x14ac:dyDescent="0.2">
      <c r="G2529" s="7"/>
    </row>
    <row r="2530" spans="7:7" x14ac:dyDescent="0.2">
      <c r="G2530" s="7"/>
    </row>
    <row r="2531" spans="7:7" x14ac:dyDescent="0.2">
      <c r="G2531" s="7"/>
    </row>
    <row r="2532" spans="7:7" x14ac:dyDescent="0.2">
      <c r="G2532" s="7"/>
    </row>
    <row r="2533" spans="7:7" x14ac:dyDescent="0.2">
      <c r="G2533" s="7"/>
    </row>
    <row r="2534" spans="7:7" x14ac:dyDescent="0.2">
      <c r="G2534" s="7"/>
    </row>
    <row r="2535" spans="7:7" x14ac:dyDescent="0.2">
      <c r="G2535" s="7"/>
    </row>
    <row r="2536" spans="7:7" x14ac:dyDescent="0.2">
      <c r="G2536" s="7"/>
    </row>
    <row r="2537" spans="7:7" x14ac:dyDescent="0.2">
      <c r="G2537" s="7"/>
    </row>
    <row r="2538" spans="7:7" x14ac:dyDescent="0.2">
      <c r="G2538" s="7"/>
    </row>
    <row r="2539" spans="7:7" x14ac:dyDescent="0.2">
      <c r="G2539" s="7"/>
    </row>
    <row r="2540" spans="7:7" x14ac:dyDescent="0.2">
      <c r="G2540" s="7"/>
    </row>
    <row r="2541" spans="7:7" x14ac:dyDescent="0.2">
      <c r="G2541" s="7"/>
    </row>
    <row r="2542" spans="7:7" x14ac:dyDescent="0.2">
      <c r="G2542" s="7"/>
    </row>
    <row r="2543" spans="7:7" x14ac:dyDescent="0.2">
      <c r="G2543" s="7"/>
    </row>
    <row r="2544" spans="7:7" x14ac:dyDescent="0.2">
      <c r="G2544" s="7"/>
    </row>
    <row r="2545" spans="7:7" x14ac:dyDescent="0.2">
      <c r="G2545" s="7"/>
    </row>
    <row r="2546" spans="7:7" x14ac:dyDescent="0.2">
      <c r="G2546" s="7"/>
    </row>
    <row r="2547" spans="7:7" x14ac:dyDescent="0.2">
      <c r="G2547" s="7"/>
    </row>
    <row r="2548" spans="7:7" x14ac:dyDescent="0.2">
      <c r="G2548" s="7"/>
    </row>
    <row r="2549" spans="7:7" x14ac:dyDescent="0.2">
      <c r="G2549" s="7"/>
    </row>
    <row r="2550" spans="7:7" x14ac:dyDescent="0.2">
      <c r="G2550" s="7"/>
    </row>
    <row r="2551" spans="7:7" x14ac:dyDescent="0.2">
      <c r="G2551" s="7"/>
    </row>
    <row r="2552" spans="7:7" x14ac:dyDescent="0.2">
      <c r="G2552" s="7"/>
    </row>
    <row r="2553" spans="7:7" x14ac:dyDescent="0.2">
      <c r="G2553" s="7"/>
    </row>
    <row r="2554" spans="7:7" x14ac:dyDescent="0.2">
      <c r="G2554" s="7"/>
    </row>
    <row r="2555" spans="7:7" x14ac:dyDescent="0.2">
      <c r="G2555" s="7"/>
    </row>
    <row r="2556" spans="7:7" x14ac:dyDescent="0.2">
      <c r="G2556" s="7"/>
    </row>
    <row r="2557" spans="7:7" x14ac:dyDescent="0.2">
      <c r="G2557" s="7"/>
    </row>
    <row r="2558" spans="7:7" x14ac:dyDescent="0.2">
      <c r="G2558" s="7"/>
    </row>
    <row r="2559" spans="7:7" x14ac:dyDescent="0.2">
      <c r="G2559" s="7"/>
    </row>
    <row r="2560" spans="7:7" x14ac:dyDescent="0.2">
      <c r="G2560" s="7"/>
    </row>
    <row r="2561" spans="7:7" x14ac:dyDescent="0.2">
      <c r="G2561" s="7"/>
    </row>
    <row r="2562" spans="7:7" x14ac:dyDescent="0.2">
      <c r="G2562" s="7"/>
    </row>
    <row r="2563" spans="7:7" x14ac:dyDescent="0.2">
      <c r="G2563" s="7"/>
    </row>
    <row r="2564" spans="7:7" x14ac:dyDescent="0.2">
      <c r="G2564" s="7"/>
    </row>
    <row r="2565" spans="7:7" x14ac:dyDescent="0.2">
      <c r="G2565" s="7"/>
    </row>
    <row r="2566" spans="7:7" x14ac:dyDescent="0.2">
      <c r="G2566" s="7"/>
    </row>
    <row r="2567" spans="7:7" x14ac:dyDescent="0.2">
      <c r="G2567" s="7"/>
    </row>
    <row r="2568" spans="7:7" x14ac:dyDescent="0.2">
      <c r="G2568" s="7"/>
    </row>
    <row r="2569" spans="7:7" x14ac:dyDescent="0.2">
      <c r="G2569" s="7"/>
    </row>
    <row r="2570" spans="7:7" x14ac:dyDescent="0.2">
      <c r="G2570" s="7"/>
    </row>
    <row r="2571" spans="7:7" x14ac:dyDescent="0.2">
      <c r="G2571" s="7"/>
    </row>
    <row r="2572" spans="7:7" x14ac:dyDescent="0.2">
      <c r="G2572" s="7"/>
    </row>
    <row r="2573" spans="7:7" x14ac:dyDescent="0.2">
      <c r="G2573" s="7"/>
    </row>
    <row r="2574" spans="7:7" x14ac:dyDescent="0.2">
      <c r="G2574" s="7"/>
    </row>
    <row r="2575" spans="7:7" x14ac:dyDescent="0.2">
      <c r="G2575" s="7"/>
    </row>
    <row r="2576" spans="7:7" x14ac:dyDescent="0.2">
      <c r="G2576" s="7"/>
    </row>
    <row r="2577" spans="7:7" x14ac:dyDescent="0.2">
      <c r="G2577" s="7"/>
    </row>
    <row r="2578" spans="7:7" x14ac:dyDescent="0.2">
      <c r="G2578" s="7"/>
    </row>
    <row r="2579" spans="7:7" x14ac:dyDescent="0.2">
      <c r="G2579" s="7"/>
    </row>
    <row r="2580" spans="7:7" x14ac:dyDescent="0.2">
      <c r="G2580" s="7"/>
    </row>
    <row r="2581" spans="7:7" x14ac:dyDescent="0.2">
      <c r="G2581" s="7"/>
    </row>
    <row r="2582" spans="7:7" x14ac:dyDescent="0.2">
      <c r="G2582" s="7"/>
    </row>
    <row r="2583" spans="7:7" x14ac:dyDescent="0.2">
      <c r="G2583" s="7"/>
    </row>
    <row r="2584" spans="7:7" x14ac:dyDescent="0.2">
      <c r="G2584" s="7"/>
    </row>
    <row r="2585" spans="7:7" x14ac:dyDescent="0.2">
      <c r="G2585" s="7"/>
    </row>
    <row r="2586" spans="7:7" x14ac:dyDescent="0.2">
      <c r="G2586" s="7"/>
    </row>
    <row r="2587" spans="7:7" x14ac:dyDescent="0.2">
      <c r="G2587" s="7"/>
    </row>
    <row r="2588" spans="7:7" x14ac:dyDescent="0.2">
      <c r="G2588" s="7"/>
    </row>
    <row r="2589" spans="7:7" x14ac:dyDescent="0.2">
      <c r="G2589" s="7"/>
    </row>
    <row r="2590" spans="7:7" x14ac:dyDescent="0.2">
      <c r="G2590" s="7"/>
    </row>
    <row r="2591" spans="7:7" x14ac:dyDescent="0.2">
      <c r="G2591" s="7"/>
    </row>
    <row r="2592" spans="7:7" x14ac:dyDescent="0.2">
      <c r="G2592" s="7"/>
    </row>
    <row r="2593" spans="7:7" x14ac:dyDescent="0.2">
      <c r="G2593" s="7"/>
    </row>
    <row r="2594" spans="7:7" x14ac:dyDescent="0.2">
      <c r="G2594" s="7"/>
    </row>
    <row r="2595" spans="7:7" x14ac:dyDescent="0.2">
      <c r="G2595" s="7"/>
    </row>
    <row r="2596" spans="7:7" x14ac:dyDescent="0.2">
      <c r="G2596" s="7"/>
    </row>
    <row r="2597" spans="7:7" x14ac:dyDescent="0.2">
      <c r="G2597" s="7"/>
    </row>
    <row r="2598" spans="7:7" x14ac:dyDescent="0.2">
      <c r="G2598" s="7"/>
    </row>
    <row r="2599" spans="7:7" x14ac:dyDescent="0.2">
      <c r="G2599" s="7"/>
    </row>
    <row r="2600" spans="7:7" x14ac:dyDescent="0.2">
      <c r="G2600" s="7"/>
    </row>
    <row r="2601" spans="7:7" x14ac:dyDescent="0.2">
      <c r="G2601" s="7"/>
    </row>
    <row r="2602" spans="7:7" x14ac:dyDescent="0.2">
      <c r="G2602" s="7"/>
    </row>
    <row r="2603" spans="7:7" x14ac:dyDescent="0.2">
      <c r="G2603" s="7"/>
    </row>
    <row r="2604" spans="7:7" x14ac:dyDescent="0.2">
      <c r="G2604" s="7"/>
    </row>
    <row r="2605" spans="7:7" x14ac:dyDescent="0.2">
      <c r="G2605" s="7"/>
    </row>
    <row r="2606" spans="7:7" x14ac:dyDescent="0.2">
      <c r="G2606" s="7"/>
    </row>
    <row r="2607" spans="7:7" x14ac:dyDescent="0.2">
      <c r="G2607" s="7"/>
    </row>
    <row r="2608" spans="7:7" x14ac:dyDescent="0.2">
      <c r="G2608" s="7"/>
    </row>
    <row r="2609" spans="7:7" x14ac:dyDescent="0.2">
      <c r="G2609" s="7"/>
    </row>
    <row r="2610" spans="7:7" x14ac:dyDescent="0.2">
      <c r="G2610" s="7"/>
    </row>
    <row r="2611" spans="7:7" x14ac:dyDescent="0.2">
      <c r="G2611" s="7"/>
    </row>
    <row r="2612" spans="7:7" x14ac:dyDescent="0.2">
      <c r="G2612" s="7"/>
    </row>
    <row r="2613" spans="7:7" x14ac:dyDescent="0.2">
      <c r="G2613" s="7"/>
    </row>
    <row r="2614" spans="7:7" x14ac:dyDescent="0.2">
      <c r="G2614" s="7"/>
    </row>
    <row r="2615" spans="7:7" x14ac:dyDescent="0.2">
      <c r="G2615" s="7"/>
    </row>
    <row r="2616" spans="7:7" x14ac:dyDescent="0.2">
      <c r="G2616" s="7"/>
    </row>
    <row r="2617" spans="7:7" x14ac:dyDescent="0.2">
      <c r="G2617" s="7"/>
    </row>
    <row r="2618" spans="7:7" x14ac:dyDescent="0.2">
      <c r="G2618" s="7"/>
    </row>
    <row r="2619" spans="7:7" x14ac:dyDescent="0.2">
      <c r="G2619" s="7"/>
    </row>
    <row r="2620" spans="7:7" x14ac:dyDescent="0.2">
      <c r="G2620" s="7"/>
    </row>
    <row r="2621" spans="7:7" x14ac:dyDescent="0.2">
      <c r="G2621" s="7"/>
    </row>
    <row r="2622" spans="7:7" x14ac:dyDescent="0.2">
      <c r="G2622" s="7"/>
    </row>
    <row r="2623" spans="7:7" x14ac:dyDescent="0.2">
      <c r="G2623" s="7"/>
    </row>
    <row r="2624" spans="7:7" x14ac:dyDescent="0.2">
      <c r="G2624" s="7"/>
    </row>
    <row r="2625" spans="7:7" x14ac:dyDescent="0.2">
      <c r="G2625" s="7"/>
    </row>
    <row r="2626" spans="7:7" x14ac:dyDescent="0.2">
      <c r="G2626" s="7"/>
    </row>
    <row r="2627" spans="7:7" x14ac:dyDescent="0.2">
      <c r="G2627" s="7"/>
    </row>
    <row r="2628" spans="7:7" x14ac:dyDescent="0.2">
      <c r="G2628" s="7"/>
    </row>
    <row r="2629" spans="7:7" x14ac:dyDescent="0.2">
      <c r="G2629" s="7"/>
    </row>
    <row r="2630" spans="7:7" x14ac:dyDescent="0.2">
      <c r="G2630" s="7"/>
    </row>
    <row r="2631" spans="7:7" x14ac:dyDescent="0.2">
      <c r="G2631" s="7"/>
    </row>
    <row r="2632" spans="7:7" x14ac:dyDescent="0.2">
      <c r="G2632" s="7"/>
    </row>
    <row r="2633" spans="7:7" x14ac:dyDescent="0.2">
      <c r="G2633" s="7"/>
    </row>
    <row r="2634" spans="7:7" x14ac:dyDescent="0.2">
      <c r="G2634" s="7"/>
    </row>
    <row r="2635" spans="7:7" x14ac:dyDescent="0.2">
      <c r="G2635" s="7"/>
    </row>
    <row r="2636" spans="7:7" x14ac:dyDescent="0.2">
      <c r="G2636" s="7"/>
    </row>
    <row r="2637" spans="7:7" x14ac:dyDescent="0.2">
      <c r="G2637" s="7"/>
    </row>
    <row r="2638" spans="7:7" x14ac:dyDescent="0.2">
      <c r="G2638" s="7"/>
    </row>
    <row r="2639" spans="7:7" x14ac:dyDescent="0.2">
      <c r="G2639" s="7"/>
    </row>
    <row r="2640" spans="7:7" x14ac:dyDescent="0.2">
      <c r="G2640" s="7"/>
    </row>
    <row r="2641" spans="7:7" x14ac:dyDescent="0.2">
      <c r="G2641" s="7"/>
    </row>
    <row r="2642" spans="7:7" x14ac:dyDescent="0.2">
      <c r="G2642" s="7"/>
    </row>
    <row r="2643" spans="7:7" x14ac:dyDescent="0.2">
      <c r="G2643" s="7"/>
    </row>
    <row r="2644" spans="7:7" x14ac:dyDescent="0.2">
      <c r="G2644" s="7"/>
    </row>
    <row r="2645" spans="7:7" x14ac:dyDescent="0.2">
      <c r="G2645" s="7"/>
    </row>
    <row r="2646" spans="7:7" x14ac:dyDescent="0.2">
      <c r="G2646" s="7"/>
    </row>
    <row r="2647" spans="7:7" x14ac:dyDescent="0.2">
      <c r="G2647" s="7"/>
    </row>
    <row r="2648" spans="7:7" x14ac:dyDescent="0.2">
      <c r="G2648" s="7"/>
    </row>
    <row r="2649" spans="7:7" x14ac:dyDescent="0.2">
      <c r="G2649" s="7"/>
    </row>
    <row r="2650" spans="7:7" x14ac:dyDescent="0.2">
      <c r="G2650" s="7"/>
    </row>
    <row r="2651" spans="7:7" x14ac:dyDescent="0.2">
      <c r="G2651" s="7"/>
    </row>
    <row r="2652" spans="7:7" x14ac:dyDescent="0.2">
      <c r="G2652" s="7"/>
    </row>
    <row r="2653" spans="7:7" x14ac:dyDescent="0.2">
      <c r="G2653" s="7"/>
    </row>
    <row r="2654" spans="7:7" x14ac:dyDescent="0.2">
      <c r="G2654" s="7"/>
    </row>
    <row r="2655" spans="7:7" x14ac:dyDescent="0.2">
      <c r="G2655" s="7"/>
    </row>
    <row r="2656" spans="7:7" x14ac:dyDescent="0.2">
      <c r="G2656" s="7"/>
    </row>
    <row r="2657" spans="7:7" x14ac:dyDescent="0.2">
      <c r="G2657" s="7"/>
    </row>
    <row r="2658" spans="7:7" x14ac:dyDescent="0.2">
      <c r="G2658" s="7"/>
    </row>
    <row r="2659" spans="7:7" x14ac:dyDescent="0.2">
      <c r="G2659" s="7"/>
    </row>
    <row r="2660" spans="7:7" x14ac:dyDescent="0.2">
      <c r="G2660" s="7"/>
    </row>
    <row r="2661" spans="7:7" x14ac:dyDescent="0.2">
      <c r="G2661" s="7"/>
    </row>
    <row r="2662" spans="7:7" x14ac:dyDescent="0.2">
      <c r="G2662" s="7"/>
    </row>
    <row r="2663" spans="7:7" x14ac:dyDescent="0.2">
      <c r="G2663" s="7"/>
    </row>
    <row r="2664" spans="7:7" x14ac:dyDescent="0.2">
      <c r="G2664" s="7"/>
    </row>
    <row r="2665" spans="7:7" x14ac:dyDescent="0.2">
      <c r="G2665" s="7"/>
    </row>
    <row r="2666" spans="7:7" x14ac:dyDescent="0.2">
      <c r="G2666" s="7"/>
    </row>
    <row r="2667" spans="7:7" x14ac:dyDescent="0.2">
      <c r="G2667" s="7"/>
    </row>
    <row r="2668" spans="7:7" x14ac:dyDescent="0.2">
      <c r="G2668" s="7"/>
    </row>
    <row r="2669" spans="7:7" x14ac:dyDescent="0.2">
      <c r="G2669" s="7"/>
    </row>
    <row r="2670" spans="7:7" x14ac:dyDescent="0.2">
      <c r="G2670" s="7"/>
    </row>
    <row r="2671" spans="7:7" x14ac:dyDescent="0.2">
      <c r="G2671" s="7"/>
    </row>
    <row r="2672" spans="7:7" x14ac:dyDescent="0.2">
      <c r="G2672" s="7"/>
    </row>
    <row r="2673" spans="7:7" x14ac:dyDescent="0.2">
      <c r="G2673" s="7"/>
    </row>
    <row r="2674" spans="7:7" x14ac:dyDescent="0.2">
      <c r="G2674" s="7"/>
    </row>
    <row r="2675" spans="7:7" x14ac:dyDescent="0.2">
      <c r="G2675" s="7"/>
    </row>
    <row r="2676" spans="7:7" x14ac:dyDescent="0.2">
      <c r="G2676" s="7"/>
    </row>
    <row r="2677" spans="7:7" x14ac:dyDescent="0.2">
      <c r="G2677" s="7"/>
    </row>
    <row r="2678" spans="7:7" x14ac:dyDescent="0.2">
      <c r="G2678" s="7"/>
    </row>
    <row r="2679" spans="7:7" x14ac:dyDescent="0.2">
      <c r="G2679" s="7"/>
    </row>
    <row r="2680" spans="7:7" x14ac:dyDescent="0.2">
      <c r="G2680" s="7"/>
    </row>
    <row r="2681" spans="7:7" x14ac:dyDescent="0.2">
      <c r="G2681" s="7"/>
    </row>
    <row r="2682" spans="7:7" x14ac:dyDescent="0.2">
      <c r="G2682" s="7"/>
    </row>
    <row r="2683" spans="7:7" x14ac:dyDescent="0.2">
      <c r="G2683" s="7"/>
    </row>
    <row r="2684" spans="7:7" x14ac:dyDescent="0.2">
      <c r="G2684" s="7"/>
    </row>
    <row r="2685" spans="7:7" x14ac:dyDescent="0.2">
      <c r="G2685" s="7"/>
    </row>
    <row r="2686" spans="7:7" x14ac:dyDescent="0.2">
      <c r="G2686" s="7"/>
    </row>
    <row r="2687" spans="7:7" x14ac:dyDescent="0.2">
      <c r="G2687" s="7"/>
    </row>
    <row r="2688" spans="7:7" x14ac:dyDescent="0.2">
      <c r="G2688" s="7"/>
    </row>
    <row r="2689" spans="7:7" x14ac:dyDescent="0.2">
      <c r="G2689" s="7"/>
    </row>
    <row r="2690" spans="7:7" x14ac:dyDescent="0.2">
      <c r="G2690" s="7"/>
    </row>
    <row r="2691" spans="7:7" x14ac:dyDescent="0.2">
      <c r="G2691" s="7"/>
    </row>
    <row r="2692" spans="7:7" x14ac:dyDescent="0.2">
      <c r="G2692" s="7"/>
    </row>
    <row r="2693" spans="7:7" x14ac:dyDescent="0.2">
      <c r="G2693" s="7"/>
    </row>
    <row r="2694" spans="7:7" x14ac:dyDescent="0.2">
      <c r="G2694" s="7"/>
    </row>
    <row r="2695" spans="7:7" x14ac:dyDescent="0.2">
      <c r="G2695" s="7"/>
    </row>
    <row r="2696" spans="7:7" x14ac:dyDescent="0.2">
      <c r="G2696" s="7"/>
    </row>
    <row r="2697" spans="7:7" x14ac:dyDescent="0.2">
      <c r="G2697" s="7"/>
    </row>
    <row r="2698" spans="7:7" x14ac:dyDescent="0.2">
      <c r="G2698" s="7"/>
    </row>
    <row r="2699" spans="7:7" x14ac:dyDescent="0.2">
      <c r="G2699" s="7"/>
    </row>
    <row r="2700" spans="7:7" x14ac:dyDescent="0.2">
      <c r="G2700" s="7"/>
    </row>
    <row r="2701" spans="7:7" x14ac:dyDescent="0.2">
      <c r="G2701" s="7"/>
    </row>
    <row r="2702" spans="7:7" x14ac:dyDescent="0.2">
      <c r="G2702" s="7"/>
    </row>
    <row r="2703" spans="7:7" x14ac:dyDescent="0.2">
      <c r="G2703" s="7"/>
    </row>
    <row r="2704" spans="7:7" x14ac:dyDescent="0.2">
      <c r="G2704" s="7"/>
    </row>
    <row r="2705" spans="7:7" x14ac:dyDescent="0.2">
      <c r="G2705" s="7"/>
    </row>
    <row r="2706" spans="7:7" x14ac:dyDescent="0.2">
      <c r="G2706" s="7"/>
    </row>
    <row r="2707" spans="7:7" x14ac:dyDescent="0.2">
      <c r="G2707" s="7"/>
    </row>
    <row r="2708" spans="7:7" x14ac:dyDescent="0.2">
      <c r="G2708" s="7"/>
    </row>
    <row r="2709" spans="7:7" x14ac:dyDescent="0.2">
      <c r="G2709" s="7"/>
    </row>
    <row r="2710" spans="7:7" x14ac:dyDescent="0.2">
      <c r="G2710" s="7"/>
    </row>
    <row r="2711" spans="7:7" x14ac:dyDescent="0.2">
      <c r="G2711" s="7"/>
    </row>
    <row r="2712" spans="7:7" x14ac:dyDescent="0.2">
      <c r="G2712" s="7"/>
    </row>
    <row r="2713" spans="7:7" x14ac:dyDescent="0.2">
      <c r="G2713" s="7"/>
    </row>
    <row r="2714" spans="7:7" x14ac:dyDescent="0.2">
      <c r="G2714" s="7"/>
    </row>
    <row r="2715" spans="7:7" x14ac:dyDescent="0.2">
      <c r="G2715" s="7"/>
    </row>
    <row r="2716" spans="7:7" x14ac:dyDescent="0.2">
      <c r="G2716" s="7"/>
    </row>
    <row r="2717" spans="7:7" x14ac:dyDescent="0.2">
      <c r="G2717" s="7"/>
    </row>
    <row r="2718" spans="7:7" x14ac:dyDescent="0.2">
      <c r="G2718" s="7"/>
    </row>
    <row r="2719" spans="7:7" x14ac:dyDescent="0.2">
      <c r="G2719" s="7"/>
    </row>
    <row r="2720" spans="7:7" x14ac:dyDescent="0.2">
      <c r="G2720" s="7"/>
    </row>
    <row r="2721" spans="7:7" x14ac:dyDescent="0.2">
      <c r="G2721" s="7"/>
    </row>
    <row r="2722" spans="7:7" x14ac:dyDescent="0.2">
      <c r="G2722" s="7"/>
    </row>
    <row r="2723" spans="7:7" x14ac:dyDescent="0.2">
      <c r="G2723" s="7"/>
    </row>
    <row r="2724" spans="7:7" x14ac:dyDescent="0.2">
      <c r="G2724" s="7"/>
    </row>
    <row r="2725" spans="7:7" x14ac:dyDescent="0.2">
      <c r="G2725" s="7"/>
    </row>
    <row r="2726" spans="7:7" x14ac:dyDescent="0.2">
      <c r="G2726" s="7"/>
    </row>
    <row r="2727" spans="7:7" x14ac:dyDescent="0.2">
      <c r="G2727" s="7"/>
    </row>
    <row r="2728" spans="7:7" x14ac:dyDescent="0.2">
      <c r="G2728" s="7"/>
    </row>
    <row r="2729" spans="7:7" x14ac:dyDescent="0.2">
      <c r="G2729" s="7"/>
    </row>
    <row r="2730" spans="7:7" x14ac:dyDescent="0.2">
      <c r="G2730" s="7"/>
    </row>
    <row r="2731" spans="7:7" x14ac:dyDescent="0.2">
      <c r="G2731" s="7"/>
    </row>
    <row r="2732" spans="7:7" x14ac:dyDescent="0.2">
      <c r="G2732" s="7"/>
    </row>
    <row r="2733" spans="7:7" x14ac:dyDescent="0.2">
      <c r="G2733" s="7"/>
    </row>
    <row r="2734" spans="7:7" x14ac:dyDescent="0.2">
      <c r="G2734" s="7"/>
    </row>
    <row r="2735" spans="7:7" x14ac:dyDescent="0.2">
      <c r="G2735" s="7"/>
    </row>
    <row r="2736" spans="7:7" x14ac:dyDescent="0.2">
      <c r="G2736" s="7"/>
    </row>
    <row r="2737" spans="7:7" x14ac:dyDescent="0.2">
      <c r="G2737" s="7"/>
    </row>
    <row r="2738" spans="7:7" x14ac:dyDescent="0.2">
      <c r="G2738" s="7"/>
    </row>
    <row r="2739" spans="7:7" x14ac:dyDescent="0.2">
      <c r="G2739" s="7"/>
    </row>
    <row r="2740" spans="7:7" x14ac:dyDescent="0.2">
      <c r="G2740" s="7"/>
    </row>
    <row r="2741" spans="7:7" x14ac:dyDescent="0.2">
      <c r="G2741" s="7"/>
    </row>
    <row r="2742" spans="7:7" x14ac:dyDescent="0.2">
      <c r="G2742" s="7"/>
    </row>
    <row r="2743" spans="7:7" x14ac:dyDescent="0.2">
      <c r="G2743" s="7"/>
    </row>
    <row r="2744" spans="7:7" x14ac:dyDescent="0.2">
      <c r="G2744" s="7"/>
    </row>
    <row r="2745" spans="7:7" x14ac:dyDescent="0.2">
      <c r="G2745" s="7"/>
    </row>
    <row r="2746" spans="7:7" x14ac:dyDescent="0.2">
      <c r="G2746" s="7"/>
    </row>
    <row r="2747" spans="7:7" x14ac:dyDescent="0.2">
      <c r="G2747" s="7"/>
    </row>
    <row r="2748" spans="7:7" x14ac:dyDescent="0.2">
      <c r="G2748" s="7"/>
    </row>
    <row r="2749" spans="7:7" x14ac:dyDescent="0.2">
      <c r="G2749" s="7"/>
    </row>
    <row r="2750" spans="7:7" x14ac:dyDescent="0.2">
      <c r="G2750" s="7"/>
    </row>
    <row r="2751" spans="7:7" x14ac:dyDescent="0.2">
      <c r="G2751" s="7"/>
    </row>
    <row r="2752" spans="7:7" x14ac:dyDescent="0.2">
      <c r="G2752" s="7"/>
    </row>
    <row r="2753" spans="7:7" x14ac:dyDescent="0.2">
      <c r="G2753" s="7"/>
    </row>
    <row r="2754" spans="7:7" x14ac:dyDescent="0.2">
      <c r="G2754" s="7"/>
    </row>
    <row r="2755" spans="7:7" x14ac:dyDescent="0.2">
      <c r="G2755" s="7"/>
    </row>
    <row r="2756" spans="7:7" x14ac:dyDescent="0.2">
      <c r="G2756" s="7"/>
    </row>
    <row r="2757" spans="7:7" x14ac:dyDescent="0.2">
      <c r="G2757" s="7"/>
    </row>
    <row r="2758" spans="7:7" x14ac:dyDescent="0.2">
      <c r="G2758" s="7"/>
    </row>
    <row r="2759" spans="7:7" x14ac:dyDescent="0.2">
      <c r="G2759" s="7"/>
    </row>
    <row r="2760" spans="7:7" x14ac:dyDescent="0.2">
      <c r="G2760" s="7"/>
    </row>
    <row r="2761" spans="7:7" x14ac:dyDescent="0.2">
      <c r="G2761" s="7"/>
    </row>
    <row r="2762" spans="7:7" x14ac:dyDescent="0.2">
      <c r="G2762" s="7"/>
    </row>
    <row r="2763" spans="7:7" x14ac:dyDescent="0.2">
      <c r="G2763" s="7"/>
    </row>
    <row r="2764" spans="7:7" x14ac:dyDescent="0.2">
      <c r="G2764" s="7"/>
    </row>
    <row r="2765" spans="7:7" x14ac:dyDescent="0.2">
      <c r="G2765" s="7"/>
    </row>
    <row r="2766" spans="7:7" x14ac:dyDescent="0.2">
      <c r="G2766" s="7"/>
    </row>
    <row r="2767" spans="7:7" x14ac:dyDescent="0.2">
      <c r="G2767" s="7"/>
    </row>
    <row r="2768" spans="7:7" x14ac:dyDescent="0.2">
      <c r="G2768" s="7"/>
    </row>
    <row r="2769" spans="7:7" x14ac:dyDescent="0.2">
      <c r="G2769" s="7"/>
    </row>
    <row r="2770" spans="7:7" x14ac:dyDescent="0.2">
      <c r="G2770" s="7"/>
    </row>
    <row r="2771" spans="7:7" x14ac:dyDescent="0.2">
      <c r="G2771" s="7"/>
    </row>
    <row r="2772" spans="7:7" x14ac:dyDescent="0.2">
      <c r="G2772" s="7"/>
    </row>
    <row r="2773" spans="7:7" x14ac:dyDescent="0.2">
      <c r="G2773" s="7"/>
    </row>
    <row r="2774" spans="7:7" x14ac:dyDescent="0.2">
      <c r="G2774" s="7"/>
    </row>
    <row r="2775" spans="7:7" x14ac:dyDescent="0.2">
      <c r="G2775" s="7"/>
    </row>
    <row r="2776" spans="7:7" x14ac:dyDescent="0.2">
      <c r="G2776" s="7"/>
    </row>
    <row r="2777" spans="7:7" x14ac:dyDescent="0.2">
      <c r="G2777" s="7"/>
    </row>
    <row r="2778" spans="7:7" x14ac:dyDescent="0.2">
      <c r="G2778" s="7"/>
    </row>
    <row r="2779" spans="7:7" x14ac:dyDescent="0.2">
      <c r="G2779" s="7"/>
    </row>
    <row r="2780" spans="7:7" x14ac:dyDescent="0.2">
      <c r="G2780" s="7"/>
    </row>
    <row r="2781" spans="7:7" x14ac:dyDescent="0.2">
      <c r="G2781" s="7"/>
    </row>
    <row r="2782" spans="7:7" x14ac:dyDescent="0.2">
      <c r="G2782" s="7"/>
    </row>
    <row r="2783" spans="7:7" x14ac:dyDescent="0.2">
      <c r="G2783" s="7"/>
    </row>
    <row r="2784" spans="7:7" x14ac:dyDescent="0.2">
      <c r="G2784" s="7"/>
    </row>
    <row r="2785" spans="7:7" x14ac:dyDescent="0.2">
      <c r="G2785" s="7"/>
    </row>
    <row r="2786" spans="7:7" x14ac:dyDescent="0.2">
      <c r="G2786" s="7"/>
    </row>
    <row r="2787" spans="7:7" x14ac:dyDescent="0.2">
      <c r="G2787" s="7"/>
    </row>
    <row r="2788" spans="7:7" x14ac:dyDescent="0.2">
      <c r="G2788" s="7"/>
    </row>
    <row r="2789" spans="7:7" x14ac:dyDescent="0.2">
      <c r="G2789" s="7"/>
    </row>
    <row r="2790" spans="7:7" x14ac:dyDescent="0.2">
      <c r="G2790" s="7"/>
    </row>
    <row r="2791" spans="7:7" x14ac:dyDescent="0.2">
      <c r="G2791" s="7"/>
    </row>
    <row r="2792" spans="7:7" x14ac:dyDescent="0.2">
      <c r="G2792" s="7"/>
    </row>
    <row r="2793" spans="7:7" x14ac:dyDescent="0.2">
      <c r="G2793" s="7"/>
    </row>
    <row r="2794" spans="7:7" x14ac:dyDescent="0.2">
      <c r="G2794" s="7"/>
    </row>
    <row r="2795" spans="7:7" x14ac:dyDescent="0.2">
      <c r="G2795" s="7"/>
    </row>
    <row r="2796" spans="7:7" x14ac:dyDescent="0.2">
      <c r="G2796" s="7"/>
    </row>
    <row r="2797" spans="7:7" x14ac:dyDescent="0.2">
      <c r="G2797" s="7"/>
    </row>
    <row r="2798" spans="7:7" x14ac:dyDescent="0.2">
      <c r="G2798" s="7"/>
    </row>
    <row r="2799" spans="7:7" x14ac:dyDescent="0.2">
      <c r="G2799" s="7"/>
    </row>
    <row r="2800" spans="7:7" x14ac:dyDescent="0.2">
      <c r="G2800" s="7"/>
    </row>
    <row r="2801" spans="7:7" x14ac:dyDescent="0.2">
      <c r="G2801" s="7"/>
    </row>
    <row r="2802" spans="7:7" x14ac:dyDescent="0.2">
      <c r="G2802" s="7"/>
    </row>
    <row r="2803" spans="7:7" x14ac:dyDescent="0.2">
      <c r="G2803" s="7"/>
    </row>
    <row r="2804" spans="7:7" x14ac:dyDescent="0.2">
      <c r="G2804" s="7"/>
    </row>
    <row r="2805" spans="7:7" x14ac:dyDescent="0.2">
      <c r="G2805" s="7"/>
    </row>
    <row r="2806" spans="7:7" x14ac:dyDescent="0.2">
      <c r="G2806" s="7"/>
    </row>
    <row r="2807" spans="7:7" x14ac:dyDescent="0.2">
      <c r="G2807" s="7"/>
    </row>
    <row r="2808" spans="7:7" x14ac:dyDescent="0.2">
      <c r="G2808" s="7"/>
    </row>
    <row r="2809" spans="7:7" x14ac:dyDescent="0.2">
      <c r="G2809" s="7"/>
    </row>
    <row r="2810" spans="7:7" x14ac:dyDescent="0.2">
      <c r="G2810" s="7"/>
    </row>
    <row r="2811" spans="7:7" x14ac:dyDescent="0.2">
      <c r="G2811" s="7"/>
    </row>
    <row r="2812" spans="7:7" x14ac:dyDescent="0.2">
      <c r="G2812" s="7"/>
    </row>
    <row r="2813" spans="7:7" x14ac:dyDescent="0.2">
      <c r="G2813" s="7"/>
    </row>
    <row r="2814" spans="7:7" x14ac:dyDescent="0.2">
      <c r="G2814" s="7"/>
    </row>
    <row r="2815" spans="7:7" x14ac:dyDescent="0.2">
      <c r="G2815" s="7"/>
    </row>
    <row r="2816" spans="7:7" x14ac:dyDescent="0.2">
      <c r="G2816" s="7"/>
    </row>
    <row r="2817" spans="7:7" x14ac:dyDescent="0.2">
      <c r="G2817" s="7"/>
    </row>
    <row r="2818" spans="7:7" x14ac:dyDescent="0.2">
      <c r="G2818" s="7"/>
    </row>
    <row r="2819" spans="7:7" x14ac:dyDescent="0.2">
      <c r="G2819" s="7"/>
    </row>
    <row r="2820" spans="7:7" x14ac:dyDescent="0.2">
      <c r="G2820" s="7"/>
    </row>
    <row r="2821" spans="7:7" x14ac:dyDescent="0.2">
      <c r="G2821" s="7"/>
    </row>
    <row r="2822" spans="7:7" x14ac:dyDescent="0.2">
      <c r="G2822" s="7"/>
    </row>
    <row r="2823" spans="7:7" x14ac:dyDescent="0.2">
      <c r="G2823" s="7"/>
    </row>
    <row r="2824" spans="7:7" x14ac:dyDescent="0.2">
      <c r="G2824" s="7"/>
    </row>
    <row r="2825" spans="7:7" x14ac:dyDescent="0.2">
      <c r="G2825" s="7"/>
    </row>
    <row r="2826" spans="7:7" x14ac:dyDescent="0.2">
      <c r="G2826" s="7"/>
    </row>
    <row r="2827" spans="7:7" x14ac:dyDescent="0.2">
      <c r="G2827" s="7"/>
    </row>
    <row r="2828" spans="7:7" x14ac:dyDescent="0.2">
      <c r="G2828" s="7"/>
    </row>
    <row r="2829" spans="7:7" x14ac:dyDescent="0.2">
      <c r="G2829" s="7"/>
    </row>
    <row r="2830" spans="7:7" x14ac:dyDescent="0.2">
      <c r="G2830" s="7"/>
    </row>
    <row r="2831" spans="7:7" x14ac:dyDescent="0.2">
      <c r="G2831" s="7"/>
    </row>
    <row r="2832" spans="7:7" x14ac:dyDescent="0.2">
      <c r="G2832" s="7"/>
    </row>
    <row r="2833" spans="7:7" x14ac:dyDescent="0.2">
      <c r="G2833" s="7"/>
    </row>
    <row r="2834" spans="7:7" x14ac:dyDescent="0.2">
      <c r="G2834" s="7"/>
    </row>
    <row r="2835" spans="7:7" x14ac:dyDescent="0.2">
      <c r="G2835" s="7"/>
    </row>
    <row r="2836" spans="7:7" x14ac:dyDescent="0.2">
      <c r="G2836" s="7"/>
    </row>
    <row r="2837" spans="7:7" x14ac:dyDescent="0.2">
      <c r="G2837" s="7"/>
    </row>
    <row r="2838" spans="7:7" x14ac:dyDescent="0.2">
      <c r="G2838" s="7"/>
    </row>
    <row r="2839" spans="7:7" x14ac:dyDescent="0.2">
      <c r="G2839" s="7"/>
    </row>
    <row r="2840" spans="7:7" x14ac:dyDescent="0.2">
      <c r="G2840" s="7"/>
    </row>
    <row r="2841" spans="7:7" x14ac:dyDescent="0.2">
      <c r="G2841" s="7"/>
    </row>
    <row r="2842" spans="7:7" x14ac:dyDescent="0.2">
      <c r="G2842" s="7"/>
    </row>
    <row r="2843" spans="7:7" x14ac:dyDescent="0.2">
      <c r="G2843" s="7"/>
    </row>
    <row r="2844" spans="7:7" x14ac:dyDescent="0.2">
      <c r="G2844" s="7"/>
    </row>
    <row r="2845" spans="7:7" x14ac:dyDescent="0.2">
      <c r="G2845" s="7"/>
    </row>
    <row r="2846" spans="7:7" x14ac:dyDescent="0.2">
      <c r="G2846" s="7"/>
    </row>
    <row r="2847" spans="7:7" x14ac:dyDescent="0.2">
      <c r="G2847" s="7"/>
    </row>
    <row r="2848" spans="7:7" x14ac:dyDescent="0.2">
      <c r="G2848" s="7"/>
    </row>
    <row r="2849" spans="7:7" x14ac:dyDescent="0.2">
      <c r="G2849" s="7"/>
    </row>
    <row r="2850" spans="7:7" x14ac:dyDescent="0.2">
      <c r="G2850" s="7"/>
    </row>
    <row r="2851" spans="7:7" x14ac:dyDescent="0.2">
      <c r="G2851" s="7"/>
    </row>
    <row r="2852" spans="7:7" x14ac:dyDescent="0.2">
      <c r="G2852" s="7"/>
    </row>
    <row r="2853" spans="7:7" x14ac:dyDescent="0.2">
      <c r="G2853" s="7"/>
    </row>
    <row r="2854" spans="7:7" x14ac:dyDescent="0.2">
      <c r="G2854" s="7"/>
    </row>
    <row r="2855" spans="7:7" x14ac:dyDescent="0.2">
      <c r="G2855" s="7"/>
    </row>
    <row r="2856" spans="7:7" x14ac:dyDescent="0.2">
      <c r="G2856" s="7"/>
    </row>
    <row r="2857" spans="7:7" x14ac:dyDescent="0.2">
      <c r="G2857" s="7"/>
    </row>
    <row r="2858" spans="7:7" x14ac:dyDescent="0.2">
      <c r="G2858" s="7"/>
    </row>
    <row r="2859" spans="7:7" x14ac:dyDescent="0.2">
      <c r="G2859" s="7"/>
    </row>
    <row r="2860" spans="7:7" x14ac:dyDescent="0.2">
      <c r="G2860" s="7"/>
    </row>
    <row r="2861" spans="7:7" x14ac:dyDescent="0.2">
      <c r="G2861" s="7"/>
    </row>
    <row r="2862" spans="7:7" x14ac:dyDescent="0.2">
      <c r="G2862" s="7"/>
    </row>
    <row r="2863" spans="7:7" x14ac:dyDescent="0.2">
      <c r="G2863" s="7"/>
    </row>
    <row r="2864" spans="7:7" x14ac:dyDescent="0.2">
      <c r="G2864" s="7"/>
    </row>
    <row r="2865" spans="7:7" x14ac:dyDescent="0.2">
      <c r="G2865" s="7"/>
    </row>
    <row r="2866" spans="7:7" x14ac:dyDescent="0.2">
      <c r="G2866" s="7"/>
    </row>
    <row r="2867" spans="7:7" x14ac:dyDescent="0.2">
      <c r="G2867" s="7"/>
    </row>
    <row r="2868" spans="7:7" x14ac:dyDescent="0.2">
      <c r="G2868" s="7"/>
    </row>
    <row r="2869" spans="7:7" x14ac:dyDescent="0.2">
      <c r="G2869" s="7"/>
    </row>
    <row r="2870" spans="7:7" x14ac:dyDescent="0.2">
      <c r="G2870" s="7"/>
    </row>
    <row r="2871" spans="7:7" x14ac:dyDescent="0.2">
      <c r="G2871" s="7"/>
    </row>
    <row r="2872" spans="7:7" x14ac:dyDescent="0.2">
      <c r="G2872" s="7"/>
    </row>
    <row r="2873" spans="7:7" x14ac:dyDescent="0.2">
      <c r="G2873" s="7"/>
    </row>
    <row r="2874" spans="7:7" x14ac:dyDescent="0.2">
      <c r="G2874" s="7"/>
    </row>
    <row r="2875" spans="7:7" x14ac:dyDescent="0.2">
      <c r="G2875" s="7"/>
    </row>
    <row r="2876" spans="7:7" x14ac:dyDescent="0.2">
      <c r="G2876" s="7"/>
    </row>
    <row r="2877" spans="7:7" x14ac:dyDescent="0.2">
      <c r="G2877" s="7"/>
    </row>
    <row r="2878" spans="7:7" x14ac:dyDescent="0.2">
      <c r="G2878" s="7"/>
    </row>
    <row r="2879" spans="7:7" x14ac:dyDescent="0.2">
      <c r="G2879" s="7"/>
    </row>
    <row r="2880" spans="7:7" x14ac:dyDescent="0.2">
      <c r="G2880" s="7"/>
    </row>
    <row r="2881" spans="7:7" x14ac:dyDescent="0.2">
      <c r="G2881" s="7"/>
    </row>
    <row r="2882" spans="7:7" x14ac:dyDescent="0.2">
      <c r="G2882" s="7"/>
    </row>
    <row r="2883" spans="7:7" x14ac:dyDescent="0.2">
      <c r="G2883" s="7"/>
    </row>
    <row r="2884" spans="7:7" x14ac:dyDescent="0.2">
      <c r="G2884" s="7"/>
    </row>
    <row r="2885" spans="7:7" x14ac:dyDescent="0.2">
      <c r="G2885" s="7"/>
    </row>
    <row r="2886" spans="7:7" x14ac:dyDescent="0.2">
      <c r="G2886" s="7"/>
    </row>
    <row r="2887" spans="7:7" x14ac:dyDescent="0.2">
      <c r="G2887" s="7"/>
    </row>
    <row r="2888" spans="7:7" x14ac:dyDescent="0.2">
      <c r="G2888" s="7"/>
    </row>
    <row r="2889" spans="7:7" x14ac:dyDescent="0.2">
      <c r="G2889" s="7"/>
    </row>
    <row r="2890" spans="7:7" x14ac:dyDescent="0.2">
      <c r="G2890" s="7"/>
    </row>
    <row r="2891" spans="7:7" x14ac:dyDescent="0.2">
      <c r="G2891" s="7"/>
    </row>
    <row r="2892" spans="7:7" x14ac:dyDescent="0.2">
      <c r="G2892" s="7"/>
    </row>
    <row r="2893" spans="7:7" x14ac:dyDescent="0.2">
      <c r="G2893" s="7"/>
    </row>
    <row r="2894" spans="7:7" x14ac:dyDescent="0.2">
      <c r="G2894" s="7"/>
    </row>
    <row r="2895" spans="7:7" x14ac:dyDescent="0.2">
      <c r="G2895" s="7"/>
    </row>
    <row r="2896" spans="7:7" x14ac:dyDescent="0.2">
      <c r="G2896" s="7"/>
    </row>
    <row r="2897" spans="7:7" x14ac:dyDescent="0.2">
      <c r="G2897" s="7"/>
    </row>
    <row r="2898" spans="7:7" x14ac:dyDescent="0.2">
      <c r="G2898" s="7"/>
    </row>
    <row r="2899" spans="7:7" x14ac:dyDescent="0.2">
      <c r="G2899" s="7"/>
    </row>
    <row r="2900" spans="7:7" x14ac:dyDescent="0.2">
      <c r="G2900" s="7"/>
    </row>
    <row r="2901" spans="7:7" x14ac:dyDescent="0.2">
      <c r="G2901" s="7"/>
    </row>
    <row r="2902" spans="7:7" x14ac:dyDescent="0.2">
      <c r="G2902" s="7"/>
    </row>
    <row r="2903" spans="7:7" x14ac:dyDescent="0.2">
      <c r="G2903" s="7"/>
    </row>
    <row r="2904" spans="7:7" x14ac:dyDescent="0.2">
      <c r="G2904" s="7"/>
    </row>
    <row r="2905" spans="7:7" x14ac:dyDescent="0.2">
      <c r="G2905" s="7"/>
    </row>
    <row r="2906" spans="7:7" x14ac:dyDescent="0.2">
      <c r="G2906" s="7"/>
    </row>
    <row r="2907" spans="7:7" x14ac:dyDescent="0.2">
      <c r="G2907" s="7"/>
    </row>
    <row r="2908" spans="7:7" x14ac:dyDescent="0.2">
      <c r="G2908" s="7"/>
    </row>
    <row r="2909" spans="7:7" x14ac:dyDescent="0.2">
      <c r="G2909" s="7"/>
    </row>
    <row r="2910" spans="7:7" x14ac:dyDescent="0.2">
      <c r="G2910" s="7"/>
    </row>
    <row r="2911" spans="7:7" x14ac:dyDescent="0.2">
      <c r="G2911" s="7"/>
    </row>
    <row r="2912" spans="7:7" x14ac:dyDescent="0.2">
      <c r="G2912" s="7"/>
    </row>
    <row r="2913" spans="7:7" x14ac:dyDescent="0.2">
      <c r="G2913" s="7"/>
    </row>
    <row r="2914" spans="7:7" x14ac:dyDescent="0.2">
      <c r="G2914" s="7"/>
    </row>
    <row r="2915" spans="7:7" x14ac:dyDescent="0.2">
      <c r="G2915" s="7"/>
    </row>
    <row r="2916" spans="7:7" x14ac:dyDescent="0.2">
      <c r="G2916" s="7"/>
    </row>
    <row r="2917" spans="7:7" x14ac:dyDescent="0.2">
      <c r="G2917" s="7"/>
    </row>
    <row r="2918" spans="7:7" x14ac:dyDescent="0.2">
      <c r="G2918" s="7"/>
    </row>
    <row r="2919" spans="7:7" x14ac:dyDescent="0.2">
      <c r="G2919" s="7"/>
    </row>
    <row r="2920" spans="7:7" x14ac:dyDescent="0.2">
      <c r="G2920" s="7"/>
    </row>
    <row r="2921" spans="7:7" x14ac:dyDescent="0.2">
      <c r="G2921" s="7"/>
    </row>
    <row r="2922" spans="7:7" x14ac:dyDescent="0.2">
      <c r="G2922" s="7"/>
    </row>
    <row r="2923" spans="7:7" x14ac:dyDescent="0.2">
      <c r="G2923" s="7"/>
    </row>
    <row r="2924" spans="7:7" x14ac:dyDescent="0.2">
      <c r="G2924" s="7"/>
    </row>
    <row r="2925" spans="7:7" x14ac:dyDescent="0.2">
      <c r="G2925" s="7"/>
    </row>
    <row r="2926" spans="7:7" x14ac:dyDescent="0.2">
      <c r="G2926" s="7"/>
    </row>
    <row r="2927" spans="7:7" x14ac:dyDescent="0.2">
      <c r="G2927" s="7"/>
    </row>
    <row r="2928" spans="7:7" x14ac:dyDescent="0.2">
      <c r="G2928" s="7"/>
    </row>
    <row r="2929" spans="7:7" x14ac:dyDescent="0.2">
      <c r="G2929" s="7"/>
    </row>
    <row r="2930" spans="7:7" x14ac:dyDescent="0.2">
      <c r="G2930" s="7"/>
    </row>
    <row r="2931" spans="7:7" x14ac:dyDescent="0.2">
      <c r="G2931" s="7"/>
    </row>
    <row r="2932" spans="7:7" x14ac:dyDescent="0.2">
      <c r="G2932" s="7"/>
    </row>
    <row r="2933" spans="7:7" x14ac:dyDescent="0.2">
      <c r="G2933" s="7"/>
    </row>
    <row r="2934" spans="7:7" x14ac:dyDescent="0.2">
      <c r="G2934" s="7"/>
    </row>
    <row r="2935" spans="7:7" x14ac:dyDescent="0.2">
      <c r="G2935" s="7"/>
    </row>
    <row r="2936" spans="7:7" x14ac:dyDescent="0.2">
      <c r="G2936" s="7"/>
    </row>
    <row r="2937" spans="7:7" x14ac:dyDescent="0.2">
      <c r="G2937" s="7"/>
    </row>
    <row r="2938" spans="7:7" x14ac:dyDescent="0.2">
      <c r="G2938" s="7"/>
    </row>
    <row r="2939" spans="7:7" x14ac:dyDescent="0.2">
      <c r="G2939" s="7"/>
    </row>
    <row r="2940" spans="7:7" x14ac:dyDescent="0.2">
      <c r="G2940" s="7"/>
    </row>
    <row r="2941" spans="7:7" x14ac:dyDescent="0.2">
      <c r="G2941" s="7"/>
    </row>
    <row r="2942" spans="7:7" x14ac:dyDescent="0.2">
      <c r="G2942" s="7"/>
    </row>
    <row r="2943" spans="7:7" x14ac:dyDescent="0.2">
      <c r="G2943" s="7"/>
    </row>
    <row r="2944" spans="7:7" x14ac:dyDescent="0.2">
      <c r="G2944" s="7"/>
    </row>
    <row r="2945" spans="7:7" x14ac:dyDescent="0.2">
      <c r="G2945" s="7"/>
    </row>
    <row r="2946" spans="7:7" x14ac:dyDescent="0.2">
      <c r="G2946" s="7"/>
    </row>
    <row r="2947" spans="7:7" x14ac:dyDescent="0.2">
      <c r="G2947" s="7"/>
    </row>
    <row r="2948" spans="7:7" x14ac:dyDescent="0.2">
      <c r="G2948" s="7"/>
    </row>
    <row r="2949" spans="7:7" x14ac:dyDescent="0.2">
      <c r="G2949" s="7"/>
    </row>
    <row r="2950" spans="7:7" x14ac:dyDescent="0.2">
      <c r="G2950" s="7"/>
    </row>
    <row r="2951" spans="7:7" x14ac:dyDescent="0.2">
      <c r="G2951" s="7"/>
    </row>
    <row r="2952" spans="7:7" x14ac:dyDescent="0.2">
      <c r="G2952" s="7"/>
    </row>
    <row r="2953" spans="7:7" x14ac:dyDescent="0.2">
      <c r="G2953" s="7"/>
    </row>
    <row r="2954" spans="7:7" x14ac:dyDescent="0.2">
      <c r="G2954" s="7"/>
    </row>
    <row r="2955" spans="7:7" x14ac:dyDescent="0.2">
      <c r="G2955" s="7"/>
    </row>
    <row r="2956" spans="7:7" x14ac:dyDescent="0.2">
      <c r="G2956" s="7"/>
    </row>
    <row r="2957" spans="7:7" x14ac:dyDescent="0.2">
      <c r="G2957" s="7"/>
    </row>
    <row r="2958" spans="7:7" x14ac:dyDescent="0.2">
      <c r="G2958" s="7"/>
    </row>
    <row r="2959" spans="7:7" x14ac:dyDescent="0.2">
      <c r="G2959" s="7"/>
    </row>
    <row r="2960" spans="7:7" x14ac:dyDescent="0.2">
      <c r="G2960" s="7"/>
    </row>
    <row r="2961" spans="7:7" x14ac:dyDescent="0.2">
      <c r="G2961" s="7"/>
    </row>
    <row r="2962" spans="7:7" x14ac:dyDescent="0.2">
      <c r="G2962" s="7"/>
    </row>
    <row r="2963" spans="7:7" x14ac:dyDescent="0.2">
      <c r="G2963" s="7"/>
    </row>
    <row r="2964" spans="7:7" x14ac:dyDescent="0.2">
      <c r="G2964" s="7"/>
    </row>
    <row r="2965" spans="7:7" x14ac:dyDescent="0.2">
      <c r="G2965" s="7"/>
    </row>
    <row r="2966" spans="7:7" x14ac:dyDescent="0.2">
      <c r="G2966" s="7"/>
    </row>
    <row r="2967" spans="7:7" x14ac:dyDescent="0.2">
      <c r="G2967" s="7"/>
    </row>
    <row r="2968" spans="7:7" x14ac:dyDescent="0.2">
      <c r="G2968" s="7"/>
    </row>
    <row r="2969" spans="7:7" x14ac:dyDescent="0.2">
      <c r="G2969" s="7"/>
    </row>
    <row r="2970" spans="7:7" x14ac:dyDescent="0.2">
      <c r="G2970" s="7"/>
    </row>
    <row r="2971" spans="7:7" x14ac:dyDescent="0.2">
      <c r="G2971" s="7"/>
    </row>
    <row r="2972" spans="7:7" x14ac:dyDescent="0.2">
      <c r="G2972" s="7"/>
    </row>
    <row r="2973" spans="7:7" x14ac:dyDescent="0.2">
      <c r="G2973" s="7"/>
    </row>
    <row r="2974" spans="7:7" x14ac:dyDescent="0.2">
      <c r="G2974" s="7"/>
    </row>
    <row r="2975" spans="7:7" x14ac:dyDescent="0.2">
      <c r="G2975" s="7"/>
    </row>
    <row r="2976" spans="7:7" x14ac:dyDescent="0.2">
      <c r="G2976" s="7"/>
    </row>
    <row r="2977" spans="7:7" x14ac:dyDescent="0.2">
      <c r="G2977" s="7"/>
    </row>
    <row r="2978" spans="7:7" x14ac:dyDescent="0.2">
      <c r="G2978" s="7"/>
    </row>
    <row r="2979" spans="7:7" x14ac:dyDescent="0.2">
      <c r="G2979" s="7"/>
    </row>
    <row r="2980" spans="7:7" x14ac:dyDescent="0.2">
      <c r="G2980" s="7"/>
    </row>
    <row r="2981" spans="7:7" x14ac:dyDescent="0.2">
      <c r="G2981" s="7"/>
    </row>
    <row r="2982" spans="7:7" x14ac:dyDescent="0.2">
      <c r="G2982" s="7"/>
    </row>
    <row r="2983" spans="7:7" x14ac:dyDescent="0.2">
      <c r="G2983" s="7"/>
    </row>
    <row r="2984" spans="7:7" x14ac:dyDescent="0.2">
      <c r="G2984" s="7"/>
    </row>
    <row r="2985" spans="7:7" x14ac:dyDescent="0.2">
      <c r="G2985" s="7"/>
    </row>
    <row r="2986" spans="7:7" x14ac:dyDescent="0.2">
      <c r="G2986" s="7"/>
    </row>
    <row r="2987" spans="7:7" x14ac:dyDescent="0.2">
      <c r="G2987" s="7"/>
    </row>
    <row r="2988" spans="7:7" x14ac:dyDescent="0.2">
      <c r="G2988" s="7"/>
    </row>
    <row r="2989" spans="7:7" x14ac:dyDescent="0.2">
      <c r="G2989" s="7"/>
    </row>
    <row r="2990" spans="7:7" x14ac:dyDescent="0.2">
      <c r="G2990" s="7"/>
    </row>
    <row r="2991" spans="7:7" x14ac:dyDescent="0.2">
      <c r="G2991" s="7"/>
    </row>
    <row r="2992" spans="7:7" x14ac:dyDescent="0.2">
      <c r="G2992" s="7"/>
    </row>
    <row r="2993" spans="7:7" x14ac:dyDescent="0.2">
      <c r="G2993" s="7"/>
    </row>
    <row r="2994" spans="7:7" x14ac:dyDescent="0.2">
      <c r="G2994" s="7"/>
    </row>
    <row r="2995" spans="7:7" x14ac:dyDescent="0.2">
      <c r="G2995" s="7"/>
    </row>
    <row r="2996" spans="7:7" x14ac:dyDescent="0.2">
      <c r="G2996" s="7"/>
    </row>
    <row r="2997" spans="7:7" x14ac:dyDescent="0.2">
      <c r="G2997" s="7"/>
    </row>
    <row r="2998" spans="7:7" x14ac:dyDescent="0.2">
      <c r="G2998" s="7"/>
    </row>
    <row r="2999" spans="7:7" x14ac:dyDescent="0.2">
      <c r="G2999" s="7"/>
    </row>
    <row r="3000" spans="7:7" x14ac:dyDescent="0.2">
      <c r="G3000" s="7"/>
    </row>
    <row r="3001" spans="7:7" x14ac:dyDescent="0.2">
      <c r="G3001" s="7"/>
    </row>
    <row r="3002" spans="7:7" x14ac:dyDescent="0.2">
      <c r="G3002" s="7"/>
    </row>
    <row r="3003" spans="7:7" x14ac:dyDescent="0.2">
      <c r="G3003" s="7"/>
    </row>
    <row r="3004" spans="7:7" x14ac:dyDescent="0.2">
      <c r="G3004" s="7"/>
    </row>
    <row r="3005" spans="7:7" x14ac:dyDescent="0.2">
      <c r="G3005" s="7"/>
    </row>
    <row r="3006" spans="7:7" x14ac:dyDescent="0.2">
      <c r="G3006" s="7"/>
    </row>
    <row r="3007" spans="7:7" x14ac:dyDescent="0.2">
      <c r="G3007" s="7"/>
    </row>
    <row r="3008" spans="7:7" x14ac:dyDescent="0.2">
      <c r="G3008" s="7"/>
    </row>
    <row r="3009" spans="7:7" x14ac:dyDescent="0.2">
      <c r="G3009" s="7"/>
    </row>
    <row r="3010" spans="7:7" x14ac:dyDescent="0.2">
      <c r="G3010" s="7"/>
    </row>
    <row r="3011" spans="7:7" x14ac:dyDescent="0.2">
      <c r="G3011" s="7"/>
    </row>
    <row r="3012" spans="7:7" x14ac:dyDescent="0.2">
      <c r="G3012" s="7"/>
    </row>
    <row r="3013" spans="7:7" x14ac:dyDescent="0.2">
      <c r="G3013" s="7"/>
    </row>
    <row r="3014" spans="7:7" x14ac:dyDescent="0.2">
      <c r="G3014" s="7"/>
    </row>
    <row r="3015" spans="7:7" x14ac:dyDescent="0.2">
      <c r="G3015" s="7"/>
    </row>
    <row r="3016" spans="7:7" x14ac:dyDescent="0.2">
      <c r="G3016" s="7"/>
    </row>
    <row r="3017" spans="7:7" x14ac:dyDescent="0.2">
      <c r="G3017" s="7"/>
    </row>
    <row r="3018" spans="7:7" x14ac:dyDescent="0.2">
      <c r="G3018" s="7"/>
    </row>
    <row r="3019" spans="7:7" x14ac:dyDescent="0.2">
      <c r="G3019" s="7"/>
    </row>
    <row r="3020" spans="7:7" x14ac:dyDescent="0.2">
      <c r="G3020" s="7"/>
    </row>
    <row r="3021" spans="7:7" x14ac:dyDescent="0.2">
      <c r="G3021" s="7"/>
    </row>
    <row r="3022" spans="7:7" x14ac:dyDescent="0.2">
      <c r="G3022" s="7"/>
    </row>
    <row r="3023" spans="7:7" x14ac:dyDescent="0.2">
      <c r="G3023" s="7"/>
    </row>
    <row r="3024" spans="7:7" x14ac:dyDescent="0.2">
      <c r="G3024" s="7"/>
    </row>
    <row r="3025" spans="7:7" x14ac:dyDescent="0.2">
      <c r="G3025" s="7"/>
    </row>
    <row r="3026" spans="7:7" x14ac:dyDescent="0.2">
      <c r="G3026" s="7"/>
    </row>
    <row r="3027" spans="7:7" x14ac:dyDescent="0.2">
      <c r="G3027" s="7"/>
    </row>
    <row r="3028" spans="7:7" x14ac:dyDescent="0.2">
      <c r="G3028" s="7"/>
    </row>
    <row r="3029" spans="7:7" x14ac:dyDescent="0.2">
      <c r="G3029" s="7"/>
    </row>
    <row r="3030" spans="7:7" x14ac:dyDescent="0.2">
      <c r="G3030" s="7"/>
    </row>
    <row r="3031" spans="7:7" x14ac:dyDescent="0.2">
      <c r="G3031" s="7"/>
    </row>
    <row r="3032" spans="7:7" x14ac:dyDescent="0.2">
      <c r="G3032" s="7"/>
    </row>
    <row r="3033" spans="7:7" x14ac:dyDescent="0.2">
      <c r="G3033" s="7"/>
    </row>
    <row r="3034" spans="7:7" x14ac:dyDescent="0.2">
      <c r="G3034" s="7"/>
    </row>
    <row r="3035" spans="7:7" x14ac:dyDescent="0.2">
      <c r="G3035" s="7"/>
    </row>
    <row r="3036" spans="7:7" x14ac:dyDescent="0.2">
      <c r="G3036" s="7"/>
    </row>
    <row r="3037" spans="7:7" x14ac:dyDescent="0.2">
      <c r="G3037" s="7"/>
    </row>
    <row r="3038" spans="7:7" x14ac:dyDescent="0.2">
      <c r="G3038" s="7"/>
    </row>
    <row r="3039" spans="7:7" x14ac:dyDescent="0.2">
      <c r="G3039" s="7"/>
    </row>
    <row r="3040" spans="7:7" x14ac:dyDescent="0.2">
      <c r="G3040" s="7"/>
    </row>
    <row r="3041" spans="7:7" x14ac:dyDescent="0.2">
      <c r="G3041" s="7"/>
    </row>
    <row r="3042" spans="7:7" x14ac:dyDescent="0.2">
      <c r="G3042" s="7"/>
    </row>
    <row r="3043" spans="7:7" x14ac:dyDescent="0.2">
      <c r="G3043" s="7"/>
    </row>
    <row r="3044" spans="7:7" x14ac:dyDescent="0.2">
      <c r="G3044" s="7"/>
    </row>
    <row r="3045" spans="7:7" x14ac:dyDescent="0.2">
      <c r="G3045" s="7"/>
    </row>
    <row r="3046" spans="7:7" x14ac:dyDescent="0.2">
      <c r="G3046" s="7"/>
    </row>
    <row r="3047" spans="7:7" x14ac:dyDescent="0.2">
      <c r="G3047" s="7"/>
    </row>
    <row r="3048" spans="7:7" x14ac:dyDescent="0.2">
      <c r="G3048" s="7"/>
    </row>
    <row r="3049" spans="7:7" x14ac:dyDescent="0.2">
      <c r="G3049" s="7"/>
    </row>
    <row r="3050" spans="7:7" x14ac:dyDescent="0.2">
      <c r="G3050" s="7"/>
    </row>
    <row r="3051" spans="7:7" x14ac:dyDescent="0.2">
      <c r="G3051" s="7"/>
    </row>
    <row r="3052" spans="7:7" x14ac:dyDescent="0.2">
      <c r="G3052" s="7"/>
    </row>
    <row r="3053" spans="7:7" x14ac:dyDescent="0.2">
      <c r="G3053" s="7"/>
    </row>
    <row r="3054" spans="7:7" x14ac:dyDescent="0.2">
      <c r="G3054" s="7"/>
    </row>
    <row r="3055" spans="7:7" x14ac:dyDescent="0.2">
      <c r="G3055" s="7"/>
    </row>
    <row r="3056" spans="7:7" x14ac:dyDescent="0.2">
      <c r="G3056" s="7"/>
    </row>
    <row r="3057" spans="7:7" x14ac:dyDescent="0.2">
      <c r="G3057" s="7"/>
    </row>
    <row r="3058" spans="7:7" x14ac:dyDescent="0.2">
      <c r="G3058" s="7"/>
    </row>
    <row r="3059" spans="7:7" x14ac:dyDescent="0.2">
      <c r="G3059" s="7"/>
    </row>
    <row r="3060" spans="7:7" x14ac:dyDescent="0.2">
      <c r="G3060" s="7"/>
    </row>
    <row r="3061" spans="7:7" x14ac:dyDescent="0.2">
      <c r="G3061" s="7"/>
    </row>
    <row r="3062" spans="7:7" x14ac:dyDescent="0.2">
      <c r="G3062" s="7"/>
    </row>
    <row r="3063" spans="7:7" x14ac:dyDescent="0.2">
      <c r="G3063" s="7"/>
    </row>
    <row r="3064" spans="7:7" x14ac:dyDescent="0.2">
      <c r="G3064" s="7"/>
    </row>
    <row r="3065" spans="7:7" x14ac:dyDescent="0.2">
      <c r="G3065" s="7"/>
    </row>
    <row r="3066" spans="7:7" x14ac:dyDescent="0.2">
      <c r="G3066" s="7"/>
    </row>
    <row r="3067" spans="7:7" x14ac:dyDescent="0.2">
      <c r="G3067" s="7"/>
    </row>
    <row r="3068" spans="7:7" x14ac:dyDescent="0.2">
      <c r="G3068" s="7"/>
    </row>
    <row r="3069" spans="7:7" x14ac:dyDescent="0.2">
      <c r="G3069" s="7"/>
    </row>
    <row r="3070" spans="7:7" x14ac:dyDescent="0.2">
      <c r="G3070" s="7"/>
    </row>
    <row r="3071" spans="7:7" x14ac:dyDescent="0.2">
      <c r="G3071" s="7"/>
    </row>
    <row r="3072" spans="7:7" x14ac:dyDescent="0.2">
      <c r="G3072" s="7"/>
    </row>
    <row r="3073" spans="7:7" x14ac:dyDescent="0.2">
      <c r="G3073" s="7"/>
    </row>
    <row r="3074" spans="7:7" x14ac:dyDescent="0.2">
      <c r="G3074" s="7"/>
    </row>
    <row r="3075" spans="7:7" x14ac:dyDescent="0.2">
      <c r="G3075" s="7"/>
    </row>
    <row r="3076" spans="7:7" x14ac:dyDescent="0.2">
      <c r="G3076" s="7"/>
    </row>
    <row r="3077" spans="7:7" x14ac:dyDescent="0.2">
      <c r="G3077" s="7"/>
    </row>
    <row r="3078" spans="7:7" x14ac:dyDescent="0.2">
      <c r="G3078" s="7"/>
    </row>
    <row r="3079" spans="7:7" x14ac:dyDescent="0.2">
      <c r="G3079" s="7"/>
    </row>
    <row r="3080" spans="7:7" x14ac:dyDescent="0.2">
      <c r="G3080" s="7"/>
    </row>
    <row r="3081" spans="7:7" x14ac:dyDescent="0.2">
      <c r="G3081" s="7"/>
    </row>
    <row r="3082" spans="7:7" x14ac:dyDescent="0.2">
      <c r="G3082" s="7"/>
    </row>
    <row r="3083" spans="7:7" x14ac:dyDescent="0.2">
      <c r="G3083" s="7"/>
    </row>
    <row r="3084" spans="7:7" x14ac:dyDescent="0.2">
      <c r="G3084" s="7"/>
    </row>
    <row r="3085" spans="7:7" x14ac:dyDescent="0.2">
      <c r="G3085" s="7"/>
    </row>
    <row r="3086" spans="7:7" x14ac:dyDescent="0.2">
      <c r="G3086" s="7"/>
    </row>
    <row r="3087" spans="7:7" x14ac:dyDescent="0.2">
      <c r="G3087" s="7"/>
    </row>
    <row r="3088" spans="7:7" x14ac:dyDescent="0.2">
      <c r="G3088" s="7"/>
    </row>
    <row r="3089" spans="7:7" x14ac:dyDescent="0.2">
      <c r="G3089" s="7"/>
    </row>
    <row r="3090" spans="7:7" x14ac:dyDescent="0.2">
      <c r="G3090" s="7"/>
    </row>
    <row r="3091" spans="7:7" x14ac:dyDescent="0.2">
      <c r="G3091" s="7"/>
    </row>
    <row r="3092" spans="7:7" x14ac:dyDescent="0.2">
      <c r="G3092" s="7"/>
    </row>
    <row r="3093" spans="7:7" x14ac:dyDescent="0.2">
      <c r="G3093" s="7"/>
    </row>
    <row r="3094" spans="7:7" x14ac:dyDescent="0.2">
      <c r="G3094" s="7"/>
    </row>
    <row r="3095" spans="7:7" x14ac:dyDescent="0.2">
      <c r="G3095" s="7"/>
    </row>
    <row r="3096" spans="7:7" x14ac:dyDescent="0.2">
      <c r="G3096" s="7"/>
    </row>
    <row r="3097" spans="7:7" x14ac:dyDescent="0.2">
      <c r="G3097" s="7"/>
    </row>
    <row r="3098" spans="7:7" x14ac:dyDescent="0.2">
      <c r="G3098" s="7"/>
    </row>
    <row r="3099" spans="7:7" x14ac:dyDescent="0.2">
      <c r="G3099" s="7"/>
    </row>
    <row r="3100" spans="7:7" x14ac:dyDescent="0.2">
      <c r="G3100" s="7"/>
    </row>
    <row r="3101" spans="7:7" x14ac:dyDescent="0.2">
      <c r="G3101" s="7"/>
    </row>
    <row r="3102" spans="7:7" x14ac:dyDescent="0.2">
      <c r="G3102" s="7"/>
    </row>
    <row r="3103" spans="7:7" x14ac:dyDescent="0.2">
      <c r="G3103" s="7"/>
    </row>
    <row r="3104" spans="7:7" x14ac:dyDescent="0.2">
      <c r="G3104" s="7"/>
    </row>
    <row r="3105" spans="7:7" x14ac:dyDescent="0.2">
      <c r="G3105" s="7"/>
    </row>
    <row r="3106" spans="7:7" x14ac:dyDescent="0.2">
      <c r="G3106" s="7"/>
    </row>
    <row r="3107" spans="7:7" x14ac:dyDescent="0.2">
      <c r="G3107" s="7"/>
    </row>
    <row r="3108" spans="7:7" x14ac:dyDescent="0.2">
      <c r="G3108" s="7"/>
    </row>
    <row r="3109" spans="7:7" x14ac:dyDescent="0.2">
      <c r="G3109" s="7"/>
    </row>
    <row r="3110" spans="7:7" x14ac:dyDescent="0.2">
      <c r="G3110" s="7"/>
    </row>
    <row r="3111" spans="7:7" x14ac:dyDescent="0.2">
      <c r="G3111" s="7"/>
    </row>
    <row r="3112" spans="7:7" x14ac:dyDescent="0.2">
      <c r="G3112" s="7"/>
    </row>
    <row r="3113" spans="7:7" x14ac:dyDescent="0.2">
      <c r="G3113" s="7"/>
    </row>
    <row r="3114" spans="7:7" x14ac:dyDescent="0.2">
      <c r="G3114" s="7"/>
    </row>
    <row r="3115" spans="7:7" x14ac:dyDescent="0.2">
      <c r="G3115" s="7"/>
    </row>
    <row r="3116" spans="7:7" x14ac:dyDescent="0.2">
      <c r="G3116" s="7"/>
    </row>
    <row r="3117" spans="7:7" x14ac:dyDescent="0.2">
      <c r="G3117" s="7"/>
    </row>
    <row r="3118" spans="7:7" x14ac:dyDescent="0.2">
      <c r="G3118" s="7"/>
    </row>
    <row r="3119" spans="7:7" x14ac:dyDescent="0.2">
      <c r="G3119" s="7"/>
    </row>
    <row r="3120" spans="7:7" x14ac:dyDescent="0.2">
      <c r="G3120" s="7"/>
    </row>
    <row r="3121" spans="7:7" x14ac:dyDescent="0.2">
      <c r="G3121" s="7"/>
    </row>
    <row r="3122" spans="7:7" x14ac:dyDescent="0.2">
      <c r="G3122" s="7"/>
    </row>
    <row r="3123" spans="7:7" x14ac:dyDescent="0.2">
      <c r="G3123" s="7"/>
    </row>
    <row r="3124" spans="7:7" x14ac:dyDescent="0.2">
      <c r="G3124" s="7"/>
    </row>
    <row r="3125" spans="7:7" x14ac:dyDescent="0.2">
      <c r="G3125" s="7"/>
    </row>
    <row r="3126" spans="7:7" x14ac:dyDescent="0.2">
      <c r="G3126" s="7"/>
    </row>
    <row r="3127" spans="7:7" x14ac:dyDescent="0.2">
      <c r="G3127" s="7"/>
    </row>
    <row r="3128" spans="7:7" x14ac:dyDescent="0.2">
      <c r="G3128" s="7"/>
    </row>
    <row r="3129" spans="7:7" x14ac:dyDescent="0.2">
      <c r="G3129" s="7"/>
    </row>
    <row r="3130" spans="7:7" x14ac:dyDescent="0.2">
      <c r="G3130" s="7"/>
    </row>
    <row r="3131" spans="7:7" x14ac:dyDescent="0.2">
      <c r="G3131" s="7"/>
    </row>
    <row r="3132" spans="7:7" x14ac:dyDescent="0.2">
      <c r="G3132" s="7"/>
    </row>
    <row r="3133" spans="7:7" x14ac:dyDescent="0.2">
      <c r="G3133" s="7"/>
    </row>
    <row r="3134" spans="7:7" x14ac:dyDescent="0.2">
      <c r="G3134" s="7"/>
    </row>
    <row r="3135" spans="7:7" x14ac:dyDescent="0.2">
      <c r="G3135" s="7"/>
    </row>
    <row r="3136" spans="7:7" x14ac:dyDescent="0.2">
      <c r="G3136" s="7"/>
    </row>
    <row r="3137" spans="7:7" x14ac:dyDescent="0.2">
      <c r="G3137" s="7"/>
    </row>
    <row r="3138" spans="7:7" x14ac:dyDescent="0.2">
      <c r="G3138" s="7"/>
    </row>
    <row r="3139" spans="7:7" x14ac:dyDescent="0.2">
      <c r="G3139" s="7"/>
    </row>
    <row r="3140" spans="7:7" x14ac:dyDescent="0.2">
      <c r="G3140" s="7"/>
    </row>
    <row r="3141" spans="7:7" x14ac:dyDescent="0.2">
      <c r="G3141" s="7"/>
    </row>
    <row r="3142" spans="7:7" x14ac:dyDescent="0.2">
      <c r="G3142" s="7"/>
    </row>
    <row r="3143" spans="7:7" x14ac:dyDescent="0.2">
      <c r="G3143" s="7"/>
    </row>
    <row r="3144" spans="7:7" x14ac:dyDescent="0.2">
      <c r="G3144" s="7"/>
    </row>
    <row r="3145" spans="7:7" x14ac:dyDescent="0.2">
      <c r="G3145" s="7"/>
    </row>
    <row r="3146" spans="7:7" x14ac:dyDescent="0.2">
      <c r="G3146" s="7"/>
    </row>
    <row r="3147" spans="7:7" x14ac:dyDescent="0.2">
      <c r="G3147" s="7"/>
    </row>
    <row r="3148" spans="7:7" x14ac:dyDescent="0.2">
      <c r="G3148" s="7"/>
    </row>
    <row r="3149" spans="7:7" x14ac:dyDescent="0.2">
      <c r="G3149" s="7"/>
    </row>
    <row r="3150" spans="7:7" x14ac:dyDescent="0.2">
      <c r="G3150" s="7"/>
    </row>
    <row r="3151" spans="7:7" x14ac:dyDescent="0.2">
      <c r="G3151" s="7"/>
    </row>
    <row r="3152" spans="7:7" x14ac:dyDescent="0.2">
      <c r="G3152" s="7"/>
    </row>
    <row r="3153" spans="7:7" x14ac:dyDescent="0.2">
      <c r="G3153" s="7"/>
    </row>
    <row r="3154" spans="7:7" x14ac:dyDescent="0.2">
      <c r="G3154" s="7"/>
    </row>
    <row r="3155" spans="7:7" x14ac:dyDescent="0.2">
      <c r="G3155" s="7"/>
    </row>
    <row r="3156" spans="7:7" x14ac:dyDescent="0.2">
      <c r="G3156" s="7"/>
    </row>
    <row r="3157" spans="7:7" x14ac:dyDescent="0.2">
      <c r="G3157" s="7"/>
    </row>
    <row r="3158" spans="7:7" x14ac:dyDescent="0.2">
      <c r="G3158" s="7"/>
    </row>
    <row r="3159" spans="7:7" x14ac:dyDescent="0.2">
      <c r="G3159" s="7"/>
    </row>
    <row r="3160" spans="7:7" x14ac:dyDescent="0.2">
      <c r="G3160" s="7"/>
    </row>
    <row r="3161" spans="7:7" x14ac:dyDescent="0.2">
      <c r="G3161" s="7"/>
    </row>
    <row r="3162" spans="7:7" x14ac:dyDescent="0.2">
      <c r="G3162" s="7"/>
    </row>
    <row r="3163" spans="7:7" x14ac:dyDescent="0.2">
      <c r="G3163" s="7"/>
    </row>
    <row r="3164" spans="7:7" x14ac:dyDescent="0.2">
      <c r="G3164" s="7"/>
    </row>
    <row r="3165" spans="7:7" x14ac:dyDescent="0.2">
      <c r="G3165" s="7"/>
    </row>
    <row r="3166" spans="7:7" x14ac:dyDescent="0.2">
      <c r="G3166" s="7"/>
    </row>
    <row r="3167" spans="7:7" x14ac:dyDescent="0.2">
      <c r="G3167" s="7"/>
    </row>
    <row r="3168" spans="7:7" x14ac:dyDescent="0.2">
      <c r="G3168" s="7"/>
    </row>
    <row r="3169" spans="7:7" x14ac:dyDescent="0.2">
      <c r="G3169" s="7"/>
    </row>
    <row r="3170" spans="7:7" x14ac:dyDescent="0.2">
      <c r="G3170" s="7"/>
    </row>
    <row r="3171" spans="7:7" x14ac:dyDescent="0.2">
      <c r="G3171" s="7"/>
    </row>
    <row r="3172" spans="7:7" x14ac:dyDescent="0.2">
      <c r="G3172" s="7"/>
    </row>
    <row r="3173" spans="7:7" x14ac:dyDescent="0.2">
      <c r="G3173" s="7"/>
    </row>
    <row r="3174" spans="7:7" x14ac:dyDescent="0.2">
      <c r="G3174" s="7"/>
    </row>
    <row r="3175" spans="7:7" x14ac:dyDescent="0.2">
      <c r="G3175" s="7"/>
    </row>
    <row r="3176" spans="7:7" x14ac:dyDescent="0.2">
      <c r="G3176" s="7"/>
    </row>
    <row r="3177" spans="7:7" x14ac:dyDescent="0.2">
      <c r="G3177" s="7"/>
    </row>
    <row r="3178" spans="7:7" x14ac:dyDescent="0.2">
      <c r="G3178" s="7"/>
    </row>
    <row r="3179" spans="7:7" x14ac:dyDescent="0.2">
      <c r="G3179" s="7"/>
    </row>
    <row r="3180" spans="7:7" x14ac:dyDescent="0.2">
      <c r="G3180" s="7"/>
    </row>
    <row r="3181" spans="7:7" x14ac:dyDescent="0.2">
      <c r="G3181" s="7"/>
    </row>
    <row r="3182" spans="7:7" x14ac:dyDescent="0.2">
      <c r="G3182" s="7"/>
    </row>
    <row r="3183" spans="7:7" x14ac:dyDescent="0.2">
      <c r="G3183" s="7"/>
    </row>
    <row r="3184" spans="7:7" x14ac:dyDescent="0.2">
      <c r="G3184" s="7"/>
    </row>
    <row r="3185" spans="7:7" x14ac:dyDescent="0.2">
      <c r="G3185" s="7"/>
    </row>
    <row r="3186" spans="7:7" x14ac:dyDescent="0.2">
      <c r="G3186" s="7"/>
    </row>
    <row r="3187" spans="7:7" x14ac:dyDescent="0.2">
      <c r="G3187" s="7"/>
    </row>
    <row r="3188" spans="7:7" x14ac:dyDescent="0.2">
      <c r="G3188" s="7"/>
    </row>
    <row r="3189" spans="7:7" x14ac:dyDescent="0.2">
      <c r="G3189" s="7"/>
    </row>
    <row r="3190" spans="7:7" x14ac:dyDescent="0.2">
      <c r="G3190" s="7"/>
    </row>
    <row r="3191" spans="7:7" x14ac:dyDescent="0.2">
      <c r="G3191" s="7"/>
    </row>
    <row r="3192" spans="7:7" x14ac:dyDescent="0.2">
      <c r="G3192" s="7"/>
    </row>
    <row r="3193" spans="7:7" x14ac:dyDescent="0.2">
      <c r="G3193" s="7"/>
    </row>
    <row r="3194" spans="7:7" x14ac:dyDescent="0.2">
      <c r="G3194" s="7"/>
    </row>
    <row r="3195" spans="7:7" x14ac:dyDescent="0.2">
      <c r="G3195" s="7"/>
    </row>
    <row r="3196" spans="7:7" x14ac:dyDescent="0.2">
      <c r="G3196" s="7"/>
    </row>
    <row r="3197" spans="7:7" x14ac:dyDescent="0.2">
      <c r="G3197" s="7"/>
    </row>
    <row r="3198" spans="7:7" x14ac:dyDescent="0.2">
      <c r="G3198" s="7"/>
    </row>
    <row r="3199" spans="7:7" x14ac:dyDescent="0.2">
      <c r="G3199" s="7"/>
    </row>
    <row r="3200" spans="7:7" x14ac:dyDescent="0.2">
      <c r="G3200" s="7"/>
    </row>
    <row r="3201" spans="7:7" x14ac:dyDescent="0.2">
      <c r="G3201" s="7"/>
    </row>
    <row r="3202" spans="7:7" x14ac:dyDescent="0.2">
      <c r="G3202" s="7"/>
    </row>
    <row r="3203" spans="7:7" x14ac:dyDescent="0.2">
      <c r="G3203" s="7"/>
    </row>
    <row r="3204" spans="7:7" x14ac:dyDescent="0.2">
      <c r="G3204" s="7"/>
    </row>
    <row r="3205" spans="7:7" x14ac:dyDescent="0.2">
      <c r="G3205" s="7"/>
    </row>
    <row r="3206" spans="7:7" x14ac:dyDescent="0.2">
      <c r="G3206" s="7"/>
    </row>
    <row r="3207" spans="7:7" x14ac:dyDescent="0.2">
      <c r="G3207" s="7"/>
    </row>
    <row r="3208" spans="7:7" x14ac:dyDescent="0.2">
      <c r="G3208" s="7"/>
    </row>
    <row r="3209" spans="7:7" x14ac:dyDescent="0.2">
      <c r="G3209" s="7"/>
    </row>
    <row r="3210" spans="7:7" x14ac:dyDescent="0.2">
      <c r="G3210" s="7"/>
    </row>
    <row r="3211" spans="7:7" x14ac:dyDescent="0.2">
      <c r="G3211" s="7"/>
    </row>
    <row r="3212" spans="7:7" x14ac:dyDescent="0.2">
      <c r="G3212" s="7"/>
    </row>
    <row r="3213" spans="7:7" x14ac:dyDescent="0.2">
      <c r="G3213" s="7"/>
    </row>
    <row r="3214" spans="7:7" x14ac:dyDescent="0.2">
      <c r="G3214" s="7"/>
    </row>
    <row r="3215" spans="7:7" x14ac:dyDescent="0.2">
      <c r="G3215" s="7"/>
    </row>
    <row r="3216" spans="7:7" x14ac:dyDescent="0.2">
      <c r="G3216" s="7"/>
    </row>
    <row r="3217" spans="7:7" x14ac:dyDescent="0.2">
      <c r="G3217" s="7"/>
    </row>
    <row r="3218" spans="7:7" x14ac:dyDescent="0.2">
      <c r="G3218" s="7"/>
    </row>
    <row r="3219" spans="7:7" x14ac:dyDescent="0.2">
      <c r="G3219" s="7"/>
    </row>
    <row r="3220" spans="7:7" x14ac:dyDescent="0.2">
      <c r="G3220" s="7"/>
    </row>
    <row r="3221" spans="7:7" x14ac:dyDescent="0.2">
      <c r="G3221" s="7"/>
    </row>
    <row r="3222" spans="7:7" x14ac:dyDescent="0.2">
      <c r="G3222" s="7"/>
    </row>
    <row r="3223" spans="7:7" x14ac:dyDescent="0.2">
      <c r="G3223" s="7"/>
    </row>
    <row r="3224" spans="7:7" x14ac:dyDescent="0.2">
      <c r="G3224" s="7"/>
    </row>
    <row r="3225" spans="7:7" x14ac:dyDescent="0.2">
      <c r="G3225" s="7"/>
    </row>
    <row r="3226" spans="7:7" x14ac:dyDescent="0.2">
      <c r="G3226" s="7"/>
    </row>
    <row r="3227" spans="7:7" x14ac:dyDescent="0.2">
      <c r="G3227" s="7"/>
    </row>
    <row r="3228" spans="7:7" x14ac:dyDescent="0.2">
      <c r="G3228" s="7"/>
    </row>
    <row r="3229" spans="7:7" x14ac:dyDescent="0.2">
      <c r="G3229" s="7"/>
    </row>
    <row r="3230" spans="7:7" x14ac:dyDescent="0.2">
      <c r="G3230" s="7"/>
    </row>
    <row r="3231" spans="7:7" x14ac:dyDescent="0.2">
      <c r="G3231" s="7"/>
    </row>
    <row r="3232" spans="7:7" x14ac:dyDescent="0.2">
      <c r="G3232" s="7"/>
    </row>
    <row r="3233" spans="7:7" x14ac:dyDescent="0.2">
      <c r="G3233" s="7"/>
    </row>
    <row r="3234" spans="7:7" x14ac:dyDescent="0.2">
      <c r="G3234" s="7"/>
    </row>
    <row r="3235" spans="7:7" x14ac:dyDescent="0.2">
      <c r="G3235" s="7"/>
    </row>
    <row r="3236" spans="7:7" x14ac:dyDescent="0.2">
      <c r="G3236" s="7"/>
    </row>
    <row r="3237" spans="7:7" x14ac:dyDescent="0.2">
      <c r="G3237" s="7"/>
    </row>
    <row r="3238" spans="7:7" x14ac:dyDescent="0.2">
      <c r="G3238" s="7"/>
    </row>
    <row r="3239" spans="7:7" x14ac:dyDescent="0.2">
      <c r="G3239" s="7"/>
    </row>
    <row r="3240" spans="7:7" x14ac:dyDescent="0.2">
      <c r="G3240" s="7"/>
    </row>
    <row r="3241" spans="7:7" x14ac:dyDescent="0.2">
      <c r="G3241" s="7"/>
    </row>
    <row r="3242" spans="7:7" x14ac:dyDescent="0.2">
      <c r="G3242" s="7"/>
    </row>
    <row r="3243" spans="7:7" x14ac:dyDescent="0.2">
      <c r="G3243" s="7"/>
    </row>
    <row r="3244" spans="7:7" x14ac:dyDescent="0.2">
      <c r="G3244" s="7"/>
    </row>
    <row r="3245" spans="7:7" x14ac:dyDescent="0.2">
      <c r="G3245" s="7"/>
    </row>
    <row r="3246" spans="7:7" x14ac:dyDescent="0.2">
      <c r="G3246" s="7"/>
    </row>
    <row r="3247" spans="7:7" x14ac:dyDescent="0.2">
      <c r="G3247" s="7"/>
    </row>
    <row r="3248" spans="7:7" x14ac:dyDescent="0.2">
      <c r="G3248" s="7"/>
    </row>
    <row r="3249" spans="7:7" x14ac:dyDescent="0.2">
      <c r="G3249" s="7"/>
    </row>
    <row r="3250" spans="7:7" x14ac:dyDescent="0.2">
      <c r="G3250" s="7"/>
    </row>
    <row r="3251" spans="7:7" x14ac:dyDescent="0.2">
      <c r="G3251" s="7"/>
    </row>
    <row r="3252" spans="7:7" x14ac:dyDescent="0.2">
      <c r="G3252" s="7"/>
    </row>
    <row r="3253" spans="7:7" x14ac:dyDescent="0.2">
      <c r="G3253" s="7"/>
    </row>
    <row r="3254" spans="7:7" x14ac:dyDescent="0.2">
      <c r="G3254" s="7"/>
    </row>
    <row r="3255" spans="7:7" x14ac:dyDescent="0.2">
      <c r="G3255" s="7"/>
    </row>
    <row r="3256" spans="7:7" x14ac:dyDescent="0.2">
      <c r="G3256" s="7"/>
    </row>
    <row r="3257" spans="7:7" x14ac:dyDescent="0.2">
      <c r="G3257" s="7"/>
    </row>
    <row r="3258" spans="7:7" x14ac:dyDescent="0.2">
      <c r="G3258" s="7"/>
    </row>
    <row r="3259" spans="7:7" x14ac:dyDescent="0.2">
      <c r="G3259" s="7"/>
    </row>
    <row r="3260" spans="7:7" x14ac:dyDescent="0.2">
      <c r="G3260" s="7"/>
    </row>
    <row r="3261" spans="7:7" x14ac:dyDescent="0.2">
      <c r="G3261" s="7"/>
    </row>
    <row r="3262" spans="7:7" x14ac:dyDescent="0.2">
      <c r="G3262" s="7"/>
    </row>
    <row r="3263" spans="7:7" x14ac:dyDescent="0.2">
      <c r="G3263" s="7"/>
    </row>
    <row r="3264" spans="7:7" x14ac:dyDescent="0.2">
      <c r="G3264" s="7"/>
    </row>
    <row r="3265" spans="7:7" x14ac:dyDescent="0.2">
      <c r="G3265" s="7"/>
    </row>
    <row r="3266" spans="7:7" x14ac:dyDescent="0.2">
      <c r="G3266" s="7"/>
    </row>
    <row r="3267" spans="7:7" x14ac:dyDescent="0.2">
      <c r="G3267" s="7"/>
    </row>
    <row r="3268" spans="7:7" x14ac:dyDescent="0.2">
      <c r="G3268" s="7"/>
    </row>
    <row r="3269" spans="7:7" x14ac:dyDescent="0.2">
      <c r="G3269" s="7"/>
    </row>
    <row r="3270" spans="7:7" x14ac:dyDescent="0.2">
      <c r="G3270" s="7"/>
    </row>
    <row r="3271" spans="7:7" x14ac:dyDescent="0.2">
      <c r="G3271" s="7"/>
    </row>
    <row r="3272" spans="7:7" x14ac:dyDescent="0.2">
      <c r="G3272" s="7"/>
    </row>
    <row r="3273" spans="7:7" x14ac:dyDescent="0.2">
      <c r="G3273" s="7"/>
    </row>
    <row r="3274" spans="7:7" x14ac:dyDescent="0.2">
      <c r="G3274" s="7"/>
    </row>
    <row r="3275" spans="7:7" x14ac:dyDescent="0.2">
      <c r="G3275" s="7"/>
    </row>
    <row r="3276" spans="7:7" x14ac:dyDescent="0.2">
      <c r="G3276" s="7"/>
    </row>
    <row r="3277" spans="7:7" x14ac:dyDescent="0.2">
      <c r="G3277" s="7"/>
    </row>
    <row r="3278" spans="7:7" x14ac:dyDescent="0.2">
      <c r="G3278" s="7"/>
    </row>
    <row r="3279" spans="7:7" x14ac:dyDescent="0.2">
      <c r="G3279" s="7"/>
    </row>
    <row r="3280" spans="7:7" x14ac:dyDescent="0.2">
      <c r="G3280" s="7"/>
    </row>
    <row r="3281" spans="7:7" x14ac:dyDescent="0.2">
      <c r="G3281" s="7"/>
    </row>
    <row r="3282" spans="7:7" x14ac:dyDescent="0.2">
      <c r="G3282" s="7"/>
    </row>
    <row r="3283" spans="7:7" x14ac:dyDescent="0.2">
      <c r="G3283" s="7"/>
    </row>
    <row r="3284" spans="7:7" x14ac:dyDescent="0.2">
      <c r="G3284" s="7"/>
    </row>
    <row r="3285" spans="7:7" x14ac:dyDescent="0.2">
      <c r="G3285" s="7"/>
    </row>
    <row r="3286" spans="7:7" x14ac:dyDescent="0.2">
      <c r="G3286" s="7"/>
    </row>
    <row r="3287" spans="7:7" x14ac:dyDescent="0.2">
      <c r="G3287" s="7"/>
    </row>
    <row r="3288" spans="7:7" x14ac:dyDescent="0.2">
      <c r="G3288" s="7"/>
    </row>
    <row r="3289" spans="7:7" x14ac:dyDescent="0.2">
      <c r="G3289" s="7"/>
    </row>
    <row r="3290" spans="7:7" x14ac:dyDescent="0.2">
      <c r="G3290" s="7"/>
    </row>
    <row r="3291" spans="7:7" x14ac:dyDescent="0.2">
      <c r="G3291" s="7"/>
    </row>
    <row r="3292" spans="7:7" x14ac:dyDescent="0.2">
      <c r="G3292" s="7"/>
    </row>
    <row r="3293" spans="7:7" x14ac:dyDescent="0.2">
      <c r="G3293" s="7"/>
    </row>
    <row r="3294" spans="7:7" x14ac:dyDescent="0.2">
      <c r="G3294" s="7"/>
    </row>
    <row r="3295" spans="7:7" x14ac:dyDescent="0.2">
      <c r="G3295" s="7"/>
    </row>
    <row r="3296" spans="7:7" x14ac:dyDescent="0.2">
      <c r="G3296" s="7"/>
    </row>
    <row r="3297" spans="7:7" x14ac:dyDescent="0.2">
      <c r="G3297" s="7"/>
    </row>
    <row r="3298" spans="7:7" x14ac:dyDescent="0.2">
      <c r="G3298" s="7"/>
    </row>
    <row r="3299" spans="7:7" x14ac:dyDescent="0.2">
      <c r="G3299" s="7"/>
    </row>
    <row r="3300" spans="7:7" x14ac:dyDescent="0.2">
      <c r="G3300" s="7"/>
    </row>
    <row r="3301" spans="7:7" x14ac:dyDescent="0.2">
      <c r="G3301" s="7"/>
    </row>
    <row r="3302" spans="7:7" x14ac:dyDescent="0.2">
      <c r="G3302" s="7"/>
    </row>
    <row r="3303" spans="7:7" x14ac:dyDescent="0.2">
      <c r="G3303" s="7"/>
    </row>
    <row r="3304" spans="7:7" x14ac:dyDescent="0.2">
      <c r="G3304" s="7"/>
    </row>
    <row r="3305" spans="7:7" x14ac:dyDescent="0.2">
      <c r="G3305" s="7"/>
    </row>
    <row r="3306" spans="7:7" x14ac:dyDescent="0.2">
      <c r="G3306" s="7"/>
    </row>
    <row r="3307" spans="7:7" x14ac:dyDescent="0.2">
      <c r="G3307" s="7"/>
    </row>
    <row r="3308" spans="7:7" x14ac:dyDescent="0.2">
      <c r="G3308" s="7"/>
    </row>
    <row r="3309" spans="7:7" x14ac:dyDescent="0.2">
      <c r="G3309" s="7"/>
    </row>
    <row r="3310" spans="7:7" x14ac:dyDescent="0.2">
      <c r="G3310" s="7"/>
    </row>
    <row r="3311" spans="7:7" x14ac:dyDescent="0.2">
      <c r="G3311" s="7"/>
    </row>
    <row r="3312" spans="7:7" x14ac:dyDescent="0.2">
      <c r="G3312" s="7"/>
    </row>
    <row r="3313" spans="7:7" x14ac:dyDescent="0.2">
      <c r="G3313" s="7"/>
    </row>
    <row r="3314" spans="7:7" x14ac:dyDescent="0.2">
      <c r="G3314" s="7"/>
    </row>
    <row r="3315" spans="7:7" x14ac:dyDescent="0.2">
      <c r="G3315" s="7"/>
    </row>
    <row r="3316" spans="7:7" x14ac:dyDescent="0.2">
      <c r="G3316" s="7"/>
    </row>
    <row r="3317" spans="7:7" x14ac:dyDescent="0.2">
      <c r="G3317" s="7"/>
    </row>
    <row r="3318" spans="7:7" x14ac:dyDescent="0.2">
      <c r="G3318" s="7"/>
    </row>
    <row r="3319" spans="7:7" x14ac:dyDescent="0.2">
      <c r="G3319" s="7"/>
    </row>
    <row r="3320" spans="7:7" x14ac:dyDescent="0.2">
      <c r="G3320" s="7"/>
    </row>
    <row r="3321" spans="7:7" x14ac:dyDescent="0.2">
      <c r="G3321" s="7"/>
    </row>
    <row r="3322" spans="7:7" x14ac:dyDescent="0.2">
      <c r="G3322" s="7"/>
    </row>
    <row r="3323" spans="7:7" x14ac:dyDescent="0.2">
      <c r="G3323" s="7"/>
    </row>
    <row r="3324" spans="7:7" x14ac:dyDescent="0.2">
      <c r="G3324" s="7"/>
    </row>
    <row r="3325" spans="7:7" x14ac:dyDescent="0.2">
      <c r="G3325" s="7"/>
    </row>
    <row r="3326" spans="7:7" x14ac:dyDescent="0.2">
      <c r="G3326" s="7"/>
    </row>
    <row r="3327" spans="7:7" x14ac:dyDescent="0.2">
      <c r="G3327" s="7"/>
    </row>
    <row r="3328" spans="7:7" x14ac:dyDescent="0.2">
      <c r="G3328" s="7"/>
    </row>
    <row r="3329" spans="7:7" x14ac:dyDescent="0.2">
      <c r="G3329" s="7"/>
    </row>
    <row r="3330" spans="7:7" x14ac:dyDescent="0.2">
      <c r="G3330" s="7"/>
    </row>
    <row r="3331" spans="7:7" x14ac:dyDescent="0.2">
      <c r="G3331" s="7"/>
    </row>
    <row r="3332" spans="7:7" x14ac:dyDescent="0.2">
      <c r="G3332" s="7"/>
    </row>
    <row r="3333" spans="7:7" x14ac:dyDescent="0.2">
      <c r="G3333" s="7"/>
    </row>
    <row r="3334" spans="7:7" x14ac:dyDescent="0.2">
      <c r="G3334" s="7"/>
    </row>
    <row r="3335" spans="7:7" x14ac:dyDescent="0.2">
      <c r="G3335" s="7"/>
    </row>
    <row r="3336" spans="7:7" x14ac:dyDescent="0.2">
      <c r="G3336" s="7"/>
    </row>
    <row r="3337" spans="7:7" x14ac:dyDescent="0.2">
      <c r="G3337" s="7"/>
    </row>
    <row r="3338" spans="7:7" x14ac:dyDescent="0.2">
      <c r="G3338" s="7"/>
    </row>
    <row r="3339" spans="7:7" x14ac:dyDescent="0.2">
      <c r="G3339" s="7"/>
    </row>
    <row r="3340" spans="7:7" x14ac:dyDescent="0.2">
      <c r="G3340" s="7"/>
    </row>
    <row r="3341" spans="7:7" x14ac:dyDescent="0.2">
      <c r="G3341" s="7"/>
    </row>
    <row r="3342" spans="7:7" x14ac:dyDescent="0.2">
      <c r="G3342" s="7"/>
    </row>
    <row r="3343" spans="7:7" x14ac:dyDescent="0.2">
      <c r="G3343" s="7"/>
    </row>
    <row r="3344" spans="7:7" x14ac:dyDescent="0.2">
      <c r="G3344" s="7"/>
    </row>
    <row r="3345" spans="7:7" x14ac:dyDescent="0.2">
      <c r="G3345" s="7"/>
    </row>
    <row r="3346" spans="7:7" x14ac:dyDescent="0.2">
      <c r="G3346" s="7"/>
    </row>
    <row r="3347" spans="7:7" x14ac:dyDescent="0.2">
      <c r="G3347" s="7"/>
    </row>
    <row r="3348" spans="7:7" x14ac:dyDescent="0.2">
      <c r="G3348" s="7"/>
    </row>
    <row r="3349" spans="7:7" x14ac:dyDescent="0.2">
      <c r="G3349" s="7"/>
    </row>
    <row r="3350" spans="7:7" x14ac:dyDescent="0.2">
      <c r="G3350" s="7"/>
    </row>
    <row r="3351" spans="7:7" x14ac:dyDescent="0.2">
      <c r="G3351" s="7"/>
    </row>
    <row r="3352" spans="7:7" x14ac:dyDescent="0.2">
      <c r="G3352" s="7"/>
    </row>
    <row r="3353" spans="7:7" x14ac:dyDescent="0.2">
      <c r="G3353" s="7"/>
    </row>
    <row r="3354" spans="7:7" x14ac:dyDescent="0.2">
      <c r="G3354" s="7"/>
    </row>
    <row r="3355" spans="7:7" x14ac:dyDescent="0.2">
      <c r="G3355" s="7"/>
    </row>
    <row r="3356" spans="7:7" x14ac:dyDescent="0.2">
      <c r="G3356" s="7"/>
    </row>
    <row r="3357" spans="7:7" x14ac:dyDescent="0.2">
      <c r="G3357" s="7"/>
    </row>
    <row r="3358" spans="7:7" x14ac:dyDescent="0.2">
      <c r="G3358" s="7"/>
    </row>
    <row r="3359" spans="7:7" x14ac:dyDescent="0.2">
      <c r="G3359" s="7"/>
    </row>
    <row r="3360" spans="7:7" x14ac:dyDescent="0.2">
      <c r="G3360" s="7"/>
    </row>
    <row r="3361" spans="7:7" x14ac:dyDescent="0.2">
      <c r="G3361" s="7"/>
    </row>
    <row r="3362" spans="7:7" x14ac:dyDescent="0.2">
      <c r="G3362" s="7"/>
    </row>
    <row r="3363" spans="7:7" x14ac:dyDescent="0.2">
      <c r="G3363" s="7"/>
    </row>
    <row r="3364" spans="7:7" x14ac:dyDescent="0.2">
      <c r="G3364" s="7"/>
    </row>
    <row r="3365" spans="7:7" x14ac:dyDescent="0.2">
      <c r="G3365" s="7"/>
    </row>
    <row r="3366" spans="7:7" x14ac:dyDescent="0.2">
      <c r="G3366" s="7"/>
    </row>
    <row r="3367" spans="7:7" x14ac:dyDescent="0.2">
      <c r="G3367" s="7"/>
    </row>
    <row r="3368" spans="7:7" x14ac:dyDescent="0.2">
      <c r="G3368" s="7"/>
    </row>
    <row r="3369" spans="7:7" x14ac:dyDescent="0.2">
      <c r="G3369" s="7"/>
    </row>
    <row r="3370" spans="7:7" x14ac:dyDescent="0.2">
      <c r="G3370" s="7"/>
    </row>
    <row r="3371" spans="7:7" x14ac:dyDescent="0.2">
      <c r="G3371" s="7"/>
    </row>
    <row r="3372" spans="7:7" x14ac:dyDescent="0.2">
      <c r="G3372" s="7"/>
    </row>
    <row r="3373" spans="7:7" x14ac:dyDescent="0.2">
      <c r="G3373" s="7"/>
    </row>
    <row r="3374" spans="7:7" x14ac:dyDescent="0.2">
      <c r="G3374" s="7"/>
    </row>
    <row r="3375" spans="7:7" x14ac:dyDescent="0.2">
      <c r="G3375" s="7"/>
    </row>
    <row r="3376" spans="7:7" x14ac:dyDescent="0.2">
      <c r="G3376" s="7"/>
    </row>
    <row r="3377" spans="7:7" x14ac:dyDescent="0.2">
      <c r="G3377" s="7"/>
    </row>
    <row r="3378" spans="7:7" x14ac:dyDescent="0.2">
      <c r="G3378" s="7"/>
    </row>
    <row r="3379" spans="7:7" x14ac:dyDescent="0.2">
      <c r="G3379" s="7"/>
    </row>
    <row r="3380" spans="7:7" x14ac:dyDescent="0.2">
      <c r="G3380" s="7"/>
    </row>
    <row r="3381" spans="7:7" x14ac:dyDescent="0.2">
      <c r="G3381" s="7"/>
    </row>
    <row r="3382" spans="7:7" x14ac:dyDescent="0.2">
      <c r="G3382" s="7"/>
    </row>
    <row r="3383" spans="7:7" x14ac:dyDescent="0.2">
      <c r="G3383" s="7"/>
    </row>
    <row r="3384" spans="7:7" x14ac:dyDescent="0.2">
      <c r="G3384" s="7"/>
    </row>
    <row r="3385" spans="7:7" x14ac:dyDescent="0.2">
      <c r="G3385" s="7"/>
    </row>
    <row r="3386" spans="7:7" x14ac:dyDescent="0.2">
      <c r="G3386" s="7"/>
    </row>
    <row r="3387" spans="7:7" x14ac:dyDescent="0.2">
      <c r="G3387" s="7"/>
    </row>
    <row r="3388" spans="7:7" x14ac:dyDescent="0.2">
      <c r="G3388" s="7"/>
    </row>
    <row r="3389" spans="7:7" x14ac:dyDescent="0.2">
      <c r="G3389" s="7"/>
    </row>
    <row r="3390" spans="7:7" x14ac:dyDescent="0.2">
      <c r="G3390" s="7"/>
    </row>
    <row r="3391" spans="7:7" x14ac:dyDescent="0.2">
      <c r="G3391" s="7"/>
    </row>
    <row r="3392" spans="7:7" x14ac:dyDescent="0.2">
      <c r="G3392" s="7"/>
    </row>
    <row r="3393" spans="7:7" x14ac:dyDescent="0.2">
      <c r="G3393" s="7"/>
    </row>
    <row r="3394" spans="7:7" x14ac:dyDescent="0.2">
      <c r="G3394" s="7"/>
    </row>
    <row r="3395" spans="7:7" x14ac:dyDescent="0.2">
      <c r="G3395" s="7"/>
    </row>
    <row r="3396" spans="7:7" x14ac:dyDescent="0.2">
      <c r="G3396" s="7"/>
    </row>
    <row r="3397" spans="7:7" x14ac:dyDescent="0.2">
      <c r="G3397" s="7"/>
    </row>
    <row r="3398" spans="7:7" x14ac:dyDescent="0.2">
      <c r="G3398" s="7"/>
    </row>
    <row r="3399" spans="7:7" x14ac:dyDescent="0.2">
      <c r="G3399" s="7"/>
    </row>
    <row r="3400" spans="7:7" x14ac:dyDescent="0.2">
      <c r="G3400" s="7"/>
    </row>
    <row r="3401" spans="7:7" x14ac:dyDescent="0.2">
      <c r="G3401" s="7"/>
    </row>
    <row r="3402" spans="7:7" x14ac:dyDescent="0.2">
      <c r="G3402" s="7"/>
    </row>
    <row r="3403" spans="7:7" x14ac:dyDescent="0.2">
      <c r="G3403" s="7"/>
    </row>
    <row r="3404" spans="7:7" x14ac:dyDescent="0.2">
      <c r="G3404" s="7"/>
    </row>
    <row r="3405" spans="7:7" x14ac:dyDescent="0.2">
      <c r="G3405" s="7"/>
    </row>
    <row r="3406" spans="7:7" x14ac:dyDescent="0.2">
      <c r="G3406" s="7"/>
    </row>
    <row r="3407" spans="7:7" x14ac:dyDescent="0.2">
      <c r="G3407" s="7"/>
    </row>
    <row r="3408" spans="7:7" x14ac:dyDescent="0.2">
      <c r="G3408" s="7"/>
    </row>
    <row r="3409" spans="7:7" x14ac:dyDescent="0.2">
      <c r="G3409" s="7"/>
    </row>
    <row r="3410" spans="7:7" x14ac:dyDescent="0.2">
      <c r="G3410" s="7"/>
    </row>
    <row r="3411" spans="7:7" x14ac:dyDescent="0.2">
      <c r="G3411" s="7"/>
    </row>
    <row r="3412" spans="7:7" x14ac:dyDescent="0.2">
      <c r="G3412" s="7"/>
    </row>
    <row r="3413" spans="7:7" x14ac:dyDescent="0.2">
      <c r="G3413" s="7"/>
    </row>
    <row r="3414" spans="7:7" x14ac:dyDescent="0.2">
      <c r="G3414" s="7"/>
    </row>
    <row r="3415" spans="7:7" x14ac:dyDescent="0.2">
      <c r="G3415" s="7"/>
    </row>
    <row r="3416" spans="7:7" x14ac:dyDescent="0.2">
      <c r="G3416" s="7"/>
    </row>
    <row r="3417" spans="7:7" x14ac:dyDescent="0.2">
      <c r="G3417" s="7"/>
    </row>
    <row r="3418" spans="7:7" x14ac:dyDescent="0.2">
      <c r="G3418" s="7"/>
    </row>
    <row r="3419" spans="7:7" x14ac:dyDescent="0.2">
      <c r="G3419" s="7"/>
    </row>
    <row r="3420" spans="7:7" x14ac:dyDescent="0.2">
      <c r="G3420" s="7"/>
    </row>
    <row r="3421" spans="7:7" x14ac:dyDescent="0.2">
      <c r="G3421" s="7"/>
    </row>
    <row r="3422" spans="7:7" x14ac:dyDescent="0.2">
      <c r="G3422" s="7"/>
    </row>
    <row r="3423" spans="7:7" x14ac:dyDescent="0.2">
      <c r="G3423" s="7"/>
    </row>
    <row r="3424" spans="7:7" x14ac:dyDescent="0.2">
      <c r="G3424" s="7"/>
    </row>
    <row r="3425" spans="7:7" x14ac:dyDescent="0.2">
      <c r="G3425" s="7"/>
    </row>
    <row r="3426" spans="7:7" x14ac:dyDescent="0.2">
      <c r="G3426" s="7"/>
    </row>
    <row r="3427" spans="7:7" x14ac:dyDescent="0.2">
      <c r="G3427" s="7"/>
    </row>
    <row r="3428" spans="7:7" x14ac:dyDescent="0.2">
      <c r="G3428" s="7"/>
    </row>
    <row r="3429" spans="7:7" x14ac:dyDescent="0.2">
      <c r="G3429" s="7"/>
    </row>
    <row r="3430" spans="7:7" x14ac:dyDescent="0.2">
      <c r="G3430" s="7"/>
    </row>
    <row r="3431" spans="7:7" x14ac:dyDescent="0.2">
      <c r="G3431" s="7"/>
    </row>
    <row r="3432" spans="7:7" x14ac:dyDescent="0.2">
      <c r="G3432" s="7"/>
    </row>
    <row r="3433" spans="7:7" x14ac:dyDescent="0.2">
      <c r="G3433" s="7"/>
    </row>
    <row r="3434" spans="7:7" x14ac:dyDescent="0.2">
      <c r="G3434" s="7"/>
    </row>
    <row r="3435" spans="7:7" x14ac:dyDescent="0.2">
      <c r="G3435" s="7"/>
    </row>
    <row r="3436" spans="7:7" x14ac:dyDescent="0.2">
      <c r="G3436" s="7"/>
    </row>
    <row r="3437" spans="7:7" x14ac:dyDescent="0.2">
      <c r="G3437" s="7"/>
    </row>
    <row r="3438" spans="7:7" x14ac:dyDescent="0.2">
      <c r="G3438" s="7"/>
    </row>
    <row r="3439" spans="7:7" x14ac:dyDescent="0.2">
      <c r="G3439" s="7"/>
    </row>
    <row r="3440" spans="7:7" x14ac:dyDescent="0.2">
      <c r="G3440" s="7"/>
    </row>
    <row r="3441" spans="7:7" x14ac:dyDescent="0.2">
      <c r="G3441" s="7"/>
    </row>
    <row r="3442" spans="7:7" x14ac:dyDescent="0.2">
      <c r="G3442" s="7"/>
    </row>
    <row r="3443" spans="7:7" x14ac:dyDescent="0.2">
      <c r="G3443" s="7"/>
    </row>
    <row r="3444" spans="7:7" x14ac:dyDescent="0.2">
      <c r="G3444" s="7"/>
    </row>
    <row r="3445" spans="7:7" x14ac:dyDescent="0.2">
      <c r="G3445" s="7"/>
    </row>
    <row r="3446" spans="7:7" x14ac:dyDescent="0.2">
      <c r="G3446" s="7"/>
    </row>
    <row r="3447" spans="7:7" x14ac:dyDescent="0.2">
      <c r="G3447" s="7"/>
    </row>
    <row r="3448" spans="7:7" x14ac:dyDescent="0.2">
      <c r="G3448" s="7"/>
    </row>
    <row r="3449" spans="7:7" x14ac:dyDescent="0.2">
      <c r="G3449" s="7"/>
    </row>
    <row r="3450" spans="7:7" x14ac:dyDescent="0.2">
      <c r="G3450" s="7"/>
    </row>
    <row r="3451" spans="7:7" x14ac:dyDescent="0.2">
      <c r="G3451" s="7"/>
    </row>
    <row r="3452" spans="7:7" x14ac:dyDescent="0.2">
      <c r="G3452" s="7"/>
    </row>
    <row r="3453" spans="7:7" x14ac:dyDescent="0.2">
      <c r="G3453" s="7"/>
    </row>
    <row r="3454" spans="7:7" x14ac:dyDescent="0.2">
      <c r="G3454" s="7"/>
    </row>
    <row r="3455" spans="7:7" x14ac:dyDescent="0.2">
      <c r="G3455" s="7"/>
    </row>
    <row r="3456" spans="7:7" x14ac:dyDescent="0.2">
      <c r="G3456" s="7"/>
    </row>
    <row r="3457" spans="7:7" x14ac:dyDescent="0.2">
      <c r="G3457" s="7"/>
    </row>
    <row r="3458" spans="7:7" x14ac:dyDescent="0.2">
      <c r="G3458" s="7"/>
    </row>
    <row r="3459" spans="7:7" x14ac:dyDescent="0.2">
      <c r="G3459" s="7"/>
    </row>
    <row r="3460" spans="7:7" x14ac:dyDescent="0.2">
      <c r="G3460" s="7"/>
    </row>
    <row r="3461" spans="7:7" x14ac:dyDescent="0.2">
      <c r="G3461" s="7"/>
    </row>
    <row r="3462" spans="7:7" x14ac:dyDescent="0.2">
      <c r="G3462" s="7"/>
    </row>
    <row r="3463" spans="7:7" x14ac:dyDescent="0.2">
      <c r="G3463" s="7"/>
    </row>
    <row r="3464" spans="7:7" x14ac:dyDescent="0.2">
      <c r="G3464" s="7"/>
    </row>
    <row r="3465" spans="7:7" x14ac:dyDescent="0.2">
      <c r="G3465" s="7"/>
    </row>
    <row r="3466" spans="7:7" x14ac:dyDescent="0.2">
      <c r="G3466" s="7"/>
    </row>
    <row r="3467" spans="7:7" x14ac:dyDescent="0.2">
      <c r="G3467" s="7"/>
    </row>
    <row r="3468" spans="7:7" x14ac:dyDescent="0.2">
      <c r="G3468" s="7"/>
    </row>
    <row r="3469" spans="7:7" x14ac:dyDescent="0.2">
      <c r="G3469" s="7"/>
    </row>
    <row r="3470" spans="7:7" x14ac:dyDescent="0.2">
      <c r="G3470" s="7"/>
    </row>
    <row r="3471" spans="7:7" x14ac:dyDescent="0.2">
      <c r="G3471" s="7"/>
    </row>
    <row r="3472" spans="7:7" x14ac:dyDescent="0.2">
      <c r="G3472" s="7"/>
    </row>
    <row r="3473" spans="7:7" x14ac:dyDescent="0.2">
      <c r="G3473" s="7"/>
    </row>
    <row r="3474" spans="7:7" x14ac:dyDescent="0.2">
      <c r="G3474" s="7"/>
    </row>
    <row r="3475" spans="7:7" x14ac:dyDescent="0.2">
      <c r="G3475" s="7"/>
    </row>
    <row r="3476" spans="7:7" x14ac:dyDescent="0.2">
      <c r="G3476" s="7"/>
    </row>
    <row r="3477" spans="7:7" x14ac:dyDescent="0.2">
      <c r="G3477" s="7"/>
    </row>
    <row r="3478" spans="7:7" x14ac:dyDescent="0.2">
      <c r="G3478" s="7"/>
    </row>
    <row r="3479" spans="7:7" x14ac:dyDescent="0.2">
      <c r="G3479" s="7"/>
    </row>
    <row r="3480" spans="7:7" x14ac:dyDescent="0.2">
      <c r="G3480" s="7"/>
    </row>
    <row r="3481" spans="7:7" x14ac:dyDescent="0.2">
      <c r="G3481" s="7"/>
    </row>
    <row r="3482" spans="7:7" x14ac:dyDescent="0.2">
      <c r="G3482" s="7"/>
    </row>
    <row r="3483" spans="7:7" x14ac:dyDescent="0.2">
      <c r="G3483" s="7"/>
    </row>
    <row r="3484" spans="7:7" x14ac:dyDescent="0.2">
      <c r="G3484" s="7"/>
    </row>
    <row r="3485" spans="7:7" x14ac:dyDescent="0.2">
      <c r="G3485" s="7"/>
    </row>
    <row r="3486" spans="7:7" x14ac:dyDescent="0.2">
      <c r="G3486" s="7"/>
    </row>
    <row r="3487" spans="7:7" x14ac:dyDescent="0.2">
      <c r="G3487" s="7"/>
    </row>
    <row r="3488" spans="7:7" x14ac:dyDescent="0.2">
      <c r="G3488" s="7"/>
    </row>
    <row r="3489" spans="7:7" x14ac:dyDescent="0.2">
      <c r="G3489" s="7"/>
    </row>
    <row r="3490" spans="7:7" x14ac:dyDescent="0.2">
      <c r="G3490" s="7"/>
    </row>
    <row r="3491" spans="7:7" x14ac:dyDescent="0.2">
      <c r="G3491" s="7"/>
    </row>
    <row r="3492" spans="7:7" x14ac:dyDescent="0.2">
      <c r="G3492" s="7"/>
    </row>
    <row r="3493" spans="7:7" x14ac:dyDescent="0.2">
      <c r="G3493" s="7"/>
    </row>
    <row r="3494" spans="7:7" x14ac:dyDescent="0.2">
      <c r="G3494" s="7"/>
    </row>
    <row r="3495" spans="7:7" x14ac:dyDescent="0.2">
      <c r="G3495" s="7"/>
    </row>
    <row r="3496" spans="7:7" x14ac:dyDescent="0.2">
      <c r="G3496" s="7"/>
    </row>
    <row r="3497" spans="7:7" x14ac:dyDescent="0.2">
      <c r="G3497" s="7"/>
    </row>
    <row r="3498" spans="7:7" x14ac:dyDescent="0.2">
      <c r="G3498" s="7"/>
    </row>
    <row r="3499" spans="7:7" x14ac:dyDescent="0.2">
      <c r="G3499" s="7"/>
    </row>
    <row r="3500" spans="7:7" x14ac:dyDescent="0.2">
      <c r="G3500" s="7"/>
    </row>
    <row r="3501" spans="7:7" x14ac:dyDescent="0.2">
      <c r="G3501" s="7"/>
    </row>
    <row r="3502" spans="7:7" x14ac:dyDescent="0.2">
      <c r="G3502" s="7"/>
    </row>
    <row r="3503" spans="7:7" x14ac:dyDescent="0.2">
      <c r="G3503" s="7"/>
    </row>
    <row r="3504" spans="7:7" x14ac:dyDescent="0.2">
      <c r="G3504" s="7"/>
    </row>
    <row r="3505" spans="7:7" x14ac:dyDescent="0.2">
      <c r="G3505" s="7"/>
    </row>
    <row r="3506" spans="7:7" x14ac:dyDescent="0.2">
      <c r="G3506" s="7"/>
    </row>
    <row r="3507" spans="7:7" x14ac:dyDescent="0.2">
      <c r="G3507" s="7"/>
    </row>
    <row r="3508" spans="7:7" x14ac:dyDescent="0.2">
      <c r="G3508" s="7"/>
    </row>
    <row r="3509" spans="7:7" x14ac:dyDescent="0.2">
      <c r="G3509" s="7"/>
    </row>
    <row r="3510" spans="7:7" x14ac:dyDescent="0.2">
      <c r="G3510" s="7"/>
    </row>
    <row r="3511" spans="7:7" x14ac:dyDescent="0.2">
      <c r="G3511" s="7"/>
    </row>
    <row r="3512" spans="7:7" x14ac:dyDescent="0.2">
      <c r="G3512" s="7"/>
    </row>
    <row r="3513" spans="7:7" x14ac:dyDescent="0.2">
      <c r="G3513" s="7"/>
    </row>
    <row r="3514" spans="7:7" x14ac:dyDescent="0.2">
      <c r="G3514" s="7"/>
    </row>
    <row r="3515" spans="7:7" x14ac:dyDescent="0.2">
      <c r="G3515" s="7"/>
    </row>
    <row r="3516" spans="7:7" x14ac:dyDescent="0.2">
      <c r="G3516" s="7"/>
    </row>
    <row r="3517" spans="7:7" x14ac:dyDescent="0.2">
      <c r="G3517" s="7"/>
    </row>
    <row r="3518" spans="7:7" x14ac:dyDescent="0.2">
      <c r="G3518" s="7"/>
    </row>
    <row r="3519" spans="7:7" x14ac:dyDescent="0.2">
      <c r="G3519" s="7"/>
    </row>
    <row r="3520" spans="7:7" x14ac:dyDescent="0.2">
      <c r="G3520" s="7"/>
    </row>
    <row r="3521" spans="7:7" x14ac:dyDescent="0.2">
      <c r="G3521" s="7"/>
    </row>
    <row r="3522" spans="7:7" x14ac:dyDescent="0.2">
      <c r="G3522" s="7"/>
    </row>
    <row r="3523" spans="7:7" x14ac:dyDescent="0.2">
      <c r="G3523" s="7"/>
    </row>
    <row r="3524" spans="7:7" x14ac:dyDescent="0.2">
      <c r="G3524" s="7"/>
    </row>
    <row r="3525" spans="7:7" x14ac:dyDescent="0.2">
      <c r="G3525" s="7"/>
    </row>
    <row r="3526" spans="7:7" x14ac:dyDescent="0.2">
      <c r="G3526" s="7"/>
    </row>
    <row r="3527" spans="7:7" x14ac:dyDescent="0.2">
      <c r="G3527" s="7"/>
    </row>
    <row r="3528" spans="7:7" x14ac:dyDescent="0.2">
      <c r="G3528" s="7"/>
    </row>
    <row r="3529" spans="7:7" x14ac:dyDescent="0.2">
      <c r="G3529" s="7"/>
    </row>
    <row r="3530" spans="7:7" x14ac:dyDescent="0.2">
      <c r="G3530" s="7"/>
    </row>
    <row r="3531" spans="7:7" x14ac:dyDescent="0.2">
      <c r="G3531" s="7"/>
    </row>
    <row r="3532" spans="7:7" x14ac:dyDescent="0.2">
      <c r="G3532" s="7"/>
    </row>
    <row r="3533" spans="7:7" x14ac:dyDescent="0.2">
      <c r="G3533" s="7"/>
    </row>
    <row r="3534" spans="7:7" x14ac:dyDescent="0.2">
      <c r="G3534" s="7"/>
    </row>
    <row r="3535" spans="7:7" x14ac:dyDescent="0.2">
      <c r="G3535" s="7"/>
    </row>
    <row r="3536" spans="7:7" x14ac:dyDescent="0.2">
      <c r="G3536" s="7"/>
    </row>
    <row r="3537" spans="7:7" x14ac:dyDescent="0.2">
      <c r="G3537" s="7"/>
    </row>
    <row r="3538" spans="7:7" x14ac:dyDescent="0.2">
      <c r="G3538" s="7"/>
    </row>
    <row r="3539" spans="7:7" x14ac:dyDescent="0.2">
      <c r="G3539" s="7"/>
    </row>
    <row r="3540" spans="7:7" x14ac:dyDescent="0.2">
      <c r="G3540" s="7"/>
    </row>
    <row r="3541" spans="7:7" x14ac:dyDescent="0.2">
      <c r="G3541" s="7"/>
    </row>
    <row r="3542" spans="7:7" x14ac:dyDescent="0.2">
      <c r="G3542" s="7"/>
    </row>
    <row r="3543" spans="7:7" x14ac:dyDescent="0.2">
      <c r="G3543" s="7"/>
    </row>
    <row r="3544" spans="7:7" x14ac:dyDescent="0.2">
      <c r="G3544" s="7"/>
    </row>
    <row r="3545" spans="7:7" x14ac:dyDescent="0.2">
      <c r="G3545" s="7"/>
    </row>
    <row r="3546" spans="7:7" x14ac:dyDescent="0.2">
      <c r="G3546" s="7"/>
    </row>
    <row r="3547" spans="7:7" x14ac:dyDescent="0.2">
      <c r="G3547" s="7"/>
    </row>
    <row r="3548" spans="7:7" x14ac:dyDescent="0.2">
      <c r="G3548" s="7"/>
    </row>
    <row r="3549" spans="7:7" x14ac:dyDescent="0.2">
      <c r="G3549" s="7"/>
    </row>
    <row r="3550" spans="7:7" x14ac:dyDescent="0.2">
      <c r="G3550" s="7"/>
    </row>
    <row r="3551" spans="7:7" x14ac:dyDescent="0.2">
      <c r="G3551" s="7"/>
    </row>
    <row r="3552" spans="7:7" x14ac:dyDescent="0.2">
      <c r="G3552" s="7"/>
    </row>
    <row r="3553" spans="7:7" x14ac:dyDescent="0.2">
      <c r="G3553" s="7"/>
    </row>
    <row r="3554" spans="7:7" x14ac:dyDescent="0.2">
      <c r="G3554" s="7"/>
    </row>
    <row r="3555" spans="7:7" x14ac:dyDescent="0.2">
      <c r="G3555" s="7"/>
    </row>
    <row r="3556" spans="7:7" x14ac:dyDescent="0.2">
      <c r="G3556" s="7"/>
    </row>
    <row r="3557" spans="7:7" x14ac:dyDescent="0.2">
      <c r="G3557" s="7"/>
    </row>
    <row r="3558" spans="7:7" x14ac:dyDescent="0.2">
      <c r="G3558" s="7"/>
    </row>
    <row r="3559" spans="7:7" x14ac:dyDescent="0.2">
      <c r="G3559" s="7"/>
    </row>
    <row r="3560" spans="7:7" x14ac:dyDescent="0.2">
      <c r="G3560" s="7"/>
    </row>
    <row r="3561" spans="7:7" x14ac:dyDescent="0.2">
      <c r="G3561" s="7"/>
    </row>
    <row r="3562" spans="7:7" x14ac:dyDescent="0.2">
      <c r="G3562" s="7"/>
    </row>
    <row r="3563" spans="7:7" x14ac:dyDescent="0.2">
      <c r="G3563" s="7"/>
    </row>
    <row r="3564" spans="7:7" x14ac:dyDescent="0.2">
      <c r="G3564" s="7"/>
    </row>
    <row r="3565" spans="7:7" x14ac:dyDescent="0.2">
      <c r="G3565" s="7"/>
    </row>
    <row r="3566" spans="7:7" x14ac:dyDescent="0.2">
      <c r="G3566" s="7"/>
    </row>
    <row r="3567" spans="7:7" x14ac:dyDescent="0.2">
      <c r="G3567" s="7"/>
    </row>
    <row r="3568" spans="7:7" x14ac:dyDescent="0.2">
      <c r="G3568" s="7"/>
    </row>
    <row r="3569" spans="7:7" x14ac:dyDescent="0.2">
      <c r="G3569" s="7"/>
    </row>
    <row r="3570" spans="7:7" x14ac:dyDescent="0.2">
      <c r="G3570" s="7"/>
    </row>
    <row r="3571" spans="7:7" x14ac:dyDescent="0.2">
      <c r="G3571" s="7"/>
    </row>
    <row r="3572" spans="7:7" x14ac:dyDescent="0.2">
      <c r="G3572" s="7"/>
    </row>
    <row r="3573" spans="7:7" x14ac:dyDescent="0.2">
      <c r="G3573" s="7"/>
    </row>
    <row r="3574" spans="7:7" x14ac:dyDescent="0.2">
      <c r="G3574" s="7"/>
    </row>
    <row r="3575" spans="7:7" x14ac:dyDescent="0.2">
      <c r="G3575" s="7"/>
    </row>
    <row r="3576" spans="7:7" x14ac:dyDescent="0.2">
      <c r="G3576" s="7"/>
    </row>
    <row r="3577" spans="7:7" x14ac:dyDescent="0.2">
      <c r="G3577" s="7"/>
    </row>
    <row r="3578" spans="7:7" x14ac:dyDescent="0.2">
      <c r="G3578" s="7"/>
    </row>
    <row r="3579" spans="7:7" x14ac:dyDescent="0.2">
      <c r="G3579" s="7"/>
    </row>
    <row r="3580" spans="7:7" x14ac:dyDescent="0.2">
      <c r="G3580" s="7"/>
    </row>
    <row r="3581" spans="7:7" x14ac:dyDescent="0.2">
      <c r="G3581" s="7"/>
    </row>
    <row r="3582" spans="7:7" x14ac:dyDescent="0.2">
      <c r="G3582" s="7"/>
    </row>
    <row r="3583" spans="7:7" x14ac:dyDescent="0.2">
      <c r="G3583" s="7"/>
    </row>
    <row r="3584" spans="7:7" x14ac:dyDescent="0.2">
      <c r="G3584" s="7"/>
    </row>
    <row r="3585" spans="7:7" x14ac:dyDescent="0.2">
      <c r="G3585" s="7"/>
    </row>
    <row r="3586" spans="7:7" x14ac:dyDescent="0.2">
      <c r="G3586" s="7"/>
    </row>
    <row r="3587" spans="7:7" x14ac:dyDescent="0.2">
      <c r="G3587" s="7"/>
    </row>
    <row r="3588" spans="7:7" x14ac:dyDescent="0.2">
      <c r="G3588" s="7"/>
    </row>
    <row r="3589" spans="7:7" x14ac:dyDescent="0.2">
      <c r="G3589" s="7"/>
    </row>
    <row r="3590" spans="7:7" x14ac:dyDescent="0.2">
      <c r="G3590" s="7"/>
    </row>
    <row r="3591" spans="7:7" x14ac:dyDescent="0.2">
      <c r="G3591" s="7"/>
    </row>
    <row r="3592" spans="7:7" x14ac:dyDescent="0.2">
      <c r="G3592" s="7"/>
    </row>
    <row r="3593" spans="7:7" x14ac:dyDescent="0.2">
      <c r="G3593" s="7"/>
    </row>
    <row r="3594" spans="7:7" x14ac:dyDescent="0.2">
      <c r="G3594" s="7"/>
    </row>
    <row r="3595" spans="7:7" x14ac:dyDescent="0.2">
      <c r="G3595" s="7"/>
    </row>
    <row r="3596" spans="7:7" x14ac:dyDescent="0.2">
      <c r="G3596" s="7"/>
    </row>
    <row r="3597" spans="7:7" x14ac:dyDescent="0.2">
      <c r="G3597" s="7"/>
    </row>
    <row r="3598" spans="7:7" x14ac:dyDescent="0.2">
      <c r="G3598" s="7"/>
    </row>
    <row r="3599" spans="7:7" x14ac:dyDescent="0.2">
      <c r="G3599" s="7"/>
    </row>
    <row r="3600" spans="7:7" x14ac:dyDescent="0.2">
      <c r="G3600" s="7"/>
    </row>
    <row r="3601" spans="7:7" x14ac:dyDescent="0.2">
      <c r="G3601" s="7"/>
    </row>
    <row r="3602" spans="7:7" x14ac:dyDescent="0.2">
      <c r="G3602" s="7"/>
    </row>
    <row r="3603" spans="7:7" x14ac:dyDescent="0.2">
      <c r="G3603" s="7"/>
    </row>
    <row r="3604" spans="7:7" x14ac:dyDescent="0.2">
      <c r="G3604" s="7"/>
    </row>
    <row r="3605" spans="7:7" x14ac:dyDescent="0.2">
      <c r="G3605" s="7"/>
    </row>
    <row r="3606" spans="7:7" x14ac:dyDescent="0.2">
      <c r="G3606" s="7"/>
    </row>
    <row r="3607" spans="7:7" x14ac:dyDescent="0.2">
      <c r="G3607" s="7"/>
    </row>
    <row r="3608" spans="7:7" x14ac:dyDescent="0.2">
      <c r="G3608" s="7"/>
    </row>
    <row r="3609" spans="7:7" x14ac:dyDescent="0.2">
      <c r="G3609" s="7"/>
    </row>
    <row r="3610" spans="7:7" x14ac:dyDescent="0.2">
      <c r="G3610" s="7"/>
    </row>
    <row r="3611" spans="7:7" x14ac:dyDescent="0.2">
      <c r="G3611" s="7"/>
    </row>
    <row r="3612" spans="7:7" x14ac:dyDescent="0.2">
      <c r="G3612" s="7"/>
    </row>
    <row r="3613" spans="7:7" x14ac:dyDescent="0.2">
      <c r="G3613" s="7"/>
    </row>
    <row r="3614" spans="7:7" x14ac:dyDescent="0.2">
      <c r="G3614" s="7"/>
    </row>
    <row r="3615" spans="7:7" x14ac:dyDescent="0.2">
      <c r="G3615" s="7"/>
    </row>
    <row r="3616" spans="7:7" x14ac:dyDescent="0.2">
      <c r="G3616" s="7"/>
    </row>
    <row r="3617" spans="7:7" x14ac:dyDescent="0.2">
      <c r="G3617" s="7"/>
    </row>
    <row r="3618" spans="7:7" x14ac:dyDescent="0.2">
      <c r="G3618" s="7"/>
    </row>
    <row r="3619" spans="7:7" x14ac:dyDescent="0.2">
      <c r="G3619" s="7"/>
    </row>
    <row r="3620" spans="7:7" x14ac:dyDescent="0.2">
      <c r="G3620" s="7"/>
    </row>
    <row r="3621" spans="7:7" x14ac:dyDescent="0.2">
      <c r="G3621" s="7"/>
    </row>
    <row r="3622" spans="7:7" x14ac:dyDescent="0.2">
      <c r="G3622" s="7"/>
    </row>
    <row r="3623" spans="7:7" x14ac:dyDescent="0.2">
      <c r="G3623" s="7"/>
    </row>
    <row r="3624" spans="7:7" x14ac:dyDescent="0.2">
      <c r="G3624" s="7"/>
    </row>
    <row r="3625" spans="7:7" x14ac:dyDescent="0.2">
      <c r="G3625" s="7"/>
    </row>
    <row r="3626" spans="7:7" x14ac:dyDescent="0.2">
      <c r="G3626" s="7"/>
    </row>
    <row r="3627" spans="7:7" x14ac:dyDescent="0.2">
      <c r="G3627" s="7"/>
    </row>
    <row r="3628" spans="7:7" x14ac:dyDescent="0.2">
      <c r="G3628" s="7"/>
    </row>
    <row r="3629" spans="7:7" x14ac:dyDescent="0.2">
      <c r="G3629" s="7"/>
    </row>
    <row r="3630" spans="7:7" x14ac:dyDescent="0.2">
      <c r="G3630" s="7"/>
    </row>
    <row r="3631" spans="7:7" x14ac:dyDescent="0.2">
      <c r="G3631" s="7"/>
    </row>
    <row r="3632" spans="7:7" x14ac:dyDescent="0.2">
      <c r="G3632" s="7"/>
    </row>
    <row r="3633" spans="7:7" x14ac:dyDescent="0.2">
      <c r="G3633" s="7"/>
    </row>
    <row r="3634" spans="7:7" x14ac:dyDescent="0.2">
      <c r="G3634" s="7"/>
    </row>
    <row r="3635" spans="7:7" x14ac:dyDescent="0.2">
      <c r="G3635" s="7"/>
    </row>
    <row r="3636" spans="7:7" x14ac:dyDescent="0.2">
      <c r="G3636" s="7"/>
    </row>
    <row r="3637" spans="7:7" x14ac:dyDescent="0.2">
      <c r="G3637" s="7"/>
    </row>
    <row r="3638" spans="7:7" x14ac:dyDescent="0.2">
      <c r="G3638" s="7"/>
    </row>
    <row r="3639" spans="7:7" x14ac:dyDescent="0.2">
      <c r="G3639" s="7"/>
    </row>
    <row r="3640" spans="7:7" x14ac:dyDescent="0.2">
      <c r="G3640" s="7"/>
    </row>
    <row r="3641" spans="7:7" x14ac:dyDescent="0.2">
      <c r="G3641" s="7"/>
    </row>
    <row r="3642" spans="7:7" x14ac:dyDescent="0.2">
      <c r="G3642" s="7"/>
    </row>
    <row r="3643" spans="7:7" x14ac:dyDescent="0.2">
      <c r="G3643" s="7"/>
    </row>
    <row r="3644" spans="7:7" x14ac:dyDescent="0.2">
      <c r="G3644" s="7"/>
    </row>
    <row r="3645" spans="7:7" x14ac:dyDescent="0.2">
      <c r="G3645" s="7"/>
    </row>
    <row r="3646" spans="7:7" x14ac:dyDescent="0.2">
      <c r="G3646" s="7"/>
    </row>
    <row r="3647" spans="7:7" x14ac:dyDescent="0.2">
      <c r="G3647" s="7"/>
    </row>
    <row r="3648" spans="7:7" x14ac:dyDescent="0.2">
      <c r="G3648" s="7"/>
    </row>
    <row r="3649" spans="7:7" x14ac:dyDescent="0.2">
      <c r="G3649" s="7"/>
    </row>
    <row r="3650" spans="7:7" x14ac:dyDescent="0.2">
      <c r="G3650" s="7"/>
    </row>
    <row r="3651" spans="7:7" x14ac:dyDescent="0.2">
      <c r="G3651" s="7"/>
    </row>
    <row r="3652" spans="7:7" x14ac:dyDescent="0.2">
      <c r="G3652" s="7"/>
    </row>
    <row r="3653" spans="7:7" x14ac:dyDescent="0.2">
      <c r="G3653" s="7"/>
    </row>
    <row r="3654" spans="7:7" x14ac:dyDescent="0.2">
      <c r="G3654" s="7"/>
    </row>
    <row r="3655" spans="7:7" x14ac:dyDescent="0.2">
      <c r="G3655" s="7"/>
    </row>
    <row r="3656" spans="7:7" x14ac:dyDescent="0.2">
      <c r="G3656" s="7"/>
    </row>
    <row r="3657" spans="7:7" x14ac:dyDescent="0.2">
      <c r="G3657" s="7"/>
    </row>
    <row r="3658" spans="7:7" x14ac:dyDescent="0.2">
      <c r="G3658" s="7"/>
    </row>
    <row r="3659" spans="7:7" x14ac:dyDescent="0.2">
      <c r="G3659" s="7"/>
    </row>
    <row r="3660" spans="7:7" x14ac:dyDescent="0.2">
      <c r="G3660" s="7"/>
    </row>
    <row r="3661" spans="7:7" x14ac:dyDescent="0.2">
      <c r="G3661" s="7"/>
    </row>
    <row r="3662" spans="7:7" x14ac:dyDescent="0.2">
      <c r="G3662" s="7"/>
    </row>
    <row r="3663" spans="7:7" x14ac:dyDescent="0.2">
      <c r="G3663" s="7"/>
    </row>
    <row r="3664" spans="7:7" x14ac:dyDescent="0.2">
      <c r="G3664" s="7"/>
    </row>
    <row r="3665" spans="7:7" x14ac:dyDescent="0.2">
      <c r="G3665" s="7"/>
    </row>
    <row r="3666" spans="7:7" x14ac:dyDescent="0.2">
      <c r="G3666" s="7"/>
    </row>
    <row r="3667" spans="7:7" x14ac:dyDescent="0.2">
      <c r="G3667" s="7"/>
    </row>
    <row r="3668" spans="7:7" x14ac:dyDescent="0.2">
      <c r="G3668" s="7"/>
    </row>
    <row r="3669" spans="7:7" x14ac:dyDescent="0.2">
      <c r="G3669" s="7"/>
    </row>
    <row r="3670" spans="7:7" x14ac:dyDescent="0.2">
      <c r="G3670" s="7"/>
    </row>
    <row r="3671" spans="7:7" x14ac:dyDescent="0.2">
      <c r="G3671" s="7"/>
    </row>
    <row r="3672" spans="7:7" x14ac:dyDescent="0.2">
      <c r="G3672" s="7"/>
    </row>
    <row r="3673" spans="7:7" x14ac:dyDescent="0.2">
      <c r="G3673" s="7"/>
    </row>
    <row r="3674" spans="7:7" x14ac:dyDescent="0.2">
      <c r="G3674" s="7"/>
    </row>
    <row r="3675" spans="7:7" x14ac:dyDescent="0.2">
      <c r="G3675" s="7"/>
    </row>
    <row r="3676" spans="7:7" x14ac:dyDescent="0.2">
      <c r="G3676" s="7"/>
    </row>
    <row r="3677" spans="7:7" x14ac:dyDescent="0.2">
      <c r="G3677" s="7"/>
    </row>
    <row r="3678" spans="7:7" x14ac:dyDescent="0.2">
      <c r="G3678" s="7"/>
    </row>
    <row r="3679" spans="7:7" x14ac:dyDescent="0.2">
      <c r="G3679" s="7"/>
    </row>
    <row r="3680" spans="7:7" x14ac:dyDescent="0.2">
      <c r="G3680" s="7"/>
    </row>
    <row r="3681" spans="7:7" x14ac:dyDescent="0.2">
      <c r="G3681" s="7"/>
    </row>
    <row r="3682" spans="7:7" x14ac:dyDescent="0.2">
      <c r="G3682" s="7"/>
    </row>
    <row r="3683" spans="7:7" x14ac:dyDescent="0.2">
      <c r="G3683" s="7"/>
    </row>
    <row r="3684" spans="7:7" x14ac:dyDescent="0.2">
      <c r="G3684" s="7"/>
    </row>
    <row r="3685" spans="7:7" x14ac:dyDescent="0.2">
      <c r="G3685" s="7"/>
    </row>
    <row r="3686" spans="7:7" x14ac:dyDescent="0.2">
      <c r="G3686" s="7"/>
    </row>
    <row r="3687" spans="7:7" x14ac:dyDescent="0.2">
      <c r="G3687" s="7"/>
    </row>
    <row r="3688" spans="7:7" x14ac:dyDescent="0.2">
      <c r="G3688" s="7"/>
    </row>
    <row r="3689" spans="7:7" x14ac:dyDescent="0.2">
      <c r="G3689" s="7"/>
    </row>
    <row r="3690" spans="7:7" x14ac:dyDescent="0.2">
      <c r="G3690" s="7"/>
    </row>
    <row r="3691" spans="7:7" x14ac:dyDescent="0.2">
      <c r="G3691" s="7"/>
    </row>
    <row r="3692" spans="7:7" x14ac:dyDescent="0.2">
      <c r="G3692" s="7"/>
    </row>
    <row r="3693" spans="7:7" x14ac:dyDescent="0.2">
      <c r="G3693" s="7"/>
    </row>
    <row r="3694" spans="7:7" x14ac:dyDescent="0.2">
      <c r="G3694" s="7"/>
    </row>
    <row r="3695" spans="7:7" x14ac:dyDescent="0.2">
      <c r="G3695" s="7"/>
    </row>
    <row r="3696" spans="7:7" x14ac:dyDescent="0.2">
      <c r="G3696" s="7"/>
    </row>
    <row r="3697" spans="7:7" x14ac:dyDescent="0.2">
      <c r="G3697" s="7"/>
    </row>
    <row r="3698" spans="7:7" x14ac:dyDescent="0.2">
      <c r="G3698" s="7"/>
    </row>
    <row r="3699" spans="7:7" x14ac:dyDescent="0.2">
      <c r="G3699" s="7"/>
    </row>
    <row r="3700" spans="7:7" x14ac:dyDescent="0.2">
      <c r="G3700" s="7"/>
    </row>
    <row r="3701" spans="7:7" x14ac:dyDescent="0.2">
      <c r="G3701" s="7"/>
    </row>
    <row r="3702" spans="7:7" x14ac:dyDescent="0.2">
      <c r="G3702" s="7"/>
    </row>
    <row r="3703" spans="7:7" x14ac:dyDescent="0.2">
      <c r="G3703" s="7"/>
    </row>
    <row r="3704" spans="7:7" x14ac:dyDescent="0.2">
      <c r="G3704" s="7"/>
    </row>
    <row r="3705" spans="7:7" x14ac:dyDescent="0.2">
      <c r="G3705" s="7"/>
    </row>
    <row r="3706" spans="7:7" x14ac:dyDescent="0.2">
      <c r="G3706" s="7"/>
    </row>
    <row r="3707" spans="7:7" x14ac:dyDescent="0.2">
      <c r="G3707" s="7"/>
    </row>
    <row r="3708" spans="7:7" x14ac:dyDescent="0.2">
      <c r="G3708" s="7"/>
    </row>
    <row r="3709" spans="7:7" x14ac:dyDescent="0.2">
      <c r="G3709" s="7"/>
    </row>
    <row r="3710" spans="7:7" x14ac:dyDescent="0.2">
      <c r="G3710" s="7"/>
    </row>
    <row r="3711" spans="7:7" x14ac:dyDescent="0.2">
      <c r="G3711" s="7"/>
    </row>
    <row r="3712" spans="7:7" x14ac:dyDescent="0.2">
      <c r="G3712" s="7"/>
    </row>
    <row r="3713" spans="7:7" x14ac:dyDescent="0.2">
      <c r="G3713" s="7"/>
    </row>
    <row r="3714" spans="7:7" x14ac:dyDescent="0.2">
      <c r="G3714" s="7"/>
    </row>
    <row r="3715" spans="7:7" x14ac:dyDescent="0.2">
      <c r="G3715" s="7"/>
    </row>
    <row r="3716" spans="7:7" x14ac:dyDescent="0.2">
      <c r="G3716" s="7"/>
    </row>
    <row r="3717" spans="7:7" x14ac:dyDescent="0.2">
      <c r="G3717" s="7"/>
    </row>
    <row r="3718" spans="7:7" x14ac:dyDescent="0.2">
      <c r="G3718" s="7"/>
    </row>
    <row r="3719" spans="7:7" x14ac:dyDescent="0.2">
      <c r="G3719" s="7"/>
    </row>
    <row r="3720" spans="7:7" x14ac:dyDescent="0.2">
      <c r="G3720" s="7"/>
    </row>
    <row r="3721" spans="7:7" x14ac:dyDescent="0.2">
      <c r="G3721" s="7"/>
    </row>
    <row r="3722" spans="7:7" x14ac:dyDescent="0.2">
      <c r="G3722" s="7"/>
    </row>
    <row r="3723" spans="7:7" x14ac:dyDescent="0.2">
      <c r="G3723" s="7"/>
    </row>
    <row r="3724" spans="7:7" x14ac:dyDescent="0.2">
      <c r="G3724" s="7"/>
    </row>
    <row r="3725" spans="7:7" x14ac:dyDescent="0.2">
      <c r="G3725" s="7"/>
    </row>
    <row r="3726" spans="7:7" x14ac:dyDescent="0.2">
      <c r="G3726" s="7"/>
    </row>
    <row r="3727" spans="7:7" x14ac:dyDescent="0.2">
      <c r="G3727" s="7"/>
    </row>
    <row r="3728" spans="7:7" x14ac:dyDescent="0.2">
      <c r="G3728" s="7"/>
    </row>
    <row r="3729" spans="7:7" x14ac:dyDescent="0.2">
      <c r="G3729" s="7"/>
    </row>
    <row r="3730" spans="7:7" x14ac:dyDescent="0.2">
      <c r="G3730" s="7"/>
    </row>
    <row r="3731" spans="7:7" x14ac:dyDescent="0.2">
      <c r="G3731" s="7"/>
    </row>
    <row r="3732" spans="7:7" x14ac:dyDescent="0.2">
      <c r="G3732" s="7"/>
    </row>
    <row r="3733" spans="7:7" x14ac:dyDescent="0.2">
      <c r="G3733" s="7"/>
    </row>
    <row r="3734" spans="7:7" x14ac:dyDescent="0.2">
      <c r="G3734" s="7"/>
    </row>
    <row r="3735" spans="7:7" x14ac:dyDescent="0.2">
      <c r="G3735" s="7"/>
    </row>
    <row r="3736" spans="7:7" x14ac:dyDescent="0.2">
      <c r="G3736" s="7"/>
    </row>
    <row r="3737" spans="7:7" x14ac:dyDescent="0.2">
      <c r="G3737" s="7"/>
    </row>
    <row r="3738" spans="7:7" x14ac:dyDescent="0.2">
      <c r="G3738" s="7"/>
    </row>
    <row r="3739" spans="7:7" x14ac:dyDescent="0.2">
      <c r="G3739" s="7"/>
    </row>
    <row r="3740" spans="7:7" x14ac:dyDescent="0.2">
      <c r="G3740" s="7"/>
    </row>
    <row r="3741" spans="7:7" x14ac:dyDescent="0.2">
      <c r="G3741" s="7"/>
    </row>
    <row r="3742" spans="7:7" x14ac:dyDescent="0.2">
      <c r="G3742" s="7"/>
    </row>
    <row r="3743" spans="7:7" x14ac:dyDescent="0.2">
      <c r="G3743" s="7"/>
    </row>
    <row r="3744" spans="7:7" x14ac:dyDescent="0.2">
      <c r="G3744" s="7"/>
    </row>
    <row r="3745" spans="7:7" x14ac:dyDescent="0.2">
      <c r="G3745" s="7"/>
    </row>
    <row r="3746" spans="7:7" x14ac:dyDescent="0.2">
      <c r="G3746" s="7"/>
    </row>
    <row r="3747" spans="7:7" x14ac:dyDescent="0.2">
      <c r="G3747" s="7"/>
    </row>
    <row r="3748" spans="7:7" x14ac:dyDescent="0.2">
      <c r="G3748" s="7"/>
    </row>
    <row r="3749" spans="7:7" x14ac:dyDescent="0.2">
      <c r="G3749" s="7"/>
    </row>
    <row r="3750" spans="7:7" x14ac:dyDescent="0.2">
      <c r="G3750" s="7"/>
    </row>
    <row r="3751" spans="7:7" x14ac:dyDescent="0.2">
      <c r="G3751" s="7"/>
    </row>
    <row r="3752" spans="7:7" x14ac:dyDescent="0.2">
      <c r="G3752" s="7"/>
    </row>
    <row r="3753" spans="7:7" x14ac:dyDescent="0.2">
      <c r="G3753" s="7"/>
    </row>
    <row r="3754" spans="7:7" x14ac:dyDescent="0.2">
      <c r="G3754" s="7"/>
    </row>
    <row r="3755" spans="7:7" x14ac:dyDescent="0.2">
      <c r="G3755" s="7"/>
    </row>
    <row r="3756" spans="7:7" x14ac:dyDescent="0.2">
      <c r="G3756" s="7"/>
    </row>
    <row r="3757" spans="7:7" x14ac:dyDescent="0.2">
      <c r="G3757" s="7"/>
    </row>
    <row r="3758" spans="7:7" x14ac:dyDescent="0.2">
      <c r="G3758" s="7"/>
    </row>
    <row r="3759" spans="7:7" x14ac:dyDescent="0.2">
      <c r="G3759" s="7"/>
    </row>
    <row r="3760" spans="7:7" x14ac:dyDescent="0.2">
      <c r="G3760" s="7"/>
    </row>
    <row r="3761" spans="7:7" x14ac:dyDescent="0.2">
      <c r="G3761" s="7"/>
    </row>
    <row r="3762" spans="7:7" x14ac:dyDescent="0.2">
      <c r="G3762" s="7"/>
    </row>
    <row r="3763" spans="7:7" x14ac:dyDescent="0.2">
      <c r="G3763" s="7"/>
    </row>
    <row r="3764" spans="7:7" x14ac:dyDescent="0.2">
      <c r="G3764" s="7"/>
    </row>
    <row r="3765" spans="7:7" x14ac:dyDescent="0.2">
      <c r="G3765" s="7"/>
    </row>
    <row r="3766" spans="7:7" x14ac:dyDescent="0.2">
      <c r="G3766" s="7"/>
    </row>
    <row r="3767" spans="7:7" x14ac:dyDescent="0.2">
      <c r="G3767" s="7"/>
    </row>
    <row r="3768" spans="7:7" x14ac:dyDescent="0.2">
      <c r="G3768" s="7"/>
    </row>
    <row r="3769" spans="7:7" x14ac:dyDescent="0.2">
      <c r="G3769" s="7"/>
    </row>
    <row r="3770" spans="7:7" x14ac:dyDescent="0.2">
      <c r="G3770" s="7"/>
    </row>
    <row r="3771" spans="7:7" x14ac:dyDescent="0.2">
      <c r="G3771" s="7"/>
    </row>
    <row r="3772" spans="7:7" x14ac:dyDescent="0.2">
      <c r="G3772" s="7"/>
    </row>
    <row r="3773" spans="7:7" x14ac:dyDescent="0.2">
      <c r="G3773" s="7"/>
    </row>
    <row r="3774" spans="7:7" x14ac:dyDescent="0.2">
      <c r="G3774" s="7"/>
    </row>
    <row r="3775" spans="7:7" x14ac:dyDescent="0.2">
      <c r="G3775" s="7"/>
    </row>
    <row r="3776" spans="7:7" x14ac:dyDescent="0.2">
      <c r="G3776" s="7"/>
    </row>
    <row r="3777" spans="7:7" x14ac:dyDescent="0.2">
      <c r="G3777" s="7"/>
    </row>
    <row r="3778" spans="7:7" x14ac:dyDescent="0.2">
      <c r="G3778" s="7"/>
    </row>
    <row r="3779" spans="7:7" x14ac:dyDescent="0.2">
      <c r="G3779" s="7"/>
    </row>
    <row r="3780" spans="7:7" x14ac:dyDescent="0.2">
      <c r="G3780" s="7"/>
    </row>
    <row r="3781" spans="7:7" x14ac:dyDescent="0.2">
      <c r="G3781" s="7"/>
    </row>
    <row r="3782" spans="7:7" x14ac:dyDescent="0.2">
      <c r="G3782" s="7"/>
    </row>
    <row r="3783" spans="7:7" x14ac:dyDescent="0.2">
      <c r="G3783" s="7"/>
    </row>
    <row r="3784" spans="7:7" x14ac:dyDescent="0.2">
      <c r="G3784" s="7"/>
    </row>
    <row r="3785" spans="7:7" x14ac:dyDescent="0.2">
      <c r="G3785" s="7"/>
    </row>
    <row r="3786" spans="7:7" x14ac:dyDescent="0.2">
      <c r="G3786" s="7"/>
    </row>
    <row r="3787" spans="7:7" x14ac:dyDescent="0.2">
      <c r="G3787" s="7"/>
    </row>
    <row r="3788" spans="7:7" x14ac:dyDescent="0.2">
      <c r="G3788" s="7"/>
    </row>
    <row r="3789" spans="7:7" x14ac:dyDescent="0.2">
      <c r="G3789" s="7"/>
    </row>
    <row r="3790" spans="7:7" x14ac:dyDescent="0.2">
      <c r="G3790" s="7"/>
    </row>
    <row r="3791" spans="7:7" x14ac:dyDescent="0.2">
      <c r="G3791" s="7"/>
    </row>
    <row r="3792" spans="7:7" x14ac:dyDescent="0.2">
      <c r="G3792" s="7"/>
    </row>
    <row r="3793" spans="7:7" x14ac:dyDescent="0.2">
      <c r="G3793" s="7"/>
    </row>
    <row r="3794" spans="7:7" x14ac:dyDescent="0.2">
      <c r="G3794" s="7"/>
    </row>
    <row r="3795" spans="7:7" x14ac:dyDescent="0.2">
      <c r="G3795" s="7"/>
    </row>
    <row r="3796" spans="7:7" x14ac:dyDescent="0.2">
      <c r="G3796" s="7"/>
    </row>
    <row r="3797" spans="7:7" x14ac:dyDescent="0.2">
      <c r="G3797" s="7"/>
    </row>
    <row r="3798" spans="7:7" x14ac:dyDescent="0.2">
      <c r="G3798" s="7"/>
    </row>
    <row r="3799" spans="7:7" x14ac:dyDescent="0.2">
      <c r="G3799" s="7"/>
    </row>
    <row r="3800" spans="7:7" x14ac:dyDescent="0.2">
      <c r="G3800" s="7"/>
    </row>
    <row r="3801" spans="7:7" x14ac:dyDescent="0.2">
      <c r="G3801" s="7"/>
    </row>
    <row r="3802" spans="7:7" x14ac:dyDescent="0.2">
      <c r="G3802" s="7"/>
    </row>
    <row r="3803" spans="7:7" x14ac:dyDescent="0.2">
      <c r="G3803" s="7"/>
    </row>
    <row r="3804" spans="7:7" x14ac:dyDescent="0.2">
      <c r="G3804" s="7"/>
    </row>
    <row r="3805" spans="7:7" x14ac:dyDescent="0.2">
      <c r="G3805" s="7"/>
    </row>
    <row r="3806" spans="7:7" x14ac:dyDescent="0.2">
      <c r="G3806" s="7"/>
    </row>
    <row r="3807" spans="7:7" x14ac:dyDescent="0.2">
      <c r="G3807" s="7"/>
    </row>
    <row r="3808" spans="7:7" x14ac:dyDescent="0.2">
      <c r="G3808" s="7"/>
    </row>
    <row r="3809" spans="7:7" x14ac:dyDescent="0.2">
      <c r="G3809" s="7"/>
    </row>
    <row r="3810" spans="7:7" x14ac:dyDescent="0.2">
      <c r="G3810" s="7"/>
    </row>
    <row r="3811" spans="7:7" x14ac:dyDescent="0.2">
      <c r="G3811" s="7"/>
    </row>
    <row r="3812" spans="7:7" x14ac:dyDescent="0.2">
      <c r="G3812" s="7"/>
    </row>
    <row r="3813" spans="7:7" x14ac:dyDescent="0.2">
      <c r="G3813" s="7"/>
    </row>
    <row r="3814" spans="7:7" x14ac:dyDescent="0.2">
      <c r="G3814" s="7"/>
    </row>
    <row r="3815" spans="7:7" x14ac:dyDescent="0.2">
      <c r="G3815" s="7"/>
    </row>
    <row r="3816" spans="7:7" x14ac:dyDescent="0.2">
      <c r="G3816" s="7"/>
    </row>
    <row r="3817" spans="7:7" x14ac:dyDescent="0.2">
      <c r="G3817" s="7"/>
    </row>
    <row r="3818" spans="7:7" x14ac:dyDescent="0.2">
      <c r="G3818" s="7"/>
    </row>
    <row r="3819" spans="7:7" x14ac:dyDescent="0.2">
      <c r="G3819" s="7"/>
    </row>
    <row r="3820" spans="7:7" x14ac:dyDescent="0.2">
      <c r="G3820" s="7"/>
    </row>
    <row r="3821" spans="7:7" x14ac:dyDescent="0.2">
      <c r="G3821" s="7"/>
    </row>
    <row r="3822" spans="7:7" x14ac:dyDescent="0.2">
      <c r="G3822" s="7"/>
    </row>
    <row r="3823" spans="7:7" x14ac:dyDescent="0.2">
      <c r="G3823" s="7"/>
    </row>
    <row r="3824" spans="7:7" x14ac:dyDescent="0.2">
      <c r="G3824" s="7"/>
    </row>
    <row r="3825" spans="7:7" x14ac:dyDescent="0.2">
      <c r="G3825" s="7"/>
    </row>
    <row r="3826" spans="7:7" x14ac:dyDescent="0.2">
      <c r="G3826" s="7"/>
    </row>
    <row r="3827" spans="7:7" x14ac:dyDescent="0.2">
      <c r="G3827" s="7"/>
    </row>
    <row r="3828" spans="7:7" x14ac:dyDescent="0.2">
      <c r="G3828" s="7"/>
    </row>
    <row r="3829" spans="7:7" x14ac:dyDescent="0.2">
      <c r="G3829" s="7"/>
    </row>
    <row r="3830" spans="7:7" x14ac:dyDescent="0.2">
      <c r="G3830" s="7"/>
    </row>
    <row r="3831" spans="7:7" x14ac:dyDescent="0.2">
      <c r="G3831" s="7"/>
    </row>
    <row r="3832" spans="7:7" x14ac:dyDescent="0.2">
      <c r="G3832" s="7"/>
    </row>
    <row r="3833" spans="7:7" x14ac:dyDescent="0.2">
      <c r="G3833" s="7"/>
    </row>
    <row r="3834" spans="7:7" x14ac:dyDescent="0.2">
      <c r="G3834" s="7"/>
    </row>
    <row r="3835" spans="7:7" x14ac:dyDescent="0.2">
      <c r="G3835" s="7"/>
    </row>
    <row r="3836" spans="7:7" x14ac:dyDescent="0.2">
      <c r="G3836" s="7"/>
    </row>
    <row r="3837" spans="7:7" x14ac:dyDescent="0.2">
      <c r="G3837" s="7"/>
    </row>
    <row r="3838" spans="7:7" x14ac:dyDescent="0.2">
      <c r="G3838" s="7"/>
    </row>
    <row r="3839" spans="7:7" x14ac:dyDescent="0.2">
      <c r="G3839" s="7"/>
    </row>
    <row r="3840" spans="7:7" x14ac:dyDescent="0.2">
      <c r="G3840" s="7"/>
    </row>
    <row r="3841" spans="7:7" x14ac:dyDescent="0.2">
      <c r="G3841" s="7"/>
    </row>
    <row r="3842" spans="7:7" x14ac:dyDescent="0.2">
      <c r="G3842" s="7"/>
    </row>
    <row r="3843" spans="7:7" x14ac:dyDescent="0.2">
      <c r="G3843" s="7"/>
    </row>
    <row r="3844" spans="7:7" x14ac:dyDescent="0.2">
      <c r="G3844" s="7"/>
    </row>
    <row r="3845" spans="7:7" x14ac:dyDescent="0.2">
      <c r="G3845" s="7"/>
    </row>
    <row r="3846" spans="7:7" x14ac:dyDescent="0.2">
      <c r="G3846" s="7"/>
    </row>
    <row r="3847" spans="7:7" x14ac:dyDescent="0.2">
      <c r="G3847" s="7"/>
    </row>
    <row r="3848" spans="7:7" x14ac:dyDescent="0.2">
      <c r="G3848" s="7"/>
    </row>
    <row r="3849" spans="7:7" x14ac:dyDescent="0.2">
      <c r="G3849" s="7"/>
    </row>
    <row r="3850" spans="7:7" x14ac:dyDescent="0.2">
      <c r="G3850" s="7"/>
    </row>
    <row r="3851" spans="7:7" x14ac:dyDescent="0.2">
      <c r="G3851" s="7"/>
    </row>
    <row r="3852" spans="7:7" x14ac:dyDescent="0.2">
      <c r="G3852" s="7"/>
    </row>
    <row r="3853" spans="7:7" x14ac:dyDescent="0.2">
      <c r="G3853" s="7"/>
    </row>
    <row r="3854" spans="7:7" x14ac:dyDescent="0.2">
      <c r="G3854" s="7"/>
    </row>
    <row r="3855" spans="7:7" x14ac:dyDescent="0.2">
      <c r="G3855" s="7"/>
    </row>
    <row r="3856" spans="7:7" x14ac:dyDescent="0.2">
      <c r="G3856" s="7"/>
    </row>
    <row r="3857" spans="7:7" x14ac:dyDescent="0.2">
      <c r="G3857" s="7"/>
    </row>
    <row r="3858" spans="7:7" x14ac:dyDescent="0.2">
      <c r="G3858" s="7"/>
    </row>
    <row r="3859" spans="7:7" x14ac:dyDescent="0.2">
      <c r="G3859" s="7"/>
    </row>
    <row r="3860" spans="7:7" x14ac:dyDescent="0.2">
      <c r="G3860" s="7"/>
    </row>
    <row r="3861" spans="7:7" x14ac:dyDescent="0.2">
      <c r="G3861" s="7"/>
    </row>
    <row r="3862" spans="7:7" x14ac:dyDescent="0.2">
      <c r="G3862" s="7"/>
    </row>
    <row r="3863" spans="7:7" x14ac:dyDescent="0.2">
      <c r="G3863" s="7"/>
    </row>
    <row r="3864" spans="7:7" x14ac:dyDescent="0.2">
      <c r="G3864" s="7"/>
    </row>
    <row r="3865" spans="7:7" x14ac:dyDescent="0.2">
      <c r="G3865" s="7"/>
    </row>
    <row r="3866" spans="7:7" x14ac:dyDescent="0.2">
      <c r="G3866" s="7"/>
    </row>
    <row r="3867" spans="7:7" x14ac:dyDescent="0.2">
      <c r="G3867" s="7"/>
    </row>
    <row r="3868" spans="7:7" x14ac:dyDescent="0.2">
      <c r="G3868" s="7"/>
    </row>
    <row r="3869" spans="7:7" x14ac:dyDescent="0.2">
      <c r="G3869" s="7"/>
    </row>
    <row r="3870" spans="7:7" x14ac:dyDescent="0.2">
      <c r="G3870" s="7"/>
    </row>
    <row r="3871" spans="7:7" x14ac:dyDescent="0.2">
      <c r="G3871" s="7"/>
    </row>
    <row r="3872" spans="7:7" x14ac:dyDescent="0.2">
      <c r="G3872" s="7"/>
    </row>
    <row r="3873" spans="7:7" x14ac:dyDescent="0.2">
      <c r="G3873" s="7"/>
    </row>
    <row r="3874" spans="7:7" x14ac:dyDescent="0.2">
      <c r="G3874" s="7"/>
    </row>
    <row r="3875" spans="7:7" x14ac:dyDescent="0.2">
      <c r="G3875" s="7"/>
    </row>
    <row r="3876" spans="7:7" x14ac:dyDescent="0.2">
      <c r="G3876" s="7"/>
    </row>
    <row r="3877" spans="7:7" x14ac:dyDescent="0.2">
      <c r="G3877" s="7"/>
    </row>
    <row r="3878" spans="7:7" x14ac:dyDescent="0.2">
      <c r="G3878" s="7"/>
    </row>
    <row r="3879" spans="7:7" x14ac:dyDescent="0.2">
      <c r="G3879" s="7"/>
    </row>
    <row r="3880" spans="7:7" x14ac:dyDescent="0.2">
      <c r="G3880" s="7"/>
    </row>
    <row r="3881" spans="7:7" x14ac:dyDescent="0.2">
      <c r="G3881" s="7"/>
    </row>
    <row r="3882" spans="7:7" x14ac:dyDescent="0.2">
      <c r="G3882" s="7"/>
    </row>
    <row r="3883" spans="7:7" x14ac:dyDescent="0.2">
      <c r="G3883" s="7"/>
    </row>
    <row r="3884" spans="7:7" x14ac:dyDescent="0.2">
      <c r="G3884" s="7"/>
    </row>
    <row r="3885" spans="7:7" x14ac:dyDescent="0.2">
      <c r="G3885" s="7"/>
    </row>
    <row r="3886" spans="7:7" x14ac:dyDescent="0.2">
      <c r="G3886" s="7"/>
    </row>
    <row r="3887" spans="7:7" x14ac:dyDescent="0.2">
      <c r="G3887" s="7"/>
    </row>
    <row r="3888" spans="7:7" x14ac:dyDescent="0.2">
      <c r="G3888" s="7"/>
    </row>
    <row r="3889" spans="7:7" x14ac:dyDescent="0.2">
      <c r="G3889" s="7"/>
    </row>
    <row r="3890" spans="7:7" x14ac:dyDescent="0.2">
      <c r="G3890" s="7"/>
    </row>
    <row r="3891" spans="7:7" x14ac:dyDescent="0.2">
      <c r="G3891" s="7"/>
    </row>
    <row r="3892" spans="7:7" x14ac:dyDescent="0.2">
      <c r="G3892" s="7"/>
    </row>
    <row r="3893" spans="7:7" x14ac:dyDescent="0.2">
      <c r="G3893" s="7"/>
    </row>
    <row r="3894" spans="7:7" x14ac:dyDescent="0.2">
      <c r="G3894" s="7"/>
    </row>
    <row r="3895" spans="7:7" x14ac:dyDescent="0.2">
      <c r="G3895" s="7"/>
    </row>
    <row r="3896" spans="7:7" x14ac:dyDescent="0.2">
      <c r="G3896" s="7"/>
    </row>
    <row r="3897" spans="7:7" x14ac:dyDescent="0.2">
      <c r="G3897" s="7"/>
    </row>
    <row r="3898" spans="7:7" x14ac:dyDescent="0.2">
      <c r="G3898" s="7"/>
    </row>
    <row r="3899" spans="7:7" x14ac:dyDescent="0.2">
      <c r="G3899" s="7"/>
    </row>
    <row r="3900" spans="7:7" x14ac:dyDescent="0.2">
      <c r="G3900" s="7"/>
    </row>
    <row r="3901" spans="7:7" x14ac:dyDescent="0.2">
      <c r="G3901" s="7"/>
    </row>
    <row r="3902" spans="7:7" x14ac:dyDescent="0.2">
      <c r="G3902" s="7"/>
    </row>
    <row r="3903" spans="7:7" x14ac:dyDescent="0.2">
      <c r="G3903" s="7"/>
    </row>
    <row r="3904" spans="7:7" x14ac:dyDescent="0.2">
      <c r="G3904" s="7"/>
    </row>
    <row r="3905" spans="7:7" x14ac:dyDescent="0.2">
      <c r="G3905" s="7"/>
    </row>
    <row r="3906" spans="7:7" x14ac:dyDescent="0.2">
      <c r="G3906" s="7"/>
    </row>
    <row r="3907" spans="7:7" x14ac:dyDescent="0.2">
      <c r="G3907" s="7"/>
    </row>
    <row r="3908" spans="7:7" x14ac:dyDescent="0.2">
      <c r="G3908" s="7"/>
    </row>
    <row r="3909" spans="7:7" x14ac:dyDescent="0.2">
      <c r="G3909" s="7"/>
    </row>
    <row r="3910" spans="7:7" x14ac:dyDescent="0.2">
      <c r="G3910" s="7"/>
    </row>
    <row r="3911" spans="7:7" x14ac:dyDescent="0.2">
      <c r="G3911" s="7"/>
    </row>
    <row r="3912" spans="7:7" x14ac:dyDescent="0.2">
      <c r="G3912" s="7"/>
    </row>
    <row r="3913" spans="7:7" x14ac:dyDescent="0.2">
      <c r="G3913" s="7"/>
    </row>
    <row r="3914" spans="7:7" x14ac:dyDescent="0.2">
      <c r="G3914" s="7"/>
    </row>
    <row r="3915" spans="7:7" x14ac:dyDescent="0.2">
      <c r="G3915" s="7"/>
    </row>
    <row r="3916" spans="7:7" x14ac:dyDescent="0.2">
      <c r="G3916" s="7"/>
    </row>
    <row r="3917" spans="7:7" x14ac:dyDescent="0.2">
      <c r="G3917" s="7"/>
    </row>
    <row r="3918" spans="7:7" x14ac:dyDescent="0.2">
      <c r="G3918" s="7"/>
    </row>
    <row r="3919" spans="7:7" x14ac:dyDescent="0.2">
      <c r="G3919" s="7"/>
    </row>
    <row r="3920" spans="7:7" x14ac:dyDescent="0.2">
      <c r="G3920" s="7"/>
    </row>
    <row r="3921" spans="7:7" x14ac:dyDescent="0.2">
      <c r="G3921" s="7"/>
    </row>
    <row r="3922" spans="7:7" x14ac:dyDescent="0.2">
      <c r="G3922" s="7"/>
    </row>
    <row r="3923" spans="7:7" x14ac:dyDescent="0.2">
      <c r="G3923" s="7"/>
    </row>
    <row r="3924" spans="7:7" x14ac:dyDescent="0.2">
      <c r="G3924" s="7"/>
    </row>
    <row r="3925" spans="7:7" x14ac:dyDescent="0.2">
      <c r="G3925" s="7"/>
    </row>
    <row r="3926" spans="7:7" x14ac:dyDescent="0.2">
      <c r="G3926" s="7"/>
    </row>
    <row r="3927" spans="7:7" x14ac:dyDescent="0.2">
      <c r="G3927" s="7"/>
    </row>
    <row r="3928" spans="7:7" x14ac:dyDescent="0.2">
      <c r="G3928" s="7"/>
    </row>
    <row r="3929" spans="7:7" x14ac:dyDescent="0.2">
      <c r="G3929" s="7"/>
    </row>
    <row r="3930" spans="7:7" x14ac:dyDescent="0.2">
      <c r="G3930" s="7"/>
    </row>
    <row r="3931" spans="7:7" x14ac:dyDescent="0.2">
      <c r="G3931" s="7"/>
    </row>
    <row r="3932" spans="7:7" x14ac:dyDescent="0.2">
      <c r="G3932" s="7"/>
    </row>
    <row r="3933" spans="7:7" x14ac:dyDescent="0.2">
      <c r="G3933" s="7"/>
    </row>
    <row r="3934" spans="7:7" x14ac:dyDescent="0.2">
      <c r="G3934" s="7"/>
    </row>
    <row r="3935" spans="7:7" x14ac:dyDescent="0.2">
      <c r="G3935" s="7"/>
    </row>
    <row r="3936" spans="7:7" x14ac:dyDescent="0.2">
      <c r="G3936" s="7"/>
    </row>
    <row r="3937" spans="7:7" x14ac:dyDescent="0.2">
      <c r="G3937" s="7"/>
    </row>
    <row r="3938" spans="7:7" x14ac:dyDescent="0.2">
      <c r="G3938" s="7"/>
    </row>
    <row r="3939" spans="7:7" x14ac:dyDescent="0.2">
      <c r="G3939" s="7"/>
    </row>
    <row r="3940" spans="7:7" x14ac:dyDescent="0.2">
      <c r="G3940" s="7"/>
    </row>
    <row r="3941" spans="7:7" x14ac:dyDescent="0.2">
      <c r="G3941" s="7"/>
    </row>
    <row r="3942" spans="7:7" x14ac:dyDescent="0.2">
      <c r="G3942" s="7"/>
    </row>
    <row r="3943" spans="7:7" x14ac:dyDescent="0.2">
      <c r="G3943" s="7"/>
    </row>
    <row r="3944" spans="7:7" x14ac:dyDescent="0.2">
      <c r="G3944" s="7"/>
    </row>
    <row r="3945" spans="7:7" x14ac:dyDescent="0.2">
      <c r="G3945" s="7"/>
    </row>
    <row r="3946" spans="7:7" x14ac:dyDescent="0.2">
      <c r="G3946" s="7"/>
    </row>
    <row r="3947" spans="7:7" x14ac:dyDescent="0.2">
      <c r="G3947" s="7"/>
    </row>
    <row r="3948" spans="7:7" x14ac:dyDescent="0.2">
      <c r="G3948" s="7"/>
    </row>
    <row r="3949" spans="7:7" x14ac:dyDescent="0.2">
      <c r="G3949" s="7"/>
    </row>
    <row r="3950" spans="7:7" x14ac:dyDescent="0.2">
      <c r="G3950" s="7"/>
    </row>
    <row r="3951" spans="7:7" x14ac:dyDescent="0.2">
      <c r="G3951" s="7"/>
    </row>
    <row r="3952" spans="7:7" x14ac:dyDescent="0.2">
      <c r="G3952" s="7"/>
    </row>
    <row r="3953" spans="7:7" x14ac:dyDescent="0.2">
      <c r="G3953" s="7"/>
    </row>
    <row r="3954" spans="7:7" x14ac:dyDescent="0.2">
      <c r="G3954" s="7"/>
    </row>
    <row r="3955" spans="7:7" x14ac:dyDescent="0.2">
      <c r="G3955" s="7"/>
    </row>
    <row r="3956" spans="7:7" x14ac:dyDescent="0.2">
      <c r="G3956" s="7"/>
    </row>
    <row r="3957" spans="7:7" x14ac:dyDescent="0.2">
      <c r="G3957" s="7"/>
    </row>
    <row r="3958" spans="7:7" x14ac:dyDescent="0.2">
      <c r="G3958" s="7"/>
    </row>
    <row r="3959" spans="7:7" x14ac:dyDescent="0.2">
      <c r="G3959" s="7"/>
    </row>
    <row r="3960" spans="7:7" x14ac:dyDescent="0.2">
      <c r="G3960" s="7"/>
    </row>
    <row r="3961" spans="7:7" x14ac:dyDescent="0.2">
      <c r="G3961" s="7"/>
    </row>
    <row r="3962" spans="7:7" x14ac:dyDescent="0.2">
      <c r="G3962" s="7"/>
    </row>
    <row r="3963" spans="7:7" x14ac:dyDescent="0.2">
      <c r="G3963" s="7"/>
    </row>
    <row r="3964" spans="7:7" x14ac:dyDescent="0.2">
      <c r="G3964" s="7"/>
    </row>
    <row r="3965" spans="7:7" x14ac:dyDescent="0.2">
      <c r="G3965" s="7"/>
    </row>
    <row r="3966" spans="7:7" x14ac:dyDescent="0.2">
      <c r="G3966" s="7"/>
    </row>
    <row r="3967" spans="7:7" x14ac:dyDescent="0.2">
      <c r="G3967" s="7"/>
    </row>
    <row r="3968" spans="7:7" x14ac:dyDescent="0.2">
      <c r="G3968" s="7"/>
    </row>
    <row r="3969" spans="7:7" x14ac:dyDescent="0.2">
      <c r="G3969" s="7"/>
    </row>
    <row r="3970" spans="7:7" x14ac:dyDescent="0.2">
      <c r="G3970" s="7"/>
    </row>
    <row r="3971" spans="7:7" x14ac:dyDescent="0.2">
      <c r="G3971" s="7"/>
    </row>
    <row r="3972" spans="7:7" x14ac:dyDescent="0.2">
      <c r="G3972" s="7"/>
    </row>
    <row r="3973" spans="7:7" x14ac:dyDescent="0.2">
      <c r="G3973" s="7"/>
    </row>
    <row r="3974" spans="7:7" x14ac:dyDescent="0.2">
      <c r="G3974" s="7"/>
    </row>
    <row r="3975" spans="7:7" x14ac:dyDescent="0.2">
      <c r="G3975" s="7"/>
    </row>
    <row r="3976" spans="7:7" x14ac:dyDescent="0.2">
      <c r="G3976" s="7"/>
    </row>
    <row r="3977" spans="7:7" x14ac:dyDescent="0.2">
      <c r="G3977" s="7"/>
    </row>
    <row r="3978" spans="7:7" x14ac:dyDescent="0.2">
      <c r="G3978" s="7"/>
    </row>
    <row r="3979" spans="7:7" x14ac:dyDescent="0.2">
      <c r="G3979" s="7"/>
    </row>
    <row r="3980" spans="7:7" x14ac:dyDescent="0.2">
      <c r="G3980" s="7"/>
    </row>
    <row r="3981" spans="7:7" x14ac:dyDescent="0.2">
      <c r="G3981" s="7"/>
    </row>
    <row r="3982" spans="7:7" x14ac:dyDescent="0.2">
      <c r="G3982" s="7"/>
    </row>
    <row r="3983" spans="7:7" x14ac:dyDescent="0.2">
      <c r="G3983" s="7"/>
    </row>
    <row r="3984" spans="7:7" x14ac:dyDescent="0.2">
      <c r="G3984" s="7"/>
    </row>
    <row r="3985" spans="7:7" x14ac:dyDescent="0.2">
      <c r="G3985" s="7"/>
    </row>
    <row r="3986" spans="7:7" x14ac:dyDescent="0.2">
      <c r="G3986" s="7"/>
    </row>
    <row r="3987" spans="7:7" x14ac:dyDescent="0.2">
      <c r="G3987" s="7"/>
    </row>
    <row r="3988" spans="7:7" x14ac:dyDescent="0.2">
      <c r="G3988" s="7"/>
    </row>
    <row r="3989" spans="7:7" x14ac:dyDescent="0.2">
      <c r="G3989" s="7"/>
    </row>
    <row r="3990" spans="7:7" x14ac:dyDescent="0.2">
      <c r="G3990" s="7"/>
    </row>
    <row r="3991" spans="7:7" x14ac:dyDescent="0.2">
      <c r="G3991" s="7"/>
    </row>
    <row r="3992" spans="7:7" x14ac:dyDescent="0.2">
      <c r="G3992" s="7"/>
    </row>
    <row r="3993" spans="7:7" x14ac:dyDescent="0.2">
      <c r="G3993" s="7"/>
    </row>
    <row r="3994" spans="7:7" x14ac:dyDescent="0.2">
      <c r="G3994" s="7"/>
    </row>
    <row r="3995" spans="7:7" x14ac:dyDescent="0.2">
      <c r="G3995" s="7"/>
    </row>
    <row r="3996" spans="7:7" x14ac:dyDescent="0.2">
      <c r="G3996" s="7"/>
    </row>
    <row r="3997" spans="7:7" x14ac:dyDescent="0.2">
      <c r="G3997" s="7"/>
    </row>
    <row r="3998" spans="7:7" x14ac:dyDescent="0.2">
      <c r="G3998" s="7"/>
    </row>
    <row r="3999" spans="7:7" x14ac:dyDescent="0.2">
      <c r="G3999" s="7"/>
    </row>
    <row r="4000" spans="7:7" x14ac:dyDescent="0.2">
      <c r="G4000" s="7"/>
    </row>
    <row r="4001" spans="7:7" x14ac:dyDescent="0.2">
      <c r="G4001" s="7"/>
    </row>
    <row r="4002" spans="7:7" x14ac:dyDescent="0.2">
      <c r="G4002" s="7"/>
    </row>
    <row r="4003" spans="7:7" x14ac:dyDescent="0.2">
      <c r="G4003" s="7"/>
    </row>
    <row r="4004" spans="7:7" x14ac:dyDescent="0.2">
      <c r="G4004" s="7"/>
    </row>
    <row r="4005" spans="7:7" x14ac:dyDescent="0.2">
      <c r="G4005" s="7"/>
    </row>
    <row r="4006" spans="7:7" x14ac:dyDescent="0.2">
      <c r="G4006" s="7"/>
    </row>
    <row r="4007" spans="7:7" x14ac:dyDescent="0.2">
      <c r="G4007" s="7"/>
    </row>
    <row r="4008" spans="7:7" x14ac:dyDescent="0.2">
      <c r="G4008" s="7"/>
    </row>
    <row r="4009" spans="7:7" x14ac:dyDescent="0.2">
      <c r="G4009" s="7"/>
    </row>
    <row r="4010" spans="7:7" x14ac:dyDescent="0.2">
      <c r="G4010" s="7"/>
    </row>
    <row r="4011" spans="7:7" x14ac:dyDescent="0.2">
      <c r="G4011" s="7"/>
    </row>
    <row r="4012" spans="7:7" x14ac:dyDescent="0.2">
      <c r="G4012" s="7"/>
    </row>
    <row r="4013" spans="7:7" x14ac:dyDescent="0.2">
      <c r="G4013" s="7"/>
    </row>
    <row r="4014" spans="7:7" x14ac:dyDescent="0.2">
      <c r="G4014" s="7"/>
    </row>
    <row r="4015" spans="7:7" x14ac:dyDescent="0.2">
      <c r="G4015" s="7"/>
    </row>
    <row r="4016" spans="7:7" x14ac:dyDescent="0.2">
      <c r="G4016" s="7"/>
    </row>
    <row r="4017" spans="7:7" x14ac:dyDescent="0.2">
      <c r="G4017" s="7"/>
    </row>
    <row r="4018" spans="7:7" x14ac:dyDescent="0.2">
      <c r="G4018" s="7"/>
    </row>
    <row r="4019" spans="7:7" x14ac:dyDescent="0.2">
      <c r="G4019" s="7"/>
    </row>
    <row r="4020" spans="7:7" x14ac:dyDescent="0.2">
      <c r="G4020" s="7"/>
    </row>
    <row r="4021" spans="7:7" x14ac:dyDescent="0.2">
      <c r="G4021" s="7"/>
    </row>
    <row r="4022" spans="7:7" x14ac:dyDescent="0.2">
      <c r="G4022" s="7"/>
    </row>
    <row r="4023" spans="7:7" x14ac:dyDescent="0.2">
      <c r="G4023" s="7"/>
    </row>
    <row r="4024" spans="7:7" x14ac:dyDescent="0.2">
      <c r="G4024" s="7"/>
    </row>
    <row r="4025" spans="7:7" x14ac:dyDescent="0.2">
      <c r="G4025" s="7"/>
    </row>
    <row r="4026" spans="7:7" x14ac:dyDescent="0.2">
      <c r="G4026" s="7"/>
    </row>
    <row r="4027" spans="7:7" x14ac:dyDescent="0.2">
      <c r="G4027" s="7"/>
    </row>
    <row r="4028" spans="7:7" x14ac:dyDescent="0.2">
      <c r="G4028" s="7"/>
    </row>
    <row r="4029" spans="7:7" x14ac:dyDescent="0.2">
      <c r="G4029" s="7"/>
    </row>
    <row r="4030" spans="7:7" x14ac:dyDescent="0.2">
      <c r="G4030" s="7"/>
    </row>
    <row r="4031" spans="7:7" x14ac:dyDescent="0.2">
      <c r="G4031" s="7"/>
    </row>
    <row r="4032" spans="7:7" x14ac:dyDescent="0.2">
      <c r="G4032" s="7"/>
    </row>
    <row r="4033" spans="7:7" x14ac:dyDescent="0.2">
      <c r="G4033" s="7"/>
    </row>
    <row r="4034" spans="7:7" x14ac:dyDescent="0.2">
      <c r="G4034" s="7"/>
    </row>
    <row r="4035" spans="7:7" x14ac:dyDescent="0.2">
      <c r="G4035" s="7"/>
    </row>
    <row r="4036" spans="7:7" x14ac:dyDescent="0.2">
      <c r="G4036" s="7"/>
    </row>
    <row r="4037" spans="7:7" x14ac:dyDescent="0.2">
      <c r="G4037" s="7"/>
    </row>
    <row r="4038" spans="7:7" x14ac:dyDescent="0.2">
      <c r="G4038" s="7"/>
    </row>
    <row r="4039" spans="7:7" x14ac:dyDescent="0.2">
      <c r="G4039" s="7"/>
    </row>
    <row r="4040" spans="7:7" x14ac:dyDescent="0.2">
      <c r="G4040" s="7"/>
    </row>
    <row r="4041" spans="7:7" x14ac:dyDescent="0.2">
      <c r="G4041" s="7"/>
    </row>
    <row r="4042" spans="7:7" x14ac:dyDescent="0.2">
      <c r="G4042" s="7"/>
    </row>
    <row r="4043" spans="7:7" x14ac:dyDescent="0.2">
      <c r="G4043" s="7"/>
    </row>
    <row r="4044" spans="7:7" x14ac:dyDescent="0.2">
      <c r="G4044" s="7"/>
    </row>
    <row r="4045" spans="7:7" x14ac:dyDescent="0.2">
      <c r="G4045" s="7"/>
    </row>
    <row r="4046" spans="7:7" x14ac:dyDescent="0.2">
      <c r="G4046" s="7"/>
    </row>
    <row r="4047" spans="7:7" x14ac:dyDescent="0.2">
      <c r="G4047" s="7"/>
    </row>
    <row r="4048" spans="7:7" x14ac:dyDescent="0.2">
      <c r="G4048" s="7"/>
    </row>
    <row r="4049" spans="7:7" x14ac:dyDescent="0.2">
      <c r="G4049" s="7"/>
    </row>
    <row r="4050" spans="7:7" x14ac:dyDescent="0.2">
      <c r="G4050" s="7"/>
    </row>
    <row r="4051" spans="7:7" x14ac:dyDescent="0.2">
      <c r="G4051" s="7"/>
    </row>
    <row r="4052" spans="7:7" x14ac:dyDescent="0.2">
      <c r="G4052" s="7"/>
    </row>
    <row r="4053" spans="7:7" x14ac:dyDescent="0.2">
      <c r="G4053" s="7"/>
    </row>
    <row r="4054" spans="7:7" x14ac:dyDescent="0.2">
      <c r="G4054" s="7"/>
    </row>
    <row r="4055" spans="7:7" x14ac:dyDescent="0.2">
      <c r="G4055" s="7"/>
    </row>
    <row r="4056" spans="7:7" x14ac:dyDescent="0.2">
      <c r="G4056" s="7"/>
    </row>
    <row r="4057" spans="7:7" x14ac:dyDescent="0.2">
      <c r="G4057" s="7"/>
    </row>
    <row r="4058" spans="7:7" x14ac:dyDescent="0.2">
      <c r="G4058" s="7"/>
    </row>
    <row r="4059" spans="7:7" x14ac:dyDescent="0.2">
      <c r="G4059" s="7"/>
    </row>
    <row r="4060" spans="7:7" x14ac:dyDescent="0.2">
      <c r="G4060" s="7"/>
    </row>
    <row r="4061" spans="7:7" x14ac:dyDescent="0.2">
      <c r="G4061" s="7"/>
    </row>
    <row r="4062" spans="7:7" x14ac:dyDescent="0.2">
      <c r="G4062" s="7"/>
    </row>
    <row r="4063" spans="7:7" x14ac:dyDescent="0.2">
      <c r="G4063" s="7"/>
    </row>
    <row r="4064" spans="7:7" x14ac:dyDescent="0.2">
      <c r="G4064" s="7"/>
    </row>
    <row r="4065" spans="7:7" x14ac:dyDescent="0.2">
      <c r="G4065" s="7"/>
    </row>
    <row r="4066" spans="7:7" x14ac:dyDescent="0.2">
      <c r="G4066" s="7"/>
    </row>
    <row r="4067" spans="7:7" x14ac:dyDescent="0.2">
      <c r="G4067" s="7"/>
    </row>
    <row r="4068" spans="7:7" x14ac:dyDescent="0.2">
      <c r="G4068" s="7"/>
    </row>
    <row r="4069" spans="7:7" x14ac:dyDescent="0.2">
      <c r="G4069" s="7"/>
    </row>
    <row r="4070" spans="7:7" x14ac:dyDescent="0.2">
      <c r="G4070" s="7"/>
    </row>
    <row r="4071" spans="7:7" x14ac:dyDescent="0.2">
      <c r="G4071" s="7"/>
    </row>
    <row r="4072" spans="7:7" x14ac:dyDescent="0.2">
      <c r="G4072" s="7"/>
    </row>
    <row r="4073" spans="7:7" x14ac:dyDescent="0.2">
      <c r="G4073" s="7"/>
    </row>
    <row r="4074" spans="7:7" x14ac:dyDescent="0.2">
      <c r="G4074" s="7"/>
    </row>
    <row r="4075" spans="7:7" x14ac:dyDescent="0.2">
      <c r="G4075" s="7"/>
    </row>
    <row r="4076" spans="7:7" x14ac:dyDescent="0.2">
      <c r="G4076" s="7"/>
    </row>
    <row r="4077" spans="7:7" x14ac:dyDescent="0.2">
      <c r="G4077" s="7"/>
    </row>
    <row r="4078" spans="7:7" x14ac:dyDescent="0.2">
      <c r="G4078" s="7"/>
    </row>
    <row r="4079" spans="7:7" x14ac:dyDescent="0.2">
      <c r="G4079" s="7"/>
    </row>
    <row r="4080" spans="7:7" x14ac:dyDescent="0.2">
      <c r="G4080" s="7"/>
    </row>
    <row r="4081" spans="7:7" x14ac:dyDescent="0.2">
      <c r="G4081" s="7"/>
    </row>
    <row r="4082" spans="7:7" x14ac:dyDescent="0.2">
      <c r="G4082" s="7"/>
    </row>
    <row r="4083" spans="7:7" x14ac:dyDescent="0.2">
      <c r="G4083" s="7"/>
    </row>
    <row r="4084" spans="7:7" x14ac:dyDescent="0.2">
      <c r="G4084" s="7"/>
    </row>
    <row r="4085" spans="7:7" x14ac:dyDescent="0.2">
      <c r="G4085" s="7"/>
    </row>
    <row r="4086" spans="7:7" x14ac:dyDescent="0.2">
      <c r="G4086" s="7"/>
    </row>
    <row r="4087" spans="7:7" x14ac:dyDescent="0.2">
      <c r="G4087" s="7"/>
    </row>
    <row r="4088" spans="7:7" x14ac:dyDescent="0.2">
      <c r="G4088" s="7"/>
    </row>
    <row r="4089" spans="7:7" x14ac:dyDescent="0.2">
      <c r="G4089" s="7"/>
    </row>
    <row r="4090" spans="7:7" x14ac:dyDescent="0.2">
      <c r="G4090" s="7"/>
    </row>
    <row r="4091" spans="7:7" x14ac:dyDescent="0.2">
      <c r="G4091" s="7"/>
    </row>
    <row r="4092" spans="7:7" x14ac:dyDescent="0.2">
      <c r="G4092" s="7"/>
    </row>
    <row r="4093" spans="7:7" x14ac:dyDescent="0.2">
      <c r="G4093" s="7"/>
    </row>
    <row r="4094" spans="7:7" x14ac:dyDescent="0.2">
      <c r="G4094" s="7"/>
    </row>
    <row r="4095" spans="7:7" x14ac:dyDescent="0.2">
      <c r="G4095" s="7"/>
    </row>
    <row r="4096" spans="7:7" x14ac:dyDescent="0.2">
      <c r="G4096" s="7"/>
    </row>
    <row r="4097" spans="7:7" x14ac:dyDescent="0.2">
      <c r="G4097" s="7"/>
    </row>
    <row r="4098" spans="7:7" x14ac:dyDescent="0.2">
      <c r="G4098" s="7"/>
    </row>
    <row r="4099" spans="7:7" x14ac:dyDescent="0.2">
      <c r="G4099" s="7"/>
    </row>
    <row r="4100" spans="7:7" x14ac:dyDescent="0.2">
      <c r="G4100" s="7"/>
    </row>
    <row r="4101" spans="7:7" x14ac:dyDescent="0.2">
      <c r="G4101" s="7"/>
    </row>
    <row r="4102" spans="7:7" x14ac:dyDescent="0.2">
      <c r="G4102" s="7"/>
    </row>
    <row r="4103" spans="7:7" x14ac:dyDescent="0.2">
      <c r="G4103" s="7"/>
    </row>
    <row r="4104" spans="7:7" x14ac:dyDescent="0.2">
      <c r="G4104" s="7"/>
    </row>
    <row r="4105" spans="7:7" x14ac:dyDescent="0.2">
      <c r="G4105" s="7"/>
    </row>
    <row r="4106" spans="7:7" x14ac:dyDescent="0.2">
      <c r="G4106" s="7"/>
    </row>
    <row r="4107" spans="7:7" x14ac:dyDescent="0.2">
      <c r="G4107" s="7"/>
    </row>
    <row r="4108" spans="7:7" x14ac:dyDescent="0.2">
      <c r="G4108" s="7"/>
    </row>
    <row r="4109" spans="7:7" x14ac:dyDescent="0.2">
      <c r="G4109" s="7"/>
    </row>
    <row r="4110" spans="7:7" x14ac:dyDescent="0.2">
      <c r="G4110" s="7"/>
    </row>
    <row r="4111" spans="7:7" x14ac:dyDescent="0.2">
      <c r="G4111" s="7"/>
    </row>
    <row r="4112" spans="7:7" x14ac:dyDescent="0.2">
      <c r="G4112" s="7"/>
    </row>
    <row r="4113" spans="7:7" x14ac:dyDescent="0.2">
      <c r="G4113" s="7"/>
    </row>
    <row r="4114" spans="7:7" x14ac:dyDescent="0.2">
      <c r="G4114" s="7"/>
    </row>
    <row r="4115" spans="7:7" x14ac:dyDescent="0.2">
      <c r="G4115" s="7"/>
    </row>
    <row r="4116" spans="7:7" x14ac:dyDescent="0.2">
      <c r="G4116" s="7"/>
    </row>
    <row r="4117" spans="7:7" x14ac:dyDescent="0.2">
      <c r="G4117" s="7"/>
    </row>
    <row r="4118" spans="7:7" x14ac:dyDescent="0.2">
      <c r="G4118" s="7"/>
    </row>
    <row r="4119" spans="7:7" x14ac:dyDescent="0.2">
      <c r="G4119" s="7"/>
    </row>
    <row r="4120" spans="7:7" x14ac:dyDescent="0.2">
      <c r="G4120" s="7"/>
    </row>
    <row r="4121" spans="7:7" x14ac:dyDescent="0.2">
      <c r="G4121" s="7"/>
    </row>
    <row r="4122" spans="7:7" x14ac:dyDescent="0.2">
      <c r="G4122" s="7"/>
    </row>
    <row r="4123" spans="7:7" x14ac:dyDescent="0.2">
      <c r="G4123" s="7"/>
    </row>
    <row r="4124" spans="7:7" x14ac:dyDescent="0.2">
      <c r="G4124" s="7"/>
    </row>
    <row r="4125" spans="7:7" x14ac:dyDescent="0.2">
      <c r="G4125" s="7"/>
    </row>
    <row r="4126" spans="7:7" x14ac:dyDescent="0.2">
      <c r="G4126" s="7"/>
    </row>
    <row r="4127" spans="7:7" x14ac:dyDescent="0.2">
      <c r="G4127" s="7"/>
    </row>
    <row r="4128" spans="7:7" x14ac:dyDescent="0.2">
      <c r="G4128" s="7"/>
    </row>
    <row r="4129" spans="7:7" x14ac:dyDescent="0.2">
      <c r="G4129" s="7"/>
    </row>
    <row r="4130" spans="7:7" x14ac:dyDescent="0.2">
      <c r="G4130" s="7"/>
    </row>
    <row r="4131" spans="7:7" x14ac:dyDescent="0.2">
      <c r="G4131" s="7"/>
    </row>
    <row r="4132" spans="7:7" x14ac:dyDescent="0.2">
      <c r="G4132" s="7"/>
    </row>
    <row r="4133" spans="7:7" x14ac:dyDescent="0.2">
      <c r="G4133" s="7"/>
    </row>
    <row r="4134" spans="7:7" x14ac:dyDescent="0.2">
      <c r="G4134" s="7"/>
    </row>
    <row r="4135" spans="7:7" x14ac:dyDescent="0.2">
      <c r="G4135" s="7"/>
    </row>
    <row r="4136" spans="7:7" x14ac:dyDescent="0.2">
      <c r="G4136" s="7"/>
    </row>
    <row r="4137" spans="7:7" x14ac:dyDescent="0.2">
      <c r="G4137" s="7"/>
    </row>
    <row r="4138" spans="7:7" x14ac:dyDescent="0.2">
      <c r="G4138" s="7"/>
    </row>
    <row r="4139" spans="7:7" x14ac:dyDescent="0.2">
      <c r="G4139" s="7"/>
    </row>
    <row r="4140" spans="7:7" x14ac:dyDescent="0.2">
      <c r="G4140" s="7"/>
    </row>
    <row r="4141" spans="7:7" x14ac:dyDescent="0.2">
      <c r="G4141" s="7"/>
    </row>
    <row r="4142" spans="7:7" x14ac:dyDescent="0.2">
      <c r="G4142" s="7"/>
    </row>
    <row r="4143" spans="7:7" x14ac:dyDescent="0.2">
      <c r="G4143" s="7"/>
    </row>
    <row r="4144" spans="7:7" x14ac:dyDescent="0.2">
      <c r="G4144" s="7"/>
    </row>
    <row r="4145" spans="7:7" x14ac:dyDescent="0.2">
      <c r="G4145" s="7"/>
    </row>
    <row r="4146" spans="7:7" x14ac:dyDescent="0.2">
      <c r="G4146" s="7"/>
    </row>
    <row r="4147" spans="7:7" x14ac:dyDescent="0.2">
      <c r="G4147" s="7"/>
    </row>
    <row r="4148" spans="7:7" x14ac:dyDescent="0.2">
      <c r="G4148" s="7"/>
    </row>
    <row r="4149" spans="7:7" x14ac:dyDescent="0.2">
      <c r="G4149" s="7"/>
    </row>
    <row r="4150" spans="7:7" x14ac:dyDescent="0.2">
      <c r="G4150" s="7"/>
    </row>
    <row r="4151" spans="7:7" x14ac:dyDescent="0.2">
      <c r="G4151" s="7"/>
    </row>
    <row r="4152" spans="7:7" x14ac:dyDescent="0.2">
      <c r="G4152" s="7"/>
    </row>
    <row r="4153" spans="7:7" x14ac:dyDescent="0.2">
      <c r="G4153" s="7"/>
    </row>
    <row r="4154" spans="7:7" x14ac:dyDescent="0.2">
      <c r="G4154" s="7"/>
    </row>
    <row r="4155" spans="7:7" x14ac:dyDescent="0.2">
      <c r="G4155" s="7"/>
    </row>
    <row r="4156" spans="7:7" x14ac:dyDescent="0.2">
      <c r="G4156" s="7"/>
    </row>
    <row r="4157" spans="7:7" x14ac:dyDescent="0.2">
      <c r="G4157" s="7"/>
    </row>
    <row r="4158" spans="7:7" x14ac:dyDescent="0.2">
      <c r="G4158" s="7"/>
    </row>
    <row r="4159" spans="7:7" x14ac:dyDescent="0.2">
      <c r="G4159" s="7"/>
    </row>
    <row r="4160" spans="7:7" x14ac:dyDescent="0.2">
      <c r="G4160" s="7"/>
    </row>
    <row r="4161" spans="7:7" x14ac:dyDescent="0.2">
      <c r="G4161" s="7"/>
    </row>
    <row r="4162" spans="7:7" x14ac:dyDescent="0.2">
      <c r="G4162" s="7"/>
    </row>
    <row r="4163" spans="7:7" x14ac:dyDescent="0.2">
      <c r="G4163" s="7"/>
    </row>
    <row r="4164" spans="7:7" x14ac:dyDescent="0.2">
      <c r="G4164" s="7"/>
    </row>
    <row r="4165" spans="7:7" x14ac:dyDescent="0.2">
      <c r="G4165" s="7"/>
    </row>
    <row r="4166" spans="7:7" x14ac:dyDescent="0.2">
      <c r="G4166" s="7"/>
    </row>
    <row r="4167" spans="7:7" x14ac:dyDescent="0.2">
      <c r="G4167" s="7"/>
    </row>
    <row r="4168" spans="7:7" x14ac:dyDescent="0.2">
      <c r="G4168" s="7"/>
    </row>
    <row r="4169" spans="7:7" x14ac:dyDescent="0.2">
      <c r="G4169" s="7"/>
    </row>
    <row r="4170" spans="7:7" x14ac:dyDescent="0.2">
      <c r="G4170" s="7"/>
    </row>
    <row r="4171" spans="7:7" x14ac:dyDescent="0.2">
      <c r="G4171" s="7"/>
    </row>
    <row r="4172" spans="7:7" x14ac:dyDescent="0.2">
      <c r="G4172" s="7"/>
    </row>
    <row r="4173" spans="7:7" x14ac:dyDescent="0.2">
      <c r="G4173" s="7"/>
    </row>
    <row r="4174" spans="7:7" x14ac:dyDescent="0.2">
      <c r="G4174" s="7"/>
    </row>
    <row r="4175" spans="7:7" x14ac:dyDescent="0.2">
      <c r="G4175" s="7"/>
    </row>
    <row r="4176" spans="7:7" x14ac:dyDescent="0.2">
      <c r="G4176" s="7"/>
    </row>
    <row r="4177" spans="7:7" x14ac:dyDescent="0.2">
      <c r="G4177" s="7"/>
    </row>
    <row r="4178" spans="7:7" x14ac:dyDescent="0.2">
      <c r="G4178" s="7"/>
    </row>
    <row r="4179" spans="7:7" x14ac:dyDescent="0.2">
      <c r="G4179" s="7"/>
    </row>
    <row r="4180" spans="7:7" x14ac:dyDescent="0.2">
      <c r="G4180" s="7"/>
    </row>
    <row r="4181" spans="7:7" x14ac:dyDescent="0.2">
      <c r="G4181" s="7"/>
    </row>
    <row r="4182" spans="7:7" x14ac:dyDescent="0.2">
      <c r="G4182" s="7"/>
    </row>
    <row r="4183" spans="7:7" x14ac:dyDescent="0.2">
      <c r="G4183" s="7"/>
    </row>
    <row r="4184" spans="7:7" x14ac:dyDescent="0.2">
      <c r="G4184" s="7"/>
    </row>
    <row r="4185" spans="7:7" x14ac:dyDescent="0.2">
      <c r="G4185" s="7"/>
    </row>
    <row r="4186" spans="7:7" x14ac:dyDescent="0.2">
      <c r="G4186" s="7"/>
    </row>
    <row r="4187" spans="7:7" x14ac:dyDescent="0.2">
      <c r="G4187" s="7"/>
    </row>
    <row r="4188" spans="7:7" x14ac:dyDescent="0.2">
      <c r="G4188" s="7"/>
    </row>
    <row r="4189" spans="7:7" x14ac:dyDescent="0.2">
      <c r="G4189" s="7"/>
    </row>
    <row r="4190" spans="7:7" x14ac:dyDescent="0.2">
      <c r="G4190" s="7"/>
    </row>
    <row r="4191" spans="7:7" x14ac:dyDescent="0.2">
      <c r="G4191" s="7"/>
    </row>
    <row r="4192" spans="7:7" x14ac:dyDescent="0.2">
      <c r="G4192" s="7"/>
    </row>
    <row r="4193" spans="7:7" x14ac:dyDescent="0.2">
      <c r="G4193" s="7"/>
    </row>
    <row r="4194" spans="7:7" x14ac:dyDescent="0.2">
      <c r="G4194" s="7"/>
    </row>
    <row r="4195" spans="7:7" x14ac:dyDescent="0.2">
      <c r="G4195" s="7"/>
    </row>
    <row r="4196" spans="7:7" x14ac:dyDescent="0.2">
      <c r="G4196" s="7"/>
    </row>
    <row r="4197" spans="7:7" x14ac:dyDescent="0.2">
      <c r="G4197" s="7"/>
    </row>
    <row r="4198" spans="7:7" x14ac:dyDescent="0.2">
      <c r="G4198" s="7"/>
    </row>
    <row r="4199" spans="7:7" x14ac:dyDescent="0.2">
      <c r="G4199" s="7"/>
    </row>
    <row r="4200" spans="7:7" x14ac:dyDescent="0.2">
      <c r="G4200" s="7"/>
    </row>
    <row r="4201" spans="7:7" x14ac:dyDescent="0.2">
      <c r="G4201" s="7"/>
    </row>
    <row r="4202" spans="7:7" x14ac:dyDescent="0.2">
      <c r="G4202" s="7"/>
    </row>
    <row r="4203" spans="7:7" x14ac:dyDescent="0.2">
      <c r="G4203" s="7"/>
    </row>
    <row r="4204" spans="7:7" x14ac:dyDescent="0.2">
      <c r="G4204" s="7"/>
    </row>
    <row r="4205" spans="7:7" x14ac:dyDescent="0.2">
      <c r="G4205" s="7"/>
    </row>
    <row r="4206" spans="7:7" x14ac:dyDescent="0.2">
      <c r="G4206" s="7"/>
    </row>
    <row r="4207" spans="7:7" x14ac:dyDescent="0.2">
      <c r="G4207" s="7"/>
    </row>
    <row r="4208" spans="7:7" x14ac:dyDescent="0.2">
      <c r="G4208" s="7"/>
    </row>
    <row r="4209" spans="7:7" x14ac:dyDescent="0.2">
      <c r="G4209" s="7"/>
    </row>
    <row r="4210" spans="7:7" x14ac:dyDescent="0.2">
      <c r="G4210" s="7"/>
    </row>
    <row r="4211" spans="7:7" x14ac:dyDescent="0.2">
      <c r="G4211" s="7"/>
    </row>
    <row r="4212" spans="7:7" x14ac:dyDescent="0.2">
      <c r="G4212" s="7"/>
    </row>
    <row r="4213" spans="7:7" x14ac:dyDescent="0.2">
      <c r="G4213" s="7"/>
    </row>
    <row r="4214" spans="7:7" x14ac:dyDescent="0.2">
      <c r="G4214" s="7"/>
    </row>
    <row r="4215" spans="7:7" x14ac:dyDescent="0.2">
      <c r="G4215" s="7"/>
    </row>
    <row r="4216" spans="7:7" x14ac:dyDescent="0.2">
      <c r="G4216" s="7"/>
    </row>
    <row r="4217" spans="7:7" x14ac:dyDescent="0.2">
      <c r="G4217" s="7"/>
    </row>
    <row r="4218" spans="7:7" x14ac:dyDescent="0.2">
      <c r="G4218" s="7"/>
    </row>
    <row r="4219" spans="7:7" x14ac:dyDescent="0.2">
      <c r="G4219" s="7"/>
    </row>
    <row r="4220" spans="7:7" x14ac:dyDescent="0.2">
      <c r="G4220" s="7"/>
    </row>
    <row r="4221" spans="7:7" x14ac:dyDescent="0.2">
      <c r="G4221" s="7"/>
    </row>
    <row r="4222" spans="7:7" x14ac:dyDescent="0.2">
      <c r="G4222" s="7"/>
    </row>
    <row r="4223" spans="7:7" x14ac:dyDescent="0.2">
      <c r="G4223" s="7"/>
    </row>
    <row r="4224" spans="7:7" x14ac:dyDescent="0.2">
      <c r="G4224" s="7"/>
    </row>
    <row r="4225" spans="7:7" x14ac:dyDescent="0.2">
      <c r="G4225" s="7"/>
    </row>
    <row r="4226" spans="7:7" x14ac:dyDescent="0.2">
      <c r="G4226" s="7"/>
    </row>
    <row r="4227" spans="7:7" x14ac:dyDescent="0.2">
      <c r="G4227" s="7"/>
    </row>
    <row r="4228" spans="7:7" x14ac:dyDescent="0.2">
      <c r="G4228" s="7"/>
    </row>
    <row r="4229" spans="7:7" x14ac:dyDescent="0.2">
      <c r="G4229" s="7"/>
    </row>
    <row r="4230" spans="7:7" x14ac:dyDescent="0.2">
      <c r="G4230" s="7"/>
    </row>
    <row r="4231" spans="7:7" x14ac:dyDescent="0.2">
      <c r="G4231" s="7"/>
    </row>
    <row r="4232" spans="7:7" x14ac:dyDescent="0.2">
      <c r="G4232" s="7"/>
    </row>
    <row r="4233" spans="7:7" x14ac:dyDescent="0.2">
      <c r="G4233" s="7"/>
    </row>
    <row r="4234" spans="7:7" x14ac:dyDescent="0.2">
      <c r="G4234" s="7"/>
    </row>
    <row r="4235" spans="7:7" x14ac:dyDescent="0.2">
      <c r="G4235" s="7"/>
    </row>
    <row r="4236" spans="7:7" x14ac:dyDescent="0.2">
      <c r="G4236" s="7"/>
    </row>
    <row r="4237" spans="7:7" x14ac:dyDescent="0.2">
      <c r="G4237" s="7"/>
    </row>
    <row r="4238" spans="7:7" x14ac:dyDescent="0.2">
      <c r="G4238" s="7"/>
    </row>
    <row r="4239" spans="7:7" x14ac:dyDescent="0.2">
      <c r="G4239" s="7"/>
    </row>
    <row r="4240" spans="7:7" x14ac:dyDescent="0.2">
      <c r="G4240" s="7"/>
    </row>
    <row r="4241" spans="7:7" x14ac:dyDescent="0.2">
      <c r="G4241" s="7"/>
    </row>
    <row r="4242" spans="7:7" x14ac:dyDescent="0.2">
      <c r="G4242" s="7"/>
    </row>
    <row r="4243" spans="7:7" x14ac:dyDescent="0.2">
      <c r="G4243" s="7"/>
    </row>
    <row r="4244" spans="7:7" x14ac:dyDescent="0.2">
      <c r="G4244" s="7"/>
    </row>
    <row r="4245" spans="7:7" x14ac:dyDescent="0.2">
      <c r="G4245" s="7"/>
    </row>
    <row r="4246" spans="7:7" x14ac:dyDescent="0.2">
      <c r="G4246" s="7"/>
    </row>
    <row r="4247" spans="7:7" x14ac:dyDescent="0.2">
      <c r="G4247" s="7"/>
    </row>
    <row r="4248" spans="7:7" x14ac:dyDescent="0.2">
      <c r="G4248" s="7"/>
    </row>
    <row r="4249" spans="7:7" x14ac:dyDescent="0.2">
      <c r="G4249" s="7"/>
    </row>
    <row r="4250" spans="7:7" x14ac:dyDescent="0.2">
      <c r="G4250" s="7"/>
    </row>
    <row r="4251" spans="7:7" x14ac:dyDescent="0.2">
      <c r="G4251" s="7"/>
    </row>
    <row r="4252" spans="7:7" x14ac:dyDescent="0.2">
      <c r="G4252" s="7"/>
    </row>
    <row r="4253" spans="7:7" x14ac:dyDescent="0.2">
      <c r="G4253" s="7"/>
    </row>
    <row r="4254" spans="7:7" x14ac:dyDescent="0.2">
      <c r="G4254" s="7"/>
    </row>
    <row r="4255" spans="7:7" x14ac:dyDescent="0.2">
      <c r="G4255" s="7"/>
    </row>
    <row r="4256" spans="7:7" x14ac:dyDescent="0.2">
      <c r="G4256" s="7"/>
    </row>
    <row r="4257" spans="7:7" x14ac:dyDescent="0.2">
      <c r="G4257" s="7"/>
    </row>
    <row r="4258" spans="7:7" x14ac:dyDescent="0.2">
      <c r="G4258" s="7"/>
    </row>
    <row r="4259" spans="7:7" x14ac:dyDescent="0.2">
      <c r="G4259" s="7"/>
    </row>
    <row r="4260" spans="7:7" x14ac:dyDescent="0.2">
      <c r="G4260" s="7"/>
    </row>
    <row r="4261" spans="7:7" x14ac:dyDescent="0.2">
      <c r="G4261" s="7"/>
    </row>
    <row r="4262" spans="7:7" x14ac:dyDescent="0.2">
      <c r="G4262" s="7"/>
    </row>
    <row r="4263" spans="7:7" x14ac:dyDescent="0.2">
      <c r="G4263" s="7"/>
    </row>
    <row r="4264" spans="7:7" x14ac:dyDescent="0.2">
      <c r="G4264" s="7"/>
    </row>
    <row r="4265" spans="7:7" x14ac:dyDescent="0.2">
      <c r="G4265" s="7"/>
    </row>
    <row r="4266" spans="7:7" x14ac:dyDescent="0.2">
      <c r="G4266" s="7"/>
    </row>
    <row r="4267" spans="7:7" x14ac:dyDescent="0.2">
      <c r="G4267" s="7"/>
    </row>
    <row r="4268" spans="7:7" x14ac:dyDescent="0.2">
      <c r="G4268" s="7"/>
    </row>
    <row r="4269" spans="7:7" x14ac:dyDescent="0.2">
      <c r="G4269" s="7"/>
    </row>
    <row r="4270" spans="7:7" x14ac:dyDescent="0.2">
      <c r="G4270" s="7"/>
    </row>
    <row r="4271" spans="7:7" x14ac:dyDescent="0.2">
      <c r="G4271" s="7"/>
    </row>
    <row r="4272" spans="7:7" x14ac:dyDescent="0.2">
      <c r="G4272" s="7"/>
    </row>
    <row r="4273" spans="7:7" x14ac:dyDescent="0.2">
      <c r="G4273" s="7"/>
    </row>
    <row r="4274" spans="7:7" x14ac:dyDescent="0.2">
      <c r="G4274" s="7"/>
    </row>
    <row r="4275" spans="7:7" x14ac:dyDescent="0.2">
      <c r="G4275" s="7"/>
    </row>
    <row r="4276" spans="7:7" x14ac:dyDescent="0.2">
      <c r="G4276" s="7"/>
    </row>
    <row r="4277" spans="7:7" x14ac:dyDescent="0.2">
      <c r="G4277" s="7"/>
    </row>
    <row r="4278" spans="7:7" x14ac:dyDescent="0.2">
      <c r="G4278" s="7"/>
    </row>
    <row r="4279" spans="7:7" x14ac:dyDescent="0.2">
      <c r="G4279" s="7"/>
    </row>
    <row r="4280" spans="7:7" x14ac:dyDescent="0.2">
      <c r="G4280" s="7"/>
    </row>
    <row r="4281" spans="7:7" x14ac:dyDescent="0.2">
      <c r="G4281" s="7"/>
    </row>
    <row r="4282" spans="7:7" x14ac:dyDescent="0.2">
      <c r="G4282" s="7"/>
    </row>
    <row r="4283" spans="7:7" x14ac:dyDescent="0.2">
      <c r="G4283" s="7"/>
    </row>
    <row r="4284" spans="7:7" x14ac:dyDescent="0.2">
      <c r="G4284" s="7"/>
    </row>
    <row r="4285" spans="7:7" x14ac:dyDescent="0.2">
      <c r="G4285" s="7"/>
    </row>
    <row r="4286" spans="7:7" x14ac:dyDescent="0.2">
      <c r="G4286" s="7"/>
    </row>
    <row r="4287" spans="7:7" x14ac:dyDescent="0.2">
      <c r="G4287" s="7"/>
    </row>
    <row r="4288" spans="7:7" x14ac:dyDescent="0.2">
      <c r="G4288" s="7"/>
    </row>
    <row r="4289" spans="7:7" x14ac:dyDescent="0.2">
      <c r="G4289" s="7"/>
    </row>
    <row r="4290" spans="7:7" x14ac:dyDescent="0.2">
      <c r="G4290" s="7"/>
    </row>
    <row r="4291" spans="7:7" x14ac:dyDescent="0.2">
      <c r="G4291" s="7"/>
    </row>
    <row r="4292" spans="7:7" x14ac:dyDescent="0.2">
      <c r="G4292" s="7"/>
    </row>
    <row r="4293" spans="7:7" x14ac:dyDescent="0.2">
      <c r="G4293" s="7"/>
    </row>
    <row r="4294" spans="7:7" x14ac:dyDescent="0.2">
      <c r="G4294" s="7"/>
    </row>
    <row r="4295" spans="7:7" x14ac:dyDescent="0.2">
      <c r="G4295" s="7"/>
    </row>
    <row r="4296" spans="7:7" x14ac:dyDescent="0.2">
      <c r="G4296" s="7"/>
    </row>
    <row r="4297" spans="7:7" x14ac:dyDescent="0.2">
      <c r="G4297" s="7"/>
    </row>
    <row r="4298" spans="7:7" x14ac:dyDescent="0.2">
      <c r="G4298" s="7"/>
    </row>
    <row r="4299" spans="7:7" x14ac:dyDescent="0.2">
      <c r="G4299" s="7"/>
    </row>
    <row r="4300" spans="7:7" x14ac:dyDescent="0.2">
      <c r="G4300" s="7"/>
    </row>
    <row r="4301" spans="7:7" x14ac:dyDescent="0.2">
      <c r="G4301" s="7"/>
    </row>
    <row r="4302" spans="7:7" x14ac:dyDescent="0.2">
      <c r="G4302" s="7"/>
    </row>
    <row r="4303" spans="7:7" x14ac:dyDescent="0.2">
      <c r="G4303" s="7"/>
    </row>
    <row r="4304" spans="7:7" x14ac:dyDescent="0.2">
      <c r="G4304" s="7"/>
    </row>
    <row r="4305" spans="7:7" x14ac:dyDescent="0.2">
      <c r="G4305" s="7"/>
    </row>
    <row r="4306" spans="7:7" x14ac:dyDescent="0.2">
      <c r="G4306" s="7"/>
    </row>
    <row r="4307" spans="7:7" x14ac:dyDescent="0.2">
      <c r="G4307" s="7"/>
    </row>
    <row r="4308" spans="7:7" x14ac:dyDescent="0.2">
      <c r="G4308" s="7"/>
    </row>
    <row r="4309" spans="7:7" x14ac:dyDescent="0.2">
      <c r="G4309" s="7"/>
    </row>
    <row r="4310" spans="7:7" x14ac:dyDescent="0.2">
      <c r="G4310" s="7"/>
    </row>
    <row r="4311" spans="7:7" x14ac:dyDescent="0.2">
      <c r="G4311" s="7"/>
    </row>
    <row r="4312" spans="7:7" x14ac:dyDescent="0.2">
      <c r="G4312" s="7"/>
    </row>
    <row r="4313" spans="7:7" x14ac:dyDescent="0.2">
      <c r="G4313" s="7"/>
    </row>
    <row r="4314" spans="7:7" x14ac:dyDescent="0.2">
      <c r="G4314" s="7"/>
    </row>
    <row r="4315" spans="7:7" x14ac:dyDescent="0.2">
      <c r="G4315" s="7"/>
    </row>
    <row r="4316" spans="7:7" x14ac:dyDescent="0.2">
      <c r="G4316" s="7"/>
    </row>
    <row r="4317" spans="7:7" x14ac:dyDescent="0.2">
      <c r="G4317" s="7"/>
    </row>
    <row r="4318" spans="7:7" x14ac:dyDescent="0.2">
      <c r="G4318" s="7"/>
    </row>
    <row r="4319" spans="7:7" x14ac:dyDescent="0.2">
      <c r="G4319" s="7"/>
    </row>
    <row r="4320" spans="7:7" x14ac:dyDescent="0.2">
      <c r="G4320" s="7"/>
    </row>
    <row r="4321" spans="7:7" x14ac:dyDescent="0.2">
      <c r="G4321" s="7"/>
    </row>
    <row r="4322" spans="7:7" x14ac:dyDescent="0.2">
      <c r="G4322" s="7"/>
    </row>
    <row r="4323" spans="7:7" x14ac:dyDescent="0.2">
      <c r="G4323" s="7"/>
    </row>
    <row r="4324" spans="7:7" x14ac:dyDescent="0.2">
      <c r="G4324" s="7"/>
    </row>
    <row r="4325" spans="7:7" x14ac:dyDescent="0.2">
      <c r="G4325" s="7"/>
    </row>
    <row r="4326" spans="7:7" x14ac:dyDescent="0.2">
      <c r="G4326" s="7"/>
    </row>
    <row r="4327" spans="7:7" x14ac:dyDescent="0.2">
      <c r="G4327" s="7"/>
    </row>
    <row r="4328" spans="7:7" x14ac:dyDescent="0.2">
      <c r="G4328" s="7"/>
    </row>
    <row r="4329" spans="7:7" x14ac:dyDescent="0.2">
      <c r="G4329" s="7"/>
    </row>
    <row r="4330" spans="7:7" x14ac:dyDescent="0.2">
      <c r="G4330" s="7"/>
    </row>
    <row r="4331" spans="7:7" x14ac:dyDescent="0.2">
      <c r="G4331" s="7"/>
    </row>
    <row r="4332" spans="7:7" x14ac:dyDescent="0.2">
      <c r="G4332" s="7"/>
    </row>
    <row r="4333" spans="7:7" x14ac:dyDescent="0.2">
      <c r="G4333" s="7"/>
    </row>
    <row r="4334" spans="7:7" x14ac:dyDescent="0.2">
      <c r="G4334" s="7"/>
    </row>
    <row r="4335" spans="7:7" x14ac:dyDescent="0.2">
      <c r="G4335" s="7"/>
    </row>
    <row r="4336" spans="7:7" x14ac:dyDescent="0.2">
      <c r="G4336" s="7"/>
    </row>
    <row r="4337" spans="7:7" x14ac:dyDescent="0.2">
      <c r="G4337" s="7"/>
    </row>
    <row r="4338" spans="7:7" x14ac:dyDescent="0.2">
      <c r="G4338" s="7"/>
    </row>
    <row r="4339" spans="7:7" x14ac:dyDescent="0.2">
      <c r="G4339" s="7"/>
    </row>
    <row r="4340" spans="7:7" x14ac:dyDescent="0.2">
      <c r="G4340" s="7"/>
    </row>
    <row r="4341" spans="7:7" x14ac:dyDescent="0.2">
      <c r="G4341" s="7"/>
    </row>
    <row r="4342" spans="7:7" x14ac:dyDescent="0.2">
      <c r="G4342" s="7"/>
    </row>
    <row r="4343" spans="7:7" x14ac:dyDescent="0.2">
      <c r="G4343" s="7"/>
    </row>
    <row r="4344" spans="7:7" x14ac:dyDescent="0.2">
      <c r="G4344" s="7"/>
    </row>
    <row r="4345" spans="7:7" x14ac:dyDescent="0.2">
      <c r="G4345" s="7"/>
    </row>
    <row r="4346" spans="7:7" x14ac:dyDescent="0.2">
      <c r="G4346" s="7"/>
    </row>
    <row r="4347" spans="7:7" x14ac:dyDescent="0.2">
      <c r="G4347" s="7"/>
    </row>
    <row r="4348" spans="7:7" x14ac:dyDescent="0.2">
      <c r="G4348" s="7"/>
    </row>
    <row r="4349" spans="7:7" x14ac:dyDescent="0.2">
      <c r="G4349" s="7"/>
    </row>
    <row r="4350" spans="7:7" x14ac:dyDescent="0.2">
      <c r="G4350" s="7"/>
    </row>
    <row r="4351" spans="7:7" x14ac:dyDescent="0.2">
      <c r="G4351" s="7"/>
    </row>
    <row r="4352" spans="7:7" x14ac:dyDescent="0.2">
      <c r="G4352" s="7"/>
    </row>
    <row r="4353" spans="7:7" x14ac:dyDescent="0.2">
      <c r="G4353" s="7"/>
    </row>
    <row r="4354" spans="7:7" x14ac:dyDescent="0.2">
      <c r="G4354" s="7"/>
    </row>
    <row r="4355" spans="7:7" x14ac:dyDescent="0.2">
      <c r="G4355" s="7"/>
    </row>
    <row r="4356" spans="7:7" x14ac:dyDescent="0.2">
      <c r="G4356" s="7"/>
    </row>
    <row r="4357" spans="7:7" x14ac:dyDescent="0.2">
      <c r="G4357" s="7"/>
    </row>
    <row r="4358" spans="7:7" x14ac:dyDescent="0.2">
      <c r="G4358" s="7"/>
    </row>
    <row r="4359" spans="7:7" x14ac:dyDescent="0.2">
      <c r="G4359" s="7"/>
    </row>
    <row r="4360" spans="7:7" x14ac:dyDescent="0.2">
      <c r="G4360" s="7"/>
    </row>
    <row r="4361" spans="7:7" x14ac:dyDescent="0.2">
      <c r="G4361" s="7"/>
    </row>
    <row r="4362" spans="7:7" x14ac:dyDescent="0.2">
      <c r="G4362" s="7"/>
    </row>
    <row r="4363" spans="7:7" x14ac:dyDescent="0.2">
      <c r="G4363" s="7"/>
    </row>
    <row r="4364" spans="7:7" x14ac:dyDescent="0.2">
      <c r="G4364" s="7"/>
    </row>
    <row r="4365" spans="7:7" x14ac:dyDescent="0.2">
      <c r="G4365" s="7"/>
    </row>
    <row r="4366" spans="7:7" x14ac:dyDescent="0.2">
      <c r="G4366" s="7"/>
    </row>
    <row r="4367" spans="7:7" x14ac:dyDescent="0.2">
      <c r="G4367" s="7"/>
    </row>
    <row r="4368" spans="7:7" x14ac:dyDescent="0.2">
      <c r="G4368" s="7"/>
    </row>
    <row r="4369" spans="7:7" x14ac:dyDescent="0.2">
      <c r="G4369" s="7"/>
    </row>
    <row r="4370" spans="7:7" x14ac:dyDescent="0.2">
      <c r="G4370" s="7"/>
    </row>
    <row r="4371" spans="7:7" x14ac:dyDescent="0.2">
      <c r="G4371" s="7"/>
    </row>
    <row r="4372" spans="7:7" x14ac:dyDescent="0.2">
      <c r="G4372" s="7"/>
    </row>
    <row r="4373" spans="7:7" x14ac:dyDescent="0.2">
      <c r="G4373" s="7"/>
    </row>
    <row r="4374" spans="7:7" x14ac:dyDescent="0.2">
      <c r="G4374" s="7"/>
    </row>
    <row r="4375" spans="7:7" x14ac:dyDescent="0.2">
      <c r="G4375" s="7"/>
    </row>
    <row r="4376" spans="7:7" x14ac:dyDescent="0.2">
      <c r="G4376" s="7"/>
    </row>
    <row r="4377" spans="7:7" x14ac:dyDescent="0.2">
      <c r="G4377" s="7"/>
    </row>
    <row r="4378" spans="7:7" x14ac:dyDescent="0.2">
      <c r="G4378" s="7"/>
    </row>
    <row r="4379" spans="7:7" x14ac:dyDescent="0.2">
      <c r="G4379" s="7"/>
    </row>
    <row r="4380" spans="7:7" x14ac:dyDescent="0.2">
      <c r="G4380" s="7"/>
    </row>
    <row r="4381" spans="7:7" x14ac:dyDescent="0.2">
      <c r="G4381" s="7"/>
    </row>
    <row r="4382" spans="7:7" x14ac:dyDescent="0.2">
      <c r="G4382" s="7"/>
    </row>
    <row r="4383" spans="7:7" x14ac:dyDescent="0.2">
      <c r="G4383" s="7"/>
    </row>
    <row r="4384" spans="7:7" x14ac:dyDescent="0.2">
      <c r="G4384" s="7"/>
    </row>
    <row r="4385" spans="7:7" x14ac:dyDescent="0.2">
      <c r="G4385" s="7"/>
    </row>
    <row r="4386" spans="7:7" x14ac:dyDescent="0.2">
      <c r="G4386" s="7"/>
    </row>
    <row r="4387" spans="7:7" x14ac:dyDescent="0.2">
      <c r="G4387" s="7"/>
    </row>
    <row r="4388" spans="7:7" x14ac:dyDescent="0.2">
      <c r="G4388" s="7"/>
    </row>
    <row r="4389" spans="7:7" x14ac:dyDescent="0.2">
      <c r="G4389" s="7"/>
    </row>
    <row r="4390" spans="7:7" x14ac:dyDescent="0.2">
      <c r="G4390" s="7"/>
    </row>
    <row r="4391" spans="7:7" x14ac:dyDescent="0.2">
      <c r="G4391" s="7"/>
    </row>
    <row r="4392" spans="7:7" x14ac:dyDescent="0.2">
      <c r="G4392" s="7"/>
    </row>
    <row r="4393" spans="7:7" x14ac:dyDescent="0.2">
      <c r="G4393" s="7"/>
    </row>
    <row r="4394" spans="7:7" x14ac:dyDescent="0.2">
      <c r="G4394" s="7"/>
    </row>
    <row r="4395" spans="7:7" x14ac:dyDescent="0.2">
      <c r="G4395" s="7"/>
    </row>
    <row r="4396" spans="7:7" x14ac:dyDescent="0.2">
      <c r="G4396" s="7"/>
    </row>
    <row r="4397" spans="7:7" x14ac:dyDescent="0.2">
      <c r="G4397" s="7"/>
    </row>
    <row r="4398" spans="7:7" x14ac:dyDescent="0.2">
      <c r="G4398" s="7"/>
    </row>
    <row r="4399" spans="7:7" x14ac:dyDescent="0.2">
      <c r="G4399" s="7"/>
    </row>
    <row r="4400" spans="7:7" x14ac:dyDescent="0.2">
      <c r="G4400" s="7"/>
    </row>
    <row r="4401" spans="7:7" x14ac:dyDescent="0.2">
      <c r="G4401" s="7"/>
    </row>
    <row r="4402" spans="7:7" x14ac:dyDescent="0.2">
      <c r="G4402" s="7"/>
    </row>
    <row r="4403" spans="7:7" x14ac:dyDescent="0.2">
      <c r="G4403" s="7"/>
    </row>
    <row r="4404" spans="7:7" x14ac:dyDescent="0.2">
      <c r="G4404" s="7"/>
    </row>
    <row r="4405" spans="7:7" x14ac:dyDescent="0.2">
      <c r="G4405" s="7"/>
    </row>
    <row r="4406" spans="7:7" x14ac:dyDescent="0.2">
      <c r="G4406" s="7"/>
    </row>
    <row r="4407" spans="7:7" x14ac:dyDescent="0.2">
      <c r="G4407" s="7"/>
    </row>
    <row r="4408" spans="7:7" x14ac:dyDescent="0.2">
      <c r="G4408" s="7"/>
    </row>
    <row r="4409" spans="7:7" x14ac:dyDescent="0.2">
      <c r="G4409" s="7"/>
    </row>
    <row r="4410" spans="7:7" x14ac:dyDescent="0.2">
      <c r="G4410" s="7"/>
    </row>
    <row r="4411" spans="7:7" x14ac:dyDescent="0.2">
      <c r="G4411" s="7"/>
    </row>
    <row r="4412" spans="7:7" x14ac:dyDescent="0.2">
      <c r="G4412" s="7"/>
    </row>
    <row r="4413" spans="7:7" x14ac:dyDescent="0.2">
      <c r="G4413" s="7"/>
    </row>
    <row r="4414" spans="7:7" x14ac:dyDescent="0.2">
      <c r="G4414" s="7"/>
    </row>
    <row r="4415" spans="7:7" x14ac:dyDescent="0.2">
      <c r="G4415" s="7"/>
    </row>
    <row r="4416" spans="7:7" x14ac:dyDescent="0.2">
      <c r="G4416" s="7"/>
    </row>
    <row r="4417" spans="7:7" x14ac:dyDescent="0.2">
      <c r="G4417" s="7"/>
    </row>
    <row r="4418" spans="7:7" x14ac:dyDescent="0.2">
      <c r="G4418" s="7"/>
    </row>
    <row r="4419" spans="7:7" x14ac:dyDescent="0.2">
      <c r="G4419" s="7"/>
    </row>
    <row r="4420" spans="7:7" x14ac:dyDescent="0.2">
      <c r="G4420" s="7"/>
    </row>
    <row r="4421" spans="7:7" x14ac:dyDescent="0.2">
      <c r="G4421" s="7"/>
    </row>
    <row r="4422" spans="7:7" x14ac:dyDescent="0.2">
      <c r="G4422" s="7"/>
    </row>
    <row r="4423" spans="7:7" x14ac:dyDescent="0.2">
      <c r="G4423" s="7"/>
    </row>
    <row r="4424" spans="7:7" x14ac:dyDescent="0.2">
      <c r="G4424" s="7"/>
    </row>
    <row r="4425" spans="7:7" x14ac:dyDescent="0.2">
      <c r="G4425" s="7"/>
    </row>
    <row r="4426" spans="7:7" x14ac:dyDescent="0.2">
      <c r="G4426" s="7"/>
    </row>
    <row r="4427" spans="7:7" x14ac:dyDescent="0.2">
      <c r="G4427" s="7"/>
    </row>
    <row r="4428" spans="7:7" x14ac:dyDescent="0.2">
      <c r="G4428" s="7"/>
    </row>
    <row r="4429" spans="7:7" x14ac:dyDescent="0.2">
      <c r="G4429" s="7"/>
    </row>
    <row r="4430" spans="7:7" x14ac:dyDescent="0.2">
      <c r="G4430" s="7"/>
    </row>
    <row r="4431" spans="7:7" x14ac:dyDescent="0.2">
      <c r="G4431" s="7"/>
    </row>
    <row r="4432" spans="7:7" x14ac:dyDescent="0.2">
      <c r="G4432" s="7"/>
    </row>
    <row r="4433" spans="7:7" x14ac:dyDescent="0.2">
      <c r="G4433" s="7"/>
    </row>
    <row r="4434" spans="7:7" x14ac:dyDescent="0.2">
      <c r="G4434" s="7"/>
    </row>
    <row r="4435" spans="7:7" x14ac:dyDescent="0.2">
      <c r="G4435" s="7"/>
    </row>
    <row r="4436" spans="7:7" x14ac:dyDescent="0.2">
      <c r="G4436" s="7"/>
    </row>
    <row r="4437" spans="7:7" x14ac:dyDescent="0.2">
      <c r="G4437" s="7"/>
    </row>
    <row r="4438" spans="7:7" x14ac:dyDescent="0.2">
      <c r="G4438" s="7"/>
    </row>
    <row r="4439" spans="7:7" x14ac:dyDescent="0.2">
      <c r="G4439" s="7"/>
    </row>
    <row r="4440" spans="7:7" x14ac:dyDescent="0.2">
      <c r="G4440" s="7"/>
    </row>
    <row r="4441" spans="7:7" x14ac:dyDescent="0.2">
      <c r="G4441" s="7"/>
    </row>
    <row r="4442" spans="7:7" x14ac:dyDescent="0.2">
      <c r="G4442" s="7"/>
    </row>
    <row r="4443" spans="7:7" x14ac:dyDescent="0.2">
      <c r="G4443" s="7"/>
    </row>
    <row r="4444" spans="7:7" x14ac:dyDescent="0.2">
      <c r="G4444" s="7"/>
    </row>
    <row r="4445" spans="7:7" x14ac:dyDescent="0.2">
      <c r="G4445" s="7"/>
    </row>
    <row r="4446" spans="7:7" x14ac:dyDescent="0.2">
      <c r="G4446" s="7"/>
    </row>
    <row r="4447" spans="7:7" x14ac:dyDescent="0.2">
      <c r="G4447" s="7"/>
    </row>
    <row r="4448" spans="7:7" x14ac:dyDescent="0.2">
      <c r="G4448" s="7"/>
    </row>
    <row r="4449" spans="7:7" x14ac:dyDescent="0.2">
      <c r="G4449" s="7"/>
    </row>
    <row r="4450" spans="7:7" x14ac:dyDescent="0.2">
      <c r="G4450" s="7"/>
    </row>
    <row r="4451" spans="7:7" x14ac:dyDescent="0.2">
      <c r="G4451" s="7"/>
    </row>
    <row r="4452" spans="7:7" x14ac:dyDescent="0.2">
      <c r="G4452" s="7"/>
    </row>
    <row r="4453" spans="7:7" x14ac:dyDescent="0.2">
      <c r="G4453" s="7"/>
    </row>
    <row r="4454" spans="7:7" x14ac:dyDescent="0.2">
      <c r="G4454" s="7"/>
    </row>
    <row r="4455" spans="7:7" x14ac:dyDescent="0.2">
      <c r="G4455" s="7"/>
    </row>
    <row r="4456" spans="7:7" x14ac:dyDescent="0.2">
      <c r="G4456" s="7"/>
    </row>
    <row r="4457" spans="7:7" x14ac:dyDescent="0.2">
      <c r="G4457" s="7"/>
    </row>
    <row r="4458" spans="7:7" x14ac:dyDescent="0.2">
      <c r="G4458" s="7"/>
    </row>
    <row r="4459" spans="7:7" x14ac:dyDescent="0.2">
      <c r="G4459" s="7"/>
    </row>
    <row r="4460" spans="7:7" x14ac:dyDescent="0.2">
      <c r="G4460" s="7"/>
    </row>
    <row r="4461" spans="7:7" x14ac:dyDescent="0.2">
      <c r="G4461" s="7"/>
    </row>
    <row r="4462" spans="7:7" x14ac:dyDescent="0.2">
      <c r="G4462" s="7"/>
    </row>
    <row r="4463" spans="7:7" x14ac:dyDescent="0.2">
      <c r="G4463" s="7"/>
    </row>
    <row r="4464" spans="7:7" x14ac:dyDescent="0.2">
      <c r="G4464" s="7"/>
    </row>
    <row r="4465" spans="7:7" x14ac:dyDescent="0.2">
      <c r="G4465" s="7"/>
    </row>
    <row r="4466" spans="7:7" x14ac:dyDescent="0.2">
      <c r="G4466" s="7"/>
    </row>
    <row r="4467" spans="7:7" x14ac:dyDescent="0.2">
      <c r="G4467" s="7"/>
    </row>
    <row r="4468" spans="7:7" x14ac:dyDescent="0.2">
      <c r="G4468" s="7"/>
    </row>
    <row r="4469" spans="7:7" x14ac:dyDescent="0.2">
      <c r="G4469" s="7"/>
    </row>
    <row r="4470" spans="7:7" x14ac:dyDescent="0.2">
      <c r="G4470" s="7"/>
    </row>
    <row r="4471" spans="7:7" x14ac:dyDescent="0.2">
      <c r="G4471" s="7"/>
    </row>
    <row r="4472" spans="7:7" x14ac:dyDescent="0.2">
      <c r="G4472" s="7"/>
    </row>
    <row r="4473" spans="7:7" x14ac:dyDescent="0.2">
      <c r="G4473" s="7"/>
    </row>
    <row r="4474" spans="7:7" x14ac:dyDescent="0.2">
      <c r="G4474" s="7"/>
    </row>
    <row r="4475" spans="7:7" x14ac:dyDescent="0.2">
      <c r="G4475" s="7"/>
    </row>
    <row r="4476" spans="7:7" x14ac:dyDescent="0.2">
      <c r="G4476" s="7"/>
    </row>
    <row r="4477" spans="7:7" x14ac:dyDescent="0.2">
      <c r="G4477" s="7"/>
    </row>
    <row r="4478" spans="7:7" x14ac:dyDescent="0.2">
      <c r="G4478" s="7"/>
    </row>
    <row r="4479" spans="7:7" x14ac:dyDescent="0.2">
      <c r="G4479" s="7"/>
    </row>
    <row r="4480" spans="7:7" x14ac:dyDescent="0.2">
      <c r="G4480" s="7"/>
    </row>
    <row r="4481" spans="7:7" x14ac:dyDescent="0.2">
      <c r="G4481" s="7"/>
    </row>
    <row r="4482" spans="7:7" x14ac:dyDescent="0.2">
      <c r="G4482" s="7"/>
    </row>
    <row r="4483" spans="7:7" x14ac:dyDescent="0.2">
      <c r="G4483" s="7"/>
    </row>
    <row r="4484" spans="7:7" x14ac:dyDescent="0.2">
      <c r="G4484" s="7"/>
    </row>
    <row r="4485" spans="7:7" x14ac:dyDescent="0.2">
      <c r="G4485" s="7"/>
    </row>
    <row r="4486" spans="7:7" x14ac:dyDescent="0.2">
      <c r="G4486" s="7"/>
    </row>
    <row r="4487" spans="7:7" x14ac:dyDescent="0.2">
      <c r="G4487" s="7"/>
    </row>
    <row r="4488" spans="7:7" x14ac:dyDescent="0.2">
      <c r="G4488" s="7"/>
    </row>
    <row r="4489" spans="7:7" x14ac:dyDescent="0.2">
      <c r="G4489" s="7"/>
    </row>
    <row r="4490" spans="7:7" x14ac:dyDescent="0.2">
      <c r="G4490" s="7"/>
    </row>
    <row r="4491" spans="7:7" x14ac:dyDescent="0.2">
      <c r="G4491" s="7"/>
    </row>
    <row r="4492" spans="7:7" x14ac:dyDescent="0.2">
      <c r="G4492" s="7"/>
    </row>
    <row r="4493" spans="7:7" x14ac:dyDescent="0.2">
      <c r="G4493" s="7"/>
    </row>
    <row r="4494" spans="7:7" x14ac:dyDescent="0.2">
      <c r="G4494" s="7"/>
    </row>
    <row r="4495" spans="7:7" x14ac:dyDescent="0.2">
      <c r="G4495" s="7"/>
    </row>
    <row r="4496" spans="7:7" x14ac:dyDescent="0.2">
      <c r="G4496" s="7"/>
    </row>
    <row r="4497" spans="7:7" x14ac:dyDescent="0.2">
      <c r="G4497" s="7"/>
    </row>
    <row r="4498" spans="7:7" x14ac:dyDescent="0.2">
      <c r="G4498" s="7"/>
    </row>
    <row r="4499" spans="7:7" x14ac:dyDescent="0.2">
      <c r="G4499" s="7"/>
    </row>
    <row r="4500" spans="7:7" x14ac:dyDescent="0.2">
      <c r="G4500" s="7"/>
    </row>
    <row r="4501" spans="7:7" x14ac:dyDescent="0.2">
      <c r="G4501" s="7"/>
    </row>
    <row r="4502" spans="7:7" x14ac:dyDescent="0.2">
      <c r="G4502" s="7"/>
    </row>
    <row r="4503" spans="7:7" x14ac:dyDescent="0.2">
      <c r="G4503" s="7"/>
    </row>
    <row r="4504" spans="7:7" x14ac:dyDescent="0.2">
      <c r="G4504" s="7"/>
    </row>
    <row r="4505" spans="7:7" x14ac:dyDescent="0.2">
      <c r="G4505" s="7"/>
    </row>
    <row r="4506" spans="7:7" x14ac:dyDescent="0.2">
      <c r="G4506" s="7"/>
    </row>
    <row r="4507" spans="7:7" x14ac:dyDescent="0.2">
      <c r="G4507" s="7"/>
    </row>
    <row r="4508" spans="7:7" x14ac:dyDescent="0.2">
      <c r="G4508" s="7"/>
    </row>
    <row r="4509" spans="7:7" x14ac:dyDescent="0.2">
      <c r="G4509" s="7"/>
    </row>
    <row r="4510" spans="7:7" x14ac:dyDescent="0.2">
      <c r="G4510" s="7"/>
    </row>
    <row r="4511" spans="7:7" x14ac:dyDescent="0.2">
      <c r="G4511" s="7"/>
    </row>
    <row r="4512" spans="7:7" x14ac:dyDescent="0.2">
      <c r="G4512" s="7"/>
    </row>
    <row r="4513" spans="7:7" x14ac:dyDescent="0.2">
      <c r="G4513" s="7"/>
    </row>
    <row r="4514" spans="7:7" x14ac:dyDescent="0.2">
      <c r="G4514" s="7"/>
    </row>
    <row r="4515" spans="7:7" x14ac:dyDescent="0.2">
      <c r="G4515" s="7"/>
    </row>
    <row r="4516" spans="7:7" x14ac:dyDescent="0.2">
      <c r="G4516" s="7"/>
    </row>
    <row r="4517" spans="7:7" x14ac:dyDescent="0.2">
      <c r="G4517" s="7"/>
    </row>
    <row r="4518" spans="7:7" x14ac:dyDescent="0.2">
      <c r="G4518" s="7"/>
    </row>
    <row r="4519" spans="7:7" x14ac:dyDescent="0.2">
      <c r="G4519" s="7"/>
    </row>
    <row r="4520" spans="7:7" x14ac:dyDescent="0.2">
      <c r="G4520" s="7"/>
    </row>
    <row r="4521" spans="7:7" x14ac:dyDescent="0.2">
      <c r="G4521" s="7"/>
    </row>
    <row r="4522" spans="7:7" x14ac:dyDescent="0.2">
      <c r="G4522" s="7"/>
    </row>
    <row r="4523" spans="7:7" x14ac:dyDescent="0.2">
      <c r="G4523" s="7"/>
    </row>
    <row r="4524" spans="7:7" x14ac:dyDescent="0.2">
      <c r="G4524" s="7"/>
    </row>
    <row r="4525" spans="7:7" x14ac:dyDescent="0.2">
      <c r="G4525" s="7"/>
    </row>
    <row r="4526" spans="7:7" x14ac:dyDescent="0.2">
      <c r="G4526" s="7"/>
    </row>
    <row r="4527" spans="7:7" x14ac:dyDescent="0.2">
      <c r="G4527" s="7"/>
    </row>
    <row r="4528" spans="7:7" x14ac:dyDescent="0.2">
      <c r="G4528" s="7"/>
    </row>
    <row r="4529" spans="7:7" x14ac:dyDescent="0.2">
      <c r="G4529" s="7"/>
    </row>
    <row r="4530" spans="7:7" x14ac:dyDescent="0.2">
      <c r="G4530" s="7"/>
    </row>
    <row r="4531" spans="7:7" x14ac:dyDescent="0.2">
      <c r="G4531" s="7"/>
    </row>
    <row r="4532" spans="7:7" x14ac:dyDescent="0.2">
      <c r="G4532" s="7"/>
    </row>
    <row r="4533" spans="7:7" x14ac:dyDescent="0.2">
      <c r="G4533" s="7"/>
    </row>
    <row r="4534" spans="7:7" x14ac:dyDescent="0.2">
      <c r="G4534" s="7"/>
    </row>
    <row r="4535" spans="7:7" x14ac:dyDescent="0.2">
      <c r="G4535" s="7"/>
    </row>
    <row r="4536" spans="7:7" x14ac:dyDescent="0.2">
      <c r="G4536" s="7"/>
    </row>
    <row r="4537" spans="7:7" x14ac:dyDescent="0.2">
      <c r="G4537" s="7"/>
    </row>
    <row r="4538" spans="7:7" x14ac:dyDescent="0.2">
      <c r="G4538" s="7"/>
    </row>
    <row r="4539" spans="7:7" x14ac:dyDescent="0.2">
      <c r="G4539" s="7"/>
    </row>
    <row r="4540" spans="7:7" x14ac:dyDescent="0.2">
      <c r="G4540" s="7"/>
    </row>
    <row r="4541" spans="7:7" x14ac:dyDescent="0.2">
      <c r="G4541" s="7"/>
    </row>
    <row r="4542" spans="7:7" x14ac:dyDescent="0.2">
      <c r="G4542" s="7"/>
    </row>
    <row r="4543" spans="7:7" x14ac:dyDescent="0.2">
      <c r="G4543" s="7"/>
    </row>
    <row r="4544" spans="7:7" x14ac:dyDescent="0.2">
      <c r="G4544" s="7"/>
    </row>
    <row r="4545" spans="7:7" x14ac:dyDescent="0.2">
      <c r="G4545" s="7"/>
    </row>
    <row r="4546" spans="7:7" x14ac:dyDescent="0.2">
      <c r="G4546" s="7"/>
    </row>
    <row r="4547" spans="7:7" x14ac:dyDescent="0.2">
      <c r="G4547" s="7"/>
    </row>
    <row r="4548" spans="7:7" x14ac:dyDescent="0.2">
      <c r="G4548" s="7"/>
    </row>
    <row r="4549" spans="7:7" x14ac:dyDescent="0.2">
      <c r="G4549" s="7"/>
    </row>
    <row r="4550" spans="7:7" x14ac:dyDescent="0.2">
      <c r="G4550" s="7"/>
    </row>
    <row r="4551" spans="7:7" x14ac:dyDescent="0.2">
      <c r="G4551" s="7"/>
    </row>
    <row r="4552" spans="7:7" x14ac:dyDescent="0.2">
      <c r="G4552" s="7"/>
    </row>
    <row r="4553" spans="7:7" x14ac:dyDescent="0.2">
      <c r="G4553" s="7"/>
    </row>
    <row r="4554" spans="7:7" x14ac:dyDescent="0.2">
      <c r="G4554" s="7"/>
    </row>
    <row r="4555" spans="7:7" x14ac:dyDescent="0.2">
      <c r="G4555" s="7"/>
    </row>
    <row r="4556" spans="7:7" x14ac:dyDescent="0.2">
      <c r="G4556" s="7"/>
    </row>
    <row r="4557" spans="7:7" x14ac:dyDescent="0.2">
      <c r="G4557" s="7"/>
    </row>
    <row r="4558" spans="7:7" x14ac:dyDescent="0.2">
      <c r="G4558" s="7"/>
    </row>
    <row r="4559" spans="7:7" x14ac:dyDescent="0.2">
      <c r="G4559" s="7"/>
    </row>
    <row r="4560" spans="7:7" x14ac:dyDescent="0.2">
      <c r="G4560" s="7"/>
    </row>
    <row r="4561" spans="7:7" x14ac:dyDescent="0.2">
      <c r="G4561" s="7"/>
    </row>
    <row r="4562" spans="7:7" x14ac:dyDescent="0.2">
      <c r="G4562" s="7"/>
    </row>
    <row r="4563" spans="7:7" x14ac:dyDescent="0.2">
      <c r="G4563" s="7"/>
    </row>
    <row r="4564" spans="7:7" x14ac:dyDescent="0.2">
      <c r="G4564" s="7"/>
    </row>
    <row r="4565" spans="7:7" x14ac:dyDescent="0.2">
      <c r="G4565" s="7"/>
    </row>
    <row r="4566" spans="7:7" x14ac:dyDescent="0.2">
      <c r="G4566" s="7"/>
    </row>
    <row r="4567" spans="7:7" x14ac:dyDescent="0.2">
      <c r="G4567" s="7"/>
    </row>
    <row r="4568" spans="7:7" x14ac:dyDescent="0.2">
      <c r="G4568" s="7"/>
    </row>
    <row r="4569" spans="7:7" x14ac:dyDescent="0.2">
      <c r="G4569" s="7"/>
    </row>
    <row r="4570" spans="7:7" x14ac:dyDescent="0.2">
      <c r="G4570" s="7"/>
    </row>
    <row r="4571" spans="7:7" x14ac:dyDescent="0.2">
      <c r="G4571" s="7"/>
    </row>
    <row r="4572" spans="7:7" x14ac:dyDescent="0.2">
      <c r="G4572" s="7"/>
    </row>
    <row r="4573" spans="7:7" x14ac:dyDescent="0.2">
      <c r="G4573" s="7"/>
    </row>
    <row r="4574" spans="7:7" x14ac:dyDescent="0.2">
      <c r="G4574" s="7"/>
    </row>
    <row r="4575" spans="7:7" x14ac:dyDescent="0.2">
      <c r="G4575" s="7"/>
    </row>
    <row r="4576" spans="7:7" x14ac:dyDescent="0.2">
      <c r="G4576" s="7"/>
    </row>
    <row r="4577" spans="7:7" x14ac:dyDescent="0.2">
      <c r="G4577" s="7"/>
    </row>
    <row r="4578" spans="7:7" x14ac:dyDescent="0.2">
      <c r="G4578" s="7"/>
    </row>
    <row r="4579" spans="7:7" x14ac:dyDescent="0.2">
      <c r="G4579" s="7"/>
    </row>
    <row r="4580" spans="7:7" x14ac:dyDescent="0.2">
      <c r="G4580" s="7"/>
    </row>
    <row r="4581" spans="7:7" x14ac:dyDescent="0.2">
      <c r="G4581" s="7"/>
    </row>
    <row r="4582" spans="7:7" x14ac:dyDescent="0.2">
      <c r="G4582" s="7"/>
    </row>
    <row r="4583" spans="7:7" x14ac:dyDescent="0.2">
      <c r="G4583" s="7"/>
    </row>
    <row r="4584" spans="7:7" x14ac:dyDescent="0.2">
      <c r="G4584" s="7"/>
    </row>
    <row r="4585" spans="7:7" x14ac:dyDescent="0.2">
      <c r="G4585" s="7"/>
    </row>
    <row r="4586" spans="7:7" x14ac:dyDescent="0.2">
      <c r="G4586" s="7"/>
    </row>
    <row r="4587" spans="7:7" x14ac:dyDescent="0.2">
      <c r="G4587" s="7"/>
    </row>
    <row r="4588" spans="7:7" x14ac:dyDescent="0.2">
      <c r="G4588" s="7"/>
    </row>
    <row r="4589" spans="7:7" x14ac:dyDescent="0.2">
      <c r="G4589" s="7"/>
    </row>
    <row r="4590" spans="7:7" x14ac:dyDescent="0.2">
      <c r="G4590" s="7"/>
    </row>
    <row r="4591" spans="7:7" x14ac:dyDescent="0.2">
      <c r="G4591" s="7"/>
    </row>
    <row r="4592" spans="7:7" x14ac:dyDescent="0.2">
      <c r="G4592" s="7"/>
    </row>
    <row r="4593" spans="7:7" x14ac:dyDescent="0.2">
      <c r="G4593" s="7"/>
    </row>
    <row r="4594" spans="7:7" x14ac:dyDescent="0.2">
      <c r="G4594" s="7"/>
    </row>
    <row r="4595" spans="7:7" x14ac:dyDescent="0.2">
      <c r="G4595" s="7"/>
    </row>
    <row r="4596" spans="7:7" x14ac:dyDescent="0.2">
      <c r="G4596" s="7"/>
    </row>
    <row r="4597" spans="7:7" x14ac:dyDescent="0.2">
      <c r="G4597" s="7"/>
    </row>
    <row r="4598" spans="7:7" x14ac:dyDescent="0.2">
      <c r="G4598" s="7"/>
    </row>
    <row r="4599" spans="7:7" x14ac:dyDescent="0.2">
      <c r="G4599" s="7"/>
    </row>
    <row r="4600" spans="7:7" x14ac:dyDescent="0.2">
      <c r="G4600" s="7"/>
    </row>
    <row r="4601" spans="7:7" x14ac:dyDescent="0.2">
      <c r="G4601" s="7"/>
    </row>
    <row r="4602" spans="7:7" x14ac:dyDescent="0.2">
      <c r="G4602" s="7"/>
    </row>
    <row r="4603" spans="7:7" x14ac:dyDescent="0.2">
      <c r="G4603" s="7"/>
    </row>
    <row r="4604" spans="7:7" x14ac:dyDescent="0.2">
      <c r="G4604" s="7"/>
    </row>
    <row r="4605" spans="7:7" x14ac:dyDescent="0.2">
      <c r="G4605" s="7"/>
    </row>
    <row r="4606" spans="7:7" x14ac:dyDescent="0.2">
      <c r="G4606" s="7"/>
    </row>
    <row r="4607" spans="7:7" x14ac:dyDescent="0.2">
      <c r="G4607" s="7"/>
    </row>
    <row r="4608" spans="7:7" x14ac:dyDescent="0.2">
      <c r="G4608" s="7"/>
    </row>
    <row r="4609" spans="7:7" x14ac:dyDescent="0.2">
      <c r="G4609" s="7"/>
    </row>
    <row r="4610" spans="7:7" x14ac:dyDescent="0.2">
      <c r="G4610" s="7"/>
    </row>
    <row r="4611" spans="7:7" x14ac:dyDescent="0.2">
      <c r="G4611" s="7"/>
    </row>
    <row r="4612" spans="7:7" x14ac:dyDescent="0.2">
      <c r="G4612" s="7"/>
    </row>
    <row r="4613" spans="7:7" x14ac:dyDescent="0.2">
      <c r="G4613" s="7"/>
    </row>
    <row r="4614" spans="7:7" x14ac:dyDescent="0.2">
      <c r="G4614" s="7"/>
    </row>
    <row r="4615" spans="7:7" x14ac:dyDescent="0.2">
      <c r="G4615" s="7"/>
    </row>
    <row r="4616" spans="7:7" x14ac:dyDescent="0.2">
      <c r="G4616" s="7"/>
    </row>
    <row r="4617" spans="7:7" x14ac:dyDescent="0.2">
      <c r="G4617" s="7"/>
    </row>
    <row r="4618" spans="7:7" x14ac:dyDescent="0.2">
      <c r="G4618" s="7"/>
    </row>
    <row r="4619" spans="7:7" x14ac:dyDescent="0.2">
      <c r="G4619" s="7"/>
    </row>
    <row r="4620" spans="7:7" x14ac:dyDescent="0.2">
      <c r="G4620" s="7"/>
    </row>
    <row r="4621" spans="7:7" x14ac:dyDescent="0.2">
      <c r="G4621" s="7"/>
    </row>
    <row r="4622" spans="7:7" x14ac:dyDescent="0.2">
      <c r="G4622" s="7"/>
    </row>
    <row r="4623" spans="7:7" x14ac:dyDescent="0.2">
      <c r="G4623" s="7"/>
    </row>
    <row r="4624" spans="7:7" x14ac:dyDescent="0.2">
      <c r="G4624" s="7"/>
    </row>
    <row r="4625" spans="7:7" x14ac:dyDescent="0.2">
      <c r="G4625" s="7"/>
    </row>
    <row r="4626" spans="7:7" x14ac:dyDescent="0.2">
      <c r="G4626" s="7"/>
    </row>
    <row r="4627" spans="7:7" x14ac:dyDescent="0.2">
      <c r="G4627" s="7"/>
    </row>
    <row r="4628" spans="7:7" x14ac:dyDescent="0.2">
      <c r="G4628" s="7"/>
    </row>
    <row r="4629" spans="7:7" x14ac:dyDescent="0.2">
      <c r="G4629" s="7"/>
    </row>
    <row r="4630" spans="7:7" x14ac:dyDescent="0.2">
      <c r="G4630" s="7"/>
    </row>
    <row r="4631" spans="7:7" x14ac:dyDescent="0.2">
      <c r="G4631" s="7"/>
    </row>
    <row r="4632" spans="7:7" x14ac:dyDescent="0.2">
      <c r="G4632" s="7"/>
    </row>
    <row r="4633" spans="7:7" x14ac:dyDescent="0.2">
      <c r="G4633" s="7"/>
    </row>
    <row r="4634" spans="7:7" x14ac:dyDescent="0.2">
      <c r="G4634" s="7"/>
    </row>
    <row r="4635" spans="7:7" x14ac:dyDescent="0.2">
      <c r="G4635" s="7"/>
    </row>
    <row r="4636" spans="7:7" x14ac:dyDescent="0.2">
      <c r="G4636" s="7"/>
    </row>
    <row r="4637" spans="7:7" x14ac:dyDescent="0.2">
      <c r="G4637" s="7"/>
    </row>
    <row r="4638" spans="7:7" x14ac:dyDescent="0.2">
      <c r="G4638" s="7"/>
    </row>
    <row r="4639" spans="7:7" x14ac:dyDescent="0.2">
      <c r="G4639" s="7"/>
    </row>
    <row r="4640" spans="7:7" x14ac:dyDescent="0.2">
      <c r="G4640" s="7"/>
    </row>
    <row r="4641" spans="7:7" x14ac:dyDescent="0.2">
      <c r="G4641" s="7"/>
    </row>
    <row r="4642" spans="7:7" x14ac:dyDescent="0.2">
      <c r="G4642" s="7"/>
    </row>
    <row r="4643" spans="7:7" x14ac:dyDescent="0.2">
      <c r="G4643" s="7"/>
    </row>
    <row r="4644" spans="7:7" x14ac:dyDescent="0.2">
      <c r="G4644" s="7"/>
    </row>
    <row r="4645" spans="7:7" x14ac:dyDescent="0.2">
      <c r="G4645" s="7"/>
    </row>
    <row r="4646" spans="7:7" x14ac:dyDescent="0.2">
      <c r="G4646" s="7"/>
    </row>
    <row r="4647" spans="7:7" x14ac:dyDescent="0.2">
      <c r="G4647" s="7"/>
    </row>
    <row r="4648" spans="7:7" x14ac:dyDescent="0.2">
      <c r="G4648" s="7"/>
    </row>
    <row r="4649" spans="7:7" x14ac:dyDescent="0.2">
      <c r="G4649" s="7"/>
    </row>
    <row r="4650" spans="7:7" x14ac:dyDescent="0.2">
      <c r="G4650" s="7"/>
    </row>
    <row r="4651" spans="7:7" x14ac:dyDescent="0.2">
      <c r="G4651" s="7"/>
    </row>
    <row r="4652" spans="7:7" x14ac:dyDescent="0.2">
      <c r="G4652" s="7"/>
    </row>
    <row r="4653" spans="7:7" x14ac:dyDescent="0.2">
      <c r="G4653" s="7"/>
    </row>
    <row r="4654" spans="7:7" x14ac:dyDescent="0.2">
      <c r="G4654" s="7"/>
    </row>
    <row r="4655" spans="7:7" x14ac:dyDescent="0.2">
      <c r="G4655" s="7"/>
    </row>
    <row r="4656" spans="7:7" x14ac:dyDescent="0.2">
      <c r="G4656" s="7"/>
    </row>
    <row r="4657" spans="7:7" x14ac:dyDescent="0.2">
      <c r="G4657" s="7"/>
    </row>
    <row r="4658" spans="7:7" x14ac:dyDescent="0.2">
      <c r="G4658" s="7"/>
    </row>
    <row r="4659" spans="7:7" x14ac:dyDescent="0.2">
      <c r="G4659" s="7"/>
    </row>
    <row r="4660" spans="7:7" x14ac:dyDescent="0.2">
      <c r="G4660" s="7"/>
    </row>
    <row r="4661" spans="7:7" x14ac:dyDescent="0.2">
      <c r="G4661" s="7"/>
    </row>
    <row r="4662" spans="7:7" x14ac:dyDescent="0.2">
      <c r="G4662" s="7"/>
    </row>
    <row r="4663" spans="7:7" x14ac:dyDescent="0.2">
      <c r="G4663" s="7"/>
    </row>
    <row r="4664" spans="7:7" x14ac:dyDescent="0.2">
      <c r="G4664" s="7"/>
    </row>
    <row r="4665" spans="7:7" x14ac:dyDescent="0.2">
      <c r="G4665" s="7"/>
    </row>
    <row r="4666" spans="7:7" x14ac:dyDescent="0.2">
      <c r="G4666" s="7"/>
    </row>
    <row r="4667" spans="7:7" x14ac:dyDescent="0.2">
      <c r="G4667" s="7"/>
    </row>
    <row r="4668" spans="7:7" x14ac:dyDescent="0.2">
      <c r="G4668" s="7"/>
    </row>
    <row r="4669" spans="7:7" x14ac:dyDescent="0.2">
      <c r="G4669" s="7"/>
    </row>
    <row r="4670" spans="7:7" x14ac:dyDescent="0.2">
      <c r="G4670" s="7"/>
    </row>
    <row r="4671" spans="7:7" x14ac:dyDescent="0.2">
      <c r="G4671" s="7"/>
    </row>
    <row r="4672" spans="7:7" x14ac:dyDescent="0.2">
      <c r="G4672" s="7"/>
    </row>
    <row r="4673" spans="7:7" x14ac:dyDescent="0.2">
      <c r="G4673" s="7"/>
    </row>
    <row r="4674" spans="7:7" x14ac:dyDescent="0.2">
      <c r="G4674" s="7"/>
    </row>
    <row r="4675" spans="7:7" x14ac:dyDescent="0.2">
      <c r="G4675" s="7"/>
    </row>
    <row r="4676" spans="7:7" x14ac:dyDescent="0.2">
      <c r="G4676" s="7"/>
    </row>
    <row r="4677" spans="7:7" x14ac:dyDescent="0.2">
      <c r="G4677" s="7"/>
    </row>
    <row r="4678" spans="7:7" x14ac:dyDescent="0.2">
      <c r="G4678" s="7"/>
    </row>
    <row r="4679" spans="7:7" x14ac:dyDescent="0.2">
      <c r="G4679" s="7"/>
    </row>
    <row r="4680" spans="7:7" x14ac:dyDescent="0.2">
      <c r="G4680" s="7"/>
    </row>
    <row r="4681" spans="7:7" x14ac:dyDescent="0.2">
      <c r="G4681" s="7"/>
    </row>
    <row r="4682" spans="7:7" x14ac:dyDescent="0.2">
      <c r="G4682" s="7"/>
    </row>
    <row r="4683" spans="7:7" x14ac:dyDescent="0.2">
      <c r="G4683" s="7"/>
    </row>
    <row r="4684" spans="7:7" x14ac:dyDescent="0.2">
      <c r="G4684" s="7"/>
    </row>
    <row r="4685" spans="7:7" x14ac:dyDescent="0.2">
      <c r="G4685" s="7"/>
    </row>
    <row r="4686" spans="7:7" x14ac:dyDescent="0.2">
      <c r="G4686" s="7"/>
    </row>
    <row r="4687" spans="7:7" x14ac:dyDescent="0.2">
      <c r="G4687" s="7"/>
    </row>
    <row r="4688" spans="7:7" x14ac:dyDescent="0.2">
      <c r="G4688" s="7"/>
    </row>
    <row r="4689" spans="7:7" x14ac:dyDescent="0.2">
      <c r="G4689" s="7"/>
    </row>
    <row r="4690" spans="7:7" x14ac:dyDescent="0.2">
      <c r="G4690" s="7"/>
    </row>
    <row r="4691" spans="7:7" x14ac:dyDescent="0.2">
      <c r="G4691" s="7"/>
    </row>
    <row r="4692" spans="7:7" x14ac:dyDescent="0.2">
      <c r="G4692" s="7"/>
    </row>
    <row r="4693" spans="7:7" x14ac:dyDescent="0.2">
      <c r="G4693" s="7"/>
    </row>
    <row r="4694" spans="7:7" x14ac:dyDescent="0.2">
      <c r="G4694" s="7"/>
    </row>
    <row r="4695" spans="7:7" x14ac:dyDescent="0.2">
      <c r="G4695" s="7"/>
    </row>
    <row r="4696" spans="7:7" x14ac:dyDescent="0.2">
      <c r="G4696" s="7"/>
    </row>
    <row r="4697" spans="7:7" x14ac:dyDescent="0.2">
      <c r="G4697" s="7"/>
    </row>
    <row r="4698" spans="7:7" x14ac:dyDescent="0.2">
      <c r="G4698" s="7"/>
    </row>
    <row r="4699" spans="7:7" x14ac:dyDescent="0.2">
      <c r="G4699" s="7"/>
    </row>
    <row r="4700" spans="7:7" x14ac:dyDescent="0.2">
      <c r="G4700" s="7"/>
    </row>
    <row r="4701" spans="7:7" x14ac:dyDescent="0.2">
      <c r="G4701" s="7"/>
    </row>
    <row r="4702" spans="7:7" x14ac:dyDescent="0.2">
      <c r="G4702" s="7"/>
    </row>
    <row r="4703" spans="7:7" x14ac:dyDescent="0.2">
      <c r="G4703" s="7"/>
    </row>
    <row r="4704" spans="7:7" x14ac:dyDescent="0.2">
      <c r="G4704" s="7"/>
    </row>
    <row r="4705" spans="7:7" x14ac:dyDescent="0.2">
      <c r="G4705" s="7"/>
    </row>
    <row r="4706" spans="7:7" x14ac:dyDescent="0.2">
      <c r="G4706" s="7"/>
    </row>
    <row r="4707" spans="7:7" x14ac:dyDescent="0.2">
      <c r="G4707" s="7"/>
    </row>
    <row r="4708" spans="7:7" x14ac:dyDescent="0.2">
      <c r="G4708" s="7"/>
    </row>
    <row r="4709" spans="7:7" x14ac:dyDescent="0.2">
      <c r="G4709" s="7"/>
    </row>
    <row r="4710" spans="7:7" x14ac:dyDescent="0.2">
      <c r="G4710" s="7"/>
    </row>
    <row r="4711" spans="7:7" x14ac:dyDescent="0.2">
      <c r="G4711" s="7"/>
    </row>
    <row r="4712" spans="7:7" x14ac:dyDescent="0.2">
      <c r="G4712" s="7"/>
    </row>
    <row r="4713" spans="7:7" x14ac:dyDescent="0.2">
      <c r="G4713" s="7"/>
    </row>
    <row r="4714" spans="7:7" x14ac:dyDescent="0.2">
      <c r="G4714" s="7"/>
    </row>
    <row r="4715" spans="7:7" x14ac:dyDescent="0.2">
      <c r="G4715" s="7"/>
    </row>
    <row r="4716" spans="7:7" x14ac:dyDescent="0.2">
      <c r="G4716" s="7"/>
    </row>
    <row r="4717" spans="7:7" x14ac:dyDescent="0.2">
      <c r="G4717" s="7"/>
    </row>
    <row r="4718" spans="7:7" x14ac:dyDescent="0.2">
      <c r="G4718" s="7"/>
    </row>
    <row r="4719" spans="7:7" x14ac:dyDescent="0.2">
      <c r="G4719" s="7"/>
    </row>
    <row r="4720" spans="7:7" x14ac:dyDescent="0.2">
      <c r="G4720" s="7"/>
    </row>
    <row r="4721" spans="7:7" x14ac:dyDescent="0.2">
      <c r="G4721" s="7"/>
    </row>
    <row r="4722" spans="7:7" x14ac:dyDescent="0.2">
      <c r="G4722" s="7"/>
    </row>
    <row r="4723" spans="7:7" x14ac:dyDescent="0.2">
      <c r="G4723" s="7"/>
    </row>
    <row r="4724" spans="7:7" x14ac:dyDescent="0.2">
      <c r="G4724" s="7"/>
    </row>
    <row r="4725" spans="7:7" x14ac:dyDescent="0.2">
      <c r="G4725" s="7"/>
    </row>
    <row r="4726" spans="7:7" x14ac:dyDescent="0.2">
      <c r="G4726" s="7"/>
    </row>
    <row r="4727" spans="7:7" x14ac:dyDescent="0.2">
      <c r="G4727" s="7"/>
    </row>
    <row r="4728" spans="7:7" x14ac:dyDescent="0.2">
      <c r="G4728" s="7"/>
    </row>
    <row r="4729" spans="7:7" x14ac:dyDescent="0.2">
      <c r="G4729" s="7"/>
    </row>
    <row r="4730" spans="7:7" x14ac:dyDescent="0.2">
      <c r="G4730" s="7"/>
    </row>
    <row r="4731" spans="7:7" x14ac:dyDescent="0.2">
      <c r="G4731" s="7"/>
    </row>
    <row r="4732" spans="7:7" x14ac:dyDescent="0.2">
      <c r="G4732" s="7"/>
    </row>
    <row r="4733" spans="7:7" x14ac:dyDescent="0.2">
      <c r="G4733" s="7"/>
    </row>
    <row r="4734" spans="7:7" x14ac:dyDescent="0.2">
      <c r="G4734" s="7"/>
    </row>
    <row r="4735" spans="7:7" x14ac:dyDescent="0.2">
      <c r="G4735" s="7"/>
    </row>
    <row r="4736" spans="7:7" x14ac:dyDescent="0.2">
      <c r="G4736" s="7"/>
    </row>
    <row r="4737" spans="7:7" x14ac:dyDescent="0.2">
      <c r="G4737" s="7"/>
    </row>
    <row r="4738" spans="7:7" x14ac:dyDescent="0.2">
      <c r="G4738" s="7"/>
    </row>
    <row r="4739" spans="7:7" x14ac:dyDescent="0.2">
      <c r="G4739" s="7"/>
    </row>
    <row r="4740" spans="7:7" x14ac:dyDescent="0.2">
      <c r="G4740" s="7"/>
    </row>
    <row r="4741" spans="7:7" x14ac:dyDescent="0.2">
      <c r="G4741" s="7"/>
    </row>
    <row r="4742" spans="7:7" x14ac:dyDescent="0.2">
      <c r="G4742" s="7"/>
    </row>
    <row r="4743" spans="7:7" x14ac:dyDescent="0.2">
      <c r="G4743" s="7"/>
    </row>
    <row r="4744" spans="7:7" x14ac:dyDescent="0.2">
      <c r="G4744" s="7"/>
    </row>
    <row r="4745" spans="7:7" x14ac:dyDescent="0.2">
      <c r="G4745" s="7"/>
    </row>
    <row r="4746" spans="7:7" x14ac:dyDescent="0.2">
      <c r="G4746" s="7"/>
    </row>
    <row r="4747" spans="7:7" x14ac:dyDescent="0.2">
      <c r="G4747" s="7"/>
    </row>
    <row r="4748" spans="7:7" x14ac:dyDescent="0.2">
      <c r="G4748" s="7"/>
    </row>
    <row r="4749" spans="7:7" x14ac:dyDescent="0.2">
      <c r="G4749" s="7"/>
    </row>
    <row r="4750" spans="7:7" x14ac:dyDescent="0.2">
      <c r="G4750" s="7"/>
    </row>
    <row r="4751" spans="7:7" x14ac:dyDescent="0.2">
      <c r="G4751" s="7"/>
    </row>
    <row r="4752" spans="7:7" x14ac:dyDescent="0.2">
      <c r="G4752" s="7"/>
    </row>
    <row r="4753" spans="7:7" x14ac:dyDescent="0.2">
      <c r="G4753" s="7"/>
    </row>
    <row r="4754" spans="7:7" x14ac:dyDescent="0.2">
      <c r="G4754" s="7"/>
    </row>
    <row r="4755" spans="7:7" x14ac:dyDescent="0.2">
      <c r="G4755" s="7"/>
    </row>
    <row r="4756" spans="7:7" x14ac:dyDescent="0.2">
      <c r="G4756" s="7"/>
    </row>
    <row r="4757" spans="7:7" x14ac:dyDescent="0.2">
      <c r="G4757" s="7"/>
    </row>
    <row r="4758" spans="7:7" x14ac:dyDescent="0.2">
      <c r="G4758" s="7"/>
    </row>
    <row r="4759" spans="7:7" x14ac:dyDescent="0.2">
      <c r="G4759" s="7"/>
    </row>
    <row r="4760" spans="7:7" x14ac:dyDescent="0.2">
      <c r="G4760" s="7"/>
    </row>
    <row r="4761" spans="7:7" x14ac:dyDescent="0.2">
      <c r="G4761" s="7"/>
    </row>
    <row r="4762" spans="7:7" x14ac:dyDescent="0.2">
      <c r="G4762" s="7"/>
    </row>
    <row r="4763" spans="7:7" x14ac:dyDescent="0.2">
      <c r="G4763" s="7"/>
    </row>
    <row r="4764" spans="7:7" x14ac:dyDescent="0.2">
      <c r="G4764" s="7"/>
    </row>
    <row r="4765" spans="7:7" x14ac:dyDescent="0.2">
      <c r="G4765" s="7"/>
    </row>
    <row r="4766" spans="7:7" x14ac:dyDescent="0.2">
      <c r="G4766" s="7"/>
    </row>
    <row r="4767" spans="7:7" x14ac:dyDescent="0.2">
      <c r="G4767" s="7"/>
    </row>
    <row r="4768" spans="7:7" x14ac:dyDescent="0.2">
      <c r="G4768" s="7"/>
    </row>
    <row r="4769" spans="7:7" x14ac:dyDescent="0.2">
      <c r="G4769" s="7"/>
    </row>
    <row r="4770" spans="7:7" x14ac:dyDescent="0.2">
      <c r="G4770" s="7"/>
    </row>
    <row r="4771" spans="7:7" x14ac:dyDescent="0.2">
      <c r="G4771" s="7"/>
    </row>
    <row r="4772" spans="7:7" x14ac:dyDescent="0.2">
      <c r="G4772" s="7"/>
    </row>
    <row r="4773" spans="7:7" x14ac:dyDescent="0.2">
      <c r="G4773" s="7"/>
    </row>
    <row r="4774" spans="7:7" x14ac:dyDescent="0.2">
      <c r="G4774" s="7"/>
    </row>
    <row r="4775" spans="7:7" x14ac:dyDescent="0.2">
      <c r="G4775" s="7"/>
    </row>
    <row r="4776" spans="7:7" x14ac:dyDescent="0.2">
      <c r="G4776" s="7"/>
    </row>
    <row r="4777" spans="7:7" x14ac:dyDescent="0.2">
      <c r="G4777" s="7"/>
    </row>
    <row r="4778" spans="7:7" x14ac:dyDescent="0.2">
      <c r="G4778" s="7"/>
    </row>
    <row r="4779" spans="7:7" x14ac:dyDescent="0.2">
      <c r="G4779" s="7"/>
    </row>
    <row r="4780" spans="7:7" x14ac:dyDescent="0.2">
      <c r="G4780" s="7"/>
    </row>
    <row r="4781" spans="7:7" x14ac:dyDescent="0.2">
      <c r="G4781" s="7"/>
    </row>
    <row r="4782" spans="7:7" x14ac:dyDescent="0.2">
      <c r="G4782" s="7"/>
    </row>
    <row r="4783" spans="7:7" x14ac:dyDescent="0.2">
      <c r="G4783" s="7"/>
    </row>
    <row r="4784" spans="7:7" x14ac:dyDescent="0.2">
      <c r="G4784" s="7"/>
    </row>
    <row r="4785" spans="7:7" x14ac:dyDescent="0.2">
      <c r="G4785" s="7"/>
    </row>
    <row r="4786" spans="7:7" x14ac:dyDescent="0.2">
      <c r="G4786" s="7"/>
    </row>
    <row r="4787" spans="7:7" x14ac:dyDescent="0.2">
      <c r="G4787" s="7"/>
    </row>
    <row r="4788" spans="7:7" x14ac:dyDescent="0.2">
      <c r="G4788" s="7"/>
    </row>
    <row r="4789" spans="7:7" x14ac:dyDescent="0.2">
      <c r="G4789" s="7"/>
    </row>
    <row r="4790" spans="7:7" x14ac:dyDescent="0.2">
      <c r="G4790" s="7"/>
    </row>
    <row r="4791" spans="7:7" x14ac:dyDescent="0.2">
      <c r="G4791" s="7"/>
    </row>
    <row r="4792" spans="7:7" x14ac:dyDescent="0.2">
      <c r="G4792" s="7"/>
    </row>
    <row r="4793" spans="7:7" x14ac:dyDescent="0.2">
      <c r="G4793" s="7"/>
    </row>
    <row r="4794" spans="7:7" x14ac:dyDescent="0.2">
      <c r="G4794" s="7"/>
    </row>
    <row r="4795" spans="7:7" x14ac:dyDescent="0.2">
      <c r="G4795" s="7"/>
    </row>
    <row r="4796" spans="7:7" x14ac:dyDescent="0.2">
      <c r="G4796" s="7"/>
    </row>
    <row r="4797" spans="7:7" x14ac:dyDescent="0.2">
      <c r="G4797" s="7"/>
    </row>
    <row r="4798" spans="7:7" x14ac:dyDescent="0.2">
      <c r="G4798" s="7"/>
    </row>
    <row r="4799" spans="7:7" x14ac:dyDescent="0.2">
      <c r="G4799" s="7"/>
    </row>
    <row r="4800" spans="7:7" x14ac:dyDescent="0.2">
      <c r="G4800" s="7"/>
    </row>
    <row r="4801" spans="7:7" x14ac:dyDescent="0.2">
      <c r="G4801" s="7"/>
    </row>
    <row r="4802" spans="7:7" x14ac:dyDescent="0.2">
      <c r="G4802" s="7"/>
    </row>
    <row r="4803" spans="7:7" x14ac:dyDescent="0.2">
      <c r="G4803" s="7"/>
    </row>
    <row r="4804" spans="7:7" x14ac:dyDescent="0.2">
      <c r="G4804" s="7"/>
    </row>
    <row r="4805" spans="7:7" x14ac:dyDescent="0.2">
      <c r="G4805" s="7"/>
    </row>
    <row r="4806" spans="7:7" x14ac:dyDescent="0.2">
      <c r="G4806" s="7"/>
    </row>
    <row r="4807" spans="7:7" x14ac:dyDescent="0.2">
      <c r="G4807" s="7"/>
    </row>
    <row r="4808" spans="7:7" x14ac:dyDescent="0.2">
      <c r="G4808" s="7"/>
    </row>
    <row r="4809" spans="7:7" x14ac:dyDescent="0.2">
      <c r="G4809" s="7"/>
    </row>
    <row r="4810" spans="7:7" x14ac:dyDescent="0.2">
      <c r="G4810" s="7"/>
    </row>
    <row r="4811" spans="7:7" x14ac:dyDescent="0.2">
      <c r="G4811" s="7"/>
    </row>
    <row r="4812" spans="7:7" x14ac:dyDescent="0.2">
      <c r="G4812" s="7"/>
    </row>
    <row r="4813" spans="7:7" x14ac:dyDescent="0.2">
      <c r="G4813" s="7"/>
    </row>
    <row r="4814" spans="7:7" x14ac:dyDescent="0.2">
      <c r="G4814" s="7"/>
    </row>
    <row r="4815" spans="7:7" x14ac:dyDescent="0.2">
      <c r="G4815" s="7"/>
    </row>
    <row r="4816" spans="7:7" x14ac:dyDescent="0.2">
      <c r="G4816" s="7"/>
    </row>
    <row r="4817" spans="7:7" x14ac:dyDescent="0.2">
      <c r="G4817" s="7"/>
    </row>
    <row r="4818" spans="7:7" x14ac:dyDescent="0.2">
      <c r="G4818" s="7"/>
    </row>
    <row r="4819" spans="7:7" x14ac:dyDescent="0.2">
      <c r="G4819" s="7"/>
    </row>
    <row r="4820" spans="7:7" x14ac:dyDescent="0.2">
      <c r="G4820" s="7"/>
    </row>
    <row r="4821" spans="7:7" x14ac:dyDescent="0.2">
      <c r="G4821" s="7"/>
    </row>
    <row r="4822" spans="7:7" x14ac:dyDescent="0.2">
      <c r="G4822" s="7"/>
    </row>
    <row r="4823" spans="7:7" x14ac:dyDescent="0.2">
      <c r="G4823" s="7"/>
    </row>
    <row r="4824" spans="7:7" x14ac:dyDescent="0.2">
      <c r="G4824" s="7"/>
    </row>
    <row r="4825" spans="7:7" x14ac:dyDescent="0.2">
      <c r="G4825" s="7"/>
    </row>
    <row r="4826" spans="7:7" x14ac:dyDescent="0.2">
      <c r="G4826" s="7"/>
    </row>
    <row r="4827" spans="7:7" x14ac:dyDescent="0.2">
      <c r="G4827" s="7"/>
    </row>
    <row r="4828" spans="7:7" x14ac:dyDescent="0.2">
      <c r="G4828" s="7"/>
    </row>
    <row r="4829" spans="7:7" x14ac:dyDescent="0.2">
      <c r="G4829" s="7"/>
    </row>
    <row r="4830" spans="7:7" x14ac:dyDescent="0.2">
      <c r="G4830" s="7"/>
    </row>
    <row r="4831" spans="7:7" x14ac:dyDescent="0.2">
      <c r="G4831" s="7"/>
    </row>
    <row r="4832" spans="7:7" x14ac:dyDescent="0.2">
      <c r="G4832" s="7"/>
    </row>
    <row r="4833" spans="7:7" x14ac:dyDescent="0.2">
      <c r="G4833" s="7"/>
    </row>
    <row r="4834" spans="7:7" x14ac:dyDescent="0.2">
      <c r="G4834" s="7"/>
    </row>
    <row r="4835" spans="7:7" x14ac:dyDescent="0.2">
      <c r="G4835" s="7"/>
    </row>
    <row r="4836" spans="7:7" x14ac:dyDescent="0.2">
      <c r="G4836" s="7"/>
    </row>
    <row r="4837" spans="7:7" x14ac:dyDescent="0.2">
      <c r="G4837" s="7"/>
    </row>
    <row r="4838" spans="7:7" x14ac:dyDescent="0.2">
      <c r="G4838" s="7"/>
    </row>
    <row r="4839" spans="7:7" x14ac:dyDescent="0.2">
      <c r="G4839" s="7"/>
    </row>
    <row r="4840" spans="7:7" x14ac:dyDescent="0.2">
      <c r="G4840" s="7"/>
    </row>
    <row r="4841" spans="7:7" x14ac:dyDescent="0.2">
      <c r="G4841" s="7"/>
    </row>
    <row r="4842" spans="7:7" x14ac:dyDescent="0.2">
      <c r="G4842" s="7"/>
    </row>
    <row r="4843" spans="7:7" x14ac:dyDescent="0.2">
      <c r="G4843" s="7"/>
    </row>
    <row r="4844" spans="7:7" x14ac:dyDescent="0.2">
      <c r="G4844" s="7"/>
    </row>
    <row r="4845" spans="7:7" x14ac:dyDescent="0.2">
      <c r="G4845" s="7"/>
    </row>
    <row r="4846" spans="7:7" x14ac:dyDescent="0.2">
      <c r="G4846" s="7"/>
    </row>
    <row r="4847" spans="7:7" x14ac:dyDescent="0.2">
      <c r="G4847" s="7"/>
    </row>
    <row r="4848" spans="7:7" x14ac:dyDescent="0.2">
      <c r="G4848" s="7"/>
    </row>
    <row r="4849" spans="7:7" x14ac:dyDescent="0.2">
      <c r="G4849" s="7"/>
    </row>
    <row r="4850" spans="7:7" x14ac:dyDescent="0.2">
      <c r="G4850" s="7"/>
    </row>
    <row r="4851" spans="7:7" x14ac:dyDescent="0.2">
      <c r="G4851" s="7"/>
    </row>
    <row r="4852" spans="7:7" x14ac:dyDescent="0.2">
      <c r="G4852" s="7"/>
    </row>
    <row r="4853" spans="7:7" x14ac:dyDescent="0.2">
      <c r="G4853" s="7"/>
    </row>
    <row r="4854" spans="7:7" x14ac:dyDescent="0.2">
      <c r="G4854" s="7"/>
    </row>
    <row r="4855" spans="7:7" x14ac:dyDescent="0.2">
      <c r="G4855" s="7"/>
    </row>
    <row r="4856" spans="7:7" x14ac:dyDescent="0.2">
      <c r="G4856" s="7"/>
    </row>
    <row r="4857" spans="7:7" x14ac:dyDescent="0.2">
      <c r="G4857" s="7"/>
    </row>
    <row r="4858" spans="7:7" x14ac:dyDescent="0.2">
      <c r="G4858" s="7"/>
    </row>
    <row r="4859" spans="7:7" x14ac:dyDescent="0.2">
      <c r="G4859" s="7"/>
    </row>
    <row r="4860" spans="7:7" x14ac:dyDescent="0.2">
      <c r="G4860" s="7"/>
    </row>
    <row r="4861" spans="7:7" x14ac:dyDescent="0.2">
      <c r="G4861" s="7"/>
    </row>
    <row r="4862" spans="7:7" x14ac:dyDescent="0.2">
      <c r="G4862" s="7"/>
    </row>
    <row r="4863" spans="7:7" x14ac:dyDescent="0.2">
      <c r="G4863" s="7"/>
    </row>
    <row r="4864" spans="7:7" x14ac:dyDescent="0.2">
      <c r="G4864" s="7"/>
    </row>
    <row r="4865" spans="7:7" x14ac:dyDescent="0.2">
      <c r="G4865" s="7"/>
    </row>
    <row r="4866" spans="7:7" x14ac:dyDescent="0.2">
      <c r="G4866" s="7"/>
    </row>
    <row r="4867" spans="7:7" x14ac:dyDescent="0.2">
      <c r="G4867" s="7"/>
    </row>
    <row r="4868" spans="7:7" x14ac:dyDescent="0.2">
      <c r="G4868" s="7"/>
    </row>
    <row r="4869" spans="7:7" x14ac:dyDescent="0.2">
      <c r="G4869" s="7"/>
    </row>
    <row r="4870" spans="7:7" x14ac:dyDescent="0.2">
      <c r="G4870" s="7"/>
    </row>
    <row r="4871" spans="7:7" x14ac:dyDescent="0.2">
      <c r="G4871" s="7"/>
    </row>
    <row r="4872" spans="7:7" x14ac:dyDescent="0.2">
      <c r="G4872" s="7"/>
    </row>
    <row r="4873" spans="7:7" x14ac:dyDescent="0.2">
      <c r="G4873" s="7"/>
    </row>
    <row r="4874" spans="7:7" x14ac:dyDescent="0.2">
      <c r="G4874" s="7"/>
    </row>
    <row r="4875" spans="7:7" x14ac:dyDescent="0.2">
      <c r="G4875" s="7"/>
    </row>
    <row r="4876" spans="7:7" x14ac:dyDescent="0.2">
      <c r="G4876" s="7"/>
    </row>
    <row r="4877" spans="7:7" x14ac:dyDescent="0.2">
      <c r="G4877" s="7"/>
    </row>
    <row r="4878" spans="7:7" x14ac:dyDescent="0.2">
      <c r="G4878" s="7"/>
    </row>
    <row r="4879" spans="7:7" x14ac:dyDescent="0.2">
      <c r="G4879" s="7"/>
    </row>
    <row r="4880" spans="7:7" x14ac:dyDescent="0.2">
      <c r="G4880" s="7"/>
    </row>
    <row r="4881" spans="7:7" x14ac:dyDescent="0.2">
      <c r="G4881" s="7"/>
    </row>
    <row r="4882" spans="7:7" x14ac:dyDescent="0.2">
      <c r="G4882" s="7"/>
    </row>
    <row r="4883" spans="7:7" x14ac:dyDescent="0.2">
      <c r="G4883" s="7"/>
    </row>
    <row r="4884" spans="7:7" x14ac:dyDescent="0.2">
      <c r="G4884" s="7"/>
    </row>
    <row r="4885" spans="7:7" x14ac:dyDescent="0.2">
      <c r="G4885" s="7"/>
    </row>
    <row r="4886" spans="7:7" x14ac:dyDescent="0.2">
      <c r="G4886" s="7"/>
    </row>
    <row r="4887" spans="7:7" x14ac:dyDescent="0.2">
      <c r="G4887" s="7"/>
    </row>
    <row r="4888" spans="7:7" x14ac:dyDescent="0.2">
      <c r="G4888" s="7"/>
    </row>
    <row r="4889" spans="7:7" x14ac:dyDescent="0.2">
      <c r="G4889" s="7"/>
    </row>
    <row r="4890" spans="7:7" x14ac:dyDescent="0.2">
      <c r="G4890" s="7"/>
    </row>
    <row r="4891" spans="7:7" x14ac:dyDescent="0.2">
      <c r="G4891" s="7"/>
    </row>
    <row r="4892" spans="7:7" x14ac:dyDescent="0.2">
      <c r="G4892" s="7"/>
    </row>
    <row r="4893" spans="7:7" x14ac:dyDescent="0.2">
      <c r="G4893" s="7"/>
    </row>
    <row r="4894" spans="7:7" x14ac:dyDescent="0.2">
      <c r="G4894" s="7"/>
    </row>
    <row r="4895" spans="7:7" x14ac:dyDescent="0.2">
      <c r="G4895" s="7"/>
    </row>
    <row r="4896" spans="7:7" x14ac:dyDescent="0.2">
      <c r="G4896" s="7"/>
    </row>
    <row r="4897" spans="7:7" x14ac:dyDescent="0.2">
      <c r="G4897" s="7"/>
    </row>
    <row r="4898" spans="7:7" x14ac:dyDescent="0.2">
      <c r="G4898" s="7"/>
    </row>
    <row r="4899" spans="7:7" x14ac:dyDescent="0.2">
      <c r="G4899" s="7"/>
    </row>
    <row r="4900" spans="7:7" x14ac:dyDescent="0.2">
      <c r="G4900" s="7"/>
    </row>
    <row r="4901" spans="7:7" x14ac:dyDescent="0.2">
      <c r="G4901" s="7"/>
    </row>
    <row r="4902" spans="7:7" x14ac:dyDescent="0.2">
      <c r="G4902" s="7"/>
    </row>
    <row r="4903" spans="7:7" x14ac:dyDescent="0.2">
      <c r="G4903" s="7"/>
    </row>
    <row r="4904" spans="7:7" x14ac:dyDescent="0.2">
      <c r="G4904" s="7"/>
    </row>
    <row r="4905" spans="7:7" x14ac:dyDescent="0.2">
      <c r="G4905" s="7"/>
    </row>
    <row r="4906" spans="7:7" x14ac:dyDescent="0.2">
      <c r="G4906" s="7"/>
    </row>
    <row r="4907" spans="7:7" x14ac:dyDescent="0.2">
      <c r="G4907" s="7"/>
    </row>
    <row r="4908" spans="7:7" x14ac:dyDescent="0.2">
      <c r="G4908" s="7"/>
    </row>
    <row r="4909" spans="7:7" x14ac:dyDescent="0.2">
      <c r="G4909" s="7"/>
    </row>
    <row r="4910" spans="7:7" x14ac:dyDescent="0.2">
      <c r="G4910" s="7"/>
    </row>
    <row r="4911" spans="7:7" x14ac:dyDescent="0.2">
      <c r="G4911" s="7"/>
    </row>
    <row r="4912" spans="7:7" x14ac:dyDescent="0.2">
      <c r="G4912" s="7"/>
    </row>
    <row r="4913" spans="7:7" x14ac:dyDescent="0.2">
      <c r="G4913" s="7"/>
    </row>
    <row r="4914" spans="7:7" x14ac:dyDescent="0.2">
      <c r="G4914" s="7"/>
    </row>
    <row r="4915" spans="7:7" x14ac:dyDescent="0.2">
      <c r="G4915" s="7"/>
    </row>
    <row r="4916" spans="7:7" x14ac:dyDescent="0.2">
      <c r="G4916" s="7"/>
    </row>
    <row r="4917" spans="7:7" x14ac:dyDescent="0.2">
      <c r="G4917" s="7"/>
    </row>
    <row r="4918" spans="7:7" x14ac:dyDescent="0.2">
      <c r="G4918" s="7"/>
    </row>
    <row r="4919" spans="7:7" x14ac:dyDescent="0.2">
      <c r="G4919" s="7"/>
    </row>
    <row r="4920" spans="7:7" x14ac:dyDescent="0.2">
      <c r="G4920" s="7"/>
    </row>
    <row r="4921" spans="7:7" x14ac:dyDescent="0.2">
      <c r="G4921" s="7"/>
    </row>
    <row r="4922" spans="7:7" x14ac:dyDescent="0.2">
      <c r="G4922" s="7"/>
    </row>
    <row r="4923" spans="7:7" x14ac:dyDescent="0.2">
      <c r="G4923" s="7"/>
    </row>
    <row r="4924" spans="7:7" x14ac:dyDescent="0.2">
      <c r="G4924" s="7"/>
    </row>
    <row r="4925" spans="7:7" x14ac:dyDescent="0.2">
      <c r="G4925" s="7"/>
    </row>
    <row r="4926" spans="7:7" x14ac:dyDescent="0.2">
      <c r="G4926" s="7"/>
    </row>
    <row r="4927" spans="7:7" x14ac:dyDescent="0.2">
      <c r="G4927" s="7"/>
    </row>
    <row r="4928" spans="7:7" x14ac:dyDescent="0.2">
      <c r="G4928" s="7"/>
    </row>
    <row r="4929" spans="7:7" x14ac:dyDescent="0.2">
      <c r="G4929" s="7"/>
    </row>
    <row r="4930" spans="7:7" x14ac:dyDescent="0.2">
      <c r="G4930" s="7"/>
    </row>
    <row r="4931" spans="7:7" x14ac:dyDescent="0.2">
      <c r="G4931" s="7"/>
    </row>
    <row r="4932" spans="7:7" x14ac:dyDescent="0.2">
      <c r="G4932" s="7"/>
    </row>
    <row r="4933" spans="7:7" x14ac:dyDescent="0.2">
      <c r="G4933" s="7"/>
    </row>
    <row r="4934" spans="7:7" x14ac:dyDescent="0.2">
      <c r="G4934" s="7"/>
    </row>
    <row r="4935" spans="7:7" x14ac:dyDescent="0.2">
      <c r="G4935" s="7"/>
    </row>
    <row r="4936" spans="7:7" x14ac:dyDescent="0.2">
      <c r="G4936" s="7"/>
    </row>
    <row r="4937" spans="7:7" x14ac:dyDescent="0.2">
      <c r="G4937" s="7"/>
    </row>
    <row r="4938" spans="7:7" x14ac:dyDescent="0.2">
      <c r="G4938" s="7"/>
    </row>
    <row r="4939" spans="7:7" x14ac:dyDescent="0.2">
      <c r="G4939" s="7"/>
    </row>
    <row r="4940" spans="7:7" x14ac:dyDescent="0.2">
      <c r="G4940" s="7"/>
    </row>
    <row r="4941" spans="7:7" x14ac:dyDescent="0.2">
      <c r="G4941" s="7"/>
    </row>
    <row r="4942" spans="7:7" x14ac:dyDescent="0.2">
      <c r="G4942" s="7"/>
    </row>
    <row r="4943" spans="7:7" x14ac:dyDescent="0.2">
      <c r="G4943" s="7"/>
    </row>
    <row r="4944" spans="7:7" x14ac:dyDescent="0.2">
      <c r="G4944" s="7"/>
    </row>
    <row r="4945" spans="7:7" x14ac:dyDescent="0.2">
      <c r="G4945" s="7"/>
    </row>
    <row r="4946" spans="7:7" x14ac:dyDescent="0.2">
      <c r="G4946" s="7"/>
    </row>
    <row r="4947" spans="7:7" x14ac:dyDescent="0.2">
      <c r="G4947" s="7"/>
    </row>
    <row r="4948" spans="7:7" x14ac:dyDescent="0.2">
      <c r="G4948" s="7"/>
    </row>
    <row r="4949" spans="7:7" x14ac:dyDescent="0.2">
      <c r="G4949" s="7"/>
    </row>
    <row r="4950" spans="7:7" x14ac:dyDescent="0.2">
      <c r="G4950" s="7"/>
    </row>
    <row r="4951" spans="7:7" x14ac:dyDescent="0.2">
      <c r="G4951" s="7"/>
    </row>
    <row r="4952" spans="7:7" x14ac:dyDescent="0.2">
      <c r="G4952" s="7"/>
    </row>
    <row r="4953" spans="7:7" x14ac:dyDescent="0.2">
      <c r="G4953" s="7"/>
    </row>
    <row r="4954" spans="7:7" x14ac:dyDescent="0.2">
      <c r="G4954" s="7"/>
    </row>
    <row r="4955" spans="7:7" x14ac:dyDescent="0.2">
      <c r="G4955" s="7"/>
    </row>
    <row r="4956" spans="7:7" x14ac:dyDescent="0.2">
      <c r="G4956" s="7"/>
    </row>
    <row r="4957" spans="7:7" x14ac:dyDescent="0.2">
      <c r="G4957" s="7"/>
    </row>
    <row r="4958" spans="7:7" x14ac:dyDescent="0.2">
      <c r="G4958" s="7"/>
    </row>
    <row r="4959" spans="7:7" x14ac:dyDescent="0.2">
      <c r="G4959" s="7"/>
    </row>
    <row r="4960" spans="7:7" x14ac:dyDescent="0.2">
      <c r="G4960" s="7"/>
    </row>
    <row r="4961" spans="7:7" x14ac:dyDescent="0.2">
      <c r="G4961" s="7"/>
    </row>
    <row r="4962" spans="7:7" x14ac:dyDescent="0.2">
      <c r="G4962" s="7"/>
    </row>
    <row r="4963" spans="7:7" x14ac:dyDescent="0.2">
      <c r="G4963" s="7"/>
    </row>
    <row r="4964" spans="7:7" x14ac:dyDescent="0.2">
      <c r="G4964" s="7"/>
    </row>
    <row r="4965" spans="7:7" x14ac:dyDescent="0.2">
      <c r="G4965" s="7"/>
    </row>
    <row r="4966" spans="7:7" x14ac:dyDescent="0.2">
      <c r="G4966" s="7"/>
    </row>
    <row r="4967" spans="7:7" x14ac:dyDescent="0.2">
      <c r="G4967" s="7"/>
    </row>
    <row r="4968" spans="7:7" x14ac:dyDescent="0.2">
      <c r="G4968" s="7"/>
    </row>
    <row r="4969" spans="7:7" x14ac:dyDescent="0.2">
      <c r="G4969" s="7"/>
    </row>
    <row r="4970" spans="7:7" x14ac:dyDescent="0.2">
      <c r="G4970" s="7"/>
    </row>
    <row r="4971" spans="7:7" x14ac:dyDescent="0.2">
      <c r="G4971" s="7"/>
    </row>
    <row r="4972" spans="7:7" x14ac:dyDescent="0.2">
      <c r="G4972" s="7"/>
    </row>
    <row r="4973" spans="7:7" x14ac:dyDescent="0.2">
      <c r="G4973" s="7"/>
    </row>
    <row r="4974" spans="7:7" x14ac:dyDescent="0.2">
      <c r="G4974" s="7"/>
    </row>
    <row r="4975" spans="7:7" x14ac:dyDescent="0.2">
      <c r="G4975" s="7"/>
    </row>
    <row r="4976" spans="7:7" x14ac:dyDescent="0.2">
      <c r="G4976" s="7"/>
    </row>
    <row r="4977" spans="7:7" x14ac:dyDescent="0.2">
      <c r="G4977" s="7"/>
    </row>
    <row r="4978" spans="7:7" x14ac:dyDescent="0.2">
      <c r="G4978" s="7"/>
    </row>
    <row r="4979" spans="7:7" x14ac:dyDescent="0.2">
      <c r="G4979" s="7"/>
    </row>
    <row r="4980" spans="7:7" x14ac:dyDescent="0.2">
      <c r="G4980" s="7"/>
    </row>
    <row r="4981" spans="7:7" x14ac:dyDescent="0.2">
      <c r="G4981" s="7"/>
    </row>
    <row r="4982" spans="7:7" x14ac:dyDescent="0.2">
      <c r="G4982" s="7"/>
    </row>
    <row r="4983" spans="7:7" x14ac:dyDescent="0.2">
      <c r="G4983" s="7"/>
    </row>
    <row r="4984" spans="7:7" x14ac:dyDescent="0.2">
      <c r="G4984" s="7"/>
    </row>
    <row r="4985" spans="7:7" x14ac:dyDescent="0.2">
      <c r="G4985" s="7"/>
    </row>
    <row r="4986" spans="7:7" x14ac:dyDescent="0.2">
      <c r="G4986" s="7"/>
    </row>
    <row r="4987" spans="7:7" x14ac:dyDescent="0.2">
      <c r="G4987" s="7"/>
    </row>
    <row r="4988" spans="7:7" x14ac:dyDescent="0.2">
      <c r="G4988" s="7"/>
    </row>
    <row r="4989" spans="7:7" x14ac:dyDescent="0.2">
      <c r="G4989" s="7"/>
    </row>
    <row r="4990" spans="7:7" x14ac:dyDescent="0.2">
      <c r="G4990" s="7"/>
    </row>
    <row r="4991" spans="7:7" x14ac:dyDescent="0.2">
      <c r="G4991" s="7"/>
    </row>
    <row r="4992" spans="7:7" x14ac:dyDescent="0.2">
      <c r="G4992" s="7"/>
    </row>
    <row r="4993" spans="7:7" x14ac:dyDescent="0.2">
      <c r="G4993" s="7"/>
    </row>
    <row r="4994" spans="7:7" x14ac:dyDescent="0.2">
      <c r="G4994" s="7"/>
    </row>
    <row r="4995" spans="7:7" x14ac:dyDescent="0.2">
      <c r="G4995" s="7"/>
    </row>
    <row r="4996" spans="7:7" x14ac:dyDescent="0.2">
      <c r="G4996" s="7"/>
    </row>
    <row r="4997" spans="7:7" x14ac:dyDescent="0.2">
      <c r="G4997" s="7"/>
    </row>
    <row r="4998" spans="7:7" x14ac:dyDescent="0.2">
      <c r="G4998" s="7"/>
    </row>
    <row r="4999" spans="7:7" x14ac:dyDescent="0.2">
      <c r="G4999" s="7"/>
    </row>
    <row r="5000" spans="7:7" x14ac:dyDescent="0.2">
      <c r="G5000" s="7"/>
    </row>
    <row r="5001" spans="7:7" x14ac:dyDescent="0.2">
      <c r="G5001" s="7"/>
    </row>
    <row r="5002" spans="7:7" x14ac:dyDescent="0.2">
      <c r="G5002" s="7"/>
    </row>
    <row r="5003" spans="7:7" x14ac:dyDescent="0.2">
      <c r="G5003" s="7"/>
    </row>
    <row r="5004" spans="7:7" x14ac:dyDescent="0.2">
      <c r="G5004" s="7"/>
    </row>
    <row r="5005" spans="7:7" x14ac:dyDescent="0.2">
      <c r="G5005" s="7"/>
    </row>
    <row r="5006" spans="7:7" x14ac:dyDescent="0.2">
      <c r="G5006" s="7"/>
    </row>
    <row r="5007" spans="7:7" x14ac:dyDescent="0.2">
      <c r="G5007" s="7"/>
    </row>
    <row r="5008" spans="7:7" x14ac:dyDescent="0.2">
      <c r="G5008" s="7"/>
    </row>
    <row r="5009" spans="7:7" x14ac:dyDescent="0.2">
      <c r="G5009" s="7"/>
    </row>
    <row r="5010" spans="7:7" x14ac:dyDescent="0.2">
      <c r="G5010" s="7"/>
    </row>
    <row r="5011" spans="7:7" x14ac:dyDescent="0.2">
      <c r="G5011" s="7"/>
    </row>
    <row r="5012" spans="7:7" x14ac:dyDescent="0.2">
      <c r="G5012" s="7"/>
    </row>
    <row r="5013" spans="7:7" x14ac:dyDescent="0.2">
      <c r="G5013" s="7"/>
    </row>
    <row r="5014" spans="7:7" x14ac:dyDescent="0.2">
      <c r="G5014" s="7"/>
    </row>
    <row r="5015" spans="7:7" x14ac:dyDescent="0.2">
      <c r="G5015" s="7"/>
    </row>
    <row r="5016" spans="7:7" x14ac:dyDescent="0.2">
      <c r="G5016" s="7"/>
    </row>
    <row r="5017" spans="7:7" x14ac:dyDescent="0.2">
      <c r="G5017" s="7"/>
    </row>
    <row r="5018" spans="7:7" x14ac:dyDescent="0.2">
      <c r="G5018" s="7"/>
    </row>
    <row r="5019" spans="7:7" x14ac:dyDescent="0.2">
      <c r="G5019" s="7"/>
    </row>
    <row r="5020" spans="7:7" x14ac:dyDescent="0.2">
      <c r="G5020" s="7"/>
    </row>
    <row r="5021" spans="7:7" x14ac:dyDescent="0.2">
      <c r="G5021" s="7"/>
    </row>
    <row r="5022" spans="7:7" x14ac:dyDescent="0.2">
      <c r="G5022" s="7"/>
    </row>
    <row r="5023" spans="7:7" x14ac:dyDescent="0.2">
      <c r="G5023" s="7"/>
    </row>
    <row r="5024" spans="7:7" x14ac:dyDescent="0.2">
      <c r="G5024" s="7"/>
    </row>
    <row r="5025" spans="7:7" x14ac:dyDescent="0.2">
      <c r="G5025" s="7"/>
    </row>
    <row r="5026" spans="7:7" x14ac:dyDescent="0.2">
      <c r="G5026" s="7"/>
    </row>
    <row r="5027" spans="7:7" x14ac:dyDescent="0.2">
      <c r="G5027" s="7"/>
    </row>
    <row r="5028" spans="7:7" x14ac:dyDescent="0.2">
      <c r="G5028" s="7"/>
    </row>
    <row r="5029" spans="7:7" x14ac:dyDescent="0.2">
      <c r="G5029" s="7"/>
    </row>
    <row r="5030" spans="7:7" x14ac:dyDescent="0.2">
      <c r="G5030" s="7"/>
    </row>
    <row r="5031" spans="7:7" x14ac:dyDescent="0.2">
      <c r="G5031" s="7"/>
    </row>
    <row r="5032" spans="7:7" x14ac:dyDescent="0.2">
      <c r="G5032" s="7"/>
    </row>
    <row r="5033" spans="7:7" x14ac:dyDescent="0.2">
      <c r="G5033" s="7"/>
    </row>
    <row r="5034" spans="7:7" x14ac:dyDescent="0.2">
      <c r="G5034" s="7"/>
    </row>
    <row r="5035" spans="7:7" x14ac:dyDescent="0.2">
      <c r="G5035" s="7"/>
    </row>
    <row r="5036" spans="7:7" x14ac:dyDescent="0.2">
      <c r="G5036" s="7"/>
    </row>
    <row r="5037" spans="7:7" x14ac:dyDescent="0.2">
      <c r="G5037" s="7"/>
    </row>
    <row r="5038" spans="7:7" x14ac:dyDescent="0.2">
      <c r="G5038" s="7"/>
    </row>
    <row r="5039" spans="7:7" x14ac:dyDescent="0.2">
      <c r="G5039" s="7"/>
    </row>
    <row r="5040" spans="7:7" x14ac:dyDescent="0.2">
      <c r="G5040" s="7"/>
    </row>
    <row r="5041" spans="7:7" x14ac:dyDescent="0.2">
      <c r="G5041" s="7"/>
    </row>
    <row r="5042" spans="7:7" x14ac:dyDescent="0.2">
      <c r="G5042" s="7"/>
    </row>
    <row r="5043" spans="7:7" x14ac:dyDescent="0.2">
      <c r="G5043" s="7"/>
    </row>
    <row r="5044" spans="7:7" x14ac:dyDescent="0.2">
      <c r="G5044" s="7"/>
    </row>
    <row r="5045" spans="7:7" x14ac:dyDescent="0.2">
      <c r="G5045" s="7"/>
    </row>
    <row r="5046" spans="7:7" x14ac:dyDescent="0.2">
      <c r="G5046" s="7"/>
    </row>
    <row r="5047" spans="7:7" x14ac:dyDescent="0.2">
      <c r="G5047" s="7"/>
    </row>
    <row r="5048" spans="7:7" x14ac:dyDescent="0.2">
      <c r="G5048" s="7"/>
    </row>
    <row r="5049" spans="7:7" x14ac:dyDescent="0.2">
      <c r="G5049" s="7"/>
    </row>
    <row r="5050" spans="7:7" x14ac:dyDescent="0.2">
      <c r="G5050" s="7"/>
    </row>
    <row r="5051" spans="7:7" x14ac:dyDescent="0.2">
      <c r="G5051" s="7"/>
    </row>
    <row r="5052" spans="7:7" x14ac:dyDescent="0.2">
      <c r="G5052" s="7"/>
    </row>
    <row r="5053" spans="7:7" x14ac:dyDescent="0.2">
      <c r="G5053" s="7"/>
    </row>
    <row r="5054" spans="7:7" x14ac:dyDescent="0.2">
      <c r="G5054" s="7"/>
    </row>
    <row r="5055" spans="7:7" x14ac:dyDescent="0.2">
      <c r="G5055" s="7"/>
    </row>
    <row r="5056" spans="7:7" x14ac:dyDescent="0.2">
      <c r="G5056" s="7"/>
    </row>
    <row r="5057" spans="7:7" x14ac:dyDescent="0.2">
      <c r="G5057" s="7"/>
    </row>
    <row r="5058" spans="7:7" x14ac:dyDescent="0.2">
      <c r="G5058" s="7"/>
    </row>
    <row r="5059" spans="7:7" x14ac:dyDescent="0.2">
      <c r="G5059" s="7"/>
    </row>
    <row r="5060" spans="7:7" x14ac:dyDescent="0.2">
      <c r="G5060" s="7"/>
    </row>
    <row r="5061" spans="7:7" x14ac:dyDescent="0.2">
      <c r="G5061" s="7"/>
    </row>
    <row r="5062" spans="7:7" x14ac:dyDescent="0.2">
      <c r="G5062" s="7"/>
    </row>
    <row r="5063" spans="7:7" x14ac:dyDescent="0.2">
      <c r="G5063" s="7"/>
    </row>
    <row r="5064" spans="7:7" x14ac:dyDescent="0.2">
      <c r="G5064" s="7"/>
    </row>
    <row r="5065" spans="7:7" x14ac:dyDescent="0.2">
      <c r="G5065" s="7"/>
    </row>
    <row r="5066" spans="7:7" x14ac:dyDescent="0.2">
      <c r="G5066" s="7"/>
    </row>
    <row r="5067" spans="7:7" x14ac:dyDescent="0.2">
      <c r="G5067" s="7"/>
    </row>
    <row r="5068" spans="7:7" x14ac:dyDescent="0.2">
      <c r="G5068" s="7"/>
    </row>
    <row r="5069" spans="7:7" x14ac:dyDescent="0.2">
      <c r="G5069" s="7"/>
    </row>
    <row r="5070" spans="7:7" x14ac:dyDescent="0.2">
      <c r="G5070" s="7"/>
    </row>
    <row r="5071" spans="7:7" x14ac:dyDescent="0.2">
      <c r="G5071" s="7"/>
    </row>
    <row r="5072" spans="7:7" x14ac:dyDescent="0.2">
      <c r="G5072" s="7"/>
    </row>
    <row r="5073" spans="7:7" x14ac:dyDescent="0.2">
      <c r="G5073" s="7"/>
    </row>
    <row r="5074" spans="7:7" x14ac:dyDescent="0.2">
      <c r="G5074" s="7"/>
    </row>
    <row r="5075" spans="7:7" x14ac:dyDescent="0.2">
      <c r="G5075" s="7"/>
    </row>
    <row r="5076" spans="7:7" x14ac:dyDescent="0.2">
      <c r="G5076" s="7"/>
    </row>
    <row r="5077" spans="7:7" x14ac:dyDescent="0.2">
      <c r="G5077" s="7"/>
    </row>
    <row r="5078" spans="7:7" x14ac:dyDescent="0.2">
      <c r="G5078" s="7"/>
    </row>
    <row r="5079" spans="7:7" x14ac:dyDescent="0.2">
      <c r="G5079" s="7"/>
    </row>
    <row r="5080" spans="7:7" x14ac:dyDescent="0.2">
      <c r="G5080" s="7"/>
    </row>
    <row r="5081" spans="7:7" x14ac:dyDescent="0.2">
      <c r="G5081" s="7"/>
    </row>
    <row r="5082" spans="7:7" x14ac:dyDescent="0.2">
      <c r="G5082" s="7"/>
    </row>
    <row r="5083" spans="7:7" x14ac:dyDescent="0.2">
      <c r="G5083" s="7"/>
    </row>
    <row r="5084" spans="7:7" x14ac:dyDescent="0.2">
      <c r="G5084" s="7"/>
    </row>
    <row r="5085" spans="7:7" x14ac:dyDescent="0.2">
      <c r="G5085" s="7"/>
    </row>
    <row r="5086" spans="7:7" x14ac:dyDescent="0.2">
      <c r="G5086" s="7"/>
    </row>
    <row r="5087" spans="7:7" x14ac:dyDescent="0.2">
      <c r="G5087" s="7"/>
    </row>
    <row r="5088" spans="7:7" x14ac:dyDescent="0.2">
      <c r="G5088" s="7"/>
    </row>
    <row r="5089" spans="7:7" x14ac:dyDescent="0.2">
      <c r="G5089" s="7"/>
    </row>
    <row r="5090" spans="7:7" x14ac:dyDescent="0.2">
      <c r="G5090" s="7"/>
    </row>
    <row r="5091" spans="7:7" x14ac:dyDescent="0.2">
      <c r="G5091" s="7"/>
    </row>
    <row r="5092" spans="7:7" x14ac:dyDescent="0.2">
      <c r="G5092" s="7"/>
    </row>
    <row r="5093" spans="7:7" x14ac:dyDescent="0.2">
      <c r="G5093" s="7"/>
    </row>
    <row r="5094" spans="7:7" x14ac:dyDescent="0.2">
      <c r="G5094" s="7"/>
    </row>
    <row r="5095" spans="7:7" x14ac:dyDescent="0.2">
      <c r="G5095" s="7"/>
    </row>
    <row r="5096" spans="7:7" x14ac:dyDescent="0.2">
      <c r="G5096" s="7"/>
    </row>
    <row r="5097" spans="7:7" x14ac:dyDescent="0.2">
      <c r="G5097" s="7"/>
    </row>
    <row r="5098" spans="7:7" x14ac:dyDescent="0.2">
      <c r="G5098" s="7"/>
    </row>
    <row r="5099" spans="7:7" x14ac:dyDescent="0.2">
      <c r="G5099" s="7"/>
    </row>
    <row r="5100" spans="7:7" x14ac:dyDescent="0.2">
      <c r="G5100" s="7"/>
    </row>
    <row r="5101" spans="7:7" x14ac:dyDescent="0.2">
      <c r="G5101" s="7"/>
    </row>
    <row r="5102" spans="7:7" x14ac:dyDescent="0.2">
      <c r="G5102" s="7"/>
    </row>
    <row r="5103" spans="7:7" x14ac:dyDescent="0.2">
      <c r="G5103" s="7"/>
    </row>
    <row r="5104" spans="7:7" x14ac:dyDescent="0.2">
      <c r="G5104" s="7"/>
    </row>
    <row r="5105" spans="7:7" x14ac:dyDescent="0.2">
      <c r="G5105" s="7"/>
    </row>
    <row r="5106" spans="7:7" x14ac:dyDescent="0.2">
      <c r="G5106" s="7"/>
    </row>
    <row r="5107" spans="7:7" x14ac:dyDescent="0.2">
      <c r="G5107" s="7"/>
    </row>
    <row r="5108" spans="7:7" x14ac:dyDescent="0.2">
      <c r="G5108" s="7"/>
    </row>
    <row r="5109" spans="7:7" x14ac:dyDescent="0.2">
      <c r="G5109" s="7"/>
    </row>
    <row r="5110" spans="7:7" x14ac:dyDescent="0.2">
      <c r="G5110" s="7"/>
    </row>
    <row r="5111" spans="7:7" x14ac:dyDescent="0.2">
      <c r="G5111" s="7"/>
    </row>
    <row r="5112" spans="7:7" x14ac:dyDescent="0.2">
      <c r="G5112" s="7"/>
    </row>
    <row r="5113" spans="7:7" x14ac:dyDescent="0.2">
      <c r="G5113" s="7"/>
    </row>
    <row r="5114" spans="7:7" x14ac:dyDescent="0.2">
      <c r="G5114" s="7"/>
    </row>
    <row r="5115" spans="7:7" x14ac:dyDescent="0.2">
      <c r="G5115" s="7"/>
    </row>
    <row r="5116" spans="7:7" x14ac:dyDescent="0.2">
      <c r="G5116" s="7"/>
    </row>
    <row r="5117" spans="7:7" x14ac:dyDescent="0.2">
      <c r="G5117" s="7"/>
    </row>
    <row r="5118" spans="7:7" x14ac:dyDescent="0.2">
      <c r="G5118" s="7"/>
    </row>
    <row r="5119" spans="7:7" x14ac:dyDescent="0.2">
      <c r="G5119" s="7"/>
    </row>
    <row r="5120" spans="7:7" x14ac:dyDescent="0.2">
      <c r="G5120" s="7"/>
    </row>
    <row r="5121" spans="7:7" x14ac:dyDescent="0.2">
      <c r="G5121" s="7"/>
    </row>
    <row r="5122" spans="7:7" x14ac:dyDescent="0.2">
      <c r="G5122" s="7"/>
    </row>
    <row r="5123" spans="7:7" x14ac:dyDescent="0.2">
      <c r="G5123" s="7"/>
    </row>
    <row r="5124" spans="7:7" x14ac:dyDescent="0.2">
      <c r="G5124" s="7"/>
    </row>
    <row r="5125" spans="7:7" x14ac:dyDescent="0.2">
      <c r="G5125" s="7"/>
    </row>
    <row r="5126" spans="7:7" x14ac:dyDescent="0.2">
      <c r="G5126" s="7"/>
    </row>
    <row r="5127" spans="7:7" x14ac:dyDescent="0.2">
      <c r="G5127" s="7"/>
    </row>
    <row r="5128" spans="7:7" x14ac:dyDescent="0.2">
      <c r="G5128" s="7"/>
    </row>
    <row r="5129" spans="7:7" x14ac:dyDescent="0.2">
      <c r="G5129" s="7"/>
    </row>
    <row r="5130" spans="7:7" x14ac:dyDescent="0.2">
      <c r="G5130" s="7"/>
    </row>
    <row r="5131" spans="7:7" x14ac:dyDescent="0.2">
      <c r="G5131" s="7"/>
    </row>
    <row r="5132" spans="7:7" x14ac:dyDescent="0.2">
      <c r="G5132" s="7"/>
    </row>
    <row r="5133" spans="7:7" x14ac:dyDescent="0.2">
      <c r="G5133" s="7"/>
    </row>
    <row r="5134" spans="7:7" x14ac:dyDescent="0.2">
      <c r="G5134" s="7"/>
    </row>
    <row r="5135" spans="7:7" x14ac:dyDescent="0.2">
      <c r="G5135" s="7"/>
    </row>
    <row r="5136" spans="7:7" x14ac:dyDescent="0.2">
      <c r="G5136" s="7"/>
    </row>
    <row r="5137" spans="7:7" x14ac:dyDescent="0.2">
      <c r="G5137" s="7"/>
    </row>
    <row r="5138" spans="7:7" x14ac:dyDescent="0.2">
      <c r="G5138" s="7"/>
    </row>
    <row r="5139" spans="7:7" x14ac:dyDescent="0.2">
      <c r="G5139" s="7"/>
    </row>
    <row r="5140" spans="7:7" x14ac:dyDescent="0.2">
      <c r="G5140" s="7"/>
    </row>
    <row r="5141" spans="7:7" x14ac:dyDescent="0.2">
      <c r="G5141" s="7"/>
    </row>
    <row r="5142" spans="7:7" x14ac:dyDescent="0.2">
      <c r="G5142" s="7"/>
    </row>
    <row r="5143" spans="7:7" x14ac:dyDescent="0.2">
      <c r="G5143" s="7"/>
    </row>
    <row r="5144" spans="7:7" x14ac:dyDescent="0.2">
      <c r="G5144" s="7"/>
    </row>
    <row r="5145" spans="7:7" x14ac:dyDescent="0.2">
      <c r="G5145" s="7"/>
    </row>
    <row r="5146" spans="7:7" x14ac:dyDescent="0.2">
      <c r="G5146" s="7"/>
    </row>
    <row r="5147" spans="7:7" x14ac:dyDescent="0.2">
      <c r="G5147" s="7"/>
    </row>
    <row r="5148" spans="7:7" x14ac:dyDescent="0.2">
      <c r="G5148" s="7"/>
    </row>
    <row r="5149" spans="7:7" x14ac:dyDescent="0.2">
      <c r="G5149" s="7"/>
    </row>
    <row r="5150" spans="7:7" x14ac:dyDescent="0.2">
      <c r="G5150" s="7"/>
    </row>
    <row r="5151" spans="7:7" x14ac:dyDescent="0.2">
      <c r="G5151" s="7"/>
    </row>
    <row r="5152" spans="7:7" x14ac:dyDescent="0.2">
      <c r="G5152" s="7"/>
    </row>
    <row r="5153" spans="7:7" x14ac:dyDescent="0.2">
      <c r="G5153" s="7"/>
    </row>
    <row r="5154" spans="7:7" x14ac:dyDescent="0.2">
      <c r="G5154" s="7"/>
    </row>
    <row r="5155" spans="7:7" x14ac:dyDescent="0.2">
      <c r="G5155" s="7"/>
    </row>
    <row r="5156" spans="7:7" x14ac:dyDescent="0.2">
      <c r="G5156" s="7"/>
    </row>
    <row r="5157" spans="7:7" x14ac:dyDescent="0.2">
      <c r="G5157" s="7"/>
    </row>
    <row r="5158" spans="7:7" x14ac:dyDescent="0.2">
      <c r="G5158" s="7"/>
    </row>
    <row r="5159" spans="7:7" x14ac:dyDescent="0.2">
      <c r="G5159" s="7"/>
    </row>
    <row r="5160" spans="7:7" x14ac:dyDescent="0.2">
      <c r="G5160" s="7"/>
    </row>
    <row r="5161" spans="7:7" x14ac:dyDescent="0.2">
      <c r="G5161" s="7"/>
    </row>
    <row r="5162" spans="7:7" x14ac:dyDescent="0.2">
      <c r="G5162" s="7"/>
    </row>
    <row r="5163" spans="7:7" x14ac:dyDescent="0.2">
      <c r="G5163" s="7"/>
    </row>
    <row r="5164" spans="7:7" x14ac:dyDescent="0.2">
      <c r="G5164" s="7"/>
    </row>
    <row r="5165" spans="7:7" x14ac:dyDescent="0.2">
      <c r="G5165" s="7"/>
    </row>
    <row r="5166" spans="7:7" x14ac:dyDescent="0.2">
      <c r="G5166" s="7"/>
    </row>
    <row r="5167" spans="7:7" x14ac:dyDescent="0.2">
      <c r="G5167" s="7"/>
    </row>
    <row r="5168" spans="7:7" x14ac:dyDescent="0.2">
      <c r="G5168" s="7"/>
    </row>
    <row r="5169" spans="7:7" x14ac:dyDescent="0.2">
      <c r="G5169" s="7"/>
    </row>
    <row r="5170" spans="7:7" x14ac:dyDescent="0.2">
      <c r="G5170" s="7"/>
    </row>
    <row r="5171" spans="7:7" x14ac:dyDescent="0.2">
      <c r="G5171" s="7"/>
    </row>
    <row r="5172" spans="7:7" x14ac:dyDescent="0.2">
      <c r="G5172" s="7"/>
    </row>
    <row r="5173" spans="7:7" x14ac:dyDescent="0.2">
      <c r="G5173" s="7"/>
    </row>
    <row r="5174" spans="7:7" x14ac:dyDescent="0.2">
      <c r="G5174" s="7"/>
    </row>
    <row r="5175" spans="7:7" x14ac:dyDescent="0.2">
      <c r="G5175" s="7"/>
    </row>
    <row r="5176" spans="7:7" x14ac:dyDescent="0.2">
      <c r="G5176" s="7"/>
    </row>
    <row r="5177" spans="7:7" x14ac:dyDescent="0.2">
      <c r="G5177" s="7"/>
    </row>
    <row r="5178" spans="7:7" x14ac:dyDescent="0.2">
      <c r="G5178" s="7"/>
    </row>
    <row r="5179" spans="7:7" x14ac:dyDescent="0.2">
      <c r="G5179" s="7"/>
    </row>
    <row r="5180" spans="7:7" x14ac:dyDescent="0.2">
      <c r="G5180" s="7"/>
    </row>
    <row r="5181" spans="7:7" x14ac:dyDescent="0.2">
      <c r="G5181" s="7"/>
    </row>
    <row r="5182" spans="7:7" x14ac:dyDescent="0.2">
      <c r="G5182" s="7"/>
    </row>
    <row r="5183" spans="7:7" x14ac:dyDescent="0.2">
      <c r="G5183" s="7"/>
    </row>
    <row r="5184" spans="7:7" x14ac:dyDescent="0.2">
      <c r="G5184" s="7"/>
    </row>
    <row r="5185" spans="7:7" x14ac:dyDescent="0.2">
      <c r="G5185" s="7"/>
    </row>
    <row r="5186" spans="7:7" x14ac:dyDescent="0.2">
      <c r="G5186" s="7"/>
    </row>
    <row r="5187" spans="7:7" x14ac:dyDescent="0.2">
      <c r="G5187" s="7"/>
    </row>
    <row r="5188" spans="7:7" x14ac:dyDescent="0.2">
      <c r="G5188" s="7"/>
    </row>
    <row r="5189" spans="7:7" x14ac:dyDescent="0.2">
      <c r="G5189" s="7"/>
    </row>
    <row r="5190" spans="7:7" x14ac:dyDescent="0.2">
      <c r="G5190" s="7"/>
    </row>
    <row r="5191" spans="7:7" x14ac:dyDescent="0.2">
      <c r="G5191" s="7"/>
    </row>
    <row r="5192" spans="7:7" x14ac:dyDescent="0.2">
      <c r="G5192" s="7"/>
    </row>
    <row r="5193" spans="7:7" x14ac:dyDescent="0.2">
      <c r="G5193" s="7"/>
    </row>
    <row r="5194" spans="7:7" x14ac:dyDescent="0.2">
      <c r="G5194" s="7"/>
    </row>
    <row r="5195" spans="7:7" x14ac:dyDescent="0.2">
      <c r="G5195" s="7"/>
    </row>
    <row r="5196" spans="7:7" x14ac:dyDescent="0.2">
      <c r="G5196" s="7"/>
    </row>
    <row r="5197" spans="7:7" x14ac:dyDescent="0.2">
      <c r="G5197" s="7"/>
    </row>
    <row r="5198" spans="7:7" x14ac:dyDescent="0.2">
      <c r="G5198" s="7"/>
    </row>
    <row r="5199" spans="7:7" x14ac:dyDescent="0.2">
      <c r="G5199" s="7"/>
    </row>
    <row r="5200" spans="7:7" x14ac:dyDescent="0.2">
      <c r="G5200" s="7"/>
    </row>
    <row r="5201" spans="7:7" x14ac:dyDescent="0.2">
      <c r="G5201" s="7"/>
    </row>
    <row r="5202" spans="7:7" x14ac:dyDescent="0.2">
      <c r="G5202" s="7"/>
    </row>
    <row r="5203" spans="7:7" x14ac:dyDescent="0.2">
      <c r="G5203" s="7"/>
    </row>
    <row r="5204" spans="7:7" x14ac:dyDescent="0.2">
      <c r="G5204" s="7"/>
    </row>
    <row r="5205" spans="7:7" x14ac:dyDescent="0.2">
      <c r="G5205" s="7"/>
    </row>
    <row r="5206" spans="7:7" x14ac:dyDescent="0.2">
      <c r="G5206" s="7"/>
    </row>
    <row r="5207" spans="7:7" x14ac:dyDescent="0.2">
      <c r="G5207" s="7"/>
    </row>
    <row r="5208" spans="7:7" x14ac:dyDescent="0.2">
      <c r="G5208" s="7"/>
    </row>
    <row r="5209" spans="7:7" x14ac:dyDescent="0.2">
      <c r="G5209" s="7"/>
    </row>
    <row r="5210" spans="7:7" x14ac:dyDescent="0.2">
      <c r="G5210" s="7"/>
    </row>
    <row r="5211" spans="7:7" x14ac:dyDescent="0.2">
      <c r="G5211" s="7"/>
    </row>
    <row r="5212" spans="7:7" x14ac:dyDescent="0.2">
      <c r="G5212" s="7"/>
    </row>
    <row r="5213" spans="7:7" x14ac:dyDescent="0.2">
      <c r="G5213" s="7"/>
    </row>
    <row r="5214" spans="7:7" x14ac:dyDescent="0.2">
      <c r="G5214" s="7"/>
    </row>
    <row r="5215" spans="7:7" x14ac:dyDescent="0.2">
      <c r="G5215" s="7"/>
    </row>
    <row r="5216" spans="7:7" x14ac:dyDescent="0.2">
      <c r="G5216" s="7"/>
    </row>
    <row r="5217" spans="7:7" x14ac:dyDescent="0.2">
      <c r="G5217" s="7"/>
    </row>
    <row r="5218" spans="7:7" x14ac:dyDescent="0.2">
      <c r="G5218" s="7"/>
    </row>
    <row r="5219" spans="7:7" x14ac:dyDescent="0.2">
      <c r="G5219" s="7"/>
    </row>
    <row r="5220" spans="7:7" x14ac:dyDescent="0.2">
      <c r="G5220" s="7"/>
    </row>
    <row r="5221" spans="7:7" x14ac:dyDescent="0.2">
      <c r="G5221" s="7"/>
    </row>
    <row r="5222" spans="7:7" x14ac:dyDescent="0.2">
      <c r="G5222" s="7"/>
    </row>
    <row r="5223" spans="7:7" x14ac:dyDescent="0.2">
      <c r="G5223" s="7"/>
    </row>
    <row r="5224" spans="7:7" x14ac:dyDescent="0.2">
      <c r="G5224" s="7"/>
    </row>
    <row r="5225" spans="7:7" x14ac:dyDescent="0.2">
      <c r="G5225" s="7"/>
    </row>
    <row r="5226" spans="7:7" x14ac:dyDescent="0.2">
      <c r="G5226" s="7"/>
    </row>
    <row r="5227" spans="7:7" x14ac:dyDescent="0.2">
      <c r="G5227" s="7"/>
    </row>
    <row r="5228" spans="7:7" x14ac:dyDescent="0.2">
      <c r="G5228" s="7"/>
    </row>
    <row r="5229" spans="7:7" x14ac:dyDescent="0.2">
      <c r="G5229" s="7"/>
    </row>
    <row r="5230" spans="7:7" x14ac:dyDescent="0.2">
      <c r="G5230" s="7"/>
    </row>
    <row r="5231" spans="7:7" x14ac:dyDescent="0.2">
      <c r="G5231" s="7"/>
    </row>
    <row r="5232" spans="7:7" x14ac:dyDescent="0.2">
      <c r="G5232" s="7"/>
    </row>
    <row r="5233" spans="7:7" x14ac:dyDescent="0.2">
      <c r="G5233" s="7"/>
    </row>
    <row r="5234" spans="7:7" x14ac:dyDescent="0.2">
      <c r="G5234" s="7"/>
    </row>
    <row r="5235" spans="7:7" x14ac:dyDescent="0.2">
      <c r="G5235" s="7"/>
    </row>
    <row r="5236" spans="7:7" x14ac:dyDescent="0.2">
      <c r="G5236" s="7"/>
    </row>
    <row r="5237" spans="7:7" x14ac:dyDescent="0.2">
      <c r="G5237" s="7"/>
    </row>
    <row r="5238" spans="7:7" x14ac:dyDescent="0.2">
      <c r="G5238" s="7"/>
    </row>
    <row r="5239" spans="7:7" x14ac:dyDescent="0.2">
      <c r="G5239" s="7"/>
    </row>
    <row r="5240" spans="7:7" x14ac:dyDescent="0.2">
      <c r="G5240" s="7"/>
    </row>
    <row r="5241" spans="7:7" x14ac:dyDescent="0.2">
      <c r="G5241" s="7"/>
    </row>
    <row r="5242" spans="7:7" x14ac:dyDescent="0.2">
      <c r="G5242" s="7"/>
    </row>
    <row r="5243" spans="7:7" x14ac:dyDescent="0.2">
      <c r="G5243" s="7"/>
    </row>
    <row r="5244" spans="7:7" x14ac:dyDescent="0.2">
      <c r="G5244" s="7"/>
    </row>
    <row r="5245" spans="7:7" x14ac:dyDescent="0.2">
      <c r="G5245" s="7"/>
    </row>
    <row r="5246" spans="7:7" x14ac:dyDescent="0.2">
      <c r="G5246" s="7"/>
    </row>
    <row r="5247" spans="7:7" x14ac:dyDescent="0.2">
      <c r="G5247" s="7"/>
    </row>
    <row r="5248" spans="7:7" x14ac:dyDescent="0.2">
      <c r="G5248" s="7"/>
    </row>
    <row r="5249" spans="7:7" x14ac:dyDescent="0.2">
      <c r="G5249" s="7"/>
    </row>
    <row r="5250" spans="7:7" x14ac:dyDescent="0.2">
      <c r="G5250" s="7"/>
    </row>
    <row r="5251" spans="7:7" x14ac:dyDescent="0.2">
      <c r="G5251" s="7"/>
    </row>
    <row r="5252" spans="7:7" x14ac:dyDescent="0.2">
      <c r="G5252" s="7"/>
    </row>
    <row r="5253" spans="7:7" x14ac:dyDescent="0.2">
      <c r="G5253" s="7"/>
    </row>
    <row r="5254" spans="7:7" x14ac:dyDescent="0.2">
      <c r="G5254" s="7"/>
    </row>
    <row r="5255" spans="7:7" x14ac:dyDescent="0.2">
      <c r="G5255" s="7"/>
    </row>
    <row r="5256" spans="7:7" x14ac:dyDescent="0.2">
      <c r="G5256" s="7"/>
    </row>
    <row r="5257" spans="7:7" x14ac:dyDescent="0.2">
      <c r="G5257" s="7"/>
    </row>
    <row r="5258" spans="7:7" x14ac:dyDescent="0.2">
      <c r="G5258" s="7"/>
    </row>
    <row r="5259" spans="7:7" x14ac:dyDescent="0.2">
      <c r="G5259" s="7"/>
    </row>
    <row r="5260" spans="7:7" x14ac:dyDescent="0.2">
      <c r="G5260" s="7"/>
    </row>
    <row r="5261" spans="7:7" x14ac:dyDescent="0.2">
      <c r="G5261" s="7"/>
    </row>
    <row r="5262" spans="7:7" x14ac:dyDescent="0.2">
      <c r="G5262" s="7"/>
    </row>
    <row r="5263" spans="7:7" x14ac:dyDescent="0.2">
      <c r="G5263" s="7"/>
    </row>
    <row r="5264" spans="7:7" x14ac:dyDescent="0.2">
      <c r="G5264" s="7"/>
    </row>
    <row r="5265" spans="7:7" x14ac:dyDescent="0.2">
      <c r="G5265" s="7"/>
    </row>
    <row r="5266" spans="7:7" x14ac:dyDescent="0.2">
      <c r="G5266" s="7"/>
    </row>
    <row r="5267" spans="7:7" x14ac:dyDescent="0.2">
      <c r="G5267" s="7"/>
    </row>
    <row r="5268" spans="7:7" x14ac:dyDescent="0.2">
      <c r="G5268" s="7"/>
    </row>
    <row r="5269" spans="7:7" x14ac:dyDescent="0.2">
      <c r="G5269" s="7"/>
    </row>
    <row r="5270" spans="7:7" x14ac:dyDescent="0.2">
      <c r="G5270" s="7"/>
    </row>
    <row r="5271" spans="7:7" x14ac:dyDescent="0.2">
      <c r="G5271" s="7"/>
    </row>
    <row r="5272" spans="7:7" x14ac:dyDescent="0.2">
      <c r="G5272" s="7"/>
    </row>
    <row r="5273" spans="7:7" x14ac:dyDescent="0.2">
      <c r="G5273" s="7"/>
    </row>
    <row r="5274" spans="7:7" x14ac:dyDescent="0.2">
      <c r="G5274" s="7"/>
    </row>
    <row r="5275" spans="7:7" x14ac:dyDescent="0.2">
      <c r="G5275" s="7"/>
    </row>
    <row r="5276" spans="7:7" x14ac:dyDescent="0.2">
      <c r="G5276" s="7"/>
    </row>
    <row r="5277" spans="7:7" x14ac:dyDescent="0.2">
      <c r="G5277" s="7"/>
    </row>
    <row r="5278" spans="7:7" x14ac:dyDescent="0.2">
      <c r="G5278" s="7"/>
    </row>
    <row r="5279" spans="7:7" x14ac:dyDescent="0.2">
      <c r="G5279" s="7"/>
    </row>
    <row r="5280" spans="7:7" x14ac:dyDescent="0.2">
      <c r="G5280" s="7"/>
    </row>
    <row r="5281" spans="7:7" x14ac:dyDescent="0.2">
      <c r="G5281" s="7"/>
    </row>
    <row r="5282" spans="7:7" x14ac:dyDescent="0.2">
      <c r="G5282" s="7"/>
    </row>
    <row r="5283" spans="7:7" x14ac:dyDescent="0.2">
      <c r="G5283" s="7"/>
    </row>
    <row r="5284" spans="7:7" x14ac:dyDescent="0.2">
      <c r="G5284" s="7"/>
    </row>
    <row r="5285" spans="7:7" x14ac:dyDescent="0.2">
      <c r="G5285" s="7"/>
    </row>
    <row r="5286" spans="7:7" x14ac:dyDescent="0.2">
      <c r="G5286" s="7"/>
    </row>
    <row r="5287" spans="7:7" x14ac:dyDescent="0.2">
      <c r="G5287" s="7"/>
    </row>
    <row r="5288" spans="7:7" x14ac:dyDescent="0.2">
      <c r="G5288" s="7"/>
    </row>
    <row r="5289" spans="7:7" x14ac:dyDescent="0.2">
      <c r="G5289" s="7"/>
    </row>
    <row r="5290" spans="7:7" x14ac:dyDescent="0.2">
      <c r="G5290" s="7"/>
    </row>
    <row r="5291" spans="7:7" x14ac:dyDescent="0.2">
      <c r="G5291" s="7"/>
    </row>
    <row r="5292" spans="7:7" x14ac:dyDescent="0.2">
      <c r="G5292" s="7"/>
    </row>
    <row r="5293" spans="7:7" x14ac:dyDescent="0.2">
      <c r="G5293" s="7"/>
    </row>
    <row r="5294" spans="7:7" x14ac:dyDescent="0.2">
      <c r="G5294" s="7"/>
    </row>
    <row r="5295" spans="7:7" x14ac:dyDescent="0.2">
      <c r="G5295" s="7"/>
    </row>
    <row r="5296" spans="7:7" x14ac:dyDescent="0.2">
      <c r="G5296" s="7"/>
    </row>
    <row r="5297" spans="7:7" x14ac:dyDescent="0.2">
      <c r="G5297" s="7"/>
    </row>
    <row r="5298" spans="7:7" x14ac:dyDescent="0.2">
      <c r="G5298" s="7"/>
    </row>
    <row r="5299" spans="7:7" x14ac:dyDescent="0.2">
      <c r="G5299" s="7"/>
    </row>
    <row r="5300" spans="7:7" x14ac:dyDescent="0.2">
      <c r="G5300" s="7"/>
    </row>
    <row r="5301" spans="7:7" x14ac:dyDescent="0.2">
      <c r="G5301" s="7"/>
    </row>
    <row r="5302" spans="7:7" x14ac:dyDescent="0.2">
      <c r="G5302" s="7"/>
    </row>
    <row r="5303" spans="7:7" x14ac:dyDescent="0.2">
      <c r="G5303" s="7"/>
    </row>
    <row r="5304" spans="7:7" x14ac:dyDescent="0.2">
      <c r="G5304" s="7"/>
    </row>
    <row r="5305" spans="7:7" x14ac:dyDescent="0.2">
      <c r="G5305" s="7"/>
    </row>
    <row r="5306" spans="7:7" x14ac:dyDescent="0.2">
      <c r="G5306" s="7"/>
    </row>
    <row r="5307" spans="7:7" x14ac:dyDescent="0.2">
      <c r="G5307" s="7"/>
    </row>
    <row r="5308" spans="7:7" x14ac:dyDescent="0.2">
      <c r="G5308" s="7"/>
    </row>
    <row r="5309" spans="7:7" x14ac:dyDescent="0.2">
      <c r="G5309" s="7"/>
    </row>
    <row r="5310" spans="7:7" x14ac:dyDescent="0.2">
      <c r="G5310" s="7"/>
    </row>
    <row r="5311" spans="7:7" x14ac:dyDescent="0.2">
      <c r="G5311" s="7"/>
    </row>
    <row r="5312" spans="7:7" x14ac:dyDescent="0.2">
      <c r="G5312" s="7"/>
    </row>
    <row r="5313" spans="7:7" x14ac:dyDescent="0.2">
      <c r="G5313" s="7"/>
    </row>
    <row r="5314" spans="7:7" x14ac:dyDescent="0.2">
      <c r="G5314" s="7"/>
    </row>
    <row r="5315" spans="7:7" x14ac:dyDescent="0.2">
      <c r="G5315" s="7"/>
    </row>
    <row r="5316" spans="7:7" x14ac:dyDescent="0.2">
      <c r="G5316" s="7"/>
    </row>
    <row r="5317" spans="7:7" x14ac:dyDescent="0.2">
      <c r="G5317" s="7"/>
    </row>
    <row r="5318" spans="7:7" x14ac:dyDescent="0.2">
      <c r="G5318" s="7"/>
    </row>
    <row r="5319" spans="7:7" x14ac:dyDescent="0.2">
      <c r="G5319" s="7"/>
    </row>
    <row r="5320" spans="7:7" x14ac:dyDescent="0.2">
      <c r="G5320" s="7"/>
    </row>
    <row r="5321" spans="7:7" x14ac:dyDescent="0.2">
      <c r="G5321" s="7"/>
    </row>
    <row r="5322" spans="7:7" x14ac:dyDescent="0.2">
      <c r="G5322" s="7"/>
    </row>
    <row r="5323" spans="7:7" x14ac:dyDescent="0.2">
      <c r="G5323" s="7"/>
    </row>
    <row r="5324" spans="7:7" x14ac:dyDescent="0.2">
      <c r="G5324" s="7"/>
    </row>
    <row r="5325" spans="7:7" x14ac:dyDescent="0.2">
      <c r="G5325" s="7"/>
    </row>
    <row r="5326" spans="7:7" x14ac:dyDescent="0.2">
      <c r="G5326" s="7"/>
    </row>
    <row r="5327" spans="7:7" x14ac:dyDescent="0.2">
      <c r="G5327" s="7"/>
    </row>
    <row r="5328" spans="7:7" x14ac:dyDescent="0.2">
      <c r="G5328" s="7"/>
    </row>
    <row r="5329" spans="7:7" x14ac:dyDescent="0.2">
      <c r="G5329" s="7"/>
    </row>
    <row r="5330" spans="7:7" x14ac:dyDescent="0.2">
      <c r="G5330" s="7"/>
    </row>
    <row r="5331" spans="7:7" x14ac:dyDescent="0.2">
      <c r="G5331" s="7"/>
    </row>
    <row r="5332" spans="7:7" x14ac:dyDescent="0.2">
      <c r="G5332" s="7"/>
    </row>
    <row r="5333" spans="7:7" x14ac:dyDescent="0.2">
      <c r="G5333" s="7"/>
    </row>
    <row r="5334" spans="7:7" x14ac:dyDescent="0.2">
      <c r="G5334" s="7"/>
    </row>
    <row r="5335" spans="7:7" x14ac:dyDescent="0.2">
      <c r="G5335" s="7"/>
    </row>
    <row r="5336" spans="7:7" x14ac:dyDescent="0.2">
      <c r="G5336" s="7"/>
    </row>
    <row r="5337" spans="7:7" x14ac:dyDescent="0.2">
      <c r="G5337" s="7"/>
    </row>
    <row r="5338" spans="7:7" x14ac:dyDescent="0.2">
      <c r="G5338" s="7"/>
    </row>
    <row r="5339" spans="7:7" x14ac:dyDescent="0.2">
      <c r="G5339" s="7"/>
    </row>
    <row r="5340" spans="7:7" x14ac:dyDescent="0.2">
      <c r="G5340" s="7"/>
    </row>
    <row r="5341" spans="7:7" x14ac:dyDescent="0.2">
      <c r="G5341" s="7"/>
    </row>
    <row r="5342" spans="7:7" x14ac:dyDescent="0.2">
      <c r="G5342" s="7"/>
    </row>
    <row r="5343" spans="7:7" x14ac:dyDescent="0.2">
      <c r="G5343" s="7"/>
    </row>
    <row r="5344" spans="7:7" x14ac:dyDescent="0.2">
      <c r="G5344" s="7"/>
    </row>
    <row r="5345" spans="7:7" x14ac:dyDescent="0.2">
      <c r="G5345" s="7"/>
    </row>
    <row r="5346" spans="7:7" x14ac:dyDescent="0.2">
      <c r="G5346" s="7"/>
    </row>
    <row r="5347" spans="7:7" x14ac:dyDescent="0.2">
      <c r="G5347" s="7"/>
    </row>
    <row r="5348" spans="7:7" x14ac:dyDescent="0.2">
      <c r="G5348" s="7"/>
    </row>
    <row r="5349" spans="7:7" x14ac:dyDescent="0.2">
      <c r="G5349" s="7"/>
    </row>
    <row r="5350" spans="7:7" x14ac:dyDescent="0.2">
      <c r="G5350" s="7"/>
    </row>
    <row r="5351" spans="7:7" x14ac:dyDescent="0.2">
      <c r="G5351" s="7"/>
    </row>
    <row r="5352" spans="7:7" x14ac:dyDescent="0.2">
      <c r="G5352" s="7"/>
    </row>
    <row r="5353" spans="7:7" x14ac:dyDescent="0.2">
      <c r="G5353" s="7"/>
    </row>
    <row r="5354" spans="7:7" x14ac:dyDescent="0.2">
      <c r="G5354" s="7"/>
    </row>
    <row r="5355" spans="7:7" x14ac:dyDescent="0.2">
      <c r="G5355" s="7"/>
    </row>
    <row r="5356" spans="7:7" x14ac:dyDescent="0.2">
      <c r="G5356" s="7"/>
    </row>
    <row r="5357" spans="7:7" x14ac:dyDescent="0.2">
      <c r="G5357" s="7"/>
    </row>
    <row r="5358" spans="7:7" x14ac:dyDescent="0.2">
      <c r="G5358" s="7"/>
    </row>
    <row r="5359" spans="7:7" x14ac:dyDescent="0.2">
      <c r="G5359" s="7"/>
    </row>
    <row r="5360" spans="7:7" x14ac:dyDescent="0.2">
      <c r="G5360" s="7"/>
    </row>
    <row r="5361" spans="7:7" x14ac:dyDescent="0.2">
      <c r="G5361" s="7"/>
    </row>
    <row r="5362" spans="7:7" x14ac:dyDescent="0.2">
      <c r="G5362" s="7"/>
    </row>
    <row r="5363" spans="7:7" x14ac:dyDescent="0.2">
      <c r="G5363" s="7"/>
    </row>
    <row r="5364" spans="7:7" x14ac:dyDescent="0.2">
      <c r="G5364" s="7"/>
    </row>
    <row r="5365" spans="7:7" x14ac:dyDescent="0.2">
      <c r="G5365" s="7"/>
    </row>
    <row r="5366" spans="7:7" x14ac:dyDescent="0.2">
      <c r="G5366" s="7"/>
    </row>
    <row r="5367" spans="7:7" x14ac:dyDescent="0.2">
      <c r="G5367" s="7"/>
    </row>
    <row r="5368" spans="7:7" x14ac:dyDescent="0.2">
      <c r="G5368" s="7"/>
    </row>
    <row r="5369" spans="7:7" x14ac:dyDescent="0.2">
      <c r="G5369" s="7"/>
    </row>
    <row r="5370" spans="7:7" x14ac:dyDescent="0.2">
      <c r="G5370" s="7"/>
    </row>
    <row r="5371" spans="7:7" x14ac:dyDescent="0.2">
      <c r="G5371" s="7"/>
    </row>
    <row r="5372" spans="7:7" x14ac:dyDescent="0.2">
      <c r="G5372" s="7"/>
    </row>
    <row r="5373" spans="7:7" x14ac:dyDescent="0.2">
      <c r="G5373" s="7"/>
    </row>
    <row r="5374" spans="7:7" x14ac:dyDescent="0.2">
      <c r="G5374" s="7"/>
    </row>
    <row r="5375" spans="7:7" x14ac:dyDescent="0.2">
      <c r="G5375" s="7"/>
    </row>
    <row r="5376" spans="7:7" x14ac:dyDescent="0.2">
      <c r="G5376" s="7"/>
    </row>
    <row r="5377" spans="7:7" x14ac:dyDescent="0.2">
      <c r="G5377" s="7"/>
    </row>
    <row r="5378" spans="7:7" x14ac:dyDescent="0.2">
      <c r="G5378" s="7"/>
    </row>
    <row r="5379" spans="7:7" x14ac:dyDescent="0.2">
      <c r="G5379" s="7"/>
    </row>
    <row r="5380" spans="7:7" x14ac:dyDescent="0.2">
      <c r="G5380" s="7"/>
    </row>
    <row r="5381" spans="7:7" x14ac:dyDescent="0.2">
      <c r="G5381" s="7"/>
    </row>
    <row r="5382" spans="7:7" x14ac:dyDescent="0.2">
      <c r="G5382" s="7"/>
    </row>
    <row r="5383" spans="7:7" x14ac:dyDescent="0.2">
      <c r="G5383" s="7"/>
    </row>
    <row r="5384" spans="7:7" x14ac:dyDescent="0.2">
      <c r="G5384" s="7"/>
    </row>
    <row r="5385" spans="7:7" x14ac:dyDescent="0.2">
      <c r="G5385" s="7"/>
    </row>
    <row r="5386" spans="7:7" x14ac:dyDescent="0.2">
      <c r="G5386" s="7"/>
    </row>
    <row r="5387" spans="7:7" x14ac:dyDescent="0.2">
      <c r="G5387" s="7"/>
    </row>
    <row r="5388" spans="7:7" x14ac:dyDescent="0.2">
      <c r="G5388" s="7"/>
    </row>
    <row r="5389" spans="7:7" x14ac:dyDescent="0.2">
      <c r="G5389" s="7"/>
    </row>
    <row r="5390" spans="7:7" x14ac:dyDescent="0.2">
      <c r="G5390" s="7"/>
    </row>
    <row r="5391" spans="7:7" x14ac:dyDescent="0.2">
      <c r="G5391" s="7"/>
    </row>
    <row r="5392" spans="7:7" x14ac:dyDescent="0.2">
      <c r="G5392" s="7"/>
    </row>
    <row r="5393" spans="7:7" x14ac:dyDescent="0.2">
      <c r="G5393" s="7"/>
    </row>
    <row r="5394" spans="7:7" x14ac:dyDescent="0.2">
      <c r="G5394" s="7"/>
    </row>
    <row r="5395" spans="7:7" x14ac:dyDescent="0.2">
      <c r="G5395" s="7"/>
    </row>
    <row r="5396" spans="7:7" x14ac:dyDescent="0.2">
      <c r="G5396" s="7"/>
    </row>
    <row r="5397" spans="7:7" x14ac:dyDescent="0.2">
      <c r="G5397" s="7"/>
    </row>
    <row r="5398" spans="7:7" x14ac:dyDescent="0.2">
      <c r="G5398" s="7"/>
    </row>
    <row r="5399" spans="7:7" x14ac:dyDescent="0.2">
      <c r="G5399" s="7"/>
    </row>
    <row r="5400" spans="7:7" x14ac:dyDescent="0.2">
      <c r="G5400" s="7"/>
    </row>
    <row r="5401" spans="7:7" x14ac:dyDescent="0.2">
      <c r="G5401" s="7"/>
    </row>
    <row r="5402" spans="7:7" x14ac:dyDescent="0.2">
      <c r="G5402" s="7"/>
    </row>
    <row r="5403" spans="7:7" x14ac:dyDescent="0.2">
      <c r="G5403" s="7"/>
    </row>
    <row r="5404" spans="7:7" x14ac:dyDescent="0.2">
      <c r="G5404" s="7"/>
    </row>
    <row r="5405" spans="7:7" x14ac:dyDescent="0.2">
      <c r="G5405" s="7"/>
    </row>
    <row r="5406" spans="7:7" x14ac:dyDescent="0.2">
      <c r="G5406" s="7"/>
    </row>
    <row r="5407" spans="7:7" x14ac:dyDescent="0.2">
      <c r="G5407" s="7"/>
    </row>
    <row r="5408" spans="7:7" x14ac:dyDescent="0.2">
      <c r="G5408" s="7"/>
    </row>
    <row r="5409" spans="7:7" x14ac:dyDescent="0.2">
      <c r="G5409" s="7"/>
    </row>
    <row r="5410" spans="7:7" x14ac:dyDescent="0.2">
      <c r="G5410" s="7"/>
    </row>
    <row r="5411" spans="7:7" x14ac:dyDescent="0.2">
      <c r="G5411" s="7"/>
    </row>
    <row r="5412" spans="7:7" x14ac:dyDescent="0.2">
      <c r="G5412" s="7"/>
    </row>
    <row r="5413" spans="7:7" x14ac:dyDescent="0.2">
      <c r="G5413" s="7"/>
    </row>
    <row r="5414" spans="7:7" x14ac:dyDescent="0.2">
      <c r="G5414" s="7"/>
    </row>
    <row r="5415" spans="7:7" x14ac:dyDescent="0.2">
      <c r="G5415" s="7"/>
    </row>
    <row r="5416" spans="7:7" x14ac:dyDescent="0.2">
      <c r="G5416" s="7"/>
    </row>
    <row r="5417" spans="7:7" x14ac:dyDescent="0.2">
      <c r="G5417" s="7"/>
    </row>
    <row r="5418" spans="7:7" x14ac:dyDescent="0.2">
      <c r="G5418" s="7"/>
    </row>
    <row r="5419" spans="7:7" x14ac:dyDescent="0.2">
      <c r="G5419" s="7"/>
    </row>
    <row r="5420" spans="7:7" x14ac:dyDescent="0.2">
      <c r="G5420" s="7"/>
    </row>
    <row r="5421" spans="7:7" x14ac:dyDescent="0.2">
      <c r="G5421" s="7"/>
    </row>
    <row r="5422" spans="7:7" x14ac:dyDescent="0.2">
      <c r="G5422" s="7"/>
    </row>
    <row r="5423" spans="7:7" x14ac:dyDescent="0.2">
      <c r="G5423" s="7"/>
    </row>
    <row r="5424" spans="7:7" x14ac:dyDescent="0.2">
      <c r="G5424" s="7"/>
    </row>
    <row r="5425" spans="7:7" x14ac:dyDescent="0.2">
      <c r="G5425" s="7"/>
    </row>
    <row r="5426" spans="7:7" x14ac:dyDescent="0.2">
      <c r="G5426" s="7"/>
    </row>
    <row r="5427" spans="7:7" x14ac:dyDescent="0.2">
      <c r="G5427" s="7"/>
    </row>
    <row r="5428" spans="7:7" x14ac:dyDescent="0.2">
      <c r="G5428" s="7"/>
    </row>
    <row r="5429" spans="7:7" x14ac:dyDescent="0.2">
      <c r="G5429" s="7"/>
    </row>
    <row r="5430" spans="7:7" x14ac:dyDescent="0.2">
      <c r="G5430" s="7"/>
    </row>
    <row r="5431" spans="7:7" x14ac:dyDescent="0.2">
      <c r="G5431" s="7"/>
    </row>
    <row r="5432" spans="7:7" x14ac:dyDescent="0.2">
      <c r="G5432" s="7"/>
    </row>
    <row r="5433" spans="7:7" x14ac:dyDescent="0.2">
      <c r="G5433" s="7"/>
    </row>
    <row r="5434" spans="7:7" x14ac:dyDescent="0.2">
      <c r="G5434" s="7"/>
    </row>
    <row r="5435" spans="7:7" x14ac:dyDescent="0.2">
      <c r="G5435" s="7"/>
    </row>
    <row r="5436" spans="7:7" x14ac:dyDescent="0.2">
      <c r="G5436" s="7"/>
    </row>
    <row r="5437" spans="7:7" x14ac:dyDescent="0.2">
      <c r="G5437" s="7"/>
    </row>
    <row r="5438" spans="7:7" x14ac:dyDescent="0.2">
      <c r="G5438" s="7"/>
    </row>
    <row r="5439" spans="7:7" x14ac:dyDescent="0.2">
      <c r="G5439" s="7"/>
    </row>
    <row r="5440" spans="7:7" x14ac:dyDescent="0.2">
      <c r="G5440" s="7"/>
    </row>
    <row r="5441" spans="7:7" x14ac:dyDescent="0.2">
      <c r="G5441" s="7"/>
    </row>
    <row r="5442" spans="7:7" x14ac:dyDescent="0.2">
      <c r="G5442" s="7"/>
    </row>
    <row r="5443" spans="7:7" x14ac:dyDescent="0.2">
      <c r="G5443" s="7"/>
    </row>
    <row r="5444" spans="7:7" x14ac:dyDescent="0.2">
      <c r="G5444" s="7"/>
    </row>
    <row r="5445" spans="7:7" x14ac:dyDescent="0.2">
      <c r="G5445" s="7"/>
    </row>
    <row r="5446" spans="7:7" x14ac:dyDescent="0.2">
      <c r="G5446" s="7"/>
    </row>
    <row r="5447" spans="7:7" x14ac:dyDescent="0.2">
      <c r="G5447" s="7"/>
    </row>
    <row r="5448" spans="7:7" x14ac:dyDescent="0.2">
      <c r="G5448" s="7"/>
    </row>
    <row r="5449" spans="7:7" x14ac:dyDescent="0.2">
      <c r="G5449" s="7"/>
    </row>
    <row r="5450" spans="7:7" x14ac:dyDescent="0.2">
      <c r="G5450" s="7"/>
    </row>
    <row r="5451" spans="7:7" x14ac:dyDescent="0.2">
      <c r="G5451" s="7"/>
    </row>
    <row r="5452" spans="7:7" x14ac:dyDescent="0.2">
      <c r="G5452" s="7"/>
    </row>
    <row r="5453" spans="7:7" x14ac:dyDescent="0.2">
      <c r="G5453" s="7"/>
    </row>
    <row r="5454" spans="7:7" x14ac:dyDescent="0.2">
      <c r="G5454" s="7"/>
    </row>
    <row r="5455" spans="7:7" x14ac:dyDescent="0.2">
      <c r="G5455" s="7"/>
    </row>
    <row r="5456" spans="7:7" x14ac:dyDescent="0.2">
      <c r="G5456" s="7"/>
    </row>
    <row r="5457" spans="7:7" x14ac:dyDescent="0.2">
      <c r="G5457" s="7"/>
    </row>
    <row r="5458" spans="7:7" x14ac:dyDescent="0.2">
      <c r="G5458" s="7"/>
    </row>
    <row r="5459" spans="7:7" x14ac:dyDescent="0.2">
      <c r="G5459" s="7"/>
    </row>
    <row r="5460" spans="7:7" x14ac:dyDescent="0.2">
      <c r="G5460" s="7"/>
    </row>
    <row r="5461" spans="7:7" x14ac:dyDescent="0.2">
      <c r="G5461" s="7"/>
    </row>
    <row r="5462" spans="7:7" x14ac:dyDescent="0.2">
      <c r="G5462" s="7"/>
    </row>
    <row r="5463" spans="7:7" x14ac:dyDescent="0.2">
      <c r="G5463" s="7"/>
    </row>
    <row r="5464" spans="7:7" x14ac:dyDescent="0.2">
      <c r="G5464" s="7"/>
    </row>
    <row r="5465" spans="7:7" x14ac:dyDescent="0.2">
      <c r="G5465" s="7"/>
    </row>
    <row r="5466" spans="7:7" x14ac:dyDescent="0.2">
      <c r="G5466" s="7"/>
    </row>
    <row r="5467" spans="7:7" x14ac:dyDescent="0.2">
      <c r="G5467" s="7"/>
    </row>
    <row r="5468" spans="7:7" x14ac:dyDescent="0.2">
      <c r="G5468" s="7"/>
    </row>
    <row r="5469" spans="7:7" x14ac:dyDescent="0.2">
      <c r="G5469" s="7"/>
    </row>
    <row r="5470" spans="7:7" x14ac:dyDescent="0.2">
      <c r="G5470" s="7"/>
    </row>
    <row r="5471" spans="7:7" x14ac:dyDescent="0.2">
      <c r="G5471" s="7"/>
    </row>
    <row r="5472" spans="7:7" x14ac:dyDescent="0.2">
      <c r="G5472" s="7"/>
    </row>
    <row r="5473" spans="7:7" x14ac:dyDescent="0.2">
      <c r="G5473" s="7"/>
    </row>
    <row r="5474" spans="7:7" x14ac:dyDescent="0.2">
      <c r="G5474" s="7"/>
    </row>
    <row r="5475" spans="7:7" x14ac:dyDescent="0.2">
      <c r="G5475" s="7"/>
    </row>
    <row r="5476" spans="7:7" x14ac:dyDescent="0.2">
      <c r="G5476" s="7"/>
    </row>
    <row r="5477" spans="7:7" x14ac:dyDescent="0.2">
      <c r="G5477" s="7"/>
    </row>
    <row r="5478" spans="7:7" x14ac:dyDescent="0.2">
      <c r="G5478" s="7"/>
    </row>
    <row r="5479" spans="7:7" x14ac:dyDescent="0.2">
      <c r="G5479" s="7"/>
    </row>
    <row r="5480" spans="7:7" x14ac:dyDescent="0.2">
      <c r="G5480" s="7"/>
    </row>
    <row r="5481" spans="7:7" x14ac:dyDescent="0.2">
      <c r="G5481" s="7"/>
    </row>
    <row r="5482" spans="7:7" x14ac:dyDescent="0.2">
      <c r="G5482" s="7"/>
    </row>
    <row r="5483" spans="7:7" x14ac:dyDescent="0.2">
      <c r="G5483" s="7"/>
    </row>
    <row r="5484" spans="7:7" x14ac:dyDescent="0.2">
      <c r="G5484" s="7"/>
    </row>
    <row r="5485" spans="7:7" x14ac:dyDescent="0.2">
      <c r="G5485" s="7"/>
    </row>
    <row r="5486" spans="7:7" x14ac:dyDescent="0.2">
      <c r="G5486" s="7"/>
    </row>
    <row r="5487" spans="7:7" x14ac:dyDescent="0.2">
      <c r="G5487" s="7"/>
    </row>
    <row r="5488" spans="7:7" x14ac:dyDescent="0.2">
      <c r="G5488" s="7"/>
    </row>
    <row r="5489" spans="7:7" x14ac:dyDescent="0.2">
      <c r="G5489" s="7"/>
    </row>
    <row r="5490" spans="7:7" x14ac:dyDescent="0.2">
      <c r="G5490" s="7"/>
    </row>
    <row r="5491" spans="7:7" x14ac:dyDescent="0.2">
      <c r="G5491" s="7"/>
    </row>
    <row r="5492" spans="7:7" x14ac:dyDescent="0.2">
      <c r="G5492" s="7"/>
    </row>
    <row r="5493" spans="7:7" x14ac:dyDescent="0.2">
      <c r="G5493" s="7"/>
    </row>
    <row r="5494" spans="7:7" x14ac:dyDescent="0.2">
      <c r="G5494" s="7"/>
    </row>
    <row r="5495" spans="7:7" x14ac:dyDescent="0.2">
      <c r="G5495" s="7"/>
    </row>
    <row r="5496" spans="7:7" x14ac:dyDescent="0.2">
      <c r="G5496" s="7"/>
    </row>
    <row r="5497" spans="7:7" x14ac:dyDescent="0.2">
      <c r="G5497" s="7"/>
    </row>
    <row r="5498" spans="7:7" x14ac:dyDescent="0.2">
      <c r="G5498" s="7"/>
    </row>
    <row r="5499" spans="7:7" x14ac:dyDescent="0.2">
      <c r="G5499" s="7"/>
    </row>
    <row r="5500" spans="7:7" x14ac:dyDescent="0.2">
      <c r="G5500" s="7"/>
    </row>
    <row r="5501" spans="7:7" x14ac:dyDescent="0.2">
      <c r="G5501" s="7"/>
    </row>
    <row r="5502" spans="7:7" x14ac:dyDescent="0.2">
      <c r="G5502" s="7"/>
    </row>
    <row r="5503" spans="7:7" x14ac:dyDescent="0.2">
      <c r="G5503" s="7"/>
    </row>
    <row r="5504" spans="7:7" x14ac:dyDescent="0.2">
      <c r="G5504" s="7"/>
    </row>
    <row r="5505" spans="7:7" x14ac:dyDescent="0.2">
      <c r="G5505" s="7"/>
    </row>
    <row r="5506" spans="7:7" x14ac:dyDescent="0.2">
      <c r="G5506" s="7"/>
    </row>
    <row r="5507" spans="7:7" x14ac:dyDescent="0.2">
      <c r="G5507" s="7"/>
    </row>
    <row r="5508" spans="7:7" x14ac:dyDescent="0.2">
      <c r="G5508" s="7"/>
    </row>
    <row r="5509" spans="7:7" x14ac:dyDescent="0.2">
      <c r="G5509" s="7"/>
    </row>
    <row r="5510" spans="7:7" x14ac:dyDescent="0.2">
      <c r="G5510" s="7"/>
    </row>
    <row r="5511" spans="7:7" x14ac:dyDescent="0.2">
      <c r="G5511" s="7"/>
    </row>
    <row r="5512" spans="7:7" x14ac:dyDescent="0.2">
      <c r="G5512" s="7"/>
    </row>
    <row r="5513" spans="7:7" x14ac:dyDescent="0.2">
      <c r="G5513" s="7"/>
    </row>
    <row r="5514" spans="7:7" x14ac:dyDescent="0.2">
      <c r="G5514" s="7"/>
    </row>
    <row r="5515" spans="7:7" x14ac:dyDescent="0.2">
      <c r="G5515" s="7"/>
    </row>
    <row r="5516" spans="7:7" x14ac:dyDescent="0.2">
      <c r="G5516" s="7"/>
    </row>
    <row r="5517" spans="7:7" x14ac:dyDescent="0.2">
      <c r="G5517" s="7"/>
    </row>
    <row r="5518" spans="7:7" x14ac:dyDescent="0.2">
      <c r="G5518" s="7"/>
    </row>
    <row r="5519" spans="7:7" x14ac:dyDescent="0.2">
      <c r="G5519" s="7"/>
    </row>
    <row r="5520" spans="7:7" x14ac:dyDescent="0.2">
      <c r="G5520" s="7"/>
    </row>
    <row r="5521" spans="7:7" x14ac:dyDescent="0.2">
      <c r="G5521" s="7"/>
    </row>
    <row r="5522" spans="7:7" x14ac:dyDescent="0.2">
      <c r="G5522" s="7"/>
    </row>
    <row r="5523" spans="7:7" x14ac:dyDescent="0.2">
      <c r="G5523" s="7"/>
    </row>
    <row r="5524" spans="7:7" x14ac:dyDescent="0.2">
      <c r="G5524" s="7"/>
    </row>
    <row r="5525" spans="7:7" x14ac:dyDescent="0.2">
      <c r="G5525" s="7"/>
    </row>
    <row r="5526" spans="7:7" x14ac:dyDescent="0.2">
      <c r="G5526" s="7"/>
    </row>
    <row r="5527" spans="7:7" x14ac:dyDescent="0.2">
      <c r="G5527" s="7"/>
    </row>
    <row r="5528" spans="7:7" x14ac:dyDescent="0.2">
      <c r="G5528" s="7"/>
    </row>
    <row r="5529" spans="7:7" x14ac:dyDescent="0.2">
      <c r="G5529" s="7"/>
    </row>
    <row r="5530" spans="7:7" x14ac:dyDescent="0.2">
      <c r="G5530" s="7"/>
    </row>
    <row r="5531" spans="7:7" x14ac:dyDescent="0.2">
      <c r="G5531" s="7"/>
    </row>
    <row r="5532" spans="7:7" x14ac:dyDescent="0.2">
      <c r="G5532" s="7"/>
    </row>
    <row r="5533" spans="7:7" x14ac:dyDescent="0.2">
      <c r="G5533" s="7"/>
    </row>
    <row r="5534" spans="7:7" x14ac:dyDescent="0.2">
      <c r="G5534" s="7"/>
    </row>
    <row r="5535" spans="7:7" x14ac:dyDescent="0.2">
      <c r="G5535" s="7"/>
    </row>
    <row r="5536" spans="7:7" x14ac:dyDescent="0.2">
      <c r="G5536" s="7"/>
    </row>
    <row r="5537" spans="7:7" x14ac:dyDescent="0.2">
      <c r="G5537" s="7"/>
    </row>
    <row r="5538" spans="7:7" x14ac:dyDescent="0.2">
      <c r="G5538" s="7"/>
    </row>
    <row r="5539" spans="7:7" x14ac:dyDescent="0.2">
      <c r="G5539" s="7"/>
    </row>
    <row r="5540" spans="7:7" x14ac:dyDescent="0.2">
      <c r="G5540" s="7"/>
    </row>
    <row r="5541" spans="7:7" x14ac:dyDescent="0.2">
      <c r="G5541" s="7"/>
    </row>
    <row r="5542" spans="7:7" x14ac:dyDescent="0.2">
      <c r="G5542" s="7"/>
    </row>
    <row r="5543" spans="7:7" x14ac:dyDescent="0.2">
      <c r="G5543" s="7"/>
    </row>
    <row r="5544" spans="7:7" x14ac:dyDescent="0.2">
      <c r="G5544" s="7"/>
    </row>
    <row r="5545" spans="7:7" x14ac:dyDescent="0.2">
      <c r="G5545" s="7"/>
    </row>
    <row r="5546" spans="7:7" x14ac:dyDescent="0.2">
      <c r="G5546" s="7"/>
    </row>
    <row r="5547" spans="7:7" x14ac:dyDescent="0.2">
      <c r="G5547" s="7"/>
    </row>
    <row r="5548" spans="7:7" x14ac:dyDescent="0.2">
      <c r="G5548" s="7"/>
    </row>
    <row r="5549" spans="7:7" x14ac:dyDescent="0.2">
      <c r="G5549" s="7"/>
    </row>
    <row r="5550" spans="7:7" x14ac:dyDescent="0.2">
      <c r="G5550" s="7"/>
    </row>
    <row r="5551" spans="7:7" x14ac:dyDescent="0.2">
      <c r="G5551" s="7"/>
    </row>
    <row r="5552" spans="7:7" x14ac:dyDescent="0.2">
      <c r="G5552" s="7"/>
    </row>
    <row r="5553" spans="7:7" x14ac:dyDescent="0.2">
      <c r="G5553" s="7"/>
    </row>
    <row r="5554" spans="7:7" x14ac:dyDescent="0.2">
      <c r="G5554" s="7"/>
    </row>
    <row r="5555" spans="7:7" x14ac:dyDescent="0.2">
      <c r="G5555" s="7"/>
    </row>
    <row r="5556" spans="7:7" x14ac:dyDescent="0.2">
      <c r="G5556" s="7"/>
    </row>
    <row r="5557" spans="7:7" x14ac:dyDescent="0.2">
      <c r="G5557" s="7"/>
    </row>
    <row r="5558" spans="7:7" x14ac:dyDescent="0.2">
      <c r="G5558" s="7"/>
    </row>
    <row r="5559" spans="7:7" x14ac:dyDescent="0.2">
      <c r="G5559" s="7"/>
    </row>
    <row r="5560" spans="7:7" x14ac:dyDescent="0.2">
      <c r="G5560" s="7"/>
    </row>
    <row r="5561" spans="7:7" x14ac:dyDescent="0.2">
      <c r="G5561" s="7"/>
    </row>
    <row r="5562" spans="7:7" x14ac:dyDescent="0.2">
      <c r="G5562" s="7"/>
    </row>
    <row r="5563" spans="7:7" x14ac:dyDescent="0.2">
      <c r="G5563" s="7"/>
    </row>
    <row r="5564" spans="7:7" x14ac:dyDescent="0.2">
      <c r="G5564" s="7"/>
    </row>
    <row r="5565" spans="7:7" x14ac:dyDescent="0.2">
      <c r="G5565" s="7"/>
    </row>
    <row r="5566" spans="7:7" x14ac:dyDescent="0.2">
      <c r="G5566" s="7"/>
    </row>
    <row r="5567" spans="7:7" x14ac:dyDescent="0.2">
      <c r="G5567" s="7"/>
    </row>
    <row r="5568" spans="7:7" x14ac:dyDescent="0.2">
      <c r="G5568" s="7"/>
    </row>
    <row r="5569" spans="7:7" x14ac:dyDescent="0.2">
      <c r="G5569" s="7"/>
    </row>
    <row r="5570" spans="7:7" x14ac:dyDescent="0.2">
      <c r="G5570" s="7"/>
    </row>
    <row r="5571" spans="7:7" x14ac:dyDescent="0.2">
      <c r="G5571" s="7"/>
    </row>
    <row r="5572" spans="7:7" x14ac:dyDescent="0.2">
      <c r="G5572" s="7"/>
    </row>
    <row r="5573" spans="7:7" x14ac:dyDescent="0.2">
      <c r="G5573" s="7"/>
    </row>
    <row r="5574" spans="7:7" x14ac:dyDescent="0.2">
      <c r="G5574" s="7"/>
    </row>
    <row r="5575" spans="7:7" x14ac:dyDescent="0.2">
      <c r="G5575" s="7"/>
    </row>
    <row r="5576" spans="7:7" x14ac:dyDescent="0.2">
      <c r="G5576" s="7"/>
    </row>
    <row r="5577" spans="7:7" x14ac:dyDescent="0.2">
      <c r="G5577" s="7"/>
    </row>
    <row r="5578" spans="7:7" x14ac:dyDescent="0.2">
      <c r="G5578" s="7"/>
    </row>
    <row r="5579" spans="7:7" x14ac:dyDescent="0.2">
      <c r="G5579" s="7"/>
    </row>
    <row r="5580" spans="7:7" x14ac:dyDescent="0.2">
      <c r="G5580" s="7"/>
    </row>
    <row r="5581" spans="7:7" x14ac:dyDescent="0.2">
      <c r="G5581" s="7"/>
    </row>
    <row r="5582" spans="7:7" x14ac:dyDescent="0.2">
      <c r="G5582" s="7"/>
    </row>
    <row r="5583" spans="7:7" x14ac:dyDescent="0.2">
      <c r="G5583" s="7"/>
    </row>
    <row r="5584" spans="7:7" x14ac:dyDescent="0.2">
      <c r="G5584" s="7"/>
    </row>
    <row r="5585" spans="7:7" x14ac:dyDescent="0.2">
      <c r="G5585" s="7"/>
    </row>
    <row r="5586" spans="7:7" x14ac:dyDescent="0.2">
      <c r="G5586" s="7"/>
    </row>
    <row r="5587" spans="7:7" x14ac:dyDescent="0.2">
      <c r="G5587" s="7"/>
    </row>
    <row r="5588" spans="7:7" x14ac:dyDescent="0.2">
      <c r="G5588" s="7"/>
    </row>
    <row r="5589" spans="7:7" x14ac:dyDescent="0.2">
      <c r="G5589" s="7"/>
    </row>
    <row r="5590" spans="7:7" x14ac:dyDescent="0.2">
      <c r="G5590" s="7"/>
    </row>
    <row r="5591" spans="7:7" x14ac:dyDescent="0.2">
      <c r="G5591" s="7"/>
    </row>
    <row r="5592" spans="7:7" x14ac:dyDescent="0.2">
      <c r="G5592" s="7"/>
    </row>
    <row r="5593" spans="7:7" x14ac:dyDescent="0.2">
      <c r="G5593" s="7"/>
    </row>
    <row r="5594" spans="7:7" x14ac:dyDescent="0.2">
      <c r="G5594" s="7"/>
    </row>
    <row r="5595" spans="7:7" x14ac:dyDescent="0.2">
      <c r="G5595" s="7"/>
    </row>
    <row r="5596" spans="7:7" x14ac:dyDescent="0.2">
      <c r="G5596" s="7"/>
    </row>
    <row r="5597" spans="7:7" x14ac:dyDescent="0.2">
      <c r="G5597" s="7"/>
    </row>
    <row r="5598" spans="7:7" x14ac:dyDescent="0.2">
      <c r="G5598" s="7"/>
    </row>
    <row r="5599" spans="7:7" x14ac:dyDescent="0.2">
      <c r="G5599" s="7"/>
    </row>
    <row r="5600" spans="7:7" x14ac:dyDescent="0.2">
      <c r="G5600" s="7"/>
    </row>
    <row r="5601" spans="7:7" x14ac:dyDescent="0.2">
      <c r="G5601" s="7"/>
    </row>
    <row r="5602" spans="7:7" x14ac:dyDescent="0.2">
      <c r="G5602" s="7"/>
    </row>
    <row r="5603" spans="7:7" x14ac:dyDescent="0.2">
      <c r="G5603" s="7"/>
    </row>
    <row r="5604" spans="7:7" x14ac:dyDescent="0.2">
      <c r="G5604" s="7"/>
    </row>
    <row r="5605" spans="7:7" x14ac:dyDescent="0.2">
      <c r="G5605" s="7"/>
    </row>
    <row r="5606" spans="7:7" x14ac:dyDescent="0.2">
      <c r="G5606" s="7"/>
    </row>
    <row r="5607" spans="7:7" x14ac:dyDescent="0.2">
      <c r="G5607" s="7"/>
    </row>
    <row r="5608" spans="7:7" x14ac:dyDescent="0.2">
      <c r="G5608" s="7"/>
    </row>
    <row r="5609" spans="7:7" x14ac:dyDescent="0.2">
      <c r="G5609" s="7"/>
    </row>
    <row r="5610" spans="7:7" x14ac:dyDescent="0.2">
      <c r="G5610" s="7"/>
    </row>
    <row r="5611" spans="7:7" x14ac:dyDescent="0.2">
      <c r="G5611" s="7"/>
    </row>
    <row r="5612" spans="7:7" x14ac:dyDescent="0.2">
      <c r="G5612" s="7"/>
    </row>
    <row r="5613" spans="7:7" x14ac:dyDescent="0.2">
      <c r="G5613" s="7"/>
    </row>
    <row r="5614" spans="7:7" x14ac:dyDescent="0.2">
      <c r="G5614" s="7"/>
    </row>
    <row r="5615" spans="7:7" x14ac:dyDescent="0.2">
      <c r="G5615" s="7"/>
    </row>
    <row r="5616" spans="7:7" x14ac:dyDescent="0.2">
      <c r="G5616" s="7"/>
    </row>
    <row r="5617" spans="7:7" x14ac:dyDescent="0.2">
      <c r="G5617" s="7"/>
    </row>
    <row r="5618" spans="7:7" x14ac:dyDescent="0.2">
      <c r="G5618" s="7"/>
    </row>
    <row r="5619" spans="7:7" x14ac:dyDescent="0.2">
      <c r="G5619" s="7"/>
    </row>
    <row r="5620" spans="7:7" x14ac:dyDescent="0.2">
      <c r="G5620" s="7"/>
    </row>
    <row r="5621" spans="7:7" x14ac:dyDescent="0.2">
      <c r="G5621" s="7"/>
    </row>
    <row r="5622" spans="7:7" x14ac:dyDescent="0.2">
      <c r="G5622" s="7"/>
    </row>
    <row r="5623" spans="7:7" x14ac:dyDescent="0.2">
      <c r="G5623" s="7"/>
    </row>
    <row r="5624" spans="7:7" x14ac:dyDescent="0.2">
      <c r="G5624" s="7"/>
    </row>
    <row r="5625" spans="7:7" x14ac:dyDescent="0.2">
      <c r="G5625" s="7"/>
    </row>
    <row r="5626" spans="7:7" x14ac:dyDescent="0.2">
      <c r="G5626" s="7"/>
    </row>
    <row r="5627" spans="7:7" x14ac:dyDescent="0.2">
      <c r="G5627" s="7"/>
    </row>
    <row r="5628" spans="7:7" x14ac:dyDescent="0.2">
      <c r="G5628" s="7"/>
    </row>
    <row r="5629" spans="7:7" x14ac:dyDescent="0.2">
      <c r="G5629" s="7"/>
    </row>
    <row r="5630" spans="7:7" x14ac:dyDescent="0.2">
      <c r="G5630" s="7"/>
    </row>
    <row r="5631" spans="7:7" x14ac:dyDescent="0.2">
      <c r="G5631" s="7"/>
    </row>
    <row r="5632" spans="7:7" x14ac:dyDescent="0.2">
      <c r="G5632" s="7"/>
    </row>
    <row r="5633" spans="7:7" x14ac:dyDescent="0.2">
      <c r="G5633" s="7"/>
    </row>
    <row r="5634" spans="7:7" x14ac:dyDescent="0.2">
      <c r="G5634" s="7"/>
    </row>
    <row r="5635" spans="7:7" x14ac:dyDescent="0.2">
      <c r="G5635" s="7"/>
    </row>
    <row r="5636" spans="7:7" x14ac:dyDescent="0.2">
      <c r="G5636" s="7"/>
    </row>
    <row r="5637" spans="7:7" x14ac:dyDescent="0.2">
      <c r="G5637" s="7"/>
    </row>
    <row r="5638" spans="7:7" x14ac:dyDescent="0.2">
      <c r="G5638" s="7"/>
    </row>
    <row r="5639" spans="7:7" x14ac:dyDescent="0.2">
      <c r="G5639" s="7"/>
    </row>
    <row r="5640" spans="7:7" x14ac:dyDescent="0.2">
      <c r="G5640" s="7"/>
    </row>
    <row r="5641" spans="7:7" x14ac:dyDescent="0.2">
      <c r="G5641" s="7"/>
    </row>
    <row r="5642" spans="7:7" x14ac:dyDescent="0.2">
      <c r="G5642" s="7"/>
    </row>
    <row r="5643" spans="7:7" x14ac:dyDescent="0.2">
      <c r="G5643" s="7"/>
    </row>
    <row r="5644" spans="7:7" x14ac:dyDescent="0.2">
      <c r="G5644" s="7"/>
    </row>
    <row r="5645" spans="7:7" x14ac:dyDescent="0.2">
      <c r="G5645" s="7"/>
    </row>
    <row r="5646" spans="7:7" x14ac:dyDescent="0.2">
      <c r="G5646" s="7"/>
    </row>
    <row r="5647" spans="7:7" x14ac:dyDescent="0.2">
      <c r="G5647" s="7"/>
    </row>
    <row r="5648" spans="7:7" x14ac:dyDescent="0.2">
      <c r="G5648" s="7"/>
    </row>
    <row r="5649" spans="7:7" x14ac:dyDescent="0.2">
      <c r="G5649" s="7"/>
    </row>
    <row r="5650" spans="7:7" x14ac:dyDescent="0.2">
      <c r="G5650" s="7"/>
    </row>
    <row r="5651" spans="7:7" x14ac:dyDescent="0.2">
      <c r="G5651" s="7"/>
    </row>
    <row r="5652" spans="7:7" x14ac:dyDescent="0.2">
      <c r="G5652" s="7"/>
    </row>
    <row r="5653" spans="7:7" x14ac:dyDescent="0.2">
      <c r="G5653" s="7"/>
    </row>
    <row r="5654" spans="7:7" x14ac:dyDescent="0.2">
      <c r="G5654" s="7"/>
    </row>
    <row r="5655" spans="7:7" x14ac:dyDescent="0.2">
      <c r="G5655" s="7"/>
    </row>
    <row r="5656" spans="7:7" x14ac:dyDescent="0.2">
      <c r="G5656" s="7"/>
    </row>
    <row r="5657" spans="7:7" x14ac:dyDescent="0.2">
      <c r="G5657" s="7"/>
    </row>
    <row r="5658" spans="7:7" x14ac:dyDescent="0.2">
      <c r="G5658" s="7"/>
    </row>
    <row r="5659" spans="7:7" x14ac:dyDescent="0.2">
      <c r="G5659" s="7"/>
    </row>
    <row r="5660" spans="7:7" x14ac:dyDescent="0.2">
      <c r="G5660" s="7"/>
    </row>
    <row r="5661" spans="7:7" x14ac:dyDescent="0.2">
      <c r="G5661" s="7"/>
    </row>
    <row r="5662" spans="7:7" x14ac:dyDescent="0.2">
      <c r="G5662" s="7"/>
    </row>
    <row r="5663" spans="7:7" x14ac:dyDescent="0.2">
      <c r="G5663" s="7"/>
    </row>
    <row r="5664" spans="7:7" x14ac:dyDescent="0.2">
      <c r="G5664" s="7"/>
    </row>
    <row r="5665" spans="7:7" x14ac:dyDescent="0.2">
      <c r="G5665" s="7"/>
    </row>
    <row r="5666" spans="7:7" x14ac:dyDescent="0.2">
      <c r="G5666" s="7"/>
    </row>
    <row r="5667" spans="7:7" x14ac:dyDescent="0.2">
      <c r="G5667" s="7"/>
    </row>
    <row r="5668" spans="7:7" x14ac:dyDescent="0.2">
      <c r="G5668" s="7"/>
    </row>
    <row r="5669" spans="7:7" x14ac:dyDescent="0.2">
      <c r="G5669" s="7"/>
    </row>
    <row r="5670" spans="7:7" x14ac:dyDescent="0.2">
      <c r="G5670" s="7"/>
    </row>
    <row r="5671" spans="7:7" x14ac:dyDescent="0.2">
      <c r="G5671" s="7"/>
    </row>
    <row r="5672" spans="7:7" x14ac:dyDescent="0.2">
      <c r="G5672" s="7"/>
    </row>
    <row r="5673" spans="7:7" x14ac:dyDescent="0.2">
      <c r="G5673" s="7"/>
    </row>
    <row r="5674" spans="7:7" x14ac:dyDescent="0.2">
      <c r="G5674" s="7"/>
    </row>
    <row r="5675" spans="7:7" x14ac:dyDescent="0.2">
      <c r="G5675" s="7"/>
    </row>
    <row r="5676" spans="7:7" x14ac:dyDescent="0.2">
      <c r="G5676" s="7"/>
    </row>
    <row r="5677" spans="7:7" x14ac:dyDescent="0.2">
      <c r="G5677" s="7"/>
    </row>
    <row r="5678" spans="7:7" x14ac:dyDescent="0.2">
      <c r="G5678" s="7"/>
    </row>
    <row r="5679" spans="7:7" x14ac:dyDescent="0.2">
      <c r="G5679" s="7"/>
    </row>
    <row r="5680" spans="7:7" x14ac:dyDescent="0.2">
      <c r="G5680" s="7"/>
    </row>
    <row r="5681" spans="7:7" x14ac:dyDescent="0.2">
      <c r="G5681" s="7"/>
    </row>
    <row r="5682" spans="7:7" x14ac:dyDescent="0.2">
      <c r="G5682" s="7"/>
    </row>
    <row r="5683" spans="7:7" x14ac:dyDescent="0.2">
      <c r="G5683" s="7"/>
    </row>
    <row r="5684" spans="7:7" x14ac:dyDescent="0.2">
      <c r="G5684" s="7"/>
    </row>
    <row r="5685" spans="7:7" x14ac:dyDescent="0.2">
      <c r="G5685" s="7"/>
    </row>
    <row r="5686" spans="7:7" x14ac:dyDescent="0.2">
      <c r="G5686" s="7"/>
    </row>
    <row r="5687" spans="7:7" x14ac:dyDescent="0.2">
      <c r="G5687" s="7"/>
    </row>
    <row r="5688" spans="7:7" x14ac:dyDescent="0.2">
      <c r="G5688" s="7"/>
    </row>
    <row r="5689" spans="7:7" x14ac:dyDescent="0.2">
      <c r="G5689" s="7"/>
    </row>
    <row r="5690" spans="7:7" x14ac:dyDescent="0.2">
      <c r="G5690" s="7"/>
    </row>
    <row r="5691" spans="7:7" x14ac:dyDescent="0.2">
      <c r="G5691" s="7"/>
    </row>
    <row r="5692" spans="7:7" x14ac:dyDescent="0.2">
      <c r="G5692" s="7"/>
    </row>
    <row r="5693" spans="7:7" x14ac:dyDescent="0.2">
      <c r="G5693" s="7"/>
    </row>
    <row r="5694" spans="7:7" x14ac:dyDescent="0.2">
      <c r="G5694" s="7"/>
    </row>
    <row r="5695" spans="7:7" x14ac:dyDescent="0.2">
      <c r="G5695" s="7"/>
    </row>
    <row r="5696" spans="7:7" x14ac:dyDescent="0.2">
      <c r="G5696" s="7"/>
    </row>
    <row r="5697" spans="7:7" x14ac:dyDescent="0.2">
      <c r="G5697" s="7"/>
    </row>
    <row r="5698" spans="7:7" x14ac:dyDescent="0.2">
      <c r="G5698" s="7"/>
    </row>
    <row r="5699" spans="7:7" x14ac:dyDescent="0.2">
      <c r="G5699" s="7"/>
    </row>
    <row r="5700" spans="7:7" x14ac:dyDescent="0.2">
      <c r="G5700" s="7"/>
    </row>
    <row r="5701" spans="7:7" x14ac:dyDescent="0.2">
      <c r="G5701" s="7"/>
    </row>
    <row r="5702" spans="7:7" x14ac:dyDescent="0.2">
      <c r="G5702" s="7"/>
    </row>
    <row r="5703" spans="7:7" x14ac:dyDescent="0.2">
      <c r="G5703" s="7"/>
    </row>
    <row r="5704" spans="7:7" x14ac:dyDescent="0.2">
      <c r="G5704" s="7"/>
    </row>
    <row r="5705" spans="7:7" x14ac:dyDescent="0.2">
      <c r="G5705" s="7"/>
    </row>
    <row r="5706" spans="7:7" x14ac:dyDescent="0.2">
      <c r="G5706" s="7"/>
    </row>
    <row r="5707" spans="7:7" x14ac:dyDescent="0.2">
      <c r="G5707" s="7"/>
    </row>
    <row r="5708" spans="7:7" x14ac:dyDescent="0.2">
      <c r="G5708" s="7"/>
    </row>
    <row r="5709" spans="7:7" x14ac:dyDescent="0.2">
      <c r="G5709" s="7"/>
    </row>
    <row r="5710" spans="7:7" x14ac:dyDescent="0.2">
      <c r="G5710" s="7"/>
    </row>
    <row r="5711" spans="7:7" x14ac:dyDescent="0.2">
      <c r="G5711" s="7"/>
    </row>
    <row r="5712" spans="7:7" x14ac:dyDescent="0.2">
      <c r="G5712" s="7"/>
    </row>
    <row r="5713" spans="7:7" x14ac:dyDescent="0.2">
      <c r="G5713" s="7"/>
    </row>
    <row r="5714" spans="7:7" x14ac:dyDescent="0.2">
      <c r="G5714" s="7"/>
    </row>
    <row r="5715" spans="7:7" x14ac:dyDescent="0.2">
      <c r="G5715" s="7"/>
    </row>
    <row r="5716" spans="7:7" x14ac:dyDescent="0.2">
      <c r="G5716" s="7"/>
    </row>
    <row r="5717" spans="7:7" x14ac:dyDescent="0.2">
      <c r="G5717" s="7"/>
    </row>
    <row r="5718" spans="7:7" x14ac:dyDescent="0.2">
      <c r="G5718" s="7"/>
    </row>
    <row r="5719" spans="7:7" x14ac:dyDescent="0.2">
      <c r="G5719" s="7"/>
    </row>
    <row r="5720" spans="7:7" x14ac:dyDescent="0.2">
      <c r="G5720" s="7"/>
    </row>
    <row r="5721" spans="7:7" x14ac:dyDescent="0.2">
      <c r="G5721" s="7"/>
    </row>
    <row r="5722" spans="7:7" x14ac:dyDescent="0.2">
      <c r="G5722" s="7"/>
    </row>
    <row r="5723" spans="7:7" x14ac:dyDescent="0.2">
      <c r="G5723" s="7"/>
    </row>
    <row r="5724" spans="7:7" x14ac:dyDescent="0.2">
      <c r="G5724" s="7"/>
    </row>
    <row r="5725" spans="7:7" x14ac:dyDescent="0.2">
      <c r="G5725" s="7"/>
    </row>
    <row r="5726" spans="7:7" x14ac:dyDescent="0.2">
      <c r="G5726" s="7"/>
    </row>
    <row r="5727" spans="7:7" x14ac:dyDescent="0.2">
      <c r="G5727" s="7"/>
    </row>
    <row r="5728" spans="7:7" x14ac:dyDescent="0.2">
      <c r="G5728" s="7"/>
    </row>
    <row r="5729" spans="7:7" x14ac:dyDescent="0.2">
      <c r="G5729" s="7"/>
    </row>
    <row r="5730" spans="7:7" x14ac:dyDescent="0.2">
      <c r="G5730" s="7"/>
    </row>
    <row r="5731" spans="7:7" x14ac:dyDescent="0.2">
      <c r="G5731" s="7"/>
    </row>
    <row r="5732" spans="7:7" x14ac:dyDescent="0.2">
      <c r="G5732" s="7"/>
    </row>
    <row r="5733" spans="7:7" x14ac:dyDescent="0.2">
      <c r="G5733" s="7"/>
    </row>
    <row r="5734" spans="7:7" x14ac:dyDescent="0.2">
      <c r="G5734" s="7"/>
    </row>
    <row r="5735" spans="7:7" x14ac:dyDescent="0.2">
      <c r="G5735" s="7"/>
    </row>
    <row r="5736" spans="7:7" x14ac:dyDescent="0.2">
      <c r="G5736" s="7"/>
    </row>
    <row r="5737" spans="7:7" x14ac:dyDescent="0.2">
      <c r="G5737" s="7"/>
    </row>
    <row r="5738" spans="7:7" x14ac:dyDescent="0.2">
      <c r="G5738" s="7"/>
    </row>
    <row r="5739" spans="7:7" x14ac:dyDescent="0.2">
      <c r="G5739" s="7"/>
    </row>
    <row r="5740" spans="7:7" x14ac:dyDescent="0.2">
      <c r="G5740" s="7"/>
    </row>
    <row r="5741" spans="7:7" x14ac:dyDescent="0.2">
      <c r="G5741" s="7"/>
    </row>
    <row r="5742" spans="7:7" x14ac:dyDescent="0.2">
      <c r="G5742" s="7"/>
    </row>
    <row r="5743" spans="7:7" x14ac:dyDescent="0.2">
      <c r="G5743" s="7"/>
    </row>
    <row r="5744" spans="7:7" x14ac:dyDescent="0.2">
      <c r="G5744" s="7"/>
    </row>
    <row r="5745" spans="7:7" x14ac:dyDescent="0.2">
      <c r="G5745" s="7"/>
    </row>
    <row r="5746" spans="7:7" x14ac:dyDescent="0.2">
      <c r="G5746" s="7"/>
    </row>
    <row r="5747" spans="7:7" x14ac:dyDescent="0.2">
      <c r="G5747" s="7"/>
    </row>
    <row r="5748" spans="7:7" x14ac:dyDescent="0.2">
      <c r="G5748" s="7"/>
    </row>
    <row r="5749" spans="7:7" x14ac:dyDescent="0.2">
      <c r="G5749" s="7"/>
    </row>
    <row r="5750" spans="7:7" x14ac:dyDescent="0.2">
      <c r="G5750" s="7"/>
    </row>
    <row r="5751" spans="7:7" x14ac:dyDescent="0.2">
      <c r="G5751" s="7"/>
    </row>
    <row r="5752" spans="7:7" x14ac:dyDescent="0.2">
      <c r="G5752" s="7"/>
    </row>
    <row r="5753" spans="7:7" x14ac:dyDescent="0.2">
      <c r="G5753" s="7"/>
    </row>
    <row r="5754" spans="7:7" x14ac:dyDescent="0.2">
      <c r="G5754" s="7"/>
    </row>
    <row r="5755" spans="7:7" x14ac:dyDescent="0.2">
      <c r="G5755" s="7"/>
    </row>
    <row r="5756" spans="7:7" x14ac:dyDescent="0.2">
      <c r="G5756" s="7"/>
    </row>
    <row r="5757" spans="7:7" x14ac:dyDescent="0.2">
      <c r="G5757" s="7"/>
    </row>
    <row r="5758" spans="7:7" x14ac:dyDescent="0.2">
      <c r="G5758" s="7"/>
    </row>
    <row r="5759" spans="7:7" x14ac:dyDescent="0.2">
      <c r="G5759" s="7"/>
    </row>
    <row r="5760" spans="7:7" x14ac:dyDescent="0.2">
      <c r="G5760" s="7"/>
    </row>
    <row r="5761" spans="7:7" x14ac:dyDescent="0.2">
      <c r="G5761" s="7"/>
    </row>
    <row r="5762" spans="7:7" x14ac:dyDescent="0.2">
      <c r="G5762" s="7"/>
    </row>
    <row r="5763" spans="7:7" x14ac:dyDescent="0.2">
      <c r="G5763" s="7"/>
    </row>
    <row r="5764" spans="7:7" x14ac:dyDescent="0.2">
      <c r="G5764" s="7"/>
    </row>
    <row r="5765" spans="7:7" x14ac:dyDescent="0.2">
      <c r="G5765" s="7"/>
    </row>
    <row r="5766" spans="7:7" x14ac:dyDescent="0.2">
      <c r="G5766" s="7"/>
    </row>
    <row r="5767" spans="7:7" x14ac:dyDescent="0.2">
      <c r="G5767" s="7"/>
    </row>
    <row r="5768" spans="7:7" x14ac:dyDescent="0.2">
      <c r="G5768" s="7"/>
    </row>
    <row r="5769" spans="7:7" x14ac:dyDescent="0.2">
      <c r="G5769" s="7"/>
    </row>
    <row r="5770" spans="7:7" x14ac:dyDescent="0.2">
      <c r="G5770" s="7"/>
    </row>
    <row r="5771" spans="7:7" x14ac:dyDescent="0.2">
      <c r="G5771" s="7"/>
    </row>
    <row r="5772" spans="7:7" x14ac:dyDescent="0.2">
      <c r="G5772" s="7"/>
    </row>
    <row r="5773" spans="7:7" x14ac:dyDescent="0.2">
      <c r="G5773" s="7"/>
    </row>
    <row r="5774" spans="7:7" x14ac:dyDescent="0.2">
      <c r="G5774" s="7"/>
    </row>
    <row r="5775" spans="7:7" x14ac:dyDescent="0.2">
      <c r="G5775" s="7"/>
    </row>
    <row r="5776" spans="7:7" x14ac:dyDescent="0.2">
      <c r="G5776" s="7"/>
    </row>
    <row r="5777" spans="7:7" x14ac:dyDescent="0.2">
      <c r="G5777" s="7"/>
    </row>
    <row r="5778" spans="7:7" x14ac:dyDescent="0.2">
      <c r="G5778" s="7"/>
    </row>
    <row r="5779" spans="7:7" x14ac:dyDescent="0.2">
      <c r="G5779" s="7"/>
    </row>
    <row r="5780" spans="7:7" x14ac:dyDescent="0.2">
      <c r="G5780" s="7"/>
    </row>
    <row r="5781" spans="7:7" x14ac:dyDescent="0.2">
      <c r="G5781" s="7"/>
    </row>
    <row r="5782" spans="7:7" x14ac:dyDescent="0.2">
      <c r="G5782" s="7"/>
    </row>
    <row r="5783" spans="7:7" x14ac:dyDescent="0.2">
      <c r="G5783" s="7"/>
    </row>
    <row r="5784" spans="7:7" x14ac:dyDescent="0.2">
      <c r="G5784" s="7"/>
    </row>
    <row r="5785" spans="7:7" x14ac:dyDescent="0.2">
      <c r="G5785" s="7"/>
    </row>
    <row r="5786" spans="7:7" x14ac:dyDescent="0.2">
      <c r="G5786" s="7"/>
    </row>
    <row r="5787" spans="7:7" x14ac:dyDescent="0.2">
      <c r="G5787" s="7"/>
    </row>
    <row r="5788" spans="7:7" x14ac:dyDescent="0.2">
      <c r="G5788" s="7"/>
    </row>
    <row r="5789" spans="7:7" x14ac:dyDescent="0.2">
      <c r="G5789" s="7"/>
    </row>
    <row r="5790" spans="7:7" x14ac:dyDescent="0.2">
      <c r="G5790" s="7"/>
    </row>
    <row r="5791" spans="7:7" x14ac:dyDescent="0.2">
      <c r="G5791" s="7"/>
    </row>
    <row r="5792" spans="7:7" x14ac:dyDescent="0.2">
      <c r="G5792" s="7"/>
    </row>
    <row r="5793" spans="7:7" x14ac:dyDescent="0.2">
      <c r="G5793" s="7"/>
    </row>
    <row r="5794" spans="7:7" x14ac:dyDescent="0.2">
      <c r="G5794" s="7"/>
    </row>
    <row r="5795" spans="7:7" x14ac:dyDescent="0.2">
      <c r="G5795" s="7"/>
    </row>
    <row r="5796" spans="7:7" x14ac:dyDescent="0.2">
      <c r="G5796" s="7"/>
    </row>
    <row r="5797" spans="7:7" x14ac:dyDescent="0.2">
      <c r="G5797" s="7"/>
    </row>
    <row r="5798" spans="7:7" x14ac:dyDescent="0.2">
      <c r="G5798" s="7"/>
    </row>
    <row r="5799" spans="7:7" x14ac:dyDescent="0.2">
      <c r="G5799" s="7"/>
    </row>
    <row r="5800" spans="7:7" x14ac:dyDescent="0.2">
      <c r="G5800" s="7"/>
    </row>
    <row r="5801" spans="7:7" x14ac:dyDescent="0.2">
      <c r="G5801" s="7"/>
    </row>
    <row r="5802" spans="7:7" x14ac:dyDescent="0.2">
      <c r="G5802" s="7"/>
    </row>
    <row r="5803" spans="7:7" x14ac:dyDescent="0.2">
      <c r="G5803" s="7"/>
    </row>
    <row r="5804" spans="7:7" x14ac:dyDescent="0.2">
      <c r="G5804" s="7"/>
    </row>
    <row r="5805" spans="7:7" x14ac:dyDescent="0.2">
      <c r="G5805" s="7"/>
    </row>
    <row r="5806" spans="7:7" x14ac:dyDescent="0.2">
      <c r="G5806" s="7"/>
    </row>
    <row r="5807" spans="7:7" x14ac:dyDescent="0.2">
      <c r="G5807" s="7"/>
    </row>
    <row r="5808" spans="7:7" x14ac:dyDescent="0.2">
      <c r="G5808" s="7"/>
    </row>
    <row r="5809" spans="7:7" x14ac:dyDescent="0.2">
      <c r="G5809" s="7"/>
    </row>
    <row r="5810" spans="7:7" x14ac:dyDescent="0.2">
      <c r="G5810" s="7"/>
    </row>
    <row r="5811" spans="7:7" x14ac:dyDescent="0.2">
      <c r="G5811" s="7"/>
    </row>
    <row r="5812" spans="7:7" x14ac:dyDescent="0.2">
      <c r="G5812" s="7"/>
    </row>
    <row r="5813" spans="7:7" x14ac:dyDescent="0.2">
      <c r="G5813" s="7"/>
    </row>
    <row r="5814" spans="7:7" x14ac:dyDescent="0.2">
      <c r="G5814" s="7"/>
    </row>
    <row r="5815" spans="7:7" x14ac:dyDescent="0.2">
      <c r="G5815" s="7"/>
    </row>
    <row r="5816" spans="7:7" x14ac:dyDescent="0.2">
      <c r="G5816" s="7"/>
    </row>
    <row r="5817" spans="7:7" x14ac:dyDescent="0.2">
      <c r="G5817" s="7"/>
    </row>
    <row r="5818" spans="7:7" x14ac:dyDescent="0.2">
      <c r="G5818" s="7"/>
    </row>
    <row r="5819" spans="7:7" x14ac:dyDescent="0.2">
      <c r="G5819" s="7"/>
    </row>
    <row r="5820" spans="7:7" x14ac:dyDescent="0.2">
      <c r="G5820" s="7"/>
    </row>
    <row r="5821" spans="7:7" x14ac:dyDescent="0.2">
      <c r="G5821" s="7"/>
    </row>
    <row r="5822" spans="7:7" x14ac:dyDescent="0.2">
      <c r="G5822" s="7"/>
    </row>
    <row r="5823" spans="7:7" x14ac:dyDescent="0.2">
      <c r="G5823" s="7"/>
    </row>
    <row r="5824" spans="7:7" x14ac:dyDescent="0.2">
      <c r="G5824" s="7"/>
    </row>
    <row r="5825" spans="7:7" x14ac:dyDescent="0.2">
      <c r="G5825" s="7"/>
    </row>
    <row r="5826" spans="7:7" x14ac:dyDescent="0.2">
      <c r="G5826" s="7"/>
    </row>
    <row r="5827" spans="7:7" x14ac:dyDescent="0.2">
      <c r="G5827" s="7"/>
    </row>
    <row r="5828" spans="7:7" x14ac:dyDescent="0.2">
      <c r="G5828" s="7"/>
    </row>
    <row r="5829" spans="7:7" x14ac:dyDescent="0.2">
      <c r="G5829" s="7"/>
    </row>
    <row r="5830" spans="7:7" x14ac:dyDescent="0.2">
      <c r="G5830" s="7"/>
    </row>
    <row r="5831" spans="7:7" x14ac:dyDescent="0.2">
      <c r="G5831" s="7"/>
    </row>
    <row r="5832" spans="7:7" x14ac:dyDescent="0.2">
      <c r="G5832" s="7"/>
    </row>
    <row r="5833" spans="7:7" x14ac:dyDescent="0.2">
      <c r="G5833" s="7"/>
    </row>
    <row r="5834" spans="7:7" x14ac:dyDescent="0.2">
      <c r="G5834" s="7"/>
    </row>
    <row r="5835" spans="7:7" x14ac:dyDescent="0.2">
      <c r="G5835" s="7"/>
    </row>
    <row r="5836" spans="7:7" x14ac:dyDescent="0.2">
      <c r="G5836" s="7"/>
    </row>
    <row r="5837" spans="7:7" x14ac:dyDescent="0.2">
      <c r="G5837" s="7"/>
    </row>
    <row r="5838" spans="7:7" x14ac:dyDescent="0.2">
      <c r="G5838" s="7"/>
    </row>
    <row r="5839" spans="7:7" x14ac:dyDescent="0.2">
      <c r="G5839" s="7"/>
    </row>
    <row r="5840" spans="7:7" x14ac:dyDescent="0.2">
      <c r="G5840" s="7"/>
    </row>
    <row r="5841" spans="7:7" x14ac:dyDescent="0.2">
      <c r="G5841" s="7"/>
    </row>
    <row r="5842" spans="7:7" x14ac:dyDescent="0.2">
      <c r="G5842" s="7"/>
    </row>
    <row r="5843" spans="7:7" x14ac:dyDescent="0.2">
      <c r="G5843" s="7"/>
    </row>
    <row r="5844" spans="7:7" x14ac:dyDescent="0.2">
      <c r="G5844" s="7"/>
    </row>
    <row r="5845" spans="7:7" x14ac:dyDescent="0.2">
      <c r="G5845" s="7"/>
    </row>
    <row r="5846" spans="7:7" x14ac:dyDescent="0.2">
      <c r="G5846" s="7"/>
    </row>
    <row r="5847" spans="7:7" x14ac:dyDescent="0.2">
      <c r="G5847" s="7"/>
    </row>
    <row r="5848" spans="7:7" x14ac:dyDescent="0.2">
      <c r="G5848" s="7"/>
    </row>
    <row r="5849" spans="7:7" x14ac:dyDescent="0.2">
      <c r="G5849" s="7"/>
    </row>
    <row r="5850" spans="7:7" x14ac:dyDescent="0.2">
      <c r="G5850" s="7"/>
    </row>
    <row r="5851" spans="7:7" x14ac:dyDescent="0.2">
      <c r="G5851" s="7"/>
    </row>
    <row r="5852" spans="7:7" x14ac:dyDescent="0.2">
      <c r="G5852" s="7"/>
    </row>
    <row r="5853" spans="7:7" x14ac:dyDescent="0.2">
      <c r="G5853" s="7"/>
    </row>
    <row r="5854" spans="7:7" x14ac:dyDescent="0.2">
      <c r="G5854" s="7"/>
    </row>
    <row r="5855" spans="7:7" x14ac:dyDescent="0.2">
      <c r="G5855" s="7"/>
    </row>
    <row r="5856" spans="7:7" x14ac:dyDescent="0.2">
      <c r="G5856" s="7"/>
    </row>
    <row r="5857" spans="7:7" x14ac:dyDescent="0.2">
      <c r="G5857" s="7"/>
    </row>
    <row r="5858" spans="7:7" x14ac:dyDescent="0.2">
      <c r="G5858" s="7"/>
    </row>
    <row r="5859" spans="7:7" x14ac:dyDescent="0.2">
      <c r="G5859" s="7"/>
    </row>
    <row r="5860" spans="7:7" x14ac:dyDescent="0.2">
      <c r="G5860" s="7"/>
    </row>
    <row r="5861" spans="7:7" x14ac:dyDescent="0.2">
      <c r="G5861" s="7"/>
    </row>
    <row r="5862" spans="7:7" x14ac:dyDescent="0.2">
      <c r="G5862" s="7"/>
    </row>
    <row r="5863" spans="7:7" x14ac:dyDescent="0.2">
      <c r="G5863" s="7"/>
    </row>
    <row r="5864" spans="7:7" x14ac:dyDescent="0.2">
      <c r="G5864" s="7"/>
    </row>
    <row r="5865" spans="7:7" x14ac:dyDescent="0.2">
      <c r="G5865" s="7"/>
    </row>
    <row r="5866" spans="7:7" x14ac:dyDescent="0.2">
      <c r="G5866" s="7"/>
    </row>
    <row r="5867" spans="7:7" x14ac:dyDescent="0.2">
      <c r="G5867" s="7"/>
    </row>
    <row r="5868" spans="7:7" x14ac:dyDescent="0.2">
      <c r="G5868" s="7"/>
    </row>
    <row r="5869" spans="7:7" x14ac:dyDescent="0.2">
      <c r="G5869" s="7"/>
    </row>
    <row r="5870" spans="7:7" x14ac:dyDescent="0.2">
      <c r="G5870" s="7"/>
    </row>
    <row r="5871" spans="7:7" x14ac:dyDescent="0.2">
      <c r="G5871" s="7"/>
    </row>
    <row r="5872" spans="7:7" x14ac:dyDescent="0.2">
      <c r="G5872" s="7"/>
    </row>
    <row r="5873" spans="7:7" x14ac:dyDescent="0.2">
      <c r="G5873" s="7"/>
    </row>
    <row r="5874" spans="7:7" x14ac:dyDescent="0.2">
      <c r="G5874" s="7"/>
    </row>
    <row r="5875" spans="7:7" x14ac:dyDescent="0.2">
      <c r="G5875" s="7"/>
    </row>
    <row r="5876" spans="7:7" x14ac:dyDescent="0.2">
      <c r="G5876" s="7"/>
    </row>
    <row r="5877" spans="7:7" x14ac:dyDescent="0.2">
      <c r="G5877" s="7"/>
    </row>
    <row r="5878" spans="7:7" x14ac:dyDescent="0.2">
      <c r="G5878" s="7"/>
    </row>
    <row r="5879" spans="7:7" x14ac:dyDescent="0.2">
      <c r="G5879" s="7"/>
    </row>
    <row r="5880" spans="7:7" x14ac:dyDescent="0.2">
      <c r="G5880" s="7"/>
    </row>
    <row r="5881" spans="7:7" x14ac:dyDescent="0.2">
      <c r="G5881" s="7"/>
    </row>
    <row r="5882" spans="7:7" x14ac:dyDescent="0.2">
      <c r="G5882" s="7"/>
    </row>
    <row r="5883" spans="7:7" x14ac:dyDescent="0.2">
      <c r="G5883" s="7"/>
    </row>
    <row r="5884" spans="7:7" x14ac:dyDescent="0.2">
      <c r="G5884" s="7"/>
    </row>
    <row r="5885" spans="7:7" x14ac:dyDescent="0.2">
      <c r="G5885" s="7"/>
    </row>
    <row r="5886" spans="7:7" x14ac:dyDescent="0.2">
      <c r="G5886" s="7"/>
    </row>
    <row r="5887" spans="7:7" x14ac:dyDescent="0.2">
      <c r="G5887" s="7"/>
    </row>
    <row r="5888" spans="7:7" x14ac:dyDescent="0.2">
      <c r="G5888" s="7"/>
    </row>
    <row r="5889" spans="7:7" x14ac:dyDescent="0.2">
      <c r="G5889" s="7"/>
    </row>
    <row r="5890" spans="7:7" x14ac:dyDescent="0.2">
      <c r="G5890" s="7"/>
    </row>
    <row r="5891" spans="7:7" x14ac:dyDescent="0.2">
      <c r="G5891" s="7"/>
    </row>
    <row r="5892" spans="7:7" x14ac:dyDescent="0.2">
      <c r="G5892" s="7"/>
    </row>
    <row r="5893" spans="7:7" x14ac:dyDescent="0.2">
      <c r="G5893" s="7"/>
    </row>
    <row r="5894" spans="7:7" x14ac:dyDescent="0.2">
      <c r="G5894" s="7"/>
    </row>
    <row r="5895" spans="7:7" x14ac:dyDescent="0.2">
      <c r="G5895" s="7"/>
    </row>
    <row r="5896" spans="7:7" x14ac:dyDescent="0.2">
      <c r="G5896" s="7"/>
    </row>
    <row r="5897" spans="7:7" x14ac:dyDescent="0.2">
      <c r="G5897" s="7"/>
    </row>
    <row r="5898" spans="7:7" x14ac:dyDescent="0.2">
      <c r="G5898" s="7"/>
    </row>
    <row r="5899" spans="7:7" x14ac:dyDescent="0.2">
      <c r="G5899" s="7"/>
    </row>
    <row r="5900" spans="7:7" x14ac:dyDescent="0.2">
      <c r="G5900" s="7"/>
    </row>
    <row r="5901" spans="7:7" x14ac:dyDescent="0.2">
      <c r="G5901" s="7"/>
    </row>
    <row r="5902" spans="7:7" x14ac:dyDescent="0.2">
      <c r="G5902" s="7"/>
    </row>
    <row r="5903" spans="7:7" x14ac:dyDescent="0.2">
      <c r="G5903" s="7"/>
    </row>
    <row r="5904" spans="7:7" x14ac:dyDescent="0.2">
      <c r="G5904" s="7"/>
    </row>
    <row r="5905" spans="7:7" x14ac:dyDescent="0.2">
      <c r="G5905" s="7"/>
    </row>
    <row r="5906" spans="7:7" x14ac:dyDescent="0.2">
      <c r="G5906" s="7"/>
    </row>
    <row r="5907" spans="7:7" x14ac:dyDescent="0.2">
      <c r="G5907" s="7"/>
    </row>
    <row r="5908" spans="7:7" x14ac:dyDescent="0.2">
      <c r="G5908" s="7"/>
    </row>
    <row r="5909" spans="7:7" x14ac:dyDescent="0.2">
      <c r="G5909" s="7"/>
    </row>
    <row r="5910" spans="7:7" x14ac:dyDescent="0.2">
      <c r="G5910" s="7"/>
    </row>
    <row r="5911" spans="7:7" x14ac:dyDescent="0.2">
      <c r="G5911" s="7"/>
    </row>
    <row r="5912" spans="7:7" x14ac:dyDescent="0.2">
      <c r="G5912" s="7"/>
    </row>
    <row r="5913" spans="7:7" x14ac:dyDescent="0.2">
      <c r="G5913" s="7"/>
    </row>
    <row r="5914" spans="7:7" x14ac:dyDescent="0.2">
      <c r="G5914" s="7"/>
    </row>
    <row r="5915" spans="7:7" x14ac:dyDescent="0.2">
      <c r="G5915" s="7"/>
    </row>
    <row r="5916" spans="7:7" x14ac:dyDescent="0.2">
      <c r="G5916" s="7"/>
    </row>
    <row r="5917" spans="7:7" x14ac:dyDescent="0.2">
      <c r="G5917" s="7"/>
    </row>
    <row r="5918" spans="7:7" x14ac:dyDescent="0.2">
      <c r="G5918" s="7"/>
    </row>
    <row r="5919" spans="7:7" x14ac:dyDescent="0.2">
      <c r="G5919" s="7"/>
    </row>
    <row r="5920" spans="7:7" x14ac:dyDescent="0.2">
      <c r="G5920" s="7"/>
    </row>
    <row r="5921" spans="7:7" x14ac:dyDescent="0.2">
      <c r="G5921" s="7"/>
    </row>
    <row r="5922" spans="7:7" x14ac:dyDescent="0.2">
      <c r="G5922" s="7"/>
    </row>
    <row r="5923" spans="7:7" x14ac:dyDescent="0.2">
      <c r="G5923" s="7"/>
    </row>
    <row r="5924" spans="7:7" x14ac:dyDescent="0.2">
      <c r="G5924" s="7"/>
    </row>
    <row r="5925" spans="7:7" x14ac:dyDescent="0.2">
      <c r="G5925" s="7"/>
    </row>
    <row r="5926" spans="7:7" x14ac:dyDescent="0.2">
      <c r="G5926" s="7"/>
    </row>
    <row r="5927" spans="7:7" x14ac:dyDescent="0.2">
      <c r="G5927" s="7"/>
    </row>
    <row r="5928" spans="7:7" x14ac:dyDescent="0.2">
      <c r="G5928" s="7"/>
    </row>
    <row r="5929" spans="7:7" x14ac:dyDescent="0.2">
      <c r="G5929" s="7"/>
    </row>
    <row r="5930" spans="7:7" x14ac:dyDescent="0.2">
      <c r="G5930" s="7"/>
    </row>
    <row r="5931" spans="7:7" x14ac:dyDescent="0.2">
      <c r="G5931" s="7"/>
    </row>
    <row r="5932" spans="7:7" x14ac:dyDescent="0.2">
      <c r="G5932" s="7"/>
    </row>
    <row r="5933" spans="7:7" x14ac:dyDescent="0.2">
      <c r="G5933" s="7"/>
    </row>
    <row r="5934" spans="7:7" x14ac:dyDescent="0.2">
      <c r="G5934" s="7"/>
    </row>
    <row r="5935" spans="7:7" x14ac:dyDescent="0.2">
      <c r="G5935" s="7"/>
    </row>
    <row r="5936" spans="7:7" x14ac:dyDescent="0.2">
      <c r="G5936" s="7"/>
    </row>
    <row r="5937" spans="7:7" x14ac:dyDescent="0.2">
      <c r="G5937" s="7"/>
    </row>
    <row r="5938" spans="7:7" x14ac:dyDescent="0.2">
      <c r="G5938" s="7"/>
    </row>
    <row r="5939" spans="7:7" x14ac:dyDescent="0.2">
      <c r="G5939" s="7"/>
    </row>
    <row r="5940" spans="7:7" x14ac:dyDescent="0.2">
      <c r="G5940" s="7"/>
    </row>
    <row r="5941" spans="7:7" x14ac:dyDescent="0.2">
      <c r="G5941" s="7"/>
    </row>
    <row r="5942" spans="7:7" x14ac:dyDescent="0.2">
      <c r="G5942" s="7"/>
    </row>
    <row r="5943" spans="7:7" x14ac:dyDescent="0.2">
      <c r="G5943" s="7"/>
    </row>
    <row r="5944" spans="7:7" x14ac:dyDescent="0.2">
      <c r="G5944" s="7"/>
    </row>
    <row r="5945" spans="7:7" x14ac:dyDescent="0.2">
      <c r="G5945" s="7"/>
    </row>
    <row r="5946" spans="7:7" x14ac:dyDescent="0.2">
      <c r="G5946" s="7"/>
    </row>
    <row r="5947" spans="7:7" x14ac:dyDescent="0.2">
      <c r="G5947" s="7"/>
    </row>
    <row r="5948" spans="7:7" x14ac:dyDescent="0.2">
      <c r="G5948" s="7"/>
    </row>
    <row r="5949" spans="7:7" x14ac:dyDescent="0.2">
      <c r="G5949" s="7"/>
    </row>
    <row r="5950" spans="7:7" x14ac:dyDescent="0.2">
      <c r="G5950" s="7"/>
    </row>
    <row r="5951" spans="7:7" x14ac:dyDescent="0.2">
      <c r="G5951" s="7"/>
    </row>
    <row r="5952" spans="7:7" x14ac:dyDescent="0.2">
      <c r="G5952" s="7"/>
    </row>
    <row r="5953" spans="7:7" x14ac:dyDescent="0.2">
      <c r="G5953" s="7"/>
    </row>
    <row r="5954" spans="7:7" x14ac:dyDescent="0.2">
      <c r="G5954" s="7"/>
    </row>
    <row r="5955" spans="7:7" x14ac:dyDescent="0.2">
      <c r="G5955" s="7"/>
    </row>
    <row r="5956" spans="7:7" x14ac:dyDescent="0.2">
      <c r="G5956" s="7"/>
    </row>
    <row r="5957" spans="7:7" x14ac:dyDescent="0.2">
      <c r="G5957" s="7"/>
    </row>
    <row r="5958" spans="7:7" x14ac:dyDescent="0.2">
      <c r="G5958" s="7"/>
    </row>
    <row r="5959" spans="7:7" x14ac:dyDescent="0.2">
      <c r="G5959" s="7"/>
    </row>
    <row r="5960" spans="7:7" x14ac:dyDescent="0.2">
      <c r="G5960" s="7"/>
    </row>
    <row r="5961" spans="7:7" x14ac:dyDescent="0.2">
      <c r="G5961" s="7"/>
    </row>
    <row r="5962" spans="7:7" x14ac:dyDescent="0.2">
      <c r="G5962" s="7"/>
    </row>
    <row r="5963" spans="7:7" x14ac:dyDescent="0.2">
      <c r="G5963" s="7"/>
    </row>
    <row r="5964" spans="7:7" x14ac:dyDescent="0.2">
      <c r="G5964" s="7"/>
    </row>
    <row r="5965" spans="7:7" x14ac:dyDescent="0.2">
      <c r="G5965" s="7"/>
    </row>
    <row r="5966" spans="7:7" x14ac:dyDescent="0.2">
      <c r="G5966" s="7"/>
    </row>
    <row r="5967" spans="7:7" x14ac:dyDescent="0.2">
      <c r="G5967" s="7"/>
    </row>
    <row r="5968" spans="7:7" x14ac:dyDescent="0.2">
      <c r="G5968" s="7"/>
    </row>
    <row r="5969" spans="7:7" x14ac:dyDescent="0.2">
      <c r="G5969" s="7"/>
    </row>
    <row r="5970" spans="7:7" x14ac:dyDescent="0.2">
      <c r="G5970" s="7"/>
    </row>
    <row r="5971" spans="7:7" x14ac:dyDescent="0.2">
      <c r="G5971" s="7"/>
    </row>
    <row r="5972" spans="7:7" x14ac:dyDescent="0.2">
      <c r="G5972" s="7"/>
    </row>
    <row r="5973" spans="7:7" x14ac:dyDescent="0.2">
      <c r="G5973" s="7"/>
    </row>
    <row r="5974" spans="7:7" x14ac:dyDescent="0.2">
      <c r="G5974" s="7"/>
    </row>
    <row r="5975" spans="7:7" x14ac:dyDescent="0.2">
      <c r="G5975" s="7"/>
    </row>
    <row r="5976" spans="7:7" x14ac:dyDescent="0.2">
      <c r="G5976" s="7"/>
    </row>
    <row r="5977" spans="7:7" x14ac:dyDescent="0.2">
      <c r="G5977" s="7"/>
    </row>
    <row r="5978" spans="7:7" x14ac:dyDescent="0.2">
      <c r="G5978" s="7"/>
    </row>
    <row r="5979" spans="7:7" x14ac:dyDescent="0.2">
      <c r="G5979" s="7"/>
    </row>
    <row r="5980" spans="7:7" x14ac:dyDescent="0.2">
      <c r="G5980" s="7"/>
    </row>
    <row r="5981" spans="7:7" x14ac:dyDescent="0.2">
      <c r="G5981" s="7"/>
    </row>
    <row r="5982" spans="7:7" x14ac:dyDescent="0.2">
      <c r="G5982" s="7"/>
    </row>
    <row r="5983" spans="7:7" x14ac:dyDescent="0.2">
      <c r="G5983" s="7"/>
    </row>
    <row r="5984" spans="7:7" x14ac:dyDescent="0.2">
      <c r="G5984" s="7"/>
    </row>
    <row r="5985" spans="7:7" x14ac:dyDescent="0.2">
      <c r="G5985" s="7"/>
    </row>
    <row r="5986" spans="7:7" x14ac:dyDescent="0.2">
      <c r="G5986" s="7"/>
    </row>
    <row r="5987" spans="7:7" x14ac:dyDescent="0.2">
      <c r="G5987" s="7"/>
    </row>
    <row r="5988" spans="7:7" x14ac:dyDescent="0.2">
      <c r="G5988" s="7"/>
    </row>
    <row r="5989" spans="7:7" x14ac:dyDescent="0.2">
      <c r="G5989" s="7"/>
    </row>
    <row r="5990" spans="7:7" x14ac:dyDescent="0.2">
      <c r="G5990" s="7"/>
    </row>
    <row r="5991" spans="7:7" x14ac:dyDescent="0.2">
      <c r="G5991" s="7"/>
    </row>
    <row r="5992" spans="7:7" x14ac:dyDescent="0.2">
      <c r="G5992" s="7"/>
    </row>
    <row r="5993" spans="7:7" x14ac:dyDescent="0.2">
      <c r="G5993" s="7"/>
    </row>
    <row r="5994" spans="7:7" x14ac:dyDescent="0.2">
      <c r="G5994" s="7"/>
    </row>
    <row r="5995" spans="7:7" x14ac:dyDescent="0.2">
      <c r="G5995" s="7"/>
    </row>
    <row r="5996" spans="7:7" x14ac:dyDescent="0.2">
      <c r="G5996" s="7"/>
    </row>
    <row r="5997" spans="7:7" x14ac:dyDescent="0.2">
      <c r="G5997" s="7"/>
    </row>
    <row r="5998" spans="7:7" x14ac:dyDescent="0.2">
      <c r="G5998" s="7"/>
    </row>
    <row r="5999" spans="7:7" x14ac:dyDescent="0.2">
      <c r="G5999" s="7"/>
    </row>
    <row r="6000" spans="7:7" x14ac:dyDescent="0.2">
      <c r="G6000" s="7"/>
    </row>
    <row r="6001" spans="7:7" x14ac:dyDescent="0.2">
      <c r="G6001" s="7"/>
    </row>
    <row r="6002" spans="7:7" x14ac:dyDescent="0.2">
      <c r="G6002" s="7"/>
    </row>
    <row r="6003" spans="7:7" x14ac:dyDescent="0.2">
      <c r="G6003" s="7"/>
    </row>
    <row r="6004" spans="7:7" x14ac:dyDescent="0.2">
      <c r="G6004" s="7"/>
    </row>
    <row r="6005" spans="7:7" x14ac:dyDescent="0.2">
      <c r="G6005" s="7"/>
    </row>
    <row r="6006" spans="7:7" x14ac:dyDescent="0.2">
      <c r="G6006" s="7"/>
    </row>
    <row r="6007" spans="7:7" x14ac:dyDescent="0.2">
      <c r="G6007" s="7"/>
    </row>
    <row r="6008" spans="7:7" x14ac:dyDescent="0.2">
      <c r="G6008" s="7"/>
    </row>
    <row r="6009" spans="7:7" x14ac:dyDescent="0.2">
      <c r="G6009" s="7"/>
    </row>
    <row r="6010" spans="7:7" x14ac:dyDescent="0.2">
      <c r="G6010" s="7"/>
    </row>
    <row r="6011" spans="7:7" x14ac:dyDescent="0.2">
      <c r="G6011" s="7"/>
    </row>
    <row r="6012" spans="7:7" x14ac:dyDescent="0.2">
      <c r="G6012" s="7"/>
    </row>
    <row r="6013" spans="7:7" x14ac:dyDescent="0.2">
      <c r="G6013" s="7"/>
    </row>
    <row r="6014" spans="7:7" x14ac:dyDescent="0.2">
      <c r="G6014" s="7"/>
    </row>
    <row r="6015" spans="7:7" x14ac:dyDescent="0.2">
      <c r="G6015" s="7"/>
    </row>
    <row r="6016" spans="7:7" x14ac:dyDescent="0.2">
      <c r="G6016" s="7"/>
    </row>
    <row r="6017" spans="7:7" x14ac:dyDescent="0.2">
      <c r="G6017" s="7"/>
    </row>
    <row r="6018" spans="7:7" x14ac:dyDescent="0.2">
      <c r="G6018" s="7"/>
    </row>
    <row r="6019" spans="7:7" x14ac:dyDescent="0.2">
      <c r="G6019" s="7"/>
    </row>
    <row r="6020" spans="7:7" x14ac:dyDescent="0.2">
      <c r="G6020" s="7"/>
    </row>
    <row r="6021" spans="7:7" x14ac:dyDescent="0.2">
      <c r="G6021" s="7"/>
    </row>
    <row r="6022" spans="7:7" x14ac:dyDescent="0.2">
      <c r="G6022" s="7"/>
    </row>
    <row r="6023" spans="7:7" x14ac:dyDescent="0.2">
      <c r="G6023" s="7"/>
    </row>
    <row r="6024" spans="7:7" x14ac:dyDescent="0.2">
      <c r="G6024" s="7"/>
    </row>
    <row r="6025" spans="7:7" x14ac:dyDescent="0.2">
      <c r="G6025" s="7"/>
    </row>
    <row r="6026" spans="7:7" x14ac:dyDescent="0.2">
      <c r="G6026" s="7"/>
    </row>
    <row r="6027" spans="7:7" x14ac:dyDescent="0.2">
      <c r="G6027" s="7"/>
    </row>
    <row r="6028" spans="7:7" x14ac:dyDescent="0.2">
      <c r="G6028" s="7"/>
    </row>
    <row r="6029" spans="7:7" x14ac:dyDescent="0.2">
      <c r="G6029" s="7"/>
    </row>
    <row r="6030" spans="7:7" x14ac:dyDescent="0.2">
      <c r="G6030" s="7"/>
    </row>
    <row r="6031" spans="7:7" x14ac:dyDescent="0.2">
      <c r="G6031" s="7"/>
    </row>
    <row r="6032" spans="7:7" x14ac:dyDescent="0.2">
      <c r="G6032" s="7"/>
    </row>
    <row r="6033" spans="7:7" x14ac:dyDescent="0.2">
      <c r="G6033" s="7"/>
    </row>
    <row r="6034" spans="7:7" x14ac:dyDescent="0.2">
      <c r="G6034" s="7"/>
    </row>
    <row r="6035" spans="7:7" x14ac:dyDescent="0.2">
      <c r="G6035" s="7"/>
    </row>
    <row r="6036" spans="7:7" x14ac:dyDescent="0.2">
      <c r="G6036" s="7"/>
    </row>
    <row r="6037" spans="7:7" x14ac:dyDescent="0.2">
      <c r="G6037" s="7"/>
    </row>
    <row r="6038" spans="7:7" x14ac:dyDescent="0.2">
      <c r="G6038" s="7"/>
    </row>
    <row r="6039" spans="7:7" x14ac:dyDescent="0.2">
      <c r="G6039" s="7"/>
    </row>
    <row r="6040" spans="7:7" x14ac:dyDescent="0.2">
      <c r="G6040" s="7"/>
    </row>
    <row r="6041" spans="7:7" x14ac:dyDescent="0.2">
      <c r="G6041" s="7"/>
    </row>
    <row r="6042" spans="7:7" x14ac:dyDescent="0.2">
      <c r="G6042" s="7"/>
    </row>
    <row r="6043" spans="7:7" x14ac:dyDescent="0.2">
      <c r="G6043" s="7"/>
    </row>
    <row r="6044" spans="7:7" x14ac:dyDescent="0.2">
      <c r="G6044" s="7"/>
    </row>
    <row r="6045" spans="7:7" x14ac:dyDescent="0.2">
      <c r="G6045" s="7"/>
    </row>
    <row r="6046" spans="7:7" x14ac:dyDescent="0.2">
      <c r="G6046" s="7"/>
    </row>
    <row r="6047" spans="7:7" x14ac:dyDescent="0.2">
      <c r="G6047" s="7"/>
    </row>
    <row r="6048" spans="7:7" x14ac:dyDescent="0.2">
      <c r="G6048" s="7"/>
    </row>
    <row r="6049" spans="7:7" x14ac:dyDescent="0.2">
      <c r="G6049" s="7"/>
    </row>
    <row r="6050" spans="7:7" x14ac:dyDescent="0.2">
      <c r="G6050" s="7"/>
    </row>
    <row r="6051" spans="7:7" x14ac:dyDescent="0.2">
      <c r="G6051" s="7"/>
    </row>
    <row r="6052" spans="7:7" x14ac:dyDescent="0.2">
      <c r="G6052" s="7"/>
    </row>
    <row r="6053" spans="7:7" x14ac:dyDescent="0.2">
      <c r="G6053" s="7"/>
    </row>
    <row r="6054" spans="7:7" x14ac:dyDescent="0.2">
      <c r="G6054" s="7"/>
    </row>
    <row r="6055" spans="7:7" x14ac:dyDescent="0.2">
      <c r="G6055" s="7"/>
    </row>
    <row r="6056" spans="7:7" x14ac:dyDescent="0.2">
      <c r="G6056" s="7"/>
    </row>
    <row r="6057" spans="7:7" x14ac:dyDescent="0.2">
      <c r="G6057" s="7"/>
    </row>
    <row r="6058" spans="7:7" x14ac:dyDescent="0.2">
      <c r="G6058" s="7"/>
    </row>
    <row r="6059" spans="7:7" x14ac:dyDescent="0.2">
      <c r="G6059" s="7"/>
    </row>
    <row r="6060" spans="7:7" x14ac:dyDescent="0.2">
      <c r="G6060" s="7"/>
    </row>
    <row r="6061" spans="7:7" x14ac:dyDescent="0.2">
      <c r="G6061" s="7"/>
    </row>
    <row r="6062" spans="7:7" x14ac:dyDescent="0.2">
      <c r="G6062" s="7"/>
    </row>
    <row r="6063" spans="7:7" x14ac:dyDescent="0.2">
      <c r="G6063" s="7"/>
    </row>
    <row r="6064" spans="7:7" x14ac:dyDescent="0.2">
      <c r="G6064" s="7"/>
    </row>
    <row r="6065" spans="7:7" x14ac:dyDescent="0.2">
      <c r="G6065" s="7"/>
    </row>
    <row r="6066" spans="7:7" x14ac:dyDescent="0.2">
      <c r="G6066" s="7"/>
    </row>
    <row r="6067" spans="7:7" x14ac:dyDescent="0.2">
      <c r="G6067" s="7"/>
    </row>
    <row r="6068" spans="7:7" x14ac:dyDescent="0.2">
      <c r="G6068" s="7"/>
    </row>
    <row r="6069" spans="7:7" x14ac:dyDescent="0.2">
      <c r="G6069" s="7"/>
    </row>
    <row r="6070" spans="7:7" x14ac:dyDescent="0.2">
      <c r="G6070" s="7"/>
    </row>
    <row r="6071" spans="7:7" x14ac:dyDescent="0.2">
      <c r="G6071" s="7"/>
    </row>
    <row r="6072" spans="7:7" x14ac:dyDescent="0.2">
      <c r="G6072" s="7"/>
    </row>
    <row r="6073" spans="7:7" x14ac:dyDescent="0.2">
      <c r="G6073" s="7"/>
    </row>
    <row r="6074" spans="7:7" x14ac:dyDescent="0.2">
      <c r="G6074" s="7"/>
    </row>
    <row r="6075" spans="7:7" x14ac:dyDescent="0.2">
      <c r="G6075" s="7"/>
    </row>
    <row r="6076" spans="7:7" x14ac:dyDescent="0.2">
      <c r="G6076" s="7"/>
    </row>
    <row r="6077" spans="7:7" x14ac:dyDescent="0.2">
      <c r="G6077" s="7"/>
    </row>
    <row r="6078" spans="7:7" x14ac:dyDescent="0.2">
      <c r="G6078" s="7"/>
    </row>
    <row r="6079" spans="7:7" x14ac:dyDescent="0.2">
      <c r="G6079" s="7"/>
    </row>
    <row r="6080" spans="7:7" x14ac:dyDescent="0.2">
      <c r="G6080" s="7"/>
    </row>
    <row r="6081" spans="7:7" x14ac:dyDescent="0.2">
      <c r="G6081" s="7"/>
    </row>
    <row r="6082" spans="7:7" x14ac:dyDescent="0.2">
      <c r="G6082" s="7"/>
    </row>
    <row r="6083" spans="7:7" x14ac:dyDescent="0.2">
      <c r="G6083" s="7"/>
    </row>
    <row r="6084" spans="7:7" x14ac:dyDescent="0.2">
      <c r="G6084" s="7"/>
    </row>
    <row r="6085" spans="7:7" x14ac:dyDescent="0.2">
      <c r="G6085" s="7"/>
    </row>
    <row r="6086" spans="7:7" x14ac:dyDescent="0.2">
      <c r="G6086" s="7"/>
    </row>
    <row r="6087" spans="7:7" x14ac:dyDescent="0.2">
      <c r="G6087" s="7"/>
    </row>
    <row r="6088" spans="7:7" x14ac:dyDescent="0.2">
      <c r="G6088" s="7"/>
    </row>
    <row r="6089" spans="7:7" x14ac:dyDescent="0.2">
      <c r="G6089" s="7"/>
    </row>
    <row r="6090" spans="7:7" x14ac:dyDescent="0.2">
      <c r="G6090" s="7"/>
    </row>
    <row r="6091" spans="7:7" x14ac:dyDescent="0.2">
      <c r="G6091" s="7"/>
    </row>
    <row r="6092" spans="7:7" x14ac:dyDescent="0.2">
      <c r="G6092" s="7"/>
    </row>
    <row r="6093" spans="7:7" x14ac:dyDescent="0.2">
      <c r="G6093" s="7"/>
    </row>
    <row r="6094" spans="7:7" x14ac:dyDescent="0.2">
      <c r="G6094" s="7"/>
    </row>
    <row r="6095" spans="7:7" x14ac:dyDescent="0.2">
      <c r="G6095" s="7"/>
    </row>
    <row r="6096" spans="7:7" x14ac:dyDescent="0.2">
      <c r="G6096" s="7"/>
    </row>
    <row r="6097" spans="7:7" x14ac:dyDescent="0.2">
      <c r="G6097" s="7"/>
    </row>
    <row r="6098" spans="7:7" x14ac:dyDescent="0.2">
      <c r="G6098" s="7"/>
    </row>
    <row r="6099" spans="7:7" x14ac:dyDescent="0.2">
      <c r="G6099" s="7"/>
    </row>
    <row r="6100" spans="7:7" x14ac:dyDescent="0.2">
      <c r="G6100" s="7"/>
    </row>
    <row r="6101" spans="7:7" x14ac:dyDescent="0.2">
      <c r="G6101" s="7"/>
    </row>
    <row r="6102" spans="7:7" x14ac:dyDescent="0.2">
      <c r="G6102" s="7"/>
    </row>
    <row r="6103" spans="7:7" x14ac:dyDescent="0.2">
      <c r="G6103" s="7"/>
    </row>
    <row r="6104" spans="7:7" x14ac:dyDescent="0.2">
      <c r="G6104" s="7"/>
    </row>
    <row r="6105" spans="7:7" x14ac:dyDescent="0.2">
      <c r="G6105" s="7"/>
    </row>
    <row r="6106" spans="7:7" x14ac:dyDescent="0.2">
      <c r="G6106" s="7"/>
    </row>
    <row r="6107" spans="7:7" x14ac:dyDescent="0.2">
      <c r="G6107" s="7"/>
    </row>
    <row r="6108" spans="7:7" x14ac:dyDescent="0.2">
      <c r="G6108" s="7"/>
    </row>
    <row r="6109" spans="7:7" x14ac:dyDescent="0.2">
      <c r="G6109" s="7"/>
    </row>
    <row r="6110" spans="7:7" x14ac:dyDescent="0.2">
      <c r="G6110" s="7"/>
    </row>
    <row r="6111" spans="7:7" x14ac:dyDescent="0.2">
      <c r="G6111" s="7"/>
    </row>
    <row r="6112" spans="7:7" x14ac:dyDescent="0.2">
      <c r="G6112" s="7"/>
    </row>
    <row r="6113" spans="7:7" x14ac:dyDescent="0.2">
      <c r="G6113" s="7"/>
    </row>
    <row r="6114" spans="7:7" x14ac:dyDescent="0.2">
      <c r="G6114" s="7"/>
    </row>
    <row r="6115" spans="7:7" x14ac:dyDescent="0.2">
      <c r="G6115" s="7"/>
    </row>
    <row r="6116" spans="7:7" x14ac:dyDescent="0.2">
      <c r="G6116" s="7"/>
    </row>
    <row r="6117" spans="7:7" x14ac:dyDescent="0.2">
      <c r="G6117" s="7"/>
    </row>
    <row r="6118" spans="7:7" x14ac:dyDescent="0.2">
      <c r="G6118" s="7"/>
    </row>
    <row r="6119" spans="7:7" x14ac:dyDescent="0.2">
      <c r="G6119" s="7"/>
    </row>
    <row r="6120" spans="7:7" x14ac:dyDescent="0.2">
      <c r="G6120" s="7"/>
    </row>
    <row r="6121" spans="7:7" x14ac:dyDescent="0.2">
      <c r="G6121" s="7"/>
    </row>
    <row r="6122" spans="7:7" x14ac:dyDescent="0.2">
      <c r="G6122" s="7"/>
    </row>
    <row r="6123" spans="7:7" x14ac:dyDescent="0.2">
      <c r="G6123" s="7"/>
    </row>
    <row r="6124" spans="7:7" x14ac:dyDescent="0.2">
      <c r="G6124" s="7"/>
    </row>
    <row r="6125" spans="7:7" x14ac:dyDescent="0.2">
      <c r="G6125" s="7"/>
    </row>
    <row r="6126" spans="7:7" x14ac:dyDescent="0.2">
      <c r="G6126" s="7"/>
    </row>
    <row r="6127" spans="7:7" x14ac:dyDescent="0.2">
      <c r="G6127" s="7"/>
    </row>
    <row r="6128" spans="7:7" x14ac:dyDescent="0.2">
      <c r="G6128" s="7"/>
    </row>
    <row r="6129" spans="7:7" x14ac:dyDescent="0.2">
      <c r="G6129" s="7"/>
    </row>
    <row r="6130" spans="7:7" x14ac:dyDescent="0.2">
      <c r="G6130" s="7"/>
    </row>
    <row r="6131" spans="7:7" x14ac:dyDescent="0.2">
      <c r="G6131" s="7"/>
    </row>
    <row r="6132" spans="7:7" x14ac:dyDescent="0.2">
      <c r="G6132" s="7"/>
    </row>
    <row r="6133" spans="7:7" x14ac:dyDescent="0.2">
      <c r="G6133" s="7"/>
    </row>
    <row r="6134" spans="7:7" x14ac:dyDescent="0.2">
      <c r="G6134" s="7"/>
    </row>
    <row r="6135" spans="7:7" x14ac:dyDescent="0.2">
      <c r="G6135" s="7"/>
    </row>
    <row r="6136" spans="7:7" x14ac:dyDescent="0.2">
      <c r="G6136" s="7"/>
    </row>
    <row r="6137" spans="7:7" x14ac:dyDescent="0.2">
      <c r="G6137" s="7"/>
    </row>
    <row r="6138" spans="7:7" x14ac:dyDescent="0.2">
      <c r="G6138" s="7"/>
    </row>
    <row r="6139" spans="7:7" x14ac:dyDescent="0.2">
      <c r="G6139" s="7"/>
    </row>
    <row r="6140" spans="7:7" x14ac:dyDescent="0.2">
      <c r="G6140" s="7"/>
    </row>
    <row r="6141" spans="7:7" x14ac:dyDescent="0.2">
      <c r="G6141" s="7"/>
    </row>
    <row r="6142" spans="7:7" x14ac:dyDescent="0.2">
      <c r="G6142" s="7"/>
    </row>
    <row r="6143" spans="7:7" x14ac:dyDescent="0.2">
      <c r="G6143" s="7"/>
    </row>
    <row r="6144" spans="7:7" x14ac:dyDescent="0.2">
      <c r="G6144" s="7"/>
    </row>
    <row r="6145" spans="7:7" x14ac:dyDescent="0.2">
      <c r="G6145" s="7"/>
    </row>
    <row r="6146" spans="7:7" x14ac:dyDescent="0.2">
      <c r="G6146" s="7"/>
    </row>
    <row r="6147" spans="7:7" x14ac:dyDescent="0.2">
      <c r="G6147" s="7"/>
    </row>
    <row r="6148" spans="7:7" x14ac:dyDescent="0.2">
      <c r="G6148" s="7"/>
    </row>
    <row r="6149" spans="7:7" x14ac:dyDescent="0.2">
      <c r="G6149" s="7"/>
    </row>
    <row r="6150" spans="7:7" x14ac:dyDescent="0.2">
      <c r="G6150" s="7"/>
    </row>
    <row r="6151" spans="7:7" x14ac:dyDescent="0.2">
      <c r="G6151" s="7"/>
    </row>
    <row r="6152" spans="7:7" x14ac:dyDescent="0.2">
      <c r="G6152" s="7"/>
    </row>
    <row r="6153" spans="7:7" x14ac:dyDescent="0.2">
      <c r="G6153" s="7"/>
    </row>
    <row r="6154" spans="7:7" x14ac:dyDescent="0.2">
      <c r="G6154" s="7"/>
    </row>
    <row r="6155" spans="7:7" x14ac:dyDescent="0.2">
      <c r="G6155" s="7"/>
    </row>
    <row r="6156" spans="7:7" x14ac:dyDescent="0.2">
      <c r="G6156" s="7"/>
    </row>
    <row r="6157" spans="7:7" x14ac:dyDescent="0.2">
      <c r="G6157" s="7"/>
    </row>
    <row r="6158" spans="7:7" x14ac:dyDescent="0.2">
      <c r="G6158" s="7"/>
    </row>
    <row r="6159" spans="7:7" x14ac:dyDescent="0.2">
      <c r="G6159" s="7"/>
    </row>
    <row r="6160" spans="7:7" x14ac:dyDescent="0.2">
      <c r="G6160" s="7"/>
    </row>
    <row r="6161" spans="7:7" x14ac:dyDescent="0.2">
      <c r="G6161" s="7"/>
    </row>
    <row r="6162" spans="7:7" x14ac:dyDescent="0.2">
      <c r="G6162" s="7"/>
    </row>
    <row r="6163" spans="7:7" x14ac:dyDescent="0.2">
      <c r="G6163" s="7"/>
    </row>
    <row r="6164" spans="7:7" x14ac:dyDescent="0.2">
      <c r="G6164" s="7"/>
    </row>
    <row r="6165" spans="7:7" x14ac:dyDescent="0.2">
      <c r="G6165" s="7"/>
    </row>
    <row r="6166" spans="7:7" x14ac:dyDescent="0.2">
      <c r="G6166" s="7"/>
    </row>
    <row r="6167" spans="7:7" x14ac:dyDescent="0.2">
      <c r="G6167" s="7"/>
    </row>
    <row r="6168" spans="7:7" x14ac:dyDescent="0.2">
      <c r="G6168" s="7"/>
    </row>
    <row r="6169" spans="7:7" x14ac:dyDescent="0.2">
      <c r="G6169" s="7"/>
    </row>
    <row r="6170" spans="7:7" x14ac:dyDescent="0.2">
      <c r="G6170" s="7"/>
    </row>
    <row r="6171" spans="7:7" x14ac:dyDescent="0.2">
      <c r="G6171" s="7"/>
    </row>
    <row r="6172" spans="7:7" x14ac:dyDescent="0.2">
      <c r="G6172" s="7"/>
    </row>
    <row r="6173" spans="7:7" x14ac:dyDescent="0.2">
      <c r="G6173" s="7"/>
    </row>
    <row r="6174" spans="7:7" x14ac:dyDescent="0.2">
      <c r="G6174" s="7"/>
    </row>
    <row r="6175" spans="7:7" x14ac:dyDescent="0.2">
      <c r="G6175" s="7"/>
    </row>
    <row r="6176" spans="7:7" x14ac:dyDescent="0.2">
      <c r="G6176" s="7"/>
    </row>
    <row r="6177" spans="7:7" x14ac:dyDescent="0.2">
      <c r="G6177" s="7"/>
    </row>
    <row r="6178" spans="7:7" x14ac:dyDescent="0.2">
      <c r="G6178" s="7"/>
    </row>
    <row r="6179" spans="7:7" x14ac:dyDescent="0.2">
      <c r="G6179" s="7"/>
    </row>
    <row r="6180" spans="7:7" x14ac:dyDescent="0.2">
      <c r="G6180" s="7"/>
    </row>
    <row r="6181" spans="7:7" x14ac:dyDescent="0.2">
      <c r="G6181" s="7"/>
    </row>
    <row r="6182" spans="7:7" x14ac:dyDescent="0.2">
      <c r="G6182" s="7"/>
    </row>
    <row r="6183" spans="7:7" x14ac:dyDescent="0.2">
      <c r="G6183" s="7"/>
    </row>
    <row r="6184" spans="7:7" x14ac:dyDescent="0.2">
      <c r="G6184" s="7"/>
    </row>
    <row r="6185" spans="7:7" x14ac:dyDescent="0.2">
      <c r="G6185" s="7"/>
    </row>
    <row r="6186" spans="7:7" x14ac:dyDescent="0.2">
      <c r="G6186" s="7"/>
    </row>
    <row r="6187" spans="7:7" x14ac:dyDescent="0.2">
      <c r="G6187" s="7"/>
    </row>
    <row r="6188" spans="7:7" x14ac:dyDescent="0.2">
      <c r="G6188" s="7"/>
    </row>
    <row r="6189" spans="7:7" x14ac:dyDescent="0.2">
      <c r="G6189" s="7"/>
    </row>
    <row r="6190" spans="7:7" x14ac:dyDescent="0.2">
      <c r="G6190" s="7"/>
    </row>
    <row r="6191" spans="7:7" x14ac:dyDescent="0.2">
      <c r="G6191" s="7"/>
    </row>
    <row r="6192" spans="7:7" x14ac:dyDescent="0.2">
      <c r="G6192" s="7"/>
    </row>
    <row r="6193" spans="7:7" x14ac:dyDescent="0.2">
      <c r="G6193" s="7"/>
    </row>
    <row r="6194" spans="7:7" x14ac:dyDescent="0.2">
      <c r="G6194" s="7"/>
    </row>
    <row r="6195" spans="7:7" x14ac:dyDescent="0.2">
      <c r="G6195" s="7"/>
    </row>
    <row r="6196" spans="7:7" x14ac:dyDescent="0.2">
      <c r="G6196" s="7"/>
    </row>
    <row r="6197" spans="7:7" x14ac:dyDescent="0.2">
      <c r="G6197" s="7"/>
    </row>
    <row r="6198" spans="7:7" x14ac:dyDescent="0.2">
      <c r="G6198" s="7"/>
    </row>
    <row r="6199" spans="7:7" x14ac:dyDescent="0.2">
      <c r="G6199" s="7"/>
    </row>
    <row r="6200" spans="7:7" x14ac:dyDescent="0.2">
      <c r="G6200" s="7"/>
    </row>
    <row r="6201" spans="7:7" x14ac:dyDescent="0.2">
      <c r="G6201" s="7"/>
    </row>
    <row r="6202" spans="7:7" x14ac:dyDescent="0.2">
      <c r="G6202" s="7"/>
    </row>
    <row r="6203" spans="7:7" x14ac:dyDescent="0.2">
      <c r="G6203" s="7"/>
    </row>
    <row r="6204" spans="7:7" x14ac:dyDescent="0.2">
      <c r="G6204" s="7"/>
    </row>
    <row r="6205" spans="7:7" x14ac:dyDescent="0.2">
      <c r="G6205" s="7"/>
    </row>
    <row r="6206" spans="7:7" x14ac:dyDescent="0.2">
      <c r="G6206" s="7"/>
    </row>
    <row r="6207" spans="7:7" x14ac:dyDescent="0.2">
      <c r="G6207" s="7"/>
    </row>
    <row r="6208" spans="7:7" x14ac:dyDescent="0.2">
      <c r="G6208" s="7"/>
    </row>
    <row r="6209" spans="7:7" x14ac:dyDescent="0.2">
      <c r="G6209" s="7"/>
    </row>
    <row r="6210" spans="7:7" x14ac:dyDescent="0.2">
      <c r="G6210" s="7"/>
    </row>
    <row r="6211" spans="7:7" x14ac:dyDescent="0.2">
      <c r="G6211" s="7"/>
    </row>
    <row r="6212" spans="7:7" x14ac:dyDescent="0.2">
      <c r="G6212" s="7"/>
    </row>
    <row r="6213" spans="7:7" x14ac:dyDescent="0.2">
      <c r="G6213" s="7"/>
    </row>
    <row r="6214" spans="7:7" x14ac:dyDescent="0.2">
      <c r="G6214" s="7"/>
    </row>
    <row r="6215" spans="7:7" x14ac:dyDescent="0.2">
      <c r="G6215" s="7"/>
    </row>
    <row r="6216" spans="7:7" x14ac:dyDescent="0.2">
      <c r="G6216" s="7"/>
    </row>
    <row r="6217" spans="7:7" x14ac:dyDescent="0.2">
      <c r="G6217" s="7"/>
    </row>
    <row r="6218" spans="7:7" x14ac:dyDescent="0.2">
      <c r="G6218" s="7"/>
    </row>
    <row r="6219" spans="7:7" x14ac:dyDescent="0.2">
      <c r="G6219" s="7"/>
    </row>
    <row r="6220" spans="7:7" x14ac:dyDescent="0.2">
      <c r="G6220" s="7"/>
    </row>
    <row r="6221" spans="7:7" x14ac:dyDescent="0.2">
      <c r="G6221" s="7"/>
    </row>
    <row r="6222" spans="7:7" x14ac:dyDescent="0.2">
      <c r="G6222" s="7"/>
    </row>
    <row r="6223" spans="7:7" x14ac:dyDescent="0.2">
      <c r="G6223" s="7"/>
    </row>
    <row r="6224" spans="7:7" x14ac:dyDescent="0.2">
      <c r="G6224" s="7"/>
    </row>
    <row r="6225" spans="7:7" x14ac:dyDescent="0.2">
      <c r="G6225" s="7"/>
    </row>
    <row r="6226" spans="7:7" x14ac:dyDescent="0.2">
      <c r="G6226" s="7"/>
    </row>
    <row r="6227" spans="7:7" x14ac:dyDescent="0.2">
      <c r="G6227" s="7"/>
    </row>
    <row r="6228" spans="7:7" x14ac:dyDescent="0.2">
      <c r="G6228" s="7"/>
    </row>
    <row r="6229" spans="7:7" x14ac:dyDescent="0.2">
      <c r="G6229" s="7"/>
    </row>
    <row r="6230" spans="7:7" x14ac:dyDescent="0.2">
      <c r="G6230" s="7"/>
    </row>
    <row r="6231" spans="7:7" x14ac:dyDescent="0.2">
      <c r="G6231" s="7"/>
    </row>
    <row r="6232" spans="7:7" x14ac:dyDescent="0.2">
      <c r="G6232" s="7"/>
    </row>
    <row r="6233" spans="7:7" x14ac:dyDescent="0.2">
      <c r="G6233" s="7"/>
    </row>
    <row r="6234" spans="7:7" x14ac:dyDescent="0.2">
      <c r="G6234" s="7"/>
    </row>
    <row r="6235" spans="7:7" x14ac:dyDescent="0.2">
      <c r="G6235" s="7"/>
    </row>
    <row r="6236" spans="7:7" x14ac:dyDescent="0.2">
      <c r="G6236" s="7"/>
    </row>
    <row r="6237" spans="7:7" x14ac:dyDescent="0.2">
      <c r="G6237" s="7"/>
    </row>
    <row r="6238" spans="7:7" x14ac:dyDescent="0.2">
      <c r="G6238" s="7"/>
    </row>
    <row r="6239" spans="7:7" x14ac:dyDescent="0.2">
      <c r="G6239" s="7"/>
    </row>
    <row r="6240" spans="7:7" x14ac:dyDescent="0.2">
      <c r="G6240" s="7"/>
    </row>
    <row r="6241" spans="7:7" x14ac:dyDescent="0.2">
      <c r="G6241" s="7"/>
    </row>
    <row r="6242" spans="7:7" x14ac:dyDescent="0.2">
      <c r="G6242" s="7"/>
    </row>
    <row r="6243" spans="7:7" x14ac:dyDescent="0.2">
      <c r="G6243" s="7"/>
    </row>
    <row r="6244" spans="7:7" x14ac:dyDescent="0.2">
      <c r="G6244" s="7"/>
    </row>
    <row r="6245" spans="7:7" x14ac:dyDescent="0.2">
      <c r="G6245" s="7"/>
    </row>
    <row r="6246" spans="7:7" x14ac:dyDescent="0.2">
      <c r="G6246" s="7"/>
    </row>
    <row r="6247" spans="7:7" x14ac:dyDescent="0.2">
      <c r="G6247" s="7"/>
    </row>
    <row r="6248" spans="7:7" x14ac:dyDescent="0.2">
      <c r="G6248" s="7"/>
    </row>
    <row r="6249" spans="7:7" x14ac:dyDescent="0.2">
      <c r="G6249" s="7"/>
    </row>
    <row r="6250" spans="7:7" x14ac:dyDescent="0.2">
      <c r="G6250" s="7"/>
    </row>
    <row r="6251" spans="7:7" x14ac:dyDescent="0.2">
      <c r="G6251" s="7"/>
    </row>
    <row r="6252" spans="7:7" x14ac:dyDescent="0.2">
      <c r="G6252" s="7"/>
    </row>
    <row r="6253" spans="7:7" x14ac:dyDescent="0.2">
      <c r="G6253" s="7"/>
    </row>
    <row r="6254" spans="7:7" x14ac:dyDescent="0.2">
      <c r="G6254" s="7"/>
    </row>
    <row r="6255" spans="7:7" x14ac:dyDescent="0.2">
      <c r="G6255" s="7"/>
    </row>
    <row r="6256" spans="7:7" x14ac:dyDescent="0.2">
      <c r="G6256" s="7"/>
    </row>
    <row r="6257" spans="7:7" x14ac:dyDescent="0.2">
      <c r="G6257" s="7"/>
    </row>
    <row r="6258" spans="7:7" x14ac:dyDescent="0.2">
      <c r="G6258" s="7"/>
    </row>
    <row r="6259" spans="7:7" x14ac:dyDescent="0.2">
      <c r="G6259" s="7"/>
    </row>
    <row r="6260" spans="7:7" x14ac:dyDescent="0.2">
      <c r="G6260" s="7"/>
    </row>
    <row r="6261" spans="7:7" x14ac:dyDescent="0.2">
      <c r="G6261" s="7"/>
    </row>
    <row r="6262" spans="7:7" x14ac:dyDescent="0.2">
      <c r="G6262" s="7"/>
    </row>
    <row r="6263" spans="7:7" x14ac:dyDescent="0.2">
      <c r="G6263" s="7"/>
    </row>
    <row r="6264" spans="7:7" x14ac:dyDescent="0.2">
      <c r="G6264" s="7"/>
    </row>
    <row r="6265" spans="7:7" x14ac:dyDescent="0.2">
      <c r="G6265" s="7"/>
    </row>
    <row r="6266" spans="7:7" x14ac:dyDescent="0.2">
      <c r="G6266" s="7"/>
    </row>
    <row r="6267" spans="7:7" x14ac:dyDescent="0.2">
      <c r="G6267" s="7"/>
    </row>
    <row r="6268" spans="7:7" x14ac:dyDescent="0.2">
      <c r="G6268" s="7"/>
    </row>
    <row r="6269" spans="7:7" x14ac:dyDescent="0.2">
      <c r="G6269" s="7"/>
    </row>
    <row r="6270" spans="7:7" x14ac:dyDescent="0.2">
      <c r="G6270" s="7"/>
    </row>
    <row r="6271" spans="7:7" x14ac:dyDescent="0.2">
      <c r="G6271" s="7"/>
    </row>
    <row r="6272" spans="7:7" x14ac:dyDescent="0.2">
      <c r="G6272" s="7"/>
    </row>
    <row r="6273" spans="7:7" x14ac:dyDescent="0.2">
      <c r="G6273" s="7"/>
    </row>
    <row r="6274" spans="7:7" x14ac:dyDescent="0.2">
      <c r="G6274" s="7"/>
    </row>
    <row r="6275" spans="7:7" x14ac:dyDescent="0.2">
      <c r="G6275" s="7"/>
    </row>
    <row r="6276" spans="7:7" x14ac:dyDescent="0.2">
      <c r="G6276" s="7"/>
    </row>
    <row r="6277" spans="7:7" x14ac:dyDescent="0.2">
      <c r="G6277" s="7"/>
    </row>
    <row r="6278" spans="7:7" x14ac:dyDescent="0.2">
      <c r="G6278" s="7"/>
    </row>
    <row r="6279" spans="7:7" x14ac:dyDescent="0.2">
      <c r="G6279" s="7"/>
    </row>
    <row r="6280" spans="7:7" x14ac:dyDescent="0.2">
      <c r="G6280" s="7"/>
    </row>
    <row r="6281" spans="7:7" x14ac:dyDescent="0.2">
      <c r="G6281" s="7"/>
    </row>
    <row r="6282" spans="7:7" x14ac:dyDescent="0.2">
      <c r="G6282" s="7"/>
    </row>
    <row r="6283" spans="7:7" x14ac:dyDescent="0.2">
      <c r="G6283" s="7"/>
    </row>
    <row r="6284" spans="7:7" x14ac:dyDescent="0.2">
      <c r="G6284" s="7"/>
    </row>
    <row r="6285" spans="7:7" x14ac:dyDescent="0.2">
      <c r="G6285" s="7"/>
    </row>
    <row r="6286" spans="7:7" x14ac:dyDescent="0.2">
      <c r="G6286" s="7"/>
    </row>
    <row r="6287" spans="7:7" x14ac:dyDescent="0.2">
      <c r="G6287" s="7"/>
    </row>
    <row r="6288" spans="7:7" x14ac:dyDescent="0.2">
      <c r="G6288" s="7"/>
    </row>
    <row r="6289" spans="7:7" x14ac:dyDescent="0.2">
      <c r="G6289" s="7"/>
    </row>
    <row r="6290" spans="7:7" x14ac:dyDescent="0.2">
      <c r="G6290" s="7"/>
    </row>
    <row r="6291" spans="7:7" x14ac:dyDescent="0.2">
      <c r="G6291" s="7"/>
    </row>
    <row r="6292" spans="7:7" x14ac:dyDescent="0.2">
      <c r="G6292" s="7"/>
    </row>
    <row r="6293" spans="7:7" x14ac:dyDescent="0.2">
      <c r="G6293" s="7"/>
    </row>
    <row r="6294" spans="7:7" x14ac:dyDescent="0.2">
      <c r="G6294" s="7"/>
    </row>
    <row r="6295" spans="7:7" x14ac:dyDescent="0.2">
      <c r="G6295" s="7"/>
    </row>
    <row r="6296" spans="7:7" x14ac:dyDescent="0.2">
      <c r="G6296" s="7"/>
    </row>
    <row r="6297" spans="7:7" x14ac:dyDescent="0.2">
      <c r="G6297" s="7"/>
    </row>
    <row r="6298" spans="7:7" x14ac:dyDescent="0.2">
      <c r="G6298" s="7"/>
    </row>
    <row r="6299" spans="7:7" x14ac:dyDescent="0.2">
      <c r="G6299" s="7"/>
    </row>
    <row r="6300" spans="7:7" x14ac:dyDescent="0.2">
      <c r="G6300" s="7"/>
    </row>
    <row r="6301" spans="7:7" x14ac:dyDescent="0.2">
      <c r="G6301" s="7"/>
    </row>
    <row r="6302" spans="7:7" x14ac:dyDescent="0.2">
      <c r="G6302" s="7"/>
    </row>
    <row r="6303" spans="7:7" x14ac:dyDescent="0.2">
      <c r="G6303" s="7"/>
    </row>
    <row r="6304" spans="7:7" x14ac:dyDescent="0.2">
      <c r="G6304" s="7"/>
    </row>
    <row r="6305" spans="7:7" x14ac:dyDescent="0.2">
      <c r="G6305" s="7"/>
    </row>
    <row r="6306" spans="7:7" x14ac:dyDescent="0.2">
      <c r="G6306" s="7"/>
    </row>
    <row r="6307" spans="7:7" x14ac:dyDescent="0.2">
      <c r="G6307" s="7"/>
    </row>
    <row r="6308" spans="7:7" x14ac:dyDescent="0.2">
      <c r="G6308" s="7"/>
    </row>
    <row r="6309" spans="7:7" x14ac:dyDescent="0.2">
      <c r="G6309" s="7"/>
    </row>
    <row r="6310" spans="7:7" x14ac:dyDescent="0.2">
      <c r="G6310" s="7"/>
    </row>
    <row r="6311" spans="7:7" x14ac:dyDescent="0.2">
      <c r="G6311" s="7"/>
    </row>
    <row r="6312" spans="7:7" x14ac:dyDescent="0.2">
      <c r="G6312" s="7"/>
    </row>
    <row r="6313" spans="7:7" x14ac:dyDescent="0.2">
      <c r="G6313" s="7"/>
    </row>
    <row r="6314" spans="7:7" x14ac:dyDescent="0.2">
      <c r="G6314" s="7"/>
    </row>
    <row r="6315" spans="7:7" x14ac:dyDescent="0.2">
      <c r="G6315" s="7"/>
    </row>
    <row r="6316" spans="7:7" x14ac:dyDescent="0.2">
      <c r="G6316" s="7"/>
    </row>
    <row r="6317" spans="7:7" x14ac:dyDescent="0.2">
      <c r="G6317" s="7"/>
    </row>
    <row r="6318" spans="7:7" x14ac:dyDescent="0.2">
      <c r="G6318" s="7"/>
    </row>
    <row r="6319" spans="7:7" x14ac:dyDescent="0.2">
      <c r="G6319" s="7"/>
    </row>
    <row r="6320" spans="7:7" x14ac:dyDescent="0.2">
      <c r="G6320" s="7"/>
    </row>
    <row r="6321" spans="7:7" x14ac:dyDescent="0.2">
      <c r="G6321" s="7"/>
    </row>
    <row r="6322" spans="7:7" x14ac:dyDescent="0.2">
      <c r="G6322" s="7"/>
    </row>
    <row r="6323" spans="7:7" x14ac:dyDescent="0.2">
      <c r="G6323" s="7"/>
    </row>
    <row r="6324" spans="7:7" x14ac:dyDescent="0.2">
      <c r="G6324" s="7"/>
    </row>
    <row r="6325" spans="7:7" x14ac:dyDescent="0.2">
      <c r="G6325" s="7"/>
    </row>
    <row r="6326" spans="7:7" x14ac:dyDescent="0.2">
      <c r="G6326" s="7"/>
    </row>
    <row r="6327" spans="7:7" x14ac:dyDescent="0.2">
      <c r="G6327" s="7"/>
    </row>
    <row r="6328" spans="7:7" x14ac:dyDescent="0.2">
      <c r="G6328" s="7"/>
    </row>
    <row r="6329" spans="7:7" x14ac:dyDescent="0.2">
      <c r="G6329" s="7"/>
    </row>
    <row r="6330" spans="7:7" x14ac:dyDescent="0.2">
      <c r="G6330" s="7"/>
    </row>
    <row r="6331" spans="7:7" x14ac:dyDescent="0.2">
      <c r="G6331" s="7"/>
    </row>
    <row r="6332" spans="7:7" x14ac:dyDescent="0.2">
      <c r="G6332" s="7"/>
    </row>
    <row r="6333" spans="7:7" x14ac:dyDescent="0.2">
      <c r="G6333" s="7"/>
    </row>
    <row r="6334" spans="7:7" x14ac:dyDescent="0.2">
      <c r="G6334" s="7"/>
    </row>
    <row r="6335" spans="7:7" x14ac:dyDescent="0.2">
      <c r="G6335" s="7"/>
    </row>
    <row r="6336" spans="7:7" x14ac:dyDescent="0.2">
      <c r="G6336" s="7"/>
    </row>
    <row r="6337" spans="7:7" x14ac:dyDescent="0.2">
      <c r="G6337" s="7"/>
    </row>
    <row r="6338" spans="7:7" x14ac:dyDescent="0.2">
      <c r="G6338" s="7"/>
    </row>
    <row r="6339" spans="7:7" x14ac:dyDescent="0.2">
      <c r="G6339" s="7"/>
    </row>
    <row r="6340" spans="7:7" x14ac:dyDescent="0.2">
      <c r="G6340" s="7"/>
    </row>
    <row r="6341" spans="7:7" x14ac:dyDescent="0.2">
      <c r="G6341" s="7"/>
    </row>
    <row r="6342" spans="7:7" x14ac:dyDescent="0.2">
      <c r="G6342" s="7"/>
    </row>
    <row r="6343" spans="7:7" x14ac:dyDescent="0.2">
      <c r="G6343" s="7"/>
    </row>
    <row r="6344" spans="7:7" x14ac:dyDescent="0.2">
      <c r="G6344" s="7"/>
    </row>
    <row r="6345" spans="7:7" x14ac:dyDescent="0.2">
      <c r="G6345" s="7"/>
    </row>
    <row r="6346" spans="7:7" x14ac:dyDescent="0.2">
      <c r="G6346" s="7"/>
    </row>
    <row r="6347" spans="7:7" x14ac:dyDescent="0.2">
      <c r="G6347" s="7"/>
    </row>
    <row r="6348" spans="7:7" x14ac:dyDescent="0.2">
      <c r="G6348" s="7"/>
    </row>
    <row r="6349" spans="7:7" x14ac:dyDescent="0.2">
      <c r="G6349" s="7"/>
    </row>
    <row r="6350" spans="7:7" x14ac:dyDescent="0.2">
      <c r="G6350" s="7"/>
    </row>
    <row r="6351" spans="7:7" x14ac:dyDescent="0.2">
      <c r="G6351" s="7"/>
    </row>
    <row r="6352" spans="7:7" x14ac:dyDescent="0.2">
      <c r="G6352" s="7"/>
    </row>
    <row r="6353" spans="7:7" x14ac:dyDescent="0.2">
      <c r="G6353" s="7"/>
    </row>
    <row r="6354" spans="7:7" x14ac:dyDescent="0.2">
      <c r="G6354" s="7"/>
    </row>
    <row r="6355" spans="7:7" x14ac:dyDescent="0.2">
      <c r="G6355" s="7"/>
    </row>
    <row r="6356" spans="7:7" x14ac:dyDescent="0.2">
      <c r="G6356" s="7"/>
    </row>
    <row r="6357" spans="7:7" x14ac:dyDescent="0.2">
      <c r="G6357" s="7"/>
    </row>
    <row r="6358" spans="7:7" x14ac:dyDescent="0.2">
      <c r="G6358" s="7"/>
    </row>
    <row r="6359" spans="7:7" x14ac:dyDescent="0.2">
      <c r="G6359" s="7"/>
    </row>
    <row r="6360" spans="7:7" x14ac:dyDescent="0.2">
      <c r="G6360" s="7"/>
    </row>
    <row r="6361" spans="7:7" x14ac:dyDescent="0.2">
      <c r="G6361" s="7"/>
    </row>
    <row r="6362" spans="7:7" x14ac:dyDescent="0.2">
      <c r="G6362" s="7"/>
    </row>
    <row r="6363" spans="7:7" x14ac:dyDescent="0.2">
      <c r="G6363" s="7"/>
    </row>
    <row r="6364" spans="7:7" x14ac:dyDescent="0.2">
      <c r="G6364" s="7"/>
    </row>
    <row r="6365" spans="7:7" x14ac:dyDescent="0.2">
      <c r="G6365" s="7"/>
    </row>
    <row r="6366" spans="7:7" x14ac:dyDescent="0.2">
      <c r="G6366" s="7"/>
    </row>
    <row r="6367" spans="7:7" x14ac:dyDescent="0.2">
      <c r="G6367" s="7"/>
    </row>
    <row r="6368" spans="7:7" x14ac:dyDescent="0.2">
      <c r="G6368" s="7"/>
    </row>
    <row r="6369" spans="7:7" x14ac:dyDescent="0.2">
      <c r="G6369" s="7"/>
    </row>
    <row r="6370" spans="7:7" x14ac:dyDescent="0.2">
      <c r="G6370" s="7"/>
    </row>
    <row r="6371" spans="7:7" x14ac:dyDescent="0.2">
      <c r="G6371" s="7"/>
    </row>
    <row r="6372" spans="7:7" x14ac:dyDescent="0.2">
      <c r="G6372" s="7"/>
    </row>
    <row r="6373" spans="7:7" x14ac:dyDescent="0.2">
      <c r="G6373" s="7"/>
    </row>
    <row r="6374" spans="7:7" x14ac:dyDescent="0.2">
      <c r="G6374" s="7"/>
    </row>
    <row r="6375" spans="7:7" x14ac:dyDescent="0.2">
      <c r="G6375" s="7"/>
    </row>
    <row r="6376" spans="7:7" x14ac:dyDescent="0.2">
      <c r="G6376" s="7"/>
    </row>
    <row r="6377" spans="7:7" x14ac:dyDescent="0.2">
      <c r="G6377" s="7"/>
    </row>
    <row r="6378" spans="7:7" x14ac:dyDescent="0.2">
      <c r="G6378" s="7"/>
    </row>
    <row r="6379" spans="7:7" x14ac:dyDescent="0.2">
      <c r="G6379" s="7"/>
    </row>
    <row r="6380" spans="7:7" x14ac:dyDescent="0.2">
      <c r="G6380" s="7"/>
    </row>
    <row r="6381" spans="7:7" x14ac:dyDescent="0.2">
      <c r="G6381" s="7"/>
    </row>
    <row r="6382" spans="7:7" x14ac:dyDescent="0.2">
      <c r="G6382" s="7"/>
    </row>
    <row r="6383" spans="7:7" x14ac:dyDescent="0.2">
      <c r="G6383" s="7"/>
    </row>
    <row r="6384" spans="7:7" x14ac:dyDescent="0.2">
      <c r="G6384" s="7"/>
    </row>
    <row r="6385" spans="7:7" x14ac:dyDescent="0.2">
      <c r="G6385" s="7"/>
    </row>
    <row r="6386" spans="7:7" x14ac:dyDescent="0.2">
      <c r="G6386" s="7"/>
    </row>
    <row r="6387" spans="7:7" x14ac:dyDescent="0.2">
      <c r="G6387" s="7"/>
    </row>
    <row r="6388" spans="7:7" x14ac:dyDescent="0.2">
      <c r="G6388" s="7"/>
    </row>
    <row r="6389" spans="7:7" x14ac:dyDescent="0.2">
      <c r="G6389" s="7"/>
    </row>
    <row r="6390" spans="7:7" x14ac:dyDescent="0.2">
      <c r="G6390" s="7"/>
    </row>
    <row r="6391" spans="7:7" x14ac:dyDescent="0.2">
      <c r="G6391" s="7"/>
    </row>
    <row r="6392" spans="7:7" x14ac:dyDescent="0.2">
      <c r="G6392" s="7"/>
    </row>
    <row r="6393" spans="7:7" x14ac:dyDescent="0.2">
      <c r="G6393" s="7"/>
    </row>
    <row r="6394" spans="7:7" x14ac:dyDescent="0.2">
      <c r="G6394" s="7"/>
    </row>
    <row r="6395" spans="7:7" x14ac:dyDescent="0.2">
      <c r="G6395" s="7"/>
    </row>
    <row r="6396" spans="7:7" x14ac:dyDescent="0.2">
      <c r="G6396" s="7"/>
    </row>
    <row r="6397" spans="7:7" x14ac:dyDescent="0.2">
      <c r="G6397" s="7"/>
    </row>
    <row r="6398" spans="7:7" x14ac:dyDescent="0.2">
      <c r="G6398" s="7"/>
    </row>
    <row r="6399" spans="7:7" x14ac:dyDescent="0.2">
      <c r="G6399" s="7"/>
    </row>
    <row r="6400" spans="7:7" x14ac:dyDescent="0.2">
      <c r="G6400" s="7"/>
    </row>
    <row r="6401" spans="7:7" x14ac:dyDescent="0.2">
      <c r="G6401" s="7"/>
    </row>
    <row r="6402" spans="7:7" x14ac:dyDescent="0.2">
      <c r="G6402" s="7"/>
    </row>
    <row r="6403" spans="7:7" x14ac:dyDescent="0.2">
      <c r="G6403" s="7"/>
    </row>
    <row r="6404" spans="7:7" x14ac:dyDescent="0.2">
      <c r="G6404" s="7"/>
    </row>
    <row r="6405" spans="7:7" x14ac:dyDescent="0.2">
      <c r="G6405" s="7"/>
    </row>
    <row r="6406" spans="7:7" x14ac:dyDescent="0.2">
      <c r="G6406" s="7"/>
    </row>
    <row r="6407" spans="7:7" x14ac:dyDescent="0.2">
      <c r="G6407" s="7"/>
    </row>
    <row r="6408" spans="7:7" x14ac:dyDescent="0.2">
      <c r="G6408" s="7"/>
    </row>
    <row r="6409" spans="7:7" x14ac:dyDescent="0.2">
      <c r="G6409" s="7"/>
    </row>
    <row r="6410" spans="7:7" x14ac:dyDescent="0.2">
      <c r="G6410" s="7"/>
    </row>
    <row r="6411" spans="7:7" x14ac:dyDescent="0.2">
      <c r="G6411" s="7"/>
    </row>
    <row r="6412" spans="7:7" x14ac:dyDescent="0.2">
      <c r="G6412" s="7"/>
    </row>
    <row r="6413" spans="7:7" x14ac:dyDescent="0.2">
      <c r="G6413" s="7"/>
    </row>
    <row r="6414" spans="7:7" x14ac:dyDescent="0.2">
      <c r="G6414" s="7"/>
    </row>
    <row r="6415" spans="7:7" x14ac:dyDescent="0.2">
      <c r="G6415" s="7"/>
    </row>
    <row r="6416" spans="7:7" x14ac:dyDescent="0.2">
      <c r="G6416" s="7"/>
    </row>
    <row r="6417" spans="7:7" x14ac:dyDescent="0.2">
      <c r="G6417" s="7"/>
    </row>
    <row r="6418" spans="7:7" x14ac:dyDescent="0.2">
      <c r="G6418" s="7"/>
    </row>
    <row r="6419" spans="7:7" x14ac:dyDescent="0.2">
      <c r="G6419" s="7"/>
    </row>
    <row r="6420" spans="7:7" x14ac:dyDescent="0.2">
      <c r="G6420" s="7"/>
    </row>
    <row r="6421" spans="7:7" x14ac:dyDescent="0.2">
      <c r="G6421" s="7"/>
    </row>
    <row r="6422" spans="7:7" x14ac:dyDescent="0.2">
      <c r="G6422" s="7"/>
    </row>
    <row r="6423" spans="7:7" x14ac:dyDescent="0.2">
      <c r="G6423" s="7"/>
    </row>
    <row r="6424" spans="7:7" x14ac:dyDescent="0.2">
      <c r="G6424" s="7"/>
    </row>
    <row r="6425" spans="7:7" x14ac:dyDescent="0.2">
      <c r="G6425" s="7"/>
    </row>
    <row r="6426" spans="7:7" x14ac:dyDescent="0.2">
      <c r="G6426" s="7"/>
    </row>
    <row r="6427" spans="7:7" x14ac:dyDescent="0.2">
      <c r="G6427" s="7"/>
    </row>
    <row r="6428" spans="7:7" x14ac:dyDescent="0.2">
      <c r="G6428" s="7"/>
    </row>
    <row r="6429" spans="7:7" x14ac:dyDescent="0.2">
      <c r="G6429" s="7"/>
    </row>
    <row r="6430" spans="7:7" x14ac:dyDescent="0.2">
      <c r="G6430" s="7"/>
    </row>
    <row r="6431" spans="7:7" x14ac:dyDescent="0.2">
      <c r="G6431" s="7"/>
    </row>
    <row r="6432" spans="7:7" x14ac:dyDescent="0.2">
      <c r="G6432" s="7"/>
    </row>
    <row r="6433" spans="7:7" x14ac:dyDescent="0.2">
      <c r="G6433" s="7"/>
    </row>
    <row r="6434" spans="7:7" x14ac:dyDescent="0.2">
      <c r="G6434" s="7"/>
    </row>
    <row r="6435" spans="7:7" x14ac:dyDescent="0.2">
      <c r="G6435" s="7"/>
    </row>
    <row r="6436" spans="7:7" x14ac:dyDescent="0.2">
      <c r="G6436" s="7"/>
    </row>
    <row r="6437" spans="7:7" x14ac:dyDescent="0.2">
      <c r="G6437" s="7"/>
    </row>
    <row r="6438" spans="7:7" x14ac:dyDescent="0.2">
      <c r="G6438" s="7"/>
    </row>
    <row r="6439" spans="7:7" x14ac:dyDescent="0.2">
      <c r="G6439" s="7"/>
    </row>
    <row r="6440" spans="7:7" x14ac:dyDescent="0.2">
      <c r="G6440" s="7"/>
    </row>
    <row r="6441" spans="7:7" x14ac:dyDescent="0.2">
      <c r="G6441" s="7"/>
    </row>
    <row r="6442" spans="7:7" x14ac:dyDescent="0.2">
      <c r="G6442" s="7"/>
    </row>
    <row r="6443" spans="7:7" x14ac:dyDescent="0.2">
      <c r="G6443" s="7"/>
    </row>
    <row r="6444" spans="7:7" x14ac:dyDescent="0.2">
      <c r="G6444" s="7"/>
    </row>
    <row r="6445" spans="7:7" x14ac:dyDescent="0.2">
      <c r="G6445" s="7"/>
    </row>
    <row r="6446" spans="7:7" x14ac:dyDescent="0.2">
      <c r="G6446" s="7"/>
    </row>
    <row r="6447" spans="7:7" x14ac:dyDescent="0.2">
      <c r="G6447" s="7"/>
    </row>
    <row r="6448" spans="7:7" x14ac:dyDescent="0.2">
      <c r="G6448" s="7"/>
    </row>
    <row r="6449" spans="7:7" x14ac:dyDescent="0.2">
      <c r="G6449" s="7"/>
    </row>
    <row r="6450" spans="7:7" x14ac:dyDescent="0.2">
      <c r="G6450" s="7"/>
    </row>
    <row r="6451" spans="7:7" x14ac:dyDescent="0.2">
      <c r="G6451" s="7"/>
    </row>
    <row r="6452" spans="7:7" x14ac:dyDescent="0.2">
      <c r="G6452" s="7"/>
    </row>
    <row r="6453" spans="7:7" x14ac:dyDescent="0.2">
      <c r="G6453" s="7"/>
    </row>
    <row r="6454" spans="7:7" x14ac:dyDescent="0.2">
      <c r="G6454" s="7"/>
    </row>
    <row r="6455" spans="7:7" x14ac:dyDescent="0.2">
      <c r="G6455" s="7"/>
    </row>
    <row r="6456" spans="7:7" x14ac:dyDescent="0.2">
      <c r="G6456" s="7"/>
    </row>
    <row r="6457" spans="7:7" x14ac:dyDescent="0.2">
      <c r="G6457" s="7"/>
    </row>
    <row r="6458" spans="7:7" x14ac:dyDescent="0.2">
      <c r="G6458" s="7"/>
    </row>
    <row r="6459" spans="7:7" x14ac:dyDescent="0.2">
      <c r="G6459" s="7"/>
    </row>
    <row r="6460" spans="7:7" x14ac:dyDescent="0.2">
      <c r="G6460" s="7"/>
    </row>
    <row r="6461" spans="7:7" x14ac:dyDescent="0.2">
      <c r="G6461" s="7"/>
    </row>
    <row r="6462" spans="7:7" x14ac:dyDescent="0.2">
      <c r="G6462" s="7"/>
    </row>
    <row r="6463" spans="7:7" x14ac:dyDescent="0.2">
      <c r="G6463" s="7"/>
    </row>
    <row r="6464" spans="7:7" x14ac:dyDescent="0.2">
      <c r="G6464" s="7"/>
    </row>
    <row r="6465" spans="7:7" x14ac:dyDescent="0.2">
      <c r="G6465" s="7"/>
    </row>
    <row r="6466" spans="7:7" x14ac:dyDescent="0.2">
      <c r="G6466" s="7"/>
    </row>
    <row r="6467" spans="7:7" x14ac:dyDescent="0.2">
      <c r="G6467" s="7"/>
    </row>
    <row r="6468" spans="7:7" x14ac:dyDescent="0.2">
      <c r="G6468" s="7"/>
    </row>
    <row r="6469" spans="7:7" x14ac:dyDescent="0.2">
      <c r="G6469" s="7"/>
    </row>
    <row r="6470" spans="7:7" x14ac:dyDescent="0.2">
      <c r="G6470" s="7"/>
    </row>
    <row r="6471" spans="7:7" x14ac:dyDescent="0.2">
      <c r="G6471" s="7"/>
    </row>
    <row r="6472" spans="7:7" x14ac:dyDescent="0.2">
      <c r="G6472" s="7"/>
    </row>
    <row r="6473" spans="7:7" x14ac:dyDescent="0.2">
      <c r="G6473" s="7"/>
    </row>
    <row r="6474" spans="7:7" x14ac:dyDescent="0.2">
      <c r="G6474" s="7"/>
    </row>
    <row r="6475" spans="7:7" x14ac:dyDescent="0.2">
      <c r="G6475" s="7"/>
    </row>
    <row r="6476" spans="7:7" x14ac:dyDescent="0.2">
      <c r="G6476" s="7"/>
    </row>
    <row r="6477" spans="7:7" x14ac:dyDescent="0.2">
      <c r="G6477" s="7"/>
    </row>
    <row r="6478" spans="7:7" x14ac:dyDescent="0.2">
      <c r="G6478" s="7"/>
    </row>
    <row r="6479" spans="7:7" x14ac:dyDescent="0.2">
      <c r="G6479" s="7"/>
    </row>
    <row r="6480" spans="7:7" x14ac:dyDescent="0.2">
      <c r="G6480" s="7"/>
    </row>
    <row r="6481" spans="7:7" x14ac:dyDescent="0.2">
      <c r="G6481" s="7"/>
    </row>
    <row r="6482" spans="7:7" x14ac:dyDescent="0.2">
      <c r="G6482" s="7"/>
    </row>
    <row r="6483" spans="7:7" x14ac:dyDescent="0.2">
      <c r="G6483" s="7"/>
    </row>
    <row r="6484" spans="7:7" x14ac:dyDescent="0.2">
      <c r="G6484" s="7"/>
    </row>
    <row r="6485" spans="7:7" x14ac:dyDescent="0.2">
      <c r="G6485" s="7"/>
    </row>
    <row r="6486" spans="7:7" x14ac:dyDescent="0.2">
      <c r="G6486" s="7"/>
    </row>
    <row r="6487" spans="7:7" x14ac:dyDescent="0.2">
      <c r="G6487" s="7"/>
    </row>
    <row r="6488" spans="7:7" x14ac:dyDescent="0.2">
      <c r="G6488" s="7"/>
    </row>
    <row r="6489" spans="7:7" x14ac:dyDescent="0.2">
      <c r="G6489" s="7"/>
    </row>
    <row r="6490" spans="7:7" x14ac:dyDescent="0.2">
      <c r="G6490" s="7"/>
    </row>
    <row r="6491" spans="7:7" x14ac:dyDescent="0.2">
      <c r="G6491" s="7"/>
    </row>
    <row r="6492" spans="7:7" x14ac:dyDescent="0.2">
      <c r="G6492" s="7"/>
    </row>
    <row r="6493" spans="7:7" x14ac:dyDescent="0.2">
      <c r="G6493" s="7"/>
    </row>
    <row r="6494" spans="7:7" x14ac:dyDescent="0.2">
      <c r="G6494" s="7"/>
    </row>
    <row r="6495" spans="7:7" x14ac:dyDescent="0.2">
      <c r="G6495" s="7"/>
    </row>
    <row r="6496" spans="7:7" x14ac:dyDescent="0.2">
      <c r="G6496" s="7"/>
    </row>
    <row r="6497" spans="7:7" x14ac:dyDescent="0.2">
      <c r="G6497" s="7"/>
    </row>
    <row r="6498" spans="7:7" x14ac:dyDescent="0.2">
      <c r="G6498" s="7"/>
    </row>
    <row r="6499" spans="7:7" x14ac:dyDescent="0.2">
      <c r="G6499" s="7"/>
    </row>
    <row r="6500" spans="7:7" x14ac:dyDescent="0.2">
      <c r="G6500" s="7"/>
    </row>
    <row r="6501" spans="7:7" x14ac:dyDescent="0.2">
      <c r="G6501" s="7"/>
    </row>
    <row r="6502" spans="7:7" x14ac:dyDescent="0.2">
      <c r="G6502" s="7"/>
    </row>
    <row r="6503" spans="7:7" x14ac:dyDescent="0.2">
      <c r="G6503" s="7"/>
    </row>
    <row r="6504" spans="7:7" x14ac:dyDescent="0.2">
      <c r="G6504" s="7"/>
    </row>
    <row r="6505" spans="7:7" x14ac:dyDescent="0.2">
      <c r="G6505" s="7"/>
    </row>
    <row r="6506" spans="7:7" x14ac:dyDescent="0.2">
      <c r="G6506" s="7"/>
    </row>
    <row r="6507" spans="7:7" x14ac:dyDescent="0.2">
      <c r="G6507" s="7"/>
    </row>
    <row r="6508" spans="7:7" x14ac:dyDescent="0.2">
      <c r="G6508" s="7"/>
    </row>
    <row r="6509" spans="7:7" x14ac:dyDescent="0.2">
      <c r="G6509" s="7"/>
    </row>
    <row r="6510" spans="7:7" x14ac:dyDescent="0.2">
      <c r="G6510" s="7"/>
    </row>
    <row r="6511" spans="7:7" x14ac:dyDescent="0.2">
      <c r="G6511" s="7"/>
    </row>
    <row r="6512" spans="7:7" x14ac:dyDescent="0.2">
      <c r="G6512" s="7"/>
    </row>
    <row r="6513" spans="7:7" x14ac:dyDescent="0.2">
      <c r="G6513" s="7"/>
    </row>
    <row r="6514" spans="7:7" x14ac:dyDescent="0.2">
      <c r="G6514" s="7"/>
    </row>
    <row r="6515" spans="7:7" x14ac:dyDescent="0.2">
      <c r="G6515" s="7"/>
    </row>
    <row r="6516" spans="7:7" x14ac:dyDescent="0.2">
      <c r="G6516" s="7"/>
    </row>
    <row r="6517" spans="7:7" x14ac:dyDescent="0.2">
      <c r="G6517" s="7"/>
    </row>
    <row r="6518" spans="7:7" x14ac:dyDescent="0.2">
      <c r="G6518" s="7"/>
    </row>
    <row r="6519" spans="7:7" x14ac:dyDescent="0.2">
      <c r="G6519" s="7"/>
    </row>
    <row r="6520" spans="7:7" x14ac:dyDescent="0.2">
      <c r="G6520" s="7"/>
    </row>
    <row r="6521" spans="7:7" x14ac:dyDescent="0.2">
      <c r="G6521" s="7"/>
    </row>
    <row r="6522" spans="7:7" x14ac:dyDescent="0.2">
      <c r="G6522" s="7"/>
    </row>
    <row r="6523" spans="7:7" x14ac:dyDescent="0.2">
      <c r="G6523" s="7"/>
    </row>
    <row r="6524" spans="7:7" x14ac:dyDescent="0.2">
      <c r="G6524" s="7"/>
    </row>
    <row r="6525" spans="7:7" x14ac:dyDescent="0.2">
      <c r="G6525" s="7"/>
    </row>
    <row r="6526" spans="7:7" x14ac:dyDescent="0.2">
      <c r="G6526" s="7"/>
    </row>
    <row r="6527" spans="7:7" x14ac:dyDescent="0.2">
      <c r="G6527" s="7"/>
    </row>
    <row r="6528" spans="7:7" x14ac:dyDescent="0.2">
      <c r="G6528" s="7"/>
    </row>
    <row r="6529" spans="7:7" x14ac:dyDescent="0.2">
      <c r="G6529" s="7"/>
    </row>
    <row r="6530" spans="7:7" x14ac:dyDescent="0.2">
      <c r="G6530" s="7"/>
    </row>
    <row r="6531" spans="7:7" x14ac:dyDescent="0.2">
      <c r="G6531" s="7"/>
    </row>
    <row r="6532" spans="7:7" x14ac:dyDescent="0.2">
      <c r="G6532" s="7"/>
    </row>
    <row r="6533" spans="7:7" x14ac:dyDescent="0.2">
      <c r="G6533" s="7"/>
    </row>
    <row r="6534" spans="7:7" x14ac:dyDescent="0.2">
      <c r="G6534" s="7"/>
    </row>
    <row r="6535" spans="7:7" x14ac:dyDescent="0.2">
      <c r="G6535" s="7"/>
    </row>
    <row r="6536" spans="7:7" x14ac:dyDescent="0.2">
      <c r="G6536" s="7"/>
    </row>
    <row r="6537" spans="7:7" x14ac:dyDescent="0.2">
      <c r="G6537" s="7"/>
    </row>
    <row r="6538" spans="7:7" x14ac:dyDescent="0.2">
      <c r="G6538" s="7"/>
    </row>
    <row r="6539" spans="7:7" x14ac:dyDescent="0.2">
      <c r="G6539" s="7"/>
    </row>
    <row r="6540" spans="7:7" x14ac:dyDescent="0.2">
      <c r="G6540" s="7"/>
    </row>
    <row r="6541" spans="7:7" x14ac:dyDescent="0.2">
      <c r="G6541" s="7"/>
    </row>
    <row r="6542" spans="7:7" x14ac:dyDescent="0.2">
      <c r="G6542" s="7"/>
    </row>
    <row r="6543" spans="7:7" x14ac:dyDescent="0.2">
      <c r="G6543" s="7"/>
    </row>
    <row r="6544" spans="7:7" x14ac:dyDescent="0.2">
      <c r="G6544" s="7"/>
    </row>
    <row r="6545" spans="7:7" x14ac:dyDescent="0.2">
      <c r="G6545" s="7"/>
    </row>
    <row r="6546" spans="7:7" x14ac:dyDescent="0.2">
      <c r="G6546" s="7"/>
    </row>
    <row r="6547" spans="7:7" x14ac:dyDescent="0.2">
      <c r="G6547" s="7"/>
    </row>
    <row r="6548" spans="7:7" x14ac:dyDescent="0.2">
      <c r="G6548" s="7"/>
    </row>
    <row r="6549" spans="7:7" x14ac:dyDescent="0.2">
      <c r="G6549" s="7"/>
    </row>
    <row r="6550" spans="7:7" x14ac:dyDescent="0.2">
      <c r="G6550" s="7"/>
    </row>
    <row r="6551" spans="7:7" x14ac:dyDescent="0.2">
      <c r="G6551" s="7"/>
    </row>
    <row r="6552" spans="7:7" x14ac:dyDescent="0.2">
      <c r="G6552" s="7"/>
    </row>
    <row r="6553" spans="7:7" x14ac:dyDescent="0.2">
      <c r="G6553" s="7"/>
    </row>
    <row r="6554" spans="7:7" x14ac:dyDescent="0.2">
      <c r="G6554" s="7"/>
    </row>
    <row r="6555" spans="7:7" x14ac:dyDescent="0.2">
      <c r="G6555" s="7"/>
    </row>
    <row r="6556" spans="7:7" x14ac:dyDescent="0.2">
      <c r="G6556" s="7"/>
    </row>
    <row r="6557" spans="7:7" x14ac:dyDescent="0.2">
      <c r="G6557" s="7"/>
    </row>
    <row r="6558" spans="7:7" x14ac:dyDescent="0.2">
      <c r="G6558" s="7"/>
    </row>
    <row r="6559" spans="7:7" x14ac:dyDescent="0.2">
      <c r="G6559" s="7"/>
    </row>
    <row r="6560" spans="7:7" x14ac:dyDescent="0.2">
      <c r="G6560" s="7"/>
    </row>
    <row r="6561" spans="7:7" x14ac:dyDescent="0.2">
      <c r="G6561" s="7"/>
    </row>
    <row r="6562" spans="7:7" x14ac:dyDescent="0.2">
      <c r="G6562" s="7"/>
    </row>
    <row r="6563" spans="7:7" x14ac:dyDescent="0.2">
      <c r="G6563" s="7"/>
    </row>
    <row r="6564" spans="7:7" x14ac:dyDescent="0.2">
      <c r="G6564" s="7"/>
    </row>
    <row r="6565" spans="7:7" x14ac:dyDescent="0.2">
      <c r="G6565" s="7"/>
    </row>
    <row r="6566" spans="7:7" x14ac:dyDescent="0.2">
      <c r="G6566" s="7"/>
    </row>
    <row r="6567" spans="7:7" x14ac:dyDescent="0.2">
      <c r="G6567" s="7"/>
    </row>
    <row r="6568" spans="7:7" x14ac:dyDescent="0.2">
      <c r="G6568" s="7"/>
    </row>
    <row r="6569" spans="7:7" x14ac:dyDescent="0.2">
      <c r="G6569" s="7"/>
    </row>
    <row r="6570" spans="7:7" x14ac:dyDescent="0.2">
      <c r="G6570" s="7"/>
    </row>
    <row r="6571" spans="7:7" x14ac:dyDescent="0.2">
      <c r="G6571" s="7"/>
    </row>
    <row r="6572" spans="7:7" x14ac:dyDescent="0.2">
      <c r="G6572" s="7"/>
    </row>
    <row r="6573" spans="7:7" x14ac:dyDescent="0.2">
      <c r="G6573" s="7"/>
    </row>
    <row r="6574" spans="7:7" x14ac:dyDescent="0.2">
      <c r="G6574" s="7"/>
    </row>
    <row r="6575" spans="7:7" x14ac:dyDescent="0.2">
      <c r="G6575" s="7"/>
    </row>
    <row r="6576" spans="7:7" x14ac:dyDescent="0.2">
      <c r="G6576" s="7"/>
    </row>
    <row r="6577" spans="7:7" x14ac:dyDescent="0.2">
      <c r="G6577" s="7"/>
    </row>
    <row r="6578" spans="7:7" x14ac:dyDescent="0.2">
      <c r="G6578" s="7"/>
    </row>
    <row r="6579" spans="7:7" x14ac:dyDescent="0.2">
      <c r="G6579" s="7"/>
    </row>
    <row r="6580" spans="7:7" x14ac:dyDescent="0.2">
      <c r="G6580" s="7"/>
    </row>
    <row r="6581" spans="7:7" x14ac:dyDescent="0.2">
      <c r="G6581" s="7"/>
    </row>
    <row r="6582" spans="7:7" x14ac:dyDescent="0.2">
      <c r="G6582" s="7"/>
    </row>
    <row r="6583" spans="7:7" x14ac:dyDescent="0.2">
      <c r="G6583" s="7"/>
    </row>
    <row r="6584" spans="7:7" x14ac:dyDescent="0.2">
      <c r="G6584" s="7"/>
    </row>
    <row r="6585" spans="7:7" x14ac:dyDescent="0.2">
      <c r="G6585" s="7"/>
    </row>
    <row r="6586" spans="7:7" x14ac:dyDescent="0.2">
      <c r="G6586" s="7"/>
    </row>
    <row r="6587" spans="7:7" x14ac:dyDescent="0.2">
      <c r="G6587" s="7"/>
    </row>
    <row r="6588" spans="7:7" x14ac:dyDescent="0.2">
      <c r="G6588" s="7"/>
    </row>
    <row r="6589" spans="7:7" x14ac:dyDescent="0.2">
      <c r="G6589" s="7"/>
    </row>
    <row r="6590" spans="7:7" x14ac:dyDescent="0.2">
      <c r="G6590" s="7"/>
    </row>
    <row r="6591" spans="7:7" x14ac:dyDescent="0.2">
      <c r="G6591" s="7"/>
    </row>
    <row r="6592" spans="7:7" x14ac:dyDescent="0.2">
      <c r="G6592" s="7"/>
    </row>
    <row r="6593" spans="7:7" x14ac:dyDescent="0.2">
      <c r="G6593" s="7"/>
    </row>
    <row r="6594" spans="7:7" x14ac:dyDescent="0.2">
      <c r="G6594" s="7"/>
    </row>
    <row r="6595" spans="7:7" x14ac:dyDescent="0.2">
      <c r="G6595" s="7"/>
    </row>
    <row r="6596" spans="7:7" x14ac:dyDescent="0.2">
      <c r="G6596" s="7"/>
    </row>
    <row r="6597" spans="7:7" x14ac:dyDescent="0.2">
      <c r="G6597" s="7"/>
    </row>
    <row r="6598" spans="7:7" x14ac:dyDescent="0.2">
      <c r="G6598" s="7"/>
    </row>
    <row r="6599" spans="7:7" x14ac:dyDescent="0.2">
      <c r="G6599" s="7"/>
    </row>
    <row r="6600" spans="7:7" x14ac:dyDescent="0.2">
      <c r="G6600" s="7"/>
    </row>
    <row r="6601" spans="7:7" x14ac:dyDescent="0.2">
      <c r="G6601" s="7"/>
    </row>
    <row r="6602" spans="7:7" x14ac:dyDescent="0.2">
      <c r="G6602" s="7"/>
    </row>
    <row r="6603" spans="7:7" x14ac:dyDescent="0.2">
      <c r="G6603" s="7"/>
    </row>
    <row r="6604" spans="7:7" x14ac:dyDescent="0.2">
      <c r="G6604" s="7"/>
    </row>
    <row r="6605" spans="7:7" x14ac:dyDescent="0.2">
      <c r="G6605" s="7"/>
    </row>
    <row r="6606" spans="7:7" x14ac:dyDescent="0.2">
      <c r="G6606" s="7"/>
    </row>
    <row r="6607" spans="7:7" x14ac:dyDescent="0.2">
      <c r="G6607" s="7"/>
    </row>
    <row r="6608" spans="7:7" x14ac:dyDescent="0.2">
      <c r="G6608" s="7"/>
    </row>
    <row r="6609" spans="7:7" x14ac:dyDescent="0.2">
      <c r="G6609" s="7"/>
    </row>
    <row r="6610" spans="7:7" x14ac:dyDescent="0.2">
      <c r="G6610" s="7"/>
    </row>
    <row r="6611" spans="7:7" x14ac:dyDescent="0.2">
      <c r="G6611" s="7"/>
    </row>
    <row r="6612" spans="7:7" x14ac:dyDescent="0.2">
      <c r="G6612" s="7"/>
    </row>
    <row r="6613" spans="7:7" x14ac:dyDescent="0.2">
      <c r="G6613" s="7"/>
    </row>
    <row r="6614" spans="7:7" x14ac:dyDescent="0.2">
      <c r="G6614" s="7"/>
    </row>
    <row r="6615" spans="7:7" x14ac:dyDescent="0.2">
      <c r="G6615" s="7"/>
    </row>
    <row r="6616" spans="7:7" x14ac:dyDescent="0.2">
      <c r="G6616" s="7"/>
    </row>
    <row r="6617" spans="7:7" x14ac:dyDescent="0.2">
      <c r="G6617" s="7"/>
    </row>
    <row r="6618" spans="7:7" x14ac:dyDescent="0.2">
      <c r="G6618" s="7"/>
    </row>
    <row r="6619" spans="7:7" x14ac:dyDescent="0.2">
      <c r="G6619" s="7"/>
    </row>
    <row r="6620" spans="7:7" x14ac:dyDescent="0.2">
      <c r="G6620" s="7"/>
    </row>
    <row r="6621" spans="7:7" x14ac:dyDescent="0.2">
      <c r="G6621" s="7"/>
    </row>
    <row r="6622" spans="7:7" x14ac:dyDescent="0.2">
      <c r="G6622" s="7"/>
    </row>
    <row r="6623" spans="7:7" x14ac:dyDescent="0.2">
      <c r="G6623" s="7"/>
    </row>
    <row r="6624" spans="7:7" x14ac:dyDescent="0.2">
      <c r="G6624" s="7"/>
    </row>
    <row r="6625" spans="7:7" x14ac:dyDescent="0.2">
      <c r="G6625" s="7"/>
    </row>
    <row r="6626" spans="7:7" x14ac:dyDescent="0.2">
      <c r="G6626" s="7"/>
    </row>
    <row r="6627" spans="7:7" x14ac:dyDescent="0.2">
      <c r="G6627" s="7"/>
    </row>
    <row r="6628" spans="7:7" x14ac:dyDescent="0.2">
      <c r="G6628" s="7"/>
    </row>
    <row r="6629" spans="7:7" x14ac:dyDescent="0.2">
      <c r="G6629" s="7"/>
    </row>
    <row r="6630" spans="7:7" x14ac:dyDescent="0.2">
      <c r="G6630" s="7"/>
    </row>
    <row r="6631" spans="7:7" x14ac:dyDescent="0.2">
      <c r="G6631" s="7"/>
    </row>
    <row r="6632" spans="7:7" x14ac:dyDescent="0.2">
      <c r="G6632" s="7"/>
    </row>
    <row r="6633" spans="7:7" x14ac:dyDescent="0.2">
      <c r="G6633" s="7"/>
    </row>
    <row r="6634" spans="7:7" x14ac:dyDescent="0.2">
      <c r="G6634" s="7"/>
    </row>
    <row r="6635" spans="7:7" x14ac:dyDescent="0.2">
      <c r="G6635" s="7"/>
    </row>
    <row r="6636" spans="7:7" x14ac:dyDescent="0.2">
      <c r="G6636" s="7"/>
    </row>
    <row r="6637" spans="7:7" x14ac:dyDescent="0.2">
      <c r="G6637" s="7"/>
    </row>
    <row r="6638" spans="7:7" x14ac:dyDescent="0.2">
      <c r="G6638" s="7"/>
    </row>
    <row r="6639" spans="7:7" x14ac:dyDescent="0.2">
      <c r="G6639" s="7"/>
    </row>
    <row r="6640" spans="7:7" x14ac:dyDescent="0.2">
      <c r="G6640" s="7"/>
    </row>
    <row r="6641" spans="7:7" x14ac:dyDescent="0.2">
      <c r="G6641" s="7"/>
    </row>
    <row r="6642" spans="7:7" x14ac:dyDescent="0.2">
      <c r="G6642" s="7"/>
    </row>
    <row r="6643" spans="7:7" x14ac:dyDescent="0.2">
      <c r="G6643" s="7"/>
    </row>
    <row r="6644" spans="7:7" x14ac:dyDescent="0.2">
      <c r="G6644" s="7"/>
    </row>
    <row r="6645" spans="7:7" x14ac:dyDescent="0.2">
      <c r="G6645" s="7"/>
    </row>
    <row r="6646" spans="7:7" x14ac:dyDescent="0.2">
      <c r="G6646" s="7"/>
    </row>
    <row r="6647" spans="7:7" x14ac:dyDescent="0.2">
      <c r="G6647" s="7"/>
    </row>
    <row r="6648" spans="7:7" x14ac:dyDescent="0.2">
      <c r="G6648" s="7"/>
    </row>
    <row r="6649" spans="7:7" x14ac:dyDescent="0.2">
      <c r="G6649" s="7"/>
    </row>
    <row r="6650" spans="7:7" x14ac:dyDescent="0.2">
      <c r="G6650" s="7"/>
    </row>
    <row r="6651" spans="7:7" x14ac:dyDescent="0.2">
      <c r="G6651" s="7"/>
    </row>
    <row r="6652" spans="7:7" x14ac:dyDescent="0.2">
      <c r="G6652" s="7"/>
    </row>
    <row r="6653" spans="7:7" x14ac:dyDescent="0.2">
      <c r="G6653" s="7"/>
    </row>
    <row r="6654" spans="7:7" x14ac:dyDescent="0.2">
      <c r="G6654" s="7"/>
    </row>
    <row r="6655" spans="7:7" x14ac:dyDescent="0.2">
      <c r="G6655" s="7"/>
    </row>
    <row r="6656" spans="7:7" x14ac:dyDescent="0.2">
      <c r="G6656" s="7"/>
    </row>
    <row r="6657" spans="7:7" x14ac:dyDescent="0.2">
      <c r="G6657" s="7"/>
    </row>
    <row r="6658" spans="7:7" x14ac:dyDescent="0.2">
      <c r="G6658" s="7"/>
    </row>
    <row r="6659" spans="7:7" x14ac:dyDescent="0.2">
      <c r="G6659" s="7"/>
    </row>
    <row r="6660" spans="7:7" x14ac:dyDescent="0.2">
      <c r="G6660" s="7"/>
    </row>
    <row r="6661" spans="7:7" x14ac:dyDescent="0.2">
      <c r="G6661" s="7"/>
    </row>
    <row r="6662" spans="7:7" x14ac:dyDescent="0.2">
      <c r="G6662" s="7"/>
    </row>
    <row r="6663" spans="7:7" x14ac:dyDescent="0.2">
      <c r="G6663" s="7"/>
    </row>
    <row r="6664" spans="7:7" x14ac:dyDescent="0.2">
      <c r="G6664" s="7"/>
    </row>
    <row r="6665" spans="7:7" x14ac:dyDescent="0.2">
      <c r="G6665" s="7"/>
    </row>
    <row r="6666" spans="7:7" x14ac:dyDescent="0.2">
      <c r="G6666" s="7"/>
    </row>
    <row r="6667" spans="7:7" x14ac:dyDescent="0.2">
      <c r="G6667" s="7"/>
    </row>
    <row r="6668" spans="7:7" x14ac:dyDescent="0.2">
      <c r="G6668" s="7"/>
    </row>
    <row r="6669" spans="7:7" x14ac:dyDescent="0.2">
      <c r="G6669" s="7"/>
    </row>
    <row r="6670" spans="7:7" x14ac:dyDescent="0.2">
      <c r="G6670" s="7"/>
    </row>
    <row r="6671" spans="7:7" x14ac:dyDescent="0.2">
      <c r="G6671" s="7"/>
    </row>
    <row r="6672" spans="7:7" x14ac:dyDescent="0.2">
      <c r="G6672" s="7"/>
    </row>
    <row r="6673" spans="7:7" x14ac:dyDescent="0.2">
      <c r="G6673" s="7"/>
    </row>
    <row r="6674" spans="7:7" x14ac:dyDescent="0.2">
      <c r="G6674" s="7"/>
    </row>
    <row r="6675" spans="7:7" x14ac:dyDescent="0.2">
      <c r="G6675" s="7"/>
    </row>
    <row r="6676" spans="7:7" x14ac:dyDescent="0.2">
      <c r="G6676" s="7"/>
    </row>
    <row r="6677" spans="7:7" x14ac:dyDescent="0.2">
      <c r="G6677" s="7"/>
    </row>
    <row r="6678" spans="7:7" x14ac:dyDescent="0.2">
      <c r="G6678" s="7"/>
    </row>
    <row r="6679" spans="7:7" x14ac:dyDescent="0.2">
      <c r="G6679" s="7"/>
    </row>
    <row r="6680" spans="7:7" x14ac:dyDescent="0.2">
      <c r="G6680" s="7"/>
    </row>
    <row r="6681" spans="7:7" x14ac:dyDescent="0.2">
      <c r="G6681" s="7"/>
    </row>
    <row r="6682" spans="7:7" x14ac:dyDescent="0.2">
      <c r="G6682" s="7"/>
    </row>
    <row r="6683" spans="7:7" x14ac:dyDescent="0.2">
      <c r="G6683" s="7"/>
    </row>
    <row r="6684" spans="7:7" x14ac:dyDescent="0.2">
      <c r="G6684" s="7"/>
    </row>
    <row r="6685" spans="7:7" x14ac:dyDescent="0.2">
      <c r="G6685" s="7"/>
    </row>
    <row r="6686" spans="7:7" x14ac:dyDescent="0.2">
      <c r="G6686" s="7"/>
    </row>
    <row r="6687" spans="7:7" x14ac:dyDescent="0.2">
      <c r="G6687" s="7"/>
    </row>
    <row r="6688" spans="7:7" x14ac:dyDescent="0.2">
      <c r="G6688" s="7"/>
    </row>
    <row r="6689" spans="7:7" x14ac:dyDescent="0.2">
      <c r="G6689" s="7"/>
    </row>
    <row r="6690" spans="7:7" x14ac:dyDescent="0.2">
      <c r="G6690" s="7"/>
    </row>
    <row r="6691" spans="7:7" x14ac:dyDescent="0.2">
      <c r="G6691" s="7"/>
    </row>
    <row r="6692" spans="7:7" x14ac:dyDescent="0.2">
      <c r="G6692" s="7"/>
    </row>
    <row r="6693" spans="7:7" x14ac:dyDescent="0.2">
      <c r="G6693" s="7"/>
    </row>
    <row r="6694" spans="7:7" x14ac:dyDescent="0.2">
      <c r="G6694" s="7"/>
    </row>
    <row r="6695" spans="7:7" x14ac:dyDescent="0.2">
      <c r="G6695" s="7"/>
    </row>
    <row r="6696" spans="7:7" x14ac:dyDescent="0.2">
      <c r="G6696" s="7"/>
    </row>
    <row r="6697" spans="7:7" x14ac:dyDescent="0.2">
      <c r="G6697" s="7"/>
    </row>
    <row r="6698" spans="7:7" x14ac:dyDescent="0.2">
      <c r="G6698" s="7"/>
    </row>
    <row r="6699" spans="7:7" x14ac:dyDescent="0.2">
      <c r="G6699" s="7"/>
    </row>
    <row r="6700" spans="7:7" x14ac:dyDescent="0.2">
      <c r="G6700" s="7"/>
    </row>
    <row r="6701" spans="7:7" x14ac:dyDescent="0.2">
      <c r="G6701" s="7"/>
    </row>
    <row r="6702" spans="7:7" x14ac:dyDescent="0.2">
      <c r="G6702" s="7"/>
    </row>
    <row r="6703" spans="7:7" x14ac:dyDescent="0.2">
      <c r="G6703" s="7"/>
    </row>
    <row r="6704" spans="7:7" x14ac:dyDescent="0.2">
      <c r="G6704" s="7"/>
    </row>
    <row r="6705" spans="7:7" x14ac:dyDescent="0.2">
      <c r="G6705" s="7"/>
    </row>
    <row r="6706" spans="7:7" x14ac:dyDescent="0.2">
      <c r="G6706" s="7"/>
    </row>
    <row r="6707" spans="7:7" x14ac:dyDescent="0.2">
      <c r="G6707" s="7"/>
    </row>
    <row r="6708" spans="7:7" x14ac:dyDescent="0.2">
      <c r="G6708" s="7"/>
    </row>
    <row r="6709" spans="7:7" x14ac:dyDescent="0.2">
      <c r="G6709" s="7"/>
    </row>
    <row r="6710" spans="7:7" x14ac:dyDescent="0.2">
      <c r="G6710" s="7"/>
    </row>
    <row r="6711" spans="7:7" x14ac:dyDescent="0.2">
      <c r="G6711" s="7"/>
    </row>
    <row r="6712" spans="7:7" x14ac:dyDescent="0.2">
      <c r="G6712" s="7"/>
    </row>
    <row r="6713" spans="7:7" x14ac:dyDescent="0.2">
      <c r="G6713" s="7"/>
    </row>
    <row r="6714" spans="7:7" x14ac:dyDescent="0.2">
      <c r="G6714" s="7"/>
    </row>
    <row r="6715" spans="7:7" x14ac:dyDescent="0.2">
      <c r="G6715" s="7"/>
    </row>
    <row r="6716" spans="7:7" x14ac:dyDescent="0.2">
      <c r="G6716" s="7"/>
    </row>
    <row r="6717" spans="7:7" x14ac:dyDescent="0.2">
      <c r="G6717" s="7"/>
    </row>
    <row r="6718" spans="7:7" x14ac:dyDescent="0.2">
      <c r="G6718" s="7"/>
    </row>
    <row r="6719" spans="7:7" x14ac:dyDescent="0.2">
      <c r="G6719" s="7"/>
    </row>
    <row r="6720" spans="7:7" x14ac:dyDescent="0.2">
      <c r="G6720" s="7"/>
    </row>
    <row r="6721" spans="7:7" x14ac:dyDescent="0.2">
      <c r="G6721" s="7"/>
    </row>
    <row r="6722" spans="7:7" x14ac:dyDescent="0.2">
      <c r="G6722" s="7"/>
    </row>
    <row r="6723" spans="7:7" x14ac:dyDescent="0.2">
      <c r="G6723" s="7"/>
    </row>
    <row r="6724" spans="7:7" x14ac:dyDescent="0.2">
      <c r="G6724" s="7"/>
    </row>
    <row r="6725" spans="7:7" x14ac:dyDescent="0.2">
      <c r="G6725" s="7"/>
    </row>
    <row r="6726" spans="7:7" x14ac:dyDescent="0.2">
      <c r="G6726" s="7"/>
    </row>
    <row r="6727" spans="7:7" x14ac:dyDescent="0.2">
      <c r="G6727" s="7"/>
    </row>
    <row r="6728" spans="7:7" x14ac:dyDescent="0.2">
      <c r="G6728" s="7"/>
    </row>
    <row r="6729" spans="7:7" x14ac:dyDescent="0.2">
      <c r="G6729" s="7"/>
    </row>
    <row r="6730" spans="7:7" x14ac:dyDescent="0.2">
      <c r="G6730" s="7"/>
    </row>
    <row r="6731" spans="7:7" x14ac:dyDescent="0.2">
      <c r="G6731" s="7"/>
    </row>
    <row r="6732" spans="7:7" x14ac:dyDescent="0.2">
      <c r="G6732" s="7"/>
    </row>
    <row r="6733" spans="7:7" x14ac:dyDescent="0.2">
      <c r="G6733" s="7"/>
    </row>
    <row r="6734" spans="7:7" x14ac:dyDescent="0.2">
      <c r="G6734" s="7"/>
    </row>
    <row r="6735" spans="7:7" x14ac:dyDescent="0.2">
      <c r="G6735" s="7"/>
    </row>
    <row r="6736" spans="7:7" x14ac:dyDescent="0.2">
      <c r="G6736" s="7"/>
    </row>
    <row r="6737" spans="7:7" x14ac:dyDescent="0.2">
      <c r="G6737" s="7"/>
    </row>
    <row r="6738" spans="7:7" x14ac:dyDescent="0.2">
      <c r="G6738" s="7"/>
    </row>
    <row r="6739" spans="7:7" x14ac:dyDescent="0.2">
      <c r="G6739" s="7"/>
    </row>
    <row r="6740" spans="7:7" x14ac:dyDescent="0.2">
      <c r="G6740" s="7"/>
    </row>
    <row r="6741" spans="7:7" x14ac:dyDescent="0.2">
      <c r="G6741" s="7"/>
    </row>
    <row r="6742" spans="7:7" x14ac:dyDescent="0.2">
      <c r="G6742" s="7"/>
    </row>
    <row r="6743" spans="7:7" x14ac:dyDescent="0.2">
      <c r="G6743" s="7"/>
    </row>
    <row r="6744" spans="7:7" x14ac:dyDescent="0.2">
      <c r="G6744" s="7"/>
    </row>
    <row r="6745" spans="7:7" x14ac:dyDescent="0.2">
      <c r="G6745" s="7"/>
    </row>
    <row r="6746" spans="7:7" x14ac:dyDescent="0.2">
      <c r="G6746" s="7"/>
    </row>
    <row r="6747" spans="7:7" x14ac:dyDescent="0.2">
      <c r="G6747" s="7"/>
    </row>
    <row r="6748" spans="7:7" x14ac:dyDescent="0.2">
      <c r="G6748" s="7"/>
    </row>
    <row r="6749" spans="7:7" x14ac:dyDescent="0.2">
      <c r="G6749" s="7"/>
    </row>
    <row r="6750" spans="7:7" x14ac:dyDescent="0.2">
      <c r="G6750" s="7"/>
    </row>
    <row r="6751" spans="7:7" x14ac:dyDescent="0.2">
      <c r="G6751" s="7"/>
    </row>
    <row r="6752" spans="7:7" x14ac:dyDescent="0.2">
      <c r="G6752" s="7"/>
    </row>
    <row r="6753" spans="7:7" x14ac:dyDescent="0.2">
      <c r="G6753" s="7"/>
    </row>
    <row r="6754" spans="7:7" x14ac:dyDescent="0.2">
      <c r="G6754" s="7"/>
    </row>
    <row r="6755" spans="7:7" x14ac:dyDescent="0.2">
      <c r="G6755" s="7"/>
    </row>
    <row r="6756" spans="7:7" x14ac:dyDescent="0.2">
      <c r="G6756" s="7"/>
    </row>
    <row r="6757" spans="7:7" x14ac:dyDescent="0.2">
      <c r="G6757" s="7"/>
    </row>
    <row r="6758" spans="7:7" x14ac:dyDescent="0.2">
      <c r="G6758" s="7"/>
    </row>
    <row r="6759" spans="7:7" x14ac:dyDescent="0.2">
      <c r="G6759" s="7"/>
    </row>
    <row r="6760" spans="7:7" x14ac:dyDescent="0.2">
      <c r="G6760" s="7"/>
    </row>
    <row r="6761" spans="7:7" x14ac:dyDescent="0.2">
      <c r="G6761" s="7"/>
    </row>
    <row r="6762" spans="7:7" x14ac:dyDescent="0.2">
      <c r="G6762" s="7"/>
    </row>
    <row r="6763" spans="7:7" x14ac:dyDescent="0.2">
      <c r="G6763" s="7"/>
    </row>
    <row r="6764" spans="7:7" x14ac:dyDescent="0.2">
      <c r="G6764" s="7"/>
    </row>
    <row r="6765" spans="7:7" x14ac:dyDescent="0.2">
      <c r="G6765" s="7"/>
    </row>
    <row r="6766" spans="7:7" x14ac:dyDescent="0.2">
      <c r="G6766" s="7"/>
    </row>
    <row r="6767" spans="7:7" x14ac:dyDescent="0.2">
      <c r="G6767" s="7"/>
    </row>
    <row r="6768" spans="7:7" x14ac:dyDescent="0.2">
      <c r="G6768" s="7"/>
    </row>
    <row r="6769" spans="7:7" x14ac:dyDescent="0.2">
      <c r="G6769" s="7"/>
    </row>
    <row r="6770" spans="7:7" x14ac:dyDescent="0.2">
      <c r="G6770" s="7"/>
    </row>
    <row r="6771" spans="7:7" x14ac:dyDescent="0.2">
      <c r="G6771" s="7"/>
    </row>
    <row r="6772" spans="7:7" x14ac:dyDescent="0.2">
      <c r="G6772" s="7"/>
    </row>
    <row r="6773" spans="7:7" x14ac:dyDescent="0.2">
      <c r="G6773" s="7"/>
    </row>
    <row r="6774" spans="7:7" x14ac:dyDescent="0.2">
      <c r="G6774" s="7"/>
    </row>
    <row r="6775" spans="7:7" x14ac:dyDescent="0.2">
      <c r="G6775" s="7"/>
    </row>
    <row r="6776" spans="7:7" x14ac:dyDescent="0.2">
      <c r="G6776" s="7"/>
    </row>
    <row r="6777" spans="7:7" x14ac:dyDescent="0.2">
      <c r="G6777" s="7"/>
    </row>
    <row r="6778" spans="7:7" x14ac:dyDescent="0.2">
      <c r="G6778" s="7"/>
    </row>
    <row r="6779" spans="7:7" x14ac:dyDescent="0.2">
      <c r="G6779" s="7"/>
    </row>
    <row r="6780" spans="7:7" x14ac:dyDescent="0.2">
      <c r="G6780" s="7"/>
    </row>
    <row r="6781" spans="7:7" x14ac:dyDescent="0.2">
      <c r="G6781" s="7"/>
    </row>
    <row r="6782" spans="7:7" x14ac:dyDescent="0.2">
      <c r="G6782" s="7"/>
    </row>
    <row r="6783" spans="7:7" x14ac:dyDescent="0.2">
      <c r="G6783" s="7"/>
    </row>
    <row r="6784" spans="7:7" x14ac:dyDescent="0.2">
      <c r="G6784" s="7"/>
    </row>
    <row r="6785" spans="7:7" x14ac:dyDescent="0.2">
      <c r="G6785" s="7"/>
    </row>
    <row r="6786" spans="7:7" x14ac:dyDescent="0.2">
      <c r="G6786" s="7"/>
    </row>
    <row r="6787" spans="7:7" x14ac:dyDescent="0.2">
      <c r="G6787" s="7"/>
    </row>
    <row r="6788" spans="7:7" x14ac:dyDescent="0.2">
      <c r="G6788" s="7"/>
    </row>
    <row r="6789" spans="7:7" x14ac:dyDescent="0.2">
      <c r="G6789" s="7"/>
    </row>
    <row r="6790" spans="7:7" x14ac:dyDescent="0.2">
      <c r="G6790" s="7"/>
    </row>
    <row r="6791" spans="7:7" x14ac:dyDescent="0.2">
      <c r="G6791" s="7"/>
    </row>
    <row r="6792" spans="7:7" x14ac:dyDescent="0.2">
      <c r="G6792" s="7"/>
    </row>
    <row r="6793" spans="7:7" x14ac:dyDescent="0.2">
      <c r="G6793" s="7"/>
    </row>
    <row r="6794" spans="7:7" x14ac:dyDescent="0.2">
      <c r="G6794" s="7"/>
    </row>
    <row r="6795" spans="7:7" x14ac:dyDescent="0.2">
      <c r="G6795" s="7"/>
    </row>
    <row r="6796" spans="7:7" x14ac:dyDescent="0.2">
      <c r="G6796" s="7"/>
    </row>
    <row r="6797" spans="7:7" x14ac:dyDescent="0.2">
      <c r="G6797" s="7"/>
    </row>
    <row r="6798" spans="7:7" x14ac:dyDescent="0.2">
      <c r="G6798" s="7"/>
    </row>
    <row r="6799" spans="7:7" x14ac:dyDescent="0.2">
      <c r="G6799" s="7"/>
    </row>
    <row r="6800" spans="7:7" x14ac:dyDescent="0.2">
      <c r="G6800" s="7"/>
    </row>
    <row r="6801" spans="7:7" x14ac:dyDescent="0.2">
      <c r="G6801" s="7"/>
    </row>
    <row r="6802" spans="7:7" x14ac:dyDescent="0.2">
      <c r="G6802" s="7"/>
    </row>
    <row r="6803" spans="7:7" x14ac:dyDescent="0.2">
      <c r="G6803" s="7"/>
    </row>
    <row r="6804" spans="7:7" x14ac:dyDescent="0.2">
      <c r="G6804" s="7"/>
    </row>
    <row r="6805" spans="7:7" x14ac:dyDescent="0.2">
      <c r="G6805" s="7"/>
    </row>
    <row r="6806" spans="7:7" x14ac:dyDescent="0.2">
      <c r="G6806" s="7"/>
    </row>
    <row r="6807" spans="7:7" x14ac:dyDescent="0.2">
      <c r="G6807" s="7"/>
    </row>
    <row r="6808" spans="7:7" x14ac:dyDescent="0.2">
      <c r="G6808" s="7"/>
    </row>
    <row r="6809" spans="7:7" x14ac:dyDescent="0.2">
      <c r="G6809" s="7"/>
    </row>
    <row r="6810" spans="7:7" x14ac:dyDescent="0.2">
      <c r="G6810" s="7"/>
    </row>
    <row r="6811" spans="7:7" x14ac:dyDescent="0.2">
      <c r="G6811" s="7"/>
    </row>
    <row r="6812" spans="7:7" x14ac:dyDescent="0.2">
      <c r="G6812" s="7"/>
    </row>
    <row r="6813" spans="7:7" x14ac:dyDescent="0.2">
      <c r="G6813" s="7"/>
    </row>
    <row r="6814" spans="7:7" x14ac:dyDescent="0.2">
      <c r="G6814" s="7"/>
    </row>
    <row r="6815" spans="7:7" x14ac:dyDescent="0.2">
      <c r="G6815" s="7"/>
    </row>
    <row r="6816" spans="7:7" x14ac:dyDescent="0.2">
      <c r="G6816" s="7"/>
    </row>
    <row r="6817" spans="7:7" x14ac:dyDescent="0.2">
      <c r="G6817" s="7"/>
    </row>
    <row r="6818" spans="7:7" x14ac:dyDescent="0.2">
      <c r="G6818" s="7"/>
    </row>
    <row r="6819" spans="7:7" x14ac:dyDescent="0.2">
      <c r="G6819" s="7"/>
    </row>
    <row r="6820" spans="7:7" x14ac:dyDescent="0.2">
      <c r="G6820" s="7"/>
    </row>
    <row r="6821" spans="7:7" x14ac:dyDescent="0.2">
      <c r="G6821" s="7"/>
    </row>
    <row r="6822" spans="7:7" x14ac:dyDescent="0.2">
      <c r="G6822" s="7"/>
    </row>
    <row r="6823" spans="7:7" x14ac:dyDescent="0.2">
      <c r="G6823" s="7"/>
    </row>
    <row r="6824" spans="7:7" x14ac:dyDescent="0.2">
      <c r="G6824" s="7"/>
    </row>
    <row r="6825" spans="7:7" x14ac:dyDescent="0.2">
      <c r="G6825" s="7"/>
    </row>
    <row r="6826" spans="7:7" x14ac:dyDescent="0.2">
      <c r="G6826" s="7"/>
    </row>
    <row r="6827" spans="7:7" x14ac:dyDescent="0.2">
      <c r="G6827" s="7"/>
    </row>
    <row r="6828" spans="7:7" x14ac:dyDescent="0.2">
      <c r="G6828" s="7"/>
    </row>
    <row r="6829" spans="7:7" x14ac:dyDescent="0.2">
      <c r="G6829" s="7"/>
    </row>
    <row r="6830" spans="7:7" x14ac:dyDescent="0.2">
      <c r="G6830" s="7"/>
    </row>
    <row r="6831" spans="7:7" x14ac:dyDescent="0.2">
      <c r="G6831" s="7"/>
    </row>
    <row r="6832" spans="7:7" x14ac:dyDescent="0.2">
      <c r="G6832" s="7"/>
    </row>
    <row r="6833" spans="7:7" x14ac:dyDescent="0.2">
      <c r="G6833" s="7"/>
    </row>
    <row r="6834" spans="7:7" x14ac:dyDescent="0.2">
      <c r="G6834" s="7"/>
    </row>
    <row r="6835" spans="7:7" x14ac:dyDescent="0.2">
      <c r="G6835" s="7"/>
    </row>
    <row r="6836" spans="7:7" x14ac:dyDescent="0.2">
      <c r="G6836" s="7"/>
    </row>
    <row r="6837" spans="7:7" x14ac:dyDescent="0.2">
      <c r="G6837" s="7"/>
    </row>
    <row r="6838" spans="7:7" x14ac:dyDescent="0.2">
      <c r="G6838" s="7"/>
    </row>
    <row r="6839" spans="7:7" x14ac:dyDescent="0.2">
      <c r="G6839" s="7"/>
    </row>
    <row r="6840" spans="7:7" x14ac:dyDescent="0.2">
      <c r="G6840" s="7"/>
    </row>
    <row r="6841" spans="7:7" x14ac:dyDescent="0.2">
      <c r="G6841" s="7"/>
    </row>
    <row r="6842" spans="7:7" x14ac:dyDescent="0.2">
      <c r="G6842" s="7"/>
    </row>
    <row r="6843" spans="7:7" x14ac:dyDescent="0.2">
      <c r="G6843" s="7"/>
    </row>
    <row r="6844" spans="7:7" x14ac:dyDescent="0.2">
      <c r="G6844" s="7"/>
    </row>
    <row r="6845" spans="7:7" x14ac:dyDescent="0.2">
      <c r="G6845" s="7"/>
    </row>
    <row r="6846" spans="7:7" x14ac:dyDescent="0.2">
      <c r="G6846" s="7"/>
    </row>
    <row r="6847" spans="7:7" x14ac:dyDescent="0.2">
      <c r="G6847" s="7"/>
    </row>
    <row r="6848" spans="7:7" x14ac:dyDescent="0.2">
      <c r="G6848" s="7"/>
    </row>
    <row r="6849" spans="7:7" x14ac:dyDescent="0.2">
      <c r="G6849" s="7"/>
    </row>
    <row r="6850" spans="7:7" x14ac:dyDescent="0.2">
      <c r="G6850" s="7"/>
    </row>
    <row r="6851" spans="7:7" x14ac:dyDescent="0.2">
      <c r="G6851" s="7"/>
    </row>
    <row r="6852" spans="7:7" x14ac:dyDescent="0.2">
      <c r="G6852" s="7"/>
    </row>
    <row r="6853" spans="7:7" x14ac:dyDescent="0.2">
      <c r="G6853" s="7"/>
    </row>
    <row r="6854" spans="7:7" x14ac:dyDescent="0.2">
      <c r="G6854" s="7"/>
    </row>
    <row r="6855" spans="7:7" x14ac:dyDescent="0.2">
      <c r="G6855" s="7"/>
    </row>
    <row r="6856" spans="7:7" x14ac:dyDescent="0.2">
      <c r="G6856" s="7"/>
    </row>
    <row r="6857" spans="7:7" x14ac:dyDescent="0.2">
      <c r="G6857" s="7"/>
    </row>
    <row r="6858" spans="7:7" x14ac:dyDescent="0.2">
      <c r="G6858" s="7"/>
    </row>
    <row r="6859" spans="7:7" x14ac:dyDescent="0.2">
      <c r="G6859" s="7"/>
    </row>
    <row r="6860" spans="7:7" x14ac:dyDescent="0.2">
      <c r="G6860" s="7"/>
    </row>
    <row r="6861" spans="7:7" x14ac:dyDescent="0.2">
      <c r="G6861" s="7"/>
    </row>
    <row r="6862" spans="7:7" x14ac:dyDescent="0.2">
      <c r="G6862" s="7"/>
    </row>
    <row r="6863" spans="7:7" x14ac:dyDescent="0.2">
      <c r="G6863" s="7"/>
    </row>
    <row r="6864" spans="7:7" x14ac:dyDescent="0.2">
      <c r="G6864" s="7"/>
    </row>
    <row r="6865" spans="7:7" x14ac:dyDescent="0.2">
      <c r="G6865" s="7"/>
    </row>
    <row r="6866" spans="7:7" x14ac:dyDescent="0.2">
      <c r="G6866" s="7"/>
    </row>
    <row r="6867" spans="7:7" x14ac:dyDescent="0.2">
      <c r="G6867" s="7"/>
    </row>
    <row r="6868" spans="7:7" x14ac:dyDescent="0.2">
      <c r="G6868" s="7"/>
    </row>
    <row r="6869" spans="7:7" x14ac:dyDescent="0.2">
      <c r="G6869" s="7"/>
    </row>
    <row r="6870" spans="7:7" x14ac:dyDescent="0.2">
      <c r="G6870" s="7"/>
    </row>
    <row r="6871" spans="7:7" x14ac:dyDescent="0.2">
      <c r="G6871" s="7"/>
    </row>
    <row r="6872" spans="7:7" x14ac:dyDescent="0.2">
      <c r="G6872" s="7"/>
    </row>
    <row r="6873" spans="7:7" x14ac:dyDescent="0.2">
      <c r="G6873" s="7"/>
    </row>
    <row r="6874" spans="7:7" x14ac:dyDescent="0.2">
      <c r="G6874" s="7"/>
    </row>
    <row r="6875" spans="7:7" x14ac:dyDescent="0.2">
      <c r="G6875" s="7"/>
    </row>
    <row r="6876" spans="7:7" x14ac:dyDescent="0.2">
      <c r="G6876" s="7"/>
    </row>
    <row r="6877" spans="7:7" x14ac:dyDescent="0.2">
      <c r="G6877" s="7"/>
    </row>
    <row r="6878" spans="7:7" x14ac:dyDescent="0.2">
      <c r="G6878" s="7"/>
    </row>
    <row r="6879" spans="7:7" x14ac:dyDescent="0.2">
      <c r="G6879" s="7"/>
    </row>
    <row r="6880" spans="7:7" x14ac:dyDescent="0.2">
      <c r="G6880" s="7"/>
    </row>
    <row r="6881" spans="7:7" x14ac:dyDescent="0.2">
      <c r="G6881" s="7"/>
    </row>
    <row r="6882" spans="7:7" x14ac:dyDescent="0.2">
      <c r="G6882" s="7"/>
    </row>
    <row r="6883" spans="7:7" x14ac:dyDescent="0.2">
      <c r="G6883" s="7"/>
    </row>
    <row r="6884" spans="7:7" x14ac:dyDescent="0.2">
      <c r="G6884" s="7"/>
    </row>
    <row r="6885" spans="7:7" x14ac:dyDescent="0.2">
      <c r="G6885" s="7"/>
    </row>
    <row r="6886" spans="7:7" x14ac:dyDescent="0.2">
      <c r="G6886" s="7"/>
    </row>
    <row r="6887" spans="7:7" x14ac:dyDescent="0.2">
      <c r="G6887" s="7"/>
    </row>
    <row r="6888" spans="7:7" x14ac:dyDescent="0.2">
      <c r="G6888" s="7"/>
    </row>
    <row r="6889" spans="7:7" x14ac:dyDescent="0.2">
      <c r="G6889" s="7"/>
    </row>
    <row r="6890" spans="7:7" x14ac:dyDescent="0.2">
      <c r="G6890" s="7"/>
    </row>
    <row r="6891" spans="7:7" x14ac:dyDescent="0.2">
      <c r="G6891" s="7"/>
    </row>
    <row r="6892" spans="7:7" x14ac:dyDescent="0.2">
      <c r="G6892" s="7"/>
    </row>
    <row r="6893" spans="7:7" x14ac:dyDescent="0.2">
      <c r="G6893" s="7"/>
    </row>
    <row r="6894" spans="7:7" x14ac:dyDescent="0.2">
      <c r="G6894" s="7"/>
    </row>
    <row r="6895" spans="7:7" x14ac:dyDescent="0.2">
      <c r="G6895" s="7"/>
    </row>
    <row r="6896" spans="7:7" x14ac:dyDescent="0.2">
      <c r="G6896" s="7"/>
    </row>
    <row r="6897" spans="7:7" x14ac:dyDescent="0.2">
      <c r="G6897" s="7"/>
    </row>
    <row r="6898" spans="7:7" x14ac:dyDescent="0.2">
      <c r="G6898" s="7"/>
    </row>
    <row r="6899" spans="7:7" x14ac:dyDescent="0.2">
      <c r="G6899" s="7"/>
    </row>
    <row r="6900" spans="7:7" x14ac:dyDescent="0.2">
      <c r="G6900" s="7"/>
    </row>
    <row r="6901" spans="7:7" x14ac:dyDescent="0.2">
      <c r="G6901" s="7"/>
    </row>
    <row r="6902" spans="7:7" x14ac:dyDescent="0.2">
      <c r="G6902" s="7"/>
    </row>
    <row r="6903" spans="7:7" x14ac:dyDescent="0.2">
      <c r="G6903" s="7"/>
    </row>
    <row r="6904" spans="7:7" x14ac:dyDescent="0.2">
      <c r="G6904" s="7"/>
    </row>
    <row r="6905" spans="7:7" x14ac:dyDescent="0.2">
      <c r="G6905" s="7"/>
    </row>
    <row r="6906" spans="7:7" x14ac:dyDescent="0.2">
      <c r="G6906" s="7"/>
    </row>
    <row r="6907" spans="7:7" x14ac:dyDescent="0.2">
      <c r="G6907" s="7"/>
    </row>
    <row r="6908" spans="7:7" x14ac:dyDescent="0.2">
      <c r="G6908" s="7"/>
    </row>
    <row r="6909" spans="7:7" x14ac:dyDescent="0.2">
      <c r="G6909" s="7"/>
    </row>
    <row r="6910" spans="7:7" x14ac:dyDescent="0.2">
      <c r="G6910" s="7"/>
    </row>
    <row r="6911" spans="7:7" x14ac:dyDescent="0.2">
      <c r="G6911" s="7"/>
    </row>
    <row r="6912" spans="7:7" x14ac:dyDescent="0.2">
      <c r="G6912" s="7"/>
    </row>
    <row r="6913" spans="7:7" x14ac:dyDescent="0.2">
      <c r="G6913" s="7"/>
    </row>
    <row r="6914" spans="7:7" x14ac:dyDescent="0.2">
      <c r="G6914" s="7"/>
    </row>
    <row r="6915" spans="7:7" x14ac:dyDescent="0.2">
      <c r="G6915" s="7"/>
    </row>
    <row r="6916" spans="7:7" x14ac:dyDescent="0.2">
      <c r="G6916" s="7"/>
    </row>
    <row r="6917" spans="7:7" x14ac:dyDescent="0.2">
      <c r="G6917" s="7"/>
    </row>
    <row r="6918" spans="7:7" x14ac:dyDescent="0.2">
      <c r="G6918" s="7"/>
    </row>
    <row r="6919" spans="7:7" x14ac:dyDescent="0.2">
      <c r="G6919" s="7"/>
    </row>
    <row r="6920" spans="7:7" x14ac:dyDescent="0.2">
      <c r="G6920" s="7"/>
    </row>
    <row r="6921" spans="7:7" x14ac:dyDescent="0.2">
      <c r="G6921" s="7"/>
    </row>
    <row r="6922" spans="7:7" x14ac:dyDescent="0.2">
      <c r="G6922" s="7"/>
    </row>
    <row r="6923" spans="7:7" x14ac:dyDescent="0.2">
      <c r="G6923" s="7"/>
    </row>
    <row r="6924" spans="7:7" x14ac:dyDescent="0.2">
      <c r="G6924" s="7"/>
    </row>
    <row r="6925" spans="7:7" x14ac:dyDescent="0.2">
      <c r="G6925" s="7"/>
    </row>
    <row r="6926" spans="7:7" x14ac:dyDescent="0.2">
      <c r="G6926" s="7"/>
    </row>
    <row r="6927" spans="7:7" x14ac:dyDescent="0.2">
      <c r="G6927" s="7"/>
    </row>
    <row r="6928" spans="7:7" x14ac:dyDescent="0.2">
      <c r="G6928" s="7"/>
    </row>
    <row r="6929" spans="7:7" x14ac:dyDescent="0.2">
      <c r="G6929" s="7"/>
    </row>
    <row r="6930" spans="7:7" x14ac:dyDescent="0.2">
      <c r="G6930" s="7"/>
    </row>
    <row r="6931" spans="7:7" x14ac:dyDescent="0.2">
      <c r="G6931" s="7"/>
    </row>
    <row r="6932" spans="7:7" x14ac:dyDescent="0.2">
      <c r="G6932" s="7"/>
    </row>
    <row r="6933" spans="7:7" x14ac:dyDescent="0.2">
      <c r="G6933" s="7"/>
    </row>
    <row r="6934" spans="7:7" x14ac:dyDescent="0.2">
      <c r="G6934" s="7"/>
    </row>
    <row r="6935" spans="7:7" x14ac:dyDescent="0.2">
      <c r="G6935" s="7"/>
    </row>
    <row r="6936" spans="7:7" x14ac:dyDescent="0.2">
      <c r="G6936" s="7"/>
    </row>
    <row r="6937" spans="7:7" x14ac:dyDescent="0.2">
      <c r="G6937" s="7"/>
    </row>
    <row r="6938" spans="7:7" x14ac:dyDescent="0.2">
      <c r="G6938" s="7"/>
    </row>
    <row r="6939" spans="7:7" x14ac:dyDescent="0.2">
      <c r="G6939" s="7"/>
    </row>
    <row r="6940" spans="7:7" x14ac:dyDescent="0.2">
      <c r="G6940" s="7"/>
    </row>
    <row r="6941" spans="7:7" x14ac:dyDescent="0.2">
      <c r="G6941" s="7"/>
    </row>
    <row r="6942" spans="7:7" x14ac:dyDescent="0.2">
      <c r="G6942" s="7"/>
    </row>
    <row r="6943" spans="7:7" x14ac:dyDescent="0.2">
      <c r="G6943" s="7"/>
    </row>
    <row r="6944" spans="7:7" x14ac:dyDescent="0.2">
      <c r="G6944" s="7"/>
    </row>
    <row r="6945" spans="7:7" x14ac:dyDescent="0.2">
      <c r="G6945" s="7"/>
    </row>
    <row r="6946" spans="7:7" x14ac:dyDescent="0.2">
      <c r="G6946" s="7"/>
    </row>
    <row r="6947" spans="7:7" x14ac:dyDescent="0.2">
      <c r="G6947" s="7"/>
    </row>
    <row r="6948" spans="7:7" x14ac:dyDescent="0.2">
      <c r="G6948" s="7"/>
    </row>
    <row r="6949" spans="7:7" x14ac:dyDescent="0.2">
      <c r="G6949" s="7"/>
    </row>
    <row r="6950" spans="7:7" x14ac:dyDescent="0.2">
      <c r="G6950" s="7"/>
    </row>
    <row r="6951" spans="7:7" x14ac:dyDescent="0.2">
      <c r="G6951" s="7"/>
    </row>
    <row r="6952" spans="7:7" x14ac:dyDescent="0.2">
      <c r="G6952" s="7"/>
    </row>
    <row r="6953" spans="7:7" x14ac:dyDescent="0.2">
      <c r="G6953" s="7"/>
    </row>
    <row r="6954" spans="7:7" x14ac:dyDescent="0.2">
      <c r="G6954" s="7"/>
    </row>
    <row r="6955" spans="7:7" x14ac:dyDescent="0.2">
      <c r="G6955" s="7"/>
    </row>
    <row r="6956" spans="7:7" x14ac:dyDescent="0.2">
      <c r="G6956" s="7"/>
    </row>
    <row r="6957" spans="7:7" x14ac:dyDescent="0.2">
      <c r="G6957" s="7"/>
    </row>
    <row r="6958" spans="7:7" x14ac:dyDescent="0.2">
      <c r="G6958" s="7"/>
    </row>
    <row r="6959" spans="7:7" x14ac:dyDescent="0.2">
      <c r="G6959" s="7"/>
    </row>
    <row r="6960" spans="7:7" x14ac:dyDescent="0.2">
      <c r="G6960" s="7"/>
    </row>
    <row r="6961" spans="7:7" x14ac:dyDescent="0.2">
      <c r="G6961" s="7"/>
    </row>
    <row r="6962" spans="7:7" x14ac:dyDescent="0.2">
      <c r="G6962" s="7"/>
    </row>
    <row r="6963" spans="7:7" x14ac:dyDescent="0.2">
      <c r="G6963" s="7"/>
    </row>
    <row r="6964" spans="7:7" x14ac:dyDescent="0.2">
      <c r="G6964" s="7"/>
    </row>
    <row r="6965" spans="7:7" x14ac:dyDescent="0.2">
      <c r="G6965" s="7"/>
    </row>
    <row r="6966" spans="7:7" x14ac:dyDescent="0.2">
      <c r="G6966" s="7"/>
    </row>
    <row r="6967" spans="7:7" x14ac:dyDescent="0.2">
      <c r="G6967" s="7"/>
    </row>
    <row r="6968" spans="7:7" x14ac:dyDescent="0.2">
      <c r="G6968" s="7"/>
    </row>
    <row r="6969" spans="7:7" x14ac:dyDescent="0.2">
      <c r="G6969" s="7"/>
    </row>
    <row r="6970" spans="7:7" x14ac:dyDescent="0.2">
      <c r="G6970" s="7"/>
    </row>
    <row r="6971" spans="7:7" x14ac:dyDescent="0.2">
      <c r="G6971" s="7"/>
    </row>
    <row r="6972" spans="7:7" x14ac:dyDescent="0.2">
      <c r="G6972" s="7"/>
    </row>
    <row r="6973" spans="7:7" x14ac:dyDescent="0.2">
      <c r="G6973" s="7"/>
    </row>
    <row r="6974" spans="7:7" x14ac:dyDescent="0.2">
      <c r="G6974" s="7"/>
    </row>
    <row r="6975" spans="7:7" x14ac:dyDescent="0.2">
      <c r="G6975" s="7"/>
    </row>
    <row r="6976" spans="7:7" x14ac:dyDescent="0.2">
      <c r="G6976" s="7"/>
    </row>
    <row r="6977" spans="7:7" x14ac:dyDescent="0.2">
      <c r="G6977" s="7"/>
    </row>
    <row r="6978" spans="7:7" x14ac:dyDescent="0.2">
      <c r="G6978" s="7"/>
    </row>
    <row r="6979" spans="7:7" x14ac:dyDescent="0.2">
      <c r="G6979" s="7"/>
    </row>
    <row r="6980" spans="7:7" x14ac:dyDescent="0.2">
      <c r="G6980" s="7"/>
    </row>
    <row r="6981" spans="7:7" x14ac:dyDescent="0.2">
      <c r="G6981" s="7"/>
    </row>
    <row r="6982" spans="7:7" x14ac:dyDescent="0.2">
      <c r="G6982" s="7"/>
    </row>
    <row r="6983" spans="7:7" x14ac:dyDescent="0.2">
      <c r="G6983" s="7"/>
    </row>
    <row r="6984" spans="7:7" x14ac:dyDescent="0.2">
      <c r="G6984" s="7"/>
    </row>
    <row r="6985" spans="7:7" x14ac:dyDescent="0.2">
      <c r="G6985" s="7"/>
    </row>
    <row r="6986" spans="7:7" x14ac:dyDescent="0.2">
      <c r="G6986" s="7"/>
    </row>
    <row r="6987" spans="7:7" x14ac:dyDescent="0.2">
      <c r="G6987" s="7"/>
    </row>
    <row r="6988" spans="7:7" x14ac:dyDescent="0.2">
      <c r="G6988" s="7"/>
    </row>
    <row r="6989" spans="7:7" x14ac:dyDescent="0.2">
      <c r="G6989" s="7"/>
    </row>
    <row r="6990" spans="7:7" x14ac:dyDescent="0.2">
      <c r="G6990" s="7"/>
    </row>
    <row r="6991" spans="7:7" x14ac:dyDescent="0.2">
      <c r="G6991" s="7"/>
    </row>
    <row r="6992" spans="7:7" x14ac:dyDescent="0.2">
      <c r="G6992" s="7"/>
    </row>
    <row r="6993" spans="7:7" x14ac:dyDescent="0.2">
      <c r="G6993" s="7"/>
    </row>
    <row r="6994" spans="7:7" x14ac:dyDescent="0.2">
      <c r="G6994" s="7"/>
    </row>
    <row r="6995" spans="7:7" x14ac:dyDescent="0.2">
      <c r="G6995" s="7"/>
    </row>
    <row r="6996" spans="7:7" x14ac:dyDescent="0.2">
      <c r="G6996" s="7"/>
    </row>
    <row r="6997" spans="7:7" x14ac:dyDescent="0.2">
      <c r="G6997" s="7"/>
    </row>
    <row r="6998" spans="7:7" x14ac:dyDescent="0.2">
      <c r="G6998" s="7"/>
    </row>
    <row r="6999" spans="7:7" x14ac:dyDescent="0.2">
      <c r="G6999" s="7"/>
    </row>
    <row r="7000" spans="7:7" x14ac:dyDescent="0.2">
      <c r="G7000" s="7"/>
    </row>
    <row r="7001" spans="7:7" x14ac:dyDescent="0.2">
      <c r="G7001" s="7"/>
    </row>
    <row r="7002" spans="7:7" x14ac:dyDescent="0.2">
      <c r="G7002" s="7"/>
    </row>
    <row r="7003" spans="7:7" x14ac:dyDescent="0.2">
      <c r="G7003" s="7"/>
    </row>
    <row r="7004" spans="7:7" x14ac:dyDescent="0.2">
      <c r="G7004" s="7"/>
    </row>
    <row r="7005" spans="7:7" x14ac:dyDescent="0.2">
      <c r="G7005" s="7"/>
    </row>
    <row r="7006" spans="7:7" x14ac:dyDescent="0.2">
      <c r="G7006" s="7"/>
    </row>
    <row r="7007" spans="7:7" x14ac:dyDescent="0.2">
      <c r="G7007" s="7"/>
    </row>
    <row r="7008" spans="7:7" x14ac:dyDescent="0.2">
      <c r="G7008" s="7"/>
    </row>
    <row r="7009" spans="7:7" x14ac:dyDescent="0.2">
      <c r="G7009" s="7"/>
    </row>
    <row r="7010" spans="7:7" x14ac:dyDescent="0.2">
      <c r="G7010" s="7"/>
    </row>
    <row r="7011" spans="7:7" x14ac:dyDescent="0.2">
      <c r="G7011" s="7"/>
    </row>
    <row r="7012" spans="7:7" x14ac:dyDescent="0.2">
      <c r="G7012" s="7"/>
    </row>
    <row r="7013" spans="7:7" x14ac:dyDescent="0.2">
      <c r="G7013" s="7"/>
    </row>
    <row r="7014" spans="7:7" x14ac:dyDescent="0.2">
      <c r="G7014" s="7"/>
    </row>
    <row r="7015" spans="7:7" x14ac:dyDescent="0.2">
      <c r="G7015" s="7"/>
    </row>
    <row r="7016" spans="7:7" x14ac:dyDescent="0.2">
      <c r="G7016" s="7"/>
    </row>
    <row r="7017" spans="7:7" x14ac:dyDescent="0.2">
      <c r="G7017" s="7"/>
    </row>
    <row r="7018" spans="7:7" x14ac:dyDescent="0.2">
      <c r="G7018" s="7"/>
    </row>
    <row r="7019" spans="7:7" x14ac:dyDescent="0.2">
      <c r="G7019" s="7"/>
    </row>
    <row r="7020" spans="7:7" x14ac:dyDescent="0.2">
      <c r="G7020" s="7"/>
    </row>
    <row r="7021" spans="7:7" x14ac:dyDescent="0.2">
      <c r="G7021" s="7"/>
    </row>
    <row r="7022" spans="7:7" x14ac:dyDescent="0.2">
      <c r="G7022" s="7"/>
    </row>
    <row r="7023" spans="7:7" x14ac:dyDescent="0.2">
      <c r="G7023" s="7"/>
    </row>
    <row r="7024" spans="7:7" x14ac:dyDescent="0.2">
      <c r="G7024" s="7"/>
    </row>
    <row r="7025" spans="7:7" x14ac:dyDescent="0.2">
      <c r="G7025" s="7"/>
    </row>
    <row r="7026" spans="7:7" x14ac:dyDescent="0.2">
      <c r="G7026" s="7"/>
    </row>
    <row r="7027" spans="7:7" x14ac:dyDescent="0.2">
      <c r="G7027" s="7"/>
    </row>
    <row r="7028" spans="7:7" x14ac:dyDescent="0.2">
      <c r="G7028" s="7"/>
    </row>
    <row r="7029" spans="7:7" x14ac:dyDescent="0.2">
      <c r="G7029" s="7"/>
    </row>
    <row r="7030" spans="7:7" x14ac:dyDescent="0.2">
      <c r="G7030" s="7"/>
    </row>
    <row r="7031" spans="7:7" x14ac:dyDescent="0.2">
      <c r="G7031" s="7"/>
    </row>
    <row r="7032" spans="7:7" x14ac:dyDescent="0.2">
      <c r="G7032" s="7"/>
    </row>
    <row r="7033" spans="7:7" x14ac:dyDescent="0.2">
      <c r="G7033" s="7"/>
    </row>
    <row r="7034" spans="7:7" x14ac:dyDescent="0.2">
      <c r="G7034" s="7"/>
    </row>
    <row r="7035" spans="7:7" x14ac:dyDescent="0.2">
      <c r="G7035" s="7"/>
    </row>
    <row r="7036" spans="7:7" x14ac:dyDescent="0.2">
      <c r="G7036" s="7"/>
    </row>
    <row r="7037" spans="7:7" x14ac:dyDescent="0.2">
      <c r="G7037" s="7"/>
    </row>
    <row r="7038" spans="7:7" x14ac:dyDescent="0.2">
      <c r="G7038" s="7"/>
    </row>
    <row r="7039" spans="7:7" x14ac:dyDescent="0.2">
      <c r="G7039" s="7"/>
    </row>
    <row r="7040" spans="7:7" x14ac:dyDescent="0.2">
      <c r="G7040" s="7"/>
    </row>
    <row r="7041" spans="7:7" x14ac:dyDescent="0.2">
      <c r="G7041" s="7"/>
    </row>
    <row r="7042" spans="7:7" x14ac:dyDescent="0.2">
      <c r="G7042" s="7"/>
    </row>
    <row r="7043" spans="7:7" x14ac:dyDescent="0.2">
      <c r="G7043" s="7"/>
    </row>
    <row r="7044" spans="7:7" x14ac:dyDescent="0.2">
      <c r="G7044" s="7"/>
    </row>
    <row r="7045" spans="7:7" x14ac:dyDescent="0.2">
      <c r="G7045" s="7"/>
    </row>
    <row r="7046" spans="7:7" x14ac:dyDescent="0.2">
      <c r="G7046" s="7"/>
    </row>
    <row r="7047" spans="7:7" x14ac:dyDescent="0.2">
      <c r="G7047" s="7"/>
    </row>
    <row r="7048" spans="7:7" x14ac:dyDescent="0.2">
      <c r="G7048" s="7"/>
    </row>
    <row r="7049" spans="7:7" x14ac:dyDescent="0.2">
      <c r="G7049" s="7"/>
    </row>
    <row r="7050" spans="7:7" x14ac:dyDescent="0.2">
      <c r="G7050" s="7"/>
    </row>
    <row r="7051" spans="7:7" x14ac:dyDescent="0.2">
      <c r="G7051" s="7"/>
    </row>
    <row r="7052" spans="7:7" x14ac:dyDescent="0.2">
      <c r="G7052" s="7"/>
    </row>
    <row r="7053" spans="7:7" x14ac:dyDescent="0.2">
      <c r="G7053" s="7"/>
    </row>
    <row r="7054" spans="7:7" x14ac:dyDescent="0.2">
      <c r="G7054" s="7"/>
    </row>
    <row r="7055" spans="7:7" x14ac:dyDescent="0.2">
      <c r="G7055" s="7"/>
    </row>
    <row r="7056" spans="7:7" x14ac:dyDescent="0.2">
      <c r="G7056" s="7"/>
    </row>
    <row r="7057" spans="7:7" x14ac:dyDescent="0.2">
      <c r="G7057" s="7"/>
    </row>
    <row r="7058" spans="7:7" x14ac:dyDescent="0.2">
      <c r="G7058" s="7"/>
    </row>
    <row r="7059" spans="7:7" x14ac:dyDescent="0.2">
      <c r="G7059" s="7"/>
    </row>
    <row r="7060" spans="7:7" x14ac:dyDescent="0.2">
      <c r="G7060" s="7"/>
    </row>
    <row r="7061" spans="7:7" x14ac:dyDescent="0.2">
      <c r="G7061" s="7"/>
    </row>
    <row r="7062" spans="7:7" x14ac:dyDescent="0.2">
      <c r="G7062" s="7"/>
    </row>
    <row r="7063" spans="7:7" x14ac:dyDescent="0.2">
      <c r="G7063" s="7"/>
    </row>
    <row r="7064" spans="7:7" x14ac:dyDescent="0.2">
      <c r="G7064" s="7"/>
    </row>
    <row r="7065" spans="7:7" x14ac:dyDescent="0.2">
      <c r="G7065" s="7"/>
    </row>
    <row r="7066" spans="7:7" x14ac:dyDescent="0.2">
      <c r="G7066" s="7"/>
    </row>
    <row r="7067" spans="7:7" x14ac:dyDescent="0.2">
      <c r="G7067" s="7"/>
    </row>
    <row r="7068" spans="7:7" x14ac:dyDescent="0.2">
      <c r="G7068" s="7"/>
    </row>
    <row r="7069" spans="7:7" x14ac:dyDescent="0.2">
      <c r="G7069" s="7"/>
    </row>
    <row r="7070" spans="7:7" x14ac:dyDescent="0.2">
      <c r="G7070" s="7"/>
    </row>
    <row r="7071" spans="7:7" x14ac:dyDescent="0.2">
      <c r="G7071" s="7"/>
    </row>
    <row r="7072" spans="7:7" x14ac:dyDescent="0.2">
      <c r="G7072" s="7"/>
    </row>
    <row r="7073" spans="7:7" x14ac:dyDescent="0.2">
      <c r="G7073" s="7"/>
    </row>
    <row r="7074" spans="7:7" x14ac:dyDescent="0.2">
      <c r="G7074" s="7"/>
    </row>
    <row r="7075" spans="7:7" x14ac:dyDescent="0.2">
      <c r="G7075" s="7"/>
    </row>
    <row r="7076" spans="7:7" x14ac:dyDescent="0.2">
      <c r="G7076" s="7"/>
    </row>
    <row r="7077" spans="7:7" x14ac:dyDescent="0.2">
      <c r="G7077" s="7"/>
    </row>
    <row r="7078" spans="7:7" x14ac:dyDescent="0.2">
      <c r="G7078" s="7"/>
    </row>
    <row r="7079" spans="7:7" x14ac:dyDescent="0.2">
      <c r="G7079" s="7"/>
    </row>
    <row r="7080" spans="7:7" x14ac:dyDescent="0.2">
      <c r="G7080" s="7"/>
    </row>
    <row r="7081" spans="7:7" x14ac:dyDescent="0.2">
      <c r="G7081" s="7"/>
    </row>
    <row r="7082" spans="7:7" x14ac:dyDescent="0.2">
      <c r="G7082" s="7"/>
    </row>
    <row r="7083" spans="7:7" x14ac:dyDescent="0.2">
      <c r="G7083" s="7"/>
    </row>
    <row r="7084" spans="7:7" x14ac:dyDescent="0.2">
      <c r="G7084" s="7"/>
    </row>
    <row r="7085" spans="7:7" x14ac:dyDescent="0.2">
      <c r="G7085" s="7"/>
    </row>
    <row r="7086" spans="7:7" x14ac:dyDescent="0.2">
      <c r="G7086" s="7"/>
    </row>
    <row r="7087" spans="7:7" x14ac:dyDescent="0.2">
      <c r="G7087" s="7"/>
    </row>
    <row r="7088" spans="7:7" x14ac:dyDescent="0.2">
      <c r="G7088" s="7"/>
    </row>
    <row r="7089" spans="7:7" x14ac:dyDescent="0.2">
      <c r="G7089" s="7"/>
    </row>
    <row r="7090" spans="7:7" x14ac:dyDescent="0.2">
      <c r="G7090" s="7"/>
    </row>
    <row r="7091" spans="7:7" x14ac:dyDescent="0.2">
      <c r="G7091" s="7"/>
    </row>
    <row r="7092" spans="7:7" x14ac:dyDescent="0.2">
      <c r="G7092" s="7"/>
    </row>
    <row r="7093" spans="7:7" x14ac:dyDescent="0.2">
      <c r="G7093" s="7"/>
    </row>
    <row r="7094" spans="7:7" x14ac:dyDescent="0.2">
      <c r="G7094" s="7"/>
    </row>
    <row r="7095" spans="7:7" x14ac:dyDescent="0.2">
      <c r="G7095" s="7"/>
    </row>
    <row r="7096" spans="7:7" x14ac:dyDescent="0.2">
      <c r="G7096" s="7"/>
    </row>
    <row r="7097" spans="7:7" x14ac:dyDescent="0.2">
      <c r="G7097" s="7"/>
    </row>
    <row r="7098" spans="7:7" x14ac:dyDescent="0.2">
      <c r="G7098" s="7"/>
    </row>
    <row r="7099" spans="7:7" x14ac:dyDescent="0.2">
      <c r="G7099" s="7"/>
    </row>
    <row r="7100" spans="7:7" x14ac:dyDescent="0.2">
      <c r="G7100" s="7"/>
    </row>
    <row r="7101" spans="7:7" x14ac:dyDescent="0.2">
      <c r="G7101" s="7"/>
    </row>
    <row r="7102" spans="7:7" x14ac:dyDescent="0.2">
      <c r="G7102" s="7"/>
    </row>
    <row r="7103" spans="7:7" x14ac:dyDescent="0.2">
      <c r="G7103" s="7"/>
    </row>
    <row r="7104" spans="7:7" x14ac:dyDescent="0.2">
      <c r="G7104" s="7"/>
    </row>
    <row r="7105" spans="7:7" x14ac:dyDescent="0.2">
      <c r="G7105" s="7"/>
    </row>
    <row r="7106" spans="7:7" x14ac:dyDescent="0.2">
      <c r="G7106" s="7"/>
    </row>
    <row r="7107" spans="7:7" x14ac:dyDescent="0.2">
      <c r="G7107" s="7"/>
    </row>
    <row r="7108" spans="7:7" x14ac:dyDescent="0.2">
      <c r="G7108" s="7"/>
    </row>
    <row r="7109" spans="7:7" x14ac:dyDescent="0.2">
      <c r="G7109" s="7"/>
    </row>
    <row r="7110" spans="7:7" x14ac:dyDescent="0.2">
      <c r="G7110" s="7"/>
    </row>
    <row r="7111" spans="7:7" x14ac:dyDescent="0.2">
      <c r="G7111" s="7"/>
    </row>
    <row r="7112" spans="7:7" x14ac:dyDescent="0.2">
      <c r="G7112" s="7"/>
    </row>
    <row r="7113" spans="7:7" x14ac:dyDescent="0.2">
      <c r="G7113" s="7"/>
    </row>
    <row r="7114" spans="7:7" x14ac:dyDescent="0.2">
      <c r="G7114" s="7"/>
    </row>
    <row r="7115" spans="7:7" x14ac:dyDescent="0.2">
      <c r="G7115" s="7"/>
    </row>
    <row r="7116" spans="7:7" x14ac:dyDescent="0.2">
      <c r="G7116" s="7"/>
    </row>
    <row r="7117" spans="7:7" x14ac:dyDescent="0.2">
      <c r="G7117" s="7"/>
    </row>
    <row r="7118" spans="7:7" x14ac:dyDescent="0.2">
      <c r="G7118" s="7"/>
    </row>
    <row r="7119" spans="7:7" x14ac:dyDescent="0.2">
      <c r="G7119" s="7"/>
    </row>
    <row r="7120" spans="7:7" x14ac:dyDescent="0.2">
      <c r="G7120" s="7"/>
    </row>
    <row r="7121" spans="7:7" x14ac:dyDescent="0.2">
      <c r="G7121" s="7"/>
    </row>
    <row r="7122" spans="7:7" x14ac:dyDescent="0.2">
      <c r="G7122" s="7"/>
    </row>
    <row r="7123" spans="7:7" x14ac:dyDescent="0.2">
      <c r="G7123" s="7"/>
    </row>
    <row r="7124" spans="7:7" x14ac:dyDescent="0.2">
      <c r="G7124" s="7"/>
    </row>
    <row r="7125" spans="7:7" x14ac:dyDescent="0.2">
      <c r="G7125" s="7"/>
    </row>
    <row r="7126" spans="7:7" x14ac:dyDescent="0.2">
      <c r="G7126" s="7"/>
    </row>
    <row r="7127" spans="7:7" x14ac:dyDescent="0.2">
      <c r="G7127" s="7"/>
    </row>
    <row r="7128" spans="7:7" x14ac:dyDescent="0.2">
      <c r="G7128" s="7"/>
    </row>
    <row r="7129" spans="7:7" x14ac:dyDescent="0.2">
      <c r="G7129" s="7"/>
    </row>
    <row r="7130" spans="7:7" x14ac:dyDescent="0.2">
      <c r="G7130" s="7"/>
    </row>
    <row r="7131" spans="7:7" x14ac:dyDescent="0.2">
      <c r="G7131" s="7"/>
    </row>
    <row r="7132" spans="7:7" x14ac:dyDescent="0.2">
      <c r="G7132" s="7"/>
    </row>
    <row r="7133" spans="7:7" x14ac:dyDescent="0.2">
      <c r="G7133" s="7"/>
    </row>
    <row r="7134" spans="7:7" x14ac:dyDescent="0.2">
      <c r="G7134" s="7"/>
    </row>
    <row r="7135" spans="7:7" x14ac:dyDescent="0.2">
      <c r="G7135" s="7"/>
    </row>
    <row r="7136" spans="7:7" x14ac:dyDescent="0.2">
      <c r="G7136" s="7"/>
    </row>
    <row r="7137" spans="7:7" x14ac:dyDescent="0.2">
      <c r="G7137" s="7"/>
    </row>
    <row r="7138" spans="7:7" x14ac:dyDescent="0.2">
      <c r="G7138" s="7"/>
    </row>
    <row r="7139" spans="7:7" x14ac:dyDescent="0.2">
      <c r="G7139" s="7"/>
    </row>
    <row r="7140" spans="7:7" x14ac:dyDescent="0.2">
      <c r="G7140" s="7"/>
    </row>
    <row r="7141" spans="7:7" x14ac:dyDescent="0.2">
      <c r="G7141" s="7"/>
    </row>
    <row r="7142" spans="7:7" x14ac:dyDescent="0.2">
      <c r="G7142" s="7"/>
    </row>
    <row r="7143" spans="7:7" x14ac:dyDescent="0.2">
      <c r="G7143" s="7"/>
    </row>
    <row r="7144" spans="7:7" x14ac:dyDescent="0.2">
      <c r="G7144" s="7"/>
    </row>
    <row r="7145" spans="7:7" x14ac:dyDescent="0.2">
      <c r="G7145" s="7"/>
    </row>
    <row r="7146" spans="7:7" x14ac:dyDescent="0.2">
      <c r="G7146" s="7"/>
    </row>
    <row r="7147" spans="7:7" x14ac:dyDescent="0.2">
      <c r="G7147" s="7"/>
    </row>
    <row r="7148" spans="7:7" x14ac:dyDescent="0.2">
      <c r="G7148" s="7"/>
    </row>
    <row r="7149" spans="7:7" x14ac:dyDescent="0.2">
      <c r="G7149" s="7"/>
    </row>
    <row r="7150" spans="7:7" x14ac:dyDescent="0.2">
      <c r="G7150" s="7"/>
    </row>
    <row r="7151" spans="7:7" x14ac:dyDescent="0.2">
      <c r="G7151" s="7"/>
    </row>
    <row r="7152" spans="7:7" x14ac:dyDescent="0.2">
      <c r="G7152" s="7"/>
    </row>
    <row r="7153" spans="7:7" x14ac:dyDescent="0.2">
      <c r="G7153" s="7"/>
    </row>
    <row r="7154" spans="7:7" x14ac:dyDescent="0.2">
      <c r="G7154" s="7"/>
    </row>
    <row r="7155" spans="7:7" x14ac:dyDescent="0.2">
      <c r="G7155" s="7"/>
    </row>
    <row r="7156" spans="7:7" x14ac:dyDescent="0.2">
      <c r="G7156" s="7"/>
    </row>
    <row r="7157" spans="7:7" x14ac:dyDescent="0.2">
      <c r="G7157" s="7"/>
    </row>
    <row r="7158" spans="7:7" x14ac:dyDescent="0.2">
      <c r="G7158" s="7"/>
    </row>
    <row r="7159" spans="7:7" x14ac:dyDescent="0.2">
      <c r="G7159" s="7"/>
    </row>
    <row r="7160" spans="7:7" x14ac:dyDescent="0.2">
      <c r="G7160" s="7"/>
    </row>
    <row r="7161" spans="7:7" x14ac:dyDescent="0.2">
      <c r="G7161" s="7"/>
    </row>
    <row r="7162" spans="7:7" x14ac:dyDescent="0.2">
      <c r="G7162" s="7"/>
    </row>
    <row r="7163" spans="7:7" x14ac:dyDescent="0.2">
      <c r="G7163" s="7"/>
    </row>
    <row r="7164" spans="7:7" x14ac:dyDescent="0.2">
      <c r="G7164" s="7"/>
    </row>
    <row r="7165" spans="7:7" x14ac:dyDescent="0.2">
      <c r="G7165" s="7"/>
    </row>
    <row r="7166" spans="7:7" x14ac:dyDescent="0.2">
      <c r="G7166" s="7"/>
    </row>
    <row r="7167" spans="7:7" x14ac:dyDescent="0.2">
      <c r="G7167" s="7"/>
    </row>
    <row r="7168" spans="7:7" x14ac:dyDescent="0.2">
      <c r="G7168" s="7"/>
    </row>
    <row r="7169" spans="7:7" x14ac:dyDescent="0.2">
      <c r="G7169" s="7"/>
    </row>
    <row r="7170" spans="7:7" x14ac:dyDescent="0.2">
      <c r="G7170" s="7"/>
    </row>
    <row r="7171" spans="7:7" x14ac:dyDescent="0.2">
      <c r="G7171" s="7"/>
    </row>
    <row r="7172" spans="7:7" x14ac:dyDescent="0.2">
      <c r="G7172" s="7"/>
    </row>
    <row r="7173" spans="7:7" x14ac:dyDescent="0.2">
      <c r="G7173" s="7"/>
    </row>
    <row r="7174" spans="7:7" x14ac:dyDescent="0.2">
      <c r="G7174" s="7"/>
    </row>
    <row r="7175" spans="7:7" x14ac:dyDescent="0.2">
      <c r="G7175" s="7"/>
    </row>
    <row r="7176" spans="7:7" x14ac:dyDescent="0.2">
      <c r="G7176" s="7"/>
    </row>
    <row r="7177" spans="7:7" x14ac:dyDescent="0.2">
      <c r="G7177" s="7"/>
    </row>
    <row r="7178" spans="7:7" x14ac:dyDescent="0.2">
      <c r="G7178" s="7"/>
    </row>
    <row r="7179" spans="7:7" x14ac:dyDescent="0.2">
      <c r="G7179" s="7"/>
    </row>
    <row r="7180" spans="7:7" x14ac:dyDescent="0.2">
      <c r="G7180" s="7"/>
    </row>
    <row r="7181" spans="7:7" x14ac:dyDescent="0.2">
      <c r="G7181" s="7"/>
    </row>
    <row r="7182" spans="7:7" x14ac:dyDescent="0.2">
      <c r="G7182" s="7"/>
    </row>
    <row r="7183" spans="7:7" x14ac:dyDescent="0.2">
      <c r="G7183" s="7"/>
    </row>
    <row r="7184" spans="7:7" x14ac:dyDescent="0.2">
      <c r="G7184" s="7"/>
    </row>
    <row r="7185" spans="7:7" x14ac:dyDescent="0.2">
      <c r="G7185" s="7"/>
    </row>
    <row r="7186" spans="7:7" x14ac:dyDescent="0.2">
      <c r="G7186" s="7"/>
    </row>
    <row r="7187" spans="7:7" x14ac:dyDescent="0.2">
      <c r="G7187" s="7"/>
    </row>
    <row r="7188" spans="7:7" x14ac:dyDescent="0.2">
      <c r="G7188" s="7"/>
    </row>
    <row r="7189" spans="7:7" x14ac:dyDescent="0.2">
      <c r="G7189" s="7"/>
    </row>
    <row r="7190" spans="7:7" x14ac:dyDescent="0.2">
      <c r="G7190" s="7"/>
    </row>
    <row r="7191" spans="7:7" x14ac:dyDescent="0.2">
      <c r="G7191" s="7"/>
    </row>
    <row r="7192" spans="7:7" x14ac:dyDescent="0.2">
      <c r="G7192" s="7"/>
    </row>
    <row r="7193" spans="7:7" x14ac:dyDescent="0.2">
      <c r="G7193" s="7"/>
    </row>
    <row r="7194" spans="7:7" x14ac:dyDescent="0.2">
      <c r="G7194" s="7"/>
    </row>
    <row r="7195" spans="7:7" x14ac:dyDescent="0.2">
      <c r="G7195" s="7"/>
    </row>
    <row r="7196" spans="7:7" x14ac:dyDescent="0.2">
      <c r="G7196" s="7"/>
    </row>
    <row r="7197" spans="7:7" x14ac:dyDescent="0.2">
      <c r="G7197" s="7"/>
    </row>
    <row r="7198" spans="7:7" x14ac:dyDescent="0.2">
      <c r="G7198" s="7"/>
    </row>
    <row r="7199" spans="7:7" x14ac:dyDescent="0.2">
      <c r="G7199" s="7"/>
    </row>
    <row r="7200" spans="7:7" x14ac:dyDescent="0.2">
      <c r="G7200" s="7"/>
    </row>
    <row r="7201" spans="7:7" x14ac:dyDescent="0.2">
      <c r="G7201" s="7"/>
    </row>
    <row r="7202" spans="7:7" x14ac:dyDescent="0.2">
      <c r="G7202" s="7"/>
    </row>
    <row r="7203" spans="7:7" x14ac:dyDescent="0.2">
      <c r="G7203" s="7"/>
    </row>
    <row r="7204" spans="7:7" x14ac:dyDescent="0.2">
      <c r="G7204" s="7"/>
    </row>
    <row r="7205" spans="7:7" x14ac:dyDescent="0.2">
      <c r="G7205" s="7"/>
    </row>
    <row r="7206" spans="7:7" x14ac:dyDescent="0.2">
      <c r="G7206" s="7"/>
    </row>
    <row r="7207" spans="7:7" x14ac:dyDescent="0.2">
      <c r="G7207" s="7"/>
    </row>
    <row r="7208" spans="7:7" x14ac:dyDescent="0.2">
      <c r="G7208" s="7"/>
    </row>
    <row r="7209" spans="7:7" x14ac:dyDescent="0.2">
      <c r="G7209" s="7"/>
    </row>
    <row r="7210" spans="7:7" x14ac:dyDescent="0.2">
      <c r="G7210" s="7"/>
    </row>
    <row r="7211" spans="7:7" x14ac:dyDescent="0.2">
      <c r="G7211" s="7"/>
    </row>
    <row r="7212" spans="7:7" x14ac:dyDescent="0.2">
      <c r="G7212" s="7"/>
    </row>
    <row r="7213" spans="7:7" x14ac:dyDescent="0.2">
      <c r="G7213" s="7"/>
    </row>
    <row r="7214" spans="7:7" x14ac:dyDescent="0.2">
      <c r="G7214" s="7"/>
    </row>
    <row r="7215" spans="7:7" x14ac:dyDescent="0.2">
      <c r="G7215" s="7"/>
    </row>
    <row r="7216" spans="7:7" x14ac:dyDescent="0.2">
      <c r="G7216" s="7"/>
    </row>
    <row r="7217" spans="7:7" x14ac:dyDescent="0.2">
      <c r="G7217" s="7"/>
    </row>
    <row r="7218" spans="7:7" x14ac:dyDescent="0.2">
      <c r="G7218" s="7"/>
    </row>
    <row r="7219" spans="7:7" x14ac:dyDescent="0.2">
      <c r="G7219" s="7"/>
    </row>
    <row r="7220" spans="7:7" x14ac:dyDescent="0.2">
      <c r="G7220" s="7"/>
    </row>
    <row r="7221" spans="7:7" x14ac:dyDescent="0.2">
      <c r="G7221" s="7"/>
    </row>
    <row r="7222" spans="7:7" x14ac:dyDescent="0.2">
      <c r="G7222" s="7"/>
    </row>
    <row r="7223" spans="7:7" x14ac:dyDescent="0.2">
      <c r="G7223" s="7"/>
    </row>
    <row r="7224" spans="7:7" x14ac:dyDescent="0.2">
      <c r="G7224" s="7"/>
    </row>
    <row r="7225" spans="7:7" x14ac:dyDescent="0.2">
      <c r="G7225" s="7"/>
    </row>
    <row r="7226" spans="7:7" x14ac:dyDescent="0.2">
      <c r="G7226" s="7"/>
    </row>
    <row r="7227" spans="7:7" x14ac:dyDescent="0.2">
      <c r="G7227" s="7"/>
    </row>
    <row r="7228" spans="7:7" x14ac:dyDescent="0.2">
      <c r="G7228" s="7"/>
    </row>
    <row r="7229" spans="7:7" x14ac:dyDescent="0.2">
      <c r="G7229" s="7"/>
    </row>
    <row r="7230" spans="7:7" x14ac:dyDescent="0.2">
      <c r="G7230" s="7"/>
    </row>
    <row r="7231" spans="7:7" x14ac:dyDescent="0.2">
      <c r="G7231" s="7"/>
    </row>
    <row r="7232" spans="7:7" x14ac:dyDescent="0.2">
      <c r="G7232" s="7"/>
    </row>
    <row r="7233" spans="7:7" x14ac:dyDescent="0.2">
      <c r="G7233" s="7"/>
    </row>
    <row r="7234" spans="7:7" x14ac:dyDescent="0.2">
      <c r="G7234" s="7"/>
    </row>
    <row r="7235" spans="7:7" x14ac:dyDescent="0.2">
      <c r="G7235" s="7"/>
    </row>
    <row r="7236" spans="7:7" x14ac:dyDescent="0.2">
      <c r="G7236" s="7"/>
    </row>
    <row r="7237" spans="7:7" x14ac:dyDescent="0.2">
      <c r="G7237" s="7"/>
    </row>
    <row r="7238" spans="7:7" x14ac:dyDescent="0.2">
      <c r="G7238" s="7"/>
    </row>
    <row r="7239" spans="7:7" x14ac:dyDescent="0.2">
      <c r="G7239" s="7"/>
    </row>
    <row r="7240" spans="7:7" x14ac:dyDescent="0.2">
      <c r="G7240" s="7"/>
    </row>
    <row r="7241" spans="7:7" x14ac:dyDescent="0.2">
      <c r="G7241" s="7"/>
    </row>
    <row r="7242" spans="7:7" x14ac:dyDescent="0.2">
      <c r="G7242" s="7"/>
    </row>
    <row r="7243" spans="7:7" x14ac:dyDescent="0.2">
      <c r="G7243" s="7"/>
    </row>
    <row r="7244" spans="7:7" x14ac:dyDescent="0.2">
      <c r="G7244" s="7"/>
    </row>
    <row r="7245" spans="7:7" x14ac:dyDescent="0.2">
      <c r="G7245" s="7"/>
    </row>
    <row r="7246" spans="7:7" x14ac:dyDescent="0.2">
      <c r="G7246" s="7"/>
    </row>
    <row r="7247" spans="7:7" x14ac:dyDescent="0.2">
      <c r="G7247" s="7"/>
    </row>
    <row r="7248" spans="7:7" x14ac:dyDescent="0.2">
      <c r="G7248" s="7"/>
    </row>
    <row r="7249" spans="7:7" x14ac:dyDescent="0.2">
      <c r="G7249" s="7"/>
    </row>
    <row r="7250" spans="7:7" x14ac:dyDescent="0.2">
      <c r="G7250" s="7"/>
    </row>
    <row r="7251" spans="7:7" x14ac:dyDescent="0.2">
      <c r="G7251" s="7"/>
    </row>
    <row r="7252" spans="7:7" x14ac:dyDescent="0.2">
      <c r="G7252" s="7"/>
    </row>
    <row r="7253" spans="7:7" x14ac:dyDescent="0.2">
      <c r="G7253" s="7"/>
    </row>
    <row r="7254" spans="7:7" x14ac:dyDescent="0.2">
      <c r="G7254" s="7"/>
    </row>
    <row r="7255" spans="7:7" x14ac:dyDescent="0.2">
      <c r="G7255" s="7"/>
    </row>
    <row r="7256" spans="7:7" x14ac:dyDescent="0.2">
      <c r="G7256" s="7"/>
    </row>
    <row r="7257" spans="7:7" x14ac:dyDescent="0.2">
      <c r="G7257" s="7"/>
    </row>
    <row r="7258" spans="7:7" x14ac:dyDescent="0.2">
      <c r="G7258" s="7"/>
    </row>
    <row r="7259" spans="7:7" x14ac:dyDescent="0.2">
      <c r="G7259" s="7"/>
    </row>
    <row r="7260" spans="7:7" x14ac:dyDescent="0.2">
      <c r="G7260" s="7"/>
    </row>
    <row r="7261" spans="7:7" x14ac:dyDescent="0.2">
      <c r="G7261" s="7"/>
    </row>
    <row r="7262" spans="7:7" x14ac:dyDescent="0.2">
      <c r="G7262" s="7"/>
    </row>
    <row r="7263" spans="7:7" x14ac:dyDescent="0.2">
      <c r="G7263" s="7"/>
    </row>
    <row r="7264" spans="7:7" x14ac:dyDescent="0.2">
      <c r="G7264" s="7"/>
    </row>
    <row r="7265" spans="7:7" x14ac:dyDescent="0.2">
      <c r="G7265" s="7"/>
    </row>
    <row r="7266" spans="7:7" x14ac:dyDescent="0.2">
      <c r="G7266" s="7"/>
    </row>
    <row r="7267" spans="7:7" x14ac:dyDescent="0.2">
      <c r="G7267" s="7"/>
    </row>
    <row r="7268" spans="7:7" x14ac:dyDescent="0.2">
      <c r="G7268" s="7"/>
    </row>
    <row r="7269" spans="7:7" x14ac:dyDescent="0.2">
      <c r="G7269" s="7"/>
    </row>
    <row r="7270" spans="7:7" x14ac:dyDescent="0.2">
      <c r="G7270" s="7"/>
    </row>
    <row r="7271" spans="7:7" x14ac:dyDescent="0.2">
      <c r="G7271" s="7"/>
    </row>
    <row r="7272" spans="7:7" x14ac:dyDescent="0.2">
      <c r="G7272" s="7"/>
    </row>
    <row r="7273" spans="7:7" x14ac:dyDescent="0.2">
      <c r="G7273" s="7"/>
    </row>
    <row r="7274" spans="7:7" x14ac:dyDescent="0.2">
      <c r="G7274" s="7"/>
    </row>
    <row r="7275" spans="7:7" x14ac:dyDescent="0.2">
      <c r="G7275" s="7"/>
    </row>
    <row r="7276" spans="7:7" x14ac:dyDescent="0.2">
      <c r="G7276" s="7"/>
    </row>
    <row r="7277" spans="7:7" x14ac:dyDescent="0.2">
      <c r="G7277" s="7"/>
    </row>
    <row r="7278" spans="7:7" x14ac:dyDescent="0.2">
      <c r="G7278" s="7"/>
    </row>
    <row r="7279" spans="7:7" x14ac:dyDescent="0.2">
      <c r="G7279" s="7"/>
    </row>
    <row r="7280" spans="7:7" x14ac:dyDescent="0.2">
      <c r="G7280" s="7"/>
    </row>
    <row r="7281" spans="7:7" x14ac:dyDescent="0.2">
      <c r="G7281" s="7"/>
    </row>
    <row r="7282" spans="7:7" x14ac:dyDescent="0.2">
      <c r="G7282" s="7"/>
    </row>
    <row r="7283" spans="7:7" x14ac:dyDescent="0.2">
      <c r="G7283" s="7"/>
    </row>
    <row r="7284" spans="7:7" x14ac:dyDescent="0.2">
      <c r="G7284" s="7"/>
    </row>
    <row r="7285" spans="7:7" x14ac:dyDescent="0.2">
      <c r="G7285" s="7"/>
    </row>
    <row r="7286" spans="7:7" x14ac:dyDescent="0.2">
      <c r="G7286" s="7"/>
    </row>
    <row r="7287" spans="7:7" x14ac:dyDescent="0.2">
      <c r="G7287" s="7"/>
    </row>
    <row r="7288" spans="7:7" x14ac:dyDescent="0.2">
      <c r="G7288" s="7"/>
    </row>
    <row r="7289" spans="7:7" x14ac:dyDescent="0.2">
      <c r="G7289" s="7"/>
    </row>
    <row r="7290" spans="7:7" x14ac:dyDescent="0.2">
      <c r="G7290" s="7"/>
    </row>
    <row r="7291" spans="7:7" x14ac:dyDescent="0.2">
      <c r="G7291" s="7"/>
    </row>
    <row r="7292" spans="7:7" x14ac:dyDescent="0.2">
      <c r="G7292" s="7"/>
    </row>
    <row r="7293" spans="7:7" x14ac:dyDescent="0.2">
      <c r="G7293" s="7"/>
    </row>
    <row r="7294" spans="7:7" x14ac:dyDescent="0.2">
      <c r="G7294" s="7"/>
    </row>
    <row r="7295" spans="7:7" x14ac:dyDescent="0.2">
      <c r="G7295" s="7"/>
    </row>
    <row r="7296" spans="7:7" x14ac:dyDescent="0.2">
      <c r="G7296" s="7"/>
    </row>
    <row r="7297" spans="7:7" x14ac:dyDescent="0.2">
      <c r="G7297" s="7"/>
    </row>
    <row r="7298" spans="7:7" x14ac:dyDescent="0.2">
      <c r="G7298" s="7"/>
    </row>
    <row r="7299" spans="7:7" x14ac:dyDescent="0.2">
      <c r="G7299" s="7"/>
    </row>
    <row r="7300" spans="7:7" x14ac:dyDescent="0.2">
      <c r="G7300" s="7"/>
    </row>
    <row r="7301" spans="7:7" x14ac:dyDescent="0.2">
      <c r="G7301" s="7"/>
    </row>
    <row r="7302" spans="7:7" x14ac:dyDescent="0.2">
      <c r="G7302" s="7"/>
    </row>
    <row r="7303" spans="7:7" x14ac:dyDescent="0.2">
      <c r="G7303" s="7"/>
    </row>
    <row r="7304" spans="7:7" x14ac:dyDescent="0.2">
      <c r="G7304" s="7"/>
    </row>
    <row r="7305" spans="7:7" x14ac:dyDescent="0.2">
      <c r="G7305" s="7"/>
    </row>
    <row r="7306" spans="7:7" x14ac:dyDescent="0.2">
      <c r="G7306" s="7"/>
    </row>
    <row r="7307" spans="7:7" x14ac:dyDescent="0.2">
      <c r="G7307" s="7"/>
    </row>
    <row r="7308" spans="7:7" x14ac:dyDescent="0.2">
      <c r="G7308" s="7"/>
    </row>
    <row r="7309" spans="7:7" x14ac:dyDescent="0.2">
      <c r="G7309" s="7"/>
    </row>
    <row r="7310" spans="7:7" x14ac:dyDescent="0.2">
      <c r="G7310" s="7"/>
    </row>
    <row r="7311" spans="7:7" x14ac:dyDescent="0.2">
      <c r="G7311" s="7"/>
    </row>
    <row r="7312" spans="7:7" x14ac:dyDescent="0.2">
      <c r="G7312" s="7"/>
    </row>
    <row r="7313" spans="7:7" x14ac:dyDescent="0.2">
      <c r="G7313" s="7"/>
    </row>
    <row r="7314" spans="7:7" x14ac:dyDescent="0.2">
      <c r="G7314" s="7"/>
    </row>
    <row r="7315" spans="7:7" x14ac:dyDescent="0.2">
      <c r="G7315" s="7"/>
    </row>
    <row r="7316" spans="7:7" x14ac:dyDescent="0.2">
      <c r="G7316" s="7"/>
    </row>
    <row r="7317" spans="7:7" x14ac:dyDescent="0.2">
      <c r="G7317" s="7"/>
    </row>
    <row r="7318" spans="7:7" x14ac:dyDescent="0.2">
      <c r="G7318" s="7"/>
    </row>
    <row r="7319" spans="7:7" x14ac:dyDescent="0.2">
      <c r="G7319" s="7"/>
    </row>
    <row r="7320" spans="7:7" x14ac:dyDescent="0.2">
      <c r="G7320" s="7"/>
    </row>
    <row r="7321" spans="7:7" x14ac:dyDescent="0.2">
      <c r="G7321" s="7"/>
    </row>
    <row r="7322" spans="7:7" x14ac:dyDescent="0.2">
      <c r="G7322" s="7"/>
    </row>
    <row r="7323" spans="7:7" x14ac:dyDescent="0.2">
      <c r="G7323" s="7"/>
    </row>
    <row r="7324" spans="7:7" x14ac:dyDescent="0.2">
      <c r="G7324" s="7"/>
    </row>
    <row r="7325" spans="7:7" x14ac:dyDescent="0.2">
      <c r="G7325" s="7"/>
    </row>
    <row r="7326" spans="7:7" x14ac:dyDescent="0.2">
      <c r="G7326" s="7"/>
    </row>
    <row r="7327" spans="7:7" x14ac:dyDescent="0.2">
      <c r="G7327" s="7"/>
    </row>
    <row r="7328" spans="7:7" x14ac:dyDescent="0.2">
      <c r="G7328" s="7"/>
    </row>
    <row r="7329" spans="7:7" x14ac:dyDescent="0.2">
      <c r="G7329" s="7"/>
    </row>
    <row r="7330" spans="7:7" x14ac:dyDescent="0.2">
      <c r="G7330" s="7"/>
    </row>
    <row r="7331" spans="7:7" x14ac:dyDescent="0.2">
      <c r="G7331" s="7"/>
    </row>
    <row r="7332" spans="7:7" x14ac:dyDescent="0.2">
      <c r="G7332" s="7"/>
    </row>
    <row r="7333" spans="7:7" x14ac:dyDescent="0.2">
      <c r="G7333" s="7"/>
    </row>
    <row r="7334" spans="7:7" x14ac:dyDescent="0.2">
      <c r="G7334" s="7"/>
    </row>
    <row r="7335" spans="7:7" x14ac:dyDescent="0.2">
      <c r="G7335" s="7"/>
    </row>
    <row r="7336" spans="7:7" x14ac:dyDescent="0.2">
      <c r="G7336" s="7"/>
    </row>
    <row r="7337" spans="7:7" x14ac:dyDescent="0.2">
      <c r="G7337" s="7"/>
    </row>
    <row r="7338" spans="7:7" x14ac:dyDescent="0.2">
      <c r="G7338" s="7"/>
    </row>
    <row r="7339" spans="7:7" x14ac:dyDescent="0.2">
      <c r="G7339" s="7"/>
    </row>
    <row r="7340" spans="7:7" x14ac:dyDescent="0.2">
      <c r="G7340" s="7"/>
    </row>
    <row r="7341" spans="7:7" x14ac:dyDescent="0.2">
      <c r="G7341" s="7"/>
    </row>
    <row r="7342" spans="7:7" x14ac:dyDescent="0.2">
      <c r="G7342" s="7"/>
    </row>
    <row r="7343" spans="7:7" x14ac:dyDescent="0.2">
      <c r="G7343" s="7"/>
    </row>
    <row r="7344" spans="7:7" x14ac:dyDescent="0.2">
      <c r="G7344" s="7"/>
    </row>
    <row r="7345" spans="7:7" x14ac:dyDescent="0.2">
      <c r="G7345" s="7"/>
    </row>
    <row r="7346" spans="7:7" x14ac:dyDescent="0.2">
      <c r="G7346" s="7"/>
    </row>
    <row r="7347" spans="7:7" x14ac:dyDescent="0.2">
      <c r="G7347" s="7"/>
    </row>
    <row r="7348" spans="7:7" x14ac:dyDescent="0.2">
      <c r="G7348" s="7"/>
    </row>
    <row r="7349" spans="7:7" x14ac:dyDescent="0.2">
      <c r="G7349" s="7"/>
    </row>
    <row r="7350" spans="7:7" x14ac:dyDescent="0.2">
      <c r="G7350" s="7"/>
    </row>
    <row r="7351" spans="7:7" x14ac:dyDescent="0.2">
      <c r="G7351" s="7"/>
    </row>
    <row r="7352" spans="7:7" x14ac:dyDescent="0.2">
      <c r="G7352" s="7"/>
    </row>
    <row r="7353" spans="7:7" x14ac:dyDescent="0.2">
      <c r="G7353" s="7"/>
    </row>
    <row r="7354" spans="7:7" x14ac:dyDescent="0.2">
      <c r="G7354" s="7"/>
    </row>
    <row r="7355" spans="7:7" x14ac:dyDescent="0.2">
      <c r="G7355" s="7"/>
    </row>
    <row r="7356" spans="7:7" x14ac:dyDescent="0.2">
      <c r="G7356" s="7"/>
    </row>
    <row r="7357" spans="7:7" x14ac:dyDescent="0.2">
      <c r="G7357" s="7"/>
    </row>
    <row r="7358" spans="7:7" x14ac:dyDescent="0.2">
      <c r="G7358" s="7"/>
    </row>
    <row r="7359" spans="7:7" x14ac:dyDescent="0.2">
      <c r="G7359" s="7"/>
    </row>
    <row r="7360" spans="7:7" x14ac:dyDescent="0.2">
      <c r="G7360" s="7"/>
    </row>
    <row r="7361" spans="7:7" x14ac:dyDescent="0.2">
      <c r="G7361" s="7"/>
    </row>
    <row r="7362" spans="7:7" x14ac:dyDescent="0.2">
      <c r="G7362" s="7"/>
    </row>
    <row r="7363" spans="7:7" x14ac:dyDescent="0.2">
      <c r="G7363" s="7"/>
    </row>
    <row r="7364" spans="7:7" x14ac:dyDescent="0.2">
      <c r="G7364" s="7"/>
    </row>
    <row r="7365" spans="7:7" x14ac:dyDescent="0.2">
      <c r="G7365" s="7"/>
    </row>
    <row r="7366" spans="7:7" x14ac:dyDescent="0.2">
      <c r="G7366" s="7"/>
    </row>
    <row r="7367" spans="7:7" x14ac:dyDescent="0.2">
      <c r="G7367" s="7"/>
    </row>
    <row r="7368" spans="7:7" x14ac:dyDescent="0.2">
      <c r="G7368" s="7"/>
    </row>
    <row r="7369" spans="7:7" x14ac:dyDescent="0.2">
      <c r="G7369" s="7"/>
    </row>
    <row r="7370" spans="7:7" x14ac:dyDescent="0.2">
      <c r="G7370" s="7"/>
    </row>
    <row r="7371" spans="7:7" x14ac:dyDescent="0.2">
      <c r="G7371" s="7"/>
    </row>
    <row r="7372" spans="7:7" x14ac:dyDescent="0.2">
      <c r="G7372" s="7"/>
    </row>
    <row r="7373" spans="7:7" x14ac:dyDescent="0.2">
      <c r="G7373" s="7"/>
    </row>
    <row r="7374" spans="7:7" x14ac:dyDescent="0.2">
      <c r="G7374" s="7"/>
    </row>
    <row r="7375" spans="7:7" x14ac:dyDescent="0.2">
      <c r="G7375" s="7"/>
    </row>
    <row r="7376" spans="7:7" x14ac:dyDescent="0.2">
      <c r="G7376" s="7"/>
    </row>
    <row r="7377" spans="7:7" x14ac:dyDescent="0.2">
      <c r="G7377" s="7"/>
    </row>
    <row r="7378" spans="7:7" x14ac:dyDescent="0.2">
      <c r="G7378" s="7"/>
    </row>
    <row r="7379" spans="7:7" x14ac:dyDescent="0.2">
      <c r="G7379" s="7"/>
    </row>
    <row r="7380" spans="7:7" x14ac:dyDescent="0.2">
      <c r="G7380" s="7"/>
    </row>
    <row r="7381" spans="7:7" x14ac:dyDescent="0.2">
      <c r="G7381" s="7"/>
    </row>
    <row r="7382" spans="7:7" x14ac:dyDescent="0.2">
      <c r="G7382" s="7"/>
    </row>
    <row r="7383" spans="7:7" x14ac:dyDescent="0.2">
      <c r="G7383" s="7"/>
    </row>
    <row r="7384" spans="7:7" x14ac:dyDescent="0.2">
      <c r="G7384" s="7"/>
    </row>
    <row r="7385" spans="7:7" x14ac:dyDescent="0.2">
      <c r="G7385" s="7"/>
    </row>
    <row r="7386" spans="7:7" x14ac:dyDescent="0.2">
      <c r="G7386" s="7"/>
    </row>
    <row r="7387" spans="7:7" x14ac:dyDescent="0.2">
      <c r="G7387" s="7"/>
    </row>
    <row r="7388" spans="7:7" x14ac:dyDescent="0.2">
      <c r="G7388" s="7"/>
    </row>
    <row r="7389" spans="7:7" x14ac:dyDescent="0.2">
      <c r="G7389" s="7"/>
    </row>
    <row r="7390" spans="7:7" x14ac:dyDescent="0.2">
      <c r="G7390" s="7"/>
    </row>
    <row r="7391" spans="7:7" x14ac:dyDescent="0.2">
      <c r="G7391" s="7"/>
    </row>
    <row r="7392" spans="7:7" x14ac:dyDescent="0.2">
      <c r="G7392" s="7"/>
    </row>
    <row r="7393" spans="7:7" x14ac:dyDescent="0.2">
      <c r="G7393" s="7"/>
    </row>
    <row r="7394" spans="7:7" x14ac:dyDescent="0.2">
      <c r="G7394" s="7"/>
    </row>
    <row r="7395" spans="7:7" x14ac:dyDescent="0.2">
      <c r="G7395" s="7"/>
    </row>
    <row r="7396" spans="7:7" x14ac:dyDescent="0.2">
      <c r="G7396" s="7"/>
    </row>
    <row r="7397" spans="7:7" x14ac:dyDescent="0.2">
      <c r="G7397" s="7"/>
    </row>
    <row r="7398" spans="7:7" x14ac:dyDescent="0.2">
      <c r="G7398" s="7"/>
    </row>
    <row r="7399" spans="7:7" x14ac:dyDescent="0.2">
      <c r="G7399" s="7"/>
    </row>
    <row r="7400" spans="7:7" x14ac:dyDescent="0.2">
      <c r="G7400" s="7"/>
    </row>
    <row r="7401" spans="7:7" x14ac:dyDescent="0.2">
      <c r="G7401" s="7"/>
    </row>
    <row r="7402" spans="7:7" x14ac:dyDescent="0.2">
      <c r="G7402" s="7"/>
    </row>
    <row r="7403" spans="7:7" x14ac:dyDescent="0.2">
      <c r="G7403" s="7"/>
    </row>
    <row r="7404" spans="7:7" x14ac:dyDescent="0.2">
      <c r="G7404" s="7"/>
    </row>
    <row r="7405" spans="7:7" x14ac:dyDescent="0.2">
      <c r="G7405" s="7"/>
    </row>
    <row r="7406" spans="7:7" x14ac:dyDescent="0.2">
      <c r="G7406" s="7"/>
    </row>
    <row r="7407" spans="7:7" x14ac:dyDescent="0.2">
      <c r="G7407" s="7"/>
    </row>
    <row r="7408" spans="7:7" x14ac:dyDescent="0.2">
      <c r="G7408" s="7"/>
    </row>
    <row r="7409" spans="7:7" x14ac:dyDescent="0.2">
      <c r="G7409" s="7"/>
    </row>
    <row r="7410" spans="7:7" x14ac:dyDescent="0.2">
      <c r="G7410" s="7"/>
    </row>
    <row r="7411" spans="7:7" x14ac:dyDescent="0.2">
      <c r="G7411" s="7"/>
    </row>
    <row r="7412" spans="7:7" x14ac:dyDescent="0.2">
      <c r="G7412" s="7"/>
    </row>
    <row r="7413" spans="7:7" x14ac:dyDescent="0.2">
      <c r="G7413" s="7"/>
    </row>
    <row r="7414" spans="7:7" x14ac:dyDescent="0.2">
      <c r="G7414" s="7"/>
    </row>
    <row r="7415" spans="7:7" x14ac:dyDescent="0.2">
      <c r="G7415" s="7"/>
    </row>
    <row r="7416" spans="7:7" x14ac:dyDescent="0.2">
      <c r="G7416" s="7"/>
    </row>
    <row r="7417" spans="7:7" x14ac:dyDescent="0.2">
      <c r="G7417" s="7"/>
    </row>
    <row r="7418" spans="7:7" x14ac:dyDescent="0.2">
      <c r="G7418" s="7"/>
    </row>
    <row r="7419" spans="7:7" x14ac:dyDescent="0.2">
      <c r="G7419" s="7"/>
    </row>
    <row r="7420" spans="7:7" x14ac:dyDescent="0.2">
      <c r="G7420" s="7"/>
    </row>
    <row r="7421" spans="7:7" x14ac:dyDescent="0.2">
      <c r="G7421" s="7"/>
    </row>
    <row r="7422" spans="7:7" x14ac:dyDescent="0.2">
      <c r="G7422" s="7"/>
    </row>
    <row r="7423" spans="7:7" x14ac:dyDescent="0.2">
      <c r="G7423" s="7"/>
    </row>
    <row r="7424" spans="7:7" x14ac:dyDescent="0.2">
      <c r="G7424" s="7"/>
    </row>
    <row r="7425" spans="7:7" x14ac:dyDescent="0.2">
      <c r="G7425" s="7"/>
    </row>
    <row r="7426" spans="7:7" x14ac:dyDescent="0.2">
      <c r="G7426" s="7"/>
    </row>
    <row r="7427" spans="7:7" x14ac:dyDescent="0.2">
      <c r="G7427" s="7"/>
    </row>
    <row r="7428" spans="7:7" x14ac:dyDescent="0.2">
      <c r="G7428" s="7"/>
    </row>
    <row r="7429" spans="7:7" x14ac:dyDescent="0.2">
      <c r="G7429" s="7"/>
    </row>
    <row r="7430" spans="7:7" x14ac:dyDescent="0.2">
      <c r="G7430" s="7"/>
    </row>
    <row r="7431" spans="7:7" x14ac:dyDescent="0.2">
      <c r="G7431" s="7"/>
    </row>
    <row r="7432" spans="7:7" x14ac:dyDescent="0.2">
      <c r="G7432" s="7"/>
    </row>
    <row r="7433" spans="7:7" x14ac:dyDescent="0.2">
      <c r="G7433" s="7"/>
    </row>
    <row r="7434" spans="7:7" x14ac:dyDescent="0.2">
      <c r="G7434" s="7"/>
    </row>
    <row r="7435" spans="7:7" x14ac:dyDescent="0.2">
      <c r="G7435" s="7"/>
    </row>
    <row r="7436" spans="7:7" x14ac:dyDescent="0.2">
      <c r="G7436" s="7"/>
    </row>
    <row r="7437" spans="7:7" x14ac:dyDescent="0.2">
      <c r="G7437" s="7"/>
    </row>
    <row r="7438" spans="7:7" x14ac:dyDescent="0.2">
      <c r="G7438" s="7"/>
    </row>
    <row r="7439" spans="7:7" x14ac:dyDescent="0.2">
      <c r="G7439" s="7"/>
    </row>
    <row r="7440" spans="7:7" x14ac:dyDescent="0.2">
      <c r="G7440" s="7"/>
    </row>
    <row r="7441" spans="7:7" x14ac:dyDescent="0.2">
      <c r="G7441" s="7"/>
    </row>
    <row r="7442" spans="7:7" x14ac:dyDescent="0.2">
      <c r="G7442" s="7"/>
    </row>
    <row r="7443" spans="7:7" x14ac:dyDescent="0.2">
      <c r="G7443" s="7"/>
    </row>
    <row r="7444" spans="7:7" x14ac:dyDescent="0.2">
      <c r="G7444" s="7"/>
    </row>
    <row r="7445" spans="7:7" x14ac:dyDescent="0.2">
      <c r="G7445" s="7"/>
    </row>
    <row r="7446" spans="7:7" x14ac:dyDescent="0.2">
      <c r="G7446" s="7"/>
    </row>
    <row r="7447" spans="7:7" x14ac:dyDescent="0.2">
      <c r="G7447" s="7"/>
    </row>
    <row r="7448" spans="7:7" x14ac:dyDescent="0.2">
      <c r="G7448" s="7"/>
    </row>
    <row r="7449" spans="7:7" x14ac:dyDescent="0.2">
      <c r="G7449" s="7"/>
    </row>
    <row r="7450" spans="7:7" x14ac:dyDescent="0.2">
      <c r="G7450" s="7"/>
    </row>
    <row r="7451" spans="7:7" x14ac:dyDescent="0.2">
      <c r="G7451" s="7"/>
    </row>
    <row r="7452" spans="7:7" x14ac:dyDescent="0.2">
      <c r="G7452" s="7"/>
    </row>
    <row r="7453" spans="7:7" x14ac:dyDescent="0.2">
      <c r="G7453" s="7"/>
    </row>
    <row r="7454" spans="7:7" x14ac:dyDescent="0.2">
      <c r="G7454" s="7"/>
    </row>
    <row r="7455" spans="7:7" x14ac:dyDescent="0.2">
      <c r="G7455" s="7"/>
    </row>
    <row r="7456" spans="7:7" x14ac:dyDescent="0.2">
      <c r="G7456" s="7"/>
    </row>
    <row r="7457" spans="7:7" x14ac:dyDescent="0.2">
      <c r="G7457" s="7"/>
    </row>
    <row r="7458" spans="7:7" x14ac:dyDescent="0.2">
      <c r="G7458" s="7"/>
    </row>
    <row r="7459" spans="7:7" x14ac:dyDescent="0.2">
      <c r="G7459" s="7"/>
    </row>
    <row r="7460" spans="7:7" x14ac:dyDescent="0.2">
      <c r="G7460" s="7"/>
    </row>
    <row r="7461" spans="7:7" x14ac:dyDescent="0.2">
      <c r="G7461" s="7"/>
    </row>
    <row r="7462" spans="7:7" x14ac:dyDescent="0.2">
      <c r="G7462" s="7"/>
    </row>
    <row r="7463" spans="7:7" x14ac:dyDescent="0.2">
      <c r="G7463" s="7"/>
    </row>
    <row r="7464" spans="7:7" x14ac:dyDescent="0.2">
      <c r="G7464" s="7"/>
    </row>
    <row r="7465" spans="7:7" x14ac:dyDescent="0.2">
      <c r="G7465" s="7"/>
    </row>
    <row r="7466" spans="7:7" x14ac:dyDescent="0.2">
      <c r="G7466" s="7"/>
    </row>
    <row r="7467" spans="7:7" x14ac:dyDescent="0.2">
      <c r="G7467" s="7"/>
    </row>
    <row r="7468" spans="7:7" x14ac:dyDescent="0.2">
      <c r="G7468" s="7"/>
    </row>
    <row r="7469" spans="7:7" x14ac:dyDescent="0.2">
      <c r="G7469" s="7"/>
    </row>
    <row r="7470" spans="7:7" x14ac:dyDescent="0.2">
      <c r="G7470" s="7"/>
    </row>
    <row r="7471" spans="7:7" x14ac:dyDescent="0.2">
      <c r="G7471" s="7"/>
    </row>
    <row r="7472" spans="7:7" x14ac:dyDescent="0.2">
      <c r="G7472" s="7"/>
    </row>
    <row r="7473" spans="7:7" x14ac:dyDescent="0.2">
      <c r="G7473" s="7"/>
    </row>
    <row r="7474" spans="7:7" x14ac:dyDescent="0.2">
      <c r="G7474" s="7"/>
    </row>
    <row r="7475" spans="7:7" x14ac:dyDescent="0.2">
      <c r="G7475" s="7"/>
    </row>
    <row r="7476" spans="7:7" x14ac:dyDescent="0.2">
      <c r="G7476" s="7"/>
    </row>
    <row r="7477" spans="7:7" x14ac:dyDescent="0.2">
      <c r="G7477" s="7"/>
    </row>
    <row r="7478" spans="7:7" x14ac:dyDescent="0.2">
      <c r="G7478" s="7"/>
    </row>
    <row r="7479" spans="7:7" x14ac:dyDescent="0.2">
      <c r="G7479" s="7"/>
    </row>
    <row r="7480" spans="7:7" x14ac:dyDescent="0.2">
      <c r="G7480" s="7"/>
    </row>
    <row r="7481" spans="7:7" x14ac:dyDescent="0.2">
      <c r="G7481" s="7"/>
    </row>
    <row r="7482" spans="7:7" x14ac:dyDescent="0.2">
      <c r="G7482" s="7"/>
    </row>
    <row r="7483" spans="7:7" x14ac:dyDescent="0.2">
      <c r="G7483" s="7"/>
    </row>
    <row r="7484" spans="7:7" x14ac:dyDescent="0.2">
      <c r="G7484" s="7"/>
    </row>
    <row r="7485" spans="7:7" x14ac:dyDescent="0.2">
      <c r="G7485" s="7"/>
    </row>
    <row r="7486" spans="7:7" x14ac:dyDescent="0.2">
      <c r="G7486" s="7"/>
    </row>
    <row r="7487" spans="7:7" x14ac:dyDescent="0.2">
      <c r="G7487" s="7"/>
    </row>
    <row r="7488" spans="7:7" x14ac:dyDescent="0.2">
      <c r="G7488" s="7"/>
    </row>
    <row r="7489" spans="7:7" x14ac:dyDescent="0.2">
      <c r="G7489" s="7"/>
    </row>
    <row r="7490" spans="7:7" x14ac:dyDescent="0.2">
      <c r="G7490" s="7"/>
    </row>
    <row r="7491" spans="7:7" x14ac:dyDescent="0.2">
      <c r="G7491" s="7"/>
    </row>
    <row r="7492" spans="7:7" x14ac:dyDescent="0.2">
      <c r="G7492" s="7"/>
    </row>
    <row r="7493" spans="7:7" x14ac:dyDescent="0.2">
      <c r="G7493" s="7"/>
    </row>
    <row r="7494" spans="7:7" x14ac:dyDescent="0.2">
      <c r="G7494" s="7"/>
    </row>
    <row r="7495" spans="7:7" x14ac:dyDescent="0.2">
      <c r="G7495" s="7"/>
    </row>
    <row r="7496" spans="7:7" x14ac:dyDescent="0.2">
      <c r="G7496" s="7"/>
    </row>
    <row r="7497" spans="7:7" x14ac:dyDescent="0.2">
      <c r="G7497" s="7"/>
    </row>
    <row r="7498" spans="7:7" x14ac:dyDescent="0.2">
      <c r="G7498" s="7"/>
    </row>
    <row r="7499" spans="7:7" x14ac:dyDescent="0.2">
      <c r="G7499" s="7"/>
    </row>
    <row r="7500" spans="7:7" x14ac:dyDescent="0.2">
      <c r="G7500" s="7"/>
    </row>
    <row r="7501" spans="7:7" x14ac:dyDescent="0.2">
      <c r="G7501" s="7"/>
    </row>
    <row r="7502" spans="7:7" x14ac:dyDescent="0.2">
      <c r="G7502" s="7"/>
    </row>
    <row r="7503" spans="7:7" x14ac:dyDescent="0.2">
      <c r="G7503" s="7"/>
    </row>
    <row r="7504" spans="7:7" x14ac:dyDescent="0.2">
      <c r="G7504" s="7"/>
    </row>
    <row r="7505" spans="7:7" x14ac:dyDescent="0.2">
      <c r="G7505" s="7"/>
    </row>
    <row r="7506" spans="7:7" x14ac:dyDescent="0.2">
      <c r="G7506" s="7"/>
    </row>
    <row r="7507" spans="7:7" x14ac:dyDescent="0.2">
      <c r="G7507" s="7"/>
    </row>
    <row r="7508" spans="7:7" x14ac:dyDescent="0.2">
      <c r="G7508" s="7"/>
    </row>
    <row r="7509" spans="7:7" x14ac:dyDescent="0.2">
      <c r="G7509" s="7"/>
    </row>
    <row r="7510" spans="7:7" x14ac:dyDescent="0.2">
      <c r="G7510" s="7"/>
    </row>
    <row r="7511" spans="7:7" x14ac:dyDescent="0.2">
      <c r="G7511" s="7"/>
    </row>
    <row r="7512" spans="7:7" x14ac:dyDescent="0.2">
      <c r="G7512" s="7"/>
    </row>
    <row r="7513" spans="7:7" x14ac:dyDescent="0.2">
      <c r="G7513" s="7"/>
    </row>
    <row r="7514" spans="7:7" x14ac:dyDescent="0.2">
      <c r="G7514" s="7"/>
    </row>
    <row r="7515" spans="7:7" x14ac:dyDescent="0.2">
      <c r="G7515" s="7"/>
    </row>
    <row r="7516" spans="7:7" x14ac:dyDescent="0.2">
      <c r="G7516" s="7"/>
    </row>
    <row r="7517" spans="7:7" x14ac:dyDescent="0.2">
      <c r="G7517" s="7"/>
    </row>
    <row r="7518" spans="7:7" x14ac:dyDescent="0.2">
      <c r="G7518" s="7"/>
    </row>
    <row r="7519" spans="7:7" x14ac:dyDescent="0.2">
      <c r="G7519" s="7"/>
    </row>
    <row r="7520" spans="7:7" x14ac:dyDescent="0.2">
      <c r="G7520" s="7"/>
    </row>
    <row r="7521" spans="7:7" x14ac:dyDescent="0.2">
      <c r="G7521" s="7"/>
    </row>
    <row r="7522" spans="7:7" x14ac:dyDescent="0.2">
      <c r="G7522" s="7"/>
    </row>
    <row r="7523" spans="7:7" x14ac:dyDescent="0.2">
      <c r="G7523" s="7"/>
    </row>
    <row r="7524" spans="7:7" x14ac:dyDescent="0.2">
      <c r="G7524" s="7"/>
    </row>
    <row r="7525" spans="7:7" x14ac:dyDescent="0.2">
      <c r="G7525" s="7"/>
    </row>
    <row r="7526" spans="7:7" x14ac:dyDescent="0.2">
      <c r="G7526" s="7"/>
    </row>
    <row r="7527" spans="7:7" x14ac:dyDescent="0.2">
      <c r="G7527" s="7"/>
    </row>
    <row r="7528" spans="7:7" x14ac:dyDescent="0.2">
      <c r="G7528" s="7"/>
    </row>
    <row r="7529" spans="7:7" x14ac:dyDescent="0.2">
      <c r="G7529" s="7"/>
    </row>
    <row r="7530" spans="7:7" x14ac:dyDescent="0.2">
      <c r="G7530" s="7"/>
    </row>
    <row r="7531" spans="7:7" x14ac:dyDescent="0.2">
      <c r="G7531" s="7"/>
    </row>
    <row r="7532" spans="7:7" x14ac:dyDescent="0.2">
      <c r="G7532" s="7"/>
    </row>
    <row r="7533" spans="7:7" x14ac:dyDescent="0.2">
      <c r="G7533" s="7"/>
    </row>
    <row r="7534" spans="7:7" x14ac:dyDescent="0.2">
      <c r="G7534" s="7"/>
    </row>
    <row r="7535" spans="7:7" x14ac:dyDescent="0.2">
      <c r="G7535" s="7"/>
    </row>
    <row r="7536" spans="7:7" x14ac:dyDescent="0.2">
      <c r="G7536" s="7"/>
    </row>
    <row r="7537" spans="7:7" x14ac:dyDescent="0.2">
      <c r="G7537" s="7"/>
    </row>
    <row r="7538" spans="7:7" x14ac:dyDescent="0.2">
      <c r="G7538" s="7"/>
    </row>
    <row r="7539" spans="7:7" x14ac:dyDescent="0.2">
      <c r="G7539" s="7"/>
    </row>
    <row r="7540" spans="7:7" x14ac:dyDescent="0.2">
      <c r="G7540" s="7"/>
    </row>
    <row r="7541" spans="7:7" x14ac:dyDescent="0.2">
      <c r="G7541" s="7"/>
    </row>
    <row r="7542" spans="7:7" x14ac:dyDescent="0.2">
      <c r="G7542" s="7"/>
    </row>
    <row r="7543" spans="7:7" x14ac:dyDescent="0.2">
      <c r="G7543" s="7"/>
    </row>
    <row r="7544" spans="7:7" x14ac:dyDescent="0.2">
      <c r="G7544" s="7"/>
    </row>
    <row r="7545" spans="7:7" x14ac:dyDescent="0.2">
      <c r="G7545" s="7"/>
    </row>
    <row r="7546" spans="7:7" x14ac:dyDescent="0.2">
      <c r="G7546" s="7"/>
    </row>
    <row r="7547" spans="7:7" x14ac:dyDescent="0.2">
      <c r="G7547" s="7"/>
    </row>
    <row r="7548" spans="7:7" x14ac:dyDescent="0.2">
      <c r="G7548" s="7"/>
    </row>
    <row r="7549" spans="7:7" x14ac:dyDescent="0.2">
      <c r="G7549" s="7"/>
    </row>
    <row r="7550" spans="7:7" x14ac:dyDescent="0.2">
      <c r="G7550" s="7"/>
    </row>
    <row r="7551" spans="7:7" x14ac:dyDescent="0.2">
      <c r="G7551" s="7"/>
    </row>
    <row r="7552" spans="7:7" x14ac:dyDescent="0.2">
      <c r="G7552" s="7"/>
    </row>
    <row r="7553" spans="7:7" x14ac:dyDescent="0.2">
      <c r="G7553" s="7"/>
    </row>
    <row r="7554" spans="7:7" x14ac:dyDescent="0.2">
      <c r="G7554" s="7"/>
    </row>
    <row r="7555" spans="7:7" x14ac:dyDescent="0.2">
      <c r="G7555" s="7"/>
    </row>
    <row r="7556" spans="7:7" x14ac:dyDescent="0.2">
      <c r="G7556" s="7"/>
    </row>
    <row r="7557" spans="7:7" x14ac:dyDescent="0.2">
      <c r="G7557" s="7"/>
    </row>
    <row r="7558" spans="7:7" x14ac:dyDescent="0.2">
      <c r="G7558" s="7"/>
    </row>
    <row r="7559" spans="7:7" x14ac:dyDescent="0.2">
      <c r="G7559" s="7"/>
    </row>
    <row r="7560" spans="7:7" x14ac:dyDescent="0.2">
      <c r="G7560" s="7"/>
    </row>
    <row r="7561" spans="7:7" x14ac:dyDescent="0.2">
      <c r="G7561" s="7"/>
    </row>
    <row r="7562" spans="7:7" x14ac:dyDescent="0.2">
      <c r="G7562" s="7"/>
    </row>
    <row r="7563" spans="7:7" x14ac:dyDescent="0.2">
      <c r="G7563" s="7"/>
    </row>
    <row r="7564" spans="7:7" x14ac:dyDescent="0.2">
      <c r="G7564" s="7"/>
    </row>
    <row r="7565" spans="7:7" x14ac:dyDescent="0.2">
      <c r="G7565" s="7"/>
    </row>
    <row r="7566" spans="7:7" x14ac:dyDescent="0.2">
      <c r="G7566" s="7"/>
    </row>
    <row r="7567" spans="7:7" x14ac:dyDescent="0.2">
      <c r="G7567" s="7"/>
    </row>
    <row r="7568" spans="7:7" x14ac:dyDescent="0.2">
      <c r="G7568" s="7"/>
    </row>
    <row r="7569" spans="7:7" x14ac:dyDescent="0.2">
      <c r="G7569" s="7"/>
    </row>
    <row r="7570" spans="7:7" x14ac:dyDescent="0.2">
      <c r="G7570" s="7"/>
    </row>
    <row r="7571" spans="7:7" x14ac:dyDescent="0.2">
      <c r="G7571" s="7"/>
    </row>
    <row r="7572" spans="7:7" x14ac:dyDescent="0.2">
      <c r="G7572" s="7"/>
    </row>
    <row r="7573" spans="7:7" x14ac:dyDescent="0.2">
      <c r="G7573" s="7"/>
    </row>
    <row r="7574" spans="7:7" x14ac:dyDescent="0.2">
      <c r="G7574" s="7"/>
    </row>
    <row r="7575" spans="7:7" x14ac:dyDescent="0.2">
      <c r="G7575" s="7"/>
    </row>
    <row r="7576" spans="7:7" x14ac:dyDescent="0.2">
      <c r="G7576" s="7"/>
    </row>
    <row r="7577" spans="7:7" x14ac:dyDescent="0.2">
      <c r="G7577" s="7"/>
    </row>
    <row r="7578" spans="7:7" x14ac:dyDescent="0.2">
      <c r="G7578" s="7"/>
    </row>
    <row r="7579" spans="7:7" x14ac:dyDescent="0.2">
      <c r="G7579" s="7"/>
    </row>
    <row r="7580" spans="7:7" x14ac:dyDescent="0.2">
      <c r="G7580" s="7"/>
    </row>
    <row r="7581" spans="7:7" x14ac:dyDescent="0.2">
      <c r="G7581" s="7"/>
    </row>
    <row r="7582" spans="7:7" x14ac:dyDescent="0.2">
      <c r="G7582" s="7"/>
    </row>
    <row r="7583" spans="7:7" x14ac:dyDescent="0.2">
      <c r="G7583" s="7"/>
    </row>
    <row r="7584" spans="7:7" x14ac:dyDescent="0.2">
      <c r="G7584" s="7"/>
    </row>
    <row r="7585" spans="7:7" x14ac:dyDescent="0.2">
      <c r="G7585" s="7"/>
    </row>
    <row r="7586" spans="7:7" x14ac:dyDescent="0.2">
      <c r="G7586" s="7"/>
    </row>
    <row r="7587" spans="7:7" x14ac:dyDescent="0.2">
      <c r="G7587" s="7"/>
    </row>
    <row r="7588" spans="7:7" x14ac:dyDescent="0.2">
      <c r="G7588" s="7"/>
    </row>
    <row r="7589" spans="7:7" x14ac:dyDescent="0.2">
      <c r="G7589" s="7"/>
    </row>
    <row r="7590" spans="7:7" x14ac:dyDescent="0.2">
      <c r="G7590" s="7"/>
    </row>
    <row r="7591" spans="7:7" x14ac:dyDescent="0.2">
      <c r="G7591" s="7"/>
    </row>
    <row r="7592" spans="7:7" x14ac:dyDescent="0.2">
      <c r="G7592" s="7"/>
    </row>
    <row r="7593" spans="7:7" x14ac:dyDescent="0.2">
      <c r="G7593" s="7"/>
    </row>
    <row r="7594" spans="7:7" x14ac:dyDescent="0.2">
      <c r="G7594" s="7"/>
    </row>
    <row r="7595" spans="7:7" x14ac:dyDescent="0.2">
      <c r="G7595" s="7"/>
    </row>
    <row r="7596" spans="7:7" x14ac:dyDescent="0.2">
      <c r="G7596" s="7"/>
    </row>
    <row r="7597" spans="7:7" x14ac:dyDescent="0.2">
      <c r="G7597" s="7"/>
    </row>
    <row r="7598" spans="7:7" x14ac:dyDescent="0.2">
      <c r="G7598" s="7"/>
    </row>
    <row r="7599" spans="7:7" x14ac:dyDescent="0.2">
      <c r="G7599" s="7"/>
    </row>
    <row r="7600" spans="7:7" x14ac:dyDescent="0.2">
      <c r="G7600" s="7"/>
    </row>
    <row r="7601" spans="7:7" x14ac:dyDescent="0.2">
      <c r="G7601" s="7"/>
    </row>
    <row r="7602" spans="7:7" x14ac:dyDescent="0.2">
      <c r="G7602" s="7"/>
    </row>
    <row r="7603" spans="7:7" x14ac:dyDescent="0.2">
      <c r="G7603" s="7"/>
    </row>
    <row r="7604" spans="7:7" x14ac:dyDescent="0.2">
      <c r="G7604" s="7"/>
    </row>
    <row r="7605" spans="7:7" x14ac:dyDescent="0.2">
      <c r="G7605" s="7"/>
    </row>
    <row r="7606" spans="7:7" x14ac:dyDescent="0.2">
      <c r="G7606" s="7"/>
    </row>
    <row r="7607" spans="7:7" x14ac:dyDescent="0.2">
      <c r="G7607" s="7"/>
    </row>
    <row r="7608" spans="7:7" x14ac:dyDescent="0.2">
      <c r="G7608" s="7"/>
    </row>
    <row r="7609" spans="7:7" x14ac:dyDescent="0.2">
      <c r="G7609" s="7"/>
    </row>
    <row r="7610" spans="7:7" x14ac:dyDescent="0.2">
      <c r="G7610" s="7"/>
    </row>
    <row r="7611" spans="7:7" x14ac:dyDescent="0.2">
      <c r="G7611" s="7"/>
    </row>
    <row r="7612" spans="7:7" x14ac:dyDescent="0.2">
      <c r="G7612" s="7"/>
    </row>
    <row r="7613" spans="7:7" x14ac:dyDescent="0.2">
      <c r="G7613" s="7"/>
    </row>
    <row r="7614" spans="7:7" x14ac:dyDescent="0.2">
      <c r="G7614" s="7"/>
    </row>
    <row r="7615" spans="7:7" x14ac:dyDescent="0.2">
      <c r="G7615" s="7"/>
    </row>
    <row r="7616" spans="7:7" x14ac:dyDescent="0.2">
      <c r="G7616" s="7"/>
    </row>
    <row r="7617" spans="7:7" x14ac:dyDescent="0.2">
      <c r="G7617" s="7"/>
    </row>
    <row r="7618" spans="7:7" x14ac:dyDescent="0.2">
      <c r="G7618" s="7"/>
    </row>
    <row r="7619" spans="7:7" x14ac:dyDescent="0.2">
      <c r="G7619" s="7"/>
    </row>
    <row r="7620" spans="7:7" x14ac:dyDescent="0.2">
      <c r="G7620" s="7"/>
    </row>
    <row r="7621" spans="7:7" x14ac:dyDescent="0.2">
      <c r="G7621" s="7"/>
    </row>
    <row r="7622" spans="7:7" x14ac:dyDescent="0.2">
      <c r="G7622" s="7"/>
    </row>
    <row r="7623" spans="7:7" x14ac:dyDescent="0.2">
      <c r="G7623" s="7"/>
    </row>
    <row r="7624" spans="7:7" x14ac:dyDescent="0.2">
      <c r="G7624" s="7"/>
    </row>
    <row r="7625" spans="7:7" x14ac:dyDescent="0.2">
      <c r="G7625" s="7"/>
    </row>
    <row r="7626" spans="7:7" x14ac:dyDescent="0.2">
      <c r="G7626" s="7"/>
    </row>
    <row r="7627" spans="7:7" x14ac:dyDescent="0.2">
      <c r="G7627" s="7"/>
    </row>
    <row r="7628" spans="7:7" x14ac:dyDescent="0.2">
      <c r="G7628" s="7"/>
    </row>
    <row r="7629" spans="7:7" x14ac:dyDescent="0.2">
      <c r="G7629" s="7"/>
    </row>
    <row r="7630" spans="7:7" x14ac:dyDescent="0.2">
      <c r="G7630" s="7"/>
    </row>
    <row r="7631" spans="7:7" x14ac:dyDescent="0.2">
      <c r="G7631" s="7"/>
    </row>
    <row r="7632" spans="7:7" x14ac:dyDescent="0.2">
      <c r="G7632" s="7"/>
    </row>
    <row r="7633" spans="7:7" x14ac:dyDescent="0.2">
      <c r="G7633" s="7"/>
    </row>
    <row r="7634" spans="7:7" x14ac:dyDescent="0.2">
      <c r="G7634" s="7"/>
    </row>
    <row r="7635" spans="7:7" x14ac:dyDescent="0.2">
      <c r="G7635" s="7"/>
    </row>
    <row r="7636" spans="7:7" x14ac:dyDescent="0.2">
      <c r="G7636" s="7"/>
    </row>
    <row r="7637" spans="7:7" x14ac:dyDescent="0.2">
      <c r="G7637" s="7"/>
    </row>
    <row r="7638" spans="7:7" x14ac:dyDescent="0.2">
      <c r="G7638" s="7"/>
    </row>
    <row r="7639" spans="7:7" x14ac:dyDescent="0.2">
      <c r="G7639" s="7"/>
    </row>
    <row r="7640" spans="7:7" x14ac:dyDescent="0.2">
      <c r="G7640" s="7"/>
    </row>
    <row r="7641" spans="7:7" x14ac:dyDescent="0.2">
      <c r="G7641" s="7"/>
    </row>
    <row r="7642" spans="7:7" x14ac:dyDescent="0.2">
      <c r="G7642" s="7"/>
    </row>
    <row r="7643" spans="7:7" x14ac:dyDescent="0.2">
      <c r="G7643" s="7"/>
    </row>
    <row r="7644" spans="7:7" x14ac:dyDescent="0.2">
      <c r="G7644" s="7"/>
    </row>
    <row r="7645" spans="7:7" x14ac:dyDescent="0.2">
      <c r="G7645" s="7"/>
    </row>
    <row r="7646" spans="7:7" x14ac:dyDescent="0.2">
      <c r="G7646" s="7"/>
    </row>
    <row r="7647" spans="7:7" x14ac:dyDescent="0.2">
      <c r="G7647" s="7"/>
    </row>
    <row r="7648" spans="7:7" x14ac:dyDescent="0.2">
      <c r="G7648" s="7"/>
    </row>
    <row r="7649" spans="7:7" x14ac:dyDescent="0.2">
      <c r="G7649" s="7"/>
    </row>
    <row r="7650" spans="7:7" x14ac:dyDescent="0.2">
      <c r="G7650" s="7"/>
    </row>
    <row r="7651" spans="7:7" x14ac:dyDescent="0.2">
      <c r="G7651" s="7"/>
    </row>
    <row r="7652" spans="7:7" x14ac:dyDescent="0.2">
      <c r="G7652" s="7"/>
    </row>
    <row r="7653" spans="7:7" x14ac:dyDescent="0.2">
      <c r="G7653" s="7"/>
    </row>
    <row r="7654" spans="7:7" x14ac:dyDescent="0.2">
      <c r="G7654" s="7"/>
    </row>
    <row r="7655" spans="7:7" x14ac:dyDescent="0.2">
      <c r="G7655" s="7"/>
    </row>
    <row r="7656" spans="7:7" x14ac:dyDescent="0.2">
      <c r="G7656" s="7"/>
    </row>
    <row r="7657" spans="7:7" x14ac:dyDescent="0.2">
      <c r="G7657" s="7"/>
    </row>
    <row r="7658" spans="7:7" x14ac:dyDescent="0.2">
      <c r="G7658" s="7"/>
    </row>
    <row r="7659" spans="7:7" x14ac:dyDescent="0.2">
      <c r="G7659" s="7"/>
    </row>
    <row r="7660" spans="7:7" x14ac:dyDescent="0.2">
      <c r="G7660" s="7"/>
    </row>
    <row r="7661" spans="7:7" x14ac:dyDescent="0.2">
      <c r="G7661" s="7"/>
    </row>
    <row r="7662" spans="7:7" x14ac:dyDescent="0.2">
      <c r="G7662" s="7"/>
    </row>
    <row r="7663" spans="7:7" x14ac:dyDescent="0.2">
      <c r="G7663" s="7"/>
    </row>
    <row r="7664" spans="7:7" x14ac:dyDescent="0.2">
      <c r="G7664" s="7"/>
    </row>
    <row r="7665" spans="7:7" x14ac:dyDescent="0.2">
      <c r="G7665" s="7"/>
    </row>
    <row r="7666" spans="7:7" x14ac:dyDescent="0.2">
      <c r="G7666" s="7"/>
    </row>
    <row r="7667" spans="7:7" x14ac:dyDescent="0.2">
      <c r="G7667" s="7"/>
    </row>
    <row r="7668" spans="7:7" x14ac:dyDescent="0.2">
      <c r="G7668" s="7"/>
    </row>
    <row r="7669" spans="7:7" x14ac:dyDescent="0.2">
      <c r="G7669" s="7"/>
    </row>
    <row r="7670" spans="7:7" x14ac:dyDescent="0.2">
      <c r="G7670" s="7"/>
    </row>
    <row r="7671" spans="7:7" x14ac:dyDescent="0.2">
      <c r="G7671" s="7"/>
    </row>
    <row r="7672" spans="7:7" x14ac:dyDescent="0.2">
      <c r="G7672" s="7"/>
    </row>
    <row r="7673" spans="7:7" x14ac:dyDescent="0.2">
      <c r="G7673" s="7"/>
    </row>
    <row r="7674" spans="7:7" x14ac:dyDescent="0.2">
      <c r="G7674" s="7"/>
    </row>
    <row r="7675" spans="7:7" x14ac:dyDescent="0.2">
      <c r="G7675" s="7"/>
    </row>
    <row r="7676" spans="7:7" x14ac:dyDescent="0.2">
      <c r="G7676" s="7"/>
    </row>
    <row r="7677" spans="7:7" x14ac:dyDescent="0.2">
      <c r="G7677" s="7"/>
    </row>
    <row r="7678" spans="7:7" x14ac:dyDescent="0.2">
      <c r="G7678" s="7"/>
    </row>
    <row r="7679" spans="7:7" x14ac:dyDescent="0.2">
      <c r="G7679" s="7"/>
    </row>
    <row r="7680" spans="7:7" x14ac:dyDescent="0.2">
      <c r="G7680" s="7"/>
    </row>
    <row r="7681" spans="7:7" x14ac:dyDescent="0.2">
      <c r="G7681" s="7"/>
    </row>
    <row r="7682" spans="7:7" x14ac:dyDescent="0.2">
      <c r="G7682" s="7"/>
    </row>
    <row r="7683" spans="7:7" x14ac:dyDescent="0.2">
      <c r="G7683" s="7"/>
    </row>
    <row r="7684" spans="7:7" x14ac:dyDescent="0.2">
      <c r="G7684" s="7"/>
    </row>
    <row r="7685" spans="7:7" x14ac:dyDescent="0.2">
      <c r="G7685" s="7"/>
    </row>
    <row r="7686" spans="7:7" x14ac:dyDescent="0.2">
      <c r="G7686" s="7"/>
    </row>
    <row r="7687" spans="7:7" x14ac:dyDescent="0.2">
      <c r="G7687" s="7"/>
    </row>
    <row r="7688" spans="7:7" x14ac:dyDescent="0.2">
      <c r="G7688" s="7"/>
    </row>
    <row r="7689" spans="7:7" x14ac:dyDescent="0.2">
      <c r="G7689" s="7"/>
    </row>
    <row r="7690" spans="7:7" x14ac:dyDescent="0.2">
      <c r="G7690" s="7"/>
    </row>
    <row r="7691" spans="7:7" x14ac:dyDescent="0.2">
      <c r="G7691" s="7"/>
    </row>
    <row r="7692" spans="7:7" x14ac:dyDescent="0.2">
      <c r="G7692" s="7"/>
    </row>
    <row r="7693" spans="7:7" x14ac:dyDescent="0.2">
      <c r="G7693" s="7"/>
    </row>
    <row r="7694" spans="7:7" x14ac:dyDescent="0.2">
      <c r="G7694" s="7"/>
    </row>
    <row r="7695" spans="7:7" x14ac:dyDescent="0.2">
      <c r="G7695" s="7"/>
    </row>
    <row r="7696" spans="7:7" x14ac:dyDescent="0.2">
      <c r="G7696" s="7"/>
    </row>
    <row r="7697" spans="7:7" x14ac:dyDescent="0.2">
      <c r="G7697" s="7"/>
    </row>
    <row r="7698" spans="7:7" x14ac:dyDescent="0.2">
      <c r="G7698" s="7"/>
    </row>
    <row r="7699" spans="7:7" x14ac:dyDescent="0.2">
      <c r="G7699" s="7"/>
    </row>
    <row r="7700" spans="7:7" x14ac:dyDescent="0.2">
      <c r="G7700" s="7"/>
    </row>
    <row r="7701" spans="7:7" x14ac:dyDescent="0.2">
      <c r="G7701" s="7"/>
    </row>
    <row r="7702" spans="7:7" x14ac:dyDescent="0.2">
      <c r="G7702" s="7"/>
    </row>
    <row r="7703" spans="7:7" x14ac:dyDescent="0.2">
      <c r="G7703" s="7"/>
    </row>
    <row r="7704" spans="7:7" x14ac:dyDescent="0.2">
      <c r="G7704" s="7"/>
    </row>
    <row r="7705" spans="7:7" x14ac:dyDescent="0.2">
      <c r="G7705" s="7"/>
    </row>
    <row r="7706" spans="7:7" x14ac:dyDescent="0.2">
      <c r="G7706" s="7"/>
    </row>
    <row r="7707" spans="7:7" x14ac:dyDescent="0.2">
      <c r="G7707" s="7"/>
    </row>
    <row r="7708" spans="7:7" x14ac:dyDescent="0.2">
      <c r="G7708" s="7"/>
    </row>
    <row r="7709" spans="7:7" x14ac:dyDescent="0.2">
      <c r="G7709" s="7"/>
    </row>
    <row r="7710" spans="7:7" x14ac:dyDescent="0.2">
      <c r="G7710" s="7"/>
    </row>
    <row r="7711" spans="7:7" x14ac:dyDescent="0.2">
      <c r="G7711" s="7"/>
    </row>
    <row r="7712" spans="7:7" x14ac:dyDescent="0.2">
      <c r="G7712" s="7"/>
    </row>
    <row r="7713" spans="7:7" x14ac:dyDescent="0.2">
      <c r="G7713" s="7"/>
    </row>
    <row r="7714" spans="7:7" x14ac:dyDescent="0.2">
      <c r="G7714" s="7"/>
    </row>
    <row r="7715" spans="7:7" x14ac:dyDescent="0.2">
      <c r="G7715" s="7"/>
    </row>
    <row r="7716" spans="7:7" x14ac:dyDescent="0.2">
      <c r="G7716" s="7"/>
    </row>
    <row r="7717" spans="7:7" x14ac:dyDescent="0.2">
      <c r="G7717" s="7"/>
    </row>
    <row r="7718" spans="7:7" x14ac:dyDescent="0.2">
      <c r="G7718" s="7"/>
    </row>
    <row r="7719" spans="7:7" x14ac:dyDescent="0.2">
      <c r="G7719" s="7"/>
    </row>
    <row r="7720" spans="7:7" x14ac:dyDescent="0.2">
      <c r="G7720" s="7"/>
    </row>
    <row r="7721" spans="7:7" x14ac:dyDescent="0.2">
      <c r="G7721" s="7"/>
    </row>
    <row r="7722" spans="7:7" x14ac:dyDescent="0.2">
      <c r="G7722" s="7"/>
    </row>
    <row r="7723" spans="7:7" x14ac:dyDescent="0.2">
      <c r="G7723" s="7"/>
    </row>
    <row r="7724" spans="7:7" x14ac:dyDescent="0.2">
      <c r="G7724" s="7"/>
    </row>
    <row r="7725" spans="7:7" x14ac:dyDescent="0.2">
      <c r="G7725" s="7"/>
    </row>
    <row r="7726" spans="7:7" x14ac:dyDescent="0.2">
      <c r="G7726" s="7"/>
    </row>
    <row r="7727" spans="7:7" x14ac:dyDescent="0.2">
      <c r="G7727" s="7"/>
    </row>
    <row r="7728" spans="7:7" x14ac:dyDescent="0.2">
      <c r="G7728" s="7"/>
    </row>
    <row r="7729" spans="7:7" x14ac:dyDescent="0.2">
      <c r="G7729" s="7"/>
    </row>
    <row r="7730" spans="7:7" x14ac:dyDescent="0.2">
      <c r="G7730" s="7"/>
    </row>
    <row r="7731" spans="7:7" x14ac:dyDescent="0.2">
      <c r="G7731" s="7"/>
    </row>
    <row r="7732" spans="7:7" x14ac:dyDescent="0.2">
      <c r="G7732" s="7"/>
    </row>
    <row r="7733" spans="7:7" x14ac:dyDescent="0.2">
      <c r="G7733" s="7"/>
    </row>
    <row r="7734" spans="7:7" x14ac:dyDescent="0.2">
      <c r="G7734" s="7"/>
    </row>
    <row r="7735" spans="7:7" x14ac:dyDescent="0.2">
      <c r="G7735" s="7"/>
    </row>
    <row r="7736" spans="7:7" x14ac:dyDescent="0.2">
      <c r="G7736" s="7"/>
    </row>
    <row r="7737" spans="7:7" x14ac:dyDescent="0.2">
      <c r="G7737" s="7"/>
    </row>
    <row r="7738" spans="7:7" x14ac:dyDescent="0.2">
      <c r="G7738" s="7"/>
    </row>
    <row r="7739" spans="7:7" x14ac:dyDescent="0.2">
      <c r="G7739" s="7"/>
    </row>
    <row r="7740" spans="7:7" x14ac:dyDescent="0.2">
      <c r="G7740" s="7"/>
    </row>
    <row r="7741" spans="7:7" x14ac:dyDescent="0.2">
      <c r="G7741" s="7"/>
    </row>
    <row r="7742" spans="7:7" x14ac:dyDescent="0.2">
      <c r="G7742" s="7"/>
    </row>
    <row r="7743" spans="7:7" x14ac:dyDescent="0.2">
      <c r="G7743" s="7"/>
    </row>
    <row r="7744" spans="7:7" x14ac:dyDescent="0.2">
      <c r="G7744" s="7"/>
    </row>
    <row r="7745" spans="7:7" x14ac:dyDescent="0.2">
      <c r="G7745" s="7"/>
    </row>
    <row r="7746" spans="7:7" x14ac:dyDescent="0.2">
      <c r="G7746" s="7"/>
    </row>
    <row r="7747" spans="7:7" x14ac:dyDescent="0.2">
      <c r="G7747" s="7"/>
    </row>
    <row r="7748" spans="7:7" x14ac:dyDescent="0.2">
      <c r="G7748" s="7"/>
    </row>
    <row r="7749" spans="7:7" x14ac:dyDescent="0.2">
      <c r="G7749" s="7"/>
    </row>
    <row r="7750" spans="7:7" x14ac:dyDescent="0.2">
      <c r="G7750" s="7"/>
    </row>
    <row r="7751" spans="7:7" x14ac:dyDescent="0.2">
      <c r="G7751" s="7"/>
    </row>
    <row r="7752" spans="7:7" x14ac:dyDescent="0.2">
      <c r="G7752" s="7"/>
    </row>
    <row r="7753" spans="7:7" x14ac:dyDescent="0.2">
      <c r="G7753" s="7"/>
    </row>
    <row r="7754" spans="7:7" x14ac:dyDescent="0.2">
      <c r="G7754" s="7"/>
    </row>
    <row r="7755" spans="7:7" x14ac:dyDescent="0.2">
      <c r="G7755" s="7"/>
    </row>
    <row r="7756" spans="7:7" x14ac:dyDescent="0.2">
      <c r="G7756" s="7"/>
    </row>
    <row r="7757" spans="7:7" x14ac:dyDescent="0.2">
      <c r="G7757" s="7"/>
    </row>
    <row r="7758" spans="7:7" x14ac:dyDescent="0.2">
      <c r="G7758" s="7"/>
    </row>
    <row r="7759" spans="7:7" x14ac:dyDescent="0.2">
      <c r="G7759" s="7"/>
    </row>
    <row r="7760" spans="7:7" x14ac:dyDescent="0.2">
      <c r="G7760" s="7"/>
    </row>
    <row r="7761" spans="7:7" x14ac:dyDescent="0.2">
      <c r="G7761" s="7"/>
    </row>
    <row r="7762" spans="7:7" x14ac:dyDescent="0.2">
      <c r="G7762" s="7"/>
    </row>
    <row r="7763" spans="7:7" x14ac:dyDescent="0.2">
      <c r="G7763" s="7"/>
    </row>
    <row r="7764" spans="7:7" x14ac:dyDescent="0.2">
      <c r="G7764" s="7"/>
    </row>
    <row r="7765" spans="7:7" x14ac:dyDescent="0.2">
      <c r="G7765" s="7"/>
    </row>
    <row r="7766" spans="7:7" x14ac:dyDescent="0.2">
      <c r="G7766" s="7"/>
    </row>
    <row r="7767" spans="7:7" x14ac:dyDescent="0.2">
      <c r="G7767" s="7"/>
    </row>
    <row r="7768" spans="7:7" x14ac:dyDescent="0.2">
      <c r="G7768" s="7"/>
    </row>
    <row r="7769" spans="7:7" x14ac:dyDescent="0.2">
      <c r="G7769" s="7"/>
    </row>
    <row r="7770" spans="7:7" x14ac:dyDescent="0.2">
      <c r="G7770" s="7"/>
    </row>
    <row r="7771" spans="7:7" x14ac:dyDescent="0.2">
      <c r="G7771" s="7"/>
    </row>
    <row r="7772" spans="7:7" x14ac:dyDescent="0.2">
      <c r="G7772" s="7"/>
    </row>
    <row r="7773" spans="7:7" x14ac:dyDescent="0.2">
      <c r="G7773" s="7"/>
    </row>
    <row r="7774" spans="7:7" x14ac:dyDescent="0.2">
      <c r="G7774" s="7"/>
    </row>
    <row r="7775" spans="7:7" x14ac:dyDescent="0.2">
      <c r="G7775" s="7"/>
    </row>
    <row r="7776" spans="7:7" x14ac:dyDescent="0.2">
      <c r="G7776" s="7"/>
    </row>
    <row r="7777" spans="7:7" x14ac:dyDescent="0.2">
      <c r="G7777" s="7"/>
    </row>
    <row r="7778" spans="7:7" x14ac:dyDescent="0.2">
      <c r="G7778" s="7"/>
    </row>
    <row r="7779" spans="7:7" x14ac:dyDescent="0.2">
      <c r="G7779" s="7"/>
    </row>
    <row r="7780" spans="7:7" x14ac:dyDescent="0.2">
      <c r="G7780" s="7"/>
    </row>
    <row r="7781" spans="7:7" x14ac:dyDescent="0.2">
      <c r="G7781" s="7"/>
    </row>
    <row r="7782" spans="7:7" x14ac:dyDescent="0.2">
      <c r="G7782" s="7"/>
    </row>
    <row r="7783" spans="7:7" x14ac:dyDescent="0.2">
      <c r="G7783" s="7"/>
    </row>
    <row r="7784" spans="7:7" x14ac:dyDescent="0.2">
      <c r="G7784" s="7"/>
    </row>
    <row r="7785" spans="7:7" x14ac:dyDescent="0.2">
      <c r="G7785" s="7"/>
    </row>
    <row r="7786" spans="7:7" x14ac:dyDescent="0.2">
      <c r="G7786" s="7"/>
    </row>
    <row r="7787" spans="7:7" x14ac:dyDescent="0.2">
      <c r="G7787" s="7"/>
    </row>
    <row r="7788" spans="7:7" x14ac:dyDescent="0.2">
      <c r="G7788" s="7"/>
    </row>
    <row r="7789" spans="7:7" x14ac:dyDescent="0.2">
      <c r="G7789" s="7"/>
    </row>
    <row r="7790" spans="7:7" x14ac:dyDescent="0.2">
      <c r="G7790" s="7"/>
    </row>
    <row r="7791" spans="7:7" x14ac:dyDescent="0.2">
      <c r="G7791" s="7"/>
    </row>
    <row r="7792" spans="7:7" x14ac:dyDescent="0.2">
      <c r="G7792" s="7"/>
    </row>
    <row r="7793" spans="7:7" x14ac:dyDescent="0.2">
      <c r="G7793" s="7"/>
    </row>
    <row r="7794" spans="7:7" x14ac:dyDescent="0.2">
      <c r="G7794" s="7"/>
    </row>
    <row r="7795" spans="7:7" x14ac:dyDescent="0.2">
      <c r="G7795" s="7"/>
    </row>
    <row r="7796" spans="7:7" x14ac:dyDescent="0.2">
      <c r="G7796" s="7"/>
    </row>
    <row r="7797" spans="7:7" x14ac:dyDescent="0.2">
      <c r="G7797" s="7"/>
    </row>
    <row r="7798" spans="7:7" x14ac:dyDescent="0.2">
      <c r="G7798" s="7"/>
    </row>
    <row r="7799" spans="7:7" x14ac:dyDescent="0.2">
      <c r="G7799" s="7"/>
    </row>
    <row r="7800" spans="7:7" x14ac:dyDescent="0.2">
      <c r="G7800" s="7"/>
    </row>
    <row r="7801" spans="7:7" x14ac:dyDescent="0.2">
      <c r="G7801" s="7"/>
    </row>
    <row r="7802" spans="7:7" x14ac:dyDescent="0.2">
      <c r="G7802" s="7"/>
    </row>
    <row r="7803" spans="7:7" x14ac:dyDescent="0.2">
      <c r="G7803" s="7"/>
    </row>
    <row r="7804" spans="7:7" x14ac:dyDescent="0.2">
      <c r="G7804" s="7"/>
    </row>
    <row r="7805" spans="7:7" x14ac:dyDescent="0.2">
      <c r="G7805" s="7"/>
    </row>
    <row r="7806" spans="7:7" x14ac:dyDescent="0.2">
      <c r="G7806" s="7"/>
    </row>
    <row r="7807" spans="7:7" x14ac:dyDescent="0.2">
      <c r="G7807" s="7"/>
    </row>
    <row r="7808" spans="7:7" x14ac:dyDescent="0.2">
      <c r="G7808" s="7"/>
    </row>
    <row r="7809" spans="7:7" x14ac:dyDescent="0.2">
      <c r="G7809" s="7"/>
    </row>
    <row r="7810" spans="7:7" x14ac:dyDescent="0.2">
      <c r="G7810" s="7"/>
    </row>
    <row r="7811" spans="7:7" x14ac:dyDescent="0.2">
      <c r="G7811" s="7"/>
    </row>
    <row r="7812" spans="7:7" x14ac:dyDescent="0.2">
      <c r="G7812" s="7"/>
    </row>
    <row r="7813" spans="7:7" x14ac:dyDescent="0.2">
      <c r="G7813" s="7"/>
    </row>
    <row r="7814" spans="7:7" x14ac:dyDescent="0.2">
      <c r="G7814" s="7"/>
    </row>
    <row r="7815" spans="7:7" x14ac:dyDescent="0.2">
      <c r="G7815" s="7"/>
    </row>
    <row r="7816" spans="7:7" x14ac:dyDescent="0.2">
      <c r="G7816" s="7"/>
    </row>
    <row r="7817" spans="7:7" x14ac:dyDescent="0.2">
      <c r="G7817" s="7"/>
    </row>
    <row r="7818" spans="7:7" x14ac:dyDescent="0.2">
      <c r="G7818" s="7"/>
    </row>
    <row r="7819" spans="7:7" x14ac:dyDescent="0.2">
      <c r="G7819" s="7"/>
    </row>
    <row r="7820" spans="7:7" x14ac:dyDescent="0.2">
      <c r="G7820" s="7"/>
    </row>
    <row r="7821" spans="7:7" x14ac:dyDescent="0.2">
      <c r="G7821" s="7"/>
    </row>
    <row r="7822" spans="7:7" x14ac:dyDescent="0.2">
      <c r="G7822" s="7"/>
    </row>
    <row r="7823" spans="7:7" x14ac:dyDescent="0.2">
      <c r="G7823" s="7"/>
    </row>
    <row r="7824" spans="7:7" x14ac:dyDescent="0.2">
      <c r="G7824" s="7"/>
    </row>
    <row r="7825" spans="7:7" x14ac:dyDescent="0.2">
      <c r="G7825" s="7"/>
    </row>
    <row r="7826" spans="7:7" x14ac:dyDescent="0.2">
      <c r="G7826" s="7"/>
    </row>
    <row r="7827" spans="7:7" x14ac:dyDescent="0.2">
      <c r="G7827" s="7"/>
    </row>
    <row r="7828" spans="7:7" x14ac:dyDescent="0.2">
      <c r="G7828" s="7"/>
    </row>
    <row r="7829" spans="7:7" x14ac:dyDescent="0.2">
      <c r="G7829" s="7"/>
    </row>
    <row r="7830" spans="7:7" x14ac:dyDescent="0.2">
      <c r="G7830" s="7"/>
    </row>
    <row r="7831" spans="7:7" x14ac:dyDescent="0.2">
      <c r="G7831" s="7"/>
    </row>
    <row r="7832" spans="7:7" x14ac:dyDescent="0.2">
      <c r="G7832" s="7"/>
    </row>
    <row r="7833" spans="7:7" x14ac:dyDescent="0.2">
      <c r="G7833" s="7"/>
    </row>
    <row r="7834" spans="7:7" x14ac:dyDescent="0.2">
      <c r="G7834" s="7"/>
    </row>
    <row r="7835" spans="7:7" x14ac:dyDescent="0.2">
      <c r="G7835" s="7"/>
    </row>
    <row r="7836" spans="7:7" x14ac:dyDescent="0.2">
      <c r="G7836" s="7"/>
    </row>
    <row r="7837" spans="7:7" x14ac:dyDescent="0.2">
      <c r="G7837" s="7"/>
    </row>
    <row r="7838" spans="7:7" x14ac:dyDescent="0.2">
      <c r="G7838" s="7"/>
    </row>
    <row r="7839" spans="7:7" x14ac:dyDescent="0.2">
      <c r="G7839" s="7"/>
    </row>
    <row r="7840" spans="7:7" x14ac:dyDescent="0.2">
      <c r="G7840" s="7"/>
    </row>
    <row r="7841" spans="7:7" x14ac:dyDescent="0.2">
      <c r="G7841" s="7"/>
    </row>
    <row r="7842" spans="7:7" x14ac:dyDescent="0.2">
      <c r="G7842" s="7"/>
    </row>
    <row r="7843" spans="7:7" x14ac:dyDescent="0.2">
      <c r="G7843" s="7"/>
    </row>
    <row r="7844" spans="7:7" x14ac:dyDescent="0.2">
      <c r="G7844" s="7"/>
    </row>
    <row r="7845" spans="7:7" x14ac:dyDescent="0.2">
      <c r="G7845" s="7"/>
    </row>
    <row r="7846" spans="7:7" x14ac:dyDescent="0.2">
      <c r="G7846" s="7"/>
    </row>
    <row r="7847" spans="7:7" x14ac:dyDescent="0.2">
      <c r="G7847" s="7"/>
    </row>
    <row r="7848" spans="7:7" x14ac:dyDescent="0.2">
      <c r="G7848" s="7"/>
    </row>
    <row r="7849" spans="7:7" x14ac:dyDescent="0.2">
      <c r="G7849" s="7"/>
    </row>
    <row r="7850" spans="7:7" x14ac:dyDescent="0.2">
      <c r="G7850" s="7"/>
    </row>
    <row r="7851" spans="7:7" x14ac:dyDescent="0.2">
      <c r="G7851" s="7"/>
    </row>
    <row r="7852" spans="7:7" x14ac:dyDescent="0.2">
      <c r="G7852" s="7"/>
    </row>
    <row r="7853" spans="7:7" x14ac:dyDescent="0.2">
      <c r="G7853" s="7"/>
    </row>
    <row r="7854" spans="7:7" x14ac:dyDescent="0.2">
      <c r="G7854" s="7"/>
    </row>
    <row r="7855" spans="7:7" x14ac:dyDescent="0.2">
      <c r="G7855" s="7"/>
    </row>
    <row r="7856" spans="7:7" x14ac:dyDescent="0.2">
      <c r="G7856" s="7"/>
    </row>
    <row r="7857" spans="7:7" x14ac:dyDescent="0.2">
      <c r="G7857" s="7"/>
    </row>
    <row r="7858" spans="7:7" x14ac:dyDescent="0.2">
      <c r="G7858" s="7"/>
    </row>
    <row r="7859" spans="7:7" x14ac:dyDescent="0.2">
      <c r="G7859" s="7"/>
    </row>
    <row r="7860" spans="7:7" x14ac:dyDescent="0.2">
      <c r="G7860" s="7"/>
    </row>
    <row r="7861" spans="7:7" x14ac:dyDescent="0.2">
      <c r="G7861" s="7"/>
    </row>
    <row r="7862" spans="7:7" x14ac:dyDescent="0.2">
      <c r="G7862" s="7"/>
    </row>
    <row r="7863" spans="7:7" x14ac:dyDescent="0.2">
      <c r="G7863" s="7"/>
    </row>
    <row r="7864" spans="7:7" x14ac:dyDescent="0.2">
      <c r="G7864" s="7"/>
    </row>
    <row r="7865" spans="7:7" x14ac:dyDescent="0.2">
      <c r="G7865" s="7"/>
    </row>
    <row r="7866" spans="7:7" x14ac:dyDescent="0.2">
      <c r="G7866" s="7"/>
    </row>
    <row r="7867" spans="7:7" x14ac:dyDescent="0.2">
      <c r="G7867" s="7"/>
    </row>
    <row r="7868" spans="7:7" x14ac:dyDescent="0.2">
      <c r="G7868" s="7"/>
    </row>
    <row r="7869" spans="7:7" x14ac:dyDescent="0.2">
      <c r="G7869" s="7"/>
    </row>
    <row r="7870" spans="7:7" x14ac:dyDescent="0.2">
      <c r="G7870" s="7"/>
    </row>
    <row r="7871" spans="7:7" x14ac:dyDescent="0.2">
      <c r="G7871" s="7"/>
    </row>
    <row r="7872" spans="7:7" x14ac:dyDescent="0.2">
      <c r="G7872" s="7"/>
    </row>
    <row r="7873" spans="7:7" x14ac:dyDescent="0.2">
      <c r="G7873" s="7"/>
    </row>
    <row r="7874" spans="7:7" x14ac:dyDescent="0.2">
      <c r="G7874" s="7"/>
    </row>
    <row r="7875" spans="7:7" x14ac:dyDescent="0.2">
      <c r="G7875" s="7"/>
    </row>
    <row r="7876" spans="7:7" x14ac:dyDescent="0.2">
      <c r="G7876" s="7"/>
    </row>
    <row r="7877" spans="7:7" x14ac:dyDescent="0.2">
      <c r="G7877" s="7"/>
    </row>
    <row r="7878" spans="7:7" x14ac:dyDescent="0.2">
      <c r="G7878" s="7"/>
    </row>
    <row r="7879" spans="7:7" x14ac:dyDescent="0.2">
      <c r="G7879" s="7"/>
    </row>
    <row r="7880" spans="7:7" x14ac:dyDescent="0.2">
      <c r="G7880" s="7"/>
    </row>
    <row r="7881" spans="7:7" x14ac:dyDescent="0.2">
      <c r="G7881" s="7"/>
    </row>
    <row r="7882" spans="7:7" x14ac:dyDescent="0.2">
      <c r="G7882" s="7"/>
    </row>
    <row r="7883" spans="7:7" x14ac:dyDescent="0.2">
      <c r="G7883" s="7"/>
    </row>
    <row r="7884" spans="7:7" x14ac:dyDescent="0.2">
      <c r="G7884" s="7"/>
    </row>
    <row r="7885" spans="7:7" x14ac:dyDescent="0.2">
      <c r="G7885" s="7"/>
    </row>
    <row r="7886" spans="7:7" x14ac:dyDescent="0.2">
      <c r="G7886" s="7"/>
    </row>
    <row r="7887" spans="7:7" x14ac:dyDescent="0.2">
      <c r="G7887" s="7"/>
    </row>
    <row r="7888" spans="7:7" x14ac:dyDescent="0.2">
      <c r="G7888" s="7"/>
    </row>
    <row r="7889" spans="7:7" x14ac:dyDescent="0.2">
      <c r="G7889" s="7"/>
    </row>
    <row r="7890" spans="7:7" x14ac:dyDescent="0.2">
      <c r="G7890" s="7"/>
    </row>
    <row r="7891" spans="7:7" x14ac:dyDescent="0.2">
      <c r="G7891" s="7"/>
    </row>
    <row r="7892" spans="7:7" x14ac:dyDescent="0.2">
      <c r="G7892" s="7"/>
    </row>
    <row r="7893" spans="7:7" x14ac:dyDescent="0.2">
      <c r="G7893" s="7"/>
    </row>
    <row r="7894" spans="7:7" x14ac:dyDescent="0.2">
      <c r="G7894" s="7"/>
    </row>
    <row r="7895" spans="7:7" x14ac:dyDescent="0.2">
      <c r="G7895" s="7"/>
    </row>
    <row r="7896" spans="7:7" x14ac:dyDescent="0.2">
      <c r="G7896" s="7"/>
    </row>
    <row r="7897" spans="7:7" x14ac:dyDescent="0.2">
      <c r="G7897" s="7"/>
    </row>
    <row r="7898" spans="7:7" x14ac:dyDescent="0.2">
      <c r="G7898" s="7"/>
    </row>
    <row r="7899" spans="7:7" x14ac:dyDescent="0.2">
      <c r="G7899" s="7"/>
    </row>
    <row r="7900" spans="7:7" x14ac:dyDescent="0.2">
      <c r="G7900" s="7"/>
    </row>
    <row r="7901" spans="7:7" x14ac:dyDescent="0.2">
      <c r="G7901" s="7"/>
    </row>
    <row r="7902" spans="7:7" x14ac:dyDescent="0.2">
      <c r="G7902" s="7"/>
    </row>
    <row r="7903" spans="7:7" x14ac:dyDescent="0.2">
      <c r="G7903" s="7"/>
    </row>
    <row r="7904" spans="7:7" x14ac:dyDescent="0.2">
      <c r="G7904" s="7"/>
    </row>
    <row r="7905" spans="7:7" x14ac:dyDescent="0.2">
      <c r="G7905" s="7"/>
    </row>
    <row r="7906" spans="7:7" x14ac:dyDescent="0.2">
      <c r="G7906" s="7"/>
    </row>
    <row r="7907" spans="7:7" x14ac:dyDescent="0.2">
      <c r="G7907" s="7"/>
    </row>
    <row r="7908" spans="7:7" x14ac:dyDescent="0.2">
      <c r="G7908" s="7"/>
    </row>
    <row r="7909" spans="7:7" x14ac:dyDescent="0.2">
      <c r="G7909" s="7"/>
    </row>
    <row r="7910" spans="7:7" x14ac:dyDescent="0.2">
      <c r="G7910" s="7"/>
    </row>
    <row r="7911" spans="7:7" x14ac:dyDescent="0.2">
      <c r="G7911" s="7"/>
    </row>
    <row r="7912" spans="7:7" x14ac:dyDescent="0.2">
      <c r="G7912" s="7"/>
    </row>
    <row r="7913" spans="7:7" x14ac:dyDescent="0.2">
      <c r="G7913" s="7"/>
    </row>
    <row r="7914" spans="7:7" x14ac:dyDescent="0.2">
      <c r="G7914" s="7"/>
    </row>
    <row r="7915" spans="7:7" x14ac:dyDescent="0.2">
      <c r="G7915" s="7"/>
    </row>
    <row r="7916" spans="7:7" x14ac:dyDescent="0.2">
      <c r="G7916" s="7"/>
    </row>
    <row r="7917" spans="7:7" x14ac:dyDescent="0.2">
      <c r="G7917" s="7"/>
    </row>
    <row r="7918" spans="7:7" x14ac:dyDescent="0.2">
      <c r="G7918" s="7"/>
    </row>
    <row r="7919" spans="7:7" x14ac:dyDescent="0.2">
      <c r="G7919" s="7"/>
    </row>
    <row r="7920" spans="7:7" x14ac:dyDescent="0.2">
      <c r="G7920" s="7"/>
    </row>
    <row r="7921" spans="7:7" x14ac:dyDescent="0.2">
      <c r="G7921" s="7"/>
    </row>
    <row r="7922" spans="7:7" x14ac:dyDescent="0.2">
      <c r="G7922" s="7"/>
    </row>
    <row r="7923" spans="7:7" x14ac:dyDescent="0.2">
      <c r="G7923" s="7"/>
    </row>
    <row r="7924" spans="7:7" x14ac:dyDescent="0.2">
      <c r="G7924" s="7"/>
    </row>
    <row r="7925" spans="7:7" x14ac:dyDescent="0.2">
      <c r="G7925" s="7"/>
    </row>
    <row r="7926" spans="7:7" x14ac:dyDescent="0.2">
      <c r="G7926" s="7"/>
    </row>
    <row r="7927" spans="7:7" x14ac:dyDescent="0.2">
      <c r="G7927" s="7"/>
    </row>
    <row r="7928" spans="7:7" x14ac:dyDescent="0.2">
      <c r="G7928" s="7"/>
    </row>
    <row r="7929" spans="7:7" x14ac:dyDescent="0.2">
      <c r="G7929" s="7"/>
    </row>
    <row r="7930" spans="7:7" x14ac:dyDescent="0.2">
      <c r="G7930" s="7"/>
    </row>
    <row r="7931" spans="7:7" x14ac:dyDescent="0.2">
      <c r="G7931" s="7"/>
    </row>
    <row r="7932" spans="7:7" x14ac:dyDescent="0.2">
      <c r="G7932" s="7"/>
    </row>
    <row r="7933" spans="7:7" x14ac:dyDescent="0.2">
      <c r="G7933" s="7"/>
    </row>
    <row r="7934" spans="7:7" x14ac:dyDescent="0.2">
      <c r="G7934" s="7"/>
    </row>
    <row r="7935" spans="7:7" x14ac:dyDescent="0.2">
      <c r="G7935" s="7"/>
    </row>
    <row r="7936" spans="7:7" x14ac:dyDescent="0.2">
      <c r="G7936" s="7"/>
    </row>
    <row r="7937" spans="7:7" x14ac:dyDescent="0.2">
      <c r="G7937" s="7"/>
    </row>
    <row r="7938" spans="7:7" x14ac:dyDescent="0.2">
      <c r="G7938" s="7"/>
    </row>
    <row r="7939" spans="7:7" x14ac:dyDescent="0.2">
      <c r="G7939" s="7"/>
    </row>
    <row r="7940" spans="7:7" x14ac:dyDescent="0.2">
      <c r="G7940" s="7"/>
    </row>
    <row r="7941" spans="7:7" x14ac:dyDescent="0.2">
      <c r="G7941" s="7"/>
    </row>
    <row r="7942" spans="7:7" x14ac:dyDescent="0.2">
      <c r="G7942" s="7"/>
    </row>
    <row r="7943" spans="7:7" x14ac:dyDescent="0.2">
      <c r="G7943" s="7"/>
    </row>
    <row r="7944" spans="7:7" x14ac:dyDescent="0.2">
      <c r="G7944" s="7"/>
    </row>
    <row r="7945" spans="7:7" x14ac:dyDescent="0.2">
      <c r="G7945" s="7"/>
    </row>
    <row r="7946" spans="7:7" x14ac:dyDescent="0.2">
      <c r="G7946" s="7"/>
    </row>
    <row r="7947" spans="7:7" x14ac:dyDescent="0.2">
      <c r="G7947" s="7"/>
    </row>
    <row r="7948" spans="7:7" x14ac:dyDescent="0.2">
      <c r="G7948" s="7"/>
    </row>
    <row r="7949" spans="7:7" x14ac:dyDescent="0.2">
      <c r="G7949" s="7"/>
    </row>
    <row r="7950" spans="7:7" x14ac:dyDescent="0.2">
      <c r="G7950" s="7"/>
    </row>
    <row r="7951" spans="7:7" x14ac:dyDescent="0.2">
      <c r="G7951" s="7"/>
    </row>
    <row r="7952" spans="7:7" x14ac:dyDescent="0.2">
      <c r="G7952" s="7"/>
    </row>
    <row r="7953" spans="7:7" x14ac:dyDescent="0.2">
      <c r="G7953" s="7"/>
    </row>
    <row r="7954" spans="7:7" x14ac:dyDescent="0.2">
      <c r="G7954" s="7"/>
    </row>
    <row r="7955" spans="7:7" x14ac:dyDescent="0.2">
      <c r="G7955" s="7"/>
    </row>
    <row r="7956" spans="7:7" x14ac:dyDescent="0.2">
      <c r="G7956" s="7"/>
    </row>
    <row r="7957" spans="7:7" x14ac:dyDescent="0.2">
      <c r="G7957" s="7"/>
    </row>
    <row r="7958" spans="7:7" x14ac:dyDescent="0.2">
      <c r="G7958" s="7"/>
    </row>
    <row r="7959" spans="7:7" x14ac:dyDescent="0.2">
      <c r="G7959" s="7"/>
    </row>
    <row r="7960" spans="7:7" x14ac:dyDescent="0.2">
      <c r="G7960" s="7"/>
    </row>
    <row r="7961" spans="7:7" x14ac:dyDescent="0.2">
      <c r="G7961" s="7"/>
    </row>
    <row r="7962" spans="7:7" x14ac:dyDescent="0.2">
      <c r="G7962" s="7"/>
    </row>
    <row r="7963" spans="7:7" x14ac:dyDescent="0.2">
      <c r="G7963" s="7"/>
    </row>
    <row r="7964" spans="7:7" x14ac:dyDescent="0.2">
      <c r="G7964" s="7"/>
    </row>
    <row r="7965" spans="7:7" x14ac:dyDescent="0.2">
      <c r="G7965" s="7"/>
    </row>
    <row r="7966" spans="7:7" x14ac:dyDescent="0.2">
      <c r="G7966" s="7"/>
    </row>
    <row r="7967" spans="7:7" x14ac:dyDescent="0.2">
      <c r="G7967" s="7"/>
    </row>
    <row r="7968" spans="7:7" x14ac:dyDescent="0.2">
      <c r="G7968" s="7"/>
    </row>
    <row r="7969" spans="7:7" x14ac:dyDescent="0.2">
      <c r="G7969" s="7"/>
    </row>
    <row r="7970" spans="7:7" x14ac:dyDescent="0.2">
      <c r="G7970" s="7"/>
    </row>
    <row r="7971" spans="7:7" x14ac:dyDescent="0.2">
      <c r="G7971" s="7"/>
    </row>
    <row r="7972" spans="7:7" x14ac:dyDescent="0.2">
      <c r="G7972" s="7"/>
    </row>
    <row r="7973" spans="7:7" x14ac:dyDescent="0.2">
      <c r="G7973" s="7"/>
    </row>
    <row r="7974" spans="7:7" x14ac:dyDescent="0.2">
      <c r="G7974" s="7"/>
    </row>
    <row r="7975" spans="7:7" x14ac:dyDescent="0.2">
      <c r="G7975" s="7"/>
    </row>
    <row r="7976" spans="7:7" x14ac:dyDescent="0.2">
      <c r="G7976" s="7"/>
    </row>
    <row r="7977" spans="7:7" x14ac:dyDescent="0.2">
      <c r="G7977" s="7"/>
    </row>
    <row r="7978" spans="7:7" x14ac:dyDescent="0.2">
      <c r="G7978" s="7"/>
    </row>
    <row r="7979" spans="7:7" x14ac:dyDescent="0.2">
      <c r="G7979" s="7"/>
    </row>
    <row r="7980" spans="7:7" x14ac:dyDescent="0.2">
      <c r="G7980" s="7"/>
    </row>
    <row r="7981" spans="7:7" x14ac:dyDescent="0.2">
      <c r="G7981" s="7"/>
    </row>
    <row r="7982" spans="7:7" x14ac:dyDescent="0.2">
      <c r="G7982" s="7"/>
    </row>
    <row r="7983" spans="7:7" x14ac:dyDescent="0.2">
      <c r="G7983" s="7"/>
    </row>
    <row r="7984" spans="7:7" x14ac:dyDescent="0.2">
      <c r="G7984" s="7"/>
    </row>
    <row r="7985" spans="7:7" x14ac:dyDescent="0.2">
      <c r="G7985" s="7"/>
    </row>
    <row r="7986" spans="7:7" x14ac:dyDescent="0.2">
      <c r="G7986" s="7"/>
    </row>
    <row r="7987" spans="7:7" x14ac:dyDescent="0.2">
      <c r="G7987" s="7"/>
    </row>
    <row r="7988" spans="7:7" x14ac:dyDescent="0.2">
      <c r="G7988" s="7"/>
    </row>
    <row r="7989" spans="7:7" x14ac:dyDescent="0.2">
      <c r="G7989" s="7"/>
    </row>
    <row r="7990" spans="7:7" x14ac:dyDescent="0.2">
      <c r="G7990" s="7"/>
    </row>
    <row r="7991" spans="7:7" x14ac:dyDescent="0.2">
      <c r="G7991" s="7"/>
    </row>
    <row r="7992" spans="7:7" x14ac:dyDescent="0.2">
      <c r="G7992" s="7"/>
    </row>
    <row r="7993" spans="7:7" x14ac:dyDescent="0.2">
      <c r="G7993" s="7"/>
    </row>
    <row r="7994" spans="7:7" x14ac:dyDescent="0.2">
      <c r="G7994" s="7"/>
    </row>
    <row r="7995" spans="7:7" x14ac:dyDescent="0.2">
      <c r="G7995" s="7"/>
    </row>
    <row r="7996" spans="7:7" x14ac:dyDescent="0.2">
      <c r="G7996" s="7"/>
    </row>
    <row r="7997" spans="7:7" x14ac:dyDescent="0.2">
      <c r="G7997" s="7"/>
    </row>
    <row r="7998" spans="7:7" x14ac:dyDescent="0.2">
      <c r="G7998" s="7"/>
    </row>
    <row r="7999" spans="7:7" x14ac:dyDescent="0.2">
      <c r="G7999" s="7"/>
    </row>
    <row r="8000" spans="7:7" x14ac:dyDescent="0.2">
      <c r="G8000" s="7"/>
    </row>
    <row r="8001" spans="7:7" x14ac:dyDescent="0.2">
      <c r="G8001" s="7"/>
    </row>
    <row r="8002" spans="7:7" x14ac:dyDescent="0.2">
      <c r="G8002" s="7"/>
    </row>
    <row r="8003" spans="7:7" x14ac:dyDescent="0.2">
      <c r="G8003" s="7"/>
    </row>
    <row r="8004" spans="7:7" x14ac:dyDescent="0.2">
      <c r="G8004" s="7"/>
    </row>
    <row r="8005" spans="7:7" x14ac:dyDescent="0.2">
      <c r="G8005" s="7"/>
    </row>
    <row r="8006" spans="7:7" x14ac:dyDescent="0.2">
      <c r="G8006" s="7"/>
    </row>
    <row r="8007" spans="7:7" x14ac:dyDescent="0.2">
      <c r="G8007" s="7"/>
    </row>
    <row r="8008" spans="7:7" x14ac:dyDescent="0.2">
      <c r="G8008" s="7"/>
    </row>
    <row r="8009" spans="7:7" x14ac:dyDescent="0.2">
      <c r="G8009" s="7"/>
    </row>
    <row r="8010" spans="7:7" x14ac:dyDescent="0.2">
      <c r="G8010" s="7"/>
    </row>
    <row r="8011" spans="7:7" x14ac:dyDescent="0.2">
      <c r="G8011" s="7"/>
    </row>
    <row r="8012" spans="7:7" x14ac:dyDescent="0.2">
      <c r="G8012" s="7"/>
    </row>
    <row r="8013" spans="7:7" x14ac:dyDescent="0.2">
      <c r="G8013" s="7"/>
    </row>
    <row r="8014" spans="7:7" x14ac:dyDescent="0.2">
      <c r="G8014" s="7"/>
    </row>
    <row r="8015" spans="7:7" x14ac:dyDescent="0.2">
      <c r="G8015" s="7"/>
    </row>
    <row r="8016" spans="7:7" x14ac:dyDescent="0.2">
      <c r="G8016" s="7"/>
    </row>
    <row r="8017" spans="7:7" x14ac:dyDescent="0.2">
      <c r="G8017" s="7"/>
    </row>
    <row r="8018" spans="7:7" x14ac:dyDescent="0.2">
      <c r="G8018" s="7"/>
    </row>
    <row r="8019" spans="7:7" x14ac:dyDescent="0.2">
      <c r="G8019" s="7"/>
    </row>
    <row r="8020" spans="7:7" x14ac:dyDescent="0.2">
      <c r="G8020" s="7"/>
    </row>
    <row r="8021" spans="7:7" x14ac:dyDescent="0.2">
      <c r="G8021" s="7"/>
    </row>
    <row r="8022" spans="7:7" x14ac:dyDescent="0.2">
      <c r="G8022" s="7"/>
    </row>
    <row r="8023" spans="7:7" x14ac:dyDescent="0.2">
      <c r="G8023" s="7"/>
    </row>
    <row r="8024" spans="7:7" x14ac:dyDescent="0.2">
      <c r="G8024" s="7"/>
    </row>
    <row r="8025" spans="7:7" x14ac:dyDescent="0.2">
      <c r="G8025" s="7"/>
    </row>
    <row r="8026" spans="7:7" x14ac:dyDescent="0.2">
      <c r="G8026" s="7"/>
    </row>
    <row r="8027" spans="7:7" x14ac:dyDescent="0.2">
      <c r="G8027" s="7"/>
    </row>
    <row r="8028" spans="7:7" x14ac:dyDescent="0.2">
      <c r="G8028" s="7"/>
    </row>
    <row r="8029" spans="7:7" x14ac:dyDescent="0.2">
      <c r="G8029" s="7"/>
    </row>
    <row r="8030" spans="7:7" x14ac:dyDescent="0.2">
      <c r="G8030" s="7"/>
    </row>
    <row r="8031" spans="7:7" x14ac:dyDescent="0.2">
      <c r="G8031" s="7"/>
    </row>
    <row r="8032" spans="7:7" x14ac:dyDescent="0.2">
      <c r="G8032" s="7"/>
    </row>
    <row r="8033" spans="7:7" x14ac:dyDescent="0.2">
      <c r="G8033" s="7"/>
    </row>
    <row r="8034" spans="7:7" x14ac:dyDescent="0.2">
      <c r="G8034" s="7"/>
    </row>
    <row r="8035" spans="7:7" x14ac:dyDescent="0.2">
      <c r="G8035" s="7"/>
    </row>
    <row r="8036" spans="7:7" x14ac:dyDescent="0.2">
      <c r="G8036" s="7"/>
    </row>
    <row r="8037" spans="7:7" x14ac:dyDescent="0.2">
      <c r="G8037" s="7"/>
    </row>
    <row r="8038" spans="7:7" x14ac:dyDescent="0.2">
      <c r="G8038" s="7"/>
    </row>
    <row r="8039" spans="7:7" x14ac:dyDescent="0.2">
      <c r="G8039" s="7"/>
    </row>
    <row r="8040" spans="7:7" x14ac:dyDescent="0.2">
      <c r="G8040" s="7"/>
    </row>
    <row r="8041" spans="7:7" x14ac:dyDescent="0.2">
      <c r="G8041" s="7"/>
    </row>
    <row r="8042" spans="7:7" x14ac:dyDescent="0.2">
      <c r="G8042" s="7"/>
    </row>
    <row r="8043" spans="7:7" x14ac:dyDescent="0.2">
      <c r="G8043" s="7"/>
    </row>
    <row r="8044" spans="7:7" x14ac:dyDescent="0.2">
      <c r="G8044" s="7"/>
    </row>
    <row r="8045" spans="7:7" x14ac:dyDescent="0.2">
      <c r="G8045" s="7"/>
    </row>
    <row r="8046" spans="7:7" x14ac:dyDescent="0.2">
      <c r="G8046" s="7"/>
    </row>
    <row r="8047" spans="7:7" x14ac:dyDescent="0.2">
      <c r="G8047" s="7"/>
    </row>
    <row r="8048" spans="7:7" x14ac:dyDescent="0.2">
      <c r="G8048" s="7"/>
    </row>
    <row r="8049" spans="7:7" x14ac:dyDescent="0.2">
      <c r="G8049" s="7"/>
    </row>
    <row r="8050" spans="7:7" x14ac:dyDescent="0.2">
      <c r="G8050" s="7"/>
    </row>
    <row r="8051" spans="7:7" x14ac:dyDescent="0.2">
      <c r="G8051" s="7"/>
    </row>
    <row r="8052" spans="7:7" x14ac:dyDescent="0.2">
      <c r="G8052" s="7"/>
    </row>
    <row r="8053" spans="7:7" x14ac:dyDescent="0.2">
      <c r="G8053" s="7"/>
    </row>
    <row r="8054" spans="7:7" x14ac:dyDescent="0.2">
      <c r="G8054" s="7"/>
    </row>
    <row r="8055" spans="7:7" x14ac:dyDescent="0.2">
      <c r="G8055" s="7"/>
    </row>
    <row r="8056" spans="7:7" x14ac:dyDescent="0.2">
      <c r="G8056" s="7"/>
    </row>
    <row r="8057" spans="7:7" x14ac:dyDescent="0.2">
      <c r="G8057" s="7"/>
    </row>
    <row r="8058" spans="7:7" x14ac:dyDescent="0.2">
      <c r="G8058" s="7"/>
    </row>
    <row r="8059" spans="7:7" x14ac:dyDescent="0.2">
      <c r="G8059" s="7"/>
    </row>
    <row r="8060" spans="7:7" x14ac:dyDescent="0.2">
      <c r="G8060" s="7"/>
    </row>
    <row r="8061" spans="7:7" x14ac:dyDescent="0.2">
      <c r="G8061" s="7"/>
    </row>
    <row r="8062" spans="7:7" x14ac:dyDescent="0.2">
      <c r="G8062" s="7"/>
    </row>
    <row r="8063" spans="7:7" x14ac:dyDescent="0.2">
      <c r="G8063" s="7"/>
    </row>
    <row r="8064" spans="7:7" x14ac:dyDescent="0.2">
      <c r="G8064" s="7"/>
    </row>
    <row r="8065" spans="7:7" x14ac:dyDescent="0.2">
      <c r="G8065" s="7"/>
    </row>
    <row r="8066" spans="7:7" x14ac:dyDescent="0.2">
      <c r="G8066" s="7"/>
    </row>
    <row r="8067" spans="7:7" x14ac:dyDescent="0.2">
      <c r="G8067" s="7"/>
    </row>
    <row r="8068" spans="7:7" x14ac:dyDescent="0.2">
      <c r="G8068" s="7"/>
    </row>
    <row r="8069" spans="7:7" x14ac:dyDescent="0.2">
      <c r="G8069" s="7"/>
    </row>
    <row r="8070" spans="7:7" x14ac:dyDescent="0.2">
      <c r="G8070" s="7"/>
    </row>
    <row r="8071" spans="7:7" x14ac:dyDescent="0.2">
      <c r="G8071" s="7"/>
    </row>
    <row r="8072" spans="7:7" x14ac:dyDescent="0.2">
      <c r="G8072" s="7"/>
    </row>
    <row r="8073" spans="7:7" x14ac:dyDescent="0.2">
      <c r="G8073" s="7"/>
    </row>
    <row r="8074" spans="7:7" x14ac:dyDescent="0.2">
      <c r="G8074" s="7"/>
    </row>
    <row r="8075" spans="7:7" x14ac:dyDescent="0.2">
      <c r="G8075" s="7"/>
    </row>
    <row r="8076" spans="7:7" x14ac:dyDescent="0.2">
      <c r="G8076" s="7"/>
    </row>
    <row r="8077" spans="7:7" x14ac:dyDescent="0.2">
      <c r="G8077" s="7"/>
    </row>
    <row r="8078" spans="7:7" x14ac:dyDescent="0.2">
      <c r="G8078" s="7"/>
    </row>
    <row r="8079" spans="7:7" x14ac:dyDescent="0.2">
      <c r="G8079" s="7"/>
    </row>
    <row r="8080" spans="7:7" x14ac:dyDescent="0.2">
      <c r="G8080" s="7"/>
    </row>
    <row r="8081" spans="7:7" x14ac:dyDescent="0.2">
      <c r="G8081" s="7"/>
    </row>
    <row r="8082" spans="7:7" x14ac:dyDescent="0.2">
      <c r="G8082" s="7"/>
    </row>
    <row r="8083" spans="7:7" x14ac:dyDescent="0.2">
      <c r="G8083" s="7"/>
    </row>
    <row r="8084" spans="7:7" x14ac:dyDescent="0.2">
      <c r="G8084" s="7"/>
    </row>
    <row r="8085" spans="7:7" x14ac:dyDescent="0.2">
      <c r="G8085" s="7"/>
    </row>
    <row r="8086" spans="7:7" x14ac:dyDescent="0.2">
      <c r="G8086" s="7"/>
    </row>
    <row r="8087" spans="7:7" x14ac:dyDescent="0.2">
      <c r="G8087" s="7"/>
    </row>
    <row r="8088" spans="7:7" x14ac:dyDescent="0.2">
      <c r="G8088" s="7"/>
    </row>
    <row r="8089" spans="7:7" x14ac:dyDescent="0.2">
      <c r="G8089" s="7"/>
    </row>
    <row r="8090" spans="7:7" x14ac:dyDescent="0.2">
      <c r="G8090" s="7"/>
    </row>
    <row r="8091" spans="7:7" x14ac:dyDescent="0.2">
      <c r="G8091" s="7"/>
    </row>
    <row r="8092" spans="7:7" x14ac:dyDescent="0.2">
      <c r="G8092" s="7"/>
    </row>
    <row r="8093" spans="7:7" x14ac:dyDescent="0.2">
      <c r="G8093" s="7"/>
    </row>
    <row r="8094" spans="7:7" x14ac:dyDescent="0.2">
      <c r="G8094" s="7"/>
    </row>
    <row r="8095" spans="7:7" x14ac:dyDescent="0.2">
      <c r="G8095" s="7"/>
    </row>
    <row r="8096" spans="7:7" x14ac:dyDescent="0.2">
      <c r="G8096" s="7"/>
    </row>
    <row r="8097" spans="7:7" x14ac:dyDescent="0.2">
      <c r="G8097" s="7"/>
    </row>
    <row r="8098" spans="7:7" x14ac:dyDescent="0.2">
      <c r="G8098" s="7"/>
    </row>
    <row r="8099" spans="7:7" x14ac:dyDescent="0.2">
      <c r="G8099" s="7"/>
    </row>
    <row r="8100" spans="7:7" x14ac:dyDescent="0.2">
      <c r="G8100" s="7"/>
    </row>
    <row r="8101" spans="7:7" x14ac:dyDescent="0.2">
      <c r="G8101" s="7"/>
    </row>
    <row r="8102" spans="7:7" x14ac:dyDescent="0.2">
      <c r="G8102" s="7"/>
    </row>
    <row r="8103" spans="7:7" x14ac:dyDescent="0.2">
      <c r="G8103" s="7"/>
    </row>
    <row r="8104" spans="7:7" x14ac:dyDescent="0.2">
      <c r="G8104" s="7"/>
    </row>
    <row r="8105" spans="7:7" x14ac:dyDescent="0.2">
      <c r="G8105" s="7"/>
    </row>
    <row r="8106" spans="7:7" x14ac:dyDescent="0.2">
      <c r="G8106" s="7"/>
    </row>
    <row r="8107" spans="7:7" x14ac:dyDescent="0.2">
      <c r="G8107" s="7"/>
    </row>
    <row r="8108" spans="7:7" x14ac:dyDescent="0.2">
      <c r="G8108" s="7"/>
    </row>
    <row r="8109" spans="7:7" x14ac:dyDescent="0.2">
      <c r="G8109" s="7"/>
    </row>
    <row r="8110" spans="7:7" x14ac:dyDescent="0.2">
      <c r="G8110" s="7"/>
    </row>
    <row r="8111" spans="7:7" x14ac:dyDescent="0.2">
      <c r="G8111" s="7"/>
    </row>
    <row r="8112" spans="7:7" x14ac:dyDescent="0.2">
      <c r="G8112" s="7"/>
    </row>
    <row r="8113" spans="7:7" x14ac:dyDescent="0.2">
      <c r="G8113" s="7"/>
    </row>
    <row r="8114" spans="7:7" x14ac:dyDescent="0.2">
      <c r="G8114" s="7"/>
    </row>
    <row r="8115" spans="7:7" x14ac:dyDescent="0.2">
      <c r="G8115" s="7"/>
    </row>
    <row r="8116" spans="7:7" x14ac:dyDescent="0.2">
      <c r="G8116" s="7"/>
    </row>
    <row r="8117" spans="7:7" x14ac:dyDescent="0.2">
      <c r="G8117" s="7"/>
    </row>
    <row r="8118" spans="7:7" x14ac:dyDescent="0.2">
      <c r="G8118" s="7"/>
    </row>
    <row r="8119" spans="7:7" x14ac:dyDescent="0.2">
      <c r="G8119" s="7"/>
    </row>
    <row r="8120" spans="7:7" x14ac:dyDescent="0.2">
      <c r="G8120" s="7"/>
    </row>
    <row r="8121" spans="7:7" x14ac:dyDescent="0.2">
      <c r="G8121" s="7"/>
    </row>
    <row r="8122" spans="7:7" x14ac:dyDescent="0.2">
      <c r="G8122" s="7"/>
    </row>
    <row r="8123" spans="7:7" x14ac:dyDescent="0.2">
      <c r="G8123" s="7"/>
    </row>
    <row r="8124" spans="7:7" x14ac:dyDescent="0.2">
      <c r="G8124" s="7"/>
    </row>
    <row r="8125" spans="7:7" x14ac:dyDescent="0.2">
      <c r="G8125" s="7"/>
    </row>
    <row r="8126" spans="7:7" x14ac:dyDescent="0.2">
      <c r="G8126" s="7"/>
    </row>
    <row r="8127" spans="7:7" x14ac:dyDescent="0.2">
      <c r="G8127" s="7"/>
    </row>
    <row r="8128" spans="7:7" x14ac:dyDescent="0.2">
      <c r="G8128" s="7"/>
    </row>
    <row r="8129" spans="7:7" x14ac:dyDescent="0.2">
      <c r="G8129" s="7"/>
    </row>
    <row r="8130" spans="7:7" x14ac:dyDescent="0.2">
      <c r="G8130" s="7"/>
    </row>
    <row r="8131" spans="7:7" x14ac:dyDescent="0.2">
      <c r="G8131" s="7"/>
    </row>
    <row r="8132" spans="7:7" x14ac:dyDescent="0.2">
      <c r="G8132" s="7"/>
    </row>
    <row r="8133" spans="7:7" x14ac:dyDescent="0.2">
      <c r="G8133" s="7"/>
    </row>
    <row r="8134" spans="7:7" x14ac:dyDescent="0.2">
      <c r="G8134" s="7"/>
    </row>
    <row r="8135" spans="7:7" x14ac:dyDescent="0.2">
      <c r="G8135" s="7"/>
    </row>
    <row r="8136" spans="7:7" x14ac:dyDescent="0.2">
      <c r="G8136" s="7"/>
    </row>
    <row r="8137" spans="7:7" x14ac:dyDescent="0.2">
      <c r="G8137" s="7"/>
    </row>
    <row r="8138" spans="7:7" x14ac:dyDescent="0.2">
      <c r="G8138" s="7"/>
    </row>
    <row r="8139" spans="7:7" x14ac:dyDescent="0.2">
      <c r="G8139" s="7"/>
    </row>
    <row r="8140" spans="7:7" x14ac:dyDescent="0.2">
      <c r="G8140" s="7"/>
    </row>
    <row r="8141" spans="7:7" x14ac:dyDescent="0.2">
      <c r="G8141" s="7"/>
    </row>
    <row r="8142" spans="7:7" x14ac:dyDescent="0.2">
      <c r="G8142" s="7"/>
    </row>
    <row r="8143" spans="7:7" x14ac:dyDescent="0.2">
      <c r="G8143" s="7"/>
    </row>
    <row r="8144" spans="7:7" x14ac:dyDescent="0.2">
      <c r="G8144" s="7"/>
    </row>
    <row r="8145" spans="7:7" x14ac:dyDescent="0.2">
      <c r="G8145" s="7"/>
    </row>
    <row r="8146" spans="7:7" x14ac:dyDescent="0.2">
      <c r="G8146" s="7"/>
    </row>
    <row r="8147" spans="7:7" x14ac:dyDescent="0.2">
      <c r="G8147" s="7"/>
    </row>
    <row r="8148" spans="7:7" x14ac:dyDescent="0.2">
      <c r="G8148" s="7"/>
    </row>
    <row r="8149" spans="7:7" x14ac:dyDescent="0.2">
      <c r="G8149" s="7"/>
    </row>
    <row r="8150" spans="7:7" x14ac:dyDescent="0.2">
      <c r="G8150" s="7"/>
    </row>
    <row r="8151" spans="7:7" x14ac:dyDescent="0.2">
      <c r="G8151" s="7"/>
    </row>
    <row r="8152" spans="7:7" x14ac:dyDescent="0.2">
      <c r="G8152" s="7"/>
    </row>
    <row r="8153" spans="7:7" x14ac:dyDescent="0.2">
      <c r="G8153" s="7"/>
    </row>
    <row r="8154" spans="7:7" x14ac:dyDescent="0.2">
      <c r="G8154" s="7"/>
    </row>
    <row r="8155" spans="7:7" x14ac:dyDescent="0.2">
      <c r="G8155" s="7"/>
    </row>
    <row r="8156" spans="7:7" x14ac:dyDescent="0.2">
      <c r="G8156" s="7"/>
    </row>
    <row r="8157" spans="7:7" x14ac:dyDescent="0.2">
      <c r="G8157" s="7"/>
    </row>
    <row r="8158" spans="7:7" x14ac:dyDescent="0.2">
      <c r="G8158" s="7"/>
    </row>
    <row r="8159" spans="7:7" x14ac:dyDescent="0.2">
      <c r="G8159" s="7"/>
    </row>
    <row r="8160" spans="7:7" x14ac:dyDescent="0.2">
      <c r="G8160" s="7"/>
    </row>
    <row r="8161" spans="7:7" x14ac:dyDescent="0.2">
      <c r="G8161" s="7"/>
    </row>
    <row r="8162" spans="7:7" x14ac:dyDescent="0.2">
      <c r="G8162" s="7"/>
    </row>
    <row r="8163" spans="7:7" x14ac:dyDescent="0.2">
      <c r="G8163" s="7"/>
    </row>
    <row r="8164" spans="7:7" x14ac:dyDescent="0.2">
      <c r="G8164" s="7"/>
    </row>
    <row r="8165" spans="7:7" x14ac:dyDescent="0.2">
      <c r="G8165" s="7"/>
    </row>
    <row r="8166" spans="7:7" x14ac:dyDescent="0.2">
      <c r="G8166" s="7"/>
    </row>
    <row r="8167" spans="7:7" x14ac:dyDescent="0.2">
      <c r="G8167" s="7"/>
    </row>
    <row r="8168" spans="7:7" x14ac:dyDescent="0.2">
      <c r="G8168" s="7"/>
    </row>
    <row r="8169" spans="7:7" x14ac:dyDescent="0.2">
      <c r="G8169" s="7"/>
    </row>
    <row r="8170" spans="7:7" x14ac:dyDescent="0.2">
      <c r="G8170" s="7"/>
    </row>
    <row r="8171" spans="7:7" x14ac:dyDescent="0.2">
      <c r="G8171" s="7"/>
    </row>
    <row r="8172" spans="7:7" x14ac:dyDescent="0.2">
      <c r="G8172" s="7"/>
    </row>
    <row r="8173" spans="7:7" x14ac:dyDescent="0.2">
      <c r="G8173" s="7"/>
    </row>
    <row r="8174" spans="7:7" x14ac:dyDescent="0.2">
      <c r="G8174" s="7"/>
    </row>
    <row r="8175" spans="7:7" x14ac:dyDescent="0.2">
      <c r="G8175" s="7"/>
    </row>
    <row r="8176" spans="7:7" x14ac:dyDescent="0.2">
      <c r="G8176" s="7"/>
    </row>
    <row r="8177" spans="7:7" x14ac:dyDescent="0.2">
      <c r="G8177" s="7"/>
    </row>
    <row r="8178" spans="7:7" x14ac:dyDescent="0.2">
      <c r="G8178" s="7"/>
    </row>
    <row r="8179" spans="7:7" x14ac:dyDescent="0.2">
      <c r="G8179" s="7"/>
    </row>
    <row r="8180" spans="7:7" x14ac:dyDescent="0.2">
      <c r="G8180" s="7"/>
    </row>
    <row r="8181" spans="7:7" x14ac:dyDescent="0.2">
      <c r="G8181" s="7"/>
    </row>
    <row r="8182" spans="7:7" x14ac:dyDescent="0.2">
      <c r="G8182" s="7"/>
    </row>
    <row r="8183" spans="7:7" x14ac:dyDescent="0.2">
      <c r="G8183" s="7"/>
    </row>
    <row r="8184" spans="7:7" x14ac:dyDescent="0.2">
      <c r="G8184" s="7"/>
    </row>
    <row r="8185" spans="7:7" x14ac:dyDescent="0.2">
      <c r="G8185" s="7"/>
    </row>
    <row r="8186" spans="7:7" x14ac:dyDescent="0.2">
      <c r="G8186" s="7"/>
    </row>
    <row r="8187" spans="7:7" x14ac:dyDescent="0.2">
      <c r="G8187" s="7"/>
    </row>
    <row r="8188" spans="7:7" x14ac:dyDescent="0.2">
      <c r="G8188" s="7"/>
    </row>
    <row r="8189" spans="7:7" x14ac:dyDescent="0.2">
      <c r="G8189" s="7"/>
    </row>
    <row r="8190" spans="7:7" x14ac:dyDescent="0.2">
      <c r="G8190" s="7"/>
    </row>
    <row r="8191" spans="7:7" x14ac:dyDescent="0.2">
      <c r="G8191" s="7"/>
    </row>
    <row r="8192" spans="7:7" x14ac:dyDescent="0.2">
      <c r="G8192" s="7"/>
    </row>
    <row r="8193" spans="7:7" x14ac:dyDescent="0.2">
      <c r="G8193" s="7"/>
    </row>
    <row r="8194" spans="7:7" x14ac:dyDescent="0.2">
      <c r="G8194" s="7"/>
    </row>
    <row r="8195" spans="7:7" x14ac:dyDescent="0.2">
      <c r="G8195" s="7"/>
    </row>
    <row r="8196" spans="7:7" x14ac:dyDescent="0.2">
      <c r="G8196" s="7"/>
    </row>
    <row r="8197" spans="7:7" x14ac:dyDescent="0.2">
      <c r="G8197" s="7"/>
    </row>
    <row r="8198" spans="7:7" x14ac:dyDescent="0.2">
      <c r="G8198" s="7"/>
    </row>
    <row r="8199" spans="7:7" x14ac:dyDescent="0.2">
      <c r="G8199" s="7"/>
    </row>
    <row r="8200" spans="7:7" x14ac:dyDescent="0.2">
      <c r="G8200" s="7"/>
    </row>
    <row r="8201" spans="7:7" x14ac:dyDescent="0.2">
      <c r="G8201" s="7"/>
    </row>
    <row r="8202" spans="7:7" x14ac:dyDescent="0.2">
      <c r="G8202" s="7"/>
    </row>
    <row r="8203" spans="7:7" x14ac:dyDescent="0.2">
      <c r="G8203" s="7"/>
    </row>
    <row r="8204" spans="7:7" x14ac:dyDescent="0.2">
      <c r="G8204" s="7"/>
    </row>
    <row r="8205" spans="7:7" x14ac:dyDescent="0.2">
      <c r="G8205" s="7"/>
    </row>
    <row r="8206" spans="7:7" x14ac:dyDescent="0.2">
      <c r="G8206" s="7"/>
    </row>
    <row r="8207" spans="7:7" x14ac:dyDescent="0.2">
      <c r="G8207" s="7"/>
    </row>
    <row r="8208" spans="7:7" x14ac:dyDescent="0.2">
      <c r="G8208" s="7"/>
    </row>
    <row r="8209" spans="7:7" x14ac:dyDescent="0.2">
      <c r="G8209" s="7"/>
    </row>
    <row r="8210" spans="7:7" x14ac:dyDescent="0.2">
      <c r="G8210" s="7"/>
    </row>
    <row r="8211" spans="7:7" x14ac:dyDescent="0.2">
      <c r="G8211" s="7"/>
    </row>
    <row r="8212" spans="7:7" x14ac:dyDescent="0.2">
      <c r="G8212" s="7"/>
    </row>
    <row r="8213" spans="7:7" x14ac:dyDescent="0.2">
      <c r="G8213" s="7"/>
    </row>
    <row r="8214" spans="7:7" x14ac:dyDescent="0.2">
      <c r="G8214" s="7"/>
    </row>
    <row r="8215" spans="7:7" x14ac:dyDescent="0.2">
      <c r="G8215" s="7"/>
    </row>
    <row r="8216" spans="7:7" x14ac:dyDescent="0.2">
      <c r="G8216" s="7"/>
    </row>
    <row r="8217" spans="7:7" x14ac:dyDescent="0.2">
      <c r="G8217" s="7"/>
    </row>
    <row r="8218" spans="7:7" x14ac:dyDescent="0.2">
      <c r="G8218" s="7"/>
    </row>
    <row r="8219" spans="7:7" x14ac:dyDescent="0.2">
      <c r="G8219" s="7"/>
    </row>
    <row r="8220" spans="7:7" x14ac:dyDescent="0.2">
      <c r="G8220" s="7"/>
    </row>
    <row r="8221" spans="7:7" x14ac:dyDescent="0.2">
      <c r="G8221" s="7"/>
    </row>
    <row r="8222" spans="7:7" x14ac:dyDescent="0.2">
      <c r="G8222" s="7"/>
    </row>
    <row r="8223" spans="7:7" x14ac:dyDescent="0.2">
      <c r="G8223" s="7"/>
    </row>
    <row r="8224" spans="7:7" x14ac:dyDescent="0.2">
      <c r="G8224" s="7"/>
    </row>
    <row r="8225" spans="7:7" x14ac:dyDescent="0.2">
      <c r="G8225" s="7"/>
    </row>
    <row r="8226" spans="7:7" x14ac:dyDescent="0.2">
      <c r="G8226" s="7"/>
    </row>
    <row r="8227" spans="7:7" x14ac:dyDescent="0.2">
      <c r="G8227" s="7"/>
    </row>
    <row r="8228" spans="7:7" x14ac:dyDescent="0.2">
      <c r="G8228" s="7"/>
    </row>
    <row r="8229" spans="7:7" x14ac:dyDescent="0.2">
      <c r="G8229" s="7"/>
    </row>
    <row r="8230" spans="7:7" x14ac:dyDescent="0.2">
      <c r="G8230" s="7"/>
    </row>
    <row r="8231" spans="7:7" x14ac:dyDescent="0.2">
      <c r="G8231" s="7"/>
    </row>
    <row r="8232" spans="7:7" x14ac:dyDescent="0.2">
      <c r="G8232" s="7"/>
    </row>
    <row r="8233" spans="7:7" x14ac:dyDescent="0.2">
      <c r="G8233" s="7"/>
    </row>
    <row r="8234" spans="7:7" x14ac:dyDescent="0.2">
      <c r="G8234" s="7"/>
    </row>
    <row r="8235" spans="7:7" x14ac:dyDescent="0.2">
      <c r="G8235" s="7"/>
    </row>
    <row r="8236" spans="7:7" x14ac:dyDescent="0.2">
      <c r="G8236" s="7"/>
    </row>
    <row r="8237" spans="7:7" x14ac:dyDescent="0.2">
      <c r="G8237" s="7"/>
    </row>
    <row r="8238" spans="7:7" x14ac:dyDescent="0.2">
      <c r="G8238" s="7"/>
    </row>
    <row r="8239" spans="7:7" x14ac:dyDescent="0.2">
      <c r="G8239" s="7"/>
    </row>
    <row r="8240" spans="7:7" x14ac:dyDescent="0.2">
      <c r="G8240" s="7"/>
    </row>
    <row r="8241" spans="7:7" x14ac:dyDescent="0.2">
      <c r="G8241" s="7"/>
    </row>
    <row r="8242" spans="7:7" x14ac:dyDescent="0.2">
      <c r="G8242" s="7"/>
    </row>
    <row r="8243" spans="7:7" x14ac:dyDescent="0.2">
      <c r="G8243" s="7"/>
    </row>
    <row r="8244" spans="7:7" x14ac:dyDescent="0.2">
      <c r="G8244" s="7"/>
    </row>
    <row r="8245" spans="7:7" x14ac:dyDescent="0.2">
      <c r="G8245" s="7"/>
    </row>
    <row r="8246" spans="7:7" x14ac:dyDescent="0.2">
      <c r="G8246" s="7"/>
    </row>
    <row r="8247" spans="7:7" x14ac:dyDescent="0.2">
      <c r="G8247" s="7"/>
    </row>
    <row r="8248" spans="7:7" x14ac:dyDescent="0.2">
      <c r="G8248" s="7"/>
    </row>
    <row r="8249" spans="7:7" x14ac:dyDescent="0.2">
      <c r="G8249" s="7"/>
    </row>
    <row r="8250" spans="7:7" x14ac:dyDescent="0.2">
      <c r="G8250" s="7"/>
    </row>
    <row r="8251" spans="7:7" x14ac:dyDescent="0.2">
      <c r="G8251" s="7"/>
    </row>
    <row r="8252" spans="7:7" x14ac:dyDescent="0.2">
      <c r="G8252" s="7"/>
    </row>
    <row r="8253" spans="7:7" x14ac:dyDescent="0.2">
      <c r="G8253" s="7"/>
    </row>
    <row r="8254" spans="7:7" x14ac:dyDescent="0.2">
      <c r="G8254" s="7"/>
    </row>
    <row r="8255" spans="7:7" x14ac:dyDescent="0.2">
      <c r="G8255" s="7"/>
    </row>
    <row r="8256" spans="7:7" x14ac:dyDescent="0.2">
      <c r="G8256" s="7"/>
    </row>
    <row r="8257" spans="7:7" x14ac:dyDescent="0.2">
      <c r="G8257" s="7"/>
    </row>
    <row r="8258" spans="7:7" x14ac:dyDescent="0.2">
      <c r="G8258" s="7"/>
    </row>
    <row r="8259" spans="7:7" x14ac:dyDescent="0.2">
      <c r="G8259" s="7"/>
    </row>
    <row r="8260" spans="7:7" x14ac:dyDescent="0.2">
      <c r="G8260" s="7"/>
    </row>
    <row r="8261" spans="7:7" x14ac:dyDescent="0.2">
      <c r="G8261" s="7"/>
    </row>
    <row r="8262" spans="7:7" x14ac:dyDescent="0.2">
      <c r="G8262" s="7"/>
    </row>
    <row r="8263" spans="7:7" x14ac:dyDescent="0.2">
      <c r="G8263" s="7"/>
    </row>
    <row r="8264" spans="7:7" x14ac:dyDescent="0.2">
      <c r="G8264" s="7"/>
    </row>
    <row r="8265" spans="7:7" x14ac:dyDescent="0.2">
      <c r="G8265" s="7"/>
    </row>
    <row r="8266" spans="7:7" x14ac:dyDescent="0.2">
      <c r="G8266" s="7"/>
    </row>
    <row r="8267" spans="7:7" x14ac:dyDescent="0.2">
      <c r="G8267" s="7"/>
    </row>
    <row r="8268" spans="7:7" x14ac:dyDescent="0.2">
      <c r="G8268" s="7"/>
    </row>
    <row r="8269" spans="7:7" x14ac:dyDescent="0.2">
      <c r="G8269" s="7"/>
    </row>
    <row r="8270" spans="7:7" x14ac:dyDescent="0.2">
      <c r="G8270" s="7"/>
    </row>
    <row r="8271" spans="7:7" x14ac:dyDescent="0.2">
      <c r="G8271" s="7"/>
    </row>
    <row r="8272" spans="7:7" x14ac:dyDescent="0.2">
      <c r="G8272" s="7"/>
    </row>
    <row r="8273" spans="7:7" x14ac:dyDescent="0.2">
      <c r="G8273" s="7"/>
    </row>
    <row r="8274" spans="7:7" x14ac:dyDescent="0.2">
      <c r="G8274" s="7"/>
    </row>
    <row r="8275" spans="7:7" x14ac:dyDescent="0.2">
      <c r="G8275" s="7"/>
    </row>
    <row r="8276" spans="7:7" x14ac:dyDescent="0.2">
      <c r="G8276" s="7"/>
    </row>
    <row r="8277" spans="7:7" x14ac:dyDescent="0.2">
      <c r="G8277" s="7"/>
    </row>
    <row r="8278" spans="7:7" x14ac:dyDescent="0.2">
      <c r="G8278" s="7"/>
    </row>
    <row r="8279" spans="7:7" x14ac:dyDescent="0.2">
      <c r="G8279" s="7"/>
    </row>
    <row r="8280" spans="7:7" x14ac:dyDescent="0.2">
      <c r="G8280" s="7"/>
    </row>
    <row r="8281" spans="7:7" x14ac:dyDescent="0.2">
      <c r="G8281" s="7"/>
    </row>
    <row r="8282" spans="7:7" x14ac:dyDescent="0.2">
      <c r="G8282" s="7"/>
    </row>
    <row r="8283" spans="7:7" x14ac:dyDescent="0.2">
      <c r="G8283" s="7"/>
    </row>
    <row r="8284" spans="7:7" x14ac:dyDescent="0.2">
      <c r="G8284" s="7"/>
    </row>
    <row r="8285" spans="7:7" x14ac:dyDescent="0.2">
      <c r="G8285" s="7"/>
    </row>
    <row r="8286" spans="7:7" x14ac:dyDescent="0.2">
      <c r="G8286" s="7"/>
    </row>
    <row r="8287" spans="7:7" x14ac:dyDescent="0.2">
      <c r="G8287" s="7"/>
    </row>
    <row r="8288" spans="7:7" x14ac:dyDescent="0.2">
      <c r="G8288" s="7"/>
    </row>
    <row r="8289" spans="7:7" x14ac:dyDescent="0.2">
      <c r="G8289" s="7"/>
    </row>
    <row r="8290" spans="7:7" x14ac:dyDescent="0.2">
      <c r="G8290" s="7"/>
    </row>
    <row r="8291" spans="7:7" x14ac:dyDescent="0.2">
      <c r="G8291" s="7"/>
    </row>
    <row r="8292" spans="7:7" x14ac:dyDescent="0.2">
      <c r="G8292" s="7"/>
    </row>
    <row r="8293" spans="7:7" x14ac:dyDescent="0.2">
      <c r="G8293" s="7"/>
    </row>
    <row r="8294" spans="7:7" x14ac:dyDescent="0.2">
      <c r="G8294" s="7"/>
    </row>
    <row r="8295" spans="7:7" x14ac:dyDescent="0.2">
      <c r="G8295" s="7"/>
    </row>
    <row r="8296" spans="7:7" x14ac:dyDescent="0.2">
      <c r="G8296" s="7"/>
    </row>
    <row r="8297" spans="7:7" x14ac:dyDescent="0.2">
      <c r="G8297" s="7"/>
    </row>
    <row r="8298" spans="7:7" x14ac:dyDescent="0.2">
      <c r="G8298" s="7"/>
    </row>
    <row r="8299" spans="7:7" x14ac:dyDescent="0.2">
      <c r="G8299" s="7"/>
    </row>
    <row r="8300" spans="7:7" x14ac:dyDescent="0.2">
      <c r="G8300" s="7"/>
    </row>
    <row r="8301" spans="7:7" x14ac:dyDescent="0.2">
      <c r="G8301" s="7"/>
    </row>
    <row r="8302" spans="7:7" x14ac:dyDescent="0.2">
      <c r="G8302" s="7"/>
    </row>
    <row r="8303" spans="7:7" x14ac:dyDescent="0.2">
      <c r="G8303" s="7"/>
    </row>
    <row r="8304" spans="7:7" x14ac:dyDescent="0.2">
      <c r="G8304" s="7"/>
    </row>
    <row r="8305" spans="7:7" x14ac:dyDescent="0.2">
      <c r="G8305" s="7"/>
    </row>
    <row r="8306" spans="7:7" x14ac:dyDescent="0.2">
      <c r="G8306" s="7"/>
    </row>
    <row r="8307" spans="7:7" x14ac:dyDescent="0.2">
      <c r="G8307" s="7"/>
    </row>
    <row r="8308" spans="7:7" x14ac:dyDescent="0.2">
      <c r="G8308" s="7"/>
    </row>
    <row r="8309" spans="7:7" x14ac:dyDescent="0.2">
      <c r="G8309" s="7"/>
    </row>
    <row r="8310" spans="7:7" x14ac:dyDescent="0.2">
      <c r="G8310" s="7"/>
    </row>
    <row r="8311" spans="7:7" x14ac:dyDescent="0.2">
      <c r="G8311" s="7"/>
    </row>
    <row r="8312" spans="7:7" x14ac:dyDescent="0.2">
      <c r="G8312" s="7"/>
    </row>
    <row r="8313" spans="7:7" x14ac:dyDescent="0.2">
      <c r="G8313" s="7"/>
    </row>
    <row r="8314" spans="7:7" x14ac:dyDescent="0.2">
      <c r="G8314" s="7"/>
    </row>
    <row r="8315" spans="7:7" x14ac:dyDescent="0.2">
      <c r="G8315" s="7"/>
    </row>
    <row r="8316" spans="7:7" x14ac:dyDescent="0.2">
      <c r="G8316" s="7"/>
    </row>
    <row r="8317" spans="7:7" x14ac:dyDescent="0.2">
      <c r="G8317" s="7"/>
    </row>
    <row r="8318" spans="7:7" x14ac:dyDescent="0.2">
      <c r="G8318" s="7"/>
    </row>
    <row r="8319" spans="7:7" x14ac:dyDescent="0.2">
      <c r="G8319" s="7"/>
    </row>
    <row r="8320" spans="7:7" x14ac:dyDescent="0.2">
      <c r="G8320" s="7"/>
    </row>
    <row r="8321" spans="7:7" x14ac:dyDescent="0.2">
      <c r="G8321" s="7"/>
    </row>
    <row r="8322" spans="7:7" x14ac:dyDescent="0.2">
      <c r="G8322" s="7"/>
    </row>
    <row r="8323" spans="7:7" x14ac:dyDescent="0.2">
      <c r="G8323" s="7"/>
    </row>
    <row r="8324" spans="7:7" x14ac:dyDescent="0.2">
      <c r="G8324" s="7"/>
    </row>
    <row r="8325" spans="7:7" x14ac:dyDescent="0.2">
      <c r="G8325" s="7"/>
    </row>
    <row r="8326" spans="7:7" x14ac:dyDescent="0.2">
      <c r="G8326" s="7"/>
    </row>
    <row r="8327" spans="7:7" x14ac:dyDescent="0.2">
      <c r="G8327" s="7"/>
    </row>
    <row r="8328" spans="7:7" x14ac:dyDescent="0.2">
      <c r="G8328" s="7"/>
    </row>
    <row r="8329" spans="7:7" x14ac:dyDescent="0.2">
      <c r="G8329" s="7"/>
    </row>
    <row r="8330" spans="7:7" x14ac:dyDescent="0.2">
      <c r="G8330" s="7"/>
    </row>
    <row r="8331" spans="7:7" x14ac:dyDescent="0.2">
      <c r="G8331" s="7"/>
    </row>
    <row r="8332" spans="7:7" x14ac:dyDescent="0.2">
      <c r="G8332" s="7"/>
    </row>
    <row r="8333" spans="7:7" x14ac:dyDescent="0.2">
      <c r="G8333" s="7"/>
    </row>
    <row r="8334" spans="7:7" x14ac:dyDescent="0.2">
      <c r="G8334" s="7"/>
    </row>
    <row r="8335" spans="7:7" x14ac:dyDescent="0.2">
      <c r="G8335" s="7"/>
    </row>
    <row r="8336" spans="7:7" x14ac:dyDescent="0.2">
      <c r="G8336" s="7"/>
    </row>
    <row r="8337" spans="7:7" x14ac:dyDescent="0.2">
      <c r="G8337" s="7"/>
    </row>
    <row r="8338" spans="7:7" x14ac:dyDescent="0.2">
      <c r="G8338" s="7"/>
    </row>
    <row r="8339" spans="7:7" x14ac:dyDescent="0.2">
      <c r="G8339" s="7"/>
    </row>
    <row r="8340" spans="7:7" x14ac:dyDescent="0.2">
      <c r="G8340" s="7"/>
    </row>
    <row r="8341" spans="7:7" x14ac:dyDescent="0.2">
      <c r="G8341" s="7"/>
    </row>
    <row r="8342" spans="7:7" x14ac:dyDescent="0.2">
      <c r="G8342" s="7"/>
    </row>
    <row r="8343" spans="7:7" x14ac:dyDescent="0.2">
      <c r="G8343" s="7"/>
    </row>
    <row r="8344" spans="7:7" x14ac:dyDescent="0.2">
      <c r="G8344" s="7"/>
    </row>
    <row r="8345" spans="7:7" x14ac:dyDescent="0.2">
      <c r="G8345" s="7"/>
    </row>
    <row r="8346" spans="7:7" x14ac:dyDescent="0.2">
      <c r="G8346" s="7"/>
    </row>
    <row r="8347" spans="7:7" x14ac:dyDescent="0.2">
      <c r="G8347" s="7"/>
    </row>
    <row r="8348" spans="7:7" x14ac:dyDescent="0.2">
      <c r="G8348" s="7"/>
    </row>
    <row r="8349" spans="7:7" x14ac:dyDescent="0.2">
      <c r="G8349" s="7"/>
    </row>
    <row r="8350" spans="7:7" x14ac:dyDescent="0.2">
      <c r="G8350" s="7"/>
    </row>
    <row r="8351" spans="7:7" x14ac:dyDescent="0.2">
      <c r="G8351" s="7"/>
    </row>
    <row r="8352" spans="7:7" x14ac:dyDescent="0.2">
      <c r="G8352" s="7"/>
    </row>
    <row r="8353" spans="7:7" x14ac:dyDescent="0.2">
      <c r="G8353" s="7"/>
    </row>
    <row r="8354" spans="7:7" x14ac:dyDescent="0.2">
      <c r="G8354" s="7"/>
    </row>
    <row r="8355" spans="7:7" x14ac:dyDescent="0.2">
      <c r="G8355" s="7"/>
    </row>
    <row r="8356" spans="7:7" x14ac:dyDescent="0.2">
      <c r="G8356" s="7"/>
    </row>
    <row r="8357" spans="7:7" x14ac:dyDescent="0.2">
      <c r="G8357" s="7"/>
    </row>
    <row r="8358" spans="7:7" x14ac:dyDescent="0.2">
      <c r="G8358" s="7"/>
    </row>
    <row r="8359" spans="7:7" x14ac:dyDescent="0.2">
      <c r="G8359" s="7"/>
    </row>
    <row r="8360" spans="7:7" x14ac:dyDescent="0.2">
      <c r="G8360" s="7"/>
    </row>
    <row r="8361" spans="7:7" x14ac:dyDescent="0.2">
      <c r="G8361" s="7"/>
    </row>
    <row r="8362" spans="7:7" x14ac:dyDescent="0.2">
      <c r="G8362" s="7"/>
    </row>
    <row r="8363" spans="7:7" x14ac:dyDescent="0.2">
      <c r="G8363" s="7"/>
    </row>
    <row r="8364" spans="7:7" x14ac:dyDescent="0.2">
      <c r="G8364" s="7"/>
    </row>
    <row r="8365" spans="7:7" x14ac:dyDescent="0.2">
      <c r="G8365" s="7"/>
    </row>
    <row r="8366" spans="7:7" x14ac:dyDescent="0.2">
      <c r="G8366" s="7"/>
    </row>
    <row r="8367" spans="7:7" x14ac:dyDescent="0.2">
      <c r="G8367" s="7"/>
    </row>
    <row r="8368" spans="7:7" x14ac:dyDescent="0.2">
      <c r="G8368" s="7"/>
    </row>
    <row r="8369" spans="7:7" x14ac:dyDescent="0.2">
      <c r="G8369" s="7"/>
    </row>
    <row r="8370" spans="7:7" x14ac:dyDescent="0.2">
      <c r="G8370" s="7"/>
    </row>
    <row r="8371" spans="7:7" x14ac:dyDescent="0.2">
      <c r="G8371" s="7"/>
    </row>
    <row r="8372" spans="7:7" x14ac:dyDescent="0.2">
      <c r="G8372" s="7"/>
    </row>
    <row r="8373" spans="7:7" x14ac:dyDescent="0.2">
      <c r="G8373" s="7"/>
    </row>
    <row r="8374" spans="7:7" x14ac:dyDescent="0.2">
      <c r="G8374" s="7"/>
    </row>
    <row r="8375" spans="7:7" x14ac:dyDescent="0.2">
      <c r="G8375" s="7"/>
    </row>
    <row r="8376" spans="7:7" x14ac:dyDescent="0.2">
      <c r="G8376" s="7"/>
    </row>
    <row r="8377" spans="7:7" x14ac:dyDescent="0.2">
      <c r="G8377" s="7"/>
    </row>
    <row r="8378" spans="7:7" x14ac:dyDescent="0.2">
      <c r="G8378" s="7"/>
    </row>
    <row r="8379" spans="7:7" x14ac:dyDescent="0.2">
      <c r="G8379" s="7"/>
    </row>
    <row r="8380" spans="7:7" x14ac:dyDescent="0.2">
      <c r="G8380" s="7"/>
    </row>
    <row r="8381" spans="7:7" x14ac:dyDescent="0.2">
      <c r="G8381" s="7"/>
    </row>
    <row r="8382" spans="7:7" x14ac:dyDescent="0.2">
      <c r="G8382" s="7"/>
    </row>
    <row r="8383" spans="7:7" x14ac:dyDescent="0.2">
      <c r="G8383" s="7"/>
    </row>
    <row r="8384" spans="7:7" x14ac:dyDescent="0.2">
      <c r="G8384" s="7"/>
    </row>
    <row r="8385" spans="7:7" x14ac:dyDescent="0.2">
      <c r="G8385" s="7"/>
    </row>
    <row r="8386" spans="7:7" x14ac:dyDescent="0.2">
      <c r="G8386" s="7"/>
    </row>
    <row r="8387" spans="7:7" x14ac:dyDescent="0.2">
      <c r="G8387" s="7"/>
    </row>
    <row r="8388" spans="7:7" x14ac:dyDescent="0.2">
      <c r="G8388" s="7"/>
    </row>
    <row r="8389" spans="7:7" x14ac:dyDescent="0.2">
      <c r="G8389" s="7"/>
    </row>
    <row r="8390" spans="7:7" x14ac:dyDescent="0.2">
      <c r="G8390" s="7"/>
    </row>
    <row r="8391" spans="7:7" x14ac:dyDescent="0.2">
      <c r="G8391" s="7"/>
    </row>
    <row r="8392" spans="7:7" x14ac:dyDescent="0.2">
      <c r="G8392" s="7"/>
    </row>
    <row r="8393" spans="7:7" x14ac:dyDescent="0.2">
      <c r="G8393" s="7"/>
    </row>
    <row r="8394" spans="7:7" x14ac:dyDescent="0.2">
      <c r="G8394" s="7"/>
    </row>
    <row r="8395" spans="7:7" x14ac:dyDescent="0.2">
      <c r="G8395" s="7"/>
    </row>
    <row r="8396" spans="7:7" x14ac:dyDescent="0.2">
      <c r="G8396" s="7"/>
    </row>
    <row r="8397" spans="7:7" x14ac:dyDescent="0.2">
      <c r="G8397" s="7"/>
    </row>
    <row r="8398" spans="7:7" x14ac:dyDescent="0.2">
      <c r="G8398" s="7"/>
    </row>
    <row r="8399" spans="7:7" x14ac:dyDescent="0.2">
      <c r="G8399" s="7"/>
    </row>
    <row r="8400" spans="7:7" x14ac:dyDescent="0.2">
      <c r="G8400" s="7"/>
    </row>
    <row r="8401" spans="7:7" x14ac:dyDescent="0.2">
      <c r="G8401" s="7"/>
    </row>
    <row r="8402" spans="7:7" x14ac:dyDescent="0.2">
      <c r="G8402" s="7"/>
    </row>
    <row r="8403" spans="7:7" x14ac:dyDescent="0.2">
      <c r="G8403" s="7"/>
    </row>
    <row r="8404" spans="7:7" x14ac:dyDescent="0.2">
      <c r="G8404" s="7"/>
    </row>
    <row r="8405" spans="7:7" x14ac:dyDescent="0.2">
      <c r="G8405" s="7"/>
    </row>
    <row r="8406" spans="7:7" x14ac:dyDescent="0.2">
      <c r="G8406" s="7"/>
    </row>
    <row r="8407" spans="7:7" x14ac:dyDescent="0.2">
      <c r="G8407" s="7"/>
    </row>
    <row r="8408" spans="7:7" x14ac:dyDescent="0.2">
      <c r="G8408" s="7"/>
    </row>
    <row r="8409" spans="7:7" x14ac:dyDescent="0.2">
      <c r="G8409" s="7"/>
    </row>
    <row r="8410" spans="7:7" x14ac:dyDescent="0.2">
      <c r="G8410" s="7"/>
    </row>
    <row r="8411" spans="7:7" x14ac:dyDescent="0.2">
      <c r="G8411" s="7"/>
    </row>
    <row r="8412" spans="7:7" x14ac:dyDescent="0.2">
      <c r="G8412" s="7"/>
    </row>
    <row r="8413" spans="7:7" x14ac:dyDescent="0.2">
      <c r="G8413" s="7"/>
    </row>
    <row r="8414" spans="7:7" x14ac:dyDescent="0.2">
      <c r="G8414" s="7"/>
    </row>
    <row r="8415" spans="7:7" x14ac:dyDescent="0.2">
      <c r="G8415" s="7"/>
    </row>
    <row r="8416" spans="7:7" x14ac:dyDescent="0.2">
      <c r="G8416" s="7"/>
    </row>
    <row r="8417" spans="7:7" x14ac:dyDescent="0.2">
      <c r="G8417" s="7"/>
    </row>
    <row r="8418" spans="7:7" x14ac:dyDescent="0.2">
      <c r="G8418" s="7"/>
    </row>
    <row r="8419" spans="7:7" x14ac:dyDescent="0.2">
      <c r="G8419" s="7"/>
    </row>
    <row r="8420" spans="7:7" x14ac:dyDescent="0.2">
      <c r="G8420" s="7"/>
    </row>
    <row r="8421" spans="7:7" x14ac:dyDescent="0.2">
      <c r="G8421" s="7"/>
    </row>
    <row r="8422" spans="7:7" x14ac:dyDescent="0.2">
      <c r="G8422" s="7"/>
    </row>
    <row r="8423" spans="7:7" x14ac:dyDescent="0.2">
      <c r="G8423" s="7"/>
    </row>
    <row r="8424" spans="7:7" x14ac:dyDescent="0.2">
      <c r="G8424" s="7"/>
    </row>
    <row r="8425" spans="7:7" x14ac:dyDescent="0.2">
      <c r="G8425" s="7"/>
    </row>
    <row r="8426" spans="7:7" x14ac:dyDescent="0.2">
      <c r="G8426" s="7"/>
    </row>
    <row r="8427" spans="7:7" x14ac:dyDescent="0.2">
      <c r="G8427" s="7"/>
    </row>
    <row r="8428" spans="7:7" x14ac:dyDescent="0.2">
      <c r="G8428" s="7"/>
    </row>
    <row r="8429" spans="7:7" x14ac:dyDescent="0.2">
      <c r="G8429" s="7"/>
    </row>
    <row r="8430" spans="7:7" x14ac:dyDescent="0.2">
      <c r="G8430" s="7"/>
    </row>
    <row r="8431" spans="7:7" x14ac:dyDescent="0.2">
      <c r="G8431" s="7"/>
    </row>
    <row r="8432" spans="7:7" x14ac:dyDescent="0.2">
      <c r="G8432" s="7"/>
    </row>
    <row r="8433" spans="7:7" x14ac:dyDescent="0.2">
      <c r="G8433" s="7"/>
    </row>
    <row r="8434" spans="7:7" x14ac:dyDescent="0.2">
      <c r="G8434" s="7"/>
    </row>
    <row r="8435" spans="7:7" x14ac:dyDescent="0.2">
      <c r="G8435" s="7"/>
    </row>
    <row r="8436" spans="7:7" x14ac:dyDescent="0.2">
      <c r="G8436" s="7"/>
    </row>
    <row r="8437" spans="7:7" x14ac:dyDescent="0.2">
      <c r="G8437" s="7"/>
    </row>
    <row r="8438" spans="7:7" x14ac:dyDescent="0.2">
      <c r="G8438" s="7"/>
    </row>
    <row r="8439" spans="7:7" x14ac:dyDescent="0.2">
      <c r="G8439" s="7"/>
    </row>
    <row r="8440" spans="7:7" x14ac:dyDescent="0.2">
      <c r="G8440" s="7"/>
    </row>
    <row r="8441" spans="7:7" x14ac:dyDescent="0.2">
      <c r="G8441" s="7"/>
    </row>
    <row r="8442" spans="7:7" x14ac:dyDescent="0.2">
      <c r="G8442" s="7"/>
    </row>
    <row r="8443" spans="7:7" x14ac:dyDescent="0.2">
      <c r="G8443" s="7"/>
    </row>
    <row r="8444" spans="7:7" x14ac:dyDescent="0.2">
      <c r="G8444" s="7"/>
    </row>
    <row r="8445" spans="7:7" x14ac:dyDescent="0.2">
      <c r="G8445" s="7"/>
    </row>
    <row r="8446" spans="7:7" x14ac:dyDescent="0.2">
      <c r="G8446" s="7"/>
    </row>
    <row r="8447" spans="7:7" x14ac:dyDescent="0.2">
      <c r="G8447" s="7"/>
    </row>
    <row r="8448" spans="7:7" x14ac:dyDescent="0.2">
      <c r="G8448" s="7"/>
    </row>
    <row r="8449" spans="7:7" x14ac:dyDescent="0.2">
      <c r="G8449" s="7"/>
    </row>
    <row r="8450" spans="7:7" x14ac:dyDescent="0.2">
      <c r="G8450" s="7"/>
    </row>
    <row r="8451" spans="7:7" x14ac:dyDescent="0.2">
      <c r="G8451" s="7"/>
    </row>
    <row r="8452" spans="7:7" x14ac:dyDescent="0.2">
      <c r="G8452" s="7"/>
    </row>
    <row r="8453" spans="7:7" x14ac:dyDescent="0.2">
      <c r="G8453" s="7"/>
    </row>
    <row r="8454" spans="7:7" x14ac:dyDescent="0.2">
      <c r="G8454" s="7"/>
    </row>
    <row r="8455" spans="7:7" x14ac:dyDescent="0.2">
      <c r="G8455" s="7"/>
    </row>
    <row r="8456" spans="7:7" x14ac:dyDescent="0.2">
      <c r="G8456" s="7"/>
    </row>
    <row r="8457" spans="7:7" x14ac:dyDescent="0.2">
      <c r="G8457" s="7"/>
    </row>
    <row r="8458" spans="7:7" x14ac:dyDescent="0.2">
      <c r="G8458" s="7"/>
    </row>
    <row r="8459" spans="7:7" x14ac:dyDescent="0.2">
      <c r="G8459" s="7"/>
    </row>
    <row r="8460" spans="7:7" x14ac:dyDescent="0.2">
      <c r="G8460" s="7"/>
    </row>
    <row r="8461" spans="7:7" x14ac:dyDescent="0.2">
      <c r="G8461" s="7"/>
    </row>
    <row r="8462" spans="7:7" x14ac:dyDescent="0.2">
      <c r="G8462" s="7"/>
    </row>
    <row r="8463" spans="7:7" x14ac:dyDescent="0.2">
      <c r="G8463" s="7"/>
    </row>
    <row r="8464" spans="7:7" x14ac:dyDescent="0.2">
      <c r="G8464" s="7"/>
    </row>
    <row r="8465" spans="7:7" x14ac:dyDescent="0.2">
      <c r="G8465" s="7"/>
    </row>
    <row r="8466" spans="7:7" x14ac:dyDescent="0.2">
      <c r="G8466" s="7"/>
    </row>
    <row r="8467" spans="7:7" x14ac:dyDescent="0.2">
      <c r="G8467" s="7"/>
    </row>
    <row r="8468" spans="7:7" x14ac:dyDescent="0.2">
      <c r="G8468" s="7"/>
    </row>
    <row r="8469" spans="7:7" x14ac:dyDescent="0.2">
      <c r="G8469" s="7"/>
    </row>
    <row r="8470" spans="7:7" x14ac:dyDescent="0.2">
      <c r="G8470" s="7"/>
    </row>
    <row r="8471" spans="7:7" x14ac:dyDescent="0.2">
      <c r="G8471" s="7"/>
    </row>
    <row r="8472" spans="7:7" x14ac:dyDescent="0.2">
      <c r="G8472" s="7"/>
    </row>
    <row r="8473" spans="7:7" x14ac:dyDescent="0.2">
      <c r="G8473" s="7"/>
    </row>
    <row r="8474" spans="7:7" x14ac:dyDescent="0.2">
      <c r="G8474" s="7"/>
    </row>
    <row r="8475" spans="7:7" x14ac:dyDescent="0.2">
      <c r="G8475" s="7"/>
    </row>
    <row r="8476" spans="7:7" x14ac:dyDescent="0.2">
      <c r="G8476" s="7"/>
    </row>
    <row r="8477" spans="7:7" x14ac:dyDescent="0.2">
      <c r="G8477" s="7"/>
    </row>
    <row r="8478" spans="7:7" x14ac:dyDescent="0.2">
      <c r="G8478" s="7"/>
    </row>
    <row r="8479" spans="7:7" x14ac:dyDescent="0.2">
      <c r="G8479" s="7"/>
    </row>
    <row r="8480" spans="7:7" x14ac:dyDescent="0.2">
      <c r="G8480" s="7"/>
    </row>
    <row r="8481" spans="7:7" x14ac:dyDescent="0.2">
      <c r="G8481" s="7"/>
    </row>
    <row r="8482" spans="7:7" x14ac:dyDescent="0.2">
      <c r="G8482" s="7"/>
    </row>
    <row r="8483" spans="7:7" x14ac:dyDescent="0.2">
      <c r="G8483" s="7"/>
    </row>
    <row r="8484" spans="7:7" x14ac:dyDescent="0.2">
      <c r="G8484" s="7"/>
    </row>
    <row r="8485" spans="7:7" x14ac:dyDescent="0.2">
      <c r="G8485" s="7"/>
    </row>
    <row r="8486" spans="7:7" x14ac:dyDescent="0.2">
      <c r="G8486" s="7"/>
    </row>
    <row r="8487" spans="7:7" x14ac:dyDescent="0.2">
      <c r="G8487" s="7"/>
    </row>
    <row r="8488" spans="7:7" x14ac:dyDescent="0.2">
      <c r="G8488" s="7"/>
    </row>
    <row r="8489" spans="7:7" x14ac:dyDescent="0.2">
      <c r="G8489" s="7"/>
    </row>
    <row r="8490" spans="7:7" x14ac:dyDescent="0.2">
      <c r="G8490" s="7"/>
    </row>
    <row r="8491" spans="7:7" x14ac:dyDescent="0.2">
      <c r="G8491" s="7"/>
    </row>
    <row r="8492" spans="7:7" x14ac:dyDescent="0.2">
      <c r="G8492" s="7"/>
    </row>
    <row r="8493" spans="7:7" x14ac:dyDescent="0.2">
      <c r="G8493" s="7"/>
    </row>
    <row r="8494" spans="7:7" x14ac:dyDescent="0.2">
      <c r="G8494" s="7"/>
    </row>
    <row r="8495" spans="7:7" x14ac:dyDescent="0.2">
      <c r="G8495" s="7"/>
    </row>
    <row r="8496" spans="7:7" x14ac:dyDescent="0.2">
      <c r="G8496" s="7"/>
    </row>
    <row r="8497" spans="7:7" x14ac:dyDescent="0.2">
      <c r="G8497" s="7"/>
    </row>
    <row r="8498" spans="7:7" x14ac:dyDescent="0.2">
      <c r="G8498" s="7"/>
    </row>
    <row r="8499" spans="7:7" x14ac:dyDescent="0.2">
      <c r="G8499" s="7"/>
    </row>
    <row r="8500" spans="7:7" x14ac:dyDescent="0.2">
      <c r="G8500" s="7"/>
    </row>
    <row r="8501" spans="7:7" x14ac:dyDescent="0.2">
      <c r="G8501" s="7"/>
    </row>
    <row r="8502" spans="7:7" x14ac:dyDescent="0.2">
      <c r="G8502" s="7"/>
    </row>
    <row r="8503" spans="7:7" x14ac:dyDescent="0.2">
      <c r="G8503" s="7"/>
    </row>
    <row r="8504" spans="7:7" x14ac:dyDescent="0.2">
      <c r="G8504" s="7"/>
    </row>
    <row r="8505" spans="7:7" x14ac:dyDescent="0.2">
      <c r="G8505" s="7"/>
    </row>
    <row r="8506" spans="7:7" x14ac:dyDescent="0.2">
      <c r="G8506" s="7"/>
    </row>
    <row r="8507" spans="7:7" x14ac:dyDescent="0.2">
      <c r="G8507" s="7"/>
    </row>
    <row r="8508" spans="7:7" x14ac:dyDescent="0.2">
      <c r="G8508" s="7"/>
    </row>
    <row r="8509" spans="7:7" x14ac:dyDescent="0.2">
      <c r="G8509" s="7"/>
    </row>
    <row r="8510" spans="7:7" x14ac:dyDescent="0.2">
      <c r="G8510" s="7"/>
    </row>
    <row r="8511" spans="7:7" x14ac:dyDescent="0.2">
      <c r="G8511" s="7"/>
    </row>
    <row r="8512" spans="7:7" x14ac:dyDescent="0.2">
      <c r="G8512" s="7"/>
    </row>
    <row r="8513" spans="7:7" x14ac:dyDescent="0.2">
      <c r="G8513" s="7"/>
    </row>
    <row r="8514" spans="7:7" x14ac:dyDescent="0.2">
      <c r="G8514" s="7"/>
    </row>
    <row r="8515" spans="7:7" x14ac:dyDescent="0.2">
      <c r="G8515" s="7"/>
    </row>
    <row r="8516" spans="7:7" x14ac:dyDescent="0.2">
      <c r="G8516" s="7"/>
    </row>
    <row r="8517" spans="7:7" x14ac:dyDescent="0.2">
      <c r="G8517" s="7"/>
    </row>
    <row r="8518" spans="7:7" x14ac:dyDescent="0.2">
      <c r="G8518" s="7"/>
    </row>
    <row r="8519" spans="7:7" x14ac:dyDescent="0.2">
      <c r="G8519" s="7"/>
    </row>
    <row r="8520" spans="7:7" x14ac:dyDescent="0.2">
      <c r="G8520" s="7"/>
    </row>
    <row r="8521" spans="7:7" x14ac:dyDescent="0.2">
      <c r="G8521" s="7"/>
    </row>
    <row r="8522" spans="7:7" x14ac:dyDescent="0.2">
      <c r="G8522" s="7"/>
    </row>
    <row r="8523" spans="7:7" x14ac:dyDescent="0.2">
      <c r="G8523" s="7"/>
    </row>
    <row r="8524" spans="7:7" x14ac:dyDescent="0.2">
      <c r="G8524" s="7"/>
    </row>
    <row r="8525" spans="7:7" x14ac:dyDescent="0.2">
      <c r="G8525" s="7"/>
    </row>
    <row r="8526" spans="7:7" x14ac:dyDescent="0.2">
      <c r="G8526" s="7"/>
    </row>
    <row r="8527" spans="7:7" x14ac:dyDescent="0.2">
      <c r="G8527" s="7"/>
    </row>
    <row r="8528" spans="7:7" x14ac:dyDescent="0.2">
      <c r="G8528" s="7"/>
    </row>
    <row r="8529" spans="7:7" x14ac:dyDescent="0.2">
      <c r="G8529" s="7"/>
    </row>
    <row r="8530" spans="7:7" x14ac:dyDescent="0.2">
      <c r="G8530" s="7"/>
    </row>
    <row r="8531" spans="7:7" x14ac:dyDescent="0.2">
      <c r="G8531" s="7"/>
    </row>
    <row r="8532" spans="7:7" x14ac:dyDescent="0.2">
      <c r="G8532" s="7"/>
    </row>
    <row r="8533" spans="7:7" x14ac:dyDescent="0.2">
      <c r="G8533" s="7"/>
    </row>
    <row r="8534" spans="7:7" x14ac:dyDescent="0.2">
      <c r="G8534" s="7"/>
    </row>
    <row r="8535" spans="7:7" x14ac:dyDescent="0.2">
      <c r="G8535" s="7"/>
    </row>
    <row r="8536" spans="7:7" x14ac:dyDescent="0.2">
      <c r="G8536" s="7"/>
    </row>
    <row r="8537" spans="7:7" x14ac:dyDescent="0.2">
      <c r="G8537" s="7"/>
    </row>
    <row r="8538" spans="7:7" x14ac:dyDescent="0.2">
      <c r="G8538" s="7"/>
    </row>
    <row r="8539" spans="7:7" x14ac:dyDescent="0.2">
      <c r="G8539" s="7"/>
    </row>
    <row r="8540" spans="7:7" x14ac:dyDescent="0.2">
      <c r="G8540" s="7"/>
    </row>
    <row r="8541" spans="7:7" x14ac:dyDescent="0.2">
      <c r="G8541" s="7"/>
    </row>
    <row r="8542" spans="7:7" x14ac:dyDescent="0.2">
      <c r="G8542" s="7"/>
    </row>
    <row r="8543" spans="7:7" x14ac:dyDescent="0.2">
      <c r="G8543" s="7"/>
    </row>
    <row r="8544" spans="7:7" x14ac:dyDescent="0.2">
      <c r="G8544" s="7"/>
    </row>
    <row r="8545" spans="7:7" x14ac:dyDescent="0.2">
      <c r="G8545" s="7"/>
    </row>
    <row r="8546" spans="7:7" x14ac:dyDescent="0.2">
      <c r="G8546" s="7"/>
    </row>
    <row r="8547" spans="7:7" x14ac:dyDescent="0.2">
      <c r="G8547" s="7"/>
    </row>
    <row r="8548" spans="7:7" x14ac:dyDescent="0.2">
      <c r="G8548" s="7"/>
    </row>
    <row r="8549" spans="7:7" x14ac:dyDescent="0.2">
      <c r="G8549" s="7"/>
    </row>
    <row r="8550" spans="7:7" x14ac:dyDescent="0.2">
      <c r="G8550" s="7"/>
    </row>
    <row r="8551" spans="7:7" x14ac:dyDescent="0.2">
      <c r="G8551" s="7"/>
    </row>
    <row r="8552" spans="7:7" x14ac:dyDescent="0.2">
      <c r="G8552" s="7"/>
    </row>
    <row r="8553" spans="7:7" x14ac:dyDescent="0.2">
      <c r="G8553" s="7"/>
    </row>
    <row r="8554" spans="7:7" x14ac:dyDescent="0.2">
      <c r="G8554" s="7"/>
    </row>
    <row r="8555" spans="7:7" x14ac:dyDescent="0.2">
      <c r="G8555" s="7"/>
    </row>
    <row r="8556" spans="7:7" x14ac:dyDescent="0.2">
      <c r="G8556" s="7"/>
    </row>
    <row r="8557" spans="7:7" x14ac:dyDescent="0.2">
      <c r="G8557" s="7"/>
    </row>
    <row r="8558" spans="7:7" x14ac:dyDescent="0.2">
      <c r="G8558" s="7"/>
    </row>
    <row r="8559" spans="7:7" x14ac:dyDescent="0.2">
      <c r="G8559" s="7"/>
    </row>
    <row r="8560" spans="7:7" x14ac:dyDescent="0.2">
      <c r="G8560" s="7"/>
    </row>
    <row r="8561" spans="7:7" x14ac:dyDescent="0.2">
      <c r="G8561" s="7"/>
    </row>
    <row r="8562" spans="7:7" x14ac:dyDescent="0.2">
      <c r="G8562" s="7"/>
    </row>
    <row r="8563" spans="7:7" x14ac:dyDescent="0.2">
      <c r="G8563" s="7"/>
    </row>
    <row r="8564" spans="7:7" x14ac:dyDescent="0.2">
      <c r="G8564" s="7"/>
    </row>
    <row r="8565" spans="7:7" x14ac:dyDescent="0.2">
      <c r="G8565" s="7"/>
    </row>
    <row r="8566" spans="7:7" x14ac:dyDescent="0.2">
      <c r="G8566" s="7"/>
    </row>
    <row r="8567" spans="7:7" x14ac:dyDescent="0.2">
      <c r="G8567" s="7"/>
    </row>
    <row r="8568" spans="7:7" x14ac:dyDescent="0.2">
      <c r="G8568" s="7"/>
    </row>
    <row r="8569" spans="7:7" x14ac:dyDescent="0.2">
      <c r="G8569" s="7"/>
    </row>
    <row r="8570" spans="7:7" x14ac:dyDescent="0.2">
      <c r="G8570" s="7"/>
    </row>
    <row r="8571" spans="7:7" x14ac:dyDescent="0.2">
      <c r="G8571" s="7"/>
    </row>
    <row r="8572" spans="7:7" x14ac:dyDescent="0.2">
      <c r="G8572" s="7"/>
    </row>
    <row r="8573" spans="7:7" x14ac:dyDescent="0.2">
      <c r="G8573" s="7"/>
    </row>
    <row r="8574" spans="7:7" x14ac:dyDescent="0.2">
      <c r="G8574" s="7"/>
    </row>
    <row r="8575" spans="7:7" x14ac:dyDescent="0.2">
      <c r="G8575" s="7"/>
    </row>
    <row r="8576" spans="7:7" x14ac:dyDescent="0.2">
      <c r="G8576" s="7"/>
    </row>
    <row r="8577" spans="7:7" x14ac:dyDescent="0.2">
      <c r="G8577" s="7"/>
    </row>
    <row r="8578" spans="7:7" x14ac:dyDescent="0.2">
      <c r="G8578" s="7"/>
    </row>
    <row r="8579" spans="7:7" x14ac:dyDescent="0.2">
      <c r="G8579" s="7"/>
    </row>
    <row r="8580" spans="7:7" x14ac:dyDescent="0.2">
      <c r="G8580" s="7"/>
    </row>
    <row r="8581" spans="7:7" x14ac:dyDescent="0.2">
      <c r="G8581" s="7"/>
    </row>
    <row r="8582" spans="7:7" x14ac:dyDescent="0.2">
      <c r="G8582" s="7"/>
    </row>
    <row r="8583" spans="7:7" x14ac:dyDescent="0.2">
      <c r="G8583" s="7"/>
    </row>
    <row r="8584" spans="7:7" x14ac:dyDescent="0.2">
      <c r="G8584" s="7"/>
    </row>
    <row r="8585" spans="7:7" x14ac:dyDescent="0.2">
      <c r="G8585" s="7"/>
    </row>
    <row r="8586" spans="7:7" x14ac:dyDescent="0.2">
      <c r="G8586" s="7"/>
    </row>
    <row r="8587" spans="7:7" x14ac:dyDescent="0.2">
      <c r="G8587" s="7"/>
    </row>
    <row r="8588" spans="7:7" x14ac:dyDescent="0.2">
      <c r="G8588" s="7"/>
    </row>
    <row r="8589" spans="7:7" x14ac:dyDescent="0.2">
      <c r="G8589" s="7"/>
    </row>
    <row r="8590" spans="7:7" x14ac:dyDescent="0.2">
      <c r="G8590" s="7"/>
    </row>
    <row r="8591" spans="7:7" x14ac:dyDescent="0.2">
      <c r="G8591" s="7"/>
    </row>
    <row r="8592" spans="7:7" x14ac:dyDescent="0.2">
      <c r="G8592" s="7"/>
    </row>
    <row r="8593" spans="7:7" x14ac:dyDescent="0.2">
      <c r="G8593" s="7"/>
    </row>
    <row r="8594" spans="7:7" x14ac:dyDescent="0.2">
      <c r="G8594" s="7"/>
    </row>
    <row r="8595" spans="7:7" x14ac:dyDescent="0.2">
      <c r="G8595" s="7"/>
    </row>
    <row r="8596" spans="7:7" x14ac:dyDescent="0.2">
      <c r="G8596" s="7"/>
    </row>
    <row r="8597" spans="7:7" x14ac:dyDescent="0.2">
      <c r="G8597" s="7"/>
    </row>
    <row r="8598" spans="7:7" x14ac:dyDescent="0.2">
      <c r="G8598" s="7"/>
    </row>
    <row r="8599" spans="7:7" x14ac:dyDescent="0.2">
      <c r="G8599" s="7"/>
    </row>
    <row r="8600" spans="7:7" x14ac:dyDescent="0.2">
      <c r="G8600" s="7"/>
    </row>
    <row r="8601" spans="7:7" x14ac:dyDescent="0.2">
      <c r="G8601" s="7"/>
    </row>
    <row r="8602" spans="7:7" x14ac:dyDescent="0.2">
      <c r="G8602" s="7"/>
    </row>
    <row r="8603" spans="7:7" x14ac:dyDescent="0.2">
      <c r="G8603" s="7"/>
    </row>
    <row r="8604" spans="7:7" x14ac:dyDescent="0.2">
      <c r="G8604" s="7"/>
    </row>
    <row r="8605" spans="7:7" x14ac:dyDescent="0.2">
      <c r="G8605" s="7"/>
    </row>
    <row r="8606" spans="7:7" x14ac:dyDescent="0.2">
      <c r="G8606" s="7"/>
    </row>
    <row r="8607" spans="7:7" x14ac:dyDescent="0.2">
      <c r="G8607" s="7"/>
    </row>
    <row r="8608" spans="7:7" x14ac:dyDescent="0.2">
      <c r="G8608" s="7"/>
    </row>
    <row r="8609" spans="7:7" x14ac:dyDescent="0.2">
      <c r="G8609" s="7"/>
    </row>
    <row r="8610" spans="7:7" x14ac:dyDescent="0.2">
      <c r="G8610" s="7"/>
    </row>
    <row r="8611" spans="7:7" x14ac:dyDescent="0.2">
      <c r="G8611" s="7"/>
    </row>
    <row r="8612" spans="7:7" x14ac:dyDescent="0.2">
      <c r="G8612" s="7"/>
    </row>
    <row r="8613" spans="7:7" x14ac:dyDescent="0.2">
      <c r="G8613" s="7"/>
    </row>
    <row r="8614" spans="7:7" x14ac:dyDescent="0.2">
      <c r="G8614" s="7"/>
    </row>
    <row r="8615" spans="7:7" x14ac:dyDescent="0.2">
      <c r="G8615" s="7"/>
    </row>
    <row r="8616" spans="7:7" x14ac:dyDescent="0.2">
      <c r="G8616" s="7"/>
    </row>
    <row r="8617" spans="7:7" x14ac:dyDescent="0.2">
      <c r="G8617" s="7"/>
    </row>
    <row r="8618" spans="7:7" x14ac:dyDescent="0.2">
      <c r="G8618" s="7"/>
    </row>
    <row r="8619" spans="7:7" x14ac:dyDescent="0.2">
      <c r="G8619" s="7"/>
    </row>
    <row r="8620" spans="7:7" x14ac:dyDescent="0.2">
      <c r="G8620" s="7"/>
    </row>
    <row r="8621" spans="7:7" x14ac:dyDescent="0.2">
      <c r="G8621" s="7"/>
    </row>
    <row r="8622" spans="7:7" x14ac:dyDescent="0.2">
      <c r="G8622" s="7"/>
    </row>
    <row r="8623" spans="7:7" x14ac:dyDescent="0.2">
      <c r="G8623" s="7"/>
    </row>
    <row r="8624" spans="7:7" x14ac:dyDescent="0.2">
      <c r="G8624" s="7"/>
    </row>
    <row r="8625" spans="7:7" x14ac:dyDescent="0.2">
      <c r="G8625" s="7"/>
    </row>
    <row r="8626" spans="7:7" x14ac:dyDescent="0.2">
      <c r="G8626" s="7"/>
    </row>
    <row r="8627" spans="7:7" x14ac:dyDescent="0.2">
      <c r="G8627" s="7"/>
    </row>
    <row r="8628" spans="7:7" x14ac:dyDescent="0.2">
      <c r="G8628" s="7"/>
    </row>
    <row r="8629" spans="7:7" x14ac:dyDescent="0.2">
      <c r="G8629" s="7"/>
    </row>
    <row r="8630" spans="7:7" x14ac:dyDescent="0.2">
      <c r="G8630" s="7"/>
    </row>
    <row r="8631" spans="7:7" x14ac:dyDescent="0.2">
      <c r="G8631" s="7"/>
    </row>
    <row r="8632" spans="7:7" x14ac:dyDescent="0.2">
      <c r="G8632" s="7"/>
    </row>
    <row r="8633" spans="7:7" x14ac:dyDescent="0.2">
      <c r="G8633" s="7"/>
    </row>
    <row r="8634" spans="7:7" x14ac:dyDescent="0.2">
      <c r="G8634" s="7"/>
    </row>
    <row r="8635" spans="7:7" x14ac:dyDescent="0.2">
      <c r="G8635" s="7"/>
    </row>
    <row r="8636" spans="7:7" x14ac:dyDescent="0.2">
      <c r="G8636" s="7"/>
    </row>
    <row r="8637" spans="7:7" x14ac:dyDescent="0.2">
      <c r="G8637" s="7"/>
    </row>
    <row r="8638" spans="7:7" x14ac:dyDescent="0.2">
      <c r="G8638" s="7"/>
    </row>
    <row r="8639" spans="7:7" x14ac:dyDescent="0.2">
      <c r="G8639" s="7"/>
    </row>
    <row r="8640" spans="7:7" x14ac:dyDescent="0.2">
      <c r="G8640" s="7"/>
    </row>
    <row r="8641" spans="7:7" x14ac:dyDescent="0.2">
      <c r="G8641" s="7"/>
    </row>
    <row r="8642" spans="7:7" x14ac:dyDescent="0.2">
      <c r="G8642" s="7"/>
    </row>
    <row r="8643" spans="7:7" x14ac:dyDescent="0.2">
      <c r="G8643" s="7"/>
    </row>
    <row r="8644" spans="7:7" x14ac:dyDescent="0.2">
      <c r="G8644" s="7"/>
    </row>
    <row r="8645" spans="7:7" x14ac:dyDescent="0.2">
      <c r="G8645" s="7"/>
    </row>
    <row r="8646" spans="7:7" x14ac:dyDescent="0.2">
      <c r="G8646" s="7"/>
    </row>
    <row r="8647" spans="7:7" x14ac:dyDescent="0.2">
      <c r="G8647" s="7"/>
    </row>
    <row r="8648" spans="7:7" x14ac:dyDescent="0.2">
      <c r="G8648" s="7"/>
    </row>
    <row r="8649" spans="7:7" x14ac:dyDescent="0.2">
      <c r="G8649" s="7"/>
    </row>
    <row r="8650" spans="7:7" x14ac:dyDescent="0.2">
      <c r="G8650" s="7"/>
    </row>
    <row r="8651" spans="7:7" x14ac:dyDescent="0.2">
      <c r="G8651" s="7"/>
    </row>
    <row r="8652" spans="7:7" x14ac:dyDescent="0.2">
      <c r="G8652" s="7"/>
    </row>
    <row r="8653" spans="7:7" x14ac:dyDescent="0.2">
      <c r="G8653" s="7"/>
    </row>
    <row r="8654" spans="7:7" x14ac:dyDescent="0.2">
      <c r="G8654" s="7"/>
    </row>
    <row r="8655" spans="7:7" x14ac:dyDescent="0.2">
      <c r="G8655" s="7"/>
    </row>
    <row r="8656" spans="7:7" x14ac:dyDescent="0.2">
      <c r="G8656" s="7"/>
    </row>
    <row r="8657" spans="7:7" x14ac:dyDescent="0.2">
      <c r="G8657" s="7"/>
    </row>
    <row r="8658" spans="7:7" x14ac:dyDescent="0.2">
      <c r="G8658" s="7"/>
    </row>
    <row r="8659" spans="7:7" x14ac:dyDescent="0.2">
      <c r="G8659" s="7"/>
    </row>
    <row r="8660" spans="7:7" x14ac:dyDescent="0.2">
      <c r="G8660" s="7"/>
    </row>
    <row r="8661" spans="7:7" x14ac:dyDescent="0.2">
      <c r="G8661" s="7"/>
    </row>
    <row r="8662" spans="7:7" x14ac:dyDescent="0.2">
      <c r="G8662" s="7"/>
    </row>
    <row r="8663" spans="7:7" x14ac:dyDescent="0.2">
      <c r="G8663" s="7"/>
    </row>
    <row r="8664" spans="7:7" x14ac:dyDescent="0.2">
      <c r="G8664" s="7"/>
    </row>
    <row r="8665" spans="7:7" x14ac:dyDescent="0.2">
      <c r="G8665" s="7"/>
    </row>
    <row r="8666" spans="7:7" x14ac:dyDescent="0.2">
      <c r="G8666" s="7"/>
    </row>
    <row r="8667" spans="7:7" x14ac:dyDescent="0.2">
      <c r="G8667" s="7"/>
    </row>
    <row r="8668" spans="7:7" x14ac:dyDescent="0.2">
      <c r="G8668" s="7"/>
    </row>
    <row r="8669" spans="7:7" x14ac:dyDescent="0.2">
      <c r="G8669" s="7"/>
    </row>
    <row r="8670" spans="7:7" x14ac:dyDescent="0.2">
      <c r="G8670" s="7"/>
    </row>
    <row r="8671" spans="7:7" x14ac:dyDescent="0.2">
      <c r="G8671" s="7"/>
    </row>
    <row r="8672" spans="7:7" x14ac:dyDescent="0.2">
      <c r="G8672" s="7"/>
    </row>
    <row r="8673" spans="7:7" x14ac:dyDescent="0.2">
      <c r="G8673" s="7"/>
    </row>
    <row r="8674" spans="7:7" x14ac:dyDescent="0.2">
      <c r="G8674" s="7"/>
    </row>
    <row r="8675" spans="7:7" x14ac:dyDescent="0.2">
      <c r="G8675" s="7"/>
    </row>
    <row r="8676" spans="7:7" x14ac:dyDescent="0.2">
      <c r="G8676" s="7"/>
    </row>
    <row r="8677" spans="7:7" x14ac:dyDescent="0.2">
      <c r="G8677" s="7"/>
    </row>
    <row r="8678" spans="7:7" x14ac:dyDescent="0.2">
      <c r="G8678" s="7"/>
    </row>
    <row r="8679" spans="7:7" x14ac:dyDescent="0.2">
      <c r="G8679" s="7"/>
    </row>
    <row r="8680" spans="7:7" x14ac:dyDescent="0.2">
      <c r="G8680" s="7"/>
    </row>
    <row r="8681" spans="7:7" x14ac:dyDescent="0.2">
      <c r="G8681" s="7"/>
    </row>
    <row r="8682" spans="7:7" x14ac:dyDescent="0.2">
      <c r="G8682" s="7"/>
    </row>
    <row r="8683" spans="7:7" x14ac:dyDescent="0.2">
      <c r="G8683" s="7"/>
    </row>
    <row r="8684" spans="7:7" x14ac:dyDescent="0.2">
      <c r="G8684" s="7"/>
    </row>
    <row r="8685" spans="7:7" x14ac:dyDescent="0.2">
      <c r="G8685" s="7"/>
    </row>
    <row r="8686" spans="7:7" x14ac:dyDescent="0.2">
      <c r="G8686" s="7"/>
    </row>
    <row r="8687" spans="7:7" x14ac:dyDescent="0.2">
      <c r="G8687" s="7"/>
    </row>
    <row r="8688" spans="7:7" x14ac:dyDescent="0.2">
      <c r="G8688" s="7"/>
    </row>
    <row r="8689" spans="7:7" x14ac:dyDescent="0.2">
      <c r="G8689" s="7"/>
    </row>
    <row r="8690" spans="7:7" x14ac:dyDescent="0.2">
      <c r="G8690" s="7"/>
    </row>
    <row r="8691" spans="7:7" x14ac:dyDescent="0.2">
      <c r="G8691" s="7"/>
    </row>
    <row r="8692" spans="7:7" x14ac:dyDescent="0.2">
      <c r="G8692" s="7"/>
    </row>
    <row r="8693" spans="7:7" x14ac:dyDescent="0.2">
      <c r="G8693" s="7"/>
    </row>
    <row r="8694" spans="7:7" x14ac:dyDescent="0.2">
      <c r="G8694" s="7"/>
    </row>
    <row r="8695" spans="7:7" x14ac:dyDescent="0.2">
      <c r="G8695" s="7"/>
    </row>
    <row r="8696" spans="7:7" x14ac:dyDescent="0.2">
      <c r="G8696" s="7"/>
    </row>
    <row r="8697" spans="7:7" x14ac:dyDescent="0.2">
      <c r="G8697" s="7"/>
    </row>
    <row r="8698" spans="7:7" x14ac:dyDescent="0.2">
      <c r="G8698" s="7"/>
    </row>
    <row r="8699" spans="7:7" x14ac:dyDescent="0.2">
      <c r="G8699" s="7"/>
    </row>
    <row r="8700" spans="7:7" x14ac:dyDescent="0.2">
      <c r="G8700" s="7"/>
    </row>
    <row r="8701" spans="7:7" x14ac:dyDescent="0.2">
      <c r="G8701" s="7"/>
    </row>
    <row r="8702" spans="7:7" x14ac:dyDescent="0.2">
      <c r="G8702" s="7"/>
    </row>
    <row r="8703" spans="7:7" x14ac:dyDescent="0.2">
      <c r="G8703" s="7"/>
    </row>
    <row r="8704" spans="7:7" x14ac:dyDescent="0.2">
      <c r="G8704" s="7"/>
    </row>
    <row r="8705" spans="7:7" x14ac:dyDescent="0.2">
      <c r="G8705" s="7"/>
    </row>
    <row r="8706" spans="7:7" x14ac:dyDescent="0.2">
      <c r="G8706" s="7"/>
    </row>
    <row r="8707" spans="7:7" x14ac:dyDescent="0.2">
      <c r="G8707" s="7"/>
    </row>
    <row r="8708" spans="7:7" x14ac:dyDescent="0.2">
      <c r="G8708" s="7"/>
    </row>
    <row r="8709" spans="7:7" x14ac:dyDescent="0.2">
      <c r="G8709" s="7"/>
    </row>
    <row r="8710" spans="7:7" x14ac:dyDescent="0.2">
      <c r="G8710" s="7"/>
    </row>
    <row r="8711" spans="7:7" x14ac:dyDescent="0.2">
      <c r="G8711" s="7"/>
    </row>
    <row r="8712" spans="7:7" x14ac:dyDescent="0.2">
      <c r="G8712" s="7"/>
    </row>
    <row r="8713" spans="7:7" x14ac:dyDescent="0.2">
      <c r="G8713" s="7"/>
    </row>
    <row r="8714" spans="7:7" x14ac:dyDescent="0.2">
      <c r="G8714" s="7"/>
    </row>
    <row r="8715" spans="7:7" x14ac:dyDescent="0.2">
      <c r="G8715" s="7"/>
    </row>
    <row r="8716" spans="7:7" x14ac:dyDescent="0.2">
      <c r="G8716" s="7"/>
    </row>
    <row r="8717" spans="7:7" x14ac:dyDescent="0.2">
      <c r="G8717" s="7"/>
    </row>
    <row r="8718" spans="7:7" x14ac:dyDescent="0.2">
      <c r="G8718" s="7"/>
    </row>
    <row r="8719" spans="7:7" x14ac:dyDescent="0.2">
      <c r="G8719" s="7"/>
    </row>
    <row r="8720" spans="7:7" x14ac:dyDescent="0.2">
      <c r="G8720" s="7"/>
    </row>
    <row r="8721" spans="7:7" x14ac:dyDescent="0.2">
      <c r="G8721" s="7"/>
    </row>
    <row r="8722" spans="7:7" x14ac:dyDescent="0.2">
      <c r="G8722" s="7"/>
    </row>
    <row r="8723" spans="7:7" x14ac:dyDescent="0.2">
      <c r="G8723" s="7"/>
    </row>
    <row r="8724" spans="7:7" x14ac:dyDescent="0.2">
      <c r="G8724" s="7"/>
    </row>
    <row r="8725" spans="7:7" x14ac:dyDescent="0.2">
      <c r="G8725" s="7"/>
    </row>
    <row r="8726" spans="7:7" x14ac:dyDescent="0.2">
      <c r="G8726" s="7"/>
    </row>
    <row r="8727" spans="7:7" x14ac:dyDescent="0.2">
      <c r="G8727" s="7"/>
    </row>
    <row r="8728" spans="7:7" x14ac:dyDescent="0.2">
      <c r="G8728" s="7"/>
    </row>
    <row r="8729" spans="7:7" x14ac:dyDescent="0.2">
      <c r="G8729" s="7"/>
    </row>
    <row r="8730" spans="7:7" x14ac:dyDescent="0.2">
      <c r="G8730" s="7"/>
    </row>
    <row r="8731" spans="7:7" x14ac:dyDescent="0.2">
      <c r="G8731" s="7"/>
    </row>
    <row r="8732" spans="7:7" x14ac:dyDescent="0.2">
      <c r="G8732" s="7"/>
    </row>
    <row r="8733" spans="7:7" x14ac:dyDescent="0.2">
      <c r="G8733" s="7"/>
    </row>
    <row r="8734" spans="7:7" x14ac:dyDescent="0.2">
      <c r="G8734" s="7"/>
    </row>
    <row r="8735" spans="7:7" x14ac:dyDescent="0.2">
      <c r="G8735" s="7"/>
    </row>
    <row r="8736" spans="7:7" x14ac:dyDescent="0.2">
      <c r="G8736" s="7"/>
    </row>
    <row r="8737" spans="7:7" x14ac:dyDescent="0.2">
      <c r="G8737" s="7"/>
    </row>
    <row r="8738" spans="7:7" x14ac:dyDescent="0.2">
      <c r="G8738" s="7"/>
    </row>
    <row r="8739" spans="7:7" x14ac:dyDescent="0.2">
      <c r="G8739" s="7"/>
    </row>
    <row r="8740" spans="7:7" x14ac:dyDescent="0.2">
      <c r="G8740" s="7"/>
    </row>
    <row r="8741" spans="7:7" x14ac:dyDescent="0.2">
      <c r="G8741" s="7"/>
    </row>
    <row r="8742" spans="7:7" x14ac:dyDescent="0.2">
      <c r="G8742" s="7"/>
    </row>
    <row r="8743" spans="7:7" x14ac:dyDescent="0.2">
      <c r="G8743" s="7"/>
    </row>
    <row r="8744" spans="7:7" x14ac:dyDescent="0.2">
      <c r="G8744" s="7"/>
    </row>
    <row r="8745" spans="7:7" x14ac:dyDescent="0.2">
      <c r="G8745" s="7"/>
    </row>
    <row r="8746" spans="7:7" x14ac:dyDescent="0.2">
      <c r="G8746" s="7"/>
    </row>
    <row r="8747" spans="7:7" x14ac:dyDescent="0.2">
      <c r="G8747" s="7"/>
    </row>
    <row r="8748" spans="7:7" x14ac:dyDescent="0.2">
      <c r="G8748" s="7"/>
    </row>
    <row r="8749" spans="7:7" x14ac:dyDescent="0.2">
      <c r="G8749" s="7"/>
    </row>
    <row r="8750" spans="7:7" x14ac:dyDescent="0.2">
      <c r="G8750" s="7"/>
    </row>
    <row r="8751" spans="7:7" x14ac:dyDescent="0.2">
      <c r="G8751" s="7"/>
    </row>
    <row r="8752" spans="7:7" x14ac:dyDescent="0.2">
      <c r="G8752" s="7"/>
    </row>
    <row r="8753" spans="7:7" x14ac:dyDescent="0.2">
      <c r="G8753" s="7"/>
    </row>
    <row r="8754" spans="7:7" x14ac:dyDescent="0.2">
      <c r="G8754" s="7"/>
    </row>
    <row r="8755" spans="7:7" x14ac:dyDescent="0.2">
      <c r="G8755" s="7"/>
    </row>
    <row r="8756" spans="7:7" x14ac:dyDescent="0.2">
      <c r="G8756" s="7"/>
    </row>
    <row r="8757" spans="7:7" x14ac:dyDescent="0.2">
      <c r="G8757" s="7"/>
    </row>
    <row r="8758" spans="7:7" x14ac:dyDescent="0.2">
      <c r="G8758" s="7"/>
    </row>
    <row r="8759" spans="7:7" x14ac:dyDescent="0.2">
      <c r="G8759" s="7"/>
    </row>
    <row r="8760" spans="7:7" x14ac:dyDescent="0.2">
      <c r="G8760" s="7"/>
    </row>
    <row r="8761" spans="7:7" x14ac:dyDescent="0.2">
      <c r="G8761" s="7"/>
    </row>
    <row r="8762" spans="7:7" x14ac:dyDescent="0.2">
      <c r="G8762" s="7"/>
    </row>
    <row r="8763" spans="7:7" x14ac:dyDescent="0.2">
      <c r="G8763" s="7"/>
    </row>
    <row r="8764" spans="7:7" x14ac:dyDescent="0.2">
      <c r="G8764" s="7"/>
    </row>
    <row r="8765" spans="7:7" x14ac:dyDescent="0.2">
      <c r="G8765" s="7"/>
    </row>
    <row r="8766" spans="7:7" x14ac:dyDescent="0.2">
      <c r="G8766" s="7"/>
    </row>
    <row r="8767" spans="7:7" x14ac:dyDescent="0.2">
      <c r="G8767" s="7"/>
    </row>
    <row r="8768" spans="7:7" x14ac:dyDescent="0.2">
      <c r="G8768" s="7"/>
    </row>
    <row r="8769" spans="7:7" x14ac:dyDescent="0.2">
      <c r="G8769" s="7"/>
    </row>
    <row r="8770" spans="7:7" x14ac:dyDescent="0.2">
      <c r="G8770" s="7"/>
    </row>
    <row r="8771" spans="7:7" x14ac:dyDescent="0.2">
      <c r="G8771" s="7"/>
    </row>
    <row r="8772" spans="7:7" x14ac:dyDescent="0.2">
      <c r="G8772" s="7"/>
    </row>
    <row r="8773" spans="7:7" x14ac:dyDescent="0.2">
      <c r="G8773" s="7"/>
    </row>
    <row r="8774" spans="7:7" x14ac:dyDescent="0.2">
      <c r="G8774" s="7"/>
    </row>
    <row r="8775" spans="7:7" x14ac:dyDescent="0.2">
      <c r="G8775" s="7"/>
    </row>
    <row r="8776" spans="7:7" x14ac:dyDescent="0.2">
      <c r="G8776" s="7"/>
    </row>
    <row r="8777" spans="7:7" x14ac:dyDescent="0.2">
      <c r="G8777" s="7"/>
    </row>
    <row r="8778" spans="7:7" x14ac:dyDescent="0.2">
      <c r="G8778" s="7"/>
    </row>
    <row r="8779" spans="7:7" x14ac:dyDescent="0.2">
      <c r="G8779" s="7"/>
    </row>
    <row r="8780" spans="7:7" x14ac:dyDescent="0.2">
      <c r="G8780" s="7"/>
    </row>
    <row r="8781" spans="7:7" x14ac:dyDescent="0.2">
      <c r="G8781" s="7"/>
    </row>
    <row r="8782" spans="7:7" x14ac:dyDescent="0.2">
      <c r="G8782" s="7"/>
    </row>
    <row r="8783" spans="7:7" x14ac:dyDescent="0.2">
      <c r="G8783" s="7"/>
    </row>
    <row r="8784" spans="7:7" x14ac:dyDescent="0.2">
      <c r="G8784" s="7"/>
    </row>
    <row r="8785" spans="7:7" x14ac:dyDescent="0.2">
      <c r="G8785" s="7"/>
    </row>
    <row r="8786" spans="7:7" x14ac:dyDescent="0.2">
      <c r="G8786" s="7"/>
    </row>
    <row r="8787" spans="7:7" x14ac:dyDescent="0.2">
      <c r="G8787" s="7"/>
    </row>
    <row r="8788" spans="7:7" x14ac:dyDescent="0.2">
      <c r="G8788" s="7"/>
    </row>
    <row r="8789" spans="7:7" x14ac:dyDescent="0.2">
      <c r="G8789" s="7"/>
    </row>
    <row r="8790" spans="7:7" x14ac:dyDescent="0.2">
      <c r="G8790" s="7"/>
    </row>
    <row r="8791" spans="7:7" x14ac:dyDescent="0.2">
      <c r="G8791" s="7"/>
    </row>
    <row r="8792" spans="7:7" x14ac:dyDescent="0.2">
      <c r="G8792" s="7"/>
    </row>
    <row r="8793" spans="7:7" x14ac:dyDescent="0.2">
      <c r="G8793" s="7"/>
    </row>
    <row r="8794" spans="7:7" x14ac:dyDescent="0.2">
      <c r="G8794" s="7"/>
    </row>
    <row r="8795" spans="7:7" x14ac:dyDescent="0.2">
      <c r="G8795" s="7"/>
    </row>
    <row r="8796" spans="7:7" x14ac:dyDescent="0.2">
      <c r="G8796" s="7"/>
    </row>
    <row r="8797" spans="7:7" x14ac:dyDescent="0.2">
      <c r="G8797" s="7"/>
    </row>
    <row r="8798" spans="7:7" x14ac:dyDescent="0.2">
      <c r="G8798" s="7"/>
    </row>
    <row r="8799" spans="7:7" x14ac:dyDescent="0.2">
      <c r="G8799" s="7"/>
    </row>
    <row r="8800" spans="7:7" x14ac:dyDescent="0.2">
      <c r="G8800" s="7"/>
    </row>
    <row r="8801" spans="7:7" x14ac:dyDescent="0.2">
      <c r="G8801" s="7"/>
    </row>
    <row r="8802" spans="7:7" x14ac:dyDescent="0.2">
      <c r="G8802" s="7"/>
    </row>
    <row r="8803" spans="7:7" x14ac:dyDescent="0.2">
      <c r="G8803" s="7"/>
    </row>
    <row r="8804" spans="7:7" x14ac:dyDescent="0.2">
      <c r="G8804" s="7"/>
    </row>
    <row r="8805" spans="7:7" x14ac:dyDescent="0.2">
      <c r="G8805" s="7"/>
    </row>
    <row r="8806" spans="7:7" x14ac:dyDescent="0.2">
      <c r="G8806" s="7"/>
    </row>
    <row r="8807" spans="7:7" x14ac:dyDescent="0.2">
      <c r="G8807" s="7"/>
    </row>
    <row r="8808" spans="7:7" x14ac:dyDescent="0.2">
      <c r="G8808" s="7"/>
    </row>
    <row r="8809" spans="7:7" x14ac:dyDescent="0.2">
      <c r="G8809" s="7"/>
    </row>
    <row r="8810" spans="7:7" x14ac:dyDescent="0.2">
      <c r="G8810" s="7"/>
    </row>
    <row r="8811" spans="7:7" x14ac:dyDescent="0.2">
      <c r="G8811" s="7"/>
    </row>
    <row r="8812" spans="7:7" x14ac:dyDescent="0.2">
      <c r="G8812" s="7"/>
    </row>
    <row r="8813" spans="7:7" x14ac:dyDescent="0.2">
      <c r="G8813" s="7"/>
    </row>
    <row r="8814" spans="7:7" x14ac:dyDescent="0.2">
      <c r="G8814" s="7"/>
    </row>
    <row r="8815" spans="7:7" x14ac:dyDescent="0.2">
      <c r="G8815" s="7"/>
    </row>
    <row r="8816" spans="7:7" x14ac:dyDescent="0.2">
      <c r="G8816" s="7"/>
    </row>
    <row r="8817" spans="7:7" x14ac:dyDescent="0.2">
      <c r="G8817" s="7"/>
    </row>
    <row r="8818" spans="7:7" x14ac:dyDescent="0.2">
      <c r="G8818" s="7"/>
    </row>
    <row r="8819" spans="7:7" x14ac:dyDescent="0.2">
      <c r="G8819" s="7"/>
    </row>
    <row r="8820" spans="7:7" x14ac:dyDescent="0.2">
      <c r="G8820" s="7"/>
    </row>
    <row r="8821" spans="7:7" x14ac:dyDescent="0.2">
      <c r="G8821" s="7"/>
    </row>
    <row r="8822" spans="7:7" x14ac:dyDescent="0.2">
      <c r="G8822" s="7"/>
    </row>
    <row r="8823" spans="7:7" x14ac:dyDescent="0.2">
      <c r="G8823" s="7"/>
    </row>
    <row r="8824" spans="7:7" x14ac:dyDescent="0.2">
      <c r="G8824" s="7"/>
    </row>
    <row r="8825" spans="7:7" x14ac:dyDescent="0.2">
      <c r="G8825" s="7"/>
    </row>
    <row r="8826" spans="7:7" x14ac:dyDescent="0.2">
      <c r="G8826" s="7"/>
    </row>
    <row r="8827" spans="7:7" x14ac:dyDescent="0.2">
      <c r="G8827" s="7"/>
    </row>
    <row r="8828" spans="7:7" x14ac:dyDescent="0.2">
      <c r="G8828" s="7"/>
    </row>
    <row r="8829" spans="7:7" x14ac:dyDescent="0.2">
      <c r="G8829" s="7"/>
    </row>
    <row r="8830" spans="7:7" x14ac:dyDescent="0.2">
      <c r="G8830" s="7"/>
    </row>
    <row r="8831" spans="7:7" x14ac:dyDescent="0.2">
      <c r="G8831" s="7"/>
    </row>
    <row r="8832" spans="7:7" x14ac:dyDescent="0.2">
      <c r="G8832" s="7"/>
    </row>
    <row r="8833" spans="7:7" x14ac:dyDescent="0.2">
      <c r="G8833" s="7"/>
    </row>
    <row r="8834" spans="7:7" x14ac:dyDescent="0.2">
      <c r="G8834" s="7"/>
    </row>
    <row r="8835" spans="7:7" x14ac:dyDescent="0.2">
      <c r="G8835" s="7"/>
    </row>
    <row r="8836" spans="7:7" x14ac:dyDescent="0.2">
      <c r="G8836" s="7"/>
    </row>
    <row r="8837" spans="7:7" x14ac:dyDescent="0.2">
      <c r="G8837" s="7"/>
    </row>
    <row r="8838" spans="7:7" x14ac:dyDescent="0.2">
      <c r="G8838" s="7"/>
    </row>
    <row r="8839" spans="7:7" x14ac:dyDescent="0.2">
      <c r="G8839" s="7"/>
    </row>
    <row r="8840" spans="7:7" x14ac:dyDescent="0.2">
      <c r="G8840" s="7"/>
    </row>
    <row r="8841" spans="7:7" x14ac:dyDescent="0.2">
      <c r="G8841" s="7"/>
    </row>
    <row r="8842" spans="7:7" x14ac:dyDescent="0.2">
      <c r="G8842" s="7"/>
    </row>
    <row r="8843" spans="7:7" x14ac:dyDescent="0.2">
      <c r="G8843" s="7"/>
    </row>
    <row r="8844" spans="7:7" x14ac:dyDescent="0.2">
      <c r="G8844" s="7"/>
    </row>
    <row r="8845" spans="7:7" x14ac:dyDescent="0.2">
      <c r="G8845" s="7"/>
    </row>
    <row r="8846" spans="7:7" x14ac:dyDescent="0.2">
      <c r="G8846" s="7"/>
    </row>
    <row r="8847" spans="7:7" x14ac:dyDescent="0.2">
      <c r="G8847" s="7"/>
    </row>
    <row r="8848" spans="7:7" x14ac:dyDescent="0.2">
      <c r="G8848" s="7"/>
    </row>
    <row r="8849" spans="7:7" x14ac:dyDescent="0.2">
      <c r="G8849" s="7"/>
    </row>
    <row r="8850" spans="7:7" x14ac:dyDescent="0.2">
      <c r="G8850" s="7"/>
    </row>
    <row r="8851" spans="7:7" x14ac:dyDescent="0.2">
      <c r="G8851" s="7"/>
    </row>
    <row r="8852" spans="7:7" x14ac:dyDescent="0.2">
      <c r="G8852" s="7"/>
    </row>
    <row r="8853" spans="7:7" x14ac:dyDescent="0.2">
      <c r="G8853" s="7"/>
    </row>
    <row r="8854" spans="7:7" x14ac:dyDescent="0.2">
      <c r="G8854" s="7"/>
    </row>
    <row r="8855" spans="7:7" x14ac:dyDescent="0.2">
      <c r="G8855" s="7"/>
    </row>
    <row r="8856" spans="7:7" x14ac:dyDescent="0.2">
      <c r="G8856" s="7"/>
    </row>
    <row r="8857" spans="7:7" x14ac:dyDescent="0.2">
      <c r="G8857" s="7"/>
    </row>
    <row r="8858" spans="7:7" x14ac:dyDescent="0.2">
      <c r="G8858" s="7"/>
    </row>
    <row r="8859" spans="7:7" x14ac:dyDescent="0.2">
      <c r="G8859" s="7"/>
    </row>
    <row r="8860" spans="7:7" x14ac:dyDescent="0.2">
      <c r="G8860" s="7"/>
    </row>
    <row r="8861" spans="7:7" x14ac:dyDescent="0.2">
      <c r="G8861" s="7"/>
    </row>
    <row r="8862" spans="7:7" x14ac:dyDescent="0.2">
      <c r="G8862" s="7"/>
    </row>
    <row r="8863" spans="7:7" x14ac:dyDescent="0.2">
      <c r="G8863" s="7"/>
    </row>
    <row r="8864" spans="7:7" x14ac:dyDescent="0.2">
      <c r="G8864" s="7"/>
    </row>
    <row r="8865" spans="7:7" x14ac:dyDescent="0.2">
      <c r="G8865" s="7"/>
    </row>
    <row r="8866" spans="7:7" x14ac:dyDescent="0.2">
      <c r="G8866" s="7"/>
    </row>
    <row r="8867" spans="7:7" x14ac:dyDescent="0.2">
      <c r="G8867" s="7"/>
    </row>
    <row r="8868" spans="7:7" x14ac:dyDescent="0.2">
      <c r="G8868" s="7"/>
    </row>
    <row r="8869" spans="7:7" x14ac:dyDescent="0.2">
      <c r="G8869" s="7"/>
    </row>
    <row r="8870" spans="7:7" x14ac:dyDescent="0.2">
      <c r="G8870" s="7"/>
    </row>
    <row r="8871" spans="7:7" x14ac:dyDescent="0.2">
      <c r="G8871" s="7"/>
    </row>
    <row r="8872" spans="7:7" x14ac:dyDescent="0.2">
      <c r="G8872" s="7"/>
    </row>
    <row r="8873" spans="7:7" x14ac:dyDescent="0.2">
      <c r="G8873" s="7"/>
    </row>
    <row r="8874" spans="7:7" x14ac:dyDescent="0.2">
      <c r="G8874" s="7"/>
    </row>
    <row r="8875" spans="7:7" x14ac:dyDescent="0.2">
      <c r="G8875" s="7"/>
    </row>
    <row r="8876" spans="7:7" x14ac:dyDescent="0.2">
      <c r="G8876" s="7"/>
    </row>
    <row r="8877" spans="7:7" x14ac:dyDescent="0.2">
      <c r="G8877" s="7"/>
    </row>
    <row r="8878" spans="7:7" x14ac:dyDescent="0.2">
      <c r="G8878" s="7"/>
    </row>
    <row r="8879" spans="7:7" x14ac:dyDescent="0.2">
      <c r="G8879" s="7"/>
    </row>
    <row r="8880" spans="7:7" x14ac:dyDescent="0.2">
      <c r="G8880" s="7"/>
    </row>
    <row r="8881" spans="7:7" x14ac:dyDescent="0.2">
      <c r="G8881" s="7"/>
    </row>
    <row r="8882" spans="7:7" x14ac:dyDescent="0.2">
      <c r="G8882" s="7"/>
    </row>
    <row r="8883" spans="7:7" x14ac:dyDescent="0.2">
      <c r="G8883" s="7"/>
    </row>
    <row r="8884" spans="7:7" x14ac:dyDescent="0.2">
      <c r="G8884" s="7"/>
    </row>
    <row r="8885" spans="7:7" x14ac:dyDescent="0.2">
      <c r="G8885" s="7"/>
    </row>
    <row r="8886" spans="7:7" x14ac:dyDescent="0.2">
      <c r="G8886" s="7"/>
    </row>
    <row r="8887" spans="7:7" x14ac:dyDescent="0.2">
      <c r="G8887" s="7"/>
    </row>
    <row r="8888" spans="7:7" x14ac:dyDescent="0.2">
      <c r="G8888" s="7"/>
    </row>
    <row r="8889" spans="7:7" x14ac:dyDescent="0.2">
      <c r="G8889" s="7"/>
    </row>
    <row r="8890" spans="7:7" x14ac:dyDescent="0.2">
      <c r="G8890" s="7"/>
    </row>
    <row r="8891" spans="7:7" x14ac:dyDescent="0.2">
      <c r="G8891" s="7"/>
    </row>
    <row r="8892" spans="7:7" x14ac:dyDescent="0.2">
      <c r="G8892" s="7"/>
    </row>
    <row r="8893" spans="7:7" x14ac:dyDescent="0.2">
      <c r="G8893" s="7"/>
    </row>
    <row r="8894" spans="7:7" x14ac:dyDescent="0.2">
      <c r="G8894" s="7"/>
    </row>
    <row r="8895" spans="7:7" x14ac:dyDescent="0.2">
      <c r="G8895" s="7"/>
    </row>
    <row r="8896" spans="7:7" x14ac:dyDescent="0.2">
      <c r="G8896" s="7"/>
    </row>
    <row r="8897" spans="7:7" x14ac:dyDescent="0.2">
      <c r="G8897" s="7"/>
    </row>
    <row r="8898" spans="7:7" x14ac:dyDescent="0.2">
      <c r="G8898" s="7"/>
    </row>
    <row r="8899" spans="7:7" x14ac:dyDescent="0.2">
      <c r="G8899" s="7"/>
    </row>
    <row r="8900" spans="7:7" x14ac:dyDescent="0.2">
      <c r="G8900" s="7"/>
    </row>
    <row r="8901" spans="7:7" x14ac:dyDescent="0.2">
      <c r="G8901" s="7"/>
    </row>
    <row r="8902" spans="7:7" x14ac:dyDescent="0.2">
      <c r="G8902" s="7"/>
    </row>
    <row r="8903" spans="7:7" x14ac:dyDescent="0.2">
      <c r="G8903" s="7"/>
    </row>
    <row r="8904" spans="7:7" x14ac:dyDescent="0.2">
      <c r="G8904" s="7"/>
    </row>
    <row r="8905" spans="7:7" x14ac:dyDescent="0.2">
      <c r="G8905" s="7"/>
    </row>
    <row r="8906" spans="7:7" x14ac:dyDescent="0.2">
      <c r="G8906" s="7"/>
    </row>
    <row r="8907" spans="7:7" x14ac:dyDescent="0.2">
      <c r="G8907" s="7"/>
    </row>
    <row r="8908" spans="7:7" x14ac:dyDescent="0.2">
      <c r="G8908" s="7"/>
    </row>
    <row r="8909" spans="7:7" x14ac:dyDescent="0.2">
      <c r="G8909" s="7"/>
    </row>
    <row r="8910" spans="7:7" x14ac:dyDescent="0.2">
      <c r="G8910" s="7"/>
    </row>
    <row r="8911" spans="7:7" x14ac:dyDescent="0.2">
      <c r="G8911" s="7"/>
    </row>
    <row r="8912" spans="7:7" x14ac:dyDescent="0.2">
      <c r="G8912" s="7"/>
    </row>
    <row r="8913" spans="7:7" x14ac:dyDescent="0.2">
      <c r="G8913" s="7"/>
    </row>
    <row r="8914" spans="7:7" x14ac:dyDescent="0.2">
      <c r="G8914" s="7"/>
    </row>
    <row r="8915" spans="7:7" x14ac:dyDescent="0.2">
      <c r="G8915" s="7"/>
    </row>
    <row r="8916" spans="7:7" x14ac:dyDescent="0.2">
      <c r="G8916" s="7"/>
    </row>
    <row r="8917" spans="7:7" x14ac:dyDescent="0.2">
      <c r="G8917" s="7"/>
    </row>
    <row r="8918" spans="7:7" x14ac:dyDescent="0.2">
      <c r="G8918" s="7"/>
    </row>
    <row r="8919" spans="7:7" x14ac:dyDescent="0.2">
      <c r="G8919" s="7"/>
    </row>
    <row r="8920" spans="7:7" x14ac:dyDescent="0.2">
      <c r="G8920" s="7"/>
    </row>
    <row r="8921" spans="7:7" x14ac:dyDescent="0.2">
      <c r="G8921" s="7"/>
    </row>
    <row r="8922" spans="7:7" x14ac:dyDescent="0.2">
      <c r="G8922" s="7"/>
    </row>
    <row r="8923" spans="7:7" x14ac:dyDescent="0.2">
      <c r="G8923" s="7"/>
    </row>
    <row r="8924" spans="7:7" x14ac:dyDescent="0.2">
      <c r="G8924" s="7"/>
    </row>
    <row r="8925" spans="7:7" x14ac:dyDescent="0.2">
      <c r="G8925" s="7"/>
    </row>
    <row r="8926" spans="7:7" x14ac:dyDescent="0.2">
      <c r="G8926" s="7"/>
    </row>
    <row r="8927" spans="7:7" x14ac:dyDescent="0.2">
      <c r="G8927" s="7"/>
    </row>
    <row r="8928" spans="7:7" x14ac:dyDescent="0.2">
      <c r="G8928" s="7"/>
    </row>
    <row r="8929" spans="7:7" x14ac:dyDescent="0.2">
      <c r="G8929" s="7"/>
    </row>
    <row r="8930" spans="7:7" x14ac:dyDescent="0.2">
      <c r="G8930" s="7"/>
    </row>
    <row r="8931" spans="7:7" x14ac:dyDescent="0.2">
      <c r="G8931" s="7"/>
    </row>
    <row r="8932" spans="7:7" x14ac:dyDescent="0.2">
      <c r="G8932" s="7"/>
    </row>
    <row r="8933" spans="7:7" x14ac:dyDescent="0.2">
      <c r="G8933" s="7"/>
    </row>
    <row r="8934" spans="7:7" x14ac:dyDescent="0.2">
      <c r="G8934" s="7"/>
    </row>
    <row r="8935" spans="7:7" x14ac:dyDescent="0.2">
      <c r="G8935" s="7"/>
    </row>
    <row r="8936" spans="7:7" x14ac:dyDescent="0.2">
      <c r="G8936" s="7"/>
    </row>
    <row r="8937" spans="7:7" x14ac:dyDescent="0.2">
      <c r="G8937" s="7"/>
    </row>
    <row r="8938" spans="7:7" x14ac:dyDescent="0.2">
      <c r="G8938" s="7"/>
    </row>
    <row r="8939" spans="7:7" x14ac:dyDescent="0.2">
      <c r="G8939" s="7"/>
    </row>
    <row r="8940" spans="7:7" x14ac:dyDescent="0.2">
      <c r="G8940" s="7"/>
    </row>
    <row r="8941" spans="7:7" x14ac:dyDescent="0.2">
      <c r="G8941" s="7"/>
    </row>
    <row r="8942" spans="7:7" x14ac:dyDescent="0.2">
      <c r="G8942" s="7"/>
    </row>
    <row r="8943" spans="7:7" x14ac:dyDescent="0.2">
      <c r="G8943" s="7"/>
    </row>
    <row r="8944" spans="7:7" x14ac:dyDescent="0.2">
      <c r="G8944" s="7"/>
    </row>
    <row r="8945" spans="7:7" x14ac:dyDescent="0.2">
      <c r="G8945" s="7"/>
    </row>
    <row r="8946" spans="7:7" x14ac:dyDescent="0.2">
      <c r="G8946" s="7"/>
    </row>
    <row r="8947" spans="7:7" x14ac:dyDescent="0.2">
      <c r="G8947" s="7"/>
    </row>
    <row r="8948" spans="7:7" x14ac:dyDescent="0.2">
      <c r="G8948" s="7"/>
    </row>
    <row r="8949" spans="7:7" x14ac:dyDescent="0.2">
      <c r="G8949" s="7"/>
    </row>
    <row r="8950" spans="7:7" x14ac:dyDescent="0.2">
      <c r="G8950" s="7"/>
    </row>
    <row r="8951" spans="7:7" x14ac:dyDescent="0.2">
      <c r="G8951" s="7"/>
    </row>
    <row r="8952" spans="7:7" x14ac:dyDescent="0.2">
      <c r="G8952" s="7"/>
    </row>
    <row r="8953" spans="7:7" x14ac:dyDescent="0.2">
      <c r="G8953" s="7"/>
    </row>
    <row r="8954" spans="7:7" x14ac:dyDescent="0.2">
      <c r="G8954" s="7"/>
    </row>
    <row r="8955" spans="7:7" x14ac:dyDescent="0.2">
      <c r="G8955" s="7"/>
    </row>
    <row r="8956" spans="7:7" x14ac:dyDescent="0.2">
      <c r="G8956" s="7"/>
    </row>
    <row r="8957" spans="7:7" x14ac:dyDescent="0.2">
      <c r="G8957" s="7"/>
    </row>
    <row r="8958" spans="7:7" x14ac:dyDescent="0.2">
      <c r="G8958" s="7"/>
    </row>
    <row r="8959" spans="7:7" x14ac:dyDescent="0.2">
      <c r="G8959" s="7"/>
    </row>
    <row r="8960" spans="7:7" x14ac:dyDescent="0.2">
      <c r="G8960" s="7"/>
    </row>
    <row r="8961" spans="7:7" x14ac:dyDescent="0.2">
      <c r="G8961" s="7"/>
    </row>
    <row r="8962" spans="7:7" x14ac:dyDescent="0.2">
      <c r="G8962" s="7"/>
    </row>
    <row r="8963" spans="7:7" x14ac:dyDescent="0.2">
      <c r="G8963" s="7"/>
    </row>
    <row r="8964" spans="7:7" x14ac:dyDescent="0.2">
      <c r="G8964" s="7"/>
    </row>
    <row r="8965" spans="7:7" x14ac:dyDescent="0.2">
      <c r="G8965" s="7"/>
    </row>
    <row r="8966" spans="7:7" x14ac:dyDescent="0.2">
      <c r="G8966" s="7"/>
    </row>
    <row r="8967" spans="7:7" x14ac:dyDescent="0.2">
      <c r="G8967" s="7"/>
    </row>
    <row r="8968" spans="7:7" x14ac:dyDescent="0.2">
      <c r="G8968" s="7"/>
    </row>
    <row r="8969" spans="7:7" x14ac:dyDescent="0.2">
      <c r="G8969" s="7"/>
    </row>
    <row r="8970" spans="7:7" x14ac:dyDescent="0.2">
      <c r="G8970" s="7"/>
    </row>
    <row r="8971" spans="7:7" x14ac:dyDescent="0.2">
      <c r="G8971" s="7"/>
    </row>
    <row r="8972" spans="7:7" x14ac:dyDescent="0.2">
      <c r="G8972" s="7"/>
    </row>
    <row r="8973" spans="7:7" x14ac:dyDescent="0.2">
      <c r="G8973" s="7"/>
    </row>
    <row r="8974" spans="7:7" x14ac:dyDescent="0.2">
      <c r="G8974" s="7"/>
    </row>
    <row r="8975" spans="7:7" x14ac:dyDescent="0.2">
      <c r="G8975" s="7"/>
    </row>
    <row r="8976" spans="7:7" x14ac:dyDescent="0.2">
      <c r="G8976" s="7"/>
    </row>
    <row r="8977" spans="7:7" x14ac:dyDescent="0.2">
      <c r="G8977" s="7"/>
    </row>
    <row r="8978" spans="7:7" x14ac:dyDescent="0.2">
      <c r="G8978" s="7"/>
    </row>
    <row r="8979" spans="7:7" x14ac:dyDescent="0.2">
      <c r="G8979" s="7"/>
    </row>
    <row r="8980" spans="7:7" x14ac:dyDescent="0.2">
      <c r="G8980" s="7"/>
    </row>
    <row r="8981" spans="7:7" x14ac:dyDescent="0.2">
      <c r="G8981" s="7"/>
    </row>
    <row r="8982" spans="7:7" x14ac:dyDescent="0.2">
      <c r="G8982" s="7"/>
    </row>
    <row r="8983" spans="7:7" x14ac:dyDescent="0.2">
      <c r="G8983" s="7"/>
    </row>
    <row r="8984" spans="7:7" x14ac:dyDescent="0.2">
      <c r="G8984" s="7"/>
    </row>
    <row r="8985" spans="7:7" x14ac:dyDescent="0.2">
      <c r="G8985" s="7"/>
    </row>
    <row r="8986" spans="7:7" x14ac:dyDescent="0.2">
      <c r="G8986" s="7"/>
    </row>
    <row r="8987" spans="7:7" x14ac:dyDescent="0.2">
      <c r="G8987" s="7"/>
    </row>
    <row r="8988" spans="7:7" x14ac:dyDescent="0.2">
      <c r="G8988" s="7"/>
    </row>
    <row r="8989" spans="7:7" x14ac:dyDescent="0.2">
      <c r="G8989" s="7"/>
    </row>
    <row r="8990" spans="7:7" x14ac:dyDescent="0.2">
      <c r="G8990" s="7"/>
    </row>
    <row r="8991" spans="7:7" x14ac:dyDescent="0.2">
      <c r="G8991" s="7"/>
    </row>
    <row r="8992" spans="7:7" x14ac:dyDescent="0.2">
      <c r="G8992" s="7"/>
    </row>
    <row r="8993" spans="7:7" x14ac:dyDescent="0.2">
      <c r="G8993" s="7"/>
    </row>
    <row r="8994" spans="7:7" x14ac:dyDescent="0.2">
      <c r="G8994" s="7"/>
    </row>
    <row r="8995" spans="7:7" x14ac:dyDescent="0.2">
      <c r="G8995" s="7"/>
    </row>
    <row r="8996" spans="7:7" x14ac:dyDescent="0.2">
      <c r="G8996" s="7"/>
    </row>
    <row r="8997" spans="7:7" x14ac:dyDescent="0.2">
      <c r="G8997" s="7"/>
    </row>
    <row r="8998" spans="7:7" x14ac:dyDescent="0.2">
      <c r="G8998" s="7"/>
    </row>
    <row r="8999" spans="7:7" x14ac:dyDescent="0.2">
      <c r="G8999" s="7"/>
    </row>
    <row r="9000" spans="7:7" x14ac:dyDescent="0.2">
      <c r="G9000" s="7"/>
    </row>
    <row r="9001" spans="7:7" x14ac:dyDescent="0.2">
      <c r="G9001" s="7"/>
    </row>
    <row r="9002" spans="7:7" x14ac:dyDescent="0.2">
      <c r="G9002" s="7"/>
    </row>
    <row r="9003" spans="7:7" x14ac:dyDescent="0.2">
      <c r="G9003" s="7"/>
    </row>
    <row r="9004" spans="7:7" x14ac:dyDescent="0.2">
      <c r="G9004" s="7"/>
    </row>
    <row r="9005" spans="7:7" x14ac:dyDescent="0.2">
      <c r="G9005" s="7"/>
    </row>
    <row r="9006" spans="7:7" x14ac:dyDescent="0.2">
      <c r="G9006" s="7"/>
    </row>
    <row r="9007" spans="7:7" x14ac:dyDescent="0.2">
      <c r="G9007" s="7"/>
    </row>
    <row r="9008" spans="7:7" x14ac:dyDescent="0.2">
      <c r="G9008" s="7"/>
    </row>
    <row r="9009" spans="7:7" x14ac:dyDescent="0.2">
      <c r="G9009" s="7"/>
    </row>
    <row r="9010" spans="7:7" x14ac:dyDescent="0.2">
      <c r="G9010" s="7"/>
    </row>
    <row r="9011" spans="7:7" x14ac:dyDescent="0.2">
      <c r="G9011" s="7"/>
    </row>
    <row r="9012" spans="7:7" x14ac:dyDescent="0.2">
      <c r="G9012" s="7"/>
    </row>
    <row r="9013" spans="7:7" x14ac:dyDescent="0.2">
      <c r="G9013" s="7"/>
    </row>
    <row r="9014" spans="7:7" x14ac:dyDescent="0.2">
      <c r="G9014" s="7"/>
    </row>
    <row r="9015" spans="7:7" x14ac:dyDescent="0.2">
      <c r="G9015" s="7"/>
    </row>
    <row r="9016" spans="7:7" x14ac:dyDescent="0.2">
      <c r="G9016" s="7"/>
    </row>
    <row r="9017" spans="7:7" x14ac:dyDescent="0.2">
      <c r="G9017" s="7"/>
    </row>
    <row r="9018" spans="7:7" x14ac:dyDescent="0.2">
      <c r="G9018" s="7"/>
    </row>
    <row r="9019" spans="7:7" x14ac:dyDescent="0.2">
      <c r="G9019" s="7"/>
    </row>
    <row r="9020" spans="7:7" x14ac:dyDescent="0.2">
      <c r="G9020" s="7"/>
    </row>
    <row r="9021" spans="7:7" x14ac:dyDescent="0.2">
      <c r="G9021" s="7"/>
    </row>
    <row r="9022" spans="7:7" x14ac:dyDescent="0.2">
      <c r="G9022" s="7"/>
    </row>
    <row r="9023" spans="7:7" x14ac:dyDescent="0.2">
      <c r="G9023" s="7"/>
    </row>
    <row r="9024" spans="7:7" x14ac:dyDescent="0.2">
      <c r="G9024" s="7"/>
    </row>
    <row r="9025" spans="7:7" x14ac:dyDescent="0.2">
      <c r="G9025" s="7"/>
    </row>
    <row r="9026" spans="7:7" x14ac:dyDescent="0.2">
      <c r="G9026" s="7"/>
    </row>
    <row r="9027" spans="7:7" x14ac:dyDescent="0.2">
      <c r="G9027" s="7"/>
    </row>
    <row r="9028" spans="7:7" x14ac:dyDescent="0.2">
      <c r="G9028" s="7"/>
    </row>
    <row r="9029" spans="7:7" x14ac:dyDescent="0.2">
      <c r="G9029" s="7"/>
    </row>
    <row r="9030" spans="7:7" x14ac:dyDescent="0.2">
      <c r="G9030" s="7"/>
    </row>
    <row r="9031" spans="7:7" x14ac:dyDescent="0.2">
      <c r="G9031" s="7"/>
    </row>
    <row r="9032" spans="7:7" x14ac:dyDescent="0.2">
      <c r="G9032" s="7"/>
    </row>
    <row r="9033" spans="7:7" x14ac:dyDescent="0.2">
      <c r="G9033" s="7"/>
    </row>
    <row r="9034" spans="7:7" x14ac:dyDescent="0.2">
      <c r="G9034" s="7"/>
    </row>
    <row r="9035" spans="7:7" x14ac:dyDescent="0.2">
      <c r="G9035" s="7"/>
    </row>
    <row r="9036" spans="7:7" x14ac:dyDescent="0.2">
      <c r="G9036" s="7"/>
    </row>
    <row r="9037" spans="7:7" x14ac:dyDescent="0.2">
      <c r="G9037" s="7"/>
    </row>
    <row r="9038" spans="7:7" x14ac:dyDescent="0.2">
      <c r="G9038" s="7"/>
    </row>
    <row r="9039" spans="7:7" x14ac:dyDescent="0.2">
      <c r="G9039" s="7"/>
    </row>
    <row r="9040" spans="7:7" x14ac:dyDescent="0.2">
      <c r="G9040" s="7"/>
    </row>
    <row r="9041" spans="7:7" x14ac:dyDescent="0.2">
      <c r="G9041" s="7"/>
    </row>
    <row r="9042" spans="7:7" x14ac:dyDescent="0.2">
      <c r="G9042" s="7"/>
    </row>
    <row r="9043" spans="7:7" x14ac:dyDescent="0.2">
      <c r="G9043" s="7"/>
    </row>
    <row r="9044" spans="7:7" x14ac:dyDescent="0.2">
      <c r="G9044" s="7"/>
    </row>
    <row r="9045" spans="7:7" x14ac:dyDescent="0.2">
      <c r="G9045" s="7"/>
    </row>
    <row r="9046" spans="7:7" x14ac:dyDescent="0.2">
      <c r="G9046" s="7"/>
    </row>
    <row r="9047" spans="7:7" x14ac:dyDescent="0.2">
      <c r="G9047" s="7"/>
    </row>
    <row r="9048" spans="7:7" x14ac:dyDescent="0.2">
      <c r="G9048" s="7"/>
    </row>
    <row r="9049" spans="7:7" x14ac:dyDescent="0.2">
      <c r="G9049" s="7"/>
    </row>
    <row r="9050" spans="7:7" x14ac:dyDescent="0.2">
      <c r="G9050" s="7"/>
    </row>
    <row r="9051" spans="7:7" x14ac:dyDescent="0.2">
      <c r="G9051" s="7"/>
    </row>
    <row r="9052" spans="7:7" x14ac:dyDescent="0.2">
      <c r="G9052" s="7"/>
    </row>
    <row r="9053" spans="7:7" x14ac:dyDescent="0.2">
      <c r="G9053" s="7"/>
    </row>
    <row r="9054" spans="7:7" x14ac:dyDescent="0.2">
      <c r="G9054" s="7"/>
    </row>
    <row r="9055" spans="7:7" x14ac:dyDescent="0.2">
      <c r="G9055" s="7"/>
    </row>
    <row r="9056" spans="7:7" x14ac:dyDescent="0.2">
      <c r="G9056" s="7"/>
    </row>
    <row r="9057" spans="7:7" x14ac:dyDescent="0.2">
      <c r="G9057" s="7"/>
    </row>
    <row r="9058" spans="7:7" x14ac:dyDescent="0.2">
      <c r="G9058" s="7"/>
    </row>
    <row r="9059" spans="7:7" x14ac:dyDescent="0.2">
      <c r="G9059" s="7"/>
    </row>
    <row r="9060" spans="7:7" x14ac:dyDescent="0.2">
      <c r="G9060" s="7"/>
    </row>
    <row r="9061" spans="7:7" x14ac:dyDescent="0.2">
      <c r="G9061" s="7"/>
    </row>
    <row r="9062" spans="7:7" x14ac:dyDescent="0.2">
      <c r="G9062" s="7"/>
    </row>
    <row r="9063" spans="7:7" x14ac:dyDescent="0.2">
      <c r="G9063" s="7"/>
    </row>
    <row r="9064" spans="7:7" x14ac:dyDescent="0.2">
      <c r="G9064" s="7"/>
    </row>
    <row r="9065" spans="7:7" x14ac:dyDescent="0.2">
      <c r="G9065" s="7"/>
    </row>
    <row r="9066" spans="7:7" x14ac:dyDescent="0.2">
      <c r="G9066" s="7"/>
    </row>
    <row r="9067" spans="7:7" x14ac:dyDescent="0.2">
      <c r="G9067" s="7"/>
    </row>
    <row r="9068" spans="7:7" x14ac:dyDescent="0.2">
      <c r="G9068" s="7"/>
    </row>
    <row r="9069" spans="7:7" x14ac:dyDescent="0.2">
      <c r="G9069" s="7"/>
    </row>
    <row r="9070" spans="7:7" x14ac:dyDescent="0.2">
      <c r="G9070" s="7"/>
    </row>
    <row r="9071" spans="7:7" x14ac:dyDescent="0.2">
      <c r="G9071" s="7"/>
    </row>
    <row r="9072" spans="7:7" x14ac:dyDescent="0.2">
      <c r="G9072" s="7"/>
    </row>
    <row r="9073" spans="7:7" x14ac:dyDescent="0.2">
      <c r="G9073" s="7"/>
    </row>
    <row r="9074" spans="7:7" x14ac:dyDescent="0.2">
      <c r="G9074" s="7"/>
    </row>
    <row r="9075" spans="7:7" x14ac:dyDescent="0.2">
      <c r="G9075" s="7"/>
    </row>
    <row r="9076" spans="7:7" x14ac:dyDescent="0.2">
      <c r="G9076" s="7"/>
    </row>
    <row r="9077" spans="7:7" x14ac:dyDescent="0.2">
      <c r="G9077" s="7"/>
    </row>
    <row r="9078" spans="7:7" x14ac:dyDescent="0.2">
      <c r="G9078" s="7"/>
    </row>
    <row r="9079" spans="7:7" x14ac:dyDescent="0.2">
      <c r="G9079" s="7"/>
    </row>
    <row r="9080" spans="7:7" x14ac:dyDescent="0.2">
      <c r="G9080" s="7"/>
    </row>
    <row r="9081" spans="7:7" x14ac:dyDescent="0.2">
      <c r="G9081" s="7"/>
    </row>
    <row r="9082" spans="7:7" x14ac:dyDescent="0.2">
      <c r="G9082" s="7"/>
    </row>
    <row r="9083" spans="7:7" x14ac:dyDescent="0.2">
      <c r="G9083" s="7"/>
    </row>
    <row r="9084" spans="7:7" x14ac:dyDescent="0.2">
      <c r="G9084" s="7"/>
    </row>
    <row r="9085" spans="7:7" x14ac:dyDescent="0.2">
      <c r="G9085" s="7"/>
    </row>
    <row r="9086" spans="7:7" x14ac:dyDescent="0.2">
      <c r="G9086" s="7"/>
    </row>
    <row r="9087" spans="7:7" x14ac:dyDescent="0.2">
      <c r="G9087" s="7"/>
    </row>
    <row r="9088" spans="7:7" x14ac:dyDescent="0.2">
      <c r="G9088" s="7"/>
    </row>
    <row r="9089" spans="7:7" x14ac:dyDescent="0.2">
      <c r="G9089" s="7"/>
    </row>
    <row r="9090" spans="7:7" x14ac:dyDescent="0.2">
      <c r="G9090" s="7"/>
    </row>
    <row r="9091" spans="7:7" x14ac:dyDescent="0.2">
      <c r="G9091" s="7"/>
    </row>
    <row r="9092" spans="7:7" x14ac:dyDescent="0.2">
      <c r="G9092" s="7"/>
    </row>
    <row r="9093" spans="7:7" x14ac:dyDescent="0.2">
      <c r="G9093" s="7"/>
    </row>
    <row r="9094" spans="7:7" x14ac:dyDescent="0.2">
      <c r="G9094" s="7"/>
    </row>
    <row r="9095" spans="7:7" x14ac:dyDescent="0.2">
      <c r="G9095" s="7"/>
    </row>
    <row r="9096" spans="7:7" x14ac:dyDescent="0.2">
      <c r="G9096" s="7"/>
    </row>
    <row r="9097" spans="7:7" x14ac:dyDescent="0.2">
      <c r="G9097" s="7"/>
    </row>
    <row r="9098" spans="7:7" x14ac:dyDescent="0.2">
      <c r="G9098" s="7"/>
    </row>
    <row r="9099" spans="7:7" x14ac:dyDescent="0.2">
      <c r="G9099" s="7"/>
    </row>
    <row r="9100" spans="7:7" x14ac:dyDescent="0.2">
      <c r="G9100" s="7"/>
    </row>
    <row r="9101" spans="7:7" x14ac:dyDescent="0.2">
      <c r="G9101" s="7"/>
    </row>
    <row r="9102" spans="7:7" x14ac:dyDescent="0.2">
      <c r="G9102" s="7"/>
    </row>
    <row r="9103" spans="7:7" x14ac:dyDescent="0.2">
      <c r="G9103" s="7"/>
    </row>
    <row r="9104" spans="7:7" x14ac:dyDescent="0.2">
      <c r="G9104" s="7"/>
    </row>
    <row r="9105" spans="7:7" x14ac:dyDescent="0.2">
      <c r="G9105" s="7"/>
    </row>
    <row r="9106" spans="7:7" x14ac:dyDescent="0.2">
      <c r="G9106" s="7"/>
    </row>
    <row r="9107" spans="7:7" x14ac:dyDescent="0.2">
      <c r="G9107" s="7"/>
    </row>
    <row r="9108" spans="7:7" x14ac:dyDescent="0.2">
      <c r="G9108" s="7"/>
    </row>
    <row r="9109" spans="7:7" x14ac:dyDescent="0.2">
      <c r="G9109" s="7"/>
    </row>
    <row r="9110" spans="7:7" x14ac:dyDescent="0.2">
      <c r="G9110" s="7"/>
    </row>
    <row r="9111" spans="7:7" x14ac:dyDescent="0.2">
      <c r="G9111" s="7"/>
    </row>
    <row r="9112" spans="7:7" x14ac:dyDescent="0.2">
      <c r="G9112" s="7"/>
    </row>
    <row r="9113" spans="7:7" x14ac:dyDescent="0.2">
      <c r="G9113" s="7"/>
    </row>
    <row r="9114" spans="7:7" x14ac:dyDescent="0.2">
      <c r="G9114" s="7"/>
    </row>
    <row r="9115" spans="7:7" x14ac:dyDescent="0.2">
      <c r="G9115" s="7"/>
    </row>
    <row r="9116" spans="7:7" x14ac:dyDescent="0.2">
      <c r="G9116" s="7"/>
    </row>
    <row r="9117" spans="7:7" x14ac:dyDescent="0.2">
      <c r="G9117" s="7"/>
    </row>
    <row r="9118" spans="7:7" x14ac:dyDescent="0.2">
      <c r="G9118" s="7"/>
    </row>
    <row r="9119" spans="7:7" x14ac:dyDescent="0.2">
      <c r="G9119" s="7"/>
    </row>
    <row r="9120" spans="7:7" x14ac:dyDescent="0.2">
      <c r="G9120" s="7"/>
    </row>
    <row r="9121" spans="7:7" x14ac:dyDescent="0.2">
      <c r="G9121" s="7"/>
    </row>
    <row r="9122" spans="7:7" x14ac:dyDescent="0.2">
      <c r="G9122" s="7"/>
    </row>
    <row r="9123" spans="7:7" x14ac:dyDescent="0.2">
      <c r="G9123" s="7"/>
    </row>
    <row r="9124" spans="7:7" x14ac:dyDescent="0.2">
      <c r="G9124" s="7"/>
    </row>
    <row r="9125" spans="7:7" x14ac:dyDescent="0.2">
      <c r="G9125" s="7"/>
    </row>
    <row r="9126" spans="7:7" x14ac:dyDescent="0.2">
      <c r="G9126" s="7"/>
    </row>
    <row r="9127" spans="7:7" x14ac:dyDescent="0.2">
      <c r="G9127" s="7"/>
    </row>
    <row r="9128" spans="7:7" x14ac:dyDescent="0.2">
      <c r="G9128" s="7"/>
    </row>
    <row r="9129" spans="7:7" x14ac:dyDescent="0.2">
      <c r="G9129" s="7"/>
    </row>
    <row r="9130" spans="7:7" x14ac:dyDescent="0.2">
      <c r="G9130" s="7"/>
    </row>
    <row r="9131" spans="7:7" x14ac:dyDescent="0.2">
      <c r="G9131" s="7"/>
    </row>
    <row r="9132" spans="7:7" x14ac:dyDescent="0.2">
      <c r="G9132" s="7"/>
    </row>
    <row r="9133" spans="7:7" x14ac:dyDescent="0.2">
      <c r="G9133" s="7"/>
    </row>
    <row r="9134" spans="7:7" x14ac:dyDescent="0.2">
      <c r="G9134" s="7"/>
    </row>
    <row r="9135" spans="7:7" x14ac:dyDescent="0.2">
      <c r="G9135" s="7"/>
    </row>
    <row r="9136" spans="7:7" x14ac:dyDescent="0.2">
      <c r="G9136" s="7"/>
    </row>
    <row r="9137" spans="7:7" x14ac:dyDescent="0.2">
      <c r="G9137" s="7"/>
    </row>
    <row r="9138" spans="7:7" x14ac:dyDescent="0.2">
      <c r="G9138" s="7"/>
    </row>
    <row r="9139" spans="7:7" x14ac:dyDescent="0.2">
      <c r="G9139" s="7"/>
    </row>
    <row r="9140" spans="7:7" x14ac:dyDescent="0.2">
      <c r="G9140" s="7"/>
    </row>
    <row r="9141" spans="7:7" x14ac:dyDescent="0.2">
      <c r="G9141" s="7"/>
    </row>
    <row r="9142" spans="7:7" x14ac:dyDescent="0.2">
      <c r="G9142" s="7"/>
    </row>
    <row r="9143" spans="7:7" x14ac:dyDescent="0.2">
      <c r="G9143" s="7"/>
    </row>
    <row r="9144" spans="7:7" x14ac:dyDescent="0.2">
      <c r="G9144" s="7"/>
    </row>
    <row r="9145" spans="7:7" x14ac:dyDescent="0.2">
      <c r="G9145" s="7"/>
    </row>
    <row r="9146" spans="7:7" x14ac:dyDescent="0.2">
      <c r="G9146" s="7"/>
    </row>
    <row r="9147" spans="7:7" x14ac:dyDescent="0.2">
      <c r="G9147" s="7"/>
    </row>
    <row r="9148" spans="7:7" x14ac:dyDescent="0.2">
      <c r="G9148" s="7"/>
    </row>
    <row r="9149" spans="7:7" x14ac:dyDescent="0.2">
      <c r="G9149" s="7"/>
    </row>
    <row r="9150" spans="7:7" x14ac:dyDescent="0.2">
      <c r="G9150" s="7"/>
    </row>
    <row r="9151" spans="7:7" x14ac:dyDescent="0.2">
      <c r="G9151" s="7"/>
    </row>
    <row r="9152" spans="7:7" x14ac:dyDescent="0.2">
      <c r="G9152" s="7"/>
    </row>
    <row r="9153" spans="7:7" x14ac:dyDescent="0.2">
      <c r="G9153" s="7"/>
    </row>
    <row r="9154" spans="7:7" x14ac:dyDescent="0.2">
      <c r="G9154" s="7"/>
    </row>
    <row r="9155" spans="7:7" x14ac:dyDescent="0.2">
      <c r="G9155" s="7"/>
    </row>
    <row r="9156" spans="7:7" x14ac:dyDescent="0.2">
      <c r="G9156" s="7"/>
    </row>
    <row r="9157" spans="7:7" x14ac:dyDescent="0.2">
      <c r="G9157" s="7"/>
    </row>
    <row r="9158" spans="7:7" x14ac:dyDescent="0.2">
      <c r="G9158" s="7"/>
    </row>
    <row r="9159" spans="7:7" x14ac:dyDescent="0.2">
      <c r="G9159" s="7"/>
    </row>
    <row r="9160" spans="7:7" x14ac:dyDescent="0.2">
      <c r="G9160" s="7"/>
    </row>
    <row r="9161" spans="7:7" x14ac:dyDescent="0.2">
      <c r="G9161" s="7"/>
    </row>
    <row r="9162" spans="7:7" x14ac:dyDescent="0.2">
      <c r="G9162" s="7"/>
    </row>
    <row r="9163" spans="7:7" x14ac:dyDescent="0.2">
      <c r="G9163" s="7"/>
    </row>
    <row r="9164" spans="7:7" x14ac:dyDescent="0.2">
      <c r="G9164" s="7"/>
    </row>
    <row r="9165" spans="7:7" x14ac:dyDescent="0.2">
      <c r="G9165" s="7"/>
    </row>
    <row r="9166" spans="7:7" x14ac:dyDescent="0.2">
      <c r="G9166" s="7"/>
    </row>
    <row r="9167" spans="7:7" x14ac:dyDescent="0.2">
      <c r="G9167" s="7"/>
    </row>
    <row r="9168" spans="7:7" x14ac:dyDescent="0.2">
      <c r="G9168" s="7"/>
    </row>
    <row r="9169" spans="7:7" x14ac:dyDescent="0.2">
      <c r="G9169" s="7"/>
    </row>
    <row r="9170" spans="7:7" x14ac:dyDescent="0.2">
      <c r="G9170" s="7"/>
    </row>
    <row r="9171" spans="7:7" x14ac:dyDescent="0.2">
      <c r="G9171" s="7"/>
    </row>
    <row r="9172" spans="7:7" x14ac:dyDescent="0.2">
      <c r="G9172" s="7"/>
    </row>
    <row r="9173" spans="7:7" x14ac:dyDescent="0.2">
      <c r="G9173" s="7"/>
    </row>
    <row r="9174" spans="7:7" x14ac:dyDescent="0.2">
      <c r="G9174" s="7"/>
    </row>
    <row r="9175" spans="7:7" x14ac:dyDescent="0.2">
      <c r="G9175" s="7"/>
    </row>
    <row r="9176" spans="7:7" x14ac:dyDescent="0.2">
      <c r="G9176" s="7"/>
    </row>
    <row r="9177" spans="7:7" x14ac:dyDescent="0.2">
      <c r="G9177" s="7"/>
    </row>
    <row r="9178" spans="7:7" x14ac:dyDescent="0.2">
      <c r="G9178" s="7"/>
    </row>
    <row r="9179" spans="7:7" x14ac:dyDescent="0.2">
      <c r="G9179" s="7"/>
    </row>
    <row r="9180" spans="7:7" x14ac:dyDescent="0.2">
      <c r="G9180" s="7"/>
    </row>
    <row r="9181" spans="7:7" x14ac:dyDescent="0.2">
      <c r="G9181" s="7"/>
    </row>
    <row r="9182" spans="7:7" x14ac:dyDescent="0.2">
      <c r="G9182" s="7"/>
    </row>
    <row r="9183" spans="7:7" x14ac:dyDescent="0.2">
      <c r="G9183" s="7"/>
    </row>
    <row r="9184" spans="7:7" x14ac:dyDescent="0.2">
      <c r="G9184" s="7"/>
    </row>
    <row r="9185" spans="7:7" x14ac:dyDescent="0.2">
      <c r="G9185" s="7"/>
    </row>
    <row r="9186" spans="7:7" x14ac:dyDescent="0.2">
      <c r="G9186" s="7"/>
    </row>
    <row r="9187" spans="7:7" x14ac:dyDescent="0.2">
      <c r="G9187" s="7"/>
    </row>
    <row r="9188" spans="7:7" x14ac:dyDescent="0.2">
      <c r="G9188" s="7"/>
    </row>
    <row r="9189" spans="7:7" x14ac:dyDescent="0.2">
      <c r="G9189" s="7"/>
    </row>
    <row r="9190" spans="7:7" x14ac:dyDescent="0.2">
      <c r="G9190" s="7"/>
    </row>
    <row r="9191" spans="7:7" x14ac:dyDescent="0.2">
      <c r="G9191" s="7"/>
    </row>
    <row r="9192" spans="7:7" x14ac:dyDescent="0.2">
      <c r="G9192" s="7"/>
    </row>
    <row r="9193" spans="7:7" x14ac:dyDescent="0.2">
      <c r="G9193" s="7"/>
    </row>
    <row r="9194" spans="7:7" x14ac:dyDescent="0.2">
      <c r="G9194" s="7"/>
    </row>
    <row r="9195" spans="7:7" x14ac:dyDescent="0.2">
      <c r="G9195" s="7"/>
    </row>
    <row r="9196" spans="7:7" x14ac:dyDescent="0.2">
      <c r="G9196" s="7"/>
    </row>
    <row r="9197" spans="7:7" x14ac:dyDescent="0.2">
      <c r="G9197" s="7"/>
    </row>
    <row r="9198" spans="7:7" x14ac:dyDescent="0.2">
      <c r="G9198" s="7"/>
    </row>
    <row r="9199" spans="7:7" x14ac:dyDescent="0.2">
      <c r="G9199" s="7"/>
    </row>
    <row r="9200" spans="7:7" x14ac:dyDescent="0.2">
      <c r="G9200" s="7"/>
    </row>
    <row r="9201" spans="7:7" x14ac:dyDescent="0.2">
      <c r="G9201" s="7"/>
    </row>
    <row r="9202" spans="7:7" x14ac:dyDescent="0.2">
      <c r="G9202" s="7"/>
    </row>
    <row r="9203" spans="7:7" x14ac:dyDescent="0.2">
      <c r="G9203" s="7"/>
    </row>
    <row r="9204" spans="7:7" x14ac:dyDescent="0.2">
      <c r="G9204" s="7"/>
    </row>
    <row r="9205" spans="7:7" x14ac:dyDescent="0.2">
      <c r="G9205" s="7"/>
    </row>
    <row r="9206" spans="7:7" x14ac:dyDescent="0.2">
      <c r="G9206" s="7"/>
    </row>
    <row r="9207" spans="7:7" x14ac:dyDescent="0.2">
      <c r="G9207" s="7"/>
    </row>
    <row r="9208" spans="7:7" x14ac:dyDescent="0.2">
      <c r="G9208" s="7"/>
    </row>
    <row r="9209" spans="7:7" x14ac:dyDescent="0.2">
      <c r="G9209" s="7"/>
    </row>
    <row r="9210" spans="7:7" x14ac:dyDescent="0.2">
      <c r="G9210" s="7"/>
    </row>
    <row r="9211" spans="7:7" x14ac:dyDescent="0.2">
      <c r="G9211" s="7"/>
    </row>
    <row r="9212" spans="7:7" x14ac:dyDescent="0.2">
      <c r="G9212" s="7"/>
    </row>
    <row r="9213" spans="7:7" x14ac:dyDescent="0.2">
      <c r="G9213" s="7"/>
    </row>
    <row r="9214" spans="7:7" x14ac:dyDescent="0.2">
      <c r="G9214" s="7"/>
    </row>
    <row r="9215" spans="7:7" x14ac:dyDescent="0.2">
      <c r="G9215" s="7"/>
    </row>
    <row r="9216" spans="7:7" x14ac:dyDescent="0.2">
      <c r="G9216" s="7"/>
    </row>
    <row r="9217" spans="7:7" x14ac:dyDescent="0.2">
      <c r="G9217" s="7"/>
    </row>
    <row r="9218" spans="7:7" x14ac:dyDescent="0.2">
      <c r="G9218" s="7"/>
    </row>
    <row r="9219" spans="7:7" x14ac:dyDescent="0.2">
      <c r="G9219" s="7"/>
    </row>
    <row r="9220" spans="7:7" x14ac:dyDescent="0.2">
      <c r="G9220" s="7"/>
    </row>
    <row r="9221" spans="7:7" x14ac:dyDescent="0.2">
      <c r="G9221" s="7"/>
    </row>
    <row r="9222" spans="7:7" x14ac:dyDescent="0.2">
      <c r="G9222" s="7"/>
    </row>
    <row r="9223" spans="7:7" x14ac:dyDescent="0.2">
      <c r="G9223" s="7"/>
    </row>
    <row r="9224" spans="7:7" x14ac:dyDescent="0.2">
      <c r="G9224" s="7"/>
    </row>
    <row r="9225" spans="7:7" x14ac:dyDescent="0.2">
      <c r="G9225" s="7"/>
    </row>
    <row r="9226" spans="7:7" x14ac:dyDescent="0.2">
      <c r="G9226" s="7"/>
    </row>
    <row r="9227" spans="7:7" x14ac:dyDescent="0.2">
      <c r="G9227" s="7"/>
    </row>
    <row r="9228" spans="7:7" x14ac:dyDescent="0.2">
      <c r="G9228" s="7"/>
    </row>
    <row r="9229" spans="7:7" x14ac:dyDescent="0.2">
      <c r="G9229" s="7"/>
    </row>
    <row r="9230" spans="7:7" x14ac:dyDescent="0.2">
      <c r="G9230" s="7"/>
    </row>
    <row r="9231" spans="7:7" x14ac:dyDescent="0.2">
      <c r="G9231" s="7"/>
    </row>
    <row r="9232" spans="7:7" x14ac:dyDescent="0.2">
      <c r="G9232" s="7"/>
    </row>
    <row r="9233" spans="7:7" x14ac:dyDescent="0.2">
      <c r="G9233" s="7"/>
    </row>
    <row r="9234" spans="7:7" x14ac:dyDescent="0.2">
      <c r="G9234" s="7"/>
    </row>
    <row r="9235" spans="7:7" x14ac:dyDescent="0.2">
      <c r="G9235" s="7"/>
    </row>
    <row r="9236" spans="7:7" x14ac:dyDescent="0.2">
      <c r="G9236" s="7"/>
    </row>
    <row r="9237" spans="7:7" x14ac:dyDescent="0.2">
      <c r="G9237" s="7"/>
    </row>
    <row r="9238" spans="7:7" x14ac:dyDescent="0.2">
      <c r="G9238" s="7"/>
    </row>
    <row r="9239" spans="7:7" x14ac:dyDescent="0.2">
      <c r="G9239" s="7"/>
    </row>
    <row r="9240" spans="7:7" x14ac:dyDescent="0.2">
      <c r="G9240" s="7"/>
    </row>
    <row r="9241" spans="7:7" x14ac:dyDescent="0.2">
      <c r="G9241" s="7"/>
    </row>
    <row r="9242" spans="7:7" x14ac:dyDescent="0.2">
      <c r="G9242" s="7"/>
    </row>
    <row r="9243" spans="7:7" x14ac:dyDescent="0.2">
      <c r="G9243" s="7"/>
    </row>
    <row r="9244" spans="7:7" x14ac:dyDescent="0.2">
      <c r="G9244" s="7"/>
    </row>
    <row r="9245" spans="7:7" x14ac:dyDescent="0.2">
      <c r="G9245" s="7"/>
    </row>
    <row r="9246" spans="7:7" x14ac:dyDescent="0.2">
      <c r="G9246" s="7"/>
    </row>
    <row r="9247" spans="7:7" x14ac:dyDescent="0.2">
      <c r="G9247" s="7"/>
    </row>
    <row r="9248" spans="7:7" x14ac:dyDescent="0.2">
      <c r="G9248" s="7"/>
    </row>
    <row r="9249" spans="7:7" x14ac:dyDescent="0.2">
      <c r="G9249" s="7"/>
    </row>
    <row r="9250" spans="7:7" x14ac:dyDescent="0.2">
      <c r="G9250" s="7"/>
    </row>
    <row r="9251" spans="7:7" x14ac:dyDescent="0.2">
      <c r="G9251" s="7"/>
    </row>
    <row r="9252" spans="7:7" x14ac:dyDescent="0.2">
      <c r="G9252" s="7"/>
    </row>
    <row r="9253" spans="7:7" x14ac:dyDescent="0.2">
      <c r="G9253" s="7"/>
    </row>
    <row r="9254" spans="7:7" x14ac:dyDescent="0.2">
      <c r="G9254" s="7"/>
    </row>
    <row r="9255" spans="7:7" x14ac:dyDescent="0.2">
      <c r="G9255" s="7"/>
    </row>
    <row r="9256" spans="7:7" x14ac:dyDescent="0.2">
      <c r="G9256" s="7"/>
    </row>
    <row r="9257" spans="7:7" x14ac:dyDescent="0.2">
      <c r="G9257" s="7"/>
    </row>
    <row r="9258" spans="7:7" x14ac:dyDescent="0.2">
      <c r="G9258" s="7"/>
    </row>
    <row r="9259" spans="7:7" x14ac:dyDescent="0.2">
      <c r="G9259" s="7"/>
    </row>
    <row r="9260" spans="7:7" x14ac:dyDescent="0.2">
      <c r="G9260" s="7"/>
    </row>
    <row r="9261" spans="7:7" x14ac:dyDescent="0.2">
      <c r="G9261" s="7"/>
    </row>
    <row r="9262" spans="7:7" x14ac:dyDescent="0.2">
      <c r="G9262" s="7"/>
    </row>
    <row r="9263" spans="7:7" x14ac:dyDescent="0.2">
      <c r="G9263" s="7"/>
    </row>
    <row r="9264" spans="7:7" x14ac:dyDescent="0.2">
      <c r="G9264" s="7"/>
    </row>
    <row r="9265" spans="7:7" x14ac:dyDescent="0.2">
      <c r="G9265" s="7"/>
    </row>
    <row r="9266" spans="7:7" x14ac:dyDescent="0.2">
      <c r="G9266" s="7"/>
    </row>
    <row r="9267" spans="7:7" x14ac:dyDescent="0.2">
      <c r="G9267" s="7"/>
    </row>
    <row r="9268" spans="7:7" x14ac:dyDescent="0.2">
      <c r="G9268" s="7"/>
    </row>
    <row r="9269" spans="7:7" x14ac:dyDescent="0.2">
      <c r="G9269" s="7"/>
    </row>
    <row r="9270" spans="7:7" x14ac:dyDescent="0.2">
      <c r="G9270" s="7"/>
    </row>
    <row r="9271" spans="7:7" x14ac:dyDescent="0.2">
      <c r="G9271" s="7"/>
    </row>
    <row r="9272" spans="7:7" x14ac:dyDescent="0.2">
      <c r="G9272" s="7"/>
    </row>
    <row r="9273" spans="7:7" x14ac:dyDescent="0.2">
      <c r="G9273" s="7"/>
    </row>
    <row r="9274" spans="7:7" x14ac:dyDescent="0.2">
      <c r="G9274" s="7"/>
    </row>
    <row r="9275" spans="7:7" x14ac:dyDescent="0.2">
      <c r="G9275" s="7"/>
    </row>
    <row r="9276" spans="7:7" x14ac:dyDescent="0.2">
      <c r="G9276" s="7"/>
    </row>
    <row r="9277" spans="7:7" x14ac:dyDescent="0.2">
      <c r="G9277" s="7"/>
    </row>
    <row r="9278" spans="7:7" x14ac:dyDescent="0.2">
      <c r="G9278" s="7"/>
    </row>
    <row r="9279" spans="7:7" x14ac:dyDescent="0.2">
      <c r="G9279" s="7"/>
    </row>
    <row r="9280" spans="7:7" x14ac:dyDescent="0.2">
      <c r="G9280" s="7"/>
    </row>
    <row r="9281" spans="7:7" x14ac:dyDescent="0.2">
      <c r="G9281" s="7"/>
    </row>
    <row r="9282" spans="7:7" x14ac:dyDescent="0.2">
      <c r="G9282" s="7"/>
    </row>
    <row r="9283" spans="7:7" x14ac:dyDescent="0.2">
      <c r="G9283" s="7"/>
    </row>
    <row r="9284" spans="7:7" x14ac:dyDescent="0.2">
      <c r="G9284" s="7"/>
    </row>
    <row r="9285" spans="7:7" x14ac:dyDescent="0.2">
      <c r="G9285" s="7"/>
    </row>
    <row r="9286" spans="7:7" x14ac:dyDescent="0.2">
      <c r="G9286" s="7"/>
    </row>
    <row r="9287" spans="7:7" x14ac:dyDescent="0.2">
      <c r="G9287" s="7"/>
    </row>
    <row r="9288" spans="7:7" x14ac:dyDescent="0.2">
      <c r="G9288" s="7"/>
    </row>
    <row r="9289" spans="7:7" x14ac:dyDescent="0.2">
      <c r="G9289" s="7"/>
    </row>
    <row r="9290" spans="7:7" x14ac:dyDescent="0.2">
      <c r="G9290" s="7"/>
    </row>
    <row r="9291" spans="7:7" x14ac:dyDescent="0.2">
      <c r="G9291" s="7"/>
    </row>
    <row r="9292" spans="7:7" x14ac:dyDescent="0.2">
      <c r="G9292" s="7"/>
    </row>
    <row r="9293" spans="7:7" x14ac:dyDescent="0.2">
      <c r="G9293" s="7"/>
    </row>
    <row r="9294" spans="7:7" x14ac:dyDescent="0.2">
      <c r="G9294" s="7"/>
    </row>
    <row r="9295" spans="7:7" x14ac:dyDescent="0.2">
      <c r="G9295" s="7"/>
    </row>
    <row r="9296" spans="7:7" x14ac:dyDescent="0.2">
      <c r="G9296" s="7"/>
    </row>
    <row r="9297" spans="7:7" x14ac:dyDescent="0.2">
      <c r="G9297" s="7"/>
    </row>
    <row r="9298" spans="7:7" x14ac:dyDescent="0.2">
      <c r="G9298" s="7"/>
    </row>
    <row r="9299" spans="7:7" x14ac:dyDescent="0.2">
      <c r="G9299" s="7"/>
    </row>
    <row r="9300" spans="7:7" x14ac:dyDescent="0.2">
      <c r="G9300" s="7"/>
    </row>
    <row r="9301" spans="7:7" x14ac:dyDescent="0.2">
      <c r="G9301" s="7"/>
    </row>
    <row r="9302" spans="7:7" x14ac:dyDescent="0.2">
      <c r="G9302" s="7"/>
    </row>
    <row r="9303" spans="7:7" x14ac:dyDescent="0.2">
      <c r="G9303" s="7"/>
    </row>
    <row r="9304" spans="7:7" x14ac:dyDescent="0.2">
      <c r="G9304" s="7"/>
    </row>
    <row r="9305" spans="7:7" x14ac:dyDescent="0.2">
      <c r="G9305" s="7"/>
    </row>
    <row r="9306" spans="7:7" x14ac:dyDescent="0.2">
      <c r="G9306" s="7"/>
    </row>
    <row r="9307" spans="7:7" x14ac:dyDescent="0.2">
      <c r="G9307" s="7"/>
    </row>
    <row r="9308" spans="7:7" x14ac:dyDescent="0.2">
      <c r="G9308" s="7"/>
    </row>
    <row r="9309" spans="7:7" x14ac:dyDescent="0.2">
      <c r="G9309" s="7"/>
    </row>
    <row r="9310" spans="7:7" x14ac:dyDescent="0.2">
      <c r="G9310" s="7"/>
    </row>
    <row r="9311" spans="7:7" x14ac:dyDescent="0.2">
      <c r="G9311" s="7"/>
    </row>
    <row r="9312" spans="7:7" x14ac:dyDescent="0.2">
      <c r="G9312" s="7"/>
    </row>
    <row r="9313" spans="7:7" x14ac:dyDescent="0.2">
      <c r="G9313" s="7"/>
    </row>
    <row r="9314" spans="7:7" x14ac:dyDescent="0.2">
      <c r="G9314" s="7"/>
    </row>
    <row r="9315" spans="7:7" x14ac:dyDescent="0.2">
      <c r="G9315" s="7"/>
    </row>
    <row r="9316" spans="7:7" x14ac:dyDescent="0.2">
      <c r="G9316" s="7"/>
    </row>
    <row r="9317" spans="7:7" x14ac:dyDescent="0.2">
      <c r="G9317" s="7"/>
    </row>
    <row r="9318" spans="7:7" x14ac:dyDescent="0.2">
      <c r="G9318" s="7"/>
    </row>
    <row r="9319" spans="7:7" x14ac:dyDescent="0.2">
      <c r="G9319" s="7"/>
    </row>
    <row r="9320" spans="7:7" x14ac:dyDescent="0.2">
      <c r="G9320" s="7"/>
    </row>
    <row r="9321" spans="7:7" x14ac:dyDescent="0.2">
      <c r="G9321" s="7"/>
    </row>
    <row r="9322" spans="7:7" x14ac:dyDescent="0.2">
      <c r="G9322" s="7"/>
    </row>
    <row r="9323" spans="7:7" x14ac:dyDescent="0.2">
      <c r="G9323" s="7"/>
    </row>
    <row r="9324" spans="7:7" x14ac:dyDescent="0.2">
      <c r="G9324" s="7"/>
    </row>
    <row r="9325" spans="7:7" x14ac:dyDescent="0.2">
      <c r="G9325" s="7"/>
    </row>
    <row r="9326" spans="7:7" x14ac:dyDescent="0.2">
      <c r="G9326" s="7"/>
    </row>
    <row r="9327" spans="7:7" x14ac:dyDescent="0.2">
      <c r="G9327" s="7"/>
    </row>
    <row r="9328" spans="7:7" x14ac:dyDescent="0.2">
      <c r="G9328" s="7"/>
    </row>
    <row r="9329" spans="7:7" x14ac:dyDescent="0.2">
      <c r="G9329" s="7"/>
    </row>
    <row r="9330" spans="7:7" x14ac:dyDescent="0.2">
      <c r="G9330" s="7"/>
    </row>
    <row r="9331" spans="7:7" x14ac:dyDescent="0.2">
      <c r="G9331" s="7"/>
    </row>
    <row r="9332" spans="7:7" x14ac:dyDescent="0.2">
      <c r="G9332" s="7"/>
    </row>
    <row r="9333" spans="7:7" x14ac:dyDescent="0.2">
      <c r="G9333" s="7"/>
    </row>
    <row r="9334" spans="7:7" x14ac:dyDescent="0.2">
      <c r="G9334" s="7"/>
    </row>
    <row r="9335" spans="7:7" x14ac:dyDescent="0.2">
      <c r="G9335" s="7"/>
    </row>
    <row r="9336" spans="7:7" x14ac:dyDescent="0.2">
      <c r="G9336" s="7"/>
    </row>
    <row r="9337" spans="7:7" x14ac:dyDescent="0.2">
      <c r="G9337" s="7"/>
    </row>
    <row r="9338" spans="7:7" x14ac:dyDescent="0.2">
      <c r="G9338" s="7"/>
    </row>
    <row r="9339" spans="7:7" x14ac:dyDescent="0.2">
      <c r="G9339" s="7"/>
    </row>
    <row r="9340" spans="7:7" x14ac:dyDescent="0.2">
      <c r="G9340" s="7"/>
    </row>
    <row r="9341" spans="7:7" x14ac:dyDescent="0.2">
      <c r="G9341" s="7"/>
    </row>
    <row r="9342" spans="7:7" x14ac:dyDescent="0.2">
      <c r="G9342" s="7"/>
    </row>
    <row r="9343" spans="7:7" x14ac:dyDescent="0.2">
      <c r="G9343" s="7"/>
    </row>
    <row r="9344" spans="7:7" x14ac:dyDescent="0.2">
      <c r="G9344" s="7"/>
    </row>
    <row r="9345" spans="7:7" x14ac:dyDescent="0.2">
      <c r="G9345" s="7"/>
    </row>
    <row r="9346" spans="7:7" x14ac:dyDescent="0.2">
      <c r="G9346" s="7"/>
    </row>
    <row r="9347" spans="7:7" x14ac:dyDescent="0.2">
      <c r="G9347" s="7"/>
    </row>
    <row r="9348" spans="7:7" x14ac:dyDescent="0.2">
      <c r="G9348" s="7"/>
    </row>
    <row r="9349" spans="7:7" x14ac:dyDescent="0.2">
      <c r="G9349" s="7"/>
    </row>
    <row r="9350" spans="7:7" x14ac:dyDescent="0.2">
      <c r="G9350" s="7"/>
    </row>
    <row r="9351" spans="7:7" x14ac:dyDescent="0.2">
      <c r="G9351" s="7"/>
    </row>
    <row r="9352" spans="7:7" x14ac:dyDescent="0.2">
      <c r="G9352" s="7"/>
    </row>
    <row r="9353" spans="7:7" x14ac:dyDescent="0.2">
      <c r="G9353" s="7"/>
    </row>
    <row r="9354" spans="7:7" x14ac:dyDescent="0.2">
      <c r="G9354" s="7"/>
    </row>
    <row r="9355" spans="7:7" x14ac:dyDescent="0.2">
      <c r="G9355" s="7"/>
    </row>
    <row r="9356" spans="7:7" x14ac:dyDescent="0.2">
      <c r="G9356" s="7"/>
    </row>
    <row r="9357" spans="7:7" x14ac:dyDescent="0.2">
      <c r="G9357" s="7"/>
    </row>
    <row r="9358" spans="7:7" x14ac:dyDescent="0.2">
      <c r="G9358" s="7"/>
    </row>
    <row r="9359" spans="7:7" x14ac:dyDescent="0.2">
      <c r="G9359" s="7"/>
    </row>
    <row r="9360" spans="7:7" x14ac:dyDescent="0.2">
      <c r="G9360" s="7"/>
    </row>
    <row r="9361" spans="7:7" x14ac:dyDescent="0.2">
      <c r="G9361" s="7"/>
    </row>
    <row r="9362" spans="7:7" x14ac:dyDescent="0.2">
      <c r="G9362" s="7"/>
    </row>
    <row r="9363" spans="7:7" x14ac:dyDescent="0.2">
      <c r="G9363" s="7"/>
    </row>
    <row r="9364" spans="7:7" x14ac:dyDescent="0.2">
      <c r="G9364" s="7"/>
    </row>
    <row r="9365" spans="7:7" x14ac:dyDescent="0.2">
      <c r="G9365" s="7"/>
    </row>
    <row r="9366" spans="7:7" x14ac:dyDescent="0.2">
      <c r="G9366" s="7"/>
    </row>
    <row r="9367" spans="7:7" x14ac:dyDescent="0.2">
      <c r="G9367" s="7"/>
    </row>
    <row r="9368" spans="7:7" x14ac:dyDescent="0.2">
      <c r="G9368" s="7"/>
    </row>
    <row r="9369" spans="7:7" x14ac:dyDescent="0.2">
      <c r="G9369" s="7"/>
    </row>
    <row r="9370" spans="7:7" x14ac:dyDescent="0.2">
      <c r="G9370" s="7"/>
    </row>
    <row r="9371" spans="7:7" x14ac:dyDescent="0.2">
      <c r="G9371" s="7"/>
    </row>
    <row r="9372" spans="7:7" x14ac:dyDescent="0.2">
      <c r="G9372" s="7"/>
    </row>
    <row r="9373" spans="7:7" x14ac:dyDescent="0.2">
      <c r="G9373" s="7"/>
    </row>
    <row r="9374" spans="7:7" x14ac:dyDescent="0.2">
      <c r="G9374" s="7"/>
    </row>
    <row r="9375" spans="7:7" x14ac:dyDescent="0.2">
      <c r="G9375" s="7"/>
    </row>
    <row r="9376" spans="7:7" x14ac:dyDescent="0.2">
      <c r="G9376" s="7"/>
    </row>
    <row r="9377" spans="7:7" x14ac:dyDescent="0.2">
      <c r="G9377" s="7"/>
    </row>
    <row r="9378" spans="7:7" x14ac:dyDescent="0.2">
      <c r="G9378" s="7"/>
    </row>
    <row r="9379" spans="7:7" x14ac:dyDescent="0.2">
      <c r="G9379" s="7"/>
    </row>
    <row r="9380" spans="7:7" x14ac:dyDescent="0.2">
      <c r="G9380" s="7"/>
    </row>
    <row r="9381" spans="7:7" x14ac:dyDescent="0.2">
      <c r="G9381" s="7"/>
    </row>
    <row r="9382" spans="7:7" x14ac:dyDescent="0.2">
      <c r="G9382" s="7"/>
    </row>
    <row r="9383" spans="7:7" x14ac:dyDescent="0.2">
      <c r="G9383" s="7"/>
    </row>
    <row r="9384" spans="7:7" x14ac:dyDescent="0.2">
      <c r="G9384" s="7"/>
    </row>
    <row r="9385" spans="7:7" x14ac:dyDescent="0.2">
      <c r="G9385" s="7"/>
    </row>
    <row r="9386" spans="7:7" x14ac:dyDescent="0.2">
      <c r="G9386" s="7"/>
    </row>
    <row r="9387" spans="7:7" x14ac:dyDescent="0.2">
      <c r="G9387" s="7"/>
    </row>
    <row r="9388" spans="7:7" x14ac:dyDescent="0.2">
      <c r="G9388" s="7"/>
    </row>
    <row r="9389" spans="7:7" x14ac:dyDescent="0.2">
      <c r="G9389" s="7"/>
    </row>
    <row r="9390" spans="7:7" x14ac:dyDescent="0.2">
      <c r="G9390" s="7"/>
    </row>
    <row r="9391" spans="7:7" x14ac:dyDescent="0.2">
      <c r="G9391" s="7"/>
    </row>
    <row r="9392" spans="7:7" x14ac:dyDescent="0.2">
      <c r="G9392" s="7"/>
    </row>
    <row r="9393" spans="7:7" x14ac:dyDescent="0.2">
      <c r="G9393" s="7"/>
    </row>
    <row r="9394" spans="7:7" x14ac:dyDescent="0.2">
      <c r="G9394" s="7"/>
    </row>
    <row r="9395" spans="7:7" x14ac:dyDescent="0.2">
      <c r="G9395" s="7"/>
    </row>
    <row r="9396" spans="7:7" x14ac:dyDescent="0.2">
      <c r="G9396" s="7"/>
    </row>
    <row r="9397" spans="7:7" x14ac:dyDescent="0.2">
      <c r="G9397" s="7"/>
    </row>
    <row r="9398" spans="7:7" x14ac:dyDescent="0.2">
      <c r="G9398" s="7"/>
    </row>
    <row r="9399" spans="7:7" x14ac:dyDescent="0.2">
      <c r="G9399" s="7"/>
    </row>
    <row r="9400" spans="7:7" x14ac:dyDescent="0.2">
      <c r="G9400" s="7"/>
    </row>
    <row r="9401" spans="7:7" x14ac:dyDescent="0.2">
      <c r="G9401" s="7"/>
    </row>
    <row r="9402" spans="7:7" x14ac:dyDescent="0.2">
      <c r="G9402" s="7"/>
    </row>
    <row r="9403" spans="7:7" x14ac:dyDescent="0.2">
      <c r="G9403" s="7"/>
    </row>
    <row r="9404" spans="7:7" x14ac:dyDescent="0.2">
      <c r="G9404" s="7"/>
    </row>
    <row r="9405" spans="7:7" x14ac:dyDescent="0.2">
      <c r="G9405" s="7"/>
    </row>
    <row r="9406" spans="7:7" x14ac:dyDescent="0.2">
      <c r="G9406" s="7"/>
    </row>
    <row r="9407" spans="7:7" x14ac:dyDescent="0.2">
      <c r="G9407" s="7"/>
    </row>
    <row r="9408" spans="7:7" x14ac:dyDescent="0.2">
      <c r="G9408" s="7"/>
    </row>
    <row r="9409" spans="7:7" x14ac:dyDescent="0.2">
      <c r="G9409" s="7"/>
    </row>
    <row r="9410" spans="7:7" x14ac:dyDescent="0.2">
      <c r="G9410" s="7"/>
    </row>
    <row r="9411" spans="7:7" x14ac:dyDescent="0.2">
      <c r="G9411" s="7"/>
    </row>
    <row r="9412" spans="7:7" x14ac:dyDescent="0.2">
      <c r="G9412" s="7"/>
    </row>
    <row r="9413" spans="7:7" x14ac:dyDescent="0.2">
      <c r="G9413" s="7"/>
    </row>
    <row r="9414" spans="7:7" x14ac:dyDescent="0.2">
      <c r="G9414" s="7"/>
    </row>
    <row r="9415" spans="7:7" x14ac:dyDescent="0.2">
      <c r="G9415" s="7"/>
    </row>
    <row r="9416" spans="7:7" x14ac:dyDescent="0.2">
      <c r="G9416" s="7"/>
    </row>
    <row r="9417" spans="7:7" x14ac:dyDescent="0.2">
      <c r="G9417" s="7"/>
    </row>
    <row r="9418" spans="7:7" x14ac:dyDescent="0.2">
      <c r="G9418" s="7"/>
    </row>
    <row r="9419" spans="7:7" x14ac:dyDescent="0.2">
      <c r="G9419" s="7"/>
    </row>
    <row r="9420" spans="7:7" x14ac:dyDescent="0.2">
      <c r="G9420" s="7"/>
    </row>
    <row r="9421" spans="7:7" x14ac:dyDescent="0.2">
      <c r="G9421" s="7"/>
    </row>
    <row r="9422" spans="7:7" x14ac:dyDescent="0.2">
      <c r="G9422" s="7"/>
    </row>
    <row r="9423" spans="7:7" x14ac:dyDescent="0.2">
      <c r="G9423" s="7"/>
    </row>
    <row r="9424" spans="7:7" x14ac:dyDescent="0.2">
      <c r="G9424" s="7"/>
    </row>
    <row r="9425" spans="7:7" x14ac:dyDescent="0.2">
      <c r="G9425" s="7"/>
    </row>
    <row r="9426" spans="7:7" x14ac:dyDescent="0.2">
      <c r="G9426" s="7"/>
    </row>
    <row r="9427" spans="7:7" x14ac:dyDescent="0.2">
      <c r="G9427" s="7"/>
    </row>
    <row r="9428" spans="7:7" x14ac:dyDescent="0.2">
      <c r="G9428" s="7"/>
    </row>
    <row r="9429" spans="7:7" x14ac:dyDescent="0.2">
      <c r="G9429" s="7"/>
    </row>
    <row r="9430" spans="7:7" x14ac:dyDescent="0.2">
      <c r="G9430" s="7"/>
    </row>
    <row r="9431" spans="7:7" x14ac:dyDescent="0.2">
      <c r="G9431" s="7"/>
    </row>
    <row r="9432" spans="7:7" x14ac:dyDescent="0.2">
      <c r="G9432" s="7"/>
    </row>
    <row r="9433" spans="7:7" x14ac:dyDescent="0.2">
      <c r="G9433" s="7"/>
    </row>
    <row r="9434" spans="7:7" x14ac:dyDescent="0.2">
      <c r="G9434" s="7"/>
    </row>
    <row r="9435" spans="7:7" x14ac:dyDescent="0.2">
      <c r="G9435" s="7"/>
    </row>
    <row r="9436" spans="7:7" x14ac:dyDescent="0.2">
      <c r="G9436" s="7"/>
    </row>
    <row r="9437" spans="7:7" x14ac:dyDescent="0.2">
      <c r="G9437" s="7"/>
    </row>
    <row r="9438" spans="7:7" x14ac:dyDescent="0.2">
      <c r="G9438" s="7"/>
    </row>
    <row r="9439" spans="7:7" x14ac:dyDescent="0.2">
      <c r="G9439" s="7"/>
    </row>
    <row r="9440" spans="7:7" x14ac:dyDescent="0.2">
      <c r="G9440" s="7"/>
    </row>
    <row r="9441" spans="7:7" x14ac:dyDescent="0.2">
      <c r="G9441" s="7"/>
    </row>
    <row r="9442" spans="7:7" x14ac:dyDescent="0.2">
      <c r="G9442" s="7"/>
    </row>
    <row r="9443" spans="7:7" x14ac:dyDescent="0.2">
      <c r="G9443" s="7"/>
    </row>
    <row r="9444" spans="7:7" x14ac:dyDescent="0.2">
      <c r="G9444" s="7"/>
    </row>
    <row r="9445" spans="7:7" x14ac:dyDescent="0.2">
      <c r="G9445" s="7"/>
    </row>
    <row r="9446" spans="7:7" x14ac:dyDescent="0.2">
      <c r="G9446" s="7"/>
    </row>
    <row r="9447" spans="7:7" x14ac:dyDescent="0.2">
      <c r="G9447" s="7"/>
    </row>
    <row r="9448" spans="7:7" x14ac:dyDescent="0.2">
      <c r="G9448" s="7"/>
    </row>
    <row r="9449" spans="7:7" x14ac:dyDescent="0.2">
      <c r="G9449" s="7"/>
    </row>
    <row r="9450" spans="7:7" x14ac:dyDescent="0.2">
      <c r="G9450" s="7"/>
    </row>
    <row r="9451" spans="7:7" x14ac:dyDescent="0.2">
      <c r="G9451" s="7"/>
    </row>
    <row r="9452" spans="7:7" x14ac:dyDescent="0.2">
      <c r="G9452" s="7"/>
    </row>
    <row r="9453" spans="7:7" x14ac:dyDescent="0.2">
      <c r="G9453" s="7"/>
    </row>
    <row r="9454" spans="7:7" x14ac:dyDescent="0.2">
      <c r="G9454" s="7"/>
    </row>
    <row r="9455" spans="7:7" x14ac:dyDescent="0.2">
      <c r="G9455" s="7"/>
    </row>
    <row r="9456" spans="7:7" x14ac:dyDescent="0.2">
      <c r="G9456" s="7"/>
    </row>
    <row r="9457" spans="7:7" x14ac:dyDescent="0.2">
      <c r="G9457" s="7"/>
    </row>
    <row r="9458" spans="7:7" x14ac:dyDescent="0.2">
      <c r="G9458" s="7"/>
    </row>
    <row r="9459" spans="7:7" x14ac:dyDescent="0.2">
      <c r="G9459" s="7"/>
    </row>
    <row r="9460" spans="7:7" x14ac:dyDescent="0.2">
      <c r="G9460" s="7"/>
    </row>
    <row r="9461" spans="7:7" x14ac:dyDescent="0.2">
      <c r="G9461" s="7"/>
    </row>
    <row r="9462" spans="7:7" x14ac:dyDescent="0.2">
      <c r="G9462" s="7"/>
    </row>
    <row r="9463" spans="7:7" x14ac:dyDescent="0.2">
      <c r="G9463" s="7"/>
    </row>
    <row r="9464" spans="7:7" x14ac:dyDescent="0.2">
      <c r="G9464" s="7"/>
    </row>
    <row r="9465" spans="7:7" x14ac:dyDescent="0.2">
      <c r="G9465" s="7"/>
    </row>
    <row r="9466" spans="7:7" x14ac:dyDescent="0.2">
      <c r="G9466" s="7"/>
    </row>
    <row r="9467" spans="7:7" x14ac:dyDescent="0.2">
      <c r="G9467" s="7"/>
    </row>
    <row r="9468" spans="7:7" x14ac:dyDescent="0.2">
      <c r="G9468" s="7"/>
    </row>
    <row r="9469" spans="7:7" x14ac:dyDescent="0.2">
      <c r="G9469" s="7"/>
    </row>
    <row r="9470" spans="7:7" x14ac:dyDescent="0.2">
      <c r="G9470" s="7"/>
    </row>
    <row r="9471" spans="7:7" x14ac:dyDescent="0.2">
      <c r="G9471" s="7"/>
    </row>
    <row r="9472" spans="7:7" x14ac:dyDescent="0.2">
      <c r="G9472" s="7"/>
    </row>
    <row r="9473" spans="7:7" x14ac:dyDescent="0.2">
      <c r="G9473" s="7"/>
    </row>
    <row r="9474" spans="7:7" x14ac:dyDescent="0.2">
      <c r="G9474" s="7"/>
    </row>
    <row r="9475" spans="7:7" x14ac:dyDescent="0.2">
      <c r="G9475" s="7"/>
    </row>
    <row r="9476" spans="7:7" x14ac:dyDescent="0.2">
      <c r="G9476" s="7"/>
    </row>
    <row r="9477" spans="7:7" x14ac:dyDescent="0.2">
      <c r="G9477" s="7"/>
    </row>
    <row r="9478" spans="7:7" x14ac:dyDescent="0.2">
      <c r="G9478" s="7"/>
    </row>
    <row r="9479" spans="7:7" x14ac:dyDescent="0.2">
      <c r="G9479" s="7"/>
    </row>
    <row r="9480" spans="7:7" x14ac:dyDescent="0.2">
      <c r="G9480" s="7"/>
    </row>
    <row r="9481" spans="7:7" x14ac:dyDescent="0.2">
      <c r="G9481" s="7"/>
    </row>
    <row r="9482" spans="7:7" x14ac:dyDescent="0.2">
      <c r="G9482" s="7"/>
    </row>
    <row r="9483" spans="7:7" x14ac:dyDescent="0.2">
      <c r="G9483" s="7"/>
    </row>
    <row r="9484" spans="7:7" x14ac:dyDescent="0.2">
      <c r="G9484" s="7"/>
    </row>
    <row r="9485" spans="7:7" x14ac:dyDescent="0.2">
      <c r="G9485" s="7"/>
    </row>
    <row r="9486" spans="7:7" x14ac:dyDescent="0.2">
      <c r="G9486" s="7"/>
    </row>
    <row r="9487" spans="7:7" x14ac:dyDescent="0.2">
      <c r="G9487" s="7"/>
    </row>
    <row r="9488" spans="7:7" x14ac:dyDescent="0.2">
      <c r="G9488" s="7"/>
    </row>
    <row r="9489" spans="7:7" x14ac:dyDescent="0.2">
      <c r="G9489" s="7"/>
    </row>
    <row r="9490" spans="7:7" x14ac:dyDescent="0.2">
      <c r="G9490" s="7"/>
    </row>
    <row r="9491" spans="7:7" x14ac:dyDescent="0.2">
      <c r="G9491" s="7"/>
    </row>
    <row r="9492" spans="7:7" x14ac:dyDescent="0.2">
      <c r="G9492" s="7"/>
    </row>
    <row r="9493" spans="7:7" x14ac:dyDescent="0.2">
      <c r="G9493" s="7"/>
    </row>
    <row r="9494" spans="7:7" x14ac:dyDescent="0.2">
      <c r="G9494" s="7"/>
    </row>
    <row r="9495" spans="7:7" x14ac:dyDescent="0.2">
      <c r="G9495" s="7"/>
    </row>
    <row r="9496" spans="7:7" x14ac:dyDescent="0.2">
      <c r="G9496" s="7"/>
    </row>
    <row r="9497" spans="7:7" x14ac:dyDescent="0.2">
      <c r="G9497" s="7"/>
    </row>
    <row r="9498" spans="7:7" x14ac:dyDescent="0.2">
      <c r="G9498" s="7"/>
    </row>
    <row r="9499" spans="7:7" x14ac:dyDescent="0.2">
      <c r="G9499" s="7"/>
    </row>
    <row r="9500" spans="7:7" x14ac:dyDescent="0.2">
      <c r="G9500" s="7"/>
    </row>
    <row r="9501" spans="7:7" x14ac:dyDescent="0.2">
      <c r="G9501" s="7"/>
    </row>
    <row r="9502" spans="7:7" x14ac:dyDescent="0.2">
      <c r="G9502" s="7"/>
    </row>
    <row r="9503" spans="7:7" x14ac:dyDescent="0.2">
      <c r="G9503" s="7"/>
    </row>
    <row r="9504" spans="7:7" x14ac:dyDescent="0.2">
      <c r="G9504" s="7"/>
    </row>
    <row r="9505" spans="7:7" x14ac:dyDescent="0.2">
      <c r="G9505" s="7"/>
    </row>
    <row r="9506" spans="7:7" x14ac:dyDescent="0.2">
      <c r="G9506" s="7"/>
    </row>
    <row r="9507" spans="7:7" x14ac:dyDescent="0.2">
      <c r="G9507" s="7"/>
    </row>
    <row r="9508" spans="7:7" x14ac:dyDescent="0.2">
      <c r="G9508" s="7"/>
    </row>
    <row r="9509" spans="7:7" x14ac:dyDescent="0.2">
      <c r="G9509" s="7"/>
    </row>
    <row r="9510" spans="7:7" x14ac:dyDescent="0.2">
      <c r="G9510" s="7"/>
    </row>
    <row r="9511" spans="7:7" x14ac:dyDescent="0.2">
      <c r="G9511" s="7"/>
    </row>
    <row r="9512" spans="7:7" x14ac:dyDescent="0.2">
      <c r="G9512" s="7"/>
    </row>
    <row r="9513" spans="7:7" x14ac:dyDescent="0.2">
      <c r="G9513" s="7"/>
    </row>
    <row r="9514" spans="7:7" x14ac:dyDescent="0.2">
      <c r="G9514" s="7"/>
    </row>
    <row r="9515" spans="7:7" x14ac:dyDescent="0.2">
      <c r="G9515" s="7"/>
    </row>
    <row r="9516" spans="7:7" x14ac:dyDescent="0.2">
      <c r="G9516" s="7"/>
    </row>
    <row r="9517" spans="7:7" x14ac:dyDescent="0.2">
      <c r="G9517" s="7"/>
    </row>
    <row r="9518" spans="7:7" x14ac:dyDescent="0.2">
      <c r="G9518" s="7"/>
    </row>
    <row r="9519" spans="7:7" x14ac:dyDescent="0.2">
      <c r="G9519" s="7"/>
    </row>
    <row r="9520" spans="7:7" x14ac:dyDescent="0.2">
      <c r="G9520" s="7"/>
    </row>
    <row r="9521" spans="7:7" x14ac:dyDescent="0.2">
      <c r="G9521" s="7"/>
    </row>
    <row r="9522" spans="7:7" x14ac:dyDescent="0.2">
      <c r="G9522" s="7"/>
    </row>
    <row r="9523" spans="7:7" x14ac:dyDescent="0.2">
      <c r="G9523" s="7"/>
    </row>
    <row r="9524" spans="7:7" x14ac:dyDescent="0.2">
      <c r="G9524" s="7"/>
    </row>
    <row r="9525" spans="7:7" x14ac:dyDescent="0.2">
      <c r="G9525" s="7"/>
    </row>
    <row r="9526" spans="7:7" x14ac:dyDescent="0.2">
      <c r="G9526" s="7"/>
    </row>
    <row r="9527" spans="7:7" x14ac:dyDescent="0.2">
      <c r="G9527" s="7"/>
    </row>
    <row r="9528" spans="7:7" x14ac:dyDescent="0.2">
      <c r="G9528" s="7"/>
    </row>
    <row r="9529" spans="7:7" x14ac:dyDescent="0.2">
      <c r="G9529" s="7"/>
    </row>
    <row r="9530" spans="7:7" x14ac:dyDescent="0.2">
      <c r="G9530" s="7"/>
    </row>
    <row r="9531" spans="7:7" x14ac:dyDescent="0.2">
      <c r="G9531" s="7"/>
    </row>
    <row r="9532" spans="7:7" x14ac:dyDescent="0.2">
      <c r="G9532" s="7"/>
    </row>
    <row r="9533" spans="7:7" x14ac:dyDescent="0.2">
      <c r="G9533" s="7"/>
    </row>
    <row r="9534" spans="7:7" x14ac:dyDescent="0.2">
      <c r="G9534" s="7"/>
    </row>
    <row r="9535" spans="7:7" x14ac:dyDescent="0.2">
      <c r="G9535" s="7"/>
    </row>
    <row r="9536" spans="7:7" x14ac:dyDescent="0.2">
      <c r="G9536" s="7"/>
    </row>
    <row r="9537" spans="7:7" x14ac:dyDescent="0.2">
      <c r="G9537" s="7"/>
    </row>
    <row r="9538" spans="7:7" x14ac:dyDescent="0.2">
      <c r="G9538" s="7"/>
    </row>
    <row r="9539" spans="7:7" x14ac:dyDescent="0.2">
      <c r="G9539" s="7"/>
    </row>
    <row r="9540" spans="7:7" x14ac:dyDescent="0.2">
      <c r="G9540" s="7"/>
    </row>
    <row r="9541" spans="7:7" x14ac:dyDescent="0.2">
      <c r="G9541" s="7"/>
    </row>
    <row r="9542" spans="7:7" x14ac:dyDescent="0.2">
      <c r="G9542" s="7"/>
    </row>
    <row r="9543" spans="7:7" x14ac:dyDescent="0.2">
      <c r="G9543" s="7"/>
    </row>
    <row r="9544" spans="7:7" x14ac:dyDescent="0.2">
      <c r="G9544" s="7"/>
    </row>
    <row r="9545" spans="7:7" x14ac:dyDescent="0.2">
      <c r="G9545" s="7"/>
    </row>
    <row r="9546" spans="7:7" x14ac:dyDescent="0.2">
      <c r="G9546" s="7"/>
    </row>
    <row r="9547" spans="7:7" x14ac:dyDescent="0.2">
      <c r="G9547" s="7"/>
    </row>
    <row r="9548" spans="7:7" x14ac:dyDescent="0.2">
      <c r="G9548" s="7"/>
    </row>
    <row r="9549" spans="7:7" x14ac:dyDescent="0.2">
      <c r="G9549" s="7"/>
    </row>
    <row r="9550" spans="7:7" x14ac:dyDescent="0.2">
      <c r="G9550" s="7"/>
    </row>
    <row r="9551" spans="7:7" x14ac:dyDescent="0.2">
      <c r="G9551" s="7"/>
    </row>
    <row r="9552" spans="7:7" x14ac:dyDescent="0.2">
      <c r="G9552" s="7"/>
    </row>
    <row r="9553" spans="7:7" x14ac:dyDescent="0.2">
      <c r="G9553" s="7"/>
    </row>
    <row r="9554" spans="7:7" x14ac:dyDescent="0.2">
      <c r="G9554" s="7"/>
    </row>
    <row r="9555" spans="7:7" x14ac:dyDescent="0.2">
      <c r="G9555" s="7"/>
    </row>
    <row r="9556" spans="7:7" x14ac:dyDescent="0.2">
      <c r="G9556" s="7"/>
    </row>
    <row r="9557" spans="7:7" x14ac:dyDescent="0.2">
      <c r="G9557" s="7"/>
    </row>
    <row r="9558" spans="7:7" x14ac:dyDescent="0.2">
      <c r="G9558" s="7"/>
    </row>
    <row r="9559" spans="7:7" x14ac:dyDescent="0.2">
      <c r="G9559" s="7"/>
    </row>
    <row r="9560" spans="7:7" x14ac:dyDescent="0.2">
      <c r="G9560" s="7"/>
    </row>
    <row r="9561" spans="7:7" x14ac:dyDescent="0.2">
      <c r="G9561" s="7"/>
    </row>
    <row r="9562" spans="7:7" x14ac:dyDescent="0.2">
      <c r="G9562" s="7"/>
    </row>
    <row r="9563" spans="7:7" x14ac:dyDescent="0.2">
      <c r="G9563" s="7"/>
    </row>
    <row r="9564" spans="7:7" x14ac:dyDescent="0.2">
      <c r="G9564" s="7"/>
    </row>
    <row r="9565" spans="7:7" x14ac:dyDescent="0.2">
      <c r="G9565" s="7"/>
    </row>
    <row r="9566" spans="7:7" x14ac:dyDescent="0.2">
      <c r="G9566" s="7"/>
    </row>
    <row r="9567" spans="7:7" x14ac:dyDescent="0.2">
      <c r="G9567" s="7"/>
    </row>
    <row r="9568" spans="7:7" x14ac:dyDescent="0.2">
      <c r="G9568" s="7"/>
    </row>
    <row r="9569" spans="7:7" x14ac:dyDescent="0.2">
      <c r="G9569" s="7"/>
    </row>
    <row r="9570" spans="7:7" x14ac:dyDescent="0.2">
      <c r="G9570" s="7"/>
    </row>
    <row r="9571" spans="7:7" x14ac:dyDescent="0.2">
      <c r="G9571" s="7"/>
    </row>
    <row r="9572" spans="7:7" x14ac:dyDescent="0.2">
      <c r="G9572" s="7"/>
    </row>
    <row r="9573" spans="7:7" x14ac:dyDescent="0.2">
      <c r="G9573" s="7"/>
    </row>
    <row r="9574" spans="7:7" x14ac:dyDescent="0.2">
      <c r="G9574" s="7"/>
    </row>
    <row r="9575" spans="7:7" x14ac:dyDescent="0.2">
      <c r="G9575" s="7"/>
    </row>
    <row r="9576" spans="7:7" x14ac:dyDescent="0.2">
      <c r="G9576" s="7"/>
    </row>
    <row r="9577" spans="7:7" x14ac:dyDescent="0.2">
      <c r="G9577" s="7"/>
    </row>
    <row r="9578" spans="7:7" x14ac:dyDescent="0.2">
      <c r="G9578" s="7"/>
    </row>
    <row r="9579" spans="7:7" x14ac:dyDescent="0.2">
      <c r="G9579" s="7"/>
    </row>
    <row r="9580" spans="7:7" x14ac:dyDescent="0.2">
      <c r="G9580" s="7"/>
    </row>
    <row r="9581" spans="7:7" x14ac:dyDescent="0.2">
      <c r="G9581" s="7"/>
    </row>
    <row r="9582" spans="7:7" x14ac:dyDescent="0.2">
      <c r="G9582" s="7"/>
    </row>
    <row r="9583" spans="7:7" x14ac:dyDescent="0.2">
      <c r="G9583" s="7"/>
    </row>
    <row r="9584" spans="7:7" x14ac:dyDescent="0.2">
      <c r="G9584" s="7"/>
    </row>
    <row r="9585" spans="7:7" x14ac:dyDescent="0.2">
      <c r="G9585" s="7"/>
    </row>
    <row r="9586" spans="7:7" x14ac:dyDescent="0.2">
      <c r="G9586" s="7"/>
    </row>
    <row r="9587" spans="7:7" x14ac:dyDescent="0.2">
      <c r="G9587" s="7"/>
    </row>
    <row r="9588" spans="7:7" x14ac:dyDescent="0.2">
      <c r="G9588" s="7"/>
    </row>
    <row r="9589" spans="7:7" x14ac:dyDescent="0.2">
      <c r="G9589" s="7"/>
    </row>
    <row r="9590" spans="7:7" x14ac:dyDescent="0.2">
      <c r="G9590" s="7"/>
    </row>
    <row r="9591" spans="7:7" x14ac:dyDescent="0.2">
      <c r="G9591" s="7"/>
    </row>
    <row r="9592" spans="7:7" x14ac:dyDescent="0.2">
      <c r="G9592" s="7"/>
    </row>
    <row r="9593" spans="7:7" x14ac:dyDescent="0.2">
      <c r="G9593" s="7"/>
    </row>
    <row r="9594" spans="7:7" x14ac:dyDescent="0.2">
      <c r="G9594" s="7"/>
    </row>
    <row r="9595" spans="7:7" x14ac:dyDescent="0.2">
      <c r="G9595" s="7"/>
    </row>
    <row r="9596" spans="7:7" x14ac:dyDescent="0.2">
      <c r="G9596" s="7"/>
    </row>
    <row r="9597" spans="7:7" x14ac:dyDescent="0.2">
      <c r="G9597" s="7"/>
    </row>
    <row r="9598" spans="7:7" x14ac:dyDescent="0.2">
      <c r="G9598" s="7"/>
    </row>
    <row r="9599" spans="7:7" x14ac:dyDescent="0.2">
      <c r="G9599" s="7"/>
    </row>
    <row r="9600" spans="7:7" x14ac:dyDescent="0.2">
      <c r="G9600" s="7"/>
    </row>
    <row r="9601" spans="7:7" x14ac:dyDescent="0.2">
      <c r="G9601" s="7"/>
    </row>
    <row r="9602" spans="7:7" x14ac:dyDescent="0.2">
      <c r="G9602" s="7"/>
    </row>
    <row r="9603" spans="7:7" x14ac:dyDescent="0.2">
      <c r="G9603" s="7"/>
    </row>
    <row r="9604" spans="7:7" x14ac:dyDescent="0.2">
      <c r="G9604" s="7"/>
    </row>
    <row r="9605" spans="7:7" x14ac:dyDescent="0.2">
      <c r="G9605" s="7"/>
    </row>
    <row r="9606" spans="7:7" x14ac:dyDescent="0.2">
      <c r="G9606" s="7"/>
    </row>
    <row r="9607" spans="7:7" x14ac:dyDescent="0.2">
      <c r="G9607" s="7"/>
    </row>
    <row r="9608" spans="7:7" x14ac:dyDescent="0.2">
      <c r="G9608" s="7"/>
    </row>
    <row r="9609" spans="7:7" x14ac:dyDescent="0.2">
      <c r="G9609" s="7"/>
    </row>
    <row r="9610" spans="7:7" x14ac:dyDescent="0.2">
      <c r="G9610" s="7"/>
    </row>
    <row r="9611" spans="7:7" x14ac:dyDescent="0.2">
      <c r="G9611" s="7"/>
    </row>
    <row r="9612" spans="7:7" x14ac:dyDescent="0.2">
      <c r="G9612" s="7"/>
    </row>
    <row r="9613" spans="7:7" x14ac:dyDescent="0.2">
      <c r="G9613" s="7"/>
    </row>
    <row r="9614" spans="7:7" x14ac:dyDescent="0.2">
      <c r="G9614" s="7"/>
    </row>
    <row r="9615" spans="7:7" x14ac:dyDescent="0.2">
      <c r="G9615" s="7"/>
    </row>
    <row r="9616" spans="7:7" x14ac:dyDescent="0.2">
      <c r="G9616" s="7"/>
    </row>
    <row r="9617" spans="7:7" x14ac:dyDescent="0.2">
      <c r="G9617" s="7"/>
    </row>
    <row r="9618" spans="7:7" x14ac:dyDescent="0.2">
      <c r="G9618" s="7"/>
    </row>
    <row r="9619" spans="7:7" x14ac:dyDescent="0.2">
      <c r="G9619" s="7"/>
    </row>
    <row r="9620" spans="7:7" x14ac:dyDescent="0.2">
      <c r="G9620" s="7"/>
    </row>
    <row r="9621" spans="7:7" x14ac:dyDescent="0.2">
      <c r="G9621" s="7"/>
    </row>
    <row r="9622" spans="7:7" x14ac:dyDescent="0.2">
      <c r="G9622" s="7"/>
    </row>
    <row r="9623" spans="7:7" x14ac:dyDescent="0.2">
      <c r="G9623" s="7"/>
    </row>
    <row r="9624" spans="7:7" x14ac:dyDescent="0.2">
      <c r="G9624" s="7"/>
    </row>
    <row r="9625" spans="7:7" x14ac:dyDescent="0.2">
      <c r="G9625" s="7"/>
    </row>
    <row r="9626" spans="7:7" x14ac:dyDescent="0.2">
      <c r="G9626" s="7"/>
    </row>
    <row r="9627" spans="7:7" x14ac:dyDescent="0.2">
      <c r="G9627" s="7"/>
    </row>
    <row r="9628" spans="7:7" x14ac:dyDescent="0.2">
      <c r="G9628" s="7"/>
    </row>
    <row r="9629" spans="7:7" x14ac:dyDescent="0.2">
      <c r="G9629" s="7"/>
    </row>
    <row r="9630" spans="7:7" x14ac:dyDescent="0.2">
      <c r="G9630" s="7"/>
    </row>
    <row r="9631" spans="7:7" x14ac:dyDescent="0.2">
      <c r="G9631" s="7"/>
    </row>
    <row r="9632" spans="7:7" x14ac:dyDescent="0.2">
      <c r="G9632" s="7"/>
    </row>
    <row r="9633" spans="7:7" x14ac:dyDescent="0.2">
      <c r="G9633" s="7"/>
    </row>
    <row r="9634" spans="7:7" x14ac:dyDescent="0.2">
      <c r="G9634" s="7"/>
    </row>
    <row r="9635" spans="7:7" x14ac:dyDescent="0.2">
      <c r="G9635" s="7"/>
    </row>
    <row r="9636" spans="7:7" x14ac:dyDescent="0.2">
      <c r="G9636" s="7"/>
    </row>
    <row r="9637" spans="7:7" x14ac:dyDescent="0.2">
      <c r="G9637" s="7"/>
    </row>
    <row r="9638" spans="7:7" x14ac:dyDescent="0.2">
      <c r="G9638" s="7"/>
    </row>
    <row r="9639" spans="7:7" x14ac:dyDescent="0.2">
      <c r="G9639" s="7"/>
    </row>
    <row r="9640" spans="7:7" x14ac:dyDescent="0.2">
      <c r="G9640" s="7"/>
    </row>
    <row r="9641" spans="7:7" x14ac:dyDescent="0.2">
      <c r="G9641" s="7"/>
    </row>
    <row r="9642" spans="7:7" x14ac:dyDescent="0.2">
      <c r="G9642" s="7"/>
    </row>
    <row r="9643" spans="7:7" x14ac:dyDescent="0.2">
      <c r="G9643" s="7"/>
    </row>
    <row r="9644" spans="7:7" x14ac:dyDescent="0.2">
      <c r="G9644" s="7"/>
    </row>
    <row r="9645" spans="7:7" x14ac:dyDescent="0.2">
      <c r="G9645" s="7"/>
    </row>
    <row r="9646" spans="7:7" x14ac:dyDescent="0.2">
      <c r="G9646" s="7"/>
    </row>
    <row r="9647" spans="7:7" x14ac:dyDescent="0.2">
      <c r="G9647" s="7"/>
    </row>
    <row r="9648" spans="7:7" x14ac:dyDescent="0.2">
      <c r="G9648" s="7"/>
    </row>
    <row r="9649" spans="7:7" x14ac:dyDescent="0.2">
      <c r="G9649" s="7"/>
    </row>
    <row r="9650" spans="7:7" x14ac:dyDescent="0.2">
      <c r="G9650" s="7"/>
    </row>
    <row r="9651" spans="7:7" x14ac:dyDescent="0.2">
      <c r="G9651" s="7"/>
    </row>
    <row r="9652" spans="7:7" x14ac:dyDescent="0.2">
      <c r="G9652" s="7"/>
    </row>
    <row r="9653" spans="7:7" x14ac:dyDescent="0.2">
      <c r="G9653" s="7"/>
    </row>
    <row r="9654" spans="7:7" x14ac:dyDescent="0.2">
      <c r="G9654" s="7"/>
    </row>
    <row r="9655" spans="7:7" x14ac:dyDescent="0.2">
      <c r="G9655" s="7"/>
    </row>
    <row r="9656" spans="7:7" x14ac:dyDescent="0.2">
      <c r="G9656" s="7"/>
    </row>
    <row r="9657" spans="7:7" x14ac:dyDescent="0.2">
      <c r="G9657" s="7"/>
    </row>
    <row r="9658" spans="7:7" x14ac:dyDescent="0.2">
      <c r="G9658" s="7"/>
    </row>
    <row r="9659" spans="7:7" x14ac:dyDescent="0.2">
      <c r="G9659" s="7"/>
    </row>
    <row r="9660" spans="7:7" x14ac:dyDescent="0.2">
      <c r="G9660" s="7"/>
    </row>
    <row r="9661" spans="7:7" x14ac:dyDescent="0.2">
      <c r="G9661" s="7"/>
    </row>
    <row r="9662" spans="7:7" x14ac:dyDescent="0.2">
      <c r="G9662" s="7"/>
    </row>
    <row r="9663" spans="7:7" x14ac:dyDescent="0.2">
      <c r="G9663" s="7"/>
    </row>
    <row r="9664" spans="7:7" x14ac:dyDescent="0.2">
      <c r="G9664" s="7"/>
    </row>
    <row r="9665" spans="7:7" x14ac:dyDescent="0.2">
      <c r="G9665" s="7"/>
    </row>
    <row r="9666" spans="7:7" x14ac:dyDescent="0.2">
      <c r="G9666" s="7"/>
    </row>
    <row r="9667" spans="7:7" x14ac:dyDescent="0.2">
      <c r="G9667" s="7"/>
    </row>
    <row r="9668" spans="7:7" x14ac:dyDescent="0.2">
      <c r="G9668" s="7"/>
    </row>
    <row r="9669" spans="7:7" x14ac:dyDescent="0.2">
      <c r="G9669" s="7"/>
    </row>
    <row r="9670" spans="7:7" x14ac:dyDescent="0.2">
      <c r="G9670" s="7"/>
    </row>
    <row r="9671" spans="7:7" x14ac:dyDescent="0.2">
      <c r="G9671" s="7"/>
    </row>
    <row r="9672" spans="7:7" x14ac:dyDescent="0.2">
      <c r="G9672" s="7"/>
    </row>
    <row r="9673" spans="7:7" x14ac:dyDescent="0.2">
      <c r="G9673" s="7"/>
    </row>
    <row r="9674" spans="7:7" x14ac:dyDescent="0.2">
      <c r="G9674" s="7"/>
    </row>
    <row r="9675" spans="7:7" x14ac:dyDescent="0.2">
      <c r="G9675" s="7"/>
    </row>
    <row r="9676" spans="7:7" x14ac:dyDescent="0.2">
      <c r="G9676" s="7"/>
    </row>
    <row r="9677" spans="7:7" x14ac:dyDescent="0.2">
      <c r="G9677" s="7"/>
    </row>
    <row r="9678" spans="7:7" x14ac:dyDescent="0.2">
      <c r="G9678" s="7"/>
    </row>
    <row r="9679" spans="7:7" x14ac:dyDescent="0.2">
      <c r="G9679" s="7"/>
    </row>
    <row r="9680" spans="7:7" x14ac:dyDescent="0.2">
      <c r="G9680" s="7"/>
    </row>
    <row r="9681" spans="7:7" x14ac:dyDescent="0.2">
      <c r="G9681" s="7"/>
    </row>
    <row r="9682" spans="7:7" x14ac:dyDescent="0.2">
      <c r="G9682" s="7"/>
    </row>
    <row r="9683" spans="7:7" x14ac:dyDescent="0.2">
      <c r="G9683" s="7"/>
    </row>
    <row r="9684" spans="7:7" x14ac:dyDescent="0.2">
      <c r="G9684" s="7"/>
    </row>
    <row r="9685" spans="7:7" x14ac:dyDescent="0.2">
      <c r="G9685" s="7"/>
    </row>
    <row r="9686" spans="7:7" x14ac:dyDescent="0.2">
      <c r="G9686" s="7"/>
    </row>
    <row r="9687" spans="7:7" x14ac:dyDescent="0.2">
      <c r="G9687" s="7"/>
    </row>
    <row r="9688" spans="7:7" x14ac:dyDescent="0.2">
      <c r="G9688" s="7"/>
    </row>
    <row r="9689" spans="7:7" x14ac:dyDescent="0.2">
      <c r="G9689" s="7"/>
    </row>
    <row r="9690" spans="7:7" x14ac:dyDescent="0.2">
      <c r="G9690" s="7"/>
    </row>
    <row r="9691" spans="7:7" x14ac:dyDescent="0.2">
      <c r="G9691" s="7"/>
    </row>
    <row r="9692" spans="7:7" x14ac:dyDescent="0.2">
      <c r="G9692" s="7"/>
    </row>
    <row r="9693" spans="7:7" x14ac:dyDescent="0.2">
      <c r="G9693" s="7"/>
    </row>
    <row r="9694" spans="7:7" x14ac:dyDescent="0.2">
      <c r="G9694" s="7"/>
    </row>
    <row r="9695" spans="7:7" x14ac:dyDescent="0.2">
      <c r="G9695" s="7"/>
    </row>
    <row r="9696" spans="7:7" x14ac:dyDescent="0.2">
      <c r="G9696" s="7"/>
    </row>
    <row r="9697" spans="7:7" x14ac:dyDescent="0.2">
      <c r="G9697" s="7"/>
    </row>
    <row r="9698" spans="7:7" x14ac:dyDescent="0.2">
      <c r="G9698" s="7"/>
    </row>
    <row r="9699" spans="7:7" x14ac:dyDescent="0.2">
      <c r="G9699" s="7"/>
    </row>
    <row r="9700" spans="7:7" x14ac:dyDescent="0.2">
      <c r="G9700" s="7"/>
    </row>
    <row r="9701" spans="7:7" x14ac:dyDescent="0.2">
      <c r="G9701" s="7"/>
    </row>
    <row r="9702" spans="7:7" x14ac:dyDescent="0.2">
      <c r="G9702" s="7"/>
    </row>
    <row r="9703" spans="7:7" x14ac:dyDescent="0.2">
      <c r="G9703" s="7"/>
    </row>
    <row r="9704" spans="7:7" x14ac:dyDescent="0.2">
      <c r="G9704" s="7"/>
    </row>
    <row r="9705" spans="7:7" x14ac:dyDescent="0.2">
      <c r="G9705" s="7"/>
    </row>
    <row r="9706" spans="7:7" x14ac:dyDescent="0.2">
      <c r="G9706" s="7"/>
    </row>
    <row r="9707" spans="7:7" x14ac:dyDescent="0.2">
      <c r="G9707" s="7"/>
    </row>
    <row r="9708" spans="7:7" x14ac:dyDescent="0.2">
      <c r="G9708" s="7"/>
    </row>
    <row r="9709" spans="7:7" x14ac:dyDescent="0.2">
      <c r="G9709" s="7"/>
    </row>
    <row r="9710" spans="7:7" x14ac:dyDescent="0.2">
      <c r="G9710" s="7"/>
    </row>
    <row r="9711" spans="7:7" x14ac:dyDescent="0.2">
      <c r="G9711" s="7"/>
    </row>
    <row r="9712" spans="7:7" x14ac:dyDescent="0.2">
      <c r="G9712" s="7"/>
    </row>
    <row r="9713" spans="7:7" x14ac:dyDescent="0.2">
      <c r="G9713" s="7"/>
    </row>
    <row r="9714" spans="7:7" x14ac:dyDescent="0.2">
      <c r="G9714" s="7"/>
    </row>
    <row r="9715" spans="7:7" x14ac:dyDescent="0.2">
      <c r="G9715" s="7"/>
    </row>
    <row r="9716" spans="7:7" x14ac:dyDescent="0.2">
      <c r="G9716" s="7"/>
    </row>
    <row r="9717" spans="7:7" x14ac:dyDescent="0.2">
      <c r="G9717" s="7"/>
    </row>
    <row r="9718" spans="7:7" x14ac:dyDescent="0.2">
      <c r="G9718" s="7"/>
    </row>
    <row r="9719" spans="7:7" x14ac:dyDescent="0.2">
      <c r="G9719" s="7"/>
    </row>
    <row r="9720" spans="7:7" x14ac:dyDescent="0.2">
      <c r="G9720" s="7"/>
    </row>
    <row r="9721" spans="7:7" x14ac:dyDescent="0.2">
      <c r="G9721" s="7"/>
    </row>
    <row r="9722" spans="7:7" x14ac:dyDescent="0.2">
      <c r="G9722" s="7"/>
    </row>
    <row r="9723" spans="7:7" x14ac:dyDescent="0.2">
      <c r="G9723" s="7"/>
    </row>
    <row r="9724" spans="7:7" x14ac:dyDescent="0.2">
      <c r="G9724" s="7"/>
    </row>
    <row r="9725" spans="7:7" x14ac:dyDescent="0.2">
      <c r="G9725" s="7"/>
    </row>
    <row r="9726" spans="7:7" x14ac:dyDescent="0.2">
      <c r="G9726" s="7"/>
    </row>
    <row r="9727" spans="7:7" x14ac:dyDescent="0.2">
      <c r="G9727" s="7"/>
    </row>
    <row r="9728" spans="7:7" x14ac:dyDescent="0.2">
      <c r="G9728" s="7"/>
    </row>
    <row r="9729" spans="7:7" x14ac:dyDescent="0.2">
      <c r="G9729" s="7"/>
    </row>
    <row r="9730" spans="7:7" x14ac:dyDescent="0.2">
      <c r="G9730" s="7"/>
    </row>
    <row r="9731" spans="7:7" x14ac:dyDescent="0.2">
      <c r="G9731" s="7"/>
    </row>
    <row r="9732" spans="7:7" x14ac:dyDescent="0.2">
      <c r="G9732" s="7"/>
    </row>
    <row r="9733" spans="7:7" x14ac:dyDescent="0.2">
      <c r="G9733" s="7"/>
    </row>
    <row r="9734" spans="7:7" x14ac:dyDescent="0.2">
      <c r="G9734" s="7"/>
    </row>
    <row r="9735" spans="7:7" x14ac:dyDescent="0.2">
      <c r="G9735" s="7"/>
    </row>
    <row r="9736" spans="7:7" x14ac:dyDescent="0.2">
      <c r="G9736" s="7"/>
    </row>
    <row r="9737" spans="7:7" x14ac:dyDescent="0.2">
      <c r="G9737" s="7"/>
    </row>
    <row r="9738" spans="7:7" x14ac:dyDescent="0.2">
      <c r="G9738" s="7"/>
    </row>
    <row r="9739" spans="7:7" x14ac:dyDescent="0.2">
      <c r="G9739" s="7"/>
    </row>
    <row r="9740" spans="7:7" x14ac:dyDescent="0.2">
      <c r="G9740" s="7"/>
    </row>
    <row r="9741" spans="7:7" x14ac:dyDescent="0.2">
      <c r="G9741" s="7"/>
    </row>
    <row r="9742" spans="7:7" x14ac:dyDescent="0.2">
      <c r="G9742" s="7"/>
    </row>
    <row r="9743" spans="7:7" x14ac:dyDescent="0.2">
      <c r="G9743" s="7"/>
    </row>
    <row r="9744" spans="7:7" x14ac:dyDescent="0.2">
      <c r="G9744" s="7"/>
    </row>
    <row r="9745" spans="7:7" x14ac:dyDescent="0.2">
      <c r="G9745" s="7"/>
    </row>
    <row r="9746" spans="7:7" x14ac:dyDescent="0.2">
      <c r="G9746" s="7"/>
    </row>
    <row r="9747" spans="7:7" x14ac:dyDescent="0.2">
      <c r="G9747" s="7"/>
    </row>
    <row r="9748" spans="7:7" x14ac:dyDescent="0.2">
      <c r="G9748" s="7"/>
    </row>
    <row r="9749" spans="7:7" x14ac:dyDescent="0.2">
      <c r="G9749" s="7"/>
    </row>
    <row r="9750" spans="7:7" x14ac:dyDescent="0.2">
      <c r="G9750" s="7"/>
    </row>
    <row r="9751" spans="7:7" x14ac:dyDescent="0.2">
      <c r="G9751" s="7"/>
    </row>
    <row r="9752" spans="7:7" x14ac:dyDescent="0.2">
      <c r="G9752" s="7"/>
    </row>
    <row r="9753" spans="7:7" x14ac:dyDescent="0.2">
      <c r="G9753" s="7"/>
    </row>
    <row r="9754" spans="7:7" x14ac:dyDescent="0.2">
      <c r="G9754" s="7"/>
    </row>
    <row r="9755" spans="7:7" x14ac:dyDescent="0.2">
      <c r="G9755" s="7"/>
    </row>
    <row r="9756" spans="7:7" x14ac:dyDescent="0.2">
      <c r="G9756" s="7"/>
    </row>
    <row r="9757" spans="7:7" x14ac:dyDescent="0.2">
      <c r="G9757" s="7"/>
    </row>
    <row r="9758" spans="7:7" x14ac:dyDescent="0.2">
      <c r="G9758" s="7"/>
    </row>
    <row r="9759" spans="7:7" x14ac:dyDescent="0.2">
      <c r="G9759" s="7"/>
    </row>
    <row r="9760" spans="7:7" x14ac:dyDescent="0.2">
      <c r="G9760" s="7"/>
    </row>
    <row r="9761" spans="7:7" x14ac:dyDescent="0.2">
      <c r="G9761" s="7"/>
    </row>
    <row r="9762" spans="7:7" x14ac:dyDescent="0.2">
      <c r="G9762" s="7"/>
    </row>
    <row r="9763" spans="7:7" x14ac:dyDescent="0.2">
      <c r="G9763" s="7"/>
    </row>
    <row r="9764" spans="7:7" x14ac:dyDescent="0.2">
      <c r="G9764" s="7"/>
    </row>
    <row r="9765" spans="7:7" x14ac:dyDescent="0.2">
      <c r="G9765" s="7"/>
    </row>
    <row r="9766" spans="7:7" x14ac:dyDescent="0.2">
      <c r="G9766" s="7"/>
    </row>
    <row r="9767" spans="7:7" x14ac:dyDescent="0.2">
      <c r="G9767" s="7"/>
    </row>
    <row r="9768" spans="7:7" x14ac:dyDescent="0.2">
      <c r="G9768" s="7"/>
    </row>
    <row r="9769" spans="7:7" x14ac:dyDescent="0.2">
      <c r="G9769" s="7"/>
    </row>
    <row r="9770" spans="7:7" x14ac:dyDescent="0.2">
      <c r="G9770" s="7"/>
    </row>
    <row r="9771" spans="7:7" x14ac:dyDescent="0.2">
      <c r="G9771" s="7"/>
    </row>
    <row r="9772" spans="7:7" x14ac:dyDescent="0.2">
      <c r="G9772" s="7"/>
    </row>
    <row r="9773" spans="7:7" x14ac:dyDescent="0.2">
      <c r="G9773" s="7"/>
    </row>
    <row r="9774" spans="7:7" x14ac:dyDescent="0.2">
      <c r="G9774" s="7"/>
    </row>
    <row r="9775" spans="7:7" x14ac:dyDescent="0.2">
      <c r="G9775" s="7"/>
    </row>
    <row r="9776" spans="7:7" x14ac:dyDescent="0.2">
      <c r="G9776" s="7"/>
    </row>
    <row r="9777" spans="7:7" x14ac:dyDescent="0.2">
      <c r="G9777" s="7"/>
    </row>
    <row r="9778" spans="7:7" x14ac:dyDescent="0.2">
      <c r="G9778" s="7"/>
    </row>
    <row r="9779" spans="7:7" x14ac:dyDescent="0.2">
      <c r="G9779" s="7"/>
    </row>
    <row r="9780" spans="7:7" x14ac:dyDescent="0.2">
      <c r="G9780" s="7"/>
    </row>
    <row r="9781" spans="7:7" x14ac:dyDescent="0.2">
      <c r="G9781" s="7"/>
    </row>
    <row r="9782" spans="7:7" x14ac:dyDescent="0.2">
      <c r="G9782" s="7"/>
    </row>
    <row r="9783" spans="7:7" x14ac:dyDescent="0.2">
      <c r="G9783" s="7"/>
    </row>
    <row r="9784" spans="7:7" x14ac:dyDescent="0.2">
      <c r="G9784" s="7"/>
    </row>
    <row r="9785" spans="7:7" x14ac:dyDescent="0.2">
      <c r="G9785" s="7"/>
    </row>
    <row r="9786" spans="7:7" x14ac:dyDescent="0.2">
      <c r="G9786" s="7"/>
    </row>
    <row r="9787" spans="7:7" x14ac:dyDescent="0.2">
      <c r="G9787" s="7"/>
    </row>
    <row r="9788" spans="7:7" x14ac:dyDescent="0.2">
      <c r="G9788" s="7"/>
    </row>
    <row r="9789" spans="7:7" x14ac:dyDescent="0.2">
      <c r="G9789" s="7"/>
    </row>
    <row r="9790" spans="7:7" x14ac:dyDescent="0.2">
      <c r="G9790" s="7"/>
    </row>
    <row r="9791" spans="7:7" x14ac:dyDescent="0.2">
      <c r="G9791" s="7"/>
    </row>
    <row r="9792" spans="7:7" x14ac:dyDescent="0.2">
      <c r="G9792" s="7"/>
    </row>
    <row r="9793" spans="7:7" x14ac:dyDescent="0.2">
      <c r="G9793" s="7"/>
    </row>
    <row r="9794" spans="7:7" x14ac:dyDescent="0.2">
      <c r="G9794" s="7"/>
    </row>
    <row r="9795" spans="7:7" x14ac:dyDescent="0.2">
      <c r="G9795" s="7"/>
    </row>
    <row r="9796" spans="7:7" x14ac:dyDescent="0.2">
      <c r="G9796" s="7"/>
    </row>
    <row r="9797" spans="7:7" x14ac:dyDescent="0.2">
      <c r="G9797" s="7"/>
    </row>
    <row r="9798" spans="7:7" x14ac:dyDescent="0.2">
      <c r="G9798" s="7"/>
    </row>
    <row r="9799" spans="7:7" x14ac:dyDescent="0.2">
      <c r="G9799" s="7"/>
    </row>
    <row r="9800" spans="7:7" x14ac:dyDescent="0.2">
      <c r="G9800" s="7"/>
    </row>
    <row r="9801" spans="7:7" x14ac:dyDescent="0.2">
      <c r="G9801" s="7"/>
    </row>
    <row r="9802" spans="7:7" x14ac:dyDescent="0.2">
      <c r="G9802" s="7"/>
    </row>
    <row r="9803" spans="7:7" x14ac:dyDescent="0.2">
      <c r="G9803" s="7"/>
    </row>
    <row r="9804" spans="7:7" x14ac:dyDescent="0.2">
      <c r="G9804" s="7"/>
    </row>
    <row r="9805" spans="7:7" x14ac:dyDescent="0.2">
      <c r="G9805" s="7"/>
    </row>
    <row r="9806" spans="7:7" x14ac:dyDescent="0.2">
      <c r="G9806" s="7"/>
    </row>
    <row r="9807" spans="7:7" x14ac:dyDescent="0.2">
      <c r="G9807" s="7"/>
    </row>
    <row r="9808" spans="7:7" x14ac:dyDescent="0.2">
      <c r="G9808" s="7"/>
    </row>
    <row r="9809" spans="7:7" x14ac:dyDescent="0.2">
      <c r="G9809" s="7"/>
    </row>
    <row r="9810" spans="7:7" x14ac:dyDescent="0.2">
      <c r="G9810" s="7"/>
    </row>
    <row r="9811" spans="7:7" x14ac:dyDescent="0.2">
      <c r="G9811" s="7"/>
    </row>
    <row r="9812" spans="7:7" x14ac:dyDescent="0.2">
      <c r="G9812" s="7"/>
    </row>
    <row r="9813" spans="7:7" x14ac:dyDescent="0.2">
      <c r="G9813" s="7"/>
    </row>
    <row r="9814" spans="7:7" x14ac:dyDescent="0.2">
      <c r="G9814" s="7"/>
    </row>
    <row r="9815" spans="7:7" x14ac:dyDescent="0.2">
      <c r="G9815" s="7"/>
    </row>
    <row r="9816" spans="7:7" x14ac:dyDescent="0.2">
      <c r="G9816" s="7"/>
    </row>
    <row r="9817" spans="7:7" x14ac:dyDescent="0.2">
      <c r="G9817" s="7"/>
    </row>
    <row r="9818" spans="7:7" x14ac:dyDescent="0.2">
      <c r="G9818" s="7"/>
    </row>
    <row r="9819" spans="7:7" x14ac:dyDescent="0.2">
      <c r="G9819" s="7"/>
    </row>
    <row r="9820" spans="7:7" x14ac:dyDescent="0.2">
      <c r="G9820" s="7"/>
    </row>
    <row r="9821" spans="7:7" x14ac:dyDescent="0.2">
      <c r="G9821" s="7"/>
    </row>
    <row r="9822" spans="7:7" x14ac:dyDescent="0.2">
      <c r="G9822" s="7"/>
    </row>
    <row r="9823" spans="7:7" x14ac:dyDescent="0.2">
      <c r="G9823" s="7"/>
    </row>
    <row r="9824" spans="7:7" x14ac:dyDescent="0.2">
      <c r="G9824" s="7"/>
    </row>
    <row r="9825" spans="7:7" x14ac:dyDescent="0.2">
      <c r="G9825" s="7"/>
    </row>
    <row r="9826" spans="7:7" x14ac:dyDescent="0.2">
      <c r="G9826" s="7"/>
    </row>
    <row r="9827" spans="7:7" x14ac:dyDescent="0.2">
      <c r="G9827" s="7"/>
    </row>
    <row r="9828" spans="7:7" x14ac:dyDescent="0.2">
      <c r="G9828" s="7"/>
    </row>
    <row r="9829" spans="7:7" x14ac:dyDescent="0.2">
      <c r="G9829" s="7"/>
    </row>
    <row r="9830" spans="7:7" x14ac:dyDescent="0.2">
      <c r="G9830" s="7"/>
    </row>
    <row r="9831" spans="7:7" x14ac:dyDescent="0.2">
      <c r="G9831" s="7"/>
    </row>
    <row r="9832" spans="7:7" x14ac:dyDescent="0.2">
      <c r="G9832" s="7"/>
    </row>
    <row r="9833" spans="7:7" x14ac:dyDescent="0.2">
      <c r="G9833" s="7"/>
    </row>
    <row r="9834" spans="7:7" x14ac:dyDescent="0.2">
      <c r="G9834" s="7"/>
    </row>
    <row r="9835" spans="7:7" x14ac:dyDescent="0.2">
      <c r="G9835" s="7"/>
    </row>
    <row r="9836" spans="7:7" x14ac:dyDescent="0.2">
      <c r="G9836" s="7"/>
    </row>
    <row r="9837" spans="7:7" x14ac:dyDescent="0.2">
      <c r="G9837" s="7"/>
    </row>
    <row r="9838" spans="7:7" x14ac:dyDescent="0.2">
      <c r="G9838" s="7"/>
    </row>
    <row r="9839" spans="7:7" x14ac:dyDescent="0.2">
      <c r="G9839" s="7"/>
    </row>
    <row r="9840" spans="7:7" x14ac:dyDescent="0.2">
      <c r="G9840" s="7"/>
    </row>
    <row r="9841" spans="7:7" x14ac:dyDescent="0.2">
      <c r="G9841" s="7"/>
    </row>
    <row r="9842" spans="7:7" x14ac:dyDescent="0.2">
      <c r="G9842" s="7"/>
    </row>
    <row r="9843" spans="7:7" x14ac:dyDescent="0.2">
      <c r="G9843" s="7"/>
    </row>
    <row r="9844" spans="7:7" x14ac:dyDescent="0.2">
      <c r="G9844" s="7"/>
    </row>
    <row r="9845" spans="7:7" x14ac:dyDescent="0.2">
      <c r="G9845" s="7"/>
    </row>
    <row r="9846" spans="7:7" x14ac:dyDescent="0.2">
      <c r="G9846" s="7"/>
    </row>
    <row r="9847" spans="7:7" x14ac:dyDescent="0.2">
      <c r="G9847" s="7"/>
    </row>
    <row r="9848" spans="7:7" x14ac:dyDescent="0.2">
      <c r="G9848" s="7"/>
    </row>
    <row r="9849" spans="7:7" x14ac:dyDescent="0.2">
      <c r="G9849" s="7"/>
    </row>
    <row r="9850" spans="7:7" x14ac:dyDescent="0.2">
      <c r="G9850" s="7"/>
    </row>
    <row r="9851" spans="7:7" x14ac:dyDescent="0.2">
      <c r="G9851" s="7"/>
    </row>
    <row r="9852" spans="7:7" x14ac:dyDescent="0.2">
      <c r="G9852" s="7"/>
    </row>
    <row r="9853" spans="7:7" x14ac:dyDescent="0.2">
      <c r="G9853" s="7"/>
    </row>
    <row r="9854" spans="7:7" x14ac:dyDescent="0.2">
      <c r="G9854" s="7"/>
    </row>
    <row r="9855" spans="7:7" x14ac:dyDescent="0.2">
      <c r="G9855" s="7"/>
    </row>
    <row r="9856" spans="7:7" x14ac:dyDescent="0.2">
      <c r="G9856" s="7"/>
    </row>
    <row r="9857" spans="7:7" x14ac:dyDescent="0.2">
      <c r="G9857" s="7"/>
    </row>
    <row r="9858" spans="7:7" x14ac:dyDescent="0.2">
      <c r="G9858" s="7"/>
    </row>
    <row r="9859" spans="7:7" x14ac:dyDescent="0.2">
      <c r="G9859" s="7"/>
    </row>
    <row r="9860" spans="7:7" x14ac:dyDescent="0.2">
      <c r="G9860" s="7"/>
    </row>
    <row r="9861" spans="7:7" x14ac:dyDescent="0.2">
      <c r="G9861" s="7"/>
    </row>
    <row r="9862" spans="7:7" x14ac:dyDescent="0.2">
      <c r="G9862" s="7"/>
    </row>
    <row r="9863" spans="7:7" x14ac:dyDescent="0.2">
      <c r="G9863" s="7"/>
    </row>
    <row r="9864" spans="7:7" x14ac:dyDescent="0.2">
      <c r="G9864" s="7"/>
    </row>
    <row r="9865" spans="7:7" x14ac:dyDescent="0.2">
      <c r="G9865" s="7"/>
    </row>
    <row r="9866" spans="7:7" x14ac:dyDescent="0.2">
      <c r="G9866" s="7"/>
    </row>
    <row r="9867" spans="7:7" x14ac:dyDescent="0.2">
      <c r="G9867" s="7"/>
    </row>
    <row r="9868" spans="7:7" x14ac:dyDescent="0.2">
      <c r="G9868" s="7"/>
    </row>
    <row r="9869" spans="7:7" x14ac:dyDescent="0.2">
      <c r="G9869" s="7"/>
    </row>
    <row r="9870" spans="7:7" x14ac:dyDescent="0.2">
      <c r="G9870" s="7"/>
    </row>
    <row r="9871" spans="7:7" x14ac:dyDescent="0.2">
      <c r="G9871" s="7"/>
    </row>
    <row r="9872" spans="7:7" x14ac:dyDescent="0.2">
      <c r="G9872" s="7"/>
    </row>
    <row r="9873" spans="7:7" x14ac:dyDescent="0.2">
      <c r="G9873" s="7"/>
    </row>
    <row r="9874" spans="7:7" x14ac:dyDescent="0.2">
      <c r="G9874" s="7"/>
    </row>
    <row r="9875" spans="7:7" x14ac:dyDescent="0.2">
      <c r="G9875" s="7"/>
    </row>
    <row r="9876" spans="7:7" x14ac:dyDescent="0.2">
      <c r="G9876" s="7"/>
    </row>
    <row r="9877" spans="7:7" x14ac:dyDescent="0.2">
      <c r="G9877" s="7"/>
    </row>
    <row r="9878" spans="7:7" x14ac:dyDescent="0.2">
      <c r="G9878" s="7"/>
    </row>
    <row r="9879" spans="7:7" x14ac:dyDescent="0.2">
      <c r="G9879" s="7"/>
    </row>
    <row r="9880" spans="7:7" x14ac:dyDescent="0.2">
      <c r="G9880" s="7"/>
    </row>
    <row r="9881" spans="7:7" x14ac:dyDescent="0.2">
      <c r="G9881" s="7"/>
    </row>
    <row r="9882" spans="7:7" x14ac:dyDescent="0.2">
      <c r="G9882" s="7"/>
    </row>
    <row r="9883" spans="7:7" x14ac:dyDescent="0.2">
      <c r="G9883" s="7"/>
    </row>
    <row r="9884" spans="7:7" x14ac:dyDescent="0.2">
      <c r="G9884" s="7"/>
    </row>
    <row r="9885" spans="7:7" x14ac:dyDescent="0.2">
      <c r="G9885" s="7"/>
    </row>
    <row r="9886" spans="7:7" x14ac:dyDescent="0.2">
      <c r="G9886" s="7"/>
    </row>
    <row r="9887" spans="7:7" x14ac:dyDescent="0.2">
      <c r="G9887" s="7"/>
    </row>
    <row r="9888" spans="7:7" x14ac:dyDescent="0.2">
      <c r="G9888" s="7"/>
    </row>
    <row r="9889" spans="7:7" x14ac:dyDescent="0.2">
      <c r="G9889" s="7"/>
    </row>
    <row r="9890" spans="7:7" x14ac:dyDescent="0.2">
      <c r="G9890" s="7"/>
    </row>
    <row r="9891" spans="7:7" x14ac:dyDescent="0.2">
      <c r="G9891" s="7"/>
    </row>
    <row r="9892" spans="7:7" x14ac:dyDescent="0.2">
      <c r="G9892" s="7"/>
    </row>
    <row r="9893" spans="7:7" x14ac:dyDescent="0.2">
      <c r="G9893" s="7"/>
    </row>
    <row r="9894" spans="7:7" x14ac:dyDescent="0.2">
      <c r="G9894" s="7"/>
    </row>
    <row r="9895" spans="7:7" x14ac:dyDescent="0.2">
      <c r="G9895" s="7"/>
    </row>
    <row r="9896" spans="7:7" x14ac:dyDescent="0.2">
      <c r="G9896" s="7"/>
    </row>
    <row r="9897" spans="7:7" x14ac:dyDescent="0.2">
      <c r="G9897" s="7"/>
    </row>
    <row r="9898" spans="7:7" x14ac:dyDescent="0.2">
      <c r="G9898" s="7"/>
    </row>
    <row r="9899" spans="7:7" x14ac:dyDescent="0.2">
      <c r="G9899" s="7"/>
    </row>
    <row r="9900" spans="7:7" x14ac:dyDescent="0.2">
      <c r="G9900" s="7"/>
    </row>
    <row r="9901" spans="7:7" x14ac:dyDescent="0.2">
      <c r="G9901" s="7"/>
    </row>
    <row r="9902" spans="7:7" x14ac:dyDescent="0.2">
      <c r="G9902" s="7"/>
    </row>
    <row r="9903" spans="7:7" x14ac:dyDescent="0.2">
      <c r="G9903" s="7"/>
    </row>
    <row r="9904" spans="7:7" x14ac:dyDescent="0.2">
      <c r="G9904" s="7"/>
    </row>
    <row r="9905" spans="7:7" x14ac:dyDescent="0.2">
      <c r="G9905" s="7"/>
    </row>
    <row r="9906" spans="7:7" x14ac:dyDescent="0.2">
      <c r="G9906" s="7"/>
    </row>
    <row r="9907" spans="7:7" x14ac:dyDescent="0.2">
      <c r="G9907" s="7"/>
    </row>
    <row r="9908" spans="7:7" x14ac:dyDescent="0.2">
      <c r="G9908" s="7"/>
    </row>
    <row r="9909" spans="7:7" x14ac:dyDescent="0.2">
      <c r="G9909" s="7"/>
    </row>
    <row r="9910" spans="7:7" x14ac:dyDescent="0.2">
      <c r="G9910" s="7"/>
    </row>
    <row r="9911" spans="7:7" x14ac:dyDescent="0.2">
      <c r="G9911" s="7"/>
    </row>
    <row r="9912" spans="7:7" x14ac:dyDescent="0.2">
      <c r="G9912" s="7"/>
    </row>
    <row r="9913" spans="7:7" x14ac:dyDescent="0.2">
      <c r="G9913" s="7"/>
    </row>
    <row r="9914" spans="7:7" x14ac:dyDescent="0.2">
      <c r="G9914" s="7"/>
    </row>
    <row r="9915" spans="7:7" x14ac:dyDescent="0.2">
      <c r="G9915" s="7"/>
    </row>
    <row r="9916" spans="7:7" x14ac:dyDescent="0.2">
      <c r="G9916" s="7"/>
    </row>
    <row r="9917" spans="7:7" x14ac:dyDescent="0.2">
      <c r="G9917" s="7"/>
    </row>
    <row r="9918" spans="7:7" x14ac:dyDescent="0.2">
      <c r="G9918" s="7"/>
    </row>
    <row r="9919" spans="7:7" x14ac:dyDescent="0.2">
      <c r="G9919" s="7"/>
    </row>
    <row r="9920" spans="7:7" x14ac:dyDescent="0.2">
      <c r="G9920" s="7"/>
    </row>
    <row r="9921" spans="7:7" x14ac:dyDescent="0.2">
      <c r="G9921" s="7"/>
    </row>
    <row r="9922" spans="7:7" x14ac:dyDescent="0.2">
      <c r="G9922" s="7"/>
    </row>
    <row r="9923" spans="7:7" x14ac:dyDescent="0.2">
      <c r="G9923" s="7"/>
    </row>
    <row r="9924" spans="7:7" x14ac:dyDescent="0.2">
      <c r="G9924" s="7"/>
    </row>
    <row r="9925" spans="7:7" x14ac:dyDescent="0.2">
      <c r="G9925" s="7"/>
    </row>
    <row r="9926" spans="7:7" x14ac:dyDescent="0.2">
      <c r="G9926" s="7"/>
    </row>
    <row r="9927" spans="7:7" x14ac:dyDescent="0.2">
      <c r="G9927" s="7"/>
    </row>
    <row r="9928" spans="7:7" x14ac:dyDescent="0.2">
      <c r="G9928" s="7"/>
    </row>
    <row r="9929" spans="7:7" x14ac:dyDescent="0.2">
      <c r="G9929" s="7"/>
    </row>
    <row r="9930" spans="7:7" x14ac:dyDescent="0.2">
      <c r="G9930" s="7"/>
    </row>
    <row r="9931" spans="7:7" x14ac:dyDescent="0.2">
      <c r="G9931" s="7"/>
    </row>
    <row r="9932" spans="7:7" x14ac:dyDescent="0.2">
      <c r="G9932" s="7"/>
    </row>
    <row r="9933" spans="7:7" x14ac:dyDescent="0.2">
      <c r="G9933" s="7"/>
    </row>
    <row r="9934" spans="7:7" x14ac:dyDescent="0.2">
      <c r="G9934" s="7"/>
    </row>
    <row r="9935" spans="7:7" x14ac:dyDescent="0.2">
      <c r="G9935" s="7"/>
    </row>
    <row r="9936" spans="7:7" x14ac:dyDescent="0.2">
      <c r="G9936" s="7"/>
    </row>
    <row r="9937" spans="7:7" x14ac:dyDescent="0.2">
      <c r="G9937" s="7"/>
    </row>
    <row r="9938" spans="7:7" x14ac:dyDescent="0.2">
      <c r="G9938" s="7"/>
    </row>
    <row r="9939" spans="7:7" x14ac:dyDescent="0.2">
      <c r="G9939" s="7"/>
    </row>
    <row r="9940" spans="7:7" x14ac:dyDescent="0.2">
      <c r="G9940" s="7"/>
    </row>
    <row r="9941" spans="7:7" x14ac:dyDescent="0.2">
      <c r="G9941" s="7"/>
    </row>
    <row r="9942" spans="7:7" x14ac:dyDescent="0.2">
      <c r="G9942" s="7"/>
    </row>
    <row r="9943" spans="7:7" x14ac:dyDescent="0.2">
      <c r="G9943" s="7"/>
    </row>
    <row r="9944" spans="7:7" x14ac:dyDescent="0.2">
      <c r="G9944" s="7"/>
    </row>
    <row r="9945" spans="7:7" x14ac:dyDescent="0.2">
      <c r="G9945" s="7"/>
    </row>
    <row r="9946" spans="7:7" x14ac:dyDescent="0.2">
      <c r="G9946" s="7"/>
    </row>
    <row r="9947" spans="7:7" x14ac:dyDescent="0.2">
      <c r="G9947" s="7"/>
    </row>
    <row r="9948" spans="7:7" x14ac:dyDescent="0.2">
      <c r="G9948" s="7"/>
    </row>
    <row r="9949" spans="7:7" x14ac:dyDescent="0.2">
      <c r="G9949" s="7"/>
    </row>
    <row r="9950" spans="7:7" x14ac:dyDescent="0.2">
      <c r="G9950" s="7"/>
    </row>
    <row r="9951" spans="7:7" x14ac:dyDescent="0.2">
      <c r="G9951" s="7"/>
    </row>
    <row r="9952" spans="7:7" x14ac:dyDescent="0.2">
      <c r="G9952" s="7"/>
    </row>
    <row r="9953" spans="7:7" x14ac:dyDescent="0.2">
      <c r="G9953" s="7"/>
    </row>
    <row r="9954" spans="7:7" x14ac:dyDescent="0.2">
      <c r="G9954" s="7"/>
    </row>
    <row r="9955" spans="7:7" x14ac:dyDescent="0.2">
      <c r="G9955" s="7"/>
    </row>
    <row r="9956" spans="7:7" x14ac:dyDescent="0.2">
      <c r="G9956" s="7"/>
    </row>
    <row r="9957" spans="7:7" x14ac:dyDescent="0.2">
      <c r="G9957" s="7"/>
    </row>
    <row r="9958" spans="7:7" x14ac:dyDescent="0.2">
      <c r="G9958" s="7"/>
    </row>
    <row r="9959" spans="7:7" x14ac:dyDescent="0.2">
      <c r="G9959" s="7"/>
    </row>
    <row r="9960" spans="7:7" x14ac:dyDescent="0.2">
      <c r="G9960" s="7"/>
    </row>
    <row r="9961" spans="7:7" x14ac:dyDescent="0.2">
      <c r="G9961" s="7"/>
    </row>
    <row r="9962" spans="7:7" x14ac:dyDescent="0.2">
      <c r="G9962" s="7"/>
    </row>
    <row r="9963" spans="7:7" x14ac:dyDescent="0.2">
      <c r="G9963" s="7"/>
    </row>
    <row r="9964" spans="7:7" x14ac:dyDescent="0.2">
      <c r="G9964" s="7"/>
    </row>
    <row r="9965" spans="7:7" x14ac:dyDescent="0.2">
      <c r="G9965" s="7"/>
    </row>
    <row r="9966" spans="7:7" x14ac:dyDescent="0.2">
      <c r="G9966" s="7"/>
    </row>
    <row r="9967" spans="7:7" x14ac:dyDescent="0.2">
      <c r="G9967" s="7"/>
    </row>
    <row r="9968" spans="7:7" x14ac:dyDescent="0.2">
      <c r="G9968" s="7"/>
    </row>
    <row r="9969" spans="7:7" x14ac:dyDescent="0.2">
      <c r="G9969" s="7"/>
    </row>
    <row r="9970" spans="7:7" x14ac:dyDescent="0.2">
      <c r="G9970" s="7"/>
    </row>
    <row r="9971" spans="7:7" x14ac:dyDescent="0.2">
      <c r="G9971" s="7"/>
    </row>
    <row r="9972" spans="7:7" x14ac:dyDescent="0.2">
      <c r="G9972" s="7"/>
    </row>
    <row r="9973" spans="7:7" x14ac:dyDescent="0.2">
      <c r="G9973" s="7"/>
    </row>
    <row r="9974" spans="7:7" x14ac:dyDescent="0.2">
      <c r="G9974" s="7"/>
    </row>
    <row r="9975" spans="7:7" x14ac:dyDescent="0.2">
      <c r="G9975" s="7"/>
    </row>
    <row r="9976" spans="7:7" x14ac:dyDescent="0.2">
      <c r="G9976" s="7"/>
    </row>
    <row r="9977" spans="7:7" x14ac:dyDescent="0.2">
      <c r="G9977" s="7"/>
    </row>
    <row r="9978" spans="7:7" x14ac:dyDescent="0.2">
      <c r="G9978" s="7"/>
    </row>
    <row r="9979" spans="7:7" x14ac:dyDescent="0.2">
      <c r="G9979" s="7"/>
    </row>
    <row r="9980" spans="7:7" x14ac:dyDescent="0.2">
      <c r="G9980" s="7"/>
    </row>
    <row r="9981" spans="7:7" x14ac:dyDescent="0.2">
      <c r="G9981" s="7"/>
    </row>
    <row r="9982" spans="7:7" x14ac:dyDescent="0.2">
      <c r="G9982" s="7"/>
    </row>
    <row r="9983" spans="7:7" x14ac:dyDescent="0.2">
      <c r="G9983" s="7"/>
    </row>
    <row r="9984" spans="7:7" x14ac:dyDescent="0.2">
      <c r="G9984" s="7"/>
    </row>
    <row r="9985" spans="7:7" x14ac:dyDescent="0.2">
      <c r="G9985" s="7"/>
    </row>
    <row r="9986" spans="7:7" x14ac:dyDescent="0.2">
      <c r="G9986" s="7"/>
    </row>
    <row r="9987" spans="7:7" x14ac:dyDescent="0.2">
      <c r="G9987" s="7"/>
    </row>
    <row r="9988" spans="7:7" x14ac:dyDescent="0.2">
      <c r="G9988" s="7"/>
    </row>
    <row r="9989" spans="7:7" x14ac:dyDescent="0.2">
      <c r="G9989" s="7"/>
    </row>
    <row r="9990" spans="7:7" x14ac:dyDescent="0.2">
      <c r="G9990" s="7"/>
    </row>
    <row r="9991" spans="7:7" x14ac:dyDescent="0.2">
      <c r="G9991" s="7"/>
    </row>
    <row r="9992" spans="7:7" x14ac:dyDescent="0.2">
      <c r="G9992" s="7"/>
    </row>
    <row r="9993" spans="7:7" x14ac:dyDescent="0.2">
      <c r="G9993" s="7"/>
    </row>
    <row r="9994" spans="7:7" x14ac:dyDescent="0.2">
      <c r="G9994" s="7"/>
    </row>
    <row r="9995" spans="7:7" x14ac:dyDescent="0.2">
      <c r="G9995" s="7"/>
    </row>
    <row r="9996" spans="7:7" x14ac:dyDescent="0.2">
      <c r="G9996" s="7"/>
    </row>
    <row r="9997" spans="7:7" x14ac:dyDescent="0.2">
      <c r="G9997" s="7"/>
    </row>
    <row r="9998" spans="7:7" x14ac:dyDescent="0.2">
      <c r="G9998" s="7"/>
    </row>
    <row r="9999" spans="7:7" x14ac:dyDescent="0.2">
      <c r="G9999" s="7"/>
    </row>
    <row r="10000" spans="7:7" x14ac:dyDescent="0.2">
      <c r="G10000" s="7"/>
    </row>
    <row r="10001" spans="7:7" x14ac:dyDescent="0.2">
      <c r="G10001" s="7"/>
    </row>
    <row r="10002" spans="7:7" x14ac:dyDescent="0.2">
      <c r="G10002" s="7"/>
    </row>
    <row r="10003" spans="7:7" x14ac:dyDescent="0.2">
      <c r="G10003" s="7"/>
    </row>
    <row r="10004" spans="7:7" x14ac:dyDescent="0.2">
      <c r="G10004" s="7"/>
    </row>
    <row r="10005" spans="7:7" x14ac:dyDescent="0.2">
      <c r="G10005" s="7"/>
    </row>
    <row r="10006" spans="7:7" x14ac:dyDescent="0.2">
      <c r="G10006" s="7"/>
    </row>
    <row r="10007" spans="7:7" x14ac:dyDescent="0.2">
      <c r="G10007" s="7"/>
    </row>
    <row r="10008" spans="7:7" x14ac:dyDescent="0.2">
      <c r="G10008" s="7"/>
    </row>
    <row r="10009" spans="7:7" x14ac:dyDescent="0.2">
      <c r="G10009" s="7"/>
    </row>
    <row r="10010" spans="7:7" x14ac:dyDescent="0.2">
      <c r="G10010" s="7"/>
    </row>
    <row r="10011" spans="7:7" x14ac:dyDescent="0.2">
      <c r="G10011" s="7"/>
    </row>
    <row r="10012" spans="7:7" x14ac:dyDescent="0.2">
      <c r="G10012" s="7"/>
    </row>
    <row r="10013" spans="7:7" x14ac:dyDescent="0.2">
      <c r="G10013" s="7"/>
    </row>
    <row r="10014" spans="7:7" x14ac:dyDescent="0.2">
      <c r="G10014" s="7"/>
    </row>
    <row r="10015" spans="7:7" x14ac:dyDescent="0.2">
      <c r="G10015" s="7"/>
    </row>
    <row r="10016" spans="7:7" x14ac:dyDescent="0.2">
      <c r="G10016" s="7"/>
    </row>
    <row r="10017" spans="7:7" x14ac:dyDescent="0.2">
      <c r="G10017" s="7"/>
    </row>
    <row r="10018" spans="7:7" x14ac:dyDescent="0.2">
      <c r="G10018" s="7"/>
    </row>
    <row r="10019" spans="7:7" x14ac:dyDescent="0.2">
      <c r="G10019" s="7"/>
    </row>
    <row r="10020" spans="7:7" x14ac:dyDescent="0.2">
      <c r="G10020" s="7"/>
    </row>
    <row r="10021" spans="7:7" x14ac:dyDescent="0.2">
      <c r="G10021" s="7"/>
    </row>
    <row r="10022" spans="7:7" x14ac:dyDescent="0.2">
      <c r="G10022" s="7"/>
    </row>
    <row r="10023" spans="7:7" x14ac:dyDescent="0.2">
      <c r="G10023" s="7"/>
    </row>
    <row r="10024" spans="7:7" x14ac:dyDescent="0.2">
      <c r="G10024" s="7"/>
    </row>
    <row r="10025" spans="7:7" x14ac:dyDescent="0.2">
      <c r="G10025" s="7"/>
    </row>
    <row r="10026" spans="7:7" x14ac:dyDescent="0.2">
      <c r="G10026" s="7"/>
    </row>
    <row r="10027" spans="7:7" x14ac:dyDescent="0.2">
      <c r="G10027" s="7"/>
    </row>
    <row r="10028" spans="7:7" x14ac:dyDescent="0.2">
      <c r="G10028" s="7"/>
    </row>
    <row r="10029" spans="7:7" x14ac:dyDescent="0.2">
      <c r="G10029" s="7"/>
    </row>
    <row r="10030" spans="7:7" x14ac:dyDescent="0.2">
      <c r="G10030" s="7"/>
    </row>
    <row r="10031" spans="7:7" x14ac:dyDescent="0.2">
      <c r="G10031" s="7"/>
    </row>
    <row r="10032" spans="7:7" x14ac:dyDescent="0.2">
      <c r="G10032" s="7"/>
    </row>
    <row r="10033" spans="7:7" x14ac:dyDescent="0.2">
      <c r="G10033" s="7"/>
    </row>
    <row r="10034" spans="7:7" x14ac:dyDescent="0.2">
      <c r="G10034" s="7"/>
    </row>
    <row r="10035" spans="7:7" x14ac:dyDescent="0.2">
      <c r="G10035" s="7"/>
    </row>
    <row r="10036" spans="7:7" x14ac:dyDescent="0.2">
      <c r="G10036" s="7"/>
    </row>
    <row r="10037" spans="7:7" x14ac:dyDescent="0.2">
      <c r="G10037" s="7"/>
    </row>
    <row r="10038" spans="7:7" x14ac:dyDescent="0.2">
      <c r="G10038" s="7"/>
    </row>
    <row r="10039" spans="7:7" x14ac:dyDescent="0.2">
      <c r="G10039" s="7"/>
    </row>
    <row r="10040" spans="7:7" x14ac:dyDescent="0.2">
      <c r="G10040" s="7"/>
    </row>
    <row r="10041" spans="7:7" x14ac:dyDescent="0.2">
      <c r="G10041" s="7"/>
    </row>
    <row r="10042" spans="7:7" x14ac:dyDescent="0.2">
      <c r="G10042" s="7"/>
    </row>
    <row r="10043" spans="7:7" x14ac:dyDescent="0.2">
      <c r="G10043" s="7"/>
    </row>
    <row r="10044" spans="7:7" x14ac:dyDescent="0.2">
      <c r="G10044" s="7"/>
    </row>
    <row r="10045" spans="7:7" x14ac:dyDescent="0.2">
      <c r="G10045" s="7"/>
    </row>
    <row r="10046" spans="7:7" x14ac:dyDescent="0.2">
      <c r="G10046" s="7"/>
    </row>
    <row r="10047" spans="7:7" x14ac:dyDescent="0.2">
      <c r="G10047" s="7"/>
    </row>
    <row r="10048" spans="7:7" x14ac:dyDescent="0.2">
      <c r="G10048" s="7"/>
    </row>
    <row r="10049" spans="7:7" x14ac:dyDescent="0.2">
      <c r="G10049" s="7"/>
    </row>
    <row r="10050" spans="7:7" x14ac:dyDescent="0.2">
      <c r="G10050" s="7"/>
    </row>
    <row r="10051" spans="7:7" x14ac:dyDescent="0.2">
      <c r="G10051" s="7"/>
    </row>
    <row r="10052" spans="7:7" x14ac:dyDescent="0.2">
      <c r="G10052" s="7"/>
    </row>
    <row r="10053" spans="7:7" x14ac:dyDescent="0.2">
      <c r="G10053" s="7"/>
    </row>
    <row r="10054" spans="7:7" x14ac:dyDescent="0.2">
      <c r="G10054" s="7"/>
    </row>
    <row r="10055" spans="7:7" x14ac:dyDescent="0.2">
      <c r="G10055" s="7"/>
    </row>
    <row r="10056" spans="7:7" x14ac:dyDescent="0.2">
      <c r="G10056" s="7"/>
    </row>
    <row r="10057" spans="7:7" x14ac:dyDescent="0.2">
      <c r="G10057" s="7"/>
    </row>
    <row r="10058" spans="7:7" x14ac:dyDescent="0.2">
      <c r="G10058" s="7"/>
    </row>
    <row r="10059" spans="7:7" x14ac:dyDescent="0.2">
      <c r="G10059" s="7"/>
    </row>
    <row r="10060" spans="7:7" x14ac:dyDescent="0.2">
      <c r="G10060" s="7"/>
    </row>
    <row r="10061" spans="7:7" x14ac:dyDescent="0.2">
      <c r="G10061" s="7"/>
    </row>
    <row r="10062" spans="7:7" x14ac:dyDescent="0.2">
      <c r="G10062" s="7"/>
    </row>
    <row r="10063" spans="7:7" x14ac:dyDescent="0.2">
      <c r="G10063" s="7"/>
    </row>
    <row r="10064" spans="7:7" x14ac:dyDescent="0.2">
      <c r="G10064" s="7"/>
    </row>
    <row r="10065" spans="7:7" x14ac:dyDescent="0.2">
      <c r="G10065" s="7"/>
    </row>
    <row r="10066" spans="7:7" x14ac:dyDescent="0.2">
      <c r="G10066" s="7"/>
    </row>
    <row r="10067" spans="7:7" x14ac:dyDescent="0.2">
      <c r="G10067" s="7"/>
    </row>
    <row r="10068" spans="7:7" x14ac:dyDescent="0.2">
      <c r="G10068" s="7"/>
    </row>
    <row r="10069" spans="7:7" x14ac:dyDescent="0.2">
      <c r="G10069" s="7"/>
    </row>
    <row r="10070" spans="7:7" x14ac:dyDescent="0.2">
      <c r="G10070" s="7"/>
    </row>
    <row r="10071" spans="7:7" x14ac:dyDescent="0.2">
      <c r="G10071" s="7"/>
    </row>
    <row r="10072" spans="7:7" x14ac:dyDescent="0.2">
      <c r="G10072" s="7"/>
    </row>
    <row r="10073" spans="7:7" x14ac:dyDescent="0.2">
      <c r="G10073" s="7"/>
    </row>
    <row r="10074" spans="7:7" x14ac:dyDescent="0.2">
      <c r="G10074" s="7"/>
    </row>
    <row r="10075" spans="7:7" x14ac:dyDescent="0.2">
      <c r="G10075" s="7"/>
    </row>
    <row r="10076" spans="7:7" x14ac:dyDescent="0.2">
      <c r="G10076" s="7"/>
    </row>
    <row r="10077" spans="7:7" x14ac:dyDescent="0.2">
      <c r="G10077" s="7"/>
    </row>
    <row r="10078" spans="7:7" x14ac:dyDescent="0.2">
      <c r="G10078" s="7"/>
    </row>
    <row r="10079" spans="7:7" x14ac:dyDescent="0.2">
      <c r="G10079" s="7"/>
    </row>
    <row r="10080" spans="7:7" x14ac:dyDescent="0.2">
      <c r="G10080" s="7"/>
    </row>
    <row r="10081" spans="7:7" x14ac:dyDescent="0.2">
      <c r="G10081" s="7"/>
    </row>
    <row r="10082" spans="7:7" x14ac:dyDescent="0.2">
      <c r="G10082" s="7"/>
    </row>
    <row r="10083" spans="7:7" x14ac:dyDescent="0.2">
      <c r="G10083" s="7"/>
    </row>
    <row r="10084" spans="7:7" x14ac:dyDescent="0.2">
      <c r="G10084" s="7"/>
    </row>
    <row r="10085" spans="7:7" x14ac:dyDescent="0.2">
      <c r="G10085" s="7"/>
    </row>
    <row r="10086" spans="7:7" x14ac:dyDescent="0.2">
      <c r="G10086" s="7"/>
    </row>
    <row r="10087" spans="7:7" x14ac:dyDescent="0.2">
      <c r="G10087" s="7"/>
    </row>
    <row r="10088" spans="7:7" x14ac:dyDescent="0.2">
      <c r="G10088" s="7"/>
    </row>
    <row r="10089" spans="7:7" x14ac:dyDescent="0.2">
      <c r="G10089" s="7"/>
    </row>
    <row r="10090" spans="7:7" x14ac:dyDescent="0.2">
      <c r="G10090" s="7"/>
    </row>
    <row r="10091" spans="7:7" x14ac:dyDescent="0.2">
      <c r="G10091" s="7"/>
    </row>
    <row r="10092" spans="7:7" x14ac:dyDescent="0.2">
      <c r="G10092" s="7"/>
    </row>
    <row r="10093" spans="7:7" x14ac:dyDescent="0.2">
      <c r="G10093" s="7"/>
    </row>
    <row r="10094" spans="7:7" x14ac:dyDescent="0.2">
      <c r="G10094" s="7"/>
    </row>
    <row r="10095" spans="7:7" x14ac:dyDescent="0.2">
      <c r="G10095" s="7"/>
    </row>
    <row r="10096" spans="7:7" x14ac:dyDescent="0.2">
      <c r="G10096" s="7"/>
    </row>
    <row r="10097" spans="7:7" x14ac:dyDescent="0.2">
      <c r="G10097" s="7"/>
    </row>
    <row r="10098" spans="7:7" x14ac:dyDescent="0.2">
      <c r="G10098" s="7"/>
    </row>
    <row r="10099" spans="7:7" x14ac:dyDescent="0.2">
      <c r="G10099" s="7"/>
    </row>
    <row r="10100" spans="7:7" x14ac:dyDescent="0.2">
      <c r="G10100" s="7"/>
    </row>
    <row r="10101" spans="7:7" x14ac:dyDescent="0.2">
      <c r="G10101" s="7"/>
    </row>
    <row r="10102" spans="7:7" x14ac:dyDescent="0.2">
      <c r="G10102" s="7"/>
    </row>
    <row r="10103" spans="7:7" x14ac:dyDescent="0.2">
      <c r="G10103" s="7"/>
    </row>
    <row r="10104" spans="7:7" x14ac:dyDescent="0.2">
      <c r="G10104" s="7"/>
    </row>
    <row r="10105" spans="7:7" x14ac:dyDescent="0.2">
      <c r="G10105" s="7"/>
    </row>
    <row r="10106" spans="7:7" x14ac:dyDescent="0.2">
      <c r="G10106" s="7"/>
    </row>
    <row r="10107" spans="7:7" x14ac:dyDescent="0.2">
      <c r="G10107" s="7"/>
    </row>
    <row r="10108" spans="7:7" x14ac:dyDescent="0.2">
      <c r="G10108" s="7"/>
    </row>
    <row r="10109" spans="7:7" x14ac:dyDescent="0.2">
      <c r="G10109" s="7"/>
    </row>
    <row r="10110" spans="7:7" x14ac:dyDescent="0.2">
      <c r="G10110" s="7"/>
    </row>
    <row r="10111" spans="7:7" x14ac:dyDescent="0.2">
      <c r="G10111" s="7"/>
    </row>
    <row r="10112" spans="7:7" x14ac:dyDescent="0.2">
      <c r="G10112" s="7"/>
    </row>
    <row r="10113" spans="7:7" x14ac:dyDescent="0.2">
      <c r="G10113" s="7"/>
    </row>
    <row r="10114" spans="7:7" x14ac:dyDescent="0.2">
      <c r="G10114" s="7"/>
    </row>
    <row r="10115" spans="7:7" x14ac:dyDescent="0.2">
      <c r="G10115" s="7"/>
    </row>
    <row r="10116" spans="7:7" x14ac:dyDescent="0.2">
      <c r="G10116" s="7"/>
    </row>
    <row r="10117" spans="7:7" x14ac:dyDescent="0.2">
      <c r="G10117" s="7"/>
    </row>
    <row r="10118" spans="7:7" x14ac:dyDescent="0.2">
      <c r="G10118" s="7"/>
    </row>
    <row r="10119" spans="7:7" x14ac:dyDescent="0.2">
      <c r="G10119" s="7"/>
    </row>
    <row r="10120" spans="7:7" x14ac:dyDescent="0.2">
      <c r="G10120" s="7"/>
    </row>
    <row r="10121" spans="7:7" x14ac:dyDescent="0.2">
      <c r="G10121" s="7"/>
    </row>
    <row r="10122" spans="7:7" x14ac:dyDescent="0.2">
      <c r="G10122" s="7"/>
    </row>
    <row r="10123" spans="7:7" x14ac:dyDescent="0.2">
      <c r="G10123" s="7"/>
    </row>
    <row r="10124" spans="7:7" x14ac:dyDescent="0.2">
      <c r="G10124" s="7"/>
    </row>
    <row r="10125" spans="7:7" x14ac:dyDescent="0.2">
      <c r="G10125" s="7"/>
    </row>
    <row r="10126" spans="7:7" x14ac:dyDescent="0.2">
      <c r="G10126" s="7"/>
    </row>
    <row r="10127" spans="7:7" x14ac:dyDescent="0.2">
      <c r="G10127" s="7"/>
    </row>
    <row r="10128" spans="7:7" x14ac:dyDescent="0.2">
      <c r="G10128" s="7"/>
    </row>
    <row r="10129" spans="7:7" x14ac:dyDescent="0.2">
      <c r="G10129" s="7"/>
    </row>
    <row r="10130" spans="7:7" x14ac:dyDescent="0.2">
      <c r="G10130" s="7"/>
    </row>
    <row r="10131" spans="7:7" x14ac:dyDescent="0.2">
      <c r="G10131" s="7"/>
    </row>
    <row r="10132" spans="7:7" x14ac:dyDescent="0.2">
      <c r="G10132" s="7"/>
    </row>
    <row r="10133" spans="7:7" x14ac:dyDescent="0.2">
      <c r="G10133" s="7"/>
    </row>
    <row r="10134" spans="7:7" x14ac:dyDescent="0.2">
      <c r="G10134" s="7"/>
    </row>
    <row r="10135" spans="7:7" x14ac:dyDescent="0.2">
      <c r="G10135" s="7"/>
    </row>
    <row r="10136" spans="7:7" x14ac:dyDescent="0.2">
      <c r="G10136" s="7"/>
    </row>
    <row r="10137" spans="7:7" x14ac:dyDescent="0.2">
      <c r="G10137" s="7"/>
    </row>
    <row r="10138" spans="7:7" x14ac:dyDescent="0.2">
      <c r="G10138" s="7"/>
    </row>
    <row r="10139" spans="7:7" x14ac:dyDescent="0.2">
      <c r="G10139" s="7"/>
    </row>
    <row r="10140" spans="7:7" x14ac:dyDescent="0.2">
      <c r="G10140" s="7"/>
    </row>
    <row r="10141" spans="7:7" x14ac:dyDescent="0.2">
      <c r="G10141" s="7"/>
    </row>
    <row r="10142" spans="7:7" x14ac:dyDescent="0.2">
      <c r="G10142" s="7"/>
    </row>
    <row r="10143" spans="7:7" x14ac:dyDescent="0.2">
      <c r="G10143" s="7"/>
    </row>
    <row r="10144" spans="7:7" x14ac:dyDescent="0.2">
      <c r="G10144" s="7"/>
    </row>
    <row r="10145" spans="7:7" x14ac:dyDescent="0.2">
      <c r="G10145" s="7"/>
    </row>
    <row r="10146" spans="7:7" x14ac:dyDescent="0.2">
      <c r="G10146" s="7"/>
    </row>
    <row r="10147" spans="7:7" x14ac:dyDescent="0.2">
      <c r="G10147" s="7"/>
    </row>
    <row r="10148" spans="7:7" x14ac:dyDescent="0.2">
      <c r="G10148" s="7"/>
    </row>
    <row r="10149" spans="7:7" x14ac:dyDescent="0.2">
      <c r="G10149" s="7"/>
    </row>
    <row r="10150" spans="7:7" x14ac:dyDescent="0.2">
      <c r="G10150" s="7"/>
    </row>
    <row r="10151" spans="7:7" x14ac:dyDescent="0.2">
      <c r="G10151" s="7"/>
    </row>
    <row r="10152" spans="7:7" x14ac:dyDescent="0.2">
      <c r="G10152" s="7"/>
    </row>
    <row r="10153" spans="7:7" x14ac:dyDescent="0.2">
      <c r="G10153" s="7"/>
    </row>
    <row r="10154" spans="7:7" x14ac:dyDescent="0.2">
      <c r="G10154" s="7"/>
    </row>
    <row r="10155" spans="7:7" x14ac:dyDescent="0.2">
      <c r="G10155" s="7"/>
    </row>
    <row r="10156" spans="7:7" x14ac:dyDescent="0.2">
      <c r="G10156" s="7"/>
    </row>
    <row r="10157" spans="7:7" x14ac:dyDescent="0.2">
      <c r="G10157" s="7"/>
    </row>
    <row r="10158" spans="7:7" x14ac:dyDescent="0.2">
      <c r="G10158" s="7"/>
    </row>
    <row r="10159" spans="7:7" x14ac:dyDescent="0.2">
      <c r="G10159" s="7"/>
    </row>
    <row r="10160" spans="7:7" x14ac:dyDescent="0.2">
      <c r="G10160" s="7"/>
    </row>
    <row r="10161" spans="7:7" x14ac:dyDescent="0.2">
      <c r="G10161" s="7"/>
    </row>
    <row r="10162" spans="7:7" x14ac:dyDescent="0.2">
      <c r="G10162" s="7"/>
    </row>
    <row r="10163" spans="7:7" x14ac:dyDescent="0.2">
      <c r="G10163" s="7"/>
    </row>
    <row r="10164" spans="7:7" x14ac:dyDescent="0.2">
      <c r="G10164" s="7"/>
    </row>
    <row r="10165" spans="7:7" x14ac:dyDescent="0.2">
      <c r="G10165" s="7"/>
    </row>
    <row r="10166" spans="7:7" x14ac:dyDescent="0.2">
      <c r="G10166" s="7"/>
    </row>
    <row r="10167" spans="7:7" x14ac:dyDescent="0.2">
      <c r="G10167" s="7"/>
    </row>
    <row r="10168" spans="7:7" x14ac:dyDescent="0.2">
      <c r="G10168" s="7"/>
    </row>
    <row r="10169" spans="7:7" x14ac:dyDescent="0.2">
      <c r="G10169" s="7"/>
    </row>
    <row r="10170" spans="7:7" x14ac:dyDescent="0.2">
      <c r="G10170" s="7"/>
    </row>
    <row r="10171" spans="7:7" x14ac:dyDescent="0.2">
      <c r="G10171" s="7"/>
    </row>
    <row r="10172" spans="7:7" x14ac:dyDescent="0.2">
      <c r="G10172" s="7"/>
    </row>
    <row r="10173" spans="7:7" x14ac:dyDescent="0.2">
      <c r="G10173" s="7"/>
    </row>
    <row r="10174" spans="7:7" x14ac:dyDescent="0.2">
      <c r="G10174" s="7"/>
    </row>
    <row r="10175" spans="7:7" x14ac:dyDescent="0.2">
      <c r="G10175" s="7"/>
    </row>
    <row r="10176" spans="7:7" x14ac:dyDescent="0.2">
      <c r="G10176" s="7"/>
    </row>
    <row r="10177" spans="7:7" x14ac:dyDescent="0.2">
      <c r="G10177" s="7"/>
    </row>
    <row r="10178" spans="7:7" x14ac:dyDescent="0.2">
      <c r="G10178" s="7"/>
    </row>
    <row r="10179" spans="7:7" x14ac:dyDescent="0.2">
      <c r="G10179" s="7"/>
    </row>
    <row r="10180" spans="7:7" x14ac:dyDescent="0.2">
      <c r="G10180" s="7"/>
    </row>
    <row r="10181" spans="7:7" x14ac:dyDescent="0.2">
      <c r="G10181" s="7"/>
    </row>
    <row r="10182" spans="7:7" x14ac:dyDescent="0.2">
      <c r="G10182" s="7"/>
    </row>
    <row r="10183" spans="7:7" x14ac:dyDescent="0.2">
      <c r="G10183" s="7"/>
    </row>
    <row r="10184" spans="7:7" x14ac:dyDescent="0.2">
      <c r="G10184" s="7"/>
    </row>
    <row r="10185" spans="7:7" x14ac:dyDescent="0.2">
      <c r="G10185" s="7"/>
    </row>
    <row r="10186" spans="7:7" x14ac:dyDescent="0.2">
      <c r="G10186" s="7"/>
    </row>
    <row r="10187" spans="7:7" x14ac:dyDescent="0.2">
      <c r="G10187" s="7"/>
    </row>
    <row r="10188" spans="7:7" x14ac:dyDescent="0.2">
      <c r="G10188" s="7"/>
    </row>
    <row r="10189" spans="7:7" x14ac:dyDescent="0.2">
      <c r="G10189" s="7"/>
    </row>
    <row r="10190" spans="7:7" x14ac:dyDescent="0.2">
      <c r="G10190" s="7"/>
    </row>
    <row r="10191" spans="7:7" x14ac:dyDescent="0.2">
      <c r="G10191" s="7"/>
    </row>
    <row r="10192" spans="7:7" x14ac:dyDescent="0.2">
      <c r="G10192" s="7"/>
    </row>
    <row r="10193" spans="7:7" x14ac:dyDescent="0.2">
      <c r="G10193" s="7"/>
    </row>
    <row r="10194" spans="7:7" x14ac:dyDescent="0.2">
      <c r="G10194" s="7"/>
    </row>
    <row r="10195" spans="7:7" x14ac:dyDescent="0.2">
      <c r="G10195" s="7"/>
    </row>
    <row r="10196" spans="7:7" x14ac:dyDescent="0.2">
      <c r="G10196" s="7"/>
    </row>
    <row r="10197" spans="7:7" x14ac:dyDescent="0.2">
      <c r="G10197" s="7"/>
    </row>
    <row r="10198" spans="7:7" x14ac:dyDescent="0.2">
      <c r="G10198" s="7"/>
    </row>
    <row r="10199" spans="7:7" x14ac:dyDescent="0.2">
      <c r="G10199" s="7"/>
    </row>
    <row r="10200" spans="7:7" x14ac:dyDescent="0.2">
      <c r="G10200" s="7"/>
    </row>
    <row r="10201" spans="7:7" x14ac:dyDescent="0.2">
      <c r="G10201" s="7"/>
    </row>
    <row r="10202" spans="7:7" x14ac:dyDescent="0.2">
      <c r="G10202" s="7"/>
    </row>
    <row r="10203" spans="7:7" x14ac:dyDescent="0.2">
      <c r="G10203" s="7"/>
    </row>
    <row r="10204" spans="7:7" x14ac:dyDescent="0.2">
      <c r="G10204" s="7"/>
    </row>
    <row r="10205" spans="7:7" x14ac:dyDescent="0.2">
      <c r="G10205" s="7"/>
    </row>
    <row r="10206" spans="7:7" x14ac:dyDescent="0.2">
      <c r="G10206" s="7"/>
    </row>
    <row r="10207" spans="7:7" x14ac:dyDescent="0.2">
      <c r="G10207" s="7"/>
    </row>
    <row r="10208" spans="7:7" x14ac:dyDescent="0.2">
      <c r="G10208" s="7"/>
    </row>
    <row r="10209" spans="7:7" x14ac:dyDescent="0.2">
      <c r="G10209" s="7"/>
    </row>
    <row r="10210" spans="7:7" x14ac:dyDescent="0.2">
      <c r="G10210" s="7"/>
    </row>
    <row r="10211" spans="7:7" x14ac:dyDescent="0.2">
      <c r="G10211" s="7"/>
    </row>
    <row r="10212" spans="7:7" x14ac:dyDescent="0.2">
      <c r="G10212" s="7"/>
    </row>
    <row r="10213" spans="7:7" x14ac:dyDescent="0.2">
      <c r="G10213" s="7"/>
    </row>
    <row r="10214" spans="7:7" x14ac:dyDescent="0.2">
      <c r="G10214" s="7"/>
    </row>
    <row r="10215" spans="7:7" x14ac:dyDescent="0.2">
      <c r="G10215" s="7"/>
    </row>
    <row r="10216" spans="7:7" x14ac:dyDescent="0.2">
      <c r="G10216" s="7"/>
    </row>
    <row r="10217" spans="7:7" x14ac:dyDescent="0.2">
      <c r="G10217" s="7"/>
    </row>
    <row r="10218" spans="7:7" x14ac:dyDescent="0.2">
      <c r="G10218" s="7"/>
    </row>
    <row r="10219" spans="7:7" x14ac:dyDescent="0.2">
      <c r="G10219" s="7"/>
    </row>
    <row r="10220" spans="7:7" x14ac:dyDescent="0.2">
      <c r="G10220" s="7"/>
    </row>
    <row r="10221" spans="7:7" x14ac:dyDescent="0.2">
      <c r="G10221" s="7"/>
    </row>
    <row r="10222" spans="7:7" x14ac:dyDescent="0.2">
      <c r="G10222" s="7"/>
    </row>
    <row r="10223" spans="7:7" x14ac:dyDescent="0.2">
      <c r="G10223" s="7"/>
    </row>
    <row r="10224" spans="7:7" x14ac:dyDescent="0.2">
      <c r="G10224" s="7"/>
    </row>
    <row r="10225" spans="7:7" x14ac:dyDescent="0.2">
      <c r="G10225" s="7"/>
    </row>
    <row r="10226" spans="7:7" x14ac:dyDescent="0.2">
      <c r="G10226" s="7"/>
    </row>
    <row r="10227" spans="7:7" x14ac:dyDescent="0.2">
      <c r="G10227" s="7"/>
    </row>
    <row r="10228" spans="7:7" x14ac:dyDescent="0.2">
      <c r="G10228" s="7"/>
    </row>
    <row r="10229" spans="7:7" x14ac:dyDescent="0.2">
      <c r="G10229" s="7"/>
    </row>
    <row r="10230" spans="7:7" x14ac:dyDescent="0.2">
      <c r="G10230" s="7"/>
    </row>
    <row r="10231" spans="7:7" x14ac:dyDescent="0.2">
      <c r="G10231" s="7"/>
    </row>
    <row r="10232" spans="7:7" x14ac:dyDescent="0.2">
      <c r="G10232" s="7"/>
    </row>
    <row r="10233" spans="7:7" x14ac:dyDescent="0.2">
      <c r="G10233" s="7"/>
    </row>
    <row r="10234" spans="7:7" x14ac:dyDescent="0.2">
      <c r="G10234" s="7"/>
    </row>
    <row r="10235" spans="7:7" x14ac:dyDescent="0.2">
      <c r="G10235" s="7"/>
    </row>
    <row r="10236" spans="7:7" x14ac:dyDescent="0.2">
      <c r="G10236" s="7"/>
    </row>
    <row r="10237" spans="7:7" x14ac:dyDescent="0.2">
      <c r="G10237" s="7"/>
    </row>
    <row r="10238" spans="7:7" x14ac:dyDescent="0.2">
      <c r="G10238" s="7"/>
    </row>
    <row r="10239" spans="7:7" x14ac:dyDescent="0.2">
      <c r="G10239" s="7"/>
    </row>
    <row r="10240" spans="7:7" x14ac:dyDescent="0.2">
      <c r="G10240" s="7"/>
    </row>
    <row r="10241" spans="7:7" x14ac:dyDescent="0.2">
      <c r="G10241" s="7"/>
    </row>
    <row r="10242" spans="7:7" x14ac:dyDescent="0.2">
      <c r="G10242" s="7"/>
    </row>
    <row r="10243" spans="7:7" x14ac:dyDescent="0.2">
      <c r="G10243" s="7"/>
    </row>
    <row r="10244" spans="7:7" x14ac:dyDescent="0.2">
      <c r="G10244" s="7"/>
    </row>
    <row r="10245" spans="7:7" x14ac:dyDescent="0.2">
      <c r="G10245" s="7"/>
    </row>
    <row r="10246" spans="7:7" x14ac:dyDescent="0.2">
      <c r="G10246" s="7"/>
    </row>
    <row r="10247" spans="7:7" x14ac:dyDescent="0.2">
      <c r="G10247" s="7"/>
    </row>
    <row r="10248" spans="7:7" x14ac:dyDescent="0.2">
      <c r="G10248" s="7"/>
    </row>
    <row r="10249" spans="7:7" x14ac:dyDescent="0.2">
      <c r="G10249" s="7"/>
    </row>
    <row r="10250" spans="7:7" x14ac:dyDescent="0.2">
      <c r="G10250" s="7"/>
    </row>
    <row r="10251" spans="7:7" x14ac:dyDescent="0.2">
      <c r="G10251" s="7"/>
    </row>
    <row r="10252" spans="7:7" x14ac:dyDescent="0.2">
      <c r="G10252" s="7"/>
    </row>
    <row r="10253" spans="7:7" x14ac:dyDescent="0.2">
      <c r="G10253" s="7"/>
    </row>
    <row r="10254" spans="7:7" x14ac:dyDescent="0.2">
      <c r="G10254" s="7"/>
    </row>
    <row r="10255" spans="7:7" x14ac:dyDescent="0.2">
      <c r="G10255" s="7"/>
    </row>
    <row r="10256" spans="7:7" x14ac:dyDescent="0.2">
      <c r="G10256" s="7"/>
    </row>
    <row r="10257" spans="7:7" x14ac:dyDescent="0.2">
      <c r="G10257" s="7"/>
    </row>
    <row r="10258" spans="7:7" x14ac:dyDescent="0.2">
      <c r="G10258" s="7"/>
    </row>
    <row r="10259" spans="7:7" x14ac:dyDescent="0.2">
      <c r="G10259" s="7"/>
    </row>
    <row r="10260" spans="7:7" x14ac:dyDescent="0.2">
      <c r="G10260" s="7"/>
    </row>
    <row r="10261" spans="7:7" x14ac:dyDescent="0.2">
      <c r="G10261" s="7"/>
    </row>
    <row r="10262" spans="7:7" x14ac:dyDescent="0.2">
      <c r="G10262" s="7"/>
    </row>
    <row r="10263" spans="7:7" x14ac:dyDescent="0.2">
      <c r="G10263" s="7"/>
    </row>
    <row r="10264" spans="7:7" x14ac:dyDescent="0.2">
      <c r="G10264" s="7"/>
    </row>
    <row r="10265" spans="7:7" x14ac:dyDescent="0.2">
      <c r="G10265" s="7"/>
    </row>
    <row r="10266" spans="7:7" x14ac:dyDescent="0.2">
      <c r="G10266" s="7"/>
    </row>
    <row r="10267" spans="7:7" x14ac:dyDescent="0.2">
      <c r="G10267" s="7"/>
    </row>
    <row r="10268" spans="7:7" x14ac:dyDescent="0.2">
      <c r="G10268" s="7"/>
    </row>
    <row r="10269" spans="7:7" x14ac:dyDescent="0.2">
      <c r="G10269" s="7"/>
    </row>
    <row r="10270" spans="7:7" x14ac:dyDescent="0.2">
      <c r="G10270" s="7"/>
    </row>
    <row r="10271" spans="7:7" x14ac:dyDescent="0.2">
      <c r="G10271" s="7"/>
    </row>
    <row r="10272" spans="7:7" x14ac:dyDescent="0.2">
      <c r="G10272" s="7"/>
    </row>
    <row r="10273" spans="7:7" x14ac:dyDescent="0.2">
      <c r="G10273" s="7"/>
    </row>
    <row r="10274" spans="7:7" x14ac:dyDescent="0.2">
      <c r="G10274" s="7"/>
    </row>
    <row r="10275" spans="7:7" x14ac:dyDescent="0.2">
      <c r="G10275" s="7"/>
    </row>
    <row r="10276" spans="7:7" x14ac:dyDescent="0.2">
      <c r="G10276" s="7"/>
    </row>
    <row r="10277" spans="7:7" x14ac:dyDescent="0.2">
      <c r="G10277" s="7"/>
    </row>
    <row r="10278" spans="7:7" x14ac:dyDescent="0.2">
      <c r="G10278" s="7"/>
    </row>
    <row r="10279" spans="7:7" x14ac:dyDescent="0.2">
      <c r="G10279" s="7"/>
    </row>
    <row r="10280" spans="7:7" x14ac:dyDescent="0.2">
      <c r="G10280" s="7"/>
    </row>
    <row r="10281" spans="7:7" x14ac:dyDescent="0.2">
      <c r="G10281" s="7"/>
    </row>
    <row r="10282" spans="7:7" x14ac:dyDescent="0.2">
      <c r="G10282" s="7"/>
    </row>
    <row r="10283" spans="7:7" x14ac:dyDescent="0.2">
      <c r="G10283" s="7"/>
    </row>
    <row r="10284" spans="7:7" x14ac:dyDescent="0.2">
      <c r="G10284" s="7"/>
    </row>
    <row r="10285" spans="7:7" x14ac:dyDescent="0.2">
      <c r="G10285" s="7"/>
    </row>
    <row r="10286" spans="7:7" x14ac:dyDescent="0.2">
      <c r="G10286" s="7"/>
    </row>
    <row r="10287" spans="7:7" x14ac:dyDescent="0.2">
      <c r="G10287" s="7"/>
    </row>
    <row r="10288" spans="7:7" x14ac:dyDescent="0.2">
      <c r="G10288" s="7"/>
    </row>
    <row r="10289" spans="7:7" x14ac:dyDescent="0.2">
      <c r="G10289" s="7"/>
    </row>
    <row r="10290" spans="7:7" x14ac:dyDescent="0.2">
      <c r="G10290" s="7"/>
    </row>
    <row r="10291" spans="7:7" x14ac:dyDescent="0.2">
      <c r="G10291" s="7"/>
    </row>
    <row r="10292" spans="7:7" x14ac:dyDescent="0.2">
      <c r="G10292" s="7"/>
    </row>
    <row r="10293" spans="7:7" x14ac:dyDescent="0.2">
      <c r="G10293" s="7"/>
    </row>
    <row r="10294" spans="7:7" x14ac:dyDescent="0.2">
      <c r="G10294" s="7"/>
    </row>
    <row r="10295" spans="7:7" x14ac:dyDescent="0.2">
      <c r="G10295" s="7"/>
    </row>
    <row r="10296" spans="7:7" x14ac:dyDescent="0.2">
      <c r="G10296" s="7"/>
    </row>
    <row r="10297" spans="7:7" x14ac:dyDescent="0.2">
      <c r="G10297" s="7"/>
    </row>
    <row r="10298" spans="7:7" x14ac:dyDescent="0.2">
      <c r="G10298" s="7"/>
    </row>
    <row r="10299" spans="7:7" x14ac:dyDescent="0.2">
      <c r="G10299" s="7"/>
    </row>
    <row r="10300" spans="7:7" x14ac:dyDescent="0.2">
      <c r="G10300" s="7"/>
    </row>
    <row r="10301" spans="7:7" x14ac:dyDescent="0.2">
      <c r="G10301" s="7"/>
    </row>
    <row r="10302" spans="7:7" x14ac:dyDescent="0.2">
      <c r="G10302" s="7"/>
    </row>
    <row r="10303" spans="7:7" x14ac:dyDescent="0.2">
      <c r="G10303" s="7"/>
    </row>
    <row r="10304" spans="7:7" x14ac:dyDescent="0.2">
      <c r="G10304" s="7"/>
    </row>
    <row r="10305" spans="7:7" x14ac:dyDescent="0.2">
      <c r="G10305" s="7"/>
    </row>
    <row r="10306" spans="7:7" x14ac:dyDescent="0.2">
      <c r="G10306" s="7"/>
    </row>
    <row r="10307" spans="7:7" x14ac:dyDescent="0.2">
      <c r="G10307" s="7"/>
    </row>
    <row r="10308" spans="7:7" x14ac:dyDescent="0.2">
      <c r="G10308" s="7"/>
    </row>
    <row r="10309" spans="7:7" x14ac:dyDescent="0.2">
      <c r="G10309" s="7"/>
    </row>
    <row r="10310" spans="7:7" x14ac:dyDescent="0.2">
      <c r="G10310" s="7"/>
    </row>
    <row r="10311" spans="7:7" x14ac:dyDescent="0.2">
      <c r="G10311" s="7"/>
    </row>
    <row r="10312" spans="7:7" x14ac:dyDescent="0.2">
      <c r="G10312" s="7"/>
    </row>
    <row r="10313" spans="7:7" x14ac:dyDescent="0.2">
      <c r="G10313" s="7"/>
    </row>
    <row r="10314" spans="7:7" x14ac:dyDescent="0.2">
      <c r="G10314" s="7"/>
    </row>
    <row r="10315" spans="7:7" x14ac:dyDescent="0.2">
      <c r="G10315" s="7"/>
    </row>
    <row r="10316" spans="7:7" x14ac:dyDescent="0.2">
      <c r="G10316" s="7"/>
    </row>
    <row r="10317" spans="7:7" x14ac:dyDescent="0.2">
      <c r="G10317" s="7"/>
    </row>
    <row r="10318" spans="7:7" x14ac:dyDescent="0.2">
      <c r="G10318" s="7"/>
    </row>
    <row r="10319" spans="7:7" x14ac:dyDescent="0.2">
      <c r="G10319" s="7"/>
    </row>
    <row r="10320" spans="7:7" x14ac:dyDescent="0.2">
      <c r="G10320" s="7"/>
    </row>
    <row r="10321" spans="7:7" x14ac:dyDescent="0.2">
      <c r="G10321" s="7"/>
    </row>
    <row r="10322" spans="7:7" x14ac:dyDescent="0.2">
      <c r="G10322" s="7"/>
    </row>
    <row r="10323" spans="7:7" x14ac:dyDescent="0.2">
      <c r="G10323" s="7"/>
    </row>
    <row r="10324" spans="7:7" x14ac:dyDescent="0.2">
      <c r="G10324" s="7"/>
    </row>
    <row r="10325" spans="7:7" x14ac:dyDescent="0.2">
      <c r="G10325" s="7"/>
    </row>
    <row r="10326" spans="7:7" x14ac:dyDescent="0.2">
      <c r="G10326" s="7"/>
    </row>
    <row r="10327" spans="7:7" x14ac:dyDescent="0.2">
      <c r="G10327" s="7"/>
    </row>
    <row r="10328" spans="7:7" x14ac:dyDescent="0.2">
      <c r="G10328" s="7"/>
    </row>
    <row r="10329" spans="7:7" x14ac:dyDescent="0.2">
      <c r="G10329" s="7"/>
    </row>
    <row r="10330" spans="7:7" x14ac:dyDescent="0.2">
      <c r="G10330" s="7"/>
    </row>
    <row r="10331" spans="7:7" x14ac:dyDescent="0.2">
      <c r="G10331" s="7"/>
    </row>
    <row r="10332" spans="7:7" x14ac:dyDescent="0.2">
      <c r="G10332" s="7"/>
    </row>
    <row r="10333" spans="7:7" x14ac:dyDescent="0.2">
      <c r="G10333" s="7"/>
    </row>
    <row r="10334" spans="7:7" x14ac:dyDescent="0.2">
      <c r="G10334" s="7"/>
    </row>
    <row r="10335" spans="7:7" x14ac:dyDescent="0.2">
      <c r="G10335" s="7"/>
    </row>
    <row r="10336" spans="7:7" x14ac:dyDescent="0.2">
      <c r="G10336" s="7"/>
    </row>
    <row r="10337" spans="7:7" x14ac:dyDescent="0.2">
      <c r="G10337" s="7"/>
    </row>
    <row r="10338" spans="7:7" x14ac:dyDescent="0.2">
      <c r="G10338" s="7"/>
    </row>
    <row r="10339" spans="7:7" x14ac:dyDescent="0.2">
      <c r="G10339" s="7"/>
    </row>
    <row r="10340" spans="7:7" x14ac:dyDescent="0.2">
      <c r="G10340" s="7"/>
    </row>
    <row r="10341" spans="7:7" x14ac:dyDescent="0.2">
      <c r="G10341" s="7"/>
    </row>
    <row r="10342" spans="7:7" x14ac:dyDescent="0.2">
      <c r="G10342" s="7"/>
    </row>
    <row r="10343" spans="7:7" x14ac:dyDescent="0.2">
      <c r="G10343" s="7"/>
    </row>
    <row r="10344" spans="7:7" x14ac:dyDescent="0.2">
      <c r="G10344" s="7"/>
    </row>
    <row r="10345" spans="7:7" x14ac:dyDescent="0.2">
      <c r="G10345" s="7"/>
    </row>
    <row r="10346" spans="7:7" x14ac:dyDescent="0.2">
      <c r="G10346" s="7"/>
    </row>
    <row r="10347" spans="7:7" x14ac:dyDescent="0.2">
      <c r="G10347" s="7"/>
    </row>
    <row r="10348" spans="7:7" x14ac:dyDescent="0.2">
      <c r="G10348" s="7"/>
    </row>
    <row r="10349" spans="7:7" x14ac:dyDescent="0.2">
      <c r="G10349" s="7"/>
    </row>
    <row r="10350" spans="7:7" x14ac:dyDescent="0.2">
      <c r="G10350" s="7"/>
    </row>
    <row r="10351" spans="7:7" x14ac:dyDescent="0.2">
      <c r="G10351" s="7"/>
    </row>
    <row r="10352" spans="7:7" x14ac:dyDescent="0.2">
      <c r="G10352" s="7"/>
    </row>
    <row r="10353" spans="7:7" x14ac:dyDescent="0.2">
      <c r="G10353" s="7"/>
    </row>
    <row r="10354" spans="7:7" x14ac:dyDescent="0.2">
      <c r="G10354" s="7"/>
    </row>
    <row r="10355" spans="7:7" x14ac:dyDescent="0.2">
      <c r="G10355" s="7"/>
    </row>
    <row r="10356" spans="7:7" x14ac:dyDescent="0.2">
      <c r="G10356" s="7"/>
    </row>
    <row r="10357" spans="7:7" x14ac:dyDescent="0.2">
      <c r="G10357" s="7"/>
    </row>
    <row r="10358" spans="7:7" x14ac:dyDescent="0.2">
      <c r="G10358" s="7"/>
    </row>
    <row r="10359" spans="7:7" x14ac:dyDescent="0.2">
      <c r="G10359" s="7"/>
    </row>
    <row r="10360" spans="7:7" x14ac:dyDescent="0.2">
      <c r="G10360" s="7"/>
    </row>
    <row r="10361" spans="7:7" x14ac:dyDescent="0.2">
      <c r="G10361" s="7"/>
    </row>
    <row r="10362" spans="7:7" x14ac:dyDescent="0.2">
      <c r="G10362" s="7"/>
    </row>
    <row r="10363" spans="7:7" x14ac:dyDescent="0.2">
      <c r="G10363" s="7"/>
    </row>
    <row r="10364" spans="7:7" x14ac:dyDescent="0.2">
      <c r="G10364" s="7"/>
    </row>
    <row r="10365" spans="7:7" x14ac:dyDescent="0.2">
      <c r="G10365" s="7"/>
    </row>
    <row r="10366" spans="7:7" x14ac:dyDescent="0.2">
      <c r="G10366" s="7"/>
    </row>
    <row r="10367" spans="7:7" x14ac:dyDescent="0.2">
      <c r="G10367" s="7"/>
    </row>
    <row r="10368" spans="7:7" x14ac:dyDescent="0.2">
      <c r="G10368" s="7"/>
    </row>
    <row r="10369" spans="7:7" x14ac:dyDescent="0.2">
      <c r="G10369" s="7"/>
    </row>
    <row r="10370" spans="7:7" x14ac:dyDescent="0.2">
      <c r="G10370" s="7"/>
    </row>
    <row r="10371" spans="7:7" x14ac:dyDescent="0.2">
      <c r="G10371" s="7"/>
    </row>
    <row r="10372" spans="7:7" x14ac:dyDescent="0.2">
      <c r="G10372" s="7"/>
    </row>
    <row r="10373" spans="7:7" x14ac:dyDescent="0.2">
      <c r="G10373" s="7"/>
    </row>
    <row r="10374" spans="7:7" x14ac:dyDescent="0.2">
      <c r="G10374" s="7"/>
    </row>
    <row r="10375" spans="7:7" x14ac:dyDescent="0.2">
      <c r="G10375" s="7"/>
    </row>
    <row r="10376" spans="7:7" x14ac:dyDescent="0.2">
      <c r="G10376" s="7"/>
    </row>
    <row r="10377" spans="7:7" x14ac:dyDescent="0.2">
      <c r="G10377" s="7"/>
    </row>
    <row r="10378" spans="7:7" x14ac:dyDescent="0.2">
      <c r="G10378" s="7"/>
    </row>
    <row r="10379" spans="7:7" x14ac:dyDescent="0.2">
      <c r="G10379" s="7"/>
    </row>
    <row r="10380" spans="7:7" x14ac:dyDescent="0.2">
      <c r="G10380" s="7"/>
    </row>
    <row r="10381" spans="7:7" x14ac:dyDescent="0.2">
      <c r="G10381" s="7"/>
    </row>
    <row r="10382" spans="7:7" x14ac:dyDescent="0.2">
      <c r="G10382" s="7"/>
    </row>
    <row r="10383" spans="7:7" x14ac:dyDescent="0.2">
      <c r="G10383" s="7"/>
    </row>
    <row r="10384" spans="7:7" x14ac:dyDescent="0.2">
      <c r="G10384" s="7"/>
    </row>
    <row r="10385" spans="7:7" x14ac:dyDescent="0.2">
      <c r="G10385" s="7"/>
    </row>
    <row r="10386" spans="7:7" x14ac:dyDescent="0.2">
      <c r="G10386" s="7"/>
    </row>
    <row r="10387" spans="7:7" x14ac:dyDescent="0.2">
      <c r="G10387" s="7"/>
    </row>
    <row r="10388" spans="7:7" x14ac:dyDescent="0.2">
      <c r="G10388" s="7"/>
    </row>
    <row r="10389" spans="7:7" x14ac:dyDescent="0.2">
      <c r="G10389" s="7"/>
    </row>
    <row r="10390" spans="7:7" x14ac:dyDescent="0.2">
      <c r="G10390" s="7"/>
    </row>
    <row r="10391" spans="7:7" x14ac:dyDescent="0.2">
      <c r="G10391" s="7"/>
    </row>
    <row r="10392" spans="7:7" x14ac:dyDescent="0.2">
      <c r="G10392" s="7"/>
    </row>
    <row r="10393" spans="7:7" x14ac:dyDescent="0.2">
      <c r="G10393" s="7"/>
    </row>
    <row r="10394" spans="7:7" x14ac:dyDescent="0.2">
      <c r="G10394" s="7"/>
    </row>
    <row r="10395" spans="7:7" x14ac:dyDescent="0.2">
      <c r="G10395" s="7"/>
    </row>
    <row r="10396" spans="7:7" x14ac:dyDescent="0.2">
      <c r="G10396" s="7"/>
    </row>
    <row r="10397" spans="7:7" x14ac:dyDescent="0.2">
      <c r="G10397" s="7"/>
    </row>
    <row r="10398" spans="7:7" x14ac:dyDescent="0.2">
      <c r="G10398" s="7"/>
    </row>
    <row r="10399" spans="7:7" x14ac:dyDescent="0.2">
      <c r="G10399" s="7"/>
    </row>
    <row r="10400" spans="7:7" x14ac:dyDescent="0.2">
      <c r="G10400" s="7"/>
    </row>
    <row r="10401" spans="7:7" x14ac:dyDescent="0.2">
      <c r="G10401" s="7"/>
    </row>
    <row r="10402" spans="7:7" x14ac:dyDescent="0.2">
      <c r="G10402" s="7"/>
    </row>
    <row r="10403" spans="7:7" x14ac:dyDescent="0.2">
      <c r="G10403" s="7"/>
    </row>
    <row r="10404" spans="7:7" x14ac:dyDescent="0.2">
      <c r="G10404" s="7"/>
    </row>
    <row r="10405" spans="7:7" x14ac:dyDescent="0.2">
      <c r="G10405" s="7"/>
    </row>
    <row r="10406" spans="7:7" x14ac:dyDescent="0.2">
      <c r="G10406" s="7"/>
    </row>
    <row r="10407" spans="7:7" x14ac:dyDescent="0.2">
      <c r="G10407" s="7"/>
    </row>
    <row r="10408" spans="7:7" x14ac:dyDescent="0.2">
      <c r="G10408" s="7"/>
    </row>
    <row r="10409" spans="7:7" x14ac:dyDescent="0.2">
      <c r="G10409" s="7"/>
    </row>
    <row r="10410" spans="7:7" x14ac:dyDescent="0.2">
      <c r="G10410" s="7"/>
    </row>
    <row r="10411" spans="7:7" x14ac:dyDescent="0.2">
      <c r="G10411" s="7"/>
    </row>
    <row r="10412" spans="7:7" x14ac:dyDescent="0.2">
      <c r="G10412" s="7"/>
    </row>
    <row r="10413" spans="7:7" x14ac:dyDescent="0.2">
      <c r="G10413" s="7"/>
    </row>
    <row r="10414" spans="7:7" x14ac:dyDescent="0.2">
      <c r="G10414" s="7"/>
    </row>
    <row r="10415" spans="7:7" x14ac:dyDescent="0.2">
      <c r="G10415" s="7"/>
    </row>
    <row r="10416" spans="7:7" x14ac:dyDescent="0.2">
      <c r="G10416" s="7"/>
    </row>
    <row r="10417" spans="7:7" x14ac:dyDescent="0.2">
      <c r="G10417" s="7"/>
    </row>
    <row r="10418" spans="7:7" x14ac:dyDescent="0.2">
      <c r="G10418" s="7"/>
    </row>
    <row r="10419" spans="7:7" x14ac:dyDescent="0.2">
      <c r="G10419" s="7"/>
    </row>
    <row r="10420" spans="7:7" x14ac:dyDescent="0.2">
      <c r="G10420" s="7"/>
    </row>
    <row r="10421" spans="7:7" x14ac:dyDescent="0.2">
      <c r="G10421" s="7"/>
    </row>
    <row r="10422" spans="7:7" x14ac:dyDescent="0.2">
      <c r="G10422" s="7"/>
    </row>
    <row r="10423" spans="7:7" x14ac:dyDescent="0.2">
      <c r="G10423" s="7"/>
    </row>
    <row r="10424" spans="7:7" x14ac:dyDescent="0.2">
      <c r="G10424" s="7"/>
    </row>
    <row r="10425" spans="7:7" x14ac:dyDescent="0.2">
      <c r="G10425" s="7"/>
    </row>
    <row r="10426" spans="7:7" x14ac:dyDescent="0.2">
      <c r="G10426" s="7"/>
    </row>
    <row r="10427" spans="7:7" x14ac:dyDescent="0.2">
      <c r="G10427" s="7"/>
    </row>
    <row r="10428" spans="7:7" x14ac:dyDescent="0.2">
      <c r="G10428" s="7"/>
    </row>
    <row r="10429" spans="7:7" x14ac:dyDescent="0.2">
      <c r="G10429" s="7"/>
    </row>
    <row r="10430" spans="7:7" x14ac:dyDescent="0.2">
      <c r="G10430" s="7"/>
    </row>
    <row r="10431" spans="7:7" x14ac:dyDescent="0.2">
      <c r="G10431" s="7"/>
    </row>
    <row r="10432" spans="7:7" x14ac:dyDescent="0.2">
      <c r="G10432" s="7"/>
    </row>
    <row r="10433" spans="7:7" x14ac:dyDescent="0.2">
      <c r="G10433" s="7"/>
    </row>
    <row r="10434" spans="7:7" x14ac:dyDescent="0.2">
      <c r="G10434" s="7"/>
    </row>
    <row r="10435" spans="7:7" x14ac:dyDescent="0.2">
      <c r="G10435" s="7"/>
    </row>
    <row r="10436" spans="7:7" x14ac:dyDescent="0.2">
      <c r="G10436" s="7"/>
    </row>
    <row r="10437" spans="7:7" x14ac:dyDescent="0.2">
      <c r="G10437" s="7"/>
    </row>
    <row r="10438" spans="7:7" x14ac:dyDescent="0.2">
      <c r="G10438" s="7"/>
    </row>
    <row r="10439" spans="7:7" x14ac:dyDescent="0.2">
      <c r="G10439" s="7"/>
    </row>
    <row r="10440" spans="7:7" x14ac:dyDescent="0.2">
      <c r="G10440" s="7"/>
    </row>
    <row r="10441" spans="7:7" x14ac:dyDescent="0.2">
      <c r="G10441" s="7"/>
    </row>
    <row r="10442" spans="7:7" x14ac:dyDescent="0.2">
      <c r="G10442" s="7"/>
    </row>
    <row r="10443" spans="7:7" x14ac:dyDescent="0.2">
      <c r="G10443" s="7"/>
    </row>
    <row r="10444" spans="7:7" x14ac:dyDescent="0.2">
      <c r="G10444" s="7"/>
    </row>
    <row r="10445" spans="7:7" x14ac:dyDescent="0.2">
      <c r="G10445" s="7"/>
    </row>
    <row r="10446" spans="7:7" x14ac:dyDescent="0.2">
      <c r="G10446" s="7"/>
    </row>
    <row r="10447" spans="7:7" x14ac:dyDescent="0.2">
      <c r="G10447" s="7"/>
    </row>
    <row r="10448" spans="7:7" x14ac:dyDescent="0.2">
      <c r="G10448" s="7"/>
    </row>
    <row r="10449" spans="7:7" x14ac:dyDescent="0.2">
      <c r="G10449" s="7"/>
    </row>
    <row r="10450" spans="7:7" x14ac:dyDescent="0.2">
      <c r="G10450" s="7"/>
    </row>
    <row r="10451" spans="7:7" x14ac:dyDescent="0.2">
      <c r="G10451" s="7"/>
    </row>
    <row r="10452" spans="7:7" x14ac:dyDescent="0.2">
      <c r="G10452" s="7"/>
    </row>
    <row r="10453" spans="7:7" x14ac:dyDescent="0.2">
      <c r="G10453" s="7"/>
    </row>
    <row r="10454" spans="7:7" x14ac:dyDescent="0.2">
      <c r="G10454" s="7"/>
    </row>
    <row r="10455" spans="7:7" x14ac:dyDescent="0.2">
      <c r="G10455" s="7"/>
    </row>
    <row r="10456" spans="7:7" x14ac:dyDescent="0.2">
      <c r="G10456" s="7"/>
    </row>
    <row r="10457" spans="7:7" x14ac:dyDescent="0.2">
      <c r="G10457" s="7"/>
    </row>
    <row r="10458" spans="7:7" x14ac:dyDescent="0.2">
      <c r="G10458" s="7"/>
    </row>
    <row r="10459" spans="7:7" x14ac:dyDescent="0.2">
      <c r="G10459" s="7"/>
    </row>
    <row r="10460" spans="7:7" x14ac:dyDescent="0.2">
      <c r="G10460" s="7"/>
    </row>
    <row r="10461" spans="7:7" x14ac:dyDescent="0.2">
      <c r="G10461" s="7"/>
    </row>
    <row r="10462" spans="7:7" x14ac:dyDescent="0.2">
      <c r="G10462" s="7"/>
    </row>
    <row r="10463" spans="7:7" x14ac:dyDescent="0.2">
      <c r="G10463" s="7"/>
    </row>
    <row r="10464" spans="7:7" x14ac:dyDescent="0.2">
      <c r="G10464" s="7"/>
    </row>
    <row r="10465" spans="7:7" x14ac:dyDescent="0.2">
      <c r="G10465" s="7"/>
    </row>
    <row r="10466" spans="7:7" x14ac:dyDescent="0.2">
      <c r="G10466" s="7"/>
    </row>
    <row r="10467" spans="7:7" x14ac:dyDescent="0.2">
      <c r="G10467" s="7"/>
    </row>
    <row r="10468" spans="7:7" x14ac:dyDescent="0.2">
      <c r="G10468" s="7"/>
    </row>
    <row r="10469" spans="7:7" x14ac:dyDescent="0.2">
      <c r="G10469" s="7"/>
    </row>
    <row r="10470" spans="7:7" x14ac:dyDescent="0.2">
      <c r="G10470" s="7"/>
    </row>
    <row r="10471" spans="7:7" x14ac:dyDescent="0.2">
      <c r="G10471" s="7"/>
    </row>
    <row r="10472" spans="7:7" x14ac:dyDescent="0.2">
      <c r="G10472" s="7"/>
    </row>
    <row r="10473" spans="7:7" x14ac:dyDescent="0.2">
      <c r="G10473" s="7"/>
    </row>
    <row r="10474" spans="7:7" x14ac:dyDescent="0.2">
      <c r="G10474" s="7"/>
    </row>
    <row r="10475" spans="7:7" x14ac:dyDescent="0.2">
      <c r="G10475" s="7"/>
    </row>
    <row r="10476" spans="7:7" x14ac:dyDescent="0.2">
      <c r="G10476" s="7"/>
    </row>
    <row r="10477" spans="7:7" x14ac:dyDescent="0.2">
      <c r="G10477" s="7"/>
    </row>
    <row r="10478" spans="7:7" x14ac:dyDescent="0.2">
      <c r="G10478" s="7"/>
    </row>
    <row r="10479" spans="7:7" x14ac:dyDescent="0.2">
      <c r="G10479" s="7"/>
    </row>
    <row r="10480" spans="7:7" x14ac:dyDescent="0.2">
      <c r="G10480" s="7"/>
    </row>
    <row r="10481" spans="7:7" x14ac:dyDescent="0.2">
      <c r="G10481" s="7"/>
    </row>
    <row r="10482" spans="7:7" x14ac:dyDescent="0.2">
      <c r="G10482" s="7"/>
    </row>
    <row r="10483" spans="7:7" x14ac:dyDescent="0.2">
      <c r="G10483" s="7"/>
    </row>
    <row r="10484" spans="7:7" x14ac:dyDescent="0.2">
      <c r="G10484" s="7"/>
    </row>
    <row r="10485" spans="7:7" x14ac:dyDescent="0.2">
      <c r="G10485" s="7"/>
    </row>
    <row r="10486" spans="7:7" x14ac:dyDescent="0.2">
      <c r="G10486" s="7"/>
    </row>
    <row r="10487" spans="7:7" x14ac:dyDescent="0.2">
      <c r="G10487" s="7"/>
    </row>
    <row r="10488" spans="7:7" x14ac:dyDescent="0.2">
      <c r="G10488" s="7"/>
    </row>
    <row r="10489" spans="7:7" x14ac:dyDescent="0.2">
      <c r="G10489" s="7"/>
    </row>
    <row r="10490" spans="7:7" x14ac:dyDescent="0.2">
      <c r="G10490" s="7"/>
    </row>
    <row r="10491" spans="7:7" x14ac:dyDescent="0.2">
      <c r="G10491" s="7"/>
    </row>
    <row r="10492" spans="7:7" x14ac:dyDescent="0.2">
      <c r="G10492" s="7"/>
    </row>
    <row r="10493" spans="7:7" x14ac:dyDescent="0.2">
      <c r="G10493" s="7"/>
    </row>
    <row r="10494" spans="7:7" x14ac:dyDescent="0.2">
      <c r="G10494" s="7"/>
    </row>
    <row r="10495" spans="7:7" x14ac:dyDescent="0.2">
      <c r="G10495" s="7"/>
    </row>
    <row r="10496" spans="7:7" x14ac:dyDescent="0.2">
      <c r="G10496" s="7"/>
    </row>
    <row r="10497" spans="7:7" x14ac:dyDescent="0.2">
      <c r="G10497" s="7"/>
    </row>
    <row r="10498" spans="7:7" x14ac:dyDescent="0.2">
      <c r="G10498" s="7"/>
    </row>
    <row r="10499" spans="7:7" x14ac:dyDescent="0.2">
      <c r="G10499" s="7"/>
    </row>
    <row r="10500" spans="7:7" x14ac:dyDescent="0.2">
      <c r="G10500" s="7"/>
    </row>
    <row r="10501" spans="7:7" x14ac:dyDescent="0.2">
      <c r="G10501" s="7"/>
    </row>
    <row r="10502" spans="7:7" x14ac:dyDescent="0.2">
      <c r="G10502" s="7"/>
    </row>
    <row r="10503" spans="7:7" x14ac:dyDescent="0.2">
      <c r="G10503" s="7"/>
    </row>
    <row r="10504" spans="7:7" x14ac:dyDescent="0.2">
      <c r="G10504" s="7"/>
    </row>
    <row r="10505" spans="7:7" x14ac:dyDescent="0.2">
      <c r="G10505" s="7"/>
    </row>
    <row r="10506" spans="7:7" x14ac:dyDescent="0.2">
      <c r="G10506" s="7"/>
    </row>
    <row r="10507" spans="7:7" x14ac:dyDescent="0.2">
      <c r="G10507" s="7"/>
    </row>
    <row r="10508" spans="7:7" x14ac:dyDescent="0.2">
      <c r="G10508" s="7"/>
    </row>
    <row r="10509" spans="7:7" x14ac:dyDescent="0.2">
      <c r="G10509" s="7"/>
    </row>
    <row r="10510" spans="7:7" x14ac:dyDescent="0.2">
      <c r="G10510" s="7"/>
    </row>
    <row r="10511" spans="7:7" x14ac:dyDescent="0.2">
      <c r="G10511" s="7"/>
    </row>
    <row r="10512" spans="7:7" x14ac:dyDescent="0.2">
      <c r="G10512" s="7"/>
    </row>
    <row r="10513" spans="7:7" x14ac:dyDescent="0.2">
      <c r="G10513" s="7"/>
    </row>
    <row r="10514" spans="7:7" x14ac:dyDescent="0.2">
      <c r="G10514" s="7"/>
    </row>
    <row r="10515" spans="7:7" x14ac:dyDescent="0.2">
      <c r="G10515" s="7"/>
    </row>
    <row r="10516" spans="7:7" x14ac:dyDescent="0.2">
      <c r="G10516" s="7"/>
    </row>
    <row r="10517" spans="7:7" x14ac:dyDescent="0.2">
      <c r="G10517" s="7"/>
    </row>
    <row r="10518" spans="7:7" x14ac:dyDescent="0.2">
      <c r="G10518" s="7"/>
    </row>
    <row r="10519" spans="7:7" x14ac:dyDescent="0.2">
      <c r="G10519" s="7"/>
    </row>
    <row r="10520" spans="7:7" x14ac:dyDescent="0.2">
      <c r="G10520" s="7"/>
    </row>
    <row r="10521" spans="7:7" x14ac:dyDescent="0.2">
      <c r="G10521" s="7"/>
    </row>
    <row r="10522" spans="7:7" x14ac:dyDescent="0.2">
      <c r="G10522" s="7"/>
    </row>
    <row r="10523" spans="7:7" x14ac:dyDescent="0.2">
      <c r="G10523" s="7"/>
    </row>
    <row r="10524" spans="7:7" x14ac:dyDescent="0.2">
      <c r="G10524" s="7"/>
    </row>
    <row r="10525" spans="7:7" x14ac:dyDescent="0.2">
      <c r="G10525" s="7"/>
    </row>
    <row r="10526" spans="7:7" x14ac:dyDescent="0.2">
      <c r="G10526" s="7"/>
    </row>
    <row r="10527" spans="7:7" x14ac:dyDescent="0.2">
      <c r="G10527" s="7"/>
    </row>
    <row r="10528" spans="7:7" x14ac:dyDescent="0.2">
      <c r="G10528" s="7"/>
    </row>
    <row r="10529" spans="7:7" x14ac:dyDescent="0.2">
      <c r="G10529" s="7"/>
    </row>
    <row r="10530" spans="7:7" x14ac:dyDescent="0.2">
      <c r="G10530" s="7"/>
    </row>
    <row r="10531" spans="7:7" x14ac:dyDescent="0.2">
      <c r="G10531" s="7"/>
    </row>
    <row r="10532" spans="7:7" x14ac:dyDescent="0.2">
      <c r="G10532" s="7"/>
    </row>
    <row r="10533" spans="7:7" x14ac:dyDescent="0.2">
      <c r="G10533" s="7"/>
    </row>
    <row r="10534" spans="7:7" x14ac:dyDescent="0.2">
      <c r="G10534" s="7"/>
    </row>
    <row r="10535" spans="7:7" x14ac:dyDescent="0.2">
      <c r="G10535" s="7"/>
    </row>
    <row r="10536" spans="7:7" x14ac:dyDescent="0.2">
      <c r="G10536" s="7"/>
    </row>
    <row r="10537" spans="7:7" x14ac:dyDescent="0.2">
      <c r="G10537" s="7"/>
    </row>
    <row r="10538" spans="7:7" x14ac:dyDescent="0.2">
      <c r="G10538" s="7"/>
    </row>
    <row r="10539" spans="7:7" x14ac:dyDescent="0.2">
      <c r="G10539" s="7"/>
    </row>
    <row r="10540" spans="7:7" x14ac:dyDescent="0.2">
      <c r="G10540" s="7"/>
    </row>
    <row r="10541" spans="7:7" x14ac:dyDescent="0.2">
      <c r="G10541" s="7"/>
    </row>
    <row r="10542" spans="7:7" x14ac:dyDescent="0.2">
      <c r="G10542" s="7"/>
    </row>
    <row r="10543" spans="7:7" x14ac:dyDescent="0.2">
      <c r="G10543" s="7"/>
    </row>
    <row r="10544" spans="7:7" x14ac:dyDescent="0.2">
      <c r="G10544" s="7"/>
    </row>
    <row r="10545" spans="7:7" x14ac:dyDescent="0.2">
      <c r="G10545" s="7"/>
    </row>
    <row r="10546" spans="7:7" x14ac:dyDescent="0.2">
      <c r="G10546" s="7"/>
    </row>
    <row r="10547" spans="7:7" x14ac:dyDescent="0.2">
      <c r="G10547" s="7"/>
    </row>
    <row r="10548" spans="7:7" x14ac:dyDescent="0.2">
      <c r="G10548" s="7"/>
    </row>
    <row r="10549" spans="7:7" x14ac:dyDescent="0.2">
      <c r="G10549" s="7"/>
    </row>
    <row r="10550" spans="7:7" x14ac:dyDescent="0.2">
      <c r="G10550" s="7"/>
    </row>
    <row r="10551" spans="7:7" x14ac:dyDescent="0.2">
      <c r="G10551" s="7"/>
    </row>
    <row r="10552" spans="7:7" x14ac:dyDescent="0.2">
      <c r="G10552" s="7"/>
    </row>
    <row r="10553" spans="7:7" x14ac:dyDescent="0.2">
      <c r="G10553" s="7"/>
    </row>
    <row r="10554" spans="7:7" x14ac:dyDescent="0.2">
      <c r="G10554" s="7"/>
    </row>
    <row r="10555" spans="7:7" x14ac:dyDescent="0.2">
      <c r="G10555" s="7"/>
    </row>
    <row r="10556" spans="7:7" x14ac:dyDescent="0.2">
      <c r="G10556" s="7"/>
    </row>
    <row r="10557" spans="7:7" x14ac:dyDescent="0.2">
      <c r="G10557" s="7"/>
    </row>
    <row r="10558" spans="7:7" x14ac:dyDescent="0.2">
      <c r="G10558" s="7"/>
    </row>
    <row r="10559" spans="7:7" x14ac:dyDescent="0.2">
      <c r="G10559" s="7"/>
    </row>
    <row r="10560" spans="7:7" x14ac:dyDescent="0.2">
      <c r="G10560" s="7"/>
    </row>
    <row r="10561" spans="7:7" x14ac:dyDescent="0.2">
      <c r="G10561" s="7"/>
    </row>
    <row r="10562" spans="7:7" x14ac:dyDescent="0.2">
      <c r="G10562" s="7"/>
    </row>
    <row r="10563" spans="7:7" x14ac:dyDescent="0.2">
      <c r="G10563" s="7"/>
    </row>
    <row r="10564" spans="7:7" x14ac:dyDescent="0.2">
      <c r="G10564" s="7"/>
    </row>
    <row r="10565" spans="7:7" x14ac:dyDescent="0.2">
      <c r="G10565" s="7"/>
    </row>
    <row r="10566" spans="7:7" x14ac:dyDescent="0.2">
      <c r="G10566" s="7"/>
    </row>
    <row r="10567" spans="7:7" x14ac:dyDescent="0.2">
      <c r="G10567" s="7"/>
    </row>
    <row r="10568" spans="7:7" x14ac:dyDescent="0.2">
      <c r="G10568" s="7"/>
    </row>
    <row r="10569" spans="7:7" x14ac:dyDescent="0.2">
      <c r="G10569" s="7"/>
    </row>
    <row r="10570" spans="7:7" x14ac:dyDescent="0.2">
      <c r="G10570" s="7"/>
    </row>
    <row r="10571" spans="7:7" x14ac:dyDescent="0.2">
      <c r="G10571" s="7"/>
    </row>
    <row r="10572" spans="7:7" x14ac:dyDescent="0.2">
      <c r="G10572" s="7"/>
    </row>
    <row r="10573" spans="7:7" x14ac:dyDescent="0.2">
      <c r="G10573" s="7"/>
    </row>
    <row r="10574" spans="7:7" x14ac:dyDescent="0.2">
      <c r="G10574" s="7"/>
    </row>
    <row r="10575" spans="7:7" x14ac:dyDescent="0.2">
      <c r="G10575" s="7"/>
    </row>
    <row r="10576" spans="7:7" x14ac:dyDescent="0.2">
      <c r="G10576" s="7"/>
    </row>
    <row r="10577" spans="7:7" x14ac:dyDescent="0.2">
      <c r="G10577" s="7"/>
    </row>
    <row r="10578" spans="7:7" x14ac:dyDescent="0.2">
      <c r="G10578" s="7"/>
    </row>
    <row r="10579" spans="7:7" x14ac:dyDescent="0.2">
      <c r="G10579" s="7"/>
    </row>
    <row r="10580" spans="7:7" x14ac:dyDescent="0.2">
      <c r="G10580" s="7"/>
    </row>
    <row r="10581" spans="7:7" x14ac:dyDescent="0.2">
      <c r="G10581" s="7"/>
    </row>
    <row r="10582" spans="7:7" x14ac:dyDescent="0.2">
      <c r="G10582" s="7"/>
    </row>
    <row r="10583" spans="7:7" x14ac:dyDescent="0.2">
      <c r="G10583" s="7"/>
    </row>
    <row r="10584" spans="7:7" x14ac:dyDescent="0.2">
      <c r="G10584" s="7"/>
    </row>
    <row r="10585" spans="7:7" x14ac:dyDescent="0.2">
      <c r="G10585" s="7"/>
    </row>
    <row r="10586" spans="7:7" x14ac:dyDescent="0.2">
      <c r="G10586" s="7"/>
    </row>
    <row r="10587" spans="7:7" x14ac:dyDescent="0.2">
      <c r="G10587" s="7"/>
    </row>
    <row r="10588" spans="7:7" x14ac:dyDescent="0.2">
      <c r="G10588" s="7"/>
    </row>
    <row r="10589" spans="7:7" x14ac:dyDescent="0.2">
      <c r="G10589" s="7"/>
    </row>
    <row r="10590" spans="7:7" x14ac:dyDescent="0.2">
      <c r="G10590" s="7"/>
    </row>
    <row r="10591" spans="7:7" x14ac:dyDescent="0.2">
      <c r="G10591" s="7"/>
    </row>
    <row r="10592" spans="7:7" x14ac:dyDescent="0.2">
      <c r="G10592" s="7"/>
    </row>
    <row r="10593" spans="7:7" x14ac:dyDescent="0.2">
      <c r="G10593" s="7"/>
    </row>
    <row r="10594" spans="7:7" x14ac:dyDescent="0.2">
      <c r="G10594" s="7"/>
    </row>
    <row r="10595" spans="7:7" x14ac:dyDescent="0.2">
      <c r="G10595" s="7"/>
    </row>
    <row r="10596" spans="7:7" x14ac:dyDescent="0.2">
      <c r="G10596" s="7"/>
    </row>
    <row r="10597" spans="7:7" x14ac:dyDescent="0.2">
      <c r="G10597" s="7"/>
    </row>
    <row r="10598" spans="7:7" x14ac:dyDescent="0.2">
      <c r="G10598" s="7"/>
    </row>
    <row r="10599" spans="7:7" x14ac:dyDescent="0.2">
      <c r="G10599" s="7"/>
    </row>
    <row r="10600" spans="7:7" x14ac:dyDescent="0.2">
      <c r="G10600" s="7"/>
    </row>
    <row r="10601" spans="7:7" x14ac:dyDescent="0.2">
      <c r="G10601" s="7"/>
    </row>
    <row r="10602" spans="7:7" x14ac:dyDescent="0.2">
      <c r="G10602" s="7"/>
    </row>
    <row r="10603" spans="7:7" x14ac:dyDescent="0.2">
      <c r="G10603" s="7"/>
    </row>
    <row r="10604" spans="7:7" x14ac:dyDescent="0.2">
      <c r="G10604" s="7"/>
    </row>
    <row r="10605" spans="7:7" x14ac:dyDescent="0.2">
      <c r="G10605" s="7"/>
    </row>
    <row r="10606" spans="7:7" x14ac:dyDescent="0.2">
      <c r="G10606" s="7"/>
    </row>
    <row r="10607" spans="7:7" x14ac:dyDescent="0.2">
      <c r="G10607" s="7"/>
    </row>
    <row r="10608" spans="7:7" x14ac:dyDescent="0.2">
      <c r="G10608" s="7"/>
    </row>
    <row r="10609" spans="7:7" x14ac:dyDescent="0.2">
      <c r="G10609" s="7"/>
    </row>
    <row r="10610" spans="7:7" x14ac:dyDescent="0.2">
      <c r="G10610" s="7"/>
    </row>
    <row r="10611" spans="7:7" x14ac:dyDescent="0.2">
      <c r="G10611" s="7"/>
    </row>
    <row r="10612" spans="7:7" x14ac:dyDescent="0.2">
      <c r="G10612" s="7"/>
    </row>
    <row r="10613" spans="7:7" x14ac:dyDescent="0.2">
      <c r="G10613" s="7"/>
    </row>
    <row r="10614" spans="7:7" x14ac:dyDescent="0.2">
      <c r="G10614" s="7"/>
    </row>
    <row r="10615" spans="7:7" x14ac:dyDescent="0.2">
      <c r="G10615" s="7"/>
    </row>
    <row r="10616" spans="7:7" x14ac:dyDescent="0.2">
      <c r="G10616" s="7"/>
    </row>
    <row r="10617" spans="7:7" x14ac:dyDescent="0.2">
      <c r="G10617" s="7"/>
    </row>
    <row r="10618" spans="7:7" x14ac:dyDescent="0.2">
      <c r="G10618" s="7"/>
    </row>
    <row r="10619" spans="7:7" x14ac:dyDescent="0.2">
      <c r="G10619" s="7"/>
    </row>
    <row r="10620" spans="7:7" x14ac:dyDescent="0.2">
      <c r="G10620" s="7"/>
    </row>
    <row r="10621" spans="7:7" x14ac:dyDescent="0.2">
      <c r="G10621" s="7"/>
    </row>
    <row r="10622" spans="7:7" x14ac:dyDescent="0.2">
      <c r="G10622" s="7"/>
    </row>
    <row r="10623" spans="7:7" x14ac:dyDescent="0.2">
      <c r="G10623" s="7"/>
    </row>
    <row r="10624" spans="7:7" x14ac:dyDescent="0.2">
      <c r="G10624" s="7"/>
    </row>
    <row r="10625" spans="7:7" x14ac:dyDescent="0.2">
      <c r="G10625" s="7"/>
    </row>
    <row r="10626" spans="7:7" x14ac:dyDescent="0.2">
      <c r="G10626" s="7"/>
    </row>
    <row r="10627" spans="7:7" x14ac:dyDescent="0.2">
      <c r="G10627" s="7"/>
    </row>
    <row r="10628" spans="7:7" x14ac:dyDescent="0.2">
      <c r="G10628" s="7"/>
    </row>
    <row r="10629" spans="7:7" x14ac:dyDescent="0.2">
      <c r="G10629" s="7"/>
    </row>
    <row r="10630" spans="7:7" x14ac:dyDescent="0.2">
      <c r="G10630" s="7"/>
    </row>
    <row r="10631" spans="7:7" x14ac:dyDescent="0.2">
      <c r="G10631" s="7"/>
    </row>
    <row r="10632" spans="7:7" x14ac:dyDescent="0.2">
      <c r="G10632" s="7"/>
    </row>
    <row r="10633" spans="7:7" x14ac:dyDescent="0.2">
      <c r="G10633" s="7"/>
    </row>
    <row r="10634" spans="7:7" x14ac:dyDescent="0.2">
      <c r="G10634" s="7"/>
    </row>
    <row r="10635" spans="7:7" x14ac:dyDescent="0.2">
      <c r="G10635" s="7"/>
    </row>
    <row r="10636" spans="7:7" x14ac:dyDescent="0.2">
      <c r="G10636" s="7"/>
    </row>
    <row r="10637" spans="7:7" x14ac:dyDescent="0.2">
      <c r="G10637" s="7"/>
    </row>
    <row r="10638" spans="7:7" x14ac:dyDescent="0.2">
      <c r="G10638" s="7"/>
    </row>
    <row r="10639" spans="7:7" x14ac:dyDescent="0.2">
      <c r="G10639" s="7"/>
    </row>
    <row r="10640" spans="7:7" x14ac:dyDescent="0.2">
      <c r="G10640" s="7"/>
    </row>
    <row r="10641" spans="7:7" x14ac:dyDescent="0.2">
      <c r="G10641" s="7"/>
    </row>
    <row r="10642" spans="7:7" x14ac:dyDescent="0.2">
      <c r="G10642" s="7"/>
    </row>
    <row r="10643" spans="7:7" x14ac:dyDescent="0.2">
      <c r="G10643" s="7"/>
    </row>
    <row r="10644" spans="7:7" x14ac:dyDescent="0.2">
      <c r="G10644" s="7"/>
    </row>
    <row r="10645" spans="7:7" x14ac:dyDescent="0.2">
      <c r="G10645" s="7"/>
    </row>
    <row r="10646" spans="7:7" x14ac:dyDescent="0.2">
      <c r="G10646" s="7"/>
    </row>
    <row r="10647" spans="7:7" x14ac:dyDescent="0.2">
      <c r="G10647" s="7"/>
    </row>
    <row r="10648" spans="7:7" x14ac:dyDescent="0.2">
      <c r="G10648" s="7"/>
    </row>
    <row r="10649" spans="7:7" x14ac:dyDescent="0.2">
      <c r="G10649" s="7"/>
    </row>
    <row r="10650" spans="7:7" x14ac:dyDescent="0.2">
      <c r="G10650" s="7"/>
    </row>
    <row r="10651" spans="7:7" x14ac:dyDescent="0.2">
      <c r="G10651" s="7"/>
    </row>
    <row r="10652" spans="7:7" x14ac:dyDescent="0.2">
      <c r="G10652" s="7"/>
    </row>
    <row r="10653" spans="7:7" x14ac:dyDescent="0.2">
      <c r="G10653" s="7"/>
    </row>
    <row r="10654" spans="7:7" x14ac:dyDescent="0.2">
      <c r="G10654" s="7"/>
    </row>
    <row r="10655" spans="7:7" x14ac:dyDescent="0.2">
      <c r="G10655" s="7"/>
    </row>
    <row r="10656" spans="7:7" x14ac:dyDescent="0.2">
      <c r="G10656" s="7"/>
    </row>
    <row r="10657" spans="7:7" x14ac:dyDescent="0.2">
      <c r="G10657" s="7"/>
    </row>
    <row r="10658" spans="7:7" x14ac:dyDescent="0.2">
      <c r="G10658" s="7"/>
    </row>
    <row r="10659" spans="7:7" x14ac:dyDescent="0.2">
      <c r="G10659" s="7"/>
    </row>
    <row r="10660" spans="7:7" x14ac:dyDescent="0.2">
      <c r="G10660" s="7"/>
    </row>
    <row r="10661" spans="7:7" x14ac:dyDescent="0.2">
      <c r="G10661" s="7"/>
    </row>
    <row r="10662" spans="7:7" x14ac:dyDescent="0.2">
      <c r="G10662" s="7"/>
    </row>
    <row r="10663" spans="7:7" x14ac:dyDescent="0.2">
      <c r="G10663" s="7"/>
    </row>
    <row r="10664" spans="7:7" x14ac:dyDescent="0.2">
      <c r="G10664" s="7"/>
    </row>
    <row r="10665" spans="7:7" x14ac:dyDescent="0.2">
      <c r="G10665" s="7"/>
    </row>
    <row r="10666" spans="7:7" x14ac:dyDescent="0.2">
      <c r="G10666" s="7"/>
    </row>
    <row r="10667" spans="7:7" x14ac:dyDescent="0.2">
      <c r="G10667" s="7"/>
    </row>
    <row r="10668" spans="7:7" x14ac:dyDescent="0.2">
      <c r="G10668" s="7"/>
    </row>
    <row r="10669" spans="7:7" x14ac:dyDescent="0.2">
      <c r="G10669" s="7"/>
    </row>
    <row r="10670" spans="7:7" x14ac:dyDescent="0.2">
      <c r="G10670" s="7"/>
    </row>
    <row r="10671" spans="7:7" x14ac:dyDescent="0.2">
      <c r="G10671" s="7"/>
    </row>
    <row r="10672" spans="7:7" x14ac:dyDescent="0.2">
      <c r="G10672" s="7"/>
    </row>
    <row r="10673" spans="7:7" x14ac:dyDescent="0.2">
      <c r="G10673" s="7"/>
    </row>
    <row r="10674" spans="7:7" x14ac:dyDescent="0.2">
      <c r="G10674" s="7"/>
    </row>
    <row r="10675" spans="7:7" x14ac:dyDescent="0.2">
      <c r="G10675" s="7"/>
    </row>
    <row r="10676" spans="7:7" x14ac:dyDescent="0.2">
      <c r="G10676" s="7"/>
    </row>
    <row r="10677" spans="7:7" x14ac:dyDescent="0.2">
      <c r="G10677" s="7"/>
    </row>
    <row r="10678" spans="7:7" x14ac:dyDescent="0.2">
      <c r="G10678" s="7"/>
    </row>
    <row r="10679" spans="7:7" x14ac:dyDescent="0.2">
      <c r="G10679" s="7"/>
    </row>
    <row r="10680" spans="7:7" x14ac:dyDescent="0.2">
      <c r="G10680" s="7"/>
    </row>
    <row r="10681" spans="7:7" x14ac:dyDescent="0.2">
      <c r="G10681" s="7"/>
    </row>
    <row r="10682" spans="7:7" x14ac:dyDescent="0.2">
      <c r="G10682" s="7"/>
    </row>
    <row r="10683" spans="7:7" x14ac:dyDescent="0.2">
      <c r="G10683" s="7"/>
    </row>
    <row r="10684" spans="7:7" x14ac:dyDescent="0.2">
      <c r="G10684" s="7"/>
    </row>
    <row r="10685" spans="7:7" x14ac:dyDescent="0.2">
      <c r="G10685" s="7"/>
    </row>
    <row r="10686" spans="7:7" x14ac:dyDescent="0.2">
      <c r="G10686" s="7"/>
    </row>
    <row r="10687" spans="7:7" x14ac:dyDescent="0.2">
      <c r="G10687" s="7"/>
    </row>
    <row r="10688" spans="7:7" x14ac:dyDescent="0.2">
      <c r="G10688" s="7"/>
    </row>
    <row r="10689" spans="7:7" x14ac:dyDescent="0.2">
      <c r="G10689" s="7"/>
    </row>
    <row r="10690" spans="7:7" x14ac:dyDescent="0.2">
      <c r="G10690" s="7"/>
    </row>
    <row r="10691" spans="7:7" x14ac:dyDescent="0.2">
      <c r="G10691" s="7"/>
    </row>
    <row r="10692" spans="7:7" x14ac:dyDescent="0.2">
      <c r="G10692" s="7"/>
    </row>
    <row r="10693" spans="7:7" x14ac:dyDescent="0.2">
      <c r="G10693" s="7"/>
    </row>
    <row r="10694" spans="7:7" x14ac:dyDescent="0.2">
      <c r="G10694" s="7"/>
    </row>
    <row r="10695" spans="7:7" x14ac:dyDescent="0.2">
      <c r="G10695" s="7"/>
    </row>
    <row r="10696" spans="7:7" x14ac:dyDescent="0.2">
      <c r="G10696" s="7"/>
    </row>
    <row r="10697" spans="7:7" x14ac:dyDescent="0.2">
      <c r="G10697" s="7"/>
    </row>
    <row r="10698" spans="7:7" x14ac:dyDescent="0.2">
      <c r="G10698" s="7"/>
    </row>
    <row r="10699" spans="7:7" x14ac:dyDescent="0.2">
      <c r="G10699" s="7"/>
    </row>
    <row r="10700" spans="7:7" x14ac:dyDescent="0.2">
      <c r="G10700" s="7"/>
    </row>
    <row r="10701" spans="7:7" x14ac:dyDescent="0.2">
      <c r="G10701" s="7"/>
    </row>
    <row r="10702" spans="7:7" x14ac:dyDescent="0.2">
      <c r="G10702" s="7"/>
    </row>
    <row r="10703" spans="7:7" x14ac:dyDescent="0.2">
      <c r="G10703" s="7"/>
    </row>
    <row r="10704" spans="7:7" x14ac:dyDescent="0.2">
      <c r="G10704" s="7"/>
    </row>
    <row r="10705" spans="7:7" x14ac:dyDescent="0.2">
      <c r="G10705" s="7"/>
    </row>
    <row r="10706" spans="7:7" x14ac:dyDescent="0.2">
      <c r="G10706" s="7"/>
    </row>
    <row r="10707" spans="7:7" x14ac:dyDescent="0.2">
      <c r="G10707" s="7"/>
    </row>
    <row r="10708" spans="7:7" x14ac:dyDescent="0.2">
      <c r="G10708" s="7"/>
    </row>
    <row r="10709" spans="7:7" x14ac:dyDescent="0.2">
      <c r="G10709" s="7"/>
    </row>
    <row r="10710" spans="7:7" x14ac:dyDescent="0.2">
      <c r="G10710" s="7"/>
    </row>
    <row r="10711" spans="7:7" x14ac:dyDescent="0.2">
      <c r="G10711" s="7"/>
    </row>
    <row r="10712" spans="7:7" x14ac:dyDescent="0.2">
      <c r="G10712" s="7"/>
    </row>
    <row r="10713" spans="7:7" x14ac:dyDescent="0.2">
      <c r="G10713" s="7"/>
    </row>
    <row r="10714" spans="7:7" x14ac:dyDescent="0.2">
      <c r="G10714" s="7"/>
    </row>
    <row r="10715" spans="7:7" x14ac:dyDescent="0.2">
      <c r="G10715" s="7"/>
    </row>
    <row r="10716" spans="7:7" x14ac:dyDescent="0.2">
      <c r="G10716" s="7"/>
    </row>
    <row r="10717" spans="7:7" x14ac:dyDescent="0.2">
      <c r="G10717" s="7"/>
    </row>
    <row r="10718" spans="7:7" x14ac:dyDescent="0.2">
      <c r="G10718" s="7"/>
    </row>
    <row r="10719" spans="7:7" x14ac:dyDescent="0.2">
      <c r="G10719" s="7"/>
    </row>
    <row r="10720" spans="7:7" x14ac:dyDescent="0.2">
      <c r="G10720" s="7"/>
    </row>
    <row r="10721" spans="7:7" x14ac:dyDescent="0.2">
      <c r="G10721" s="7"/>
    </row>
    <row r="10722" spans="7:7" x14ac:dyDescent="0.2">
      <c r="G10722" s="7"/>
    </row>
    <row r="10723" spans="7:7" x14ac:dyDescent="0.2">
      <c r="G10723" s="7"/>
    </row>
    <row r="10724" spans="7:7" x14ac:dyDescent="0.2">
      <c r="G10724" s="7"/>
    </row>
    <row r="10725" spans="7:7" x14ac:dyDescent="0.2">
      <c r="G10725" s="7"/>
    </row>
    <row r="10726" spans="7:7" x14ac:dyDescent="0.2">
      <c r="G10726" s="7"/>
    </row>
    <row r="10727" spans="7:7" x14ac:dyDescent="0.2">
      <c r="G10727" s="7"/>
    </row>
    <row r="10728" spans="7:7" x14ac:dyDescent="0.2">
      <c r="G10728" s="7"/>
    </row>
    <row r="10729" spans="7:7" x14ac:dyDescent="0.2">
      <c r="G10729" s="7"/>
    </row>
    <row r="10730" spans="7:7" x14ac:dyDescent="0.2">
      <c r="G10730" s="7"/>
    </row>
    <row r="10731" spans="7:7" x14ac:dyDescent="0.2">
      <c r="G10731" s="7"/>
    </row>
    <row r="10732" spans="7:7" x14ac:dyDescent="0.2">
      <c r="G10732" s="7"/>
    </row>
    <row r="10733" spans="7:7" x14ac:dyDescent="0.2">
      <c r="G10733" s="7"/>
    </row>
    <row r="10734" spans="7:7" x14ac:dyDescent="0.2">
      <c r="G10734" s="7"/>
    </row>
    <row r="10735" spans="7:7" x14ac:dyDescent="0.2">
      <c r="G10735" s="7"/>
    </row>
    <row r="10736" spans="7:7" x14ac:dyDescent="0.2">
      <c r="G10736" s="7"/>
    </row>
    <row r="10737" spans="7:7" x14ac:dyDescent="0.2">
      <c r="G10737" s="7"/>
    </row>
    <row r="10738" spans="7:7" x14ac:dyDescent="0.2">
      <c r="G10738" s="7"/>
    </row>
    <row r="10739" spans="7:7" x14ac:dyDescent="0.2">
      <c r="G10739" s="7"/>
    </row>
    <row r="10740" spans="7:7" x14ac:dyDescent="0.2">
      <c r="G10740" s="7"/>
    </row>
    <row r="10741" spans="7:7" x14ac:dyDescent="0.2">
      <c r="G10741" s="7"/>
    </row>
    <row r="10742" spans="7:7" x14ac:dyDescent="0.2">
      <c r="G10742" s="7"/>
    </row>
    <row r="10743" spans="7:7" x14ac:dyDescent="0.2">
      <c r="G10743" s="7"/>
    </row>
    <row r="10744" spans="7:7" x14ac:dyDescent="0.2">
      <c r="G10744" s="7"/>
    </row>
    <row r="10745" spans="7:7" x14ac:dyDescent="0.2">
      <c r="G10745" s="7"/>
    </row>
    <row r="10746" spans="7:7" x14ac:dyDescent="0.2">
      <c r="G10746" s="7"/>
    </row>
    <row r="10747" spans="7:7" x14ac:dyDescent="0.2">
      <c r="G10747" s="7"/>
    </row>
    <row r="10748" spans="7:7" x14ac:dyDescent="0.2">
      <c r="G10748" s="7"/>
    </row>
    <row r="10749" spans="7:7" x14ac:dyDescent="0.2">
      <c r="G10749" s="7"/>
    </row>
    <row r="10750" spans="7:7" x14ac:dyDescent="0.2">
      <c r="G10750" s="7"/>
    </row>
    <row r="10751" spans="7:7" x14ac:dyDescent="0.2">
      <c r="G10751" s="7"/>
    </row>
    <row r="10752" spans="7:7" x14ac:dyDescent="0.2">
      <c r="G10752" s="7"/>
    </row>
    <row r="10753" spans="7:7" x14ac:dyDescent="0.2">
      <c r="G10753" s="7"/>
    </row>
    <row r="10754" spans="7:7" x14ac:dyDescent="0.2">
      <c r="G10754" s="7"/>
    </row>
    <row r="10755" spans="7:7" x14ac:dyDescent="0.2">
      <c r="G10755" s="7"/>
    </row>
    <row r="10756" spans="7:7" x14ac:dyDescent="0.2">
      <c r="G10756" s="7"/>
    </row>
    <row r="10757" spans="7:7" x14ac:dyDescent="0.2">
      <c r="G10757" s="7"/>
    </row>
    <row r="10758" spans="7:7" x14ac:dyDescent="0.2">
      <c r="G10758" s="7"/>
    </row>
    <row r="10759" spans="7:7" x14ac:dyDescent="0.2">
      <c r="G10759" s="7"/>
    </row>
    <row r="10760" spans="7:7" x14ac:dyDescent="0.2">
      <c r="G10760" s="7"/>
    </row>
    <row r="10761" spans="7:7" x14ac:dyDescent="0.2">
      <c r="G10761" s="7"/>
    </row>
    <row r="10762" spans="7:7" x14ac:dyDescent="0.2">
      <c r="G10762" s="7"/>
    </row>
    <row r="10763" spans="7:7" x14ac:dyDescent="0.2">
      <c r="G10763" s="7"/>
    </row>
    <row r="10764" spans="7:7" x14ac:dyDescent="0.2">
      <c r="G10764" s="7"/>
    </row>
    <row r="10765" spans="7:7" x14ac:dyDescent="0.2">
      <c r="G10765" s="7"/>
    </row>
    <row r="10766" spans="7:7" x14ac:dyDescent="0.2">
      <c r="G10766" s="7"/>
    </row>
    <row r="10767" spans="7:7" x14ac:dyDescent="0.2">
      <c r="G10767" s="7"/>
    </row>
    <row r="10768" spans="7:7" x14ac:dyDescent="0.2">
      <c r="G10768" s="7"/>
    </row>
    <row r="10769" spans="7:7" x14ac:dyDescent="0.2">
      <c r="G10769" s="7"/>
    </row>
    <row r="10770" spans="7:7" x14ac:dyDescent="0.2">
      <c r="G10770" s="7"/>
    </row>
    <row r="10771" spans="7:7" x14ac:dyDescent="0.2">
      <c r="G10771" s="7"/>
    </row>
    <row r="10772" spans="7:7" x14ac:dyDescent="0.2">
      <c r="G10772" s="7"/>
    </row>
    <row r="10773" spans="7:7" x14ac:dyDescent="0.2">
      <c r="G10773" s="7"/>
    </row>
    <row r="10774" spans="7:7" x14ac:dyDescent="0.2">
      <c r="G10774" s="7"/>
    </row>
    <row r="10775" spans="7:7" x14ac:dyDescent="0.2">
      <c r="G10775" s="7"/>
    </row>
    <row r="10776" spans="7:7" x14ac:dyDescent="0.2">
      <c r="G10776" s="7"/>
    </row>
    <row r="10777" spans="7:7" x14ac:dyDescent="0.2">
      <c r="G10777" s="7"/>
    </row>
    <row r="10778" spans="7:7" x14ac:dyDescent="0.2">
      <c r="G10778" s="7"/>
    </row>
    <row r="10779" spans="7:7" x14ac:dyDescent="0.2">
      <c r="G10779" s="7"/>
    </row>
    <row r="10780" spans="7:7" x14ac:dyDescent="0.2">
      <c r="G10780" s="7"/>
    </row>
    <row r="10781" spans="7:7" x14ac:dyDescent="0.2">
      <c r="G10781" s="7"/>
    </row>
    <row r="10782" spans="7:7" x14ac:dyDescent="0.2">
      <c r="G10782" s="7"/>
    </row>
    <row r="10783" spans="7:7" x14ac:dyDescent="0.2">
      <c r="G10783" s="7"/>
    </row>
    <row r="10784" spans="7:7" x14ac:dyDescent="0.2">
      <c r="G10784" s="7"/>
    </row>
    <row r="10785" spans="7:7" x14ac:dyDescent="0.2">
      <c r="G10785" s="7"/>
    </row>
    <row r="10786" spans="7:7" x14ac:dyDescent="0.2">
      <c r="G10786" s="7"/>
    </row>
    <row r="10787" spans="7:7" x14ac:dyDescent="0.2">
      <c r="G10787" s="7"/>
    </row>
    <row r="10788" spans="7:7" x14ac:dyDescent="0.2">
      <c r="G10788" s="7"/>
    </row>
    <row r="10789" spans="7:7" x14ac:dyDescent="0.2">
      <c r="G10789" s="7"/>
    </row>
    <row r="10790" spans="7:7" x14ac:dyDescent="0.2">
      <c r="G10790" s="7"/>
    </row>
    <row r="10791" spans="7:7" x14ac:dyDescent="0.2">
      <c r="G10791" s="7"/>
    </row>
    <row r="10792" spans="7:7" x14ac:dyDescent="0.2">
      <c r="G10792" s="7"/>
    </row>
    <row r="10793" spans="7:7" x14ac:dyDescent="0.2">
      <c r="G10793" s="7"/>
    </row>
    <row r="10794" spans="7:7" x14ac:dyDescent="0.2">
      <c r="G10794" s="7"/>
    </row>
    <row r="10795" spans="7:7" x14ac:dyDescent="0.2">
      <c r="G10795" s="7"/>
    </row>
    <row r="10796" spans="7:7" x14ac:dyDescent="0.2">
      <c r="G10796" s="7"/>
    </row>
    <row r="10797" spans="7:7" x14ac:dyDescent="0.2">
      <c r="G10797" s="7"/>
    </row>
    <row r="10798" spans="7:7" x14ac:dyDescent="0.2">
      <c r="G10798" s="7"/>
    </row>
    <row r="10799" spans="7:7" x14ac:dyDescent="0.2">
      <c r="G10799" s="7"/>
    </row>
    <row r="10800" spans="7:7" x14ac:dyDescent="0.2">
      <c r="G10800" s="7"/>
    </row>
    <row r="10801" spans="7:7" x14ac:dyDescent="0.2">
      <c r="G10801" s="7"/>
    </row>
    <row r="10802" spans="7:7" x14ac:dyDescent="0.2">
      <c r="G10802" s="7"/>
    </row>
    <row r="10803" spans="7:7" x14ac:dyDescent="0.2">
      <c r="G10803" s="7"/>
    </row>
    <row r="10804" spans="7:7" x14ac:dyDescent="0.2">
      <c r="G10804" s="7"/>
    </row>
    <row r="10805" spans="7:7" x14ac:dyDescent="0.2">
      <c r="G10805" s="7"/>
    </row>
    <row r="10806" spans="7:7" x14ac:dyDescent="0.2">
      <c r="G10806" s="7"/>
    </row>
    <row r="10807" spans="7:7" x14ac:dyDescent="0.2">
      <c r="G10807" s="7"/>
    </row>
    <row r="10808" spans="7:7" x14ac:dyDescent="0.2">
      <c r="G10808" s="7"/>
    </row>
    <row r="10809" spans="7:7" x14ac:dyDescent="0.2">
      <c r="G10809" s="7"/>
    </row>
    <row r="10810" spans="7:7" x14ac:dyDescent="0.2">
      <c r="G10810" s="7"/>
    </row>
    <row r="10811" spans="7:7" x14ac:dyDescent="0.2">
      <c r="G10811" s="7"/>
    </row>
    <row r="10812" spans="7:7" x14ac:dyDescent="0.2">
      <c r="G10812" s="7"/>
    </row>
    <row r="10813" spans="7:7" x14ac:dyDescent="0.2">
      <c r="G10813" s="7"/>
    </row>
    <row r="10814" spans="7:7" x14ac:dyDescent="0.2">
      <c r="G10814" s="7"/>
    </row>
    <row r="10815" spans="7:7" x14ac:dyDescent="0.2">
      <c r="G10815" s="7"/>
    </row>
    <row r="10816" spans="7:7" x14ac:dyDescent="0.2">
      <c r="G10816" s="7"/>
    </row>
    <row r="10817" spans="7:7" x14ac:dyDescent="0.2">
      <c r="G10817" s="7"/>
    </row>
    <row r="10818" spans="7:7" x14ac:dyDescent="0.2">
      <c r="G10818" s="7"/>
    </row>
    <row r="10819" spans="7:7" x14ac:dyDescent="0.2">
      <c r="G10819" s="7"/>
    </row>
    <row r="10820" spans="7:7" x14ac:dyDescent="0.2">
      <c r="G10820" s="7"/>
    </row>
    <row r="10821" spans="7:7" x14ac:dyDescent="0.2">
      <c r="G10821" s="7"/>
    </row>
    <row r="10822" spans="7:7" x14ac:dyDescent="0.2">
      <c r="G10822" s="7"/>
    </row>
    <row r="10823" spans="7:7" x14ac:dyDescent="0.2">
      <c r="G10823" s="7"/>
    </row>
    <row r="10824" spans="7:7" x14ac:dyDescent="0.2">
      <c r="G10824" s="7"/>
    </row>
    <row r="10825" spans="7:7" x14ac:dyDescent="0.2">
      <c r="G10825" s="7"/>
    </row>
    <row r="10826" spans="7:7" x14ac:dyDescent="0.2">
      <c r="G10826" s="7"/>
    </row>
    <row r="10827" spans="7:7" x14ac:dyDescent="0.2">
      <c r="G10827" s="7"/>
    </row>
    <row r="10828" spans="7:7" x14ac:dyDescent="0.2">
      <c r="G10828" s="7"/>
    </row>
    <row r="10829" spans="7:7" x14ac:dyDescent="0.2">
      <c r="G10829" s="7"/>
    </row>
    <row r="10830" spans="7:7" x14ac:dyDescent="0.2">
      <c r="G10830" s="7"/>
    </row>
    <row r="10831" spans="7:7" x14ac:dyDescent="0.2">
      <c r="G10831" s="7"/>
    </row>
    <row r="10832" spans="7:7" x14ac:dyDescent="0.2">
      <c r="G10832" s="7"/>
    </row>
    <row r="10833" spans="7:7" x14ac:dyDescent="0.2">
      <c r="G10833" s="7"/>
    </row>
    <row r="10834" spans="7:7" x14ac:dyDescent="0.2">
      <c r="G10834" s="7"/>
    </row>
    <row r="10835" spans="7:7" x14ac:dyDescent="0.2">
      <c r="G10835" s="7"/>
    </row>
    <row r="10836" spans="7:7" x14ac:dyDescent="0.2">
      <c r="G10836" s="7"/>
    </row>
    <row r="10837" spans="7:7" x14ac:dyDescent="0.2">
      <c r="G10837" s="7"/>
    </row>
    <row r="10838" spans="7:7" x14ac:dyDescent="0.2">
      <c r="G10838" s="7"/>
    </row>
    <row r="10839" spans="7:7" x14ac:dyDescent="0.2">
      <c r="G10839" s="7"/>
    </row>
    <row r="10840" spans="7:7" x14ac:dyDescent="0.2">
      <c r="G10840" s="7"/>
    </row>
    <row r="10841" spans="7:7" x14ac:dyDescent="0.2">
      <c r="G10841" s="7"/>
    </row>
    <row r="10842" spans="7:7" x14ac:dyDescent="0.2">
      <c r="G10842" s="7"/>
    </row>
    <row r="10843" spans="7:7" x14ac:dyDescent="0.2">
      <c r="G10843" s="7"/>
    </row>
    <row r="10844" spans="7:7" x14ac:dyDescent="0.2">
      <c r="G10844" s="7"/>
    </row>
    <row r="10845" spans="7:7" x14ac:dyDescent="0.2">
      <c r="G10845" s="7"/>
    </row>
    <row r="10846" spans="7:7" x14ac:dyDescent="0.2">
      <c r="G10846" s="7"/>
    </row>
    <row r="10847" spans="7:7" x14ac:dyDescent="0.2">
      <c r="G10847" s="7"/>
    </row>
    <row r="10848" spans="7:7" x14ac:dyDescent="0.2">
      <c r="G10848" s="7"/>
    </row>
    <row r="10849" spans="7:7" x14ac:dyDescent="0.2">
      <c r="G10849" s="7"/>
    </row>
    <row r="10850" spans="7:7" x14ac:dyDescent="0.2">
      <c r="G10850" s="7"/>
    </row>
    <row r="10851" spans="7:7" x14ac:dyDescent="0.2">
      <c r="G10851" s="7"/>
    </row>
    <row r="10852" spans="7:7" x14ac:dyDescent="0.2">
      <c r="G10852" s="7"/>
    </row>
    <row r="10853" spans="7:7" x14ac:dyDescent="0.2">
      <c r="G10853" s="7"/>
    </row>
    <row r="10854" spans="7:7" x14ac:dyDescent="0.2">
      <c r="G10854" s="7"/>
    </row>
    <row r="10855" spans="7:7" x14ac:dyDescent="0.2">
      <c r="G10855" s="7"/>
    </row>
    <row r="10856" spans="7:7" x14ac:dyDescent="0.2">
      <c r="G10856" s="7"/>
    </row>
    <row r="10857" spans="7:7" x14ac:dyDescent="0.2">
      <c r="G10857" s="7"/>
    </row>
    <row r="10858" spans="7:7" x14ac:dyDescent="0.2">
      <c r="G10858" s="7"/>
    </row>
    <row r="10859" spans="7:7" x14ac:dyDescent="0.2">
      <c r="G10859" s="7"/>
    </row>
    <row r="10860" spans="7:7" x14ac:dyDescent="0.2">
      <c r="G10860" s="7"/>
    </row>
    <row r="10861" spans="7:7" x14ac:dyDescent="0.2">
      <c r="G10861" s="7"/>
    </row>
    <row r="10862" spans="7:7" x14ac:dyDescent="0.2">
      <c r="G10862" s="7"/>
    </row>
    <row r="10863" spans="7:7" x14ac:dyDescent="0.2">
      <c r="G10863" s="7"/>
    </row>
    <row r="10864" spans="7:7" x14ac:dyDescent="0.2">
      <c r="G10864" s="7"/>
    </row>
    <row r="10865" spans="7:7" x14ac:dyDescent="0.2">
      <c r="G10865" s="7"/>
    </row>
    <row r="10866" spans="7:7" x14ac:dyDescent="0.2">
      <c r="G10866" s="7"/>
    </row>
    <row r="10867" spans="7:7" x14ac:dyDescent="0.2">
      <c r="G10867" s="7"/>
    </row>
    <row r="10868" spans="7:7" x14ac:dyDescent="0.2">
      <c r="G10868" s="7"/>
    </row>
    <row r="10869" spans="7:7" x14ac:dyDescent="0.2">
      <c r="G10869" s="7"/>
    </row>
    <row r="10870" spans="7:7" x14ac:dyDescent="0.2">
      <c r="G10870" s="7"/>
    </row>
    <row r="10871" spans="7:7" x14ac:dyDescent="0.2">
      <c r="G10871" s="7"/>
    </row>
    <row r="10872" spans="7:7" x14ac:dyDescent="0.2">
      <c r="G10872" s="7"/>
    </row>
    <row r="10873" spans="7:7" x14ac:dyDescent="0.2">
      <c r="G10873" s="7"/>
    </row>
    <row r="10874" spans="7:7" x14ac:dyDescent="0.2">
      <c r="G10874" s="7"/>
    </row>
    <row r="10875" spans="7:7" x14ac:dyDescent="0.2">
      <c r="G10875" s="7"/>
    </row>
    <row r="10876" spans="7:7" x14ac:dyDescent="0.2">
      <c r="G10876" s="7"/>
    </row>
    <row r="10877" spans="7:7" x14ac:dyDescent="0.2">
      <c r="G10877" s="7"/>
    </row>
    <row r="10878" spans="7:7" x14ac:dyDescent="0.2">
      <c r="G10878" s="7"/>
    </row>
    <row r="10879" spans="7:7" x14ac:dyDescent="0.2">
      <c r="G10879" s="7"/>
    </row>
    <row r="10880" spans="7:7" x14ac:dyDescent="0.2">
      <c r="G10880" s="7"/>
    </row>
    <row r="10881" spans="7:7" x14ac:dyDescent="0.2">
      <c r="G10881" s="7"/>
    </row>
    <row r="10882" spans="7:7" x14ac:dyDescent="0.2">
      <c r="G10882" s="7"/>
    </row>
    <row r="10883" spans="7:7" x14ac:dyDescent="0.2">
      <c r="G10883" s="7"/>
    </row>
    <row r="10884" spans="7:7" x14ac:dyDescent="0.2">
      <c r="G10884" s="7"/>
    </row>
    <row r="10885" spans="7:7" x14ac:dyDescent="0.2">
      <c r="G10885" s="7"/>
    </row>
    <row r="10886" spans="7:7" x14ac:dyDescent="0.2">
      <c r="G10886" s="7"/>
    </row>
    <row r="10887" spans="7:7" x14ac:dyDescent="0.2">
      <c r="G10887" s="7"/>
    </row>
    <row r="10888" spans="7:7" x14ac:dyDescent="0.2">
      <c r="G10888" s="7"/>
    </row>
    <row r="10889" spans="7:7" x14ac:dyDescent="0.2">
      <c r="G10889" s="7"/>
    </row>
    <row r="10890" spans="7:7" x14ac:dyDescent="0.2">
      <c r="G10890" s="7"/>
    </row>
    <row r="10891" spans="7:7" x14ac:dyDescent="0.2">
      <c r="G10891" s="7"/>
    </row>
    <row r="10892" spans="7:7" x14ac:dyDescent="0.2">
      <c r="G10892" s="7"/>
    </row>
    <row r="10893" spans="7:7" x14ac:dyDescent="0.2">
      <c r="G10893" s="7"/>
    </row>
    <row r="10894" spans="7:7" x14ac:dyDescent="0.2">
      <c r="G10894" s="7"/>
    </row>
    <row r="10895" spans="7:7" x14ac:dyDescent="0.2">
      <c r="G10895" s="7"/>
    </row>
    <row r="10896" spans="7:7" x14ac:dyDescent="0.2">
      <c r="G10896" s="7"/>
    </row>
    <row r="10897" spans="7:7" x14ac:dyDescent="0.2">
      <c r="G10897" s="7"/>
    </row>
    <row r="10898" spans="7:7" x14ac:dyDescent="0.2">
      <c r="G10898" s="7"/>
    </row>
    <row r="10899" spans="7:7" x14ac:dyDescent="0.2">
      <c r="G10899" s="7"/>
    </row>
    <row r="10900" spans="7:7" x14ac:dyDescent="0.2">
      <c r="G10900" s="7"/>
    </row>
    <row r="10901" spans="7:7" x14ac:dyDescent="0.2">
      <c r="G10901" s="7"/>
    </row>
    <row r="10902" spans="7:7" x14ac:dyDescent="0.2">
      <c r="G10902" s="7"/>
    </row>
    <row r="10903" spans="7:7" x14ac:dyDescent="0.2">
      <c r="G10903" s="7"/>
    </row>
    <row r="10904" spans="7:7" x14ac:dyDescent="0.2">
      <c r="G10904" s="7"/>
    </row>
    <row r="10905" spans="7:7" x14ac:dyDescent="0.2">
      <c r="G10905" s="7"/>
    </row>
    <row r="10906" spans="7:7" x14ac:dyDescent="0.2">
      <c r="G10906" s="7"/>
    </row>
    <row r="10907" spans="7:7" x14ac:dyDescent="0.2">
      <c r="G10907" s="7"/>
    </row>
    <row r="10908" spans="7:7" x14ac:dyDescent="0.2">
      <c r="G10908" s="7"/>
    </row>
    <row r="10909" spans="7:7" x14ac:dyDescent="0.2">
      <c r="G10909" s="7"/>
    </row>
    <row r="10910" spans="7:7" x14ac:dyDescent="0.2">
      <c r="G10910" s="7"/>
    </row>
    <row r="10911" spans="7:7" x14ac:dyDescent="0.2">
      <c r="G10911" s="7"/>
    </row>
    <row r="10912" spans="7:7" x14ac:dyDescent="0.2">
      <c r="G10912" s="7"/>
    </row>
    <row r="10913" spans="7:7" x14ac:dyDescent="0.2">
      <c r="G10913" s="7"/>
    </row>
    <row r="10914" spans="7:7" x14ac:dyDescent="0.2">
      <c r="G10914" s="7"/>
    </row>
    <row r="10915" spans="7:7" x14ac:dyDescent="0.2">
      <c r="G10915" s="7"/>
    </row>
    <row r="10916" spans="7:7" x14ac:dyDescent="0.2">
      <c r="G10916" s="7"/>
    </row>
    <row r="10917" spans="7:7" x14ac:dyDescent="0.2">
      <c r="G10917" s="7"/>
    </row>
    <row r="10918" spans="7:7" x14ac:dyDescent="0.2">
      <c r="G10918" s="7"/>
    </row>
    <row r="10919" spans="7:7" x14ac:dyDescent="0.2">
      <c r="G10919" s="7"/>
    </row>
    <row r="10920" spans="7:7" x14ac:dyDescent="0.2">
      <c r="G10920" s="7"/>
    </row>
    <row r="10921" spans="7:7" x14ac:dyDescent="0.2">
      <c r="G10921" s="7"/>
    </row>
    <row r="10922" spans="7:7" x14ac:dyDescent="0.2">
      <c r="G10922" s="7"/>
    </row>
    <row r="10923" spans="7:7" x14ac:dyDescent="0.2">
      <c r="G10923" s="7"/>
    </row>
    <row r="10924" spans="7:7" x14ac:dyDescent="0.2">
      <c r="G10924" s="7"/>
    </row>
    <row r="10925" spans="7:7" x14ac:dyDescent="0.2">
      <c r="G10925" s="7"/>
    </row>
    <row r="10926" spans="7:7" x14ac:dyDescent="0.2">
      <c r="G10926" s="7"/>
    </row>
    <row r="10927" spans="7:7" x14ac:dyDescent="0.2">
      <c r="G10927" s="7"/>
    </row>
    <row r="10928" spans="7:7" x14ac:dyDescent="0.2">
      <c r="G10928" s="7"/>
    </row>
    <row r="10929" spans="7:7" x14ac:dyDescent="0.2">
      <c r="G10929" s="7"/>
    </row>
    <row r="10930" spans="7:7" x14ac:dyDescent="0.2">
      <c r="G10930" s="7"/>
    </row>
    <row r="10931" spans="7:7" x14ac:dyDescent="0.2">
      <c r="G10931" s="7"/>
    </row>
    <row r="10932" spans="7:7" x14ac:dyDescent="0.2">
      <c r="G10932" s="7"/>
    </row>
    <row r="10933" spans="7:7" x14ac:dyDescent="0.2">
      <c r="G10933" s="7"/>
    </row>
    <row r="10934" spans="7:7" x14ac:dyDescent="0.2">
      <c r="G10934" s="7"/>
    </row>
    <row r="10935" spans="7:7" x14ac:dyDescent="0.2">
      <c r="G10935" s="7"/>
    </row>
    <row r="10936" spans="7:7" x14ac:dyDescent="0.2">
      <c r="G10936" s="7"/>
    </row>
    <row r="10937" spans="7:7" x14ac:dyDescent="0.2">
      <c r="G10937" s="7"/>
    </row>
    <row r="10938" spans="7:7" x14ac:dyDescent="0.2">
      <c r="G10938" s="7"/>
    </row>
    <row r="10939" spans="7:7" x14ac:dyDescent="0.2">
      <c r="G10939" s="7"/>
    </row>
    <row r="10940" spans="7:7" x14ac:dyDescent="0.2">
      <c r="G10940" s="7"/>
    </row>
    <row r="10941" spans="7:7" x14ac:dyDescent="0.2">
      <c r="G10941" s="7"/>
    </row>
    <row r="10942" spans="7:7" x14ac:dyDescent="0.2">
      <c r="G10942" s="7"/>
    </row>
    <row r="10943" spans="7:7" x14ac:dyDescent="0.2">
      <c r="G10943" s="7"/>
    </row>
    <row r="10944" spans="7:7" x14ac:dyDescent="0.2">
      <c r="G10944" s="7"/>
    </row>
    <row r="10945" spans="7:7" x14ac:dyDescent="0.2">
      <c r="G10945" s="7"/>
    </row>
    <row r="10946" spans="7:7" x14ac:dyDescent="0.2">
      <c r="G10946" s="7"/>
    </row>
    <row r="10947" spans="7:7" x14ac:dyDescent="0.2">
      <c r="G10947" s="7"/>
    </row>
    <row r="10948" spans="7:7" x14ac:dyDescent="0.2">
      <c r="G10948" s="7"/>
    </row>
    <row r="10949" spans="7:7" x14ac:dyDescent="0.2">
      <c r="G10949" s="7"/>
    </row>
    <row r="10950" spans="7:7" x14ac:dyDescent="0.2">
      <c r="G10950" s="7"/>
    </row>
    <row r="10951" spans="7:7" x14ac:dyDescent="0.2">
      <c r="G10951" s="7"/>
    </row>
    <row r="10952" spans="7:7" x14ac:dyDescent="0.2">
      <c r="G10952" s="7"/>
    </row>
    <row r="10953" spans="7:7" x14ac:dyDescent="0.2">
      <c r="G10953" s="7"/>
    </row>
    <row r="10954" spans="7:7" x14ac:dyDescent="0.2">
      <c r="G10954" s="7"/>
    </row>
    <row r="10955" spans="7:7" x14ac:dyDescent="0.2">
      <c r="G10955" s="7"/>
    </row>
    <row r="10956" spans="7:7" x14ac:dyDescent="0.2">
      <c r="G10956" s="7"/>
    </row>
    <row r="10957" spans="7:7" x14ac:dyDescent="0.2">
      <c r="G10957" s="7"/>
    </row>
    <row r="10958" spans="7:7" x14ac:dyDescent="0.2">
      <c r="G10958" s="7"/>
    </row>
    <row r="10959" spans="7:7" x14ac:dyDescent="0.2">
      <c r="G10959" s="7"/>
    </row>
    <row r="10960" spans="7:7" x14ac:dyDescent="0.2">
      <c r="G10960" s="7"/>
    </row>
    <row r="10961" spans="7:7" x14ac:dyDescent="0.2">
      <c r="G10961" s="7"/>
    </row>
    <row r="10962" spans="7:7" x14ac:dyDescent="0.2">
      <c r="G10962" s="7"/>
    </row>
    <row r="10963" spans="7:7" x14ac:dyDescent="0.2">
      <c r="G10963" s="7"/>
    </row>
    <row r="10964" spans="7:7" x14ac:dyDescent="0.2">
      <c r="G10964" s="7"/>
    </row>
    <row r="10965" spans="7:7" x14ac:dyDescent="0.2">
      <c r="G10965" s="7"/>
    </row>
    <row r="10966" spans="7:7" x14ac:dyDescent="0.2">
      <c r="G10966" s="7"/>
    </row>
    <row r="10967" spans="7:7" x14ac:dyDescent="0.2">
      <c r="G10967" s="7"/>
    </row>
    <row r="10968" spans="7:7" x14ac:dyDescent="0.2">
      <c r="G10968" s="7"/>
    </row>
    <row r="10969" spans="7:7" x14ac:dyDescent="0.2">
      <c r="G10969" s="7"/>
    </row>
    <row r="10970" spans="7:7" x14ac:dyDescent="0.2">
      <c r="G10970" s="7"/>
    </row>
    <row r="10971" spans="7:7" x14ac:dyDescent="0.2">
      <c r="G10971" s="7"/>
    </row>
    <row r="10972" spans="7:7" x14ac:dyDescent="0.2">
      <c r="G10972" s="7"/>
    </row>
    <row r="10973" spans="7:7" x14ac:dyDescent="0.2">
      <c r="G10973" s="7"/>
    </row>
    <row r="10974" spans="7:7" x14ac:dyDescent="0.2">
      <c r="G10974" s="7"/>
    </row>
    <row r="10975" spans="7:7" x14ac:dyDescent="0.2">
      <c r="G10975" s="7"/>
    </row>
    <row r="10976" spans="7:7" x14ac:dyDescent="0.2">
      <c r="G10976" s="7"/>
    </row>
    <row r="10977" spans="7:7" x14ac:dyDescent="0.2">
      <c r="G10977" s="7"/>
    </row>
    <row r="10978" spans="7:7" x14ac:dyDescent="0.2">
      <c r="G10978" s="7"/>
    </row>
    <row r="10979" spans="7:7" x14ac:dyDescent="0.2">
      <c r="G10979" s="7"/>
    </row>
    <row r="10980" spans="7:7" x14ac:dyDescent="0.2">
      <c r="G10980" s="7"/>
    </row>
    <row r="10981" spans="7:7" x14ac:dyDescent="0.2">
      <c r="G10981" s="7"/>
    </row>
    <row r="10982" spans="7:7" x14ac:dyDescent="0.2">
      <c r="G10982" s="7"/>
    </row>
    <row r="10983" spans="7:7" x14ac:dyDescent="0.2">
      <c r="G10983" s="7"/>
    </row>
    <row r="10984" spans="7:7" x14ac:dyDescent="0.2">
      <c r="G10984" s="7"/>
    </row>
    <row r="10985" spans="7:7" x14ac:dyDescent="0.2">
      <c r="G10985" s="7"/>
    </row>
    <row r="10986" spans="7:7" x14ac:dyDescent="0.2">
      <c r="G10986" s="7"/>
    </row>
    <row r="10987" spans="7:7" x14ac:dyDescent="0.2">
      <c r="G10987" s="7"/>
    </row>
    <row r="10988" spans="7:7" x14ac:dyDescent="0.2">
      <c r="G10988" s="7"/>
    </row>
    <row r="10989" spans="7:7" x14ac:dyDescent="0.2">
      <c r="G10989" s="7"/>
    </row>
    <row r="10990" spans="7:7" x14ac:dyDescent="0.2">
      <c r="G10990" s="7"/>
    </row>
    <row r="10991" spans="7:7" x14ac:dyDescent="0.2">
      <c r="G10991" s="7"/>
    </row>
    <row r="10992" spans="7:7" x14ac:dyDescent="0.2">
      <c r="G10992" s="7"/>
    </row>
    <row r="10993" spans="7:7" x14ac:dyDescent="0.2">
      <c r="G10993" s="7"/>
    </row>
    <row r="10994" spans="7:7" x14ac:dyDescent="0.2">
      <c r="G10994" s="7"/>
    </row>
    <row r="10995" spans="7:7" x14ac:dyDescent="0.2">
      <c r="G10995" s="7"/>
    </row>
    <row r="10996" spans="7:7" x14ac:dyDescent="0.2">
      <c r="G10996" s="7"/>
    </row>
    <row r="10997" spans="7:7" x14ac:dyDescent="0.2">
      <c r="G10997" s="7"/>
    </row>
    <row r="10998" spans="7:7" x14ac:dyDescent="0.2">
      <c r="G10998" s="7"/>
    </row>
    <row r="10999" spans="7:7" x14ac:dyDescent="0.2">
      <c r="G10999" s="7"/>
    </row>
    <row r="11000" spans="7:7" x14ac:dyDescent="0.2">
      <c r="G11000" s="7"/>
    </row>
    <row r="11001" spans="7:7" x14ac:dyDescent="0.2">
      <c r="G11001" s="7"/>
    </row>
    <row r="11002" spans="7:7" x14ac:dyDescent="0.2">
      <c r="G11002" s="7"/>
    </row>
    <row r="11003" spans="7:7" x14ac:dyDescent="0.2">
      <c r="G11003" s="7"/>
    </row>
    <row r="11004" spans="7:7" x14ac:dyDescent="0.2">
      <c r="G11004" s="7"/>
    </row>
    <row r="11005" spans="7:7" x14ac:dyDescent="0.2">
      <c r="G11005" s="7"/>
    </row>
    <row r="11006" spans="7:7" x14ac:dyDescent="0.2">
      <c r="G11006" s="7"/>
    </row>
    <row r="11007" spans="7:7" x14ac:dyDescent="0.2">
      <c r="G11007" s="7"/>
    </row>
    <row r="11008" spans="7:7" x14ac:dyDescent="0.2">
      <c r="G11008" s="7"/>
    </row>
    <row r="11009" spans="7:7" x14ac:dyDescent="0.2">
      <c r="G11009" s="7"/>
    </row>
    <row r="11010" spans="7:7" x14ac:dyDescent="0.2">
      <c r="G11010" s="7"/>
    </row>
    <row r="11011" spans="7:7" x14ac:dyDescent="0.2">
      <c r="G11011" s="7"/>
    </row>
    <row r="11012" spans="7:7" x14ac:dyDescent="0.2">
      <c r="G11012" s="7"/>
    </row>
    <row r="11013" spans="7:7" x14ac:dyDescent="0.2">
      <c r="G11013" s="7"/>
    </row>
    <row r="11014" spans="7:7" x14ac:dyDescent="0.2">
      <c r="G11014" s="7"/>
    </row>
    <row r="11015" spans="7:7" x14ac:dyDescent="0.2">
      <c r="G11015" s="7"/>
    </row>
    <row r="11016" spans="7:7" x14ac:dyDescent="0.2">
      <c r="G11016" s="7"/>
    </row>
    <row r="11017" spans="7:7" x14ac:dyDescent="0.2">
      <c r="G11017" s="7"/>
    </row>
    <row r="11018" spans="7:7" x14ac:dyDescent="0.2">
      <c r="G11018" s="7"/>
    </row>
    <row r="11019" spans="7:7" x14ac:dyDescent="0.2">
      <c r="G11019" s="7"/>
    </row>
    <row r="11020" spans="7:7" x14ac:dyDescent="0.2">
      <c r="G11020" s="7"/>
    </row>
    <row r="11021" spans="7:7" x14ac:dyDescent="0.2">
      <c r="G11021" s="7"/>
    </row>
    <row r="11022" spans="7:7" x14ac:dyDescent="0.2">
      <c r="G11022" s="7"/>
    </row>
    <row r="11023" spans="7:7" x14ac:dyDescent="0.2">
      <c r="G11023" s="7"/>
    </row>
    <row r="11024" spans="7:7" x14ac:dyDescent="0.2">
      <c r="G11024" s="7"/>
    </row>
    <row r="11025" spans="7:7" x14ac:dyDescent="0.2">
      <c r="G11025" s="7"/>
    </row>
    <row r="11026" spans="7:7" x14ac:dyDescent="0.2">
      <c r="G11026" s="7"/>
    </row>
    <row r="11027" spans="7:7" x14ac:dyDescent="0.2">
      <c r="G11027" s="7"/>
    </row>
    <row r="11028" spans="7:7" x14ac:dyDescent="0.2">
      <c r="G11028" s="7"/>
    </row>
    <row r="11029" spans="7:7" x14ac:dyDescent="0.2">
      <c r="G11029" s="7"/>
    </row>
    <row r="11030" spans="7:7" x14ac:dyDescent="0.2">
      <c r="G11030" s="7"/>
    </row>
    <row r="11031" spans="7:7" x14ac:dyDescent="0.2">
      <c r="G11031" s="7"/>
    </row>
    <row r="11032" spans="7:7" x14ac:dyDescent="0.2">
      <c r="G11032" s="7"/>
    </row>
    <row r="11033" spans="7:7" x14ac:dyDescent="0.2">
      <c r="G11033" s="7"/>
    </row>
    <row r="11034" spans="7:7" x14ac:dyDescent="0.2">
      <c r="G11034" s="7"/>
    </row>
    <row r="11035" spans="7:7" x14ac:dyDescent="0.2">
      <c r="G11035" s="7"/>
    </row>
    <row r="11036" spans="7:7" x14ac:dyDescent="0.2">
      <c r="G11036" s="7"/>
    </row>
    <row r="11037" spans="7:7" x14ac:dyDescent="0.2">
      <c r="G11037" s="7"/>
    </row>
    <row r="11038" spans="7:7" x14ac:dyDescent="0.2">
      <c r="G11038" s="7"/>
    </row>
    <row r="11039" spans="7:7" x14ac:dyDescent="0.2">
      <c r="G11039" s="7"/>
    </row>
    <row r="11040" spans="7:7" x14ac:dyDescent="0.2">
      <c r="G11040" s="7"/>
    </row>
    <row r="11041" spans="7:7" x14ac:dyDescent="0.2">
      <c r="G11041" s="7"/>
    </row>
    <row r="11042" spans="7:7" x14ac:dyDescent="0.2">
      <c r="G11042" s="7"/>
    </row>
    <row r="11043" spans="7:7" x14ac:dyDescent="0.2">
      <c r="G11043" s="7"/>
    </row>
    <row r="11044" spans="7:7" x14ac:dyDescent="0.2">
      <c r="G11044" s="7"/>
    </row>
    <row r="11045" spans="7:7" x14ac:dyDescent="0.2">
      <c r="G11045" s="7"/>
    </row>
    <row r="11046" spans="7:7" x14ac:dyDescent="0.2">
      <c r="G11046" s="7"/>
    </row>
    <row r="11047" spans="7:7" x14ac:dyDescent="0.2">
      <c r="G11047" s="7"/>
    </row>
    <row r="11048" spans="7:7" x14ac:dyDescent="0.2">
      <c r="G11048" s="7"/>
    </row>
    <row r="11049" spans="7:7" x14ac:dyDescent="0.2">
      <c r="G11049" s="7"/>
    </row>
    <row r="11050" spans="7:7" x14ac:dyDescent="0.2">
      <c r="G11050" s="7"/>
    </row>
    <row r="11051" spans="7:7" x14ac:dyDescent="0.2">
      <c r="G11051" s="7"/>
    </row>
    <row r="11052" spans="7:7" x14ac:dyDescent="0.2">
      <c r="G11052" s="7"/>
    </row>
    <row r="11053" spans="7:7" x14ac:dyDescent="0.2">
      <c r="G11053" s="7"/>
    </row>
    <row r="11054" spans="7:7" x14ac:dyDescent="0.2">
      <c r="G11054" s="7"/>
    </row>
    <row r="11055" spans="7:7" x14ac:dyDescent="0.2">
      <c r="G11055" s="7"/>
    </row>
    <row r="11056" spans="7:7" x14ac:dyDescent="0.2">
      <c r="G11056" s="7"/>
    </row>
    <row r="11057" spans="7:7" x14ac:dyDescent="0.2">
      <c r="G11057" s="7"/>
    </row>
    <row r="11058" spans="7:7" x14ac:dyDescent="0.2">
      <c r="G11058" s="7"/>
    </row>
    <row r="11059" spans="7:7" x14ac:dyDescent="0.2">
      <c r="G11059" s="7"/>
    </row>
    <row r="11060" spans="7:7" x14ac:dyDescent="0.2">
      <c r="G11060" s="7"/>
    </row>
    <row r="11061" spans="7:7" x14ac:dyDescent="0.2">
      <c r="G11061" s="7"/>
    </row>
    <row r="11062" spans="7:7" x14ac:dyDescent="0.2">
      <c r="G11062" s="7"/>
    </row>
    <row r="11063" spans="7:7" x14ac:dyDescent="0.2">
      <c r="G11063" s="7"/>
    </row>
    <row r="11064" spans="7:7" x14ac:dyDescent="0.2">
      <c r="G11064" s="7"/>
    </row>
    <row r="11065" spans="7:7" x14ac:dyDescent="0.2">
      <c r="G11065" s="7"/>
    </row>
    <row r="11066" spans="7:7" x14ac:dyDescent="0.2">
      <c r="G11066" s="7"/>
    </row>
    <row r="11067" spans="7:7" x14ac:dyDescent="0.2">
      <c r="G11067" s="7"/>
    </row>
    <row r="11068" spans="7:7" x14ac:dyDescent="0.2">
      <c r="G11068" s="7"/>
    </row>
    <row r="11069" spans="7:7" x14ac:dyDescent="0.2">
      <c r="G11069" s="7"/>
    </row>
    <row r="11070" spans="7:7" x14ac:dyDescent="0.2">
      <c r="G11070" s="7"/>
    </row>
    <row r="11071" spans="7:7" x14ac:dyDescent="0.2">
      <c r="G11071" s="7"/>
    </row>
    <row r="11072" spans="7:7" x14ac:dyDescent="0.2">
      <c r="G11072" s="7"/>
    </row>
    <row r="11073" spans="7:7" x14ac:dyDescent="0.2">
      <c r="G11073" s="7"/>
    </row>
    <row r="11074" spans="7:7" x14ac:dyDescent="0.2">
      <c r="G11074" s="7"/>
    </row>
    <row r="11075" spans="7:7" x14ac:dyDescent="0.2">
      <c r="G11075" s="7"/>
    </row>
    <row r="11076" spans="7:7" x14ac:dyDescent="0.2">
      <c r="G11076" s="7"/>
    </row>
    <row r="11077" spans="7:7" x14ac:dyDescent="0.2">
      <c r="G11077" s="7"/>
    </row>
    <row r="11078" spans="7:7" x14ac:dyDescent="0.2">
      <c r="G11078" s="7"/>
    </row>
    <row r="11079" spans="7:7" x14ac:dyDescent="0.2">
      <c r="G11079" s="7"/>
    </row>
    <row r="11080" spans="7:7" x14ac:dyDescent="0.2">
      <c r="G11080" s="7"/>
    </row>
    <row r="11081" spans="7:7" x14ac:dyDescent="0.2">
      <c r="G11081" s="7"/>
    </row>
    <row r="11082" spans="7:7" x14ac:dyDescent="0.2">
      <c r="G11082" s="7"/>
    </row>
    <row r="11083" spans="7:7" x14ac:dyDescent="0.2">
      <c r="G11083" s="7"/>
    </row>
    <row r="11084" spans="7:7" x14ac:dyDescent="0.2">
      <c r="G11084" s="7"/>
    </row>
    <row r="11085" spans="7:7" x14ac:dyDescent="0.2">
      <c r="G11085" s="7"/>
    </row>
    <row r="11086" spans="7:7" x14ac:dyDescent="0.2">
      <c r="G11086" s="7"/>
    </row>
    <row r="11087" spans="7:7" x14ac:dyDescent="0.2">
      <c r="G11087" s="7"/>
    </row>
    <row r="11088" spans="7:7" x14ac:dyDescent="0.2">
      <c r="G11088" s="7"/>
    </row>
    <row r="11089" spans="7:7" x14ac:dyDescent="0.2">
      <c r="G11089" s="7"/>
    </row>
    <row r="11090" spans="7:7" x14ac:dyDescent="0.2">
      <c r="G11090" s="7"/>
    </row>
    <row r="11091" spans="7:7" x14ac:dyDescent="0.2">
      <c r="G11091" s="7"/>
    </row>
    <row r="11092" spans="7:7" x14ac:dyDescent="0.2">
      <c r="G11092" s="7"/>
    </row>
    <row r="11093" spans="7:7" x14ac:dyDescent="0.2">
      <c r="G11093" s="7"/>
    </row>
    <row r="11094" spans="7:7" x14ac:dyDescent="0.2">
      <c r="G11094" s="7"/>
    </row>
    <row r="11095" spans="7:7" x14ac:dyDescent="0.2">
      <c r="G11095" s="7"/>
    </row>
    <row r="11096" spans="7:7" x14ac:dyDescent="0.2">
      <c r="G11096" s="7"/>
    </row>
    <row r="11097" spans="7:7" x14ac:dyDescent="0.2">
      <c r="G11097" s="7"/>
    </row>
    <row r="11098" spans="7:7" x14ac:dyDescent="0.2">
      <c r="G11098" s="7"/>
    </row>
    <row r="11099" spans="7:7" x14ac:dyDescent="0.2">
      <c r="G11099" s="7"/>
    </row>
    <row r="11100" spans="7:7" x14ac:dyDescent="0.2">
      <c r="G11100" s="7"/>
    </row>
    <row r="11101" spans="7:7" x14ac:dyDescent="0.2">
      <c r="G11101" s="7"/>
    </row>
    <row r="11102" spans="7:7" x14ac:dyDescent="0.2">
      <c r="G11102" s="7"/>
    </row>
    <row r="11103" spans="7:7" x14ac:dyDescent="0.2">
      <c r="G11103" s="7"/>
    </row>
    <row r="11104" spans="7:7" x14ac:dyDescent="0.2">
      <c r="G11104" s="7"/>
    </row>
    <row r="11105" spans="7:7" x14ac:dyDescent="0.2">
      <c r="G11105" s="7"/>
    </row>
    <row r="11106" spans="7:7" x14ac:dyDescent="0.2">
      <c r="G11106" s="7"/>
    </row>
    <row r="11107" spans="7:7" x14ac:dyDescent="0.2">
      <c r="G11107" s="7"/>
    </row>
    <row r="11108" spans="7:7" x14ac:dyDescent="0.2">
      <c r="G11108" s="7"/>
    </row>
    <row r="11109" spans="7:7" x14ac:dyDescent="0.2">
      <c r="G11109" s="7"/>
    </row>
    <row r="11110" spans="7:7" x14ac:dyDescent="0.2">
      <c r="G11110" s="7"/>
    </row>
    <row r="11111" spans="7:7" x14ac:dyDescent="0.2">
      <c r="G11111" s="7"/>
    </row>
    <row r="11112" spans="7:7" x14ac:dyDescent="0.2">
      <c r="G11112" s="7"/>
    </row>
    <row r="11113" spans="7:7" x14ac:dyDescent="0.2">
      <c r="G11113" s="7"/>
    </row>
    <row r="11114" spans="7:7" x14ac:dyDescent="0.2">
      <c r="G11114" s="7"/>
    </row>
    <row r="11115" spans="7:7" x14ac:dyDescent="0.2">
      <c r="G11115" s="7"/>
    </row>
    <row r="11116" spans="7:7" x14ac:dyDescent="0.2">
      <c r="G11116" s="7"/>
    </row>
    <row r="11117" spans="7:7" x14ac:dyDescent="0.2">
      <c r="G11117" s="7"/>
    </row>
    <row r="11118" spans="7:7" x14ac:dyDescent="0.2">
      <c r="G11118" s="7"/>
    </row>
    <row r="11119" spans="7:7" x14ac:dyDescent="0.2">
      <c r="G11119" s="7"/>
    </row>
    <row r="11120" spans="7:7" x14ac:dyDescent="0.2">
      <c r="G11120" s="7"/>
    </row>
    <row r="11121" spans="7:7" x14ac:dyDescent="0.2">
      <c r="G11121" s="7"/>
    </row>
    <row r="11122" spans="7:7" x14ac:dyDescent="0.2">
      <c r="G11122" s="7"/>
    </row>
    <row r="11123" spans="7:7" x14ac:dyDescent="0.2">
      <c r="G11123" s="7"/>
    </row>
    <row r="11124" spans="7:7" x14ac:dyDescent="0.2">
      <c r="G11124" s="7"/>
    </row>
    <row r="11125" spans="7:7" x14ac:dyDescent="0.2">
      <c r="G11125" s="7"/>
    </row>
    <row r="11126" spans="7:7" x14ac:dyDescent="0.2">
      <c r="G11126" s="7"/>
    </row>
    <row r="11127" spans="7:7" x14ac:dyDescent="0.2">
      <c r="G11127" s="7"/>
    </row>
    <row r="11128" spans="7:7" x14ac:dyDescent="0.2">
      <c r="G11128" s="7"/>
    </row>
    <row r="11129" spans="7:7" x14ac:dyDescent="0.2">
      <c r="G11129" s="7"/>
    </row>
    <row r="11130" spans="7:7" x14ac:dyDescent="0.2">
      <c r="G11130" s="7"/>
    </row>
    <row r="11131" spans="7:7" x14ac:dyDescent="0.2">
      <c r="G11131" s="7"/>
    </row>
    <row r="11132" spans="7:7" x14ac:dyDescent="0.2">
      <c r="G11132" s="7"/>
    </row>
    <row r="11133" spans="7:7" x14ac:dyDescent="0.2">
      <c r="G11133" s="7"/>
    </row>
    <row r="11134" spans="7:7" x14ac:dyDescent="0.2">
      <c r="G11134" s="7"/>
    </row>
    <row r="11135" spans="7:7" x14ac:dyDescent="0.2">
      <c r="G11135" s="7"/>
    </row>
    <row r="11136" spans="7:7" x14ac:dyDescent="0.2">
      <c r="G11136" s="7"/>
    </row>
    <row r="11137" spans="7:7" x14ac:dyDescent="0.2">
      <c r="G11137" s="7"/>
    </row>
    <row r="11138" spans="7:7" x14ac:dyDescent="0.2">
      <c r="G11138" s="7"/>
    </row>
    <row r="11139" spans="7:7" x14ac:dyDescent="0.2">
      <c r="G11139" s="7"/>
    </row>
    <row r="11140" spans="7:7" x14ac:dyDescent="0.2">
      <c r="G11140" s="7"/>
    </row>
    <row r="11141" spans="7:7" x14ac:dyDescent="0.2">
      <c r="G11141" s="7"/>
    </row>
    <row r="11142" spans="7:7" x14ac:dyDescent="0.2">
      <c r="G11142" s="7"/>
    </row>
    <row r="11143" spans="7:7" x14ac:dyDescent="0.2">
      <c r="G11143" s="7"/>
    </row>
    <row r="11144" spans="7:7" x14ac:dyDescent="0.2">
      <c r="G11144" s="7"/>
    </row>
    <row r="11145" spans="7:7" x14ac:dyDescent="0.2">
      <c r="G11145" s="7"/>
    </row>
    <row r="11146" spans="7:7" x14ac:dyDescent="0.2">
      <c r="G11146" s="7"/>
    </row>
    <row r="11147" spans="7:7" x14ac:dyDescent="0.2">
      <c r="G11147" s="7"/>
    </row>
    <row r="11148" spans="7:7" x14ac:dyDescent="0.2">
      <c r="G11148" s="7"/>
    </row>
    <row r="11149" spans="7:7" x14ac:dyDescent="0.2">
      <c r="G11149" s="7"/>
    </row>
    <row r="11150" spans="7:7" x14ac:dyDescent="0.2">
      <c r="G11150" s="7"/>
    </row>
    <row r="11151" spans="7:7" x14ac:dyDescent="0.2">
      <c r="G11151" s="7"/>
    </row>
    <row r="11152" spans="7:7" x14ac:dyDescent="0.2">
      <c r="G11152" s="7"/>
    </row>
    <row r="11153" spans="7:7" x14ac:dyDescent="0.2">
      <c r="G11153" s="7"/>
    </row>
    <row r="11154" spans="7:7" x14ac:dyDescent="0.2">
      <c r="G11154" s="7"/>
    </row>
    <row r="11155" spans="7:7" x14ac:dyDescent="0.2">
      <c r="G11155" s="7"/>
    </row>
    <row r="11156" spans="7:7" x14ac:dyDescent="0.2">
      <c r="G11156" s="7"/>
    </row>
    <row r="11157" spans="7:7" x14ac:dyDescent="0.2">
      <c r="G11157" s="7"/>
    </row>
    <row r="11158" spans="7:7" x14ac:dyDescent="0.2">
      <c r="G11158" s="7"/>
    </row>
    <row r="11159" spans="7:7" x14ac:dyDescent="0.2">
      <c r="G11159" s="7"/>
    </row>
    <row r="11160" spans="7:7" x14ac:dyDescent="0.2">
      <c r="G11160" s="7"/>
    </row>
    <row r="11161" spans="7:7" x14ac:dyDescent="0.2">
      <c r="G11161" s="7"/>
    </row>
    <row r="11162" spans="7:7" x14ac:dyDescent="0.2">
      <c r="G11162" s="7"/>
    </row>
    <row r="11163" spans="7:7" x14ac:dyDescent="0.2">
      <c r="G11163" s="7"/>
    </row>
    <row r="11164" spans="7:7" x14ac:dyDescent="0.2">
      <c r="G11164" s="7"/>
    </row>
    <row r="11165" spans="7:7" x14ac:dyDescent="0.2">
      <c r="G11165" s="7"/>
    </row>
    <row r="11166" spans="7:7" x14ac:dyDescent="0.2">
      <c r="G11166" s="7"/>
    </row>
    <row r="11167" spans="7:7" x14ac:dyDescent="0.2">
      <c r="G11167" s="7"/>
    </row>
    <row r="11168" spans="7:7" x14ac:dyDescent="0.2">
      <c r="G11168" s="7"/>
    </row>
    <row r="11169" spans="7:7" x14ac:dyDescent="0.2">
      <c r="G11169" s="7"/>
    </row>
    <row r="11170" spans="7:7" x14ac:dyDescent="0.2">
      <c r="G11170" s="7"/>
    </row>
    <row r="11171" spans="7:7" x14ac:dyDescent="0.2">
      <c r="G11171" s="7"/>
    </row>
    <row r="11172" spans="7:7" x14ac:dyDescent="0.2">
      <c r="G11172" s="7"/>
    </row>
    <row r="11173" spans="7:7" x14ac:dyDescent="0.2">
      <c r="G11173" s="7"/>
    </row>
    <row r="11174" spans="7:7" x14ac:dyDescent="0.2">
      <c r="G11174" s="7"/>
    </row>
    <row r="11175" spans="7:7" x14ac:dyDescent="0.2">
      <c r="G11175" s="7"/>
    </row>
    <row r="11176" spans="7:7" x14ac:dyDescent="0.2">
      <c r="G11176" s="7"/>
    </row>
    <row r="11177" spans="7:7" x14ac:dyDescent="0.2">
      <c r="G11177" s="7"/>
    </row>
    <row r="11178" spans="7:7" x14ac:dyDescent="0.2">
      <c r="G11178" s="7"/>
    </row>
    <row r="11179" spans="7:7" x14ac:dyDescent="0.2">
      <c r="G11179" s="7"/>
    </row>
    <row r="11180" spans="7:7" x14ac:dyDescent="0.2">
      <c r="G11180" s="7"/>
    </row>
    <row r="11181" spans="7:7" x14ac:dyDescent="0.2">
      <c r="G11181" s="7"/>
    </row>
    <row r="11182" spans="7:7" x14ac:dyDescent="0.2">
      <c r="G11182" s="7"/>
    </row>
    <row r="11183" spans="7:7" x14ac:dyDescent="0.2">
      <c r="G11183" s="7"/>
    </row>
    <row r="11184" spans="7:7" x14ac:dyDescent="0.2">
      <c r="G11184" s="7"/>
    </row>
    <row r="11185" spans="7:7" x14ac:dyDescent="0.2">
      <c r="G11185" s="7"/>
    </row>
    <row r="11186" spans="7:7" x14ac:dyDescent="0.2">
      <c r="G11186" s="7"/>
    </row>
    <row r="11187" spans="7:7" x14ac:dyDescent="0.2">
      <c r="G11187" s="7"/>
    </row>
    <row r="11188" spans="7:7" x14ac:dyDescent="0.2">
      <c r="G11188" s="7"/>
    </row>
    <row r="11189" spans="7:7" x14ac:dyDescent="0.2">
      <c r="G11189" s="7"/>
    </row>
    <row r="11190" spans="7:7" x14ac:dyDescent="0.2">
      <c r="G11190" s="7"/>
    </row>
    <row r="11191" spans="7:7" x14ac:dyDescent="0.2">
      <c r="G11191" s="7"/>
    </row>
    <row r="11192" spans="7:7" x14ac:dyDescent="0.2">
      <c r="G11192" s="7"/>
    </row>
    <row r="11193" spans="7:7" x14ac:dyDescent="0.2">
      <c r="G11193" s="7"/>
    </row>
    <row r="11194" spans="7:7" x14ac:dyDescent="0.2">
      <c r="G11194" s="7"/>
    </row>
    <row r="11195" spans="7:7" x14ac:dyDescent="0.2">
      <c r="G11195" s="7"/>
    </row>
    <row r="11196" spans="7:7" x14ac:dyDescent="0.2">
      <c r="G11196" s="7"/>
    </row>
    <row r="11197" spans="7:7" x14ac:dyDescent="0.2">
      <c r="G11197" s="7"/>
    </row>
    <row r="11198" spans="7:7" x14ac:dyDescent="0.2">
      <c r="G11198" s="7"/>
    </row>
    <row r="11199" spans="7:7" x14ac:dyDescent="0.2">
      <c r="G11199" s="7"/>
    </row>
    <row r="11200" spans="7:7" x14ac:dyDescent="0.2">
      <c r="G11200" s="7"/>
    </row>
    <row r="11201" spans="7:7" x14ac:dyDescent="0.2">
      <c r="G11201" s="7"/>
    </row>
    <row r="11202" spans="7:7" x14ac:dyDescent="0.2">
      <c r="G11202" s="7"/>
    </row>
    <row r="11203" spans="7:7" x14ac:dyDescent="0.2">
      <c r="G11203" s="7"/>
    </row>
    <row r="11204" spans="7:7" x14ac:dyDescent="0.2">
      <c r="G11204" s="7"/>
    </row>
    <row r="11205" spans="7:7" x14ac:dyDescent="0.2">
      <c r="G11205" s="7"/>
    </row>
    <row r="11206" spans="7:7" x14ac:dyDescent="0.2">
      <c r="G11206" s="7"/>
    </row>
    <row r="11207" spans="7:7" x14ac:dyDescent="0.2">
      <c r="G11207" s="7"/>
    </row>
    <row r="11208" spans="7:7" x14ac:dyDescent="0.2">
      <c r="G11208" s="7"/>
    </row>
    <row r="11209" spans="7:7" x14ac:dyDescent="0.2">
      <c r="G11209" s="7"/>
    </row>
    <row r="11210" spans="7:7" x14ac:dyDescent="0.2">
      <c r="G11210" s="7"/>
    </row>
    <row r="11211" spans="7:7" x14ac:dyDescent="0.2">
      <c r="G11211" s="7"/>
    </row>
    <row r="11212" spans="7:7" x14ac:dyDescent="0.2">
      <c r="G11212" s="7"/>
    </row>
    <row r="11213" spans="7:7" x14ac:dyDescent="0.2">
      <c r="G11213" s="7"/>
    </row>
    <row r="11214" spans="7:7" x14ac:dyDescent="0.2">
      <c r="G11214" s="7"/>
    </row>
    <row r="11215" spans="7:7" x14ac:dyDescent="0.2">
      <c r="G11215" s="7"/>
    </row>
    <row r="11216" spans="7:7" x14ac:dyDescent="0.2">
      <c r="G11216" s="7"/>
    </row>
    <row r="11217" spans="7:7" x14ac:dyDescent="0.2">
      <c r="G11217" s="7"/>
    </row>
    <row r="11218" spans="7:7" x14ac:dyDescent="0.2">
      <c r="G11218" s="7"/>
    </row>
    <row r="11219" spans="7:7" x14ac:dyDescent="0.2">
      <c r="G11219" s="7"/>
    </row>
    <row r="11220" spans="7:7" x14ac:dyDescent="0.2">
      <c r="G11220" s="7"/>
    </row>
    <row r="11221" spans="7:7" x14ac:dyDescent="0.2">
      <c r="G11221" s="7"/>
    </row>
    <row r="11222" spans="7:7" x14ac:dyDescent="0.2">
      <c r="G11222" s="7"/>
    </row>
    <row r="11223" spans="7:7" x14ac:dyDescent="0.2">
      <c r="G11223" s="7"/>
    </row>
    <row r="11224" spans="7:7" x14ac:dyDescent="0.2">
      <c r="G11224" s="7"/>
    </row>
    <row r="11225" spans="7:7" x14ac:dyDescent="0.2">
      <c r="G11225" s="7"/>
    </row>
    <row r="11226" spans="7:7" x14ac:dyDescent="0.2">
      <c r="G11226" s="7"/>
    </row>
    <row r="11227" spans="7:7" x14ac:dyDescent="0.2">
      <c r="G11227" s="7"/>
    </row>
    <row r="11228" spans="7:7" x14ac:dyDescent="0.2">
      <c r="G11228" s="7"/>
    </row>
    <row r="11229" spans="7:7" x14ac:dyDescent="0.2">
      <c r="G11229" s="7"/>
    </row>
    <row r="11230" spans="7:7" x14ac:dyDescent="0.2">
      <c r="G11230" s="7"/>
    </row>
    <row r="11231" spans="7:7" x14ac:dyDescent="0.2">
      <c r="G11231" s="7"/>
    </row>
    <row r="11232" spans="7:7" x14ac:dyDescent="0.2">
      <c r="G11232" s="7"/>
    </row>
    <row r="11233" spans="7:7" x14ac:dyDescent="0.2">
      <c r="G11233" s="7"/>
    </row>
    <row r="11234" spans="7:7" x14ac:dyDescent="0.2">
      <c r="G11234" s="7"/>
    </row>
    <row r="11235" spans="7:7" x14ac:dyDescent="0.2">
      <c r="G11235" s="7"/>
    </row>
    <row r="11236" spans="7:7" x14ac:dyDescent="0.2">
      <c r="G11236" s="7"/>
    </row>
    <row r="11237" spans="7:7" x14ac:dyDescent="0.2">
      <c r="G11237" s="7"/>
    </row>
    <row r="11238" spans="7:7" x14ac:dyDescent="0.2">
      <c r="G11238" s="7"/>
    </row>
    <row r="11239" spans="7:7" x14ac:dyDescent="0.2">
      <c r="G11239" s="7"/>
    </row>
    <row r="11240" spans="7:7" x14ac:dyDescent="0.2">
      <c r="G11240" s="7"/>
    </row>
    <row r="11241" spans="7:7" x14ac:dyDescent="0.2">
      <c r="G11241" s="7"/>
    </row>
    <row r="11242" spans="7:7" x14ac:dyDescent="0.2">
      <c r="G11242" s="7"/>
    </row>
    <row r="11243" spans="7:7" x14ac:dyDescent="0.2">
      <c r="G11243" s="7"/>
    </row>
    <row r="11244" spans="7:7" x14ac:dyDescent="0.2">
      <c r="G11244" s="7"/>
    </row>
    <row r="11245" spans="7:7" x14ac:dyDescent="0.2">
      <c r="G11245" s="7"/>
    </row>
    <row r="11246" spans="7:7" x14ac:dyDescent="0.2">
      <c r="G11246" s="7"/>
    </row>
    <row r="11247" spans="7:7" x14ac:dyDescent="0.2">
      <c r="G11247" s="7"/>
    </row>
    <row r="11248" spans="7:7" x14ac:dyDescent="0.2">
      <c r="G11248" s="7"/>
    </row>
    <row r="11249" spans="7:7" x14ac:dyDescent="0.2">
      <c r="G11249" s="7"/>
    </row>
    <row r="11250" spans="7:7" x14ac:dyDescent="0.2">
      <c r="G11250" s="7"/>
    </row>
    <row r="11251" spans="7:7" x14ac:dyDescent="0.2">
      <c r="G11251" s="7"/>
    </row>
    <row r="11252" spans="7:7" x14ac:dyDescent="0.2">
      <c r="G11252" s="7"/>
    </row>
    <row r="11253" spans="7:7" x14ac:dyDescent="0.2">
      <c r="G11253" s="7"/>
    </row>
    <row r="11254" spans="7:7" x14ac:dyDescent="0.2">
      <c r="G11254" s="7"/>
    </row>
    <row r="11255" spans="7:7" x14ac:dyDescent="0.2">
      <c r="G11255" s="7"/>
    </row>
    <row r="11256" spans="7:7" x14ac:dyDescent="0.2">
      <c r="G11256" s="7"/>
    </row>
    <row r="11257" spans="7:7" x14ac:dyDescent="0.2">
      <c r="G11257" s="7"/>
    </row>
    <row r="11258" spans="7:7" x14ac:dyDescent="0.2">
      <c r="G11258" s="7"/>
    </row>
    <row r="11259" spans="7:7" x14ac:dyDescent="0.2">
      <c r="G11259" s="7"/>
    </row>
    <row r="11260" spans="7:7" x14ac:dyDescent="0.2">
      <c r="G11260" s="7"/>
    </row>
    <row r="11261" spans="7:7" x14ac:dyDescent="0.2">
      <c r="G11261" s="7"/>
    </row>
    <row r="11262" spans="7:7" x14ac:dyDescent="0.2">
      <c r="G11262" s="7"/>
    </row>
    <row r="11263" spans="7:7" x14ac:dyDescent="0.2">
      <c r="G11263" s="7"/>
    </row>
    <row r="11264" spans="7:7" x14ac:dyDescent="0.2">
      <c r="G11264" s="7"/>
    </row>
    <row r="11265" spans="7:7" x14ac:dyDescent="0.2">
      <c r="G11265" s="7"/>
    </row>
    <row r="11266" spans="7:7" x14ac:dyDescent="0.2">
      <c r="G11266" s="7"/>
    </row>
    <row r="11267" spans="7:7" x14ac:dyDescent="0.2">
      <c r="G11267" s="7"/>
    </row>
    <row r="11268" spans="7:7" x14ac:dyDescent="0.2">
      <c r="G11268" s="7"/>
    </row>
    <row r="11269" spans="7:7" x14ac:dyDescent="0.2">
      <c r="G11269" s="7"/>
    </row>
    <row r="11270" spans="7:7" x14ac:dyDescent="0.2">
      <c r="G11270" s="7"/>
    </row>
    <row r="11271" spans="7:7" x14ac:dyDescent="0.2">
      <c r="G11271" s="7"/>
    </row>
    <row r="11272" spans="7:7" x14ac:dyDescent="0.2">
      <c r="G11272" s="7"/>
    </row>
    <row r="11273" spans="7:7" x14ac:dyDescent="0.2">
      <c r="G11273" s="7"/>
    </row>
    <row r="11274" spans="7:7" x14ac:dyDescent="0.2">
      <c r="G11274" s="7"/>
    </row>
    <row r="11275" spans="7:7" x14ac:dyDescent="0.2">
      <c r="G11275" s="7"/>
    </row>
    <row r="11276" spans="7:7" x14ac:dyDescent="0.2">
      <c r="G11276" s="7"/>
    </row>
    <row r="11277" spans="7:7" x14ac:dyDescent="0.2">
      <c r="G11277" s="7"/>
    </row>
    <row r="11278" spans="7:7" x14ac:dyDescent="0.2">
      <c r="G11278" s="7"/>
    </row>
    <row r="11279" spans="7:7" x14ac:dyDescent="0.2">
      <c r="G11279" s="7"/>
    </row>
    <row r="11280" spans="7:7" x14ac:dyDescent="0.2">
      <c r="G11280" s="7"/>
    </row>
    <row r="11281" spans="7:7" x14ac:dyDescent="0.2">
      <c r="G11281" s="7"/>
    </row>
    <row r="11282" spans="7:7" x14ac:dyDescent="0.2">
      <c r="G11282" s="7"/>
    </row>
    <row r="11283" spans="7:7" x14ac:dyDescent="0.2">
      <c r="G11283" s="7"/>
    </row>
    <row r="11284" spans="7:7" x14ac:dyDescent="0.2">
      <c r="G11284" s="7"/>
    </row>
    <row r="11285" spans="7:7" x14ac:dyDescent="0.2">
      <c r="G11285" s="7"/>
    </row>
    <row r="11286" spans="7:7" x14ac:dyDescent="0.2">
      <c r="G11286" s="7"/>
    </row>
    <row r="11287" spans="7:7" x14ac:dyDescent="0.2">
      <c r="G11287" s="7"/>
    </row>
    <row r="11288" spans="7:7" x14ac:dyDescent="0.2">
      <c r="G11288" s="7"/>
    </row>
    <row r="11289" spans="7:7" x14ac:dyDescent="0.2">
      <c r="G11289" s="7"/>
    </row>
    <row r="11290" spans="7:7" x14ac:dyDescent="0.2">
      <c r="G11290" s="7"/>
    </row>
    <row r="11291" spans="7:7" x14ac:dyDescent="0.2">
      <c r="G11291" s="7"/>
    </row>
    <row r="11292" spans="7:7" x14ac:dyDescent="0.2">
      <c r="G11292" s="7"/>
    </row>
    <row r="11293" spans="7:7" x14ac:dyDescent="0.2">
      <c r="G11293" s="7"/>
    </row>
    <row r="11294" spans="7:7" x14ac:dyDescent="0.2">
      <c r="G11294" s="7"/>
    </row>
    <row r="11295" spans="7:7" x14ac:dyDescent="0.2">
      <c r="G11295" s="7"/>
    </row>
    <row r="11296" spans="7:7" x14ac:dyDescent="0.2">
      <c r="G11296" s="7"/>
    </row>
    <row r="11297" spans="7:7" x14ac:dyDescent="0.2">
      <c r="G11297" s="7"/>
    </row>
    <row r="11298" spans="7:7" x14ac:dyDescent="0.2">
      <c r="G11298" s="7"/>
    </row>
    <row r="11299" spans="7:7" x14ac:dyDescent="0.2">
      <c r="G11299" s="7"/>
    </row>
    <row r="11300" spans="7:7" x14ac:dyDescent="0.2">
      <c r="G11300" s="7"/>
    </row>
    <row r="11301" spans="7:7" x14ac:dyDescent="0.2">
      <c r="G11301" s="7"/>
    </row>
    <row r="11302" spans="7:7" x14ac:dyDescent="0.2">
      <c r="G11302" s="7"/>
    </row>
    <row r="11303" spans="7:7" x14ac:dyDescent="0.2">
      <c r="G11303" s="7"/>
    </row>
    <row r="11304" spans="7:7" x14ac:dyDescent="0.2">
      <c r="G11304" s="7"/>
    </row>
    <row r="11305" spans="7:7" x14ac:dyDescent="0.2">
      <c r="G11305" s="7"/>
    </row>
    <row r="11306" spans="7:7" x14ac:dyDescent="0.2">
      <c r="G11306" s="7"/>
    </row>
    <row r="11307" spans="7:7" x14ac:dyDescent="0.2">
      <c r="G11307" s="7"/>
    </row>
    <row r="11308" spans="7:7" x14ac:dyDescent="0.2">
      <c r="G11308" s="7"/>
    </row>
    <row r="11309" spans="7:7" x14ac:dyDescent="0.2">
      <c r="G11309" s="7"/>
    </row>
    <row r="11310" spans="7:7" x14ac:dyDescent="0.2">
      <c r="G11310" s="7"/>
    </row>
    <row r="11311" spans="7:7" x14ac:dyDescent="0.2">
      <c r="G11311" s="7"/>
    </row>
    <row r="11312" spans="7:7" x14ac:dyDescent="0.2">
      <c r="G11312" s="7"/>
    </row>
    <row r="11313" spans="7:7" x14ac:dyDescent="0.2">
      <c r="G11313" s="7"/>
    </row>
    <row r="11314" spans="7:7" x14ac:dyDescent="0.2">
      <c r="G11314" s="7"/>
    </row>
    <row r="11315" spans="7:7" x14ac:dyDescent="0.2">
      <c r="G11315" s="7"/>
    </row>
    <row r="11316" spans="7:7" x14ac:dyDescent="0.2">
      <c r="G11316" s="7"/>
    </row>
    <row r="11317" spans="7:7" x14ac:dyDescent="0.2">
      <c r="G11317" s="7"/>
    </row>
    <row r="11318" spans="7:7" x14ac:dyDescent="0.2">
      <c r="G11318" s="7"/>
    </row>
    <row r="11319" spans="7:7" x14ac:dyDescent="0.2">
      <c r="G11319" s="7"/>
    </row>
    <row r="11320" spans="7:7" x14ac:dyDescent="0.2">
      <c r="G11320" s="7"/>
    </row>
    <row r="11321" spans="7:7" x14ac:dyDescent="0.2">
      <c r="G11321" s="7"/>
    </row>
    <row r="11322" spans="7:7" x14ac:dyDescent="0.2">
      <c r="G11322" s="7"/>
    </row>
    <row r="11323" spans="7:7" x14ac:dyDescent="0.2">
      <c r="G11323" s="7"/>
    </row>
    <row r="11324" spans="7:7" x14ac:dyDescent="0.2">
      <c r="G11324" s="7"/>
    </row>
    <row r="11325" spans="7:7" x14ac:dyDescent="0.2">
      <c r="G11325" s="7"/>
    </row>
    <row r="11326" spans="7:7" x14ac:dyDescent="0.2">
      <c r="G11326" s="7"/>
    </row>
    <row r="11327" spans="7:7" x14ac:dyDescent="0.2">
      <c r="G11327" s="7"/>
    </row>
    <row r="11328" spans="7:7" x14ac:dyDescent="0.2">
      <c r="G11328" s="7"/>
    </row>
    <row r="11329" spans="7:7" x14ac:dyDescent="0.2">
      <c r="G11329" s="7"/>
    </row>
    <row r="11330" spans="7:7" x14ac:dyDescent="0.2">
      <c r="G11330" s="7"/>
    </row>
    <row r="11331" spans="7:7" x14ac:dyDescent="0.2">
      <c r="G11331" s="7"/>
    </row>
    <row r="11332" spans="7:7" x14ac:dyDescent="0.2">
      <c r="G11332" s="7"/>
    </row>
    <row r="11333" spans="7:7" x14ac:dyDescent="0.2">
      <c r="G11333" s="7"/>
    </row>
    <row r="11334" spans="7:7" x14ac:dyDescent="0.2">
      <c r="G11334" s="7"/>
    </row>
    <row r="11335" spans="7:7" x14ac:dyDescent="0.2">
      <c r="G11335" s="7"/>
    </row>
    <row r="11336" spans="7:7" x14ac:dyDescent="0.2">
      <c r="G11336" s="7"/>
    </row>
    <row r="11337" spans="7:7" x14ac:dyDescent="0.2">
      <c r="G11337" s="7"/>
    </row>
    <row r="11338" spans="7:7" x14ac:dyDescent="0.2">
      <c r="G11338" s="7"/>
    </row>
    <row r="11339" spans="7:7" x14ac:dyDescent="0.2">
      <c r="G11339" s="7"/>
    </row>
    <row r="11340" spans="7:7" x14ac:dyDescent="0.2">
      <c r="G11340" s="7"/>
    </row>
    <row r="11341" spans="7:7" x14ac:dyDescent="0.2">
      <c r="G11341" s="7"/>
    </row>
    <row r="11342" spans="7:7" x14ac:dyDescent="0.2">
      <c r="G11342" s="7"/>
    </row>
    <row r="11343" spans="7:7" x14ac:dyDescent="0.2">
      <c r="G11343" s="7"/>
    </row>
    <row r="11344" spans="7:7" x14ac:dyDescent="0.2">
      <c r="G11344" s="7"/>
    </row>
    <row r="11345" spans="7:7" x14ac:dyDescent="0.2">
      <c r="G11345" s="7"/>
    </row>
    <row r="11346" spans="7:7" x14ac:dyDescent="0.2">
      <c r="G11346" s="7"/>
    </row>
    <row r="11347" spans="7:7" x14ac:dyDescent="0.2">
      <c r="G11347" s="7"/>
    </row>
    <row r="11348" spans="7:7" x14ac:dyDescent="0.2">
      <c r="G11348" s="7"/>
    </row>
    <row r="11349" spans="7:7" x14ac:dyDescent="0.2">
      <c r="G11349" s="7"/>
    </row>
    <row r="11350" spans="7:7" x14ac:dyDescent="0.2">
      <c r="G11350" s="7"/>
    </row>
    <row r="11351" spans="7:7" x14ac:dyDescent="0.2">
      <c r="G11351" s="7"/>
    </row>
    <row r="11352" spans="7:7" x14ac:dyDescent="0.2">
      <c r="G11352" s="7"/>
    </row>
    <row r="11353" spans="7:7" x14ac:dyDescent="0.2">
      <c r="G11353" s="7"/>
    </row>
    <row r="11354" spans="7:7" x14ac:dyDescent="0.2">
      <c r="G11354" s="7"/>
    </row>
    <row r="11355" spans="7:7" x14ac:dyDescent="0.2">
      <c r="G11355" s="7"/>
    </row>
    <row r="11356" spans="7:7" x14ac:dyDescent="0.2">
      <c r="G11356" s="7"/>
    </row>
    <row r="11357" spans="7:7" x14ac:dyDescent="0.2">
      <c r="G11357" s="7"/>
    </row>
    <row r="11358" spans="7:7" x14ac:dyDescent="0.2">
      <c r="G11358" s="7"/>
    </row>
    <row r="11359" spans="7:7" x14ac:dyDescent="0.2">
      <c r="G11359" s="7"/>
    </row>
    <row r="11360" spans="7:7" x14ac:dyDescent="0.2">
      <c r="G11360" s="7"/>
    </row>
    <row r="11361" spans="7:7" x14ac:dyDescent="0.2">
      <c r="G11361" s="7"/>
    </row>
    <row r="11362" spans="7:7" x14ac:dyDescent="0.2">
      <c r="G11362" s="7"/>
    </row>
    <row r="11363" spans="7:7" x14ac:dyDescent="0.2">
      <c r="G11363" s="7"/>
    </row>
    <row r="11364" spans="7:7" x14ac:dyDescent="0.2">
      <c r="G11364" s="7"/>
    </row>
    <row r="11365" spans="7:7" x14ac:dyDescent="0.2">
      <c r="G11365" s="7"/>
    </row>
    <row r="11366" spans="7:7" x14ac:dyDescent="0.2">
      <c r="G11366" s="7"/>
    </row>
    <row r="11367" spans="7:7" x14ac:dyDescent="0.2">
      <c r="G11367" s="7"/>
    </row>
    <row r="11368" spans="7:7" x14ac:dyDescent="0.2">
      <c r="G11368" s="7"/>
    </row>
    <row r="11369" spans="7:7" x14ac:dyDescent="0.2">
      <c r="G11369" s="7"/>
    </row>
    <row r="11370" spans="7:7" x14ac:dyDescent="0.2">
      <c r="G11370" s="7"/>
    </row>
    <row r="11371" spans="7:7" x14ac:dyDescent="0.2">
      <c r="G11371" s="7"/>
    </row>
    <row r="11372" spans="7:7" x14ac:dyDescent="0.2">
      <c r="G11372" s="7"/>
    </row>
    <row r="11373" spans="7:7" x14ac:dyDescent="0.2">
      <c r="G11373" s="7"/>
    </row>
    <row r="11374" spans="7:7" x14ac:dyDescent="0.2">
      <c r="G11374" s="7"/>
    </row>
    <row r="11375" spans="7:7" x14ac:dyDescent="0.2">
      <c r="G11375" s="7"/>
    </row>
    <row r="11376" spans="7:7" x14ac:dyDescent="0.2">
      <c r="G11376" s="7"/>
    </row>
    <row r="11377" spans="7:7" x14ac:dyDescent="0.2">
      <c r="G11377" s="7"/>
    </row>
    <row r="11378" spans="7:7" x14ac:dyDescent="0.2">
      <c r="G11378" s="7"/>
    </row>
    <row r="11379" spans="7:7" x14ac:dyDescent="0.2">
      <c r="G11379" s="7"/>
    </row>
    <row r="11380" spans="7:7" x14ac:dyDescent="0.2">
      <c r="G11380" s="7"/>
    </row>
    <row r="11381" spans="7:7" x14ac:dyDescent="0.2">
      <c r="G11381" s="7"/>
    </row>
    <row r="11382" spans="7:7" x14ac:dyDescent="0.2">
      <c r="G11382" s="7"/>
    </row>
    <row r="11383" spans="7:7" x14ac:dyDescent="0.2">
      <c r="G11383" s="7"/>
    </row>
    <row r="11384" spans="7:7" x14ac:dyDescent="0.2">
      <c r="G11384" s="7"/>
    </row>
    <row r="11385" spans="7:7" x14ac:dyDescent="0.2">
      <c r="G11385" s="7"/>
    </row>
    <row r="11386" spans="7:7" x14ac:dyDescent="0.2">
      <c r="G11386" s="7"/>
    </row>
    <row r="11387" spans="7:7" x14ac:dyDescent="0.2">
      <c r="G11387" s="7"/>
    </row>
    <row r="11388" spans="7:7" x14ac:dyDescent="0.2">
      <c r="G11388" s="7"/>
    </row>
    <row r="11389" spans="7:7" x14ac:dyDescent="0.2">
      <c r="G11389" s="7"/>
    </row>
    <row r="11390" spans="7:7" x14ac:dyDescent="0.2">
      <c r="G11390" s="7"/>
    </row>
    <row r="11391" spans="7:7" x14ac:dyDescent="0.2">
      <c r="G11391" s="7"/>
    </row>
    <row r="11392" spans="7:7" x14ac:dyDescent="0.2">
      <c r="G11392" s="7"/>
    </row>
    <row r="11393" spans="7:7" x14ac:dyDescent="0.2">
      <c r="G11393" s="7"/>
    </row>
    <row r="11394" spans="7:7" x14ac:dyDescent="0.2">
      <c r="G11394" s="7"/>
    </row>
    <row r="11395" spans="7:7" x14ac:dyDescent="0.2">
      <c r="G11395" s="7"/>
    </row>
    <row r="11396" spans="7:7" x14ac:dyDescent="0.2">
      <c r="G11396" s="7"/>
    </row>
    <row r="11397" spans="7:7" x14ac:dyDescent="0.2">
      <c r="G11397" s="7"/>
    </row>
    <row r="11398" spans="7:7" x14ac:dyDescent="0.2">
      <c r="G11398" s="7"/>
    </row>
    <row r="11399" spans="7:7" x14ac:dyDescent="0.2">
      <c r="G11399" s="7"/>
    </row>
    <row r="11400" spans="7:7" x14ac:dyDescent="0.2">
      <c r="G11400" s="7"/>
    </row>
    <row r="11401" spans="7:7" x14ac:dyDescent="0.2">
      <c r="G11401" s="7"/>
    </row>
    <row r="11402" spans="7:7" x14ac:dyDescent="0.2">
      <c r="G11402" s="7"/>
    </row>
    <row r="11403" spans="7:7" x14ac:dyDescent="0.2">
      <c r="G11403" s="7"/>
    </row>
    <row r="11404" spans="7:7" x14ac:dyDescent="0.2">
      <c r="G11404" s="7"/>
    </row>
    <row r="11405" spans="7:7" x14ac:dyDescent="0.2">
      <c r="G11405" s="7"/>
    </row>
    <row r="11406" spans="7:7" x14ac:dyDescent="0.2">
      <c r="G11406" s="7"/>
    </row>
    <row r="11407" spans="7:7" x14ac:dyDescent="0.2">
      <c r="G11407" s="7"/>
    </row>
    <row r="11408" spans="7:7" x14ac:dyDescent="0.2">
      <c r="G11408" s="7"/>
    </row>
    <row r="11409" spans="7:7" x14ac:dyDescent="0.2">
      <c r="G11409" s="7"/>
    </row>
    <row r="11410" spans="7:7" x14ac:dyDescent="0.2">
      <c r="G11410" s="7"/>
    </row>
    <row r="11411" spans="7:7" x14ac:dyDescent="0.2">
      <c r="G11411" s="7"/>
    </row>
    <row r="11412" spans="7:7" x14ac:dyDescent="0.2">
      <c r="G11412" s="7"/>
    </row>
    <row r="11413" spans="7:7" x14ac:dyDescent="0.2">
      <c r="G11413" s="7"/>
    </row>
    <row r="11414" spans="7:7" x14ac:dyDescent="0.2">
      <c r="G11414" s="7"/>
    </row>
    <row r="11415" spans="7:7" x14ac:dyDescent="0.2">
      <c r="G11415" s="7"/>
    </row>
    <row r="11416" spans="7:7" x14ac:dyDescent="0.2">
      <c r="G11416" s="7"/>
    </row>
    <row r="11417" spans="7:7" x14ac:dyDescent="0.2">
      <c r="G11417" s="7"/>
    </row>
    <row r="11418" spans="7:7" x14ac:dyDescent="0.2">
      <c r="G11418" s="7"/>
    </row>
    <row r="11419" spans="7:7" x14ac:dyDescent="0.2">
      <c r="G11419" s="7"/>
    </row>
    <row r="11420" spans="7:7" x14ac:dyDescent="0.2">
      <c r="G11420" s="7"/>
    </row>
    <row r="11421" spans="7:7" x14ac:dyDescent="0.2">
      <c r="G11421" s="7"/>
    </row>
    <row r="11422" spans="7:7" x14ac:dyDescent="0.2">
      <c r="G11422" s="7"/>
    </row>
    <row r="11423" spans="7:7" x14ac:dyDescent="0.2">
      <c r="G11423" s="7"/>
    </row>
    <row r="11424" spans="7:7" x14ac:dyDescent="0.2">
      <c r="G11424" s="7"/>
    </row>
    <row r="11425" spans="7:7" x14ac:dyDescent="0.2">
      <c r="G11425" s="7"/>
    </row>
    <row r="11426" spans="7:7" x14ac:dyDescent="0.2">
      <c r="G11426" s="7"/>
    </row>
    <row r="11427" spans="7:7" x14ac:dyDescent="0.2">
      <c r="G11427" s="7"/>
    </row>
    <row r="11428" spans="7:7" x14ac:dyDescent="0.2">
      <c r="G11428" s="7"/>
    </row>
    <row r="11429" spans="7:7" x14ac:dyDescent="0.2">
      <c r="G11429" s="7"/>
    </row>
    <row r="11430" spans="7:7" x14ac:dyDescent="0.2">
      <c r="G11430" s="7"/>
    </row>
    <row r="11431" spans="7:7" x14ac:dyDescent="0.2">
      <c r="G11431" s="7"/>
    </row>
    <row r="11432" spans="7:7" x14ac:dyDescent="0.2">
      <c r="G11432" s="7"/>
    </row>
    <row r="11433" spans="7:7" x14ac:dyDescent="0.2">
      <c r="G11433" s="7"/>
    </row>
    <row r="11434" spans="7:7" x14ac:dyDescent="0.2">
      <c r="G11434" s="7"/>
    </row>
    <row r="11435" spans="7:7" x14ac:dyDescent="0.2">
      <c r="G11435" s="7"/>
    </row>
    <row r="11436" spans="7:7" x14ac:dyDescent="0.2">
      <c r="G11436" s="7"/>
    </row>
    <row r="11437" spans="7:7" x14ac:dyDescent="0.2">
      <c r="G11437" s="7"/>
    </row>
    <row r="11438" spans="7:7" x14ac:dyDescent="0.2">
      <c r="G11438" s="7"/>
    </row>
    <row r="11439" spans="7:7" x14ac:dyDescent="0.2">
      <c r="G11439" s="7"/>
    </row>
    <row r="11440" spans="7:7" x14ac:dyDescent="0.2">
      <c r="G11440" s="7"/>
    </row>
    <row r="11441" spans="7:7" x14ac:dyDescent="0.2">
      <c r="G11441" s="7"/>
    </row>
    <row r="11442" spans="7:7" x14ac:dyDescent="0.2">
      <c r="G11442" s="7"/>
    </row>
    <row r="11443" spans="7:7" x14ac:dyDescent="0.2">
      <c r="G11443" s="7"/>
    </row>
    <row r="11444" spans="7:7" x14ac:dyDescent="0.2">
      <c r="G11444" s="7"/>
    </row>
    <row r="11445" spans="7:7" x14ac:dyDescent="0.2">
      <c r="G11445" s="7"/>
    </row>
    <row r="11446" spans="7:7" x14ac:dyDescent="0.2">
      <c r="G11446" s="7"/>
    </row>
    <row r="11447" spans="7:7" x14ac:dyDescent="0.2">
      <c r="G11447" s="7"/>
    </row>
    <row r="11448" spans="7:7" x14ac:dyDescent="0.2">
      <c r="G11448" s="7"/>
    </row>
    <row r="11449" spans="7:7" x14ac:dyDescent="0.2">
      <c r="G11449" s="7"/>
    </row>
    <row r="11450" spans="7:7" x14ac:dyDescent="0.2">
      <c r="G11450" s="7"/>
    </row>
    <row r="11451" spans="7:7" x14ac:dyDescent="0.2">
      <c r="G11451" s="7"/>
    </row>
    <row r="11452" spans="7:7" x14ac:dyDescent="0.2">
      <c r="G11452" s="7"/>
    </row>
    <row r="11453" spans="7:7" x14ac:dyDescent="0.2">
      <c r="G11453" s="7"/>
    </row>
    <row r="11454" spans="7:7" x14ac:dyDescent="0.2">
      <c r="G11454" s="7"/>
    </row>
    <row r="11455" spans="7:7" x14ac:dyDescent="0.2">
      <c r="G11455" s="7"/>
    </row>
    <row r="11456" spans="7:7" x14ac:dyDescent="0.2">
      <c r="G11456" s="7"/>
    </row>
    <row r="11457" spans="7:7" x14ac:dyDescent="0.2">
      <c r="G11457" s="7"/>
    </row>
    <row r="11458" spans="7:7" x14ac:dyDescent="0.2">
      <c r="G11458" s="7"/>
    </row>
    <row r="11459" spans="7:7" x14ac:dyDescent="0.2">
      <c r="G11459" s="7"/>
    </row>
    <row r="11460" spans="7:7" x14ac:dyDescent="0.2">
      <c r="G11460" s="7"/>
    </row>
    <row r="11461" spans="7:7" x14ac:dyDescent="0.2">
      <c r="G11461" s="7"/>
    </row>
    <row r="11462" spans="7:7" x14ac:dyDescent="0.2">
      <c r="G11462" s="7"/>
    </row>
    <row r="11463" spans="7:7" x14ac:dyDescent="0.2">
      <c r="G11463" s="7"/>
    </row>
    <row r="11464" spans="7:7" x14ac:dyDescent="0.2">
      <c r="G11464" s="7"/>
    </row>
    <row r="11465" spans="7:7" x14ac:dyDescent="0.2">
      <c r="G11465" s="7"/>
    </row>
    <row r="11466" spans="7:7" x14ac:dyDescent="0.2">
      <c r="G11466" s="7"/>
    </row>
    <row r="11467" spans="7:7" x14ac:dyDescent="0.2">
      <c r="G11467" s="7"/>
    </row>
    <row r="11468" spans="7:7" x14ac:dyDescent="0.2">
      <c r="G11468" s="7"/>
    </row>
    <row r="11469" spans="7:7" x14ac:dyDescent="0.2">
      <c r="G11469" s="7"/>
    </row>
    <row r="11470" spans="7:7" x14ac:dyDescent="0.2">
      <c r="G11470" s="7"/>
    </row>
    <row r="11471" spans="7:7" x14ac:dyDescent="0.2">
      <c r="G11471" s="7"/>
    </row>
    <row r="11472" spans="7:7" x14ac:dyDescent="0.2">
      <c r="G11472" s="7"/>
    </row>
    <row r="11473" spans="7:7" x14ac:dyDescent="0.2">
      <c r="G11473" s="7"/>
    </row>
    <row r="11474" spans="7:7" x14ac:dyDescent="0.2">
      <c r="G11474" s="7"/>
    </row>
    <row r="11475" spans="7:7" x14ac:dyDescent="0.2">
      <c r="G11475" s="7"/>
    </row>
    <row r="11476" spans="7:7" x14ac:dyDescent="0.2">
      <c r="G11476" s="7"/>
    </row>
    <row r="11477" spans="7:7" x14ac:dyDescent="0.2">
      <c r="G11477" s="7"/>
    </row>
    <row r="11478" spans="7:7" x14ac:dyDescent="0.2">
      <c r="G11478" s="7"/>
    </row>
    <row r="11479" spans="7:7" x14ac:dyDescent="0.2">
      <c r="G11479" s="7"/>
    </row>
    <row r="11480" spans="7:7" x14ac:dyDescent="0.2">
      <c r="G11480" s="7"/>
    </row>
    <row r="11481" spans="7:7" x14ac:dyDescent="0.2">
      <c r="G11481" s="7"/>
    </row>
    <row r="11482" spans="7:7" x14ac:dyDescent="0.2">
      <c r="G11482" s="7"/>
    </row>
    <row r="11483" spans="7:7" x14ac:dyDescent="0.2">
      <c r="G11483" s="7"/>
    </row>
    <row r="11484" spans="7:7" x14ac:dyDescent="0.2">
      <c r="G11484" s="7"/>
    </row>
    <row r="11485" spans="7:7" x14ac:dyDescent="0.2">
      <c r="G11485" s="7"/>
    </row>
    <row r="11486" spans="7:7" x14ac:dyDescent="0.2">
      <c r="G11486" s="7"/>
    </row>
    <row r="11487" spans="7:7" x14ac:dyDescent="0.2">
      <c r="G11487" s="7"/>
    </row>
    <row r="11488" spans="7:7" x14ac:dyDescent="0.2">
      <c r="G11488" s="7"/>
    </row>
    <row r="11489" spans="7:7" x14ac:dyDescent="0.2">
      <c r="G11489" s="7"/>
    </row>
    <row r="11490" spans="7:7" x14ac:dyDescent="0.2">
      <c r="G11490" s="7"/>
    </row>
    <row r="11491" spans="7:7" x14ac:dyDescent="0.2">
      <c r="G11491" s="7"/>
    </row>
    <row r="11492" spans="7:7" x14ac:dyDescent="0.2">
      <c r="G11492" s="7"/>
    </row>
    <row r="11493" spans="7:7" x14ac:dyDescent="0.2">
      <c r="G11493" s="7"/>
    </row>
    <row r="11494" spans="7:7" x14ac:dyDescent="0.2">
      <c r="G11494" s="7"/>
    </row>
    <row r="11495" spans="7:7" x14ac:dyDescent="0.2">
      <c r="G11495" s="7"/>
    </row>
    <row r="11496" spans="7:7" x14ac:dyDescent="0.2">
      <c r="G11496" s="7"/>
    </row>
    <row r="11497" spans="7:7" x14ac:dyDescent="0.2">
      <c r="G11497" s="7"/>
    </row>
    <row r="11498" spans="7:7" x14ac:dyDescent="0.2">
      <c r="G11498" s="7"/>
    </row>
    <row r="11499" spans="7:7" x14ac:dyDescent="0.2">
      <c r="G11499" s="7"/>
    </row>
    <row r="11500" spans="7:7" x14ac:dyDescent="0.2">
      <c r="G11500" s="7"/>
    </row>
    <row r="11501" spans="7:7" x14ac:dyDescent="0.2">
      <c r="G11501" s="7"/>
    </row>
    <row r="11502" spans="7:7" x14ac:dyDescent="0.2">
      <c r="G11502" s="7"/>
    </row>
    <row r="11503" spans="7:7" x14ac:dyDescent="0.2">
      <c r="G11503" s="7"/>
    </row>
    <row r="11504" spans="7:7" x14ac:dyDescent="0.2">
      <c r="G11504" s="7"/>
    </row>
    <row r="11505" spans="7:7" x14ac:dyDescent="0.2">
      <c r="G11505" s="7"/>
    </row>
    <row r="11506" spans="7:7" x14ac:dyDescent="0.2">
      <c r="G11506" s="7"/>
    </row>
    <row r="11507" spans="7:7" x14ac:dyDescent="0.2">
      <c r="G11507" s="7"/>
    </row>
    <row r="11508" spans="7:7" x14ac:dyDescent="0.2">
      <c r="G11508" s="7"/>
    </row>
    <row r="11509" spans="7:7" x14ac:dyDescent="0.2">
      <c r="G11509" s="7"/>
    </row>
    <row r="11510" spans="7:7" x14ac:dyDescent="0.2">
      <c r="G11510" s="7"/>
    </row>
    <row r="11511" spans="7:7" x14ac:dyDescent="0.2">
      <c r="G11511" s="7"/>
    </row>
    <row r="11512" spans="7:7" x14ac:dyDescent="0.2">
      <c r="G11512" s="7"/>
    </row>
    <row r="11513" spans="7:7" x14ac:dyDescent="0.2">
      <c r="G11513" s="7"/>
    </row>
    <row r="11514" spans="7:7" x14ac:dyDescent="0.2">
      <c r="G11514" s="7"/>
    </row>
    <row r="11515" spans="7:7" x14ac:dyDescent="0.2">
      <c r="G11515" s="7"/>
    </row>
    <row r="11516" spans="7:7" x14ac:dyDescent="0.2">
      <c r="G11516" s="7"/>
    </row>
    <row r="11517" spans="7:7" x14ac:dyDescent="0.2">
      <c r="G11517" s="7"/>
    </row>
    <row r="11518" spans="7:7" x14ac:dyDescent="0.2">
      <c r="G11518" s="7"/>
    </row>
    <row r="11519" spans="7:7" x14ac:dyDescent="0.2">
      <c r="G11519" s="7"/>
    </row>
    <row r="11520" spans="7:7" x14ac:dyDescent="0.2">
      <c r="G11520" s="7"/>
    </row>
    <row r="11521" spans="7:7" x14ac:dyDescent="0.2">
      <c r="G11521" s="7"/>
    </row>
    <row r="11522" spans="7:7" x14ac:dyDescent="0.2">
      <c r="G11522" s="7"/>
    </row>
    <row r="11523" spans="7:7" x14ac:dyDescent="0.2">
      <c r="G11523" s="7"/>
    </row>
    <row r="11524" spans="7:7" x14ac:dyDescent="0.2">
      <c r="G11524" s="7"/>
    </row>
    <row r="11525" spans="7:7" x14ac:dyDescent="0.2">
      <c r="G11525" s="7"/>
    </row>
    <row r="11526" spans="7:7" x14ac:dyDescent="0.2">
      <c r="G11526" s="7"/>
    </row>
    <row r="11527" spans="7:7" x14ac:dyDescent="0.2">
      <c r="G11527" s="7"/>
    </row>
    <row r="11528" spans="7:7" x14ac:dyDescent="0.2">
      <c r="G11528" s="7"/>
    </row>
    <row r="11529" spans="7:7" x14ac:dyDescent="0.2">
      <c r="G11529" s="7"/>
    </row>
    <row r="11530" spans="7:7" x14ac:dyDescent="0.2">
      <c r="G11530" s="7"/>
    </row>
    <row r="11531" spans="7:7" x14ac:dyDescent="0.2">
      <c r="G11531" s="7"/>
    </row>
    <row r="11532" spans="7:7" x14ac:dyDescent="0.2">
      <c r="G11532" s="7"/>
    </row>
    <row r="11533" spans="7:7" x14ac:dyDescent="0.2">
      <c r="G11533" s="7"/>
    </row>
    <row r="11534" spans="7:7" x14ac:dyDescent="0.2">
      <c r="G11534" s="7"/>
    </row>
    <row r="11535" spans="7:7" x14ac:dyDescent="0.2">
      <c r="G11535" s="7"/>
    </row>
    <row r="11536" spans="7:7" x14ac:dyDescent="0.2">
      <c r="G11536" s="7"/>
    </row>
    <row r="11537" spans="7:7" x14ac:dyDescent="0.2">
      <c r="G11537" s="7"/>
    </row>
    <row r="11538" spans="7:7" x14ac:dyDescent="0.2">
      <c r="G11538" s="7"/>
    </row>
    <row r="11539" spans="7:7" x14ac:dyDescent="0.2">
      <c r="G11539" s="7"/>
    </row>
    <row r="11540" spans="7:7" x14ac:dyDescent="0.2">
      <c r="G11540" s="7"/>
    </row>
    <row r="11541" spans="7:7" x14ac:dyDescent="0.2">
      <c r="G11541" s="7"/>
    </row>
    <row r="11542" spans="7:7" x14ac:dyDescent="0.2">
      <c r="G11542" s="7"/>
    </row>
    <row r="11543" spans="7:7" x14ac:dyDescent="0.2">
      <c r="G11543" s="7"/>
    </row>
    <row r="11544" spans="7:7" x14ac:dyDescent="0.2">
      <c r="G11544" s="7"/>
    </row>
    <row r="11545" spans="7:7" x14ac:dyDescent="0.2">
      <c r="G11545" s="7"/>
    </row>
    <row r="11546" spans="7:7" x14ac:dyDescent="0.2">
      <c r="G11546" s="7"/>
    </row>
    <row r="11547" spans="7:7" x14ac:dyDescent="0.2">
      <c r="G11547" s="7"/>
    </row>
    <row r="11548" spans="7:7" x14ac:dyDescent="0.2">
      <c r="G11548" s="7"/>
    </row>
    <row r="11549" spans="7:7" x14ac:dyDescent="0.2">
      <c r="G11549" s="7"/>
    </row>
    <row r="11550" spans="7:7" x14ac:dyDescent="0.2">
      <c r="G11550" s="7"/>
    </row>
    <row r="11551" spans="7:7" x14ac:dyDescent="0.2">
      <c r="G11551" s="7"/>
    </row>
    <row r="11552" spans="7:7" x14ac:dyDescent="0.2">
      <c r="G11552" s="7"/>
    </row>
    <row r="11553" spans="7:7" x14ac:dyDescent="0.2">
      <c r="G11553" s="7"/>
    </row>
    <row r="11554" spans="7:7" x14ac:dyDescent="0.2">
      <c r="G11554" s="7"/>
    </row>
    <row r="11555" spans="7:7" x14ac:dyDescent="0.2">
      <c r="G11555" s="7"/>
    </row>
    <row r="11556" spans="7:7" x14ac:dyDescent="0.2">
      <c r="G11556" s="7"/>
    </row>
    <row r="11557" spans="7:7" x14ac:dyDescent="0.2">
      <c r="G11557" s="7"/>
    </row>
    <row r="11558" spans="7:7" x14ac:dyDescent="0.2">
      <c r="G11558" s="7"/>
    </row>
    <row r="11559" spans="7:7" x14ac:dyDescent="0.2">
      <c r="G11559" s="7"/>
    </row>
    <row r="11560" spans="7:7" x14ac:dyDescent="0.2">
      <c r="G11560" s="7"/>
    </row>
    <row r="11561" spans="7:7" x14ac:dyDescent="0.2">
      <c r="G11561" s="7"/>
    </row>
    <row r="11562" spans="7:7" x14ac:dyDescent="0.2">
      <c r="G11562" s="7"/>
    </row>
    <row r="11563" spans="7:7" x14ac:dyDescent="0.2">
      <c r="G11563" s="7"/>
    </row>
    <row r="11564" spans="7:7" x14ac:dyDescent="0.2">
      <c r="G11564" s="7"/>
    </row>
    <row r="11565" spans="7:7" x14ac:dyDescent="0.2">
      <c r="G11565" s="7"/>
    </row>
    <row r="11566" spans="7:7" x14ac:dyDescent="0.2">
      <c r="G11566" s="7"/>
    </row>
    <row r="11567" spans="7:7" x14ac:dyDescent="0.2">
      <c r="G11567" s="7"/>
    </row>
    <row r="11568" spans="7:7" x14ac:dyDescent="0.2">
      <c r="G11568" s="7"/>
    </row>
    <row r="11569" spans="7:7" x14ac:dyDescent="0.2">
      <c r="G11569" s="7"/>
    </row>
    <row r="11570" spans="7:7" x14ac:dyDescent="0.2">
      <c r="G11570" s="7"/>
    </row>
    <row r="11571" spans="7:7" x14ac:dyDescent="0.2">
      <c r="G11571" s="7"/>
    </row>
    <row r="11572" spans="7:7" x14ac:dyDescent="0.2">
      <c r="G11572" s="7"/>
    </row>
    <row r="11573" spans="7:7" x14ac:dyDescent="0.2">
      <c r="G11573" s="7"/>
    </row>
    <row r="11574" spans="7:7" x14ac:dyDescent="0.2">
      <c r="G11574" s="7"/>
    </row>
    <row r="11575" spans="7:7" x14ac:dyDescent="0.2">
      <c r="G11575" s="7"/>
    </row>
    <row r="11576" spans="7:7" x14ac:dyDescent="0.2">
      <c r="G11576" s="7"/>
    </row>
    <row r="11577" spans="7:7" x14ac:dyDescent="0.2">
      <c r="G11577" s="7"/>
    </row>
    <row r="11578" spans="7:7" x14ac:dyDescent="0.2">
      <c r="G11578" s="7"/>
    </row>
    <row r="11579" spans="7:7" x14ac:dyDescent="0.2">
      <c r="G11579" s="7"/>
    </row>
    <row r="11580" spans="7:7" x14ac:dyDescent="0.2">
      <c r="G11580" s="7"/>
    </row>
    <row r="11581" spans="7:7" x14ac:dyDescent="0.2">
      <c r="G11581" s="7"/>
    </row>
    <row r="11582" spans="7:7" x14ac:dyDescent="0.2">
      <c r="G11582" s="7"/>
    </row>
    <row r="11583" spans="7:7" x14ac:dyDescent="0.2">
      <c r="G11583" s="7"/>
    </row>
    <row r="11584" spans="7:7" x14ac:dyDescent="0.2">
      <c r="G11584" s="7"/>
    </row>
    <row r="11585" spans="7:7" x14ac:dyDescent="0.2">
      <c r="G11585" s="7"/>
    </row>
    <row r="11586" spans="7:7" x14ac:dyDescent="0.2">
      <c r="G11586" s="7"/>
    </row>
    <row r="11587" spans="7:7" x14ac:dyDescent="0.2">
      <c r="G11587" s="7"/>
    </row>
    <row r="11588" spans="7:7" x14ac:dyDescent="0.2">
      <c r="G11588" s="7"/>
    </row>
    <row r="11589" spans="7:7" x14ac:dyDescent="0.2">
      <c r="G11589" s="7"/>
    </row>
    <row r="11590" spans="7:7" x14ac:dyDescent="0.2">
      <c r="G11590" s="7"/>
    </row>
    <row r="11591" spans="7:7" x14ac:dyDescent="0.2">
      <c r="G11591" s="7"/>
    </row>
    <row r="11592" spans="7:7" x14ac:dyDescent="0.2">
      <c r="G11592" s="7"/>
    </row>
    <row r="11593" spans="7:7" x14ac:dyDescent="0.2">
      <c r="G11593" s="7"/>
    </row>
    <row r="11594" spans="7:7" x14ac:dyDescent="0.2">
      <c r="G11594" s="7"/>
    </row>
    <row r="11595" spans="7:7" x14ac:dyDescent="0.2">
      <c r="G11595" s="7"/>
    </row>
    <row r="11596" spans="7:7" x14ac:dyDescent="0.2">
      <c r="G11596" s="7"/>
    </row>
    <row r="11597" spans="7:7" x14ac:dyDescent="0.2">
      <c r="G11597" s="7"/>
    </row>
    <row r="11598" spans="7:7" x14ac:dyDescent="0.2">
      <c r="G11598" s="7"/>
    </row>
    <row r="11599" spans="7:7" x14ac:dyDescent="0.2">
      <c r="G11599" s="7"/>
    </row>
    <row r="11600" spans="7:7" x14ac:dyDescent="0.2">
      <c r="G11600" s="7"/>
    </row>
    <row r="11601" spans="7:7" x14ac:dyDescent="0.2">
      <c r="G11601" s="7"/>
    </row>
    <row r="11602" spans="7:7" x14ac:dyDescent="0.2">
      <c r="G11602" s="7"/>
    </row>
    <row r="11603" spans="7:7" x14ac:dyDescent="0.2">
      <c r="G11603" s="7"/>
    </row>
    <row r="11604" spans="7:7" x14ac:dyDescent="0.2">
      <c r="G11604" s="7"/>
    </row>
    <row r="11605" spans="7:7" x14ac:dyDescent="0.2">
      <c r="G11605" s="7"/>
    </row>
    <row r="11606" spans="7:7" x14ac:dyDescent="0.2">
      <c r="G11606" s="7"/>
    </row>
    <row r="11607" spans="7:7" x14ac:dyDescent="0.2">
      <c r="G11607" s="7"/>
    </row>
    <row r="11608" spans="7:7" x14ac:dyDescent="0.2">
      <c r="G11608" s="7"/>
    </row>
    <row r="11609" spans="7:7" x14ac:dyDescent="0.2">
      <c r="G11609" s="7"/>
    </row>
    <row r="11610" spans="7:7" x14ac:dyDescent="0.2">
      <c r="G11610" s="7"/>
    </row>
    <row r="11611" spans="7:7" x14ac:dyDescent="0.2">
      <c r="G11611" s="7"/>
    </row>
    <row r="11612" spans="7:7" x14ac:dyDescent="0.2">
      <c r="G11612" s="7"/>
    </row>
    <row r="11613" spans="7:7" x14ac:dyDescent="0.2">
      <c r="G11613" s="7"/>
    </row>
    <row r="11614" spans="7:7" x14ac:dyDescent="0.2">
      <c r="G11614" s="7"/>
    </row>
    <row r="11615" spans="7:7" x14ac:dyDescent="0.2">
      <c r="G11615" s="7"/>
    </row>
    <row r="11616" spans="7:7" x14ac:dyDescent="0.2">
      <c r="G11616" s="7"/>
    </row>
    <row r="11617" spans="7:7" x14ac:dyDescent="0.2">
      <c r="G11617" s="7"/>
    </row>
    <row r="11618" spans="7:7" x14ac:dyDescent="0.2">
      <c r="G11618" s="7"/>
    </row>
    <row r="11619" spans="7:7" x14ac:dyDescent="0.2">
      <c r="G11619" s="7"/>
    </row>
    <row r="11620" spans="7:7" x14ac:dyDescent="0.2">
      <c r="G11620" s="7"/>
    </row>
    <row r="11621" spans="7:7" x14ac:dyDescent="0.2">
      <c r="G11621" s="7"/>
    </row>
    <row r="11622" spans="7:7" x14ac:dyDescent="0.2">
      <c r="G11622" s="7"/>
    </row>
    <row r="11623" spans="7:7" x14ac:dyDescent="0.2">
      <c r="G11623" s="7"/>
    </row>
    <row r="11624" spans="7:7" x14ac:dyDescent="0.2">
      <c r="G11624" s="7"/>
    </row>
    <row r="11625" spans="7:7" x14ac:dyDescent="0.2">
      <c r="G11625" s="7"/>
    </row>
    <row r="11626" spans="7:7" x14ac:dyDescent="0.2">
      <c r="G11626" s="7"/>
    </row>
    <row r="11627" spans="7:7" x14ac:dyDescent="0.2">
      <c r="G11627" s="7"/>
    </row>
    <row r="11628" spans="7:7" x14ac:dyDescent="0.2">
      <c r="G11628" s="7"/>
    </row>
    <row r="11629" spans="7:7" x14ac:dyDescent="0.2">
      <c r="G11629" s="7"/>
    </row>
    <row r="11630" spans="7:7" x14ac:dyDescent="0.2">
      <c r="G11630" s="7"/>
    </row>
    <row r="11631" spans="7:7" x14ac:dyDescent="0.2">
      <c r="G11631" s="7"/>
    </row>
    <row r="11632" spans="7:7" x14ac:dyDescent="0.2">
      <c r="G11632" s="7"/>
    </row>
    <row r="11633" spans="7:7" x14ac:dyDescent="0.2">
      <c r="G11633" s="7"/>
    </row>
    <row r="11634" spans="7:7" x14ac:dyDescent="0.2">
      <c r="G11634" s="7"/>
    </row>
    <row r="11635" spans="7:7" x14ac:dyDescent="0.2">
      <c r="G11635" s="7"/>
    </row>
    <row r="11636" spans="7:7" x14ac:dyDescent="0.2">
      <c r="G11636" s="7"/>
    </row>
    <row r="11637" spans="7:7" x14ac:dyDescent="0.2">
      <c r="G11637" s="7"/>
    </row>
    <row r="11638" spans="7:7" x14ac:dyDescent="0.2">
      <c r="G11638" s="7"/>
    </row>
    <row r="11639" spans="7:7" x14ac:dyDescent="0.2">
      <c r="G11639" s="7"/>
    </row>
    <row r="11640" spans="7:7" x14ac:dyDescent="0.2">
      <c r="G11640" s="7"/>
    </row>
    <row r="11641" spans="7:7" x14ac:dyDescent="0.2">
      <c r="G11641" s="7"/>
    </row>
    <row r="11642" spans="7:7" x14ac:dyDescent="0.2">
      <c r="G11642" s="7"/>
    </row>
    <row r="11643" spans="7:7" x14ac:dyDescent="0.2">
      <c r="G11643" s="7"/>
    </row>
    <row r="11644" spans="7:7" x14ac:dyDescent="0.2">
      <c r="G11644" s="7"/>
    </row>
    <row r="11645" spans="7:7" x14ac:dyDescent="0.2">
      <c r="G11645" s="7"/>
    </row>
    <row r="11646" spans="7:7" x14ac:dyDescent="0.2">
      <c r="G11646" s="7"/>
    </row>
    <row r="11647" spans="7:7" x14ac:dyDescent="0.2">
      <c r="G11647" s="7"/>
    </row>
    <row r="11648" spans="7:7" x14ac:dyDescent="0.2">
      <c r="G11648" s="7"/>
    </row>
    <row r="11649" spans="7:7" x14ac:dyDescent="0.2">
      <c r="G11649" s="7"/>
    </row>
    <row r="11650" spans="7:7" x14ac:dyDescent="0.2">
      <c r="G11650" s="7"/>
    </row>
    <row r="11651" spans="7:7" x14ac:dyDescent="0.2">
      <c r="G11651" s="7"/>
    </row>
    <row r="11652" spans="7:7" x14ac:dyDescent="0.2">
      <c r="G11652" s="7"/>
    </row>
    <row r="11653" spans="7:7" x14ac:dyDescent="0.2">
      <c r="G11653" s="7"/>
    </row>
    <row r="11654" spans="7:7" x14ac:dyDescent="0.2">
      <c r="G11654" s="7"/>
    </row>
    <row r="11655" spans="7:7" x14ac:dyDescent="0.2">
      <c r="G11655" s="7"/>
    </row>
    <row r="11656" spans="7:7" x14ac:dyDescent="0.2">
      <c r="G11656" s="7"/>
    </row>
    <row r="11657" spans="7:7" x14ac:dyDescent="0.2">
      <c r="G11657" s="7"/>
    </row>
    <row r="11658" spans="7:7" x14ac:dyDescent="0.2">
      <c r="G11658" s="7"/>
    </row>
    <row r="11659" spans="7:7" x14ac:dyDescent="0.2">
      <c r="G11659" s="7"/>
    </row>
    <row r="11660" spans="7:7" x14ac:dyDescent="0.2">
      <c r="G11660" s="7"/>
    </row>
    <row r="11661" spans="7:7" x14ac:dyDescent="0.2">
      <c r="G11661" s="7"/>
    </row>
    <row r="11662" spans="7:7" x14ac:dyDescent="0.2">
      <c r="G11662" s="7"/>
    </row>
    <row r="11663" spans="7:7" x14ac:dyDescent="0.2">
      <c r="G11663" s="7"/>
    </row>
    <row r="11664" spans="7:7" x14ac:dyDescent="0.2">
      <c r="G11664" s="7"/>
    </row>
    <row r="11665" spans="7:7" x14ac:dyDescent="0.2">
      <c r="G11665" s="7"/>
    </row>
    <row r="11666" spans="7:7" x14ac:dyDescent="0.2">
      <c r="G11666" s="7"/>
    </row>
    <row r="11667" spans="7:7" x14ac:dyDescent="0.2">
      <c r="G11667" s="7"/>
    </row>
    <row r="11668" spans="7:7" x14ac:dyDescent="0.2">
      <c r="G11668" s="7"/>
    </row>
    <row r="11669" spans="7:7" x14ac:dyDescent="0.2">
      <c r="G11669" s="7"/>
    </row>
    <row r="11670" spans="7:7" x14ac:dyDescent="0.2">
      <c r="G11670" s="7"/>
    </row>
    <row r="11671" spans="7:7" x14ac:dyDescent="0.2">
      <c r="G11671" s="7"/>
    </row>
    <row r="11672" spans="7:7" x14ac:dyDescent="0.2">
      <c r="G11672" s="7"/>
    </row>
    <row r="11673" spans="7:7" x14ac:dyDescent="0.2">
      <c r="G11673" s="7"/>
    </row>
    <row r="11674" spans="7:7" x14ac:dyDescent="0.2">
      <c r="G11674" s="7"/>
    </row>
    <row r="11675" spans="7:7" x14ac:dyDescent="0.2">
      <c r="G11675" s="7"/>
    </row>
    <row r="11676" spans="7:7" x14ac:dyDescent="0.2">
      <c r="G11676" s="7"/>
    </row>
    <row r="11677" spans="7:7" x14ac:dyDescent="0.2">
      <c r="G11677" s="7"/>
    </row>
    <row r="11678" spans="7:7" x14ac:dyDescent="0.2">
      <c r="G11678" s="7"/>
    </row>
    <row r="11679" spans="7:7" x14ac:dyDescent="0.2">
      <c r="G11679" s="7"/>
    </row>
    <row r="11680" spans="7:7" x14ac:dyDescent="0.2">
      <c r="G11680" s="7"/>
    </row>
    <row r="11681" spans="7:7" x14ac:dyDescent="0.2">
      <c r="G11681" s="7"/>
    </row>
    <row r="11682" spans="7:7" x14ac:dyDescent="0.2">
      <c r="G11682" s="7"/>
    </row>
    <row r="11683" spans="7:7" x14ac:dyDescent="0.2">
      <c r="G11683" s="7"/>
    </row>
    <row r="11684" spans="7:7" x14ac:dyDescent="0.2">
      <c r="G11684" s="7"/>
    </row>
    <row r="11685" spans="7:7" x14ac:dyDescent="0.2">
      <c r="G11685" s="7"/>
    </row>
    <row r="11686" spans="7:7" x14ac:dyDescent="0.2">
      <c r="G11686" s="7"/>
    </row>
    <row r="11687" spans="7:7" x14ac:dyDescent="0.2">
      <c r="G11687" s="7"/>
    </row>
    <row r="11688" spans="7:7" x14ac:dyDescent="0.2">
      <c r="G11688" s="7"/>
    </row>
    <row r="11689" spans="7:7" x14ac:dyDescent="0.2">
      <c r="G11689" s="7"/>
    </row>
    <row r="11690" spans="7:7" x14ac:dyDescent="0.2">
      <c r="G11690" s="7"/>
    </row>
    <row r="11691" spans="7:7" x14ac:dyDescent="0.2">
      <c r="G11691" s="7"/>
    </row>
    <row r="11692" spans="7:7" x14ac:dyDescent="0.2">
      <c r="G11692" s="7"/>
    </row>
    <row r="11693" spans="7:7" x14ac:dyDescent="0.2">
      <c r="G11693" s="7"/>
    </row>
    <row r="11694" spans="7:7" x14ac:dyDescent="0.2">
      <c r="G11694" s="7"/>
    </row>
    <row r="11695" spans="7:7" x14ac:dyDescent="0.2">
      <c r="G11695" s="7"/>
    </row>
    <row r="11696" spans="7:7" x14ac:dyDescent="0.2">
      <c r="G11696" s="7"/>
    </row>
    <row r="11697" spans="7:7" x14ac:dyDescent="0.2">
      <c r="G11697" s="7"/>
    </row>
    <row r="11698" spans="7:7" x14ac:dyDescent="0.2">
      <c r="G11698" s="7"/>
    </row>
    <row r="11699" spans="7:7" x14ac:dyDescent="0.2">
      <c r="G11699" s="7"/>
    </row>
    <row r="11700" spans="7:7" x14ac:dyDescent="0.2">
      <c r="G11700" s="7"/>
    </row>
    <row r="11701" spans="7:7" x14ac:dyDescent="0.2">
      <c r="G11701" s="7"/>
    </row>
    <row r="11702" spans="7:7" x14ac:dyDescent="0.2">
      <c r="G11702" s="7"/>
    </row>
    <row r="11703" spans="7:7" x14ac:dyDescent="0.2">
      <c r="G11703" s="7"/>
    </row>
    <row r="11704" spans="7:7" x14ac:dyDescent="0.2">
      <c r="G11704" s="7"/>
    </row>
    <row r="11705" spans="7:7" x14ac:dyDescent="0.2">
      <c r="G11705" s="7"/>
    </row>
    <row r="11706" spans="7:7" x14ac:dyDescent="0.2">
      <c r="G11706" s="7"/>
    </row>
    <row r="11707" spans="7:7" x14ac:dyDescent="0.2">
      <c r="G11707" s="7"/>
    </row>
    <row r="11708" spans="7:7" x14ac:dyDescent="0.2">
      <c r="G11708" s="7"/>
    </row>
    <row r="11709" spans="7:7" x14ac:dyDescent="0.2">
      <c r="G11709" s="7"/>
    </row>
    <row r="11710" spans="7:7" x14ac:dyDescent="0.2">
      <c r="G11710" s="7"/>
    </row>
    <row r="11711" spans="7:7" x14ac:dyDescent="0.2">
      <c r="G11711" s="7"/>
    </row>
    <row r="11712" spans="7:7" x14ac:dyDescent="0.2">
      <c r="G11712" s="7"/>
    </row>
    <row r="11713" spans="7:7" x14ac:dyDescent="0.2">
      <c r="G11713" s="7"/>
    </row>
    <row r="11714" spans="7:7" x14ac:dyDescent="0.2">
      <c r="G11714" s="7"/>
    </row>
    <row r="11715" spans="7:7" x14ac:dyDescent="0.2">
      <c r="G11715" s="7"/>
    </row>
    <row r="11716" spans="7:7" x14ac:dyDescent="0.2">
      <c r="G11716" s="7"/>
    </row>
    <row r="11717" spans="7:7" x14ac:dyDescent="0.2">
      <c r="G11717" s="7"/>
    </row>
    <row r="11718" spans="7:7" x14ac:dyDescent="0.2">
      <c r="G11718" s="7"/>
    </row>
    <row r="11719" spans="7:7" x14ac:dyDescent="0.2">
      <c r="G11719" s="7"/>
    </row>
    <row r="11720" spans="7:7" x14ac:dyDescent="0.2">
      <c r="G11720" s="7"/>
    </row>
    <row r="11721" spans="7:7" x14ac:dyDescent="0.2">
      <c r="G11721" s="7"/>
    </row>
    <row r="11722" spans="7:7" x14ac:dyDescent="0.2">
      <c r="G11722" s="7"/>
    </row>
    <row r="11723" spans="7:7" x14ac:dyDescent="0.2">
      <c r="G11723" s="7"/>
    </row>
    <row r="11724" spans="7:7" x14ac:dyDescent="0.2">
      <c r="G11724" s="7"/>
    </row>
    <row r="11725" spans="7:7" x14ac:dyDescent="0.2">
      <c r="G11725" s="7"/>
    </row>
    <row r="11726" spans="7:7" x14ac:dyDescent="0.2">
      <c r="G11726" s="7"/>
    </row>
    <row r="11727" spans="7:7" x14ac:dyDescent="0.2">
      <c r="G11727" s="7"/>
    </row>
    <row r="11728" spans="7:7" x14ac:dyDescent="0.2">
      <c r="G11728" s="7"/>
    </row>
    <row r="11729" spans="7:7" x14ac:dyDescent="0.2">
      <c r="G11729" s="7"/>
    </row>
    <row r="11730" spans="7:7" x14ac:dyDescent="0.2">
      <c r="G11730" s="7"/>
    </row>
    <row r="11731" spans="7:7" x14ac:dyDescent="0.2">
      <c r="G11731" s="7"/>
    </row>
    <row r="11732" spans="7:7" x14ac:dyDescent="0.2">
      <c r="G11732" s="7"/>
    </row>
    <row r="11733" spans="7:7" x14ac:dyDescent="0.2">
      <c r="G11733" s="7"/>
    </row>
    <row r="11734" spans="7:7" x14ac:dyDescent="0.2">
      <c r="G11734" s="7"/>
    </row>
    <row r="11735" spans="7:7" x14ac:dyDescent="0.2">
      <c r="G11735" s="7"/>
    </row>
    <row r="11736" spans="7:7" x14ac:dyDescent="0.2">
      <c r="G11736" s="7"/>
    </row>
    <row r="11737" spans="7:7" x14ac:dyDescent="0.2">
      <c r="G11737" s="7"/>
    </row>
    <row r="11738" spans="7:7" x14ac:dyDescent="0.2">
      <c r="G11738" s="7"/>
    </row>
    <row r="11739" spans="7:7" x14ac:dyDescent="0.2">
      <c r="G11739" s="7"/>
    </row>
    <row r="11740" spans="7:7" x14ac:dyDescent="0.2">
      <c r="G11740" s="7"/>
    </row>
    <row r="11741" spans="7:7" x14ac:dyDescent="0.2">
      <c r="G11741" s="7"/>
    </row>
    <row r="11742" spans="7:7" x14ac:dyDescent="0.2">
      <c r="G11742" s="7"/>
    </row>
    <row r="11743" spans="7:7" x14ac:dyDescent="0.2">
      <c r="G11743" s="7"/>
    </row>
    <row r="11744" spans="7:7" x14ac:dyDescent="0.2">
      <c r="G11744" s="7"/>
    </row>
    <row r="11745" spans="7:7" x14ac:dyDescent="0.2">
      <c r="G11745" s="7"/>
    </row>
    <row r="11746" spans="7:7" x14ac:dyDescent="0.2">
      <c r="G11746" s="7"/>
    </row>
    <row r="11747" spans="7:7" x14ac:dyDescent="0.2">
      <c r="G11747" s="7"/>
    </row>
    <row r="11748" spans="7:7" x14ac:dyDescent="0.2">
      <c r="G11748" s="7"/>
    </row>
    <row r="11749" spans="7:7" x14ac:dyDescent="0.2">
      <c r="G11749" s="7"/>
    </row>
    <row r="11750" spans="7:7" x14ac:dyDescent="0.2">
      <c r="G11750" s="7"/>
    </row>
    <row r="11751" spans="7:7" x14ac:dyDescent="0.2">
      <c r="G11751" s="7"/>
    </row>
    <row r="11752" spans="7:7" x14ac:dyDescent="0.2">
      <c r="G11752" s="7"/>
    </row>
    <row r="11753" spans="7:7" x14ac:dyDescent="0.2">
      <c r="G11753" s="7"/>
    </row>
    <row r="11754" spans="7:7" x14ac:dyDescent="0.2">
      <c r="G11754" s="7"/>
    </row>
    <row r="11755" spans="7:7" x14ac:dyDescent="0.2">
      <c r="G11755" s="7"/>
    </row>
    <row r="11756" spans="7:7" x14ac:dyDescent="0.2">
      <c r="G11756" s="7"/>
    </row>
    <row r="11757" spans="7:7" x14ac:dyDescent="0.2">
      <c r="G11757" s="7"/>
    </row>
    <row r="11758" spans="7:7" x14ac:dyDescent="0.2">
      <c r="G11758" s="7"/>
    </row>
    <row r="11759" spans="7:7" x14ac:dyDescent="0.2">
      <c r="G11759" s="7"/>
    </row>
    <row r="11760" spans="7:7" x14ac:dyDescent="0.2">
      <c r="G11760" s="7"/>
    </row>
    <row r="11761" spans="7:7" x14ac:dyDescent="0.2">
      <c r="G11761" s="7"/>
    </row>
    <row r="11762" spans="7:7" x14ac:dyDescent="0.2">
      <c r="G11762" s="7"/>
    </row>
    <row r="11763" spans="7:7" x14ac:dyDescent="0.2">
      <c r="G11763" s="7"/>
    </row>
    <row r="11764" spans="7:7" x14ac:dyDescent="0.2">
      <c r="G11764" s="7"/>
    </row>
    <row r="11765" spans="7:7" x14ac:dyDescent="0.2">
      <c r="G11765" s="7"/>
    </row>
    <row r="11766" spans="7:7" x14ac:dyDescent="0.2">
      <c r="G11766" s="7"/>
    </row>
    <row r="11767" spans="7:7" x14ac:dyDescent="0.2">
      <c r="G11767" s="7"/>
    </row>
    <row r="11768" spans="7:7" x14ac:dyDescent="0.2">
      <c r="G11768" s="7"/>
    </row>
    <row r="11769" spans="7:7" x14ac:dyDescent="0.2">
      <c r="G11769" s="7"/>
    </row>
    <row r="11770" spans="7:7" x14ac:dyDescent="0.2">
      <c r="G11770" s="7"/>
    </row>
    <row r="11771" spans="7:7" x14ac:dyDescent="0.2">
      <c r="G11771" s="7"/>
    </row>
    <row r="11772" spans="7:7" x14ac:dyDescent="0.2">
      <c r="G11772" s="7"/>
    </row>
    <row r="11773" spans="7:7" x14ac:dyDescent="0.2">
      <c r="G11773" s="7"/>
    </row>
    <row r="11774" spans="7:7" x14ac:dyDescent="0.2">
      <c r="G11774" s="7"/>
    </row>
    <row r="11775" spans="7:7" x14ac:dyDescent="0.2">
      <c r="G11775" s="7"/>
    </row>
    <row r="11776" spans="7:7" x14ac:dyDescent="0.2">
      <c r="G11776" s="7"/>
    </row>
    <row r="11777" spans="7:7" x14ac:dyDescent="0.2">
      <c r="G11777" s="7"/>
    </row>
    <row r="11778" spans="7:7" x14ac:dyDescent="0.2">
      <c r="G11778" s="7"/>
    </row>
    <row r="11779" spans="7:7" x14ac:dyDescent="0.2">
      <c r="G11779" s="7"/>
    </row>
    <row r="11780" spans="7:7" x14ac:dyDescent="0.2">
      <c r="G11780" s="7"/>
    </row>
    <row r="11781" spans="7:7" x14ac:dyDescent="0.2">
      <c r="G11781" s="7"/>
    </row>
    <row r="11782" spans="7:7" x14ac:dyDescent="0.2">
      <c r="G11782" s="7"/>
    </row>
    <row r="11783" spans="7:7" x14ac:dyDescent="0.2">
      <c r="G11783" s="7"/>
    </row>
    <row r="11784" spans="7:7" x14ac:dyDescent="0.2">
      <c r="G11784" s="7"/>
    </row>
    <row r="11785" spans="7:7" x14ac:dyDescent="0.2">
      <c r="G11785" s="7"/>
    </row>
    <row r="11786" spans="7:7" x14ac:dyDescent="0.2">
      <c r="G11786" s="7"/>
    </row>
    <row r="11787" spans="7:7" x14ac:dyDescent="0.2">
      <c r="G11787" s="7"/>
    </row>
    <row r="11788" spans="7:7" x14ac:dyDescent="0.2">
      <c r="G11788" s="7"/>
    </row>
    <row r="11789" spans="7:7" x14ac:dyDescent="0.2">
      <c r="G11789" s="7"/>
    </row>
    <row r="11790" spans="7:7" x14ac:dyDescent="0.2">
      <c r="G11790" s="7"/>
    </row>
    <row r="11791" spans="7:7" x14ac:dyDescent="0.2">
      <c r="G11791" s="7"/>
    </row>
    <row r="11792" spans="7:7" x14ac:dyDescent="0.2">
      <c r="G11792" s="7"/>
    </row>
    <row r="11793" spans="7:7" x14ac:dyDescent="0.2">
      <c r="G11793" s="7"/>
    </row>
    <row r="11794" spans="7:7" x14ac:dyDescent="0.2">
      <c r="G11794" s="7"/>
    </row>
    <row r="11795" spans="7:7" x14ac:dyDescent="0.2">
      <c r="G11795" s="7"/>
    </row>
    <row r="11796" spans="7:7" x14ac:dyDescent="0.2">
      <c r="G11796" s="7"/>
    </row>
    <row r="11797" spans="7:7" x14ac:dyDescent="0.2">
      <c r="G11797" s="7"/>
    </row>
    <row r="11798" spans="7:7" x14ac:dyDescent="0.2">
      <c r="G11798" s="7"/>
    </row>
    <row r="11799" spans="7:7" x14ac:dyDescent="0.2">
      <c r="G11799" s="7"/>
    </row>
    <row r="11800" spans="7:7" x14ac:dyDescent="0.2">
      <c r="G11800" s="7"/>
    </row>
    <row r="11801" spans="7:7" x14ac:dyDescent="0.2">
      <c r="G11801" s="7"/>
    </row>
    <row r="11802" spans="7:7" x14ac:dyDescent="0.2">
      <c r="G11802" s="7"/>
    </row>
    <row r="11803" spans="7:7" x14ac:dyDescent="0.2">
      <c r="G11803" s="7"/>
    </row>
    <row r="11804" spans="7:7" x14ac:dyDescent="0.2">
      <c r="G11804" s="7"/>
    </row>
    <row r="11805" spans="7:7" x14ac:dyDescent="0.2">
      <c r="G11805" s="7"/>
    </row>
    <row r="11806" spans="7:7" x14ac:dyDescent="0.2">
      <c r="G11806" s="7"/>
    </row>
    <row r="11807" spans="7:7" x14ac:dyDescent="0.2">
      <c r="G11807" s="7"/>
    </row>
    <row r="11808" spans="7:7" x14ac:dyDescent="0.2">
      <c r="G11808" s="7"/>
    </row>
    <row r="11809" spans="7:7" x14ac:dyDescent="0.2">
      <c r="G11809" s="7"/>
    </row>
    <row r="11810" spans="7:7" x14ac:dyDescent="0.2">
      <c r="G11810" s="7"/>
    </row>
    <row r="11811" spans="7:7" x14ac:dyDescent="0.2">
      <c r="G11811" s="7"/>
    </row>
    <row r="11812" spans="7:7" x14ac:dyDescent="0.2">
      <c r="G11812" s="7"/>
    </row>
    <row r="11813" spans="7:7" x14ac:dyDescent="0.2">
      <c r="G11813" s="7"/>
    </row>
    <row r="11814" spans="7:7" x14ac:dyDescent="0.2">
      <c r="G11814" s="7"/>
    </row>
    <row r="11815" spans="7:7" x14ac:dyDescent="0.2">
      <c r="G11815" s="7"/>
    </row>
    <row r="11816" spans="7:7" x14ac:dyDescent="0.2">
      <c r="G11816" s="7"/>
    </row>
    <row r="11817" spans="7:7" x14ac:dyDescent="0.2">
      <c r="G11817" s="7"/>
    </row>
    <row r="11818" spans="7:7" x14ac:dyDescent="0.2">
      <c r="G11818" s="7"/>
    </row>
    <row r="11819" spans="7:7" x14ac:dyDescent="0.2">
      <c r="G11819" s="7"/>
    </row>
    <row r="11820" spans="7:7" x14ac:dyDescent="0.2">
      <c r="G11820" s="7"/>
    </row>
    <row r="11821" spans="7:7" x14ac:dyDescent="0.2">
      <c r="G11821" s="7"/>
    </row>
    <row r="11822" spans="7:7" x14ac:dyDescent="0.2">
      <c r="G11822" s="7"/>
    </row>
    <row r="11823" spans="7:7" x14ac:dyDescent="0.2">
      <c r="G11823" s="7"/>
    </row>
    <row r="11824" spans="7:7" x14ac:dyDescent="0.2">
      <c r="G11824" s="7"/>
    </row>
    <row r="11825" spans="7:7" x14ac:dyDescent="0.2">
      <c r="G11825" s="7"/>
    </row>
    <row r="11826" spans="7:7" x14ac:dyDescent="0.2">
      <c r="G11826" s="7"/>
    </row>
    <row r="11827" spans="7:7" x14ac:dyDescent="0.2">
      <c r="G11827" s="7"/>
    </row>
    <row r="11828" spans="7:7" x14ac:dyDescent="0.2">
      <c r="G11828" s="7"/>
    </row>
    <row r="11829" spans="7:7" x14ac:dyDescent="0.2">
      <c r="G11829" s="7"/>
    </row>
    <row r="11830" spans="7:7" x14ac:dyDescent="0.2">
      <c r="G11830" s="7"/>
    </row>
    <row r="11831" spans="7:7" x14ac:dyDescent="0.2">
      <c r="G11831" s="7"/>
    </row>
    <row r="11832" spans="7:7" x14ac:dyDescent="0.2">
      <c r="G11832" s="7"/>
    </row>
    <row r="11833" spans="7:7" x14ac:dyDescent="0.2">
      <c r="G11833" s="7"/>
    </row>
    <row r="11834" spans="7:7" x14ac:dyDescent="0.2">
      <c r="G11834" s="7"/>
    </row>
    <row r="11835" spans="7:7" x14ac:dyDescent="0.2">
      <c r="G11835" s="7"/>
    </row>
    <row r="11836" spans="7:7" x14ac:dyDescent="0.2">
      <c r="G11836" s="7"/>
    </row>
    <row r="11837" spans="7:7" x14ac:dyDescent="0.2">
      <c r="G11837" s="7"/>
    </row>
    <row r="11838" spans="7:7" x14ac:dyDescent="0.2">
      <c r="G11838" s="7"/>
    </row>
    <row r="11839" spans="7:7" x14ac:dyDescent="0.2">
      <c r="G11839" s="7"/>
    </row>
    <row r="11840" spans="7:7" x14ac:dyDescent="0.2">
      <c r="G11840" s="7"/>
    </row>
    <row r="11841" spans="7:7" x14ac:dyDescent="0.2">
      <c r="G11841" s="7"/>
    </row>
    <row r="11842" spans="7:7" x14ac:dyDescent="0.2">
      <c r="G11842" s="7"/>
    </row>
    <row r="11843" spans="7:7" x14ac:dyDescent="0.2">
      <c r="G11843" s="7"/>
    </row>
    <row r="11844" spans="7:7" x14ac:dyDescent="0.2">
      <c r="G11844" s="7"/>
    </row>
    <row r="11845" spans="7:7" x14ac:dyDescent="0.2">
      <c r="G11845" s="7"/>
    </row>
    <row r="11846" spans="7:7" x14ac:dyDescent="0.2">
      <c r="G11846" s="7"/>
    </row>
    <row r="11847" spans="7:7" x14ac:dyDescent="0.2">
      <c r="G11847" s="7"/>
    </row>
    <row r="11848" spans="7:7" x14ac:dyDescent="0.2">
      <c r="G11848" s="7"/>
    </row>
    <row r="11849" spans="7:7" x14ac:dyDescent="0.2">
      <c r="G11849" s="7"/>
    </row>
    <row r="11850" spans="7:7" x14ac:dyDescent="0.2">
      <c r="G11850" s="7"/>
    </row>
    <row r="11851" spans="7:7" x14ac:dyDescent="0.2">
      <c r="G11851" s="7"/>
    </row>
    <row r="11852" spans="7:7" x14ac:dyDescent="0.2">
      <c r="G11852" s="7"/>
    </row>
    <row r="11853" spans="7:7" x14ac:dyDescent="0.2">
      <c r="G11853" s="7"/>
    </row>
    <row r="11854" spans="7:7" x14ac:dyDescent="0.2">
      <c r="G11854" s="7"/>
    </row>
    <row r="11855" spans="7:7" x14ac:dyDescent="0.2">
      <c r="G11855" s="7"/>
    </row>
    <row r="11856" spans="7:7" x14ac:dyDescent="0.2">
      <c r="G11856" s="7"/>
    </row>
    <row r="11857" spans="7:7" x14ac:dyDescent="0.2">
      <c r="G11857" s="7"/>
    </row>
    <row r="11858" spans="7:7" x14ac:dyDescent="0.2">
      <c r="G11858" s="7"/>
    </row>
    <row r="11859" spans="7:7" x14ac:dyDescent="0.2">
      <c r="G11859" s="7"/>
    </row>
    <row r="11860" spans="7:7" x14ac:dyDescent="0.2">
      <c r="G11860" s="7"/>
    </row>
    <row r="11861" spans="7:7" x14ac:dyDescent="0.2">
      <c r="G11861" s="7"/>
    </row>
    <row r="11862" spans="7:7" x14ac:dyDescent="0.2">
      <c r="G11862" s="7"/>
    </row>
    <row r="11863" spans="7:7" x14ac:dyDescent="0.2">
      <c r="G11863" s="7"/>
    </row>
    <row r="11864" spans="7:7" x14ac:dyDescent="0.2">
      <c r="G11864" s="7"/>
    </row>
    <row r="11865" spans="7:7" x14ac:dyDescent="0.2">
      <c r="G11865" s="7"/>
    </row>
    <row r="11866" spans="7:7" x14ac:dyDescent="0.2">
      <c r="G11866" s="7"/>
    </row>
    <row r="11867" spans="7:7" x14ac:dyDescent="0.2">
      <c r="G11867" s="7"/>
    </row>
    <row r="11868" spans="7:7" x14ac:dyDescent="0.2">
      <c r="G11868" s="7"/>
    </row>
    <row r="11869" spans="7:7" x14ac:dyDescent="0.2">
      <c r="G11869" s="7"/>
    </row>
    <row r="11870" spans="7:7" x14ac:dyDescent="0.2">
      <c r="G11870" s="7"/>
    </row>
    <row r="11871" spans="7:7" x14ac:dyDescent="0.2">
      <c r="G11871" s="7"/>
    </row>
    <row r="11872" spans="7:7" x14ac:dyDescent="0.2">
      <c r="G11872" s="7"/>
    </row>
    <row r="11873" spans="7:7" x14ac:dyDescent="0.2">
      <c r="G11873" s="7"/>
    </row>
    <row r="11874" spans="7:7" x14ac:dyDescent="0.2">
      <c r="G11874" s="7"/>
    </row>
    <row r="11875" spans="7:7" x14ac:dyDescent="0.2">
      <c r="G11875" s="7"/>
    </row>
    <row r="11876" spans="7:7" x14ac:dyDescent="0.2">
      <c r="G11876" s="7"/>
    </row>
    <row r="11877" spans="7:7" x14ac:dyDescent="0.2">
      <c r="G11877" s="7"/>
    </row>
    <row r="11878" spans="7:7" x14ac:dyDescent="0.2">
      <c r="G11878" s="7"/>
    </row>
    <row r="11879" spans="7:7" x14ac:dyDescent="0.2">
      <c r="G11879" s="7"/>
    </row>
    <row r="11880" spans="7:7" x14ac:dyDescent="0.2">
      <c r="G11880" s="7"/>
    </row>
    <row r="11881" spans="7:7" x14ac:dyDescent="0.2">
      <c r="G11881" s="7"/>
    </row>
    <row r="11882" spans="7:7" x14ac:dyDescent="0.2">
      <c r="G11882" s="7"/>
    </row>
    <row r="11883" spans="7:7" x14ac:dyDescent="0.2">
      <c r="G11883" s="7"/>
    </row>
    <row r="11884" spans="7:7" x14ac:dyDescent="0.2">
      <c r="G11884" s="7"/>
    </row>
    <row r="11885" spans="7:7" x14ac:dyDescent="0.2">
      <c r="G11885" s="7"/>
    </row>
    <row r="11886" spans="7:7" x14ac:dyDescent="0.2">
      <c r="G11886" s="7"/>
    </row>
    <row r="11887" spans="7:7" x14ac:dyDescent="0.2">
      <c r="G11887" s="7"/>
    </row>
    <row r="11888" spans="7:7" x14ac:dyDescent="0.2">
      <c r="G11888" s="7"/>
    </row>
    <row r="11889" spans="7:7" x14ac:dyDescent="0.2">
      <c r="G11889" s="7"/>
    </row>
    <row r="11890" spans="7:7" x14ac:dyDescent="0.2">
      <c r="G11890" s="7"/>
    </row>
    <row r="11891" spans="7:7" x14ac:dyDescent="0.2">
      <c r="G11891" s="7"/>
    </row>
    <row r="11892" spans="7:7" x14ac:dyDescent="0.2">
      <c r="G11892" s="7"/>
    </row>
    <row r="11893" spans="7:7" x14ac:dyDescent="0.2">
      <c r="G11893" s="7"/>
    </row>
    <row r="11894" spans="7:7" x14ac:dyDescent="0.2">
      <c r="G11894" s="7"/>
    </row>
    <row r="11895" spans="7:7" x14ac:dyDescent="0.2">
      <c r="G11895" s="7"/>
    </row>
    <row r="11896" spans="7:7" x14ac:dyDescent="0.2">
      <c r="G11896" s="7"/>
    </row>
    <row r="11897" spans="7:7" x14ac:dyDescent="0.2">
      <c r="G11897" s="7"/>
    </row>
    <row r="11898" spans="7:7" x14ac:dyDescent="0.2">
      <c r="G11898" s="7"/>
    </row>
    <row r="11899" spans="7:7" x14ac:dyDescent="0.2">
      <c r="G11899" s="7"/>
    </row>
    <row r="11900" spans="7:7" x14ac:dyDescent="0.2">
      <c r="G11900" s="7"/>
    </row>
    <row r="11901" spans="7:7" x14ac:dyDescent="0.2">
      <c r="G11901" s="7"/>
    </row>
    <row r="11902" spans="7:7" x14ac:dyDescent="0.2">
      <c r="G11902" s="7"/>
    </row>
    <row r="11903" spans="7:7" x14ac:dyDescent="0.2">
      <c r="G11903" s="7"/>
    </row>
    <row r="11904" spans="7:7" x14ac:dyDescent="0.2">
      <c r="G11904" s="7"/>
    </row>
    <row r="11905" spans="7:7" x14ac:dyDescent="0.2">
      <c r="G11905" s="7"/>
    </row>
    <row r="11906" spans="7:7" x14ac:dyDescent="0.2">
      <c r="G11906" s="7"/>
    </row>
    <row r="11907" spans="7:7" x14ac:dyDescent="0.2">
      <c r="G11907" s="7"/>
    </row>
    <row r="11908" spans="7:7" x14ac:dyDescent="0.2">
      <c r="G11908" s="7"/>
    </row>
    <row r="11909" spans="7:7" x14ac:dyDescent="0.2">
      <c r="G11909" s="7"/>
    </row>
    <row r="11910" spans="7:7" x14ac:dyDescent="0.2">
      <c r="G11910" s="7"/>
    </row>
    <row r="11911" spans="7:7" x14ac:dyDescent="0.2">
      <c r="G11911" s="7"/>
    </row>
    <row r="11912" spans="7:7" x14ac:dyDescent="0.2">
      <c r="G11912" s="7"/>
    </row>
    <row r="11913" spans="7:7" x14ac:dyDescent="0.2">
      <c r="G11913" s="7"/>
    </row>
    <row r="11914" spans="7:7" x14ac:dyDescent="0.2">
      <c r="G11914" s="7"/>
    </row>
    <row r="11915" spans="7:7" x14ac:dyDescent="0.2">
      <c r="G11915" s="7"/>
    </row>
    <row r="11916" spans="7:7" x14ac:dyDescent="0.2">
      <c r="G11916" s="7"/>
    </row>
    <row r="11917" spans="7:7" x14ac:dyDescent="0.2">
      <c r="G11917" s="7"/>
    </row>
    <row r="11918" spans="7:7" x14ac:dyDescent="0.2">
      <c r="G11918" s="7"/>
    </row>
    <row r="11919" spans="7:7" x14ac:dyDescent="0.2">
      <c r="G11919" s="7"/>
    </row>
    <row r="11920" spans="7:7" x14ac:dyDescent="0.2">
      <c r="G11920" s="7"/>
    </row>
    <row r="11921" spans="7:7" x14ac:dyDescent="0.2">
      <c r="G11921" s="7"/>
    </row>
    <row r="11922" spans="7:7" x14ac:dyDescent="0.2">
      <c r="G11922" s="7"/>
    </row>
    <row r="11923" spans="7:7" x14ac:dyDescent="0.2">
      <c r="G11923" s="7"/>
    </row>
    <row r="11924" spans="7:7" x14ac:dyDescent="0.2">
      <c r="G11924" s="7"/>
    </row>
    <row r="11925" spans="7:7" x14ac:dyDescent="0.2">
      <c r="G11925" s="7"/>
    </row>
    <row r="11926" spans="7:7" x14ac:dyDescent="0.2">
      <c r="G11926" s="7"/>
    </row>
    <row r="11927" spans="7:7" x14ac:dyDescent="0.2">
      <c r="G11927" s="7"/>
    </row>
    <row r="11928" spans="7:7" x14ac:dyDescent="0.2">
      <c r="G11928" s="7"/>
    </row>
    <row r="11929" spans="7:7" x14ac:dyDescent="0.2">
      <c r="G11929" s="7"/>
    </row>
    <row r="11930" spans="7:7" x14ac:dyDescent="0.2">
      <c r="G11930" s="7"/>
    </row>
    <row r="11931" spans="7:7" x14ac:dyDescent="0.2">
      <c r="G11931" s="7"/>
    </row>
    <row r="11932" spans="7:7" x14ac:dyDescent="0.2">
      <c r="G11932" s="7"/>
    </row>
    <row r="11933" spans="7:7" x14ac:dyDescent="0.2">
      <c r="G11933" s="7"/>
    </row>
    <row r="11934" spans="7:7" x14ac:dyDescent="0.2">
      <c r="G11934" s="7"/>
    </row>
    <row r="11935" spans="7:7" x14ac:dyDescent="0.2">
      <c r="G11935" s="7"/>
    </row>
    <row r="11936" spans="7:7" x14ac:dyDescent="0.2">
      <c r="G11936" s="7"/>
    </row>
    <row r="11937" spans="7:7" x14ac:dyDescent="0.2">
      <c r="G11937" s="7"/>
    </row>
    <row r="11938" spans="7:7" x14ac:dyDescent="0.2">
      <c r="G11938" s="7"/>
    </row>
    <row r="11939" spans="7:7" x14ac:dyDescent="0.2">
      <c r="G11939" s="7"/>
    </row>
    <row r="11940" spans="7:7" x14ac:dyDescent="0.2">
      <c r="G11940" s="7"/>
    </row>
    <row r="11941" spans="7:7" x14ac:dyDescent="0.2">
      <c r="G11941" s="7"/>
    </row>
    <row r="11942" spans="7:7" x14ac:dyDescent="0.2">
      <c r="G11942" s="7"/>
    </row>
    <row r="11943" spans="7:7" x14ac:dyDescent="0.2">
      <c r="G11943" s="7"/>
    </row>
    <row r="11944" spans="7:7" x14ac:dyDescent="0.2">
      <c r="G11944" s="7"/>
    </row>
    <row r="11945" spans="7:7" x14ac:dyDescent="0.2">
      <c r="G11945" s="7"/>
    </row>
    <row r="11946" spans="7:7" x14ac:dyDescent="0.2">
      <c r="G11946" s="7"/>
    </row>
    <row r="11947" spans="7:7" x14ac:dyDescent="0.2">
      <c r="G11947" s="7"/>
    </row>
    <row r="11948" spans="7:7" x14ac:dyDescent="0.2">
      <c r="G11948" s="7"/>
    </row>
    <row r="11949" spans="7:7" x14ac:dyDescent="0.2">
      <c r="G11949" s="7"/>
    </row>
    <row r="11950" spans="7:7" x14ac:dyDescent="0.2">
      <c r="G11950" s="7"/>
    </row>
    <row r="11951" spans="7:7" x14ac:dyDescent="0.2">
      <c r="G11951" s="7"/>
    </row>
    <row r="11952" spans="7:7" x14ac:dyDescent="0.2">
      <c r="G11952" s="7"/>
    </row>
    <row r="11953" spans="7:7" x14ac:dyDescent="0.2">
      <c r="G11953" s="7"/>
    </row>
    <row r="11954" spans="7:7" x14ac:dyDescent="0.2">
      <c r="G11954" s="7"/>
    </row>
    <row r="11955" spans="7:7" x14ac:dyDescent="0.2">
      <c r="G11955" s="7"/>
    </row>
    <row r="11956" spans="7:7" x14ac:dyDescent="0.2">
      <c r="G11956" s="7"/>
    </row>
    <row r="11957" spans="7:7" x14ac:dyDescent="0.2">
      <c r="G11957" s="7"/>
    </row>
    <row r="11958" spans="7:7" x14ac:dyDescent="0.2">
      <c r="G11958" s="7"/>
    </row>
    <row r="11959" spans="7:7" x14ac:dyDescent="0.2">
      <c r="G11959" s="7"/>
    </row>
    <row r="11960" spans="7:7" x14ac:dyDescent="0.2">
      <c r="G11960" s="7"/>
    </row>
    <row r="11961" spans="7:7" x14ac:dyDescent="0.2">
      <c r="G11961" s="7"/>
    </row>
    <row r="11962" spans="7:7" x14ac:dyDescent="0.2">
      <c r="G11962" s="7"/>
    </row>
    <row r="11963" spans="7:7" x14ac:dyDescent="0.2">
      <c r="G11963" s="7"/>
    </row>
    <row r="11964" spans="7:7" x14ac:dyDescent="0.2">
      <c r="G11964" s="7"/>
    </row>
    <row r="11965" spans="7:7" x14ac:dyDescent="0.2">
      <c r="G11965" s="7"/>
    </row>
    <row r="11966" spans="7:7" x14ac:dyDescent="0.2">
      <c r="G11966" s="7"/>
    </row>
    <row r="11967" spans="7:7" x14ac:dyDescent="0.2">
      <c r="G11967" s="7"/>
    </row>
    <row r="11968" spans="7:7" x14ac:dyDescent="0.2">
      <c r="G11968" s="7"/>
    </row>
    <row r="11969" spans="7:7" x14ac:dyDescent="0.2">
      <c r="G11969" s="7"/>
    </row>
    <row r="11970" spans="7:7" x14ac:dyDescent="0.2">
      <c r="G11970" s="7"/>
    </row>
    <row r="11971" spans="7:7" x14ac:dyDescent="0.2">
      <c r="G11971" s="7"/>
    </row>
    <row r="11972" spans="7:7" x14ac:dyDescent="0.2">
      <c r="G11972" s="7"/>
    </row>
    <row r="11973" spans="7:7" x14ac:dyDescent="0.2">
      <c r="G11973" s="7"/>
    </row>
    <row r="11974" spans="7:7" x14ac:dyDescent="0.2">
      <c r="G11974" s="7"/>
    </row>
    <row r="11975" spans="7:7" x14ac:dyDescent="0.2">
      <c r="G11975" s="7"/>
    </row>
    <row r="11976" spans="7:7" x14ac:dyDescent="0.2">
      <c r="G11976" s="7"/>
    </row>
    <row r="11977" spans="7:7" x14ac:dyDescent="0.2">
      <c r="G11977" s="7"/>
    </row>
    <row r="11978" spans="7:7" x14ac:dyDescent="0.2">
      <c r="G11978" s="7"/>
    </row>
    <row r="11979" spans="7:7" x14ac:dyDescent="0.2">
      <c r="G11979" s="7"/>
    </row>
    <row r="11980" spans="7:7" x14ac:dyDescent="0.2">
      <c r="G11980" s="7"/>
    </row>
    <row r="11981" spans="7:7" x14ac:dyDescent="0.2">
      <c r="G11981" s="7"/>
    </row>
    <row r="11982" spans="7:7" x14ac:dyDescent="0.2">
      <c r="G11982" s="7"/>
    </row>
    <row r="11983" spans="7:7" x14ac:dyDescent="0.2">
      <c r="G11983" s="7"/>
    </row>
    <row r="11984" spans="7:7" x14ac:dyDescent="0.2">
      <c r="G11984" s="7"/>
    </row>
    <row r="11985" spans="7:7" x14ac:dyDescent="0.2">
      <c r="G11985" s="7"/>
    </row>
    <row r="11986" spans="7:7" x14ac:dyDescent="0.2">
      <c r="G11986" s="7"/>
    </row>
    <row r="11987" spans="7:7" x14ac:dyDescent="0.2">
      <c r="G11987" s="7"/>
    </row>
    <row r="11988" spans="7:7" x14ac:dyDescent="0.2">
      <c r="G11988" s="7"/>
    </row>
    <row r="11989" spans="7:7" x14ac:dyDescent="0.2">
      <c r="G11989" s="7"/>
    </row>
    <row r="11990" spans="7:7" x14ac:dyDescent="0.2">
      <c r="G11990" s="7"/>
    </row>
    <row r="11991" spans="7:7" x14ac:dyDescent="0.2">
      <c r="G11991" s="7"/>
    </row>
    <row r="11992" spans="7:7" x14ac:dyDescent="0.2">
      <c r="G11992" s="7"/>
    </row>
    <row r="11993" spans="7:7" x14ac:dyDescent="0.2">
      <c r="G11993" s="7"/>
    </row>
    <row r="11994" spans="7:7" x14ac:dyDescent="0.2">
      <c r="G11994" s="7"/>
    </row>
    <row r="11995" spans="7:7" x14ac:dyDescent="0.2">
      <c r="G11995" s="7"/>
    </row>
    <row r="11996" spans="7:7" x14ac:dyDescent="0.2">
      <c r="G11996" s="7"/>
    </row>
    <row r="11997" spans="7:7" x14ac:dyDescent="0.2">
      <c r="G11997" s="7"/>
    </row>
    <row r="11998" spans="7:7" x14ac:dyDescent="0.2">
      <c r="G11998" s="7"/>
    </row>
    <row r="11999" spans="7:7" x14ac:dyDescent="0.2">
      <c r="G11999" s="7"/>
    </row>
    <row r="12000" spans="7:7" x14ac:dyDescent="0.2">
      <c r="G12000" s="7"/>
    </row>
    <row r="12001" spans="7:7" x14ac:dyDescent="0.2">
      <c r="G12001" s="7"/>
    </row>
    <row r="12002" spans="7:7" x14ac:dyDescent="0.2">
      <c r="G12002" s="7"/>
    </row>
    <row r="12003" spans="7:7" x14ac:dyDescent="0.2">
      <c r="G12003" s="7"/>
    </row>
    <row r="12004" spans="7:7" x14ac:dyDescent="0.2">
      <c r="G12004" s="7"/>
    </row>
    <row r="12005" spans="7:7" x14ac:dyDescent="0.2">
      <c r="G12005" s="7"/>
    </row>
    <row r="12006" spans="7:7" x14ac:dyDescent="0.2">
      <c r="G12006" s="7"/>
    </row>
    <row r="12007" spans="7:7" x14ac:dyDescent="0.2">
      <c r="G12007" s="7"/>
    </row>
    <row r="12008" spans="7:7" x14ac:dyDescent="0.2">
      <c r="G12008" s="7"/>
    </row>
    <row r="12009" spans="7:7" x14ac:dyDescent="0.2">
      <c r="G12009" s="7"/>
    </row>
    <row r="12010" spans="7:7" x14ac:dyDescent="0.2">
      <c r="G12010" s="7"/>
    </row>
    <row r="12011" spans="7:7" x14ac:dyDescent="0.2">
      <c r="G12011" s="7"/>
    </row>
    <row r="12012" spans="7:7" x14ac:dyDescent="0.2">
      <c r="G12012" s="7"/>
    </row>
    <row r="12013" spans="7:7" x14ac:dyDescent="0.2">
      <c r="G12013" s="7"/>
    </row>
    <row r="12014" spans="7:7" x14ac:dyDescent="0.2">
      <c r="G12014" s="7"/>
    </row>
    <row r="12015" spans="7:7" x14ac:dyDescent="0.2">
      <c r="G12015" s="7"/>
    </row>
    <row r="12016" spans="7:7" x14ac:dyDescent="0.2">
      <c r="G12016" s="7"/>
    </row>
    <row r="12017" spans="7:7" x14ac:dyDescent="0.2">
      <c r="G12017" s="7"/>
    </row>
    <row r="12018" spans="7:7" x14ac:dyDescent="0.2">
      <c r="G12018" s="7"/>
    </row>
    <row r="12019" spans="7:7" x14ac:dyDescent="0.2">
      <c r="G12019" s="7"/>
    </row>
    <row r="12020" spans="7:7" x14ac:dyDescent="0.2">
      <c r="G12020" s="7"/>
    </row>
    <row r="12021" spans="7:7" x14ac:dyDescent="0.2">
      <c r="G12021" s="7"/>
    </row>
    <row r="12022" spans="7:7" x14ac:dyDescent="0.2">
      <c r="G12022" s="7"/>
    </row>
    <row r="12023" spans="7:7" x14ac:dyDescent="0.2">
      <c r="G12023" s="7"/>
    </row>
    <row r="12024" spans="7:7" x14ac:dyDescent="0.2">
      <c r="G12024" s="7"/>
    </row>
    <row r="12025" spans="7:7" x14ac:dyDescent="0.2">
      <c r="G12025" s="7"/>
    </row>
    <row r="12026" spans="7:7" x14ac:dyDescent="0.2">
      <c r="G12026" s="7"/>
    </row>
    <row r="12027" spans="7:7" x14ac:dyDescent="0.2">
      <c r="G12027" s="7"/>
    </row>
    <row r="12028" spans="7:7" x14ac:dyDescent="0.2">
      <c r="G12028" s="7"/>
    </row>
    <row r="12029" spans="7:7" x14ac:dyDescent="0.2">
      <c r="G12029" s="7"/>
    </row>
    <row r="12030" spans="7:7" x14ac:dyDescent="0.2">
      <c r="G12030" s="7"/>
    </row>
    <row r="12031" spans="7:7" x14ac:dyDescent="0.2">
      <c r="G12031" s="7"/>
    </row>
    <row r="12032" spans="7:7" x14ac:dyDescent="0.2">
      <c r="G12032" s="7"/>
    </row>
    <row r="12033" spans="7:7" x14ac:dyDescent="0.2">
      <c r="G12033" s="7"/>
    </row>
    <row r="12034" spans="7:7" x14ac:dyDescent="0.2">
      <c r="G12034" s="7"/>
    </row>
    <row r="12035" spans="7:7" x14ac:dyDescent="0.2">
      <c r="G12035" s="7"/>
    </row>
    <row r="12036" spans="7:7" x14ac:dyDescent="0.2">
      <c r="G12036" s="7"/>
    </row>
    <row r="12037" spans="7:7" x14ac:dyDescent="0.2">
      <c r="G12037" s="7"/>
    </row>
    <row r="12038" spans="7:7" x14ac:dyDescent="0.2">
      <c r="G12038" s="7"/>
    </row>
    <row r="12039" spans="7:7" x14ac:dyDescent="0.2">
      <c r="G12039" s="7"/>
    </row>
    <row r="12040" spans="7:7" x14ac:dyDescent="0.2">
      <c r="G12040" s="7"/>
    </row>
    <row r="12041" spans="7:7" x14ac:dyDescent="0.2">
      <c r="G12041" s="7"/>
    </row>
    <row r="12042" spans="7:7" x14ac:dyDescent="0.2">
      <c r="G12042" s="7"/>
    </row>
    <row r="12043" spans="7:7" x14ac:dyDescent="0.2">
      <c r="G12043" s="7"/>
    </row>
    <row r="12044" spans="7:7" x14ac:dyDescent="0.2">
      <c r="G12044" s="7"/>
    </row>
    <row r="12045" spans="7:7" x14ac:dyDescent="0.2">
      <c r="G12045" s="7"/>
    </row>
    <row r="12046" spans="7:7" x14ac:dyDescent="0.2">
      <c r="G12046" s="7"/>
    </row>
    <row r="12047" spans="7:7" x14ac:dyDescent="0.2">
      <c r="G12047" s="7"/>
    </row>
    <row r="12048" spans="7:7" x14ac:dyDescent="0.2">
      <c r="G12048" s="7"/>
    </row>
    <row r="12049" spans="7:7" x14ac:dyDescent="0.2">
      <c r="G12049" s="7"/>
    </row>
    <row r="12050" spans="7:7" x14ac:dyDescent="0.2">
      <c r="G12050" s="7"/>
    </row>
    <row r="12051" spans="7:7" x14ac:dyDescent="0.2">
      <c r="G12051" s="7"/>
    </row>
    <row r="12052" spans="7:7" x14ac:dyDescent="0.2">
      <c r="G12052" s="7"/>
    </row>
    <row r="12053" spans="7:7" x14ac:dyDescent="0.2">
      <c r="G12053" s="7"/>
    </row>
    <row r="12054" spans="7:7" x14ac:dyDescent="0.2">
      <c r="G12054" s="7"/>
    </row>
    <row r="12055" spans="7:7" x14ac:dyDescent="0.2">
      <c r="G12055" s="7"/>
    </row>
    <row r="12056" spans="7:7" x14ac:dyDescent="0.2">
      <c r="G12056" s="7"/>
    </row>
    <row r="12057" spans="7:7" x14ac:dyDescent="0.2">
      <c r="G12057" s="7"/>
    </row>
    <row r="12058" spans="7:7" x14ac:dyDescent="0.2">
      <c r="G12058" s="7"/>
    </row>
    <row r="12059" spans="7:7" x14ac:dyDescent="0.2">
      <c r="G12059" s="7"/>
    </row>
    <row r="12060" spans="7:7" x14ac:dyDescent="0.2">
      <c r="G12060" s="7"/>
    </row>
    <row r="12061" spans="7:7" x14ac:dyDescent="0.2">
      <c r="G12061" s="7"/>
    </row>
    <row r="12062" spans="7:7" x14ac:dyDescent="0.2">
      <c r="G12062" s="7"/>
    </row>
    <row r="12063" spans="7:7" x14ac:dyDescent="0.2">
      <c r="G12063" s="7"/>
    </row>
    <row r="12064" spans="7:7" x14ac:dyDescent="0.2">
      <c r="G12064" s="7"/>
    </row>
    <row r="12065" spans="7:7" x14ac:dyDescent="0.2">
      <c r="G12065" s="7"/>
    </row>
    <row r="12066" spans="7:7" x14ac:dyDescent="0.2">
      <c r="G12066" s="7"/>
    </row>
    <row r="12067" spans="7:7" x14ac:dyDescent="0.2">
      <c r="G12067" s="7"/>
    </row>
    <row r="12068" spans="7:7" x14ac:dyDescent="0.2">
      <c r="G12068" s="7"/>
    </row>
    <row r="12069" spans="7:7" x14ac:dyDescent="0.2">
      <c r="G12069" s="7"/>
    </row>
    <row r="12070" spans="7:7" x14ac:dyDescent="0.2">
      <c r="G12070" s="7"/>
    </row>
    <row r="12071" spans="7:7" x14ac:dyDescent="0.2">
      <c r="G12071" s="7"/>
    </row>
    <row r="12072" spans="7:7" x14ac:dyDescent="0.2">
      <c r="G12072" s="7"/>
    </row>
    <row r="12073" spans="7:7" x14ac:dyDescent="0.2">
      <c r="G12073" s="7"/>
    </row>
    <row r="12074" spans="7:7" x14ac:dyDescent="0.2">
      <c r="G12074" s="7"/>
    </row>
    <row r="12075" spans="7:7" x14ac:dyDescent="0.2">
      <c r="G12075" s="7"/>
    </row>
    <row r="12076" spans="7:7" x14ac:dyDescent="0.2">
      <c r="G12076" s="7"/>
    </row>
    <row r="12077" spans="7:7" x14ac:dyDescent="0.2">
      <c r="G12077" s="7"/>
    </row>
    <row r="12078" spans="7:7" x14ac:dyDescent="0.2">
      <c r="G12078" s="7"/>
    </row>
    <row r="12079" spans="7:7" x14ac:dyDescent="0.2">
      <c r="G12079" s="7"/>
    </row>
    <row r="12080" spans="7:7" x14ac:dyDescent="0.2">
      <c r="G12080" s="7"/>
    </row>
    <row r="12081" spans="7:7" x14ac:dyDescent="0.2">
      <c r="G12081" s="7"/>
    </row>
    <row r="12082" spans="7:7" x14ac:dyDescent="0.2">
      <c r="G12082" s="7"/>
    </row>
    <row r="12083" spans="7:7" x14ac:dyDescent="0.2">
      <c r="G12083" s="7"/>
    </row>
    <row r="12084" spans="7:7" x14ac:dyDescent="0.2">
      <c r="G12084" s="7"/>
    </row>
    <row r="12085" spans="7:7" x14ac:dyDescent="0.2">
      <c r="G12085" s="7"/>
    </row>
    <row r="12086" spans="7:7" x14ac:dyDescent="0.2">
      <c r="G12086" s="7"/>
    </row>
    <row r="12087" spans="7:7" x14ac:dyDescent="0.2">
      <c r="G12087" s="7"/>
    </row>
    <row r="12088" spans="7:7" x14ac:dyDescent="0.2">
      <c r="G12088" s="7"/>
    </row>
    <row r="12089" spans="7:7" x14ac:dyDescent="0.2">
      <c r="G12089" s="7"/>
    </row>
    <row r="12090" spans="7:7" x14ac:dyDescent="0.2">
      <c r="G12090" s="7"/>
    </row>
    <row r="12091" spans="7:7" x14ac:dyDescent="0.2">
      <c r="G12091" s="7"/>
    </row>
    <row r="12092" spans="7:7" x14ac:dyDescent="0.2">
      <c r="G12092" s="7"/>
    </row>
    <row r="12093" spans="7:7" x14ac:dyDescent="0.2">
      <c r="G12093" s="7"/>
    </row>
    <row r="12094" spans="7:7" x14ac:dyDescent="0.2">
      <c r="G12094" s="7"/>
    </row>
    <row r="12095" spans="7:7" x14ac:dyDescent="0.2">
      <c r="G12095" s="7"/>
    </row>
    <row r="12096" spans="7:7" x14ac:dyDescent="0.2">
      <c r="G12096" s="7"/>
    </row>
    <row r="12097" spans="7:7" x14ac:dyDescent="0.2">
      <c r="G12097" s="7"/>
    </row>
    <row r="12098" spans="7:7" x14ac:dyDescent="0.2">
      <c r="G12098" s="7"/>
    </row>
    <row r="12099" spans="7:7" x14ac:dyDescent="0.2">
      <c r="G12099" s="7"/>
    </row>
    <row r="12100" spans="7:7" x14ac:dyDescent="0.2">
      <c r="G12100" s="7"/>
    </row>
    <row r="12101" spans="7:7" x14ac:dyDescent="0.2">
      <c r="G12101" s="7"/>
    </row>
    <row r="12102" spans="7:7" x14ac:dyDescent="0.2">
      <c r="G12102" s="7"/>
    </row>
    <row r="12103" spans="7:7" x14ac:dyDescent="0.2">
      <c r="G12103" s="7"/>
    </row>
    <row r="12104" spans="7:7" x14ac:dyDescent="0.2">
      <c r="G12104" s="7"/>
    </row>
    <row r="12105" spans="7:7" x14ac:dyDescent="0.2">
      <c r="G12105" s="7"/>
    </row>
    <row r="12106" spans="7:7" x14ac:dyDescent="0.2">
      <c r="G12106" s="7"/>
    </row>
    <row r="12107" spans="7:7" x14ac:dyDescent="0.2">
      <c r="G12107" s="7"/>
    </row>
    <row r="12108" spans="7:7" x14ac:dyDescent="0.2">
      <c r="G12108" s="7"/>
    </row>
    <row r="12109" spans="7:7" x14ac:dyDescent="0.2">
      <c r="G12109" s="7"/>
    </row>
    <row r="12110" spans="7:7" x14ac:dyDescent="0.2">
      <c r="G12110" s="7"/>
    </row>
    <row r="12111" spans="7:7" x14ac:dyDescent="0.2">
      <c r="G12111" s="7"/>
    </row>
    <row r="12112" spans="7:7" x14ac:dyDescent="0.2">
      <c r="G12112" s="7"/>
    </row>
    <row r="12113" spans="7:7" x14ac:dyDescent="0.2">
      <c r="G12113" s="7"/>
    </row>
    <row r="12114" spans="7:7" x14ac:dyDescent="0.2">
      <c r="G12114" s="7"/>
    </row>
    <row r="12115" spans="7:7" x14ac:dyDescent="0.2">
      <c r="G12115" s="7"/>
    </row>
    <row r="12116" spans="7:7" x14ac:dyDescent="0.2">
      <c r="G12116" s="7"/>
    </row>
    <row r="12117" spans="7:7" x14ac:dyDescent="0.2">
      <c r="G12117" s="7"/>
    </row>
    <row r="12118" spans="7:7" x14ac:dyDescent="0.2">
      <c r="G12118" s="7"/>
    </row>
    <row r="12119" spans="7:7" x14ac:dyDescent="0.2">
      <c r="G12119" s="7"/>
    </row>
    <row r="12120" spans="7:7" x14ac:dyDescent="0.2">
      <c r="G12120" s="7"/>
    </row>
    <row r="12121" spans="7:7" x14ac:dyDescent="0.2">
      <c r="G12121" s="7"/>
    </row>
    <row r="12122" spans="7:7" x14ac:dyDescent="0.2">
      <c r="G12122" s="7"/>
    </row>
    <row r="12123" spans="7:7" x14ac:dyDescent="0.2">
      <c r="G12123" s="7"/>
    </row>
    <row r="12124" spans="7:7" x14ac:dyDescent="0.2">
      <c r="G12124" s="7"/>
    </row>
    <row r="12125" spans="7:7" x14ac:dyDescent="0.2">
      <c r="G12125" s="7"/>
    </row>
    <row r="12126" spans="7:7" x14ac:dyDescent="0.2">
      <c r="G12126" s="7"/>
    </row>
    <row r="12127" spans="7:7" x14ac:dyDescent="0.2">
      <c r="G12127" s="7"/>
    </row>
    <row r="12128" spans="7:7" x14ac:dyDescent="0.2">
      <c r="G12128" s="7"/>
    </row>
    <row r="12129" spans="7:7" x14ac:dyDescent="0.2">
      <c r="G12129" s="7"/>
    </row>
    <row r="12130" spans="7:7" x14ac:dyDescent="0.2">
      <c r="G12130" s="7"/>
    </row>
    <row r="12131" spans="7:7" x14ac:dyDescent="0.2">
      <c r="G12131" s="7"/>
    </row>
    <row r="12132" spans="7:7" x14ac:dyDescent="0.2">
      <c r="G12132" s="7"/>
    </row>
    <row r="12133" spans="7:7" x14ac:dyDescent="0.2">
      <c r="G12133" s="7"/>
    </row>
    <row r="12134" spans="7:7" x14ac:dyDescent="0.2">
      <c r="G12134" s="7"/>
    </row>
    <row r="12135" spans="7:7" x14ac:dyDescent="0.2">
      <c r="G12135" s="7"/>
    </row>
    <row r="12136" spans="7:7" x14ac:dyDescent="0.2">
      <c r="G12136" s="7"/>
    </row>
    <row r="12137" spans="7:7" x14ac:dyDescent="0.2">
      <c r="G12137" s="7"/>
    </row>
    <row r="12138" spans="7:7" x14ac:dyDescent="0.2">
      <c r="G12138" s="7"/>
    </row>
    <row r="12139" spans="7:7" x14ac:dyDescent="0.2">
      <c r="G12139" s="7"/>
    </row>
    <row r="12140" spans="7:7" x14ac:dyDescent="0.2">
      <c r="G12140" s="7"/>
    </row>
    <row r="12141" spans="7:7" x14ac:dyDescent="0.2">
      <c r="G12141" s="7"/>
    </row>
    <row r="12142" spans="7:7" x14ac:dyDescent="0.2">
      <c r="G12142" s="7"/>
    </row>
    <row r="12143" spans="7:7" x14ac:dyDescent="0.2">
      <c r="G12143" s="7"/>
    </row>
    <row r="12144" spans="7:7" x14ac:dyDescent="0.2">
      <c r="G12144" s="7"/>
    </row>
    <row r="12145" spans="7:7" x14ac:dyDescent="0.2">
      <c r="G12145" s="7"/>
    </row>
    <row r="12146" spans="7:7" x14ac:dyDescent="0.2">
      <c r="G12146" s="7"/>
    </row>
    <row r="12147" spans="7:7" x14ac:dyDescent="0.2">
      <c r="G12147" s="7"/>
    </row>
    <row r="12148" spans="7:7" x14ac:dyDescent="0.2">
      <c r="G12148" s="7"/>
    </row>
    <row r="12149" spans="7:7" x14ac:dyDescent="0.2">
      <c r="G12149" s="7"/>
    </row>
    <row r="12150" spans="7:7" x14ac:dyDescent="0.2">
      <c r="G12150" s="7"/>
    </row>
    <row r="12151" spans="7:7" x14ac:dyDescent="0.2">
      <c r="G12151" s="7"/>
    </row>
    <row r="12152" spans="7:7" x14ac:dyDescent="0.2">
      <c r="G12152" s="7"/>
    </row>
    <row r="12153" spans="7:7" x14ac:dyDescent="0.2">
      <c r="G12153" s="7"/>
    </row>
    <row r="12154" spans="7:7" x14ac:dyDescent="0.2">
      <c r="G12154" s="7"/>
    </row>
    <row r="12155" spans="7:7" x14ac:dyDescent="0.2">
      <c r="G12155" s="7"/>
    </row>
    <row r="12156" spans="7:7" x14ac:dyDescent="0.2">
      <c r="G12156" s="7"/>
    </row>
    <row r="12157" spans="7:7" x14ac:dyDescent="0.2">
      <c r="G12157" s="7"/>
    </row>
    <row r="12158" spans="7:7" x14ac:dyDescent="0.2">
      <c r="G12158" s="7"/>
    </row>
    <row r="12159" spans="7:7" x14ac:dyDescent="0.2">
      <c r="G12159" s="7"/>
    </row>
    <row r="12160" spans="7:7" x14ac:dyDescent="0.2">
      <c r="G12160" s="7"/>
    </row>
    <row r="12161" spans="7:7" x14ac:dyDescent="0.2">
      <c r="G12161" s="7"/>
    </row>
    <row r="12162" spans="7:7" x14ac:dyDescent="0.2">
      <c r="G12162" s="7"/>
    </row>
    <row r="12163" spans="7:7" x14ac:dyDescent="0.2">
      <c r="G12163" s="7"/>
    </row>
    <row r="12164" spans="7:7" x14ac:dyDescent="0.2">
      <c r="G12164" s="7"/>
    </row>
    <row r="12165" spans="7:7" x14ac:dyDescent="0.2">
      <c r="G12165" s="7"/>
    </row>
    <row r="12166" spans="7:7" x14ac:dyDescent="0.2">
      <c r="G12166" s="7"/>
    </row>
    <row r="12167" spans="7:7" x14ac:dyDescent="0.2">
      <c r="G12167" s="7"/>
    </row>
    <row r="12168" spans="7:7" x14ac:dyDescent="0.2">
      <c r="G12168" s="7"/>
    </row>
    <row r="12169" spans="7:7" x14ac:dyDescent="0.2">
      <c r="G12169" s="7"/>
    </row>
    <row r="12170" spans="7:7" x14ac:dyDescent="0.2">
      <c r="G12170" s="7"/>
    </row>
    <row r="12171" spans="7:7" x14ac:dyDescent="0.2">
      <c r="G12171" s="7"/>
    </row>
    <row r="12172" spans="7:7" x14ac:dyDescent="0.2">
      <c r="G12172" s="7"/>
    </row>
    <row r="12173" spans="7:7" x14ac:dyDescent="0.2">
      <c r="G12173" s="7"/>
    </row>
    <row r="12174" spans="7:7" x14ac:dyDescent="0.2">
      <c r="G12174" s="7"/>
    </row>
    <row r="12175" spans="7:7" x14ac:dyDescent="0.2">
      <c r="G12175" s="7"/>
    </row>
    <row r="12176" spans="7:7" x14ac:dyDescent="0.2">
      <c r="G12176" s="7"/>
    </row>
    <row r="12177" spans="7:7" x14ac:dyDescent="0.2">
      <c r="G12177" s="7"/>
    </row>
    <row r="12178" spans="7:7" x14ac:dyDescent="0.2">
      <c r="G12178" s="7"/>
    </row>
    <row r="12179" spans="7:7" x14ac:dyDescent="0.2">
      <c r="G12179" s="7"/>
    </row>
    <row r="12180" spans="7:7" x14ac:dyDescent="0.2">
      <c r="G12180" s="7"/>
    </row>
    <row r="12181" spans="7:7" x14ac:dyDescent="0.2">
      <c r="G12181" s="7"/>
    </row>
    <row r="12182" spans="7:7" x14ac:dyDescent="0.2">
      <c r="G12182" s="7"/>
    </row>
    <row r="12183" spans="7:7" x14ac:dyDescent="0.2">
      <c r="G12183" s="7"/>
    </row>
    <row r="12184" spans="7:7" x14ac:dyDescent="0.2">
      <c r="G12184" s="7"/>
    </row>
    <row r="12185" spans="7:7" x14ac:dyDescent="0.2">
      <c r="G12185" s="7"/>
    </row>
    <row r="12186" spans="7:7" x14ac:dyDescent="0.2">
      <c r="G12186" s="7"/>
    </row>
    <row r="12187" spans="7:7" x14ac:dyDescent="0.2">
      <c r="G12187" s="7"/>
    </row>
    <row r="12188" spans="7:7" x14ac:dyDescent="0.2">
      <c r="G12188" s="7"/>
    </row>
    <row r="12189" spans="7:7" x14ac:dyDescent="0.2">
      <c r="G12189" s="7"/>
    </row>
    <row r="12190" spans="7:7" x14ac:dyDescent="0.2">
      <c r="G12190" s="7"/>
    </row>
    <row r="12191" spans="7:7" x14ac:dyDescent="0.2">
      <c r="G12191" s="7"/>
    </row>
    <row r="12192" spans="7:7" x14ac:dyDescent="0.2">
      <c r="G12192" s="7"/>
    </row>
    <row r="12193" spans="7:7" x14ac:dyDescent="0.2">
      <c r="G12193" s="7"/>
    </row>
    <row r="12194" spans="7:7" x14ac:dyDescent="0.2">
      <c r="G12194" s="7"/>
    </row>
    <row r="12195" spans="7:7" x14ac:dyDescent="0.2">
      <c r="G12195" s="7"/>
    </row>
    <row r="12196" spans="7:7" x14ac:dyDescent="0.2">
      <c r="G12196" s="7"/>
    </row>
    <row r="12197" spans="7:7" x14ac:dyDescent="0.2">
      <c r="G12197" s="7"/>
    </row>
    <row r="12198" spans="7:7" x14ac:dyDescent="0.2">
      <c r="G12198" s="7"/>
    </row>
    <row r="12199" spans="7:7" x14ac:dyDescent="0.2">
      <c r="G12199" s="7"/>
    </row>
    <row r="12200" spans="7:7" x14ac:dyDescent="0.2">
      <c r="G12200" s="7"/>
    </row>
    <row r="12201" spans="7:7" x14ac:dyDescent="0.2">
      <c r="G12201" s="7"/>
    </row>
    <row r="12202" spans="7:7" x14ac:dyDescent="0.2">
      <c r="G12202" s="7"/>
    </row>
    <row r="12203" spans="7:7" x14ac:dyDescent="0.2">
      <c r="G12203" s="7"/>
    </row>
    <row r="12204" spans="7:7" x14ac:dyDescent="0.2">
      <c r="G12204" s="7"/>
    </row>
    <row r="12205" spans="7:7" x14ac:dyDescent="0.2">
      <c r="G12205" s="7"/>
    </row>
    <row r="12206" spans="7:7" x14ac:dyDescent="0.2">
      <c r="G12206" s="7"/>
    </row>
    <row r="12207" spans="7:7" x14ac:dyDescent="0.2">
      <c r="G12207" s="7"/>
    </row>
    <row r="12208" spans="7:7" x14ac:dyDescent="0.2">
      <c r="G12208" s="7"/>
    </row>
    <row r="12209" spans="7:7" x14ac:dyDescent="0.2">
      <c r="G12209" s="7"/>
    </row>
    <row r="12210" spans="7:7" x14ac:dyDescent="0.2">
      <c r="G12210" s="7"/>
    </row>
    <row r="12211" spans="7:7" x14ac:dyDescent="0.2">
      <c r="G12211" s="7"/>
    </row>
    <row r="12212" spans="7:7" x14ac:dyDescent="0.2">
      <c r="G12212" s="7"/>
    </row>
    <row r="12213" spans="7:7" x14ac:dyDescent="0.2">
      <c r="G12213" s="7"/>
    </row>
    <row r="12214" spans="7:7" x14ac:dyDescent="0.2">
      <c r="G12214" s="7"/>
    </row>
    <row r="12215" spans="7:7" x14ac:dyDescent="0.2">
      <c r="G12215" s="7"/>
    </row>
    <row r="12216" spans="7:7" x14ac:dyDescent="0.2">
      <c r="G12216" s="7"/>
    </row>
    <row r="12217" spans="7:7" x14ac:dyDescent="0.2">
      <c r="G12217" s="7"/>
    </row>
    <row r="12218" spans="7:7" x14ac:dyDescent="0.2">
      <c r="G12218" s="7"/>
    </row>
    <row r="12219" spans="7:7" x14ac:dyDescent="0.2">
      <c r="G12219" s="7"/>
    </row>
    <row r="12220" spans="7:7" x14ac:dyDescent="0.2">
      <c r="G12220" s="7"/>
    </row>
    <row r="12221" spans="7:7" x14ac:dyDescent="0.2">
      <c r="G12221" s="7"/>
    </row>
    <row r="12222" spans="7:7" x14ac:dyDescent="0.2">
      <c r="G12222" s="7"/>
    </row>
    <row r="12223" spans="7:7" x14ac:dyDescent="0.2">
      <c r="G12223" s="7"/>
    </row>
    <row r="12224" spans="7:7" x14ac:dyDescent="0.2">
      <c r="G12224" s="7"/>
    </row>
    <row r="12225" spans="7:7" x14ac:dyDescent="0.2">
      <c r="G12225" s="7"/>
    </row>
    <row r="12226" spans="7:7" x14ac:dyDescent="0.2">
      <c r="G12226" s="7"/>
    </row>
    <row r="12227" spans="7:7" x14ac:dyDescent="0.2">
      <c r="G12227" s="7"/>
    </row>
    <row r="12228" spans="7:7" x14ac:dyDescent="0.2">
      <c r="G12228" s="7"/>
    </row>
    <row r="12229" spans="7:7" x14ac:dyDescent="0.2">
      <c r="G12229" s="7"/>
    </row>
    <row r="12230" spans="7:7" x14ac:dyDescent="0.2">
      <c r="G12230" s="7"/>
    </row>
    <row r="12231" spans="7:7" x14ac:dyDescent="0.2">
      <c r="G12231" s="7"/>
    </row>
    <row r="12232" spans="7:7" x14ac:dyDescent="0.2">
      <c r="G12232" s="7"/>
    </row>
    <row r="12233" spans="7:7" x14ac:dyDescent="0.2">
      <c r="G12233" s="7"/>
    </row>
    <row r="12234" spans="7:7" x14ac:dyDescent="0.2">
      <c r="G12234" s="7"/>
    </row>
    <row r="12235" spans="7:7" x14ac:dyDescent="0.2">
      <c r="G12235" s="7"/>
    </row>
    <row r="12236" spans="7:7" x14ac:dyDescent="0.2">
      <c r="G12236" s="7"/>
    </row>
    <row r="12237" spans="7:7" x14ac:dyDescent="0.2">
      <c r="G12237" s="7"/>
    </row>
    <row r="12238" spans="7:7" x14ac:dyDescent="0.2">
      <c r="G12238" s="7"/>
    </row>
    <row r="12239" spans="7:7" x14ac:dyDescent="0.2">
      <c r="G12239" s="7"/>
    </row>
    <row r="12240" spans="7:7" x14ac:dyDescent="0.2">
      <c r="G12240" s="7"/>
    </row>
    <row r="12241" spans="7:7" x14ac:dyDescent="0.2">
      <c r="G12241" s="7"/>
    </row>
    <row r="12242" spans="7:7" x14ac:dyDescent="0.2">
      <c r="G12242" s="7"/>
    </row>
    <row r="12243" spans="7:7" x14ac:dyDescent="0.2">
      <c r="G12243" s="7"/>
    </row>
    <row r="12244" spans="7:7" x14ac:dyDescent="0.2">
      <c r="G12244" s="7"/>
    </row>
    <row r="12245" spans="7:7" x14ac:dyDescent="0.2">
      <c r="G12245" s="7"/>
    </row>
    <row r="12246" spans="7:7" x14ac:dyDescent="0.2">
      <c r="G12246" s="7"/>
    </row>
    <row r="12247" spans="7:7" x14ac:dyDescent="0.2">
      <c r="G12247" s="7"/>
    </row>
    <row r="12248" spans="7:7" x14ac:dyDescent="0.2">
      <c r="G12248" s="7"/>
    </row>
    <row r="12249" spans="7:7" x14ac:dyDescent="0.2">
      <c r="G12249" s="7"/>
    </row>
    <row r="12250" spans="7:7" x14ac:dyDescent="0.2">
      <c r="G12250" s="7"/>
    </row>
    <row r="12251" spans="7:7" x14ac:dyDescent="0.2">
      <c r="G12251" s="7"/>
    </row>
    <row r="12252" spans="7:7" x14ac:dyDescent="0.2">
      <c r="G12252" s="7"/>
    </row>
    <row r="12253" spans="7:7" x14ac:dyDescent="0.2">
      <c r="G12253" s="7"/>
    </row>
    <row r="12254" spans="7:7" x14ac:dyDescent="0.2">
      <c r="G12254" s="7"/>
    </row>
    <row r="12255" spans="7:7" x14ac:dyDescent="0.2">
      <c r="G12255" s="7"/>
    </row>
    <row r="12256" spans="7:7" x14ac:dyDescent="0.2">
      <c r="G12256" s="7"/>
    </row>
    <row r="12257" spans="7:7" x14ac:dyDescent="0.2">
      <c r="G12257" s="7"/>
    </row>
    <row r="12258" spans="7:7" x14ac:dyDescent="0.2">
      <c r="G12258" s="7"/>
    </row>
    <row r="12259" spans="7:7" x14ac:dyDescent="0.2">
      <c r="G12259" s="7"/>
    </row>
    <row r="12260" spans="7:7" x14ac:dyDescent="0.2">
      <c r="G12260" s="7"/>
    </row>
    <row r="12261" spans="7:7" x14ac:dyDescent="0.2">
      <c r="G12261" s="7"/>
    </row>
    <row r="12262" spans="7:7" x14ac:dyDescent="0.2">
      <c r="G12262" s="7"/>
    </row>
    <row r="12263" spans="7:7" x14ac:dyDescent="0.2">
      <c r="G12263" s="7"/>
    </row>
    <row r="12264" spans="7:7" x14ac:dyDescent="0.2">
      <c r="G12264" s="7"/>
    </row>
    <row r="12265" spans="7:7" x14ac:dyDescent="0.2">
      <c r="G12265" s="7"/>
    </row>
    <row r="12266" spans="7:7" x14ac:dyDescent="0.2">
      <c r="G12266" s="7"/>
    </row>
    <row r="12267" spans="7:7" x14ac:dyDescent="0.2">
      <c r="G12267" s="7"/>
    </row>
    <row r="12268" spans="7:7" x14ac:dyDescent="0.2">
      <c r="G12268" s="7"/>
    </row>
    <row r="12269" spans="7:7" x14ac:dyDescent="0.2">
      <c r="G12269" s="7"/>
    </row>
    <row r="12270" spans="7:7" x14ac:dyDescent="0.2">
      <c r="G12270" s="7"/>
    </row>
    <row r="12271" spans="7:7" x14ac:dyDescent="0.2">
      <c r="G12271" s="7"/>
    </row>
    <row r="12272" spans="7:7" x14ac:dyDescent="0.2">
      <c r="G12272" s="7"/>
    </row>
    <row r="12273" spans="7:7" x14ac:dyDescent="0.2">
      <c r="G12273" s="7"/>
    </row>
    <row r="12274" spans="7:7" x14ac:dyDescent="0.2">
      <c r="G12274" s="7"/>
    </row>
    <row r="12275" spans="7:7" x14ac:dyDescent="0.2">
      <c r="G12275" s="7"/>
    </row>
    <row r="12276" spans="7:7" x14ac:dyDescent="0.2">
      <c r="G12276" s="7"/>
    </row>
    <row r="12277" spans="7:7" x14ac:dyDescent="0.2">
      <c r="G12277" s="7"/>
    </row>
    <row r="12278" spans="7:7" x14ac:dyDescent="0.2">
      <c r="G12278" s="7"/>
    </row>
    <row r="12279" spans="7:7" x14ac:dyDescent="0.2">
      <c r="G12279" s="7"/>
    </row>
    <row r="12280" spans="7:7" x14ac:dyDescent="0.2">
      <c r="G12280" s="7"/>
    </row>
    <row r="12281" spans="7:7" x14ac:dyDescent="0.2">
      <c r="G12281" s="7"/>
    </row>
    <row r="12282" spans="7:7" x14ac:dyDescent="0.2">
      <c r="G12282" s="7"/>
    </row>
    <row r="12283" spans="7:7" x14ac:dyDescent="0.2">
      <c r="G12283" s="7"/>
    </row>
    <row r="12284" spans="7:7" x14ac:dyDescent="0.2">
      <c r="G12284" s="7"/>
    </row>
    <row r="12285" spans="7:7" x14ac:dyDescent="0.2">
      <c r="G12285" s="7"/>
    </row>
    <row r="12286" spans="7:7" x14ac:dyDescent="0.2">
      <c r="G12286" s="7"/>
    </row>
    <row r="12287" spans="7:7" x14ac:dyDescent="0.2">
      <c r="G12287" s="7"/>
    </row>
    <row r="12288" spans="7:7" x14ac:dyDescent="0.2">
      <c r="G12288" s="7"/>
    </row>
    <row r="12289" spans="7:7" x14ac:dyDescent="0.2">
      <c r="G12289" s="7"/>
    </row>
    <row r="12290" spans="7:7" x14ac:dyDescent="0.2">
      <c r="G12290" s="7"/>
    </row>
    <row r="12291" spans="7:7" x14ac:dyDescent="0.2">
      <c r="G12291" s="7"/>
    </row>
    <row r="12292" spans="7:7" x14ac:dyDescent="0.2">
      <c r="G12292" s="7"/>
    </row>
    <row r="12293" spans="7:7" x14ac:dyDescent="0.2">
      <c r="G12293" s="7"/>
    </row>
    <row r="12294" spans="7:7" x14ac:dyDescent="0.2">
      <c r="G12294" s="7"/>
    </row>
    <row r="12295" spans="7:7" x14ac:dyDescent="0.2">
      <c r="G12295" s="7"/>
    </row>
    <row r="12296" spans="7:7" x14ac:dyDescent="0.2">
      <c r="G12296" s="7"/>
    </row>
    <row r="12297" spans="7:7" x14ac:dyDescent="0.2">
      <c r="G12297" s="7"/>
    </row>
    <row r="12298" spans="7:7" x14ac:dyDescent="0.2">
      <c r="G12298" s="7"/>
    </row>
    <row r="12299" spans="7:7" x14ac:dyDescent="0.2">
      <c r="G12299" s="7"/>
    </row>
    <row r="12300" spans="7:7" x14ac:dyDescent="0.2">
      <c r="G12300" s="7"/>
    </row>
    <row r="12301" spans="7:7" x14ac:dyDescent="0.2">
      <c r="G12301" s="7"/>
    </row>
    <row r="12302" spans="7:7" x14ac:dyDescent="0.2">
      <c r="G12302" s="7"/>
    </row>
    <row r="12303" spans="7:7" x14ac:dyDescent="0.2">
      <c r="G12303" s="7"/>
    </row>
    <row r="12304" spans="7:7" x14ac:dyDescent="0.2">
      <c r="G12304" s="7"/>
    </row>
    <row r="12305" spans="7:7" x14ac:dyDescent="0.2">
      <c r="G12305" s="7"/>
    </row>
    <row r="12306" spans="7:7" x14ac:dyDescent="0.2">
      <c r="G12306" s="7"/>
    </row>
    <row r="12307" spans="7:7" x14ac:dyDescent="0.2">
      <c r="G12307" s="7"/>
    </row>
    <row r="12308" spans="7:7" x14ac:dyDescent="0.2">
      <c r="G12308" s="7"/>
    </row>
    <row r="12309" spans="7:7" x14ac:dyDescent="0.2">
      <c r="G12309" s="7"/>
    </row>
    <row r="12310" spans="7:7" x14ac:dyDescent="0.2">
      <c r="G12310" s="7"/>
    </row>
    <row r="12311" spans="7:7" x14ac:dyDescent="0.2">
      <c r="G12311" s="7"/>
    </row>
    <row r="12312" spans="7:7" x14ac:dyDescent="0.2">
      <c r="G12312" s="7"/>
    </row>
    <row r="12313" spans="7:7" x14ac:dyDescent="0.2">
      <c r="G12313" s="7"/>
    </row>
    <row r="12314" spans="7:7" x14ac:dyDescent="0.2">
      <c r="G12314" s="7"/>
    </row>
    <row r="12315" spans="7:7" x14ac:dyDescent="0.2">
      <c r="G12315" s="7"/>
    </row>
    <row r="12316" spans="7:7" x14ac:dyDescent="0.2">
      <c r="G12316" s="7"/>
    </row>
    <row r="12317" spans="7:7" x14ac:dyDescent="0.2">
      <c r="G12317" s="7"/>
    </row>
    <row r="12318" spans="7:7" x14ac:dyDescent="0.2">
      <c r="G12318" s="7"/>
    </row>
    <row r="12319" spans="7:7" x14ac:dyDescent="0.2">
      <c r="G12319" s="7"/>
    </row>
    <row r="12320" spans="7:7" x14ac:dyDescent="0.2">
      <c r="G12320" s="7"/>
    </row>
    <row r="12321" spans="7:7" x14ac:dyDescent="0.2">
      <c r="G12321" s="7"/>
    </row>
    <row r="12322" spans="7:7" x14ac:dyDescent="0.2">
      <c r="G12322" s="7"/>
    </row>
    <row r="12323" spans="7:7" x14ac:dyDescent="0.2">
      <c r="G12323" s="7"/>
    </row>
    <row r="12324" spans="7:7" x14ac:dyDescent="0.2">
      <c r="G12324" s="7"/>
    </row>
    <row r="12325" spans="7:7" x14ac:dyDescent="0.2">
      <c r="G12325" s="7"/>
    </row>
    <row r="12326" spans="7:7" x14ac:dyDescent="0.2">
      <c r="G12326" s="7"/>
    </row>
    <row r="12327" spans="7:7" x14ac:dyDescent="0.2">
      <c r="G12327" s="7"/>
    </row>
    <row r="12328" spans="7:7" x14ac:dyDescent="0.2">
      <c r="G12328" s="7"/>
    </row>
    <row r="12329" spans="7:7" x14ac:dyDescent="0.2">
      <c r="G12329" s="7"/>
    </row>
    <row r="12330" spans="7:7" x14ac:dyDescent="0.2">
      <c r="G12330" s="7"/>
    </row>
    <row r="12331" spans="7:7" x14ac:dyDescent="0.2">
      <c r="G12331" s="7"/>
    </row>
    <row r="12332" spans="7:7" x14ac:dyDescent="0.2">
      <c r="G12332" s="7"/>
    </row>
    <row r="12333" spans="7:7" x14ac:dyDescent="0.2">
      <c r="G12333" s="7"/>
    </row>
    <row r="12334" spans="7:7" x14ac:dyDescent="0.2">
      <c r="G12334" s="7"/>
    </row>
    <row r="12335" spans="7:7" x14ac:dyDescent="0.2">
      <c r="G12335" s="7"/>
    </row>
    <row r="12336" spans="7:7" x14ac:dyDescent="0.2">
      <c r="G12336" s="7"/>
    </row>
    <row r="12337" spans="7:7" x14ac:dyDescent="0.2">
      <c r="G12337" s="7"/>
    </row>
    <row r="12338" spans="7:7" x14ac:dyDescent="0.2">
      <c r="G12338" s="7"/>
    </row>
    <row r="12339" spans="7:7" x14ac:dyDescent="0.2">
      <c r="G12339" s="7"/>
    </row>
    <row r="12340" spans="7:7" x14ac:dyDescent="0.2">
      <c r="G12340" s="7"/>
    </row>
    <row r="12341" spans="7:7" x14ac:dyDescent="0.2">
      <c r="G12341" s="7"/>
    </row>
    <row r="12342" spans="7:7" x14ac:dyDescent="0.2">
      <c r="G12342" s="7"/>
    </row>
    <row r="12343" spans="7:7" x14ac:dyDescent="0.2">
      <c r="G12343" s="7"/>
    </row>
    <row r="12344" spans="7:7" x14ac:dyDescent="0.2">
      <c r="G12344" s="7"/>
    </row>
    <row r="12345" spans="7:7" x14ac:dyDescent="0.2">
      <c r="G12345" s="7"/>
    </row>
    <row r="12346" spans="7:7" x14ac:dyDescent="0.2">
      <c r="G12346" s="7"/>
    </row>
    <row r="12347" spans="7:7" x14ac:dyDescent="0.2">
      <c r="G12347" s="7"/>
    </row>
    <row r="12348" spans="7:7" x14ac:dyDescent="0.2">
      <c r="G12348" s="7"/>
    </row>
    <row r="12349" spans="7:7" x14ac:dyDescent="0.2">
      <c r="G12349" s="7"/>
    </row>
    <row r="12350" spans="7:7" x14ac:dyDescent="0.2">
      <c r="G12350" s="7"/>
    </row>
    <row r="12351" spans="7:7" x14ac:dyDescent="0.2">
      <c r="G12351" s="7"/>
    </row>
    <row r="12352" spans="7:7" x14ac:dyDescent="0.2">
      <c r="G12352" s="7"/>
    </row>
    <row r="12353" spans="7:7" x14ac:dyDescent="0.2">
      <c r="G12353" s="7"/>
    </row>
    <row r="12354" spans="7:7" x14ac:dyDescent="0.2">
      <c r="G12354" s="7"/>
    </row>
    <row r="12355" spans="7:7" x14ac:dyDescent="0.2">
      <c r="G12355" s="7"/>
    </row>
    <row r="12356" spans="7:7" x14ac:dyDescent="0.2">
      <c r="G12356" s="7"/>
    </row>
    <row r="12357" spans="7:7" x14ac:dyDescent="0.2">
      <c r="G12357" s="7"/>
    </row>
    <row r="12358" spans="7:7" x14ac:dyDescent="0.2">
      <c r="G12358" s="7"/>
    </row>
    <row r="12359" spans="7:7" x14ac:dyDescent="0.2">
      <c r="G12359" s="7"/>
    </row>
    <row r="12360" spans="7:7" x14ac:dyDescent="0.2">
      <c r="G12360" s="7"/>
    </row>
    <row r="12361" spans="7:7" x14ac:dyDescent="0.2">
      <c r="G12361" s="7"/>
    </row>
    <row r="12362" spans="7:7" x14ac:dyDescent="0.2">
      <c r="G12362" s="7"/>
    </row>
    <row r="12363" spans="7:7" x14ac:dyDescent="0.2">
      <c r="G12363" s="7"/>
    </row>
    <row r="12364" spans="7:7" x14ac:dyDescent="0.2">
      <c r="G12364" s="7"/>
    </row>
    <row r="12365" spans="7:7" x14ac:dyDescent="0.2">
      <c r="G12365" s="7"/>
    </row>
    <row r="12366" spans="7:7" x14ac:dyDescent="0.2">
      <c r="G12366" s="7"/>
    </row>
    <row r="12367" spans="7:7" x14ac:dyDescent="0.2">
      <c r="G12367" s="7"/>
    </row>
    <row r="12368" spans="7:7" x14ac:dyDescent="0.2">
      <c r="G12368" s="7"/>
    </row>
    <row r="12369" spans="7:7" x14ac:dyDescent="0.2">
      <c r="G12369" s="7"/>
    </row>
    <row r="12370" spans="7:7" x14ac:dyDescent="0.2">
      <c r="G12370" s="7"/>
    </row>
    <row r="12371" spans="7:7" x14ac:dyDescent="0.2">
      <c r="G12371" s="7"/>
    </row>
    <row r="12372" spans="7:7" x14ac:dyDescent="0.2">
      <c r="G12372" s="7"/>
    </row>
    <row r="12373" spans="7:7" x14ac:dyDescent="0.2">
      <c r="G12373" s="7"/>
    </row>
    <row r="12374" spans="7:7" x14ac:dyDescent="0.2">
      <c r="G12374" s="7"/>
    </row>
    <row r="12375" spans="7:7" x14ac:dyDescent="0.2">
      <c r="G12375" s="7"/>
    </row>
    <row r="12376" spans="7:7" x14ac:dyDescent="0.2">
      <c r="G12376" s="7"/>
    </row>
    <row r="12377" spans="7:7" x14ac:dyDescent="0.2">
      <c r="G12377" s="7"/>
    </row>
    <row r="12378" spans="7:7" x14ac:dyDescent="0.2">
      <c r="G12378" s="7"/>
    </row>
    <row r="12379" spans="7:7" x14ac:dyDescent="0.2">
      <c r="G12379" s="7"/>
    </row>
    <row r="12380" spans="7:7" x14ac:dyDescent="0.2">
      <c r="G12380" s="7"/>
    </row>
    <row r="12381" spans="7:7" x14ac:dyDescent="0.2">
      <c r="G12381" s="7"/>
    </row>
    <row r="12382" spans="7:7" x14ac:dyDescent="0.2">
      <c r="G12382" s="7"/>
    </row>
    <row r="12383" spans="7:7" x14ac:dyDescent="0.2">
      <c r="G12383" s="7"/>
    </row>
    <row r="12384" spans="7:7" x14ac:dyDescent="0.2">
      <c r="G12384" s="7"/>
    </row>
    <row r="12385" spans="7:7" x14ac:dyDescent="0.2">
      <c r="G12385" s="7"/>
    </row>
    <row r="12386" spans="7:7" x14ac:dyDescent="0.2">
      <c r="G12386" s="7"/>
    </row>
    <row r="12387" spans="7:7" x14ac:dyDescent="0.2">
      <c r="G12387" s="7"/>
    </row>
    <row r="12388" spans="7:7" x14ac:dyDescent="0.2">
      <c r="G12388" s="7"/>
    </row>
    <row r="12389" spans="7:7" x14ac:dyDescent="0.2">
      <c r="G12389" s="7"/>
    </row>
    <row r="12390" spans="7:7" x14ac:dyDescent="0.2">
      <c r="G12390" s="7"/>
    </row>
    <row r="12391" spans="7:7" x14ac:dyDescent="0.2">
      <c r="G12391" s="7"/>
    </row>
    <row r="12392" spans="7:7" x14ac:dyDescent="0.2">
      <c r="G12392" s="7"/>
    </row>
    <row r="12393" spans="7:7" x14ac:dyDescent="0.2">
      <c r="G12393" s="7"/>
    </row>
    <row r="12394" spans="7:7" x14ac:dyDescent="0.2">
      <c r="G12394" s="7"/>
    </row>
    <row r="12395" spans="7:7" x14ac:dyDescent="0.2">
      <c r="G12395" s="7"/>
    </row>
    <row r="12396" spans="7:7" x14ac:dyDescent="0.2">
      <c r="G12396" s="7"/>
    </row>
    <row r="12397" spans="7:7" x14ac:dyDescent="0.2">
      <c r="G12397" s="7"/>
    </row>
    <row r="12398" spans="7:7" x14ac:dyDescent="0.2">
      <c r="G12398" s="7"/>
    </row>
    <row r="12399" spans="7:7" x14ac:dyDescent="0.2">
      <c r="G12399" s="7"/>
    </row>
    <row r="12400" spans="7:7" x14ac:dyDescent="0.2">
      <c r="G12400" s="7"/>
    </row>
    <row r="12401" spans="7:7" x14ac:dyDescent="0.2">
      <c r="G12401" s="7"/>
    </row>
    <row r="12402" spans="7:7" x14ac:dyDescent="0.2">
      <c r="G12402" s="7"/>
    </row>
    <row r="12403" spans="7:7" x14ac:dyDescent="0.2">
      <c r="G12403" s="7"/>
    </row>
    <row r="12404" spans="7:7" x14ac:dyDescent="0.2">
      <c r="G12404" s="7"/>
    </row>
    <row r="12405" spans="7:7" x14ac:dyDescent="0.2">
      <c r="G12405" s="7"/>
    </row>
    <row r="12406" spans="7:7" x14ac:dyDescent="0.2">
      <c r="G12406" s="7"/>
    </row>
    <row r="12407" spans="7:7" x14ac:dyDescent="0.2">
      <c r="G12407" s="7"/>
    </row>
    <row r="12408" spans="7:7" x14ac:dyDescent="0.2">
      <c r="G12408" s="7"/>
    </row>
    <row r="12409" spans="7:7" x14ac:dyDescent="0.2">
      <c r="G12409" s="7"/>
    </row>
    <row r="12410" spans="7:7" x14ac:dyDescent="0.2">
      <c r="G12410" s="7"/>
    </row>
    <row r="12411" spans="7:7" x14ac:dyDescent="0.2">
      <c r="G12411" s="7"/>
    </row>
    <row r="12412" spans="7:7" x14ac:dyDescent="0.2">
      <c r="G12412" s="7"/>
    </row>
    <row r="12413" spans="7:7" x14ac:dyDescent="0.2">
      <c r="G12413" s="7"/>
    </row>
    <row r="12414" spans="7:7" x14ac:dyDescent="0.2">
      <c r="G12414" s="7"/>
    </row>
    <row r="12415" spans="7:7" x14ac:dyDescent="0.2">
      <c r="G12415" s="7"/>
    </row>
    <row r="12416" spans="7:7" x14ac:dyDescent="0.2">
      <c r="G12416" s="7"/>
    </row>
    <row r="12417" spans="7:7" x14ac:dyDescent="0.2">
      <c r="G12417" s="7"/>
    </row>
    <row r="12418" spans="7:7" x14ac:dyDescent="0.2">
      <c r="G12418" s="7"/>
    </row>
    <row r="12419" spans="7:7" x14ac:dyDescent="0.2">
      <c r="G12419" s="7"/>
    </row>
    <row r="12420" spans="7:7" x14ac:dyDescent="0.2">
      <c r="G12420" s="7"/>
    </row>
    <row r="12421" spans="7:7" x14ac:dyDescent="0.2">
      <c r="G12421" s="7"/>
    </row>
    <row r="12422" spans="7:7" x14ac:dyDescent="0.2">
      <c r="G12422" s="7"/>
    </row>
    <row r="12423" spans="7:7" x14ac:dyDescent="0.2">
      <c r="G12423" s="7"/>
    </row>
    <row r="12424" spans="7:7" x14ac:dyDescent="0.2">
      <c r="G12424" s="7"/>
    </row>
    <row r="12425" spans="7:7" x14ac:dyDescent="0.2">
      <c r="G12425" s="7"/>
    </row>
    <row r="12426" spans="7:7" x14ac:dyDescent="0.2">
      <c r="G12426" s="7"/>
    </row>
    <row r="12427" spans="7:7" x14ac:dyDescent="0.2">
      <c r="G12427" s="7"/>
    </row>
    <row r="12428" spans="7:7" x14ac:dyDescent="0.2">
      <c r="G12428" s="7"/>
    </row>
    <row r="12429" spans="7:7" x14ac:dyDescent="0.2">
      <c r="G12429" s="7"/>
    </row>
    <row r="12430" spans="7:7" x14ac:dyDescent="0.2">
      <c r="G12430" s="7"/>
    </row>
    <row r="12431" spans="7:7" x14ac:dyDescent="0.2">
      <c r="G12431" s="7"/>
    </row>
    <row r="12432" spans="7:7" x14ac:dyDescent="0.2">
      <c r="G12432" s="7"/>
    </row>
    <row r="12433" spans="7:7" x14ac:dyDescent="0.2">
      <c r="G12433" s="7"/>
    </row>
    <row r="12434" spans="7:7" x14ac:dyDescent="0.2">
      <c r="G12434" s="7"/>
    </row>
    <row r="12435" spans="7:7" x14ac:dyDescent="0.2">
      <c r="G12435" s="7"/>
    </row>
    <row r="12436" spans="7:7" x14ac:dyDescent="0.2">
      <c r="G12436" s="7"/>
    </row>
    <row r="12437" spans="7:7" x14ac:dyDescent="0.2">
      <c r="G12437" s="7"/>
    </row>
    <row r="12438" spans="7:7" x14ac:dyDescent="0.2">
      <c r="G12438" s="7"/>
    </row>
    <row r="12439" spans="7:7" x14ac:dyDescent="0.2">
      <c r="G12439" s="7"/>
    </row>
    <row r="12440" spans="7:7" x14ac:dyDescent="0.2">
      <c r="G12440" s="7"/>
    </row>
    <row r="12441" spans="7:7" x14ac:dyDescent="0.2">
      <c r="G12441" s="7"/>
    </row>
    <row r="12442" spans="7:7" x14ac:dyDescent="0.2">
      <c r="G12442" s="7"/>
    </row>
    <row r="12443" spans="7:7" x14ac:dyDescent="0.2">
      <c r="G12443" s="7"/>
    </row>
    <row r="12444" spans="7:7" x14ac:dyDescent="0.2">
      <c r="G12444" s="7"/>
    </row>
    <row r="12445" spans="7:7" x14ac:dyDescent="0.2">
      <c r="G12445" s="7"/>
    </row>
    <row r="12446" spans="7:7" x14ac:dyDescent="0.2">
      <c r="G12446" s="7"/>
    </row>
    <row r="12447" spans="7:7" x14ac:dyDescent="0.2">
      <c r="G12447" s="7"/>
    </row>
    <row r="12448" spans="7:7" x14ac:dyDescent="0.2">
      <c r="G12448" s="7"/>
    </row>
    <row r="12449" spans="7:7" x14ac:dyDescent="0.2">
      <c r="G12449" s="7"/>
    </row>
    <row r="12450" spans="7:7" x14ac:dyDescent="0.2">
      <c r="G12450" s="7"/>
    </row>
    <row r="12451" spans="7:7" x14ac:dyDescent="0.2">
      <c r="G12451" s="7"/>
    </row>
    <row r="12452" spans="7:7" x14ac:dyDescent="0.2">
      <c r="G12452" s="7"/>
    </row>
    <row r="12453" spans="7:7" x14ac:dyDescent="0.2">
      <c r="G12453" s="7"/>
    </row>
    <row r="12454" spans="7:7" x14ac:dyDescent="0.2">
      <c r="G12454" s="7"/>
    </row>
    <row r="12455" spans="7:7" x14ac:dyDescent="0.2">
      <c r="G12455" s="7"/>
    </row>
    <row r="12456" spans="7:7" x14ac:dyDescent="0.2">
      <c r="G12456" s="7"/>
    </row>
    <row r="12457" spans="7:7" x14ac:dyDescent="0.2">
      <c r="G12457" s="7"/>
    </row>
    <row r="12458" spans="7:7" x14ac:dyDescent="0.2">
      <c r="G12458" s="7"/>
    </row>
    <row r="12459" spans="7:7" x14ac:dyDescent="0.2">
      <c r="G12459" s="7"/>
    </row>
    <row r="12460" spans="7:7" x14ac:dyDescent="0.2">
      <c r="G12460" s="7"/>
    </row>
    <row r="12461" spans="7:7" x14ac:dyDescent="0.2">
      <c r="G12461" s="7"/>
    </row>
    <row r="12462" spans="7:7" x14ac:dyDescent="0.2">
      <c r="G12462" s="7"/>
    </row>
    <row r="12463" spans="7:7" x14ac:dyDescent="0.2">
      <c r="G12463" s="7"/>
    </row>
    <row r="12464" spans="7:7" x14ac:dyDescent="0.2">
      <c r="G12464" s="7"/>
    </row>
    <row r="12465" spans="7:7" x14ac:dyDescent="0.2">
      <c r="G12465" s="7"/>
    </row>
    <row r="12466" spans="7:7" x14ac:dyDescent="0.2">
      <c r="G12466" s="7"/>
    </row>
    <row r="12467" spans="7:7" x14ac:dyDescent="0.2">
      <c r="G12467" s="7"/>
    </row>
    <row r="12468" spans="7:7" x14ac:dyDescent="0.2">
      <c r="G12468" s="7"/>
    </row>
    <row r="12469" spans="7:7" x14ac:dyDescent="0.2">
      <c r="G12469" s="7"/>
    </row>
    <row r="12470" spans="7:7" x14ac:dyDescent="0.2">
      <c r="G12470" s="7"/>
    </row>
    <row r="12471" spans="7:7" x14ac:dyDescent="0.2">
      <c r="G12471" s="7"/>
    </row>
    <row r="12472" spans="7:7" x14ac:dyDescent="0.2">
      <c r="G12472" s="7"/>
    </row>
    <row r="12473" spans="7:7" x14ac:dyDescent="0.2">
      <c r="G12473" s="7"/>
    </row>
    <row r="12474" spans="7:7" x14ac:dyDescent="0.2">
      <c r="G12474" s="7"/>
    </row>
    <row r="12475" spans="7:7" x14ac:dyDescent="0.2">
      <c r="G12475" s="7"/>
    </row>
    <row r="12476" spans="7:7" x14ac:dyDescent="0.2">
      <c r="G12476" s="7"/>
    </row>
    <row r="12477" spans="7:7" x14ac:dyDescent="0.2">
      <c r="G12477" s="7"/>
    </row>
    <row r="12478" spans="7:7" x14ac:dyDescent="0.2">
      <c r="G12478" s="7"/>
    </row>
    <row r="12479" spans="7:7" x14ac:dyDescent="0.2">
      <c r="G12479" s="7"/>
    </row>
    <row r="12480" spans="7:7" x14ac:dyDescent="0.2">
      <c r="G12480" s="7"/>
    </row>
    <row r="12481" spans="7:7" x14ac:dyDescent="0.2">
      <c r="G12481" s="7"/>
    </row>
    <row r="12482" spans="7:7" x14ac:dyDescent="0.2">
      <c r="G12482" s="7"/>
    </row>
    <row r="12483" spans="7:7" x14ac:dyDescent="0.2">
      <c r="G12483" s="7"/>
    </row>
    <row r="12484" spans="7:7" x14ac:dyDescent="0.2">
      <c r="G12484" s="7"/>
    </row>
    <row r="12485" spans="7:7" x14ac:dyDescent="0.2">
      <c r="G12485" s="7"/>
    </row>
    <row r="12486" spans="7:7" x14ac:dyDescent="0.2">
      <c r="G12486" s="7"/>
    </row>
    <row r="12487" spans="7:7" x14ac:dyDescent="0.2">
      <c r="G12487" s="7"/>
    </row>
    <row r="12488" spans="7:7" x14ac:dyDescent="0.2">
      <c r="G12488" s="7"/>
    </row>
    <row r="12489" spans="7:7" x14ac:dyDescent="0.2">
      <c r="G12489" s="7"/>
    </row>
    <row r="12490" spans="7:7" x14ac:dyDescent="0.2">
      <c r="G12490" s="7"/>
    </row>
    <row r="12491" spans="7:7" x14ac:dyDescent="0.2">
      <c r="G12491" s="7"/>
    </row>
    <row r="12492" spans="7:7" x14ac:dyDescent="0.2">
      <c r="G12492" s="7"/>
    </row>
    <row r="12493" spans="7:7" x14ac:dyDescent="0.2">
      <c r="G12493" s="7"/>
    </row>
    <row r="12494" spans="7:7" x14ac:dyDescent="0.2">
      <c r="G12494" s="7"/>
    </row>
    <row r="12495" spans="7:7" x14ac:dyDescent="0.2">
      <c r="G12495" s="7"/>
    </row>
    <row r="12496" spans="7:7" x14ac:dyDescent="0.2">
      <c r="G12496" s="7"/>
    </row>
    <row r="12497" spans="7:7" x14ac:dyDescent="0.2">
      <c r="G12497" s="7"/>
    </row>
    <row r="12498" spans="7:7" x14ac:dyDescent="0.2">
      <c r="G12498" s="7"/>
    </row>
    <row r="12499" spans="7:7" x14ac:dyDescent="0.2">
      <c r="G12499" s="7"/>
    </row>
    <row r="12500" spans="7:7" x14ac:dyDescent="0.2">
      <c r="G12500" s="7"/>
    </row>
    <row r="12501" spans="7:7" x14ac:dyDescent="0.2">
      <c r="G12501" s="7"/>
    </row>
    <row r="12502" spans="7:7" x14ac:dyDescent="0.2">
      <c r="G12502" s="7"/>
    </row>
    <row r="12503" spans="7:7" x14ac:dyDescent="0.2">
      <c r="G12503" s="7"/>
    </row>
    <row r="12504" spans="7:7" x14ac:dyDescent="0.2">
      <c r="G12504" s="7"/>
    </row>
    <row r="12505" spans="7:7" x14ac:dyDescent="0.2">
      <c r="G12505" s="7"/>
    </row>
    <row r="12506" spans="7:7" x14ac:dyDescent="0.2">
      <c r="G12506" s="7"/>
    </row>
    <row r="12507" spans="7:7" x14ac:dyDescent="0.2">
      <c r="G12507" s="7"/>
    </row>
    <row r="12508" spans="7:7" x14ac:dyDescent="0.2">
      <c r="G12508" s="7"/>
    </row>
    <row r="12509" spans="7:7" x14ac:dyDescent="0.2">
      <c r="G12509" s="7"/>
    </row>
    <row r="12510" spans="7:7" x14ac:dyDescent="0.2">
      <c r="G12510" s="7"/>
    </row>
    <row r="12511" spans="7:7" x14ac:dyDescent="0.2">
      <c r="G12511" s="7"/>
    </row>
    <row r="12512" spans="7:7" x14ac:dyDescent="0.2">
      <c r="G12512" s="7"/>
    </row>
    <row r="12513" spans="7:7" x14ac:dyDescent="0.2">
      <c r="G12513" s="7"/>
    </row>
    <row r="12514" spans="7:7" x14ac:dyDescent="0.2">
      <c r="G12514" s="7"/>
    </row>
    <row r="12515" spans="7:7" x14ac:dyDescent="0.2">
      <c r="G12515" s="7"/>
    </row>
    <row r="12516" spans="7:7" x14ac:dyDescent="0.2">
      <c r="G12516" s="7"/>
    </row>
    <row r="12517" spans="7:7" x14ac:dyDescent="0.2">
      <c r="G12517" s="7"/>
    </row>
    <row r="12518" spans="7:7" x14ac:dyDescent="0.2">
      <c r="G12518" s="7"/>
    </row>
    <row r="12519" spans="7:7" x14ac:dyDescent="0.2">
      <c r="G12519" s="7"/>
    </row>
    <row r="12520" spans="7:7" x14ac:dyDescent="0.2">
      <c r="G12520" s="7"/>
    </row>
    <row r="12521" spans="7:7" x14ac:dyDescent="0.2">
      <c r="G12521" s="7"/>
    </row>
    <row r="12522" spans="7:7" x14ac:dyDescent="0.2">
      <c r="G12522" s="7"/>
    </row>
    <row r="12523" spans="7:7" x14ac:dyDescent="0.2">
      <c r="G12523" s="7"/>
    </row>
    <row r="12524" spans="7:7" x14ac:dyDescent="0.2">
      <c r="G12524" s="7"/>
    </row>
    <row r="12525" spans="7:7" x14ac:dyDescent="0.2">
      <c r="G12525" s="7"/>
    </row>
    <row r="12526" spans="7:7" x14ac:dyDescent="0.2">
      <c r="G12526" s="7"/>
    </row>
    <row r="12527" spans="7:7" x14ac:dyDescent="0.2">
      <c r="G12527" s="7"/>
    </row>
    <row r="12528" spans="7:7" x14ac:dyDescent="0.2">
      <c r="G12528" s="7"/>
    </row>
    <row r="12529" spans="7:7" x14ac:dyDescent="0.2">
      <c r="G12529" s="7"/>
    </row>
    <row r="12530" spans="7:7" x14ac:dyDescent="0.2">
      <c r="G12530" s="7"/>
    </row>
    <row r="12531" spans="7:7" x14ac:dyDescent="0.2">
      <c r="G12531" s="7"/>
    </row>
    <row r="12532" spans="7:7" x14ac:dyDescent="0.2">
      <c r="G12532" s="7"/>
    </row>
    <row r="12533" spans="7:7" x14ac:dyDescent="0.2">
      <c r="G12533" s="7"/>
    </row>
    <row r="12534" spans="7:7" x14ac:dyDescent="0.2">
      <c r="G12534" s="7"/>
    </row>
    <row r="12535" spans="7:7" x14ac:dyDescent="0.2">
      <c r="G12535" s="7"/>
    </row>
    <row r="12536" spans="7:7" x14ac:dyDescent="0.2">
      <c r="G12536" s="7"/>
    </row>
    <row r="12537" spans="7:7" x14ac:dyDescent="0.2">
      <c r="G12537" s="7"/>
    </row>
    <row r="12538" spans="7:7" x14ac:dyDescent="0.2">
      <c r="G12538" s="7"/>
    </row>
    <row r="12539" spans="7:7" x14ac:dyDescent="0.2">
      <c r="G12539" s="7"/>
    </row>
    <row r="12540" spans="7:7" x14ac:dyDescent="0.2">
      <c r="G12540" s="7"/>
    </row>
    <row r="12541" spans="7:7" x14ac:dyDescent="0.2">
      <c r="G12541" s="7"/>
    </row>
    <row r="12542" spans="7:7" x14ac:dyDescent="0.2">
      <c r="G12542" s="7"/>
    </row>
    <row r="12543" spans="7:7" x14ac:dyDescent="0.2">
      <c r="G12543" s="7"/>
    </row>
    <row r="12544" spans="7:7" x14ac:dyDescent="0.2">
      <c r="G12544" s="7"/>
    </row>
    <row r="12545" spans="7:7" x14ac:dyDescent="0.2">
      <c r="G12545" s="7"/>
    </row>
    <row r="12546" spans="7:7" x14ac:dyDescent="0.2">
      <c r="G12546" s="7"/>
    </row>
    <row r="12547" spans="7:7" x14ac:dyDescent="0.2">
      <c r="G12547" s="7"/>
    </row>
    <row r="12548" spans="7:7" x14ac:dyDescent="0.2">
      <c r="G12548" s="7"/>
    </row>
    <row r="12549" spans="7:7" x14ac:dyDescent="0.2">
      <c r="G12549" s="7"/>
    </row>
    <row r="12550" spans="7:7" x14ac:dyDescent="0.2">
      <c r="G12550" s="7"/>
    </row>
    <row r="12551" spans="7:7" x14ac:dyDescent="0.2">
      <c r="G12551" s="7"/>
    </row>
    <row r="12552" spans="7:7" x14ac:dyDescent="0.2">
      <c r="G12552" s="7"/>
    </row>
    <row r="12553" spans="7:7" x14ac:dyDescent="0.2">
      <c r="G12553" s="7"/>
    </row>
    <row r="12554" spans="7:7" x14ac:dyDescent="0.2">
      <c r="G12554" s="7"/>
    </row>
    <row r="12555" spans="7:7" x14ac:dyDescent="0.2">
      <c r="G12555" s="7"/>
    </row>
    <row r="12556" spans="7:7" x14ac:dyDescent="0.2">
      <c r="G12556" s="7"/>
    </row>
    <row r="12557" spans="7:7" x14ac:dyDescent="0.2">
      <c r="G12557" s="7"/>
    </row>
    <row r="12558" spans="7:7" x14ac:dyDescent="0.2">
      <c r="G12558" s="7"/>
    </row>
    <row r="12559" spans="7:7" x14ac:dyDescent="0.2">
      <c r="G12559" s="7"/>
    </row>
    <row r="12560" spans="7:7" x14ac:dyDescent="0.2">
      <c r="G12560" s="7"/>
    </row>
    <row r="12561" spans="7:7" x14ac:dyDescent="0.2">
      <c r="G12561" s="7"/>
    </row>
    <row r="12562" spans="7:7" x14ac:dyDescent="0.2">
      <c r="G12562" s="7"/>
    </row>
    <row r="12563" spans="7:7" x14ac:dyDescent="0.2">
      <c r="G12563" s="7"/>
    </row>
    <row r="12564" spans="7:7" x14ac:dyDescent="0.2">
      <c r="G12564" s="7"/>
    </row>
    <row r="12565" spans="7:7" x14ac:dyDescent="0.2">
      <c r="G12565" s="7"/>
    </row>
    <row r="12566" spans="7:7" x14ac:dyDescent="0.2">
      <c r="G12566" s="7"/>
    </row>
    <row r="12567" spans="7:7" x14ac:dyDescent="0.2">
      <c r="G12567" s="7"/>
    </row>
    <row r="12568" spans="7:7" x14ac:dyDescent="0.2">
      <c r="G12568" s="7"/>
    </row>
    <row r="12569" spans="7:7" x14ac:dyDescent="0.2">
      <c r="G12569" s="7"/>
    </row>
    <row r="12570" spans="7:7" x14ac:dyDescent="0.2">
      <c r="G12570" s="7"/>
    </row>
    <row r="12571" spans="7:7" x14ac:dyDescent="0.2">
      <c r="G12571" s="7"/>
    </row>
    <row r="12572" spans="7:7" x14ac:dyDescent="0.2">
      <c r="G12572" s="7"/>
    </row>
    <row r="12573" spans="7:7" x14ac:dyDescent="0.2">
      <c r="G12573" s="7"/>
    </row>
    <row r="12574" spans="7:7" x14ac:dyDescent="0.2">
      <c r="G12574" s="7"/>
    </row>
    <row r="12575" spans="7:7" x14ac:dyDescent="0.2">
      <c r="G12575" s="7"/>
    </row>
    <row r="12576" spans="7:7" x14ac:dyDescent="0.2">
      <c r="G12576" s="7"/>
    </row>
    <row r="12577" spans="7:7" x14ac:dyDescent="0.2">
      <c r="G12577" s="7"/>
    </row>
    <row r="12578" spans="7:7" x14ac:dyDescent="0.2">
      <c r="G12578" s="7"/>
    </row>
    <row r="12579" spans="7:7" x14ac:dyDescent="0.2">
      <c r="G12579" s="7"/>
    </row>
    <row r="12580" spans="7:7" x14ac:dyDescent="0.2">
      <c r="G12580" s="7"/>
    </row>
    <row r="12581" spans="7:7" x14ac:dyDescent="0.2">
      <c r="G12581" s="7"/>
    </row>
    <row r="12582" spans="7:7" x14ac:dyDescent="0.2">
      <c r="G12582" s="7"/>
    </row>
    <row r="12583" spans="7:7" x14ac:dyDescent="0.2">
      <c r="G12583" s="7"/>
    </row>
    <row r="12584" spans="7:7" x14ac:dyDescent="0.2">
      <c r="G12584" s="7"/>
    </row>
    <row r="12585" spans="7:7" x14ac:dyDescent="0.2">
      <c r="G12585" s="7"/>
    </row>
    <row r="12586" spans="7:7" x14ac:dyDescent="0.2">
      <c r="G12586" s="7"/>
    </row>
    <row r="12587" spans="7:7" x14ac:dyDescent="0.2">
      <c r="G12587" s="7"/>
    </row>
    <row r="12588" spans="7:7" x14ac:dyDescent="0.2">
      <c r="G12588" s="7"/>
    </row>
    <row r="12589" spans="7:7" x14ac:dyDescent="0.2">
      <c r="G12589" s="7"/>
    </row>
    <row r="12590" spans="7:7" x14ac:dyDescent="0.2">
      <c r="G12590" s="7"/>
    </row>
    <row r="12591" spans="7:7" x14ac:dyDescent="0.2">
      <c r="G12591" s="7"/>
    </row>
    <row r="12592" spans="7:7" x14ac:dyDescent="0.2">
      <c r="G12592" s="7"/>
    </row>
    <row r="12593" spans="7:7" x14ac:dyDescent="0.2">
      <c r="G12593" s="7"/>
    </row>
    <row r="12594" spans="7:7" x14ac:dyDescent="0.2">
      <c r="G12594" s="7"/>
    </row>
    <row r="12595" spans="7:7" x14ac:dyDescent="0.2">
      <c r="G12595" s="7"/>
    </row>
    <row r="12596" spans="7:7" x14ac:dyDescent="0.2">
      <c r="G12596" s="7"/>
    </row>
    <row r="12597" spans="7:7" x14ac:dyDescent="0.2">
      <c r="G12597" s="7"/>
    </row>
    <row r="12598" spans="7:7" x14ac:dyDescent="0.2">
      <c r="G12598" s="7"/>
    </row>
    <row r="12599" spans="7:7" x14ac:dyDescent="0.2">
      <c r="G12599" s="7"/>
    </row>
    <row r="12600" spans="7:7" x14ac:dyDescent="0.2">
      <c r="G12600" s="7"/>
    </row>
    <row r="12601" spans="7:7" x14ac:dyDescent="0.2">
      <c r="G12601" s="7"/>
    </row>
    <row r="12602" spans="7:7" x14ac:dyDescent="0.2">
      <c r="G12602" s="7"/>
    </row>
    <row r="12603" spans="7:7" x14ac:dyDescent="0.2">
      <c r="G12603" s="7"/>
    </row>
    <row r="12604" spans="7:7" x14ac:dyDescent="0.2">
      <c r="G12604" s="7"/>
    </row>
    <row r="12605" spans="7:7" x14ac:dyDescent="0.2">
      <c r="G12605" s="7"/>
    </row>
    <row r="12606" spans="7:7" x14ac:dyDescent="0.2">
      <c r="G12606" s="7"/>
    </row>
    <row r="12607" spans="7:7" x14ac:dyDescent="0.2">
      <c r="G12607" s="7"/>
    </row>
    <row r="12608" spans="7:7" x14ac:dyDescent="0.2">
      <c r="G12608" s="7"/>
    </row>
    <row r="12609" spans="7:7" x14ac:dyDescent="0.2">
      <c r="G12609" s="7"/>
    </row>
    <row r="12610" spans="7:7" x14ac:dyDescent="0.2">
      <c r="G12610" s="7"/>
    </row>
    <row r="12611" spans="7:7" x14ac:dyDescent="0.2">
      <c r="G12611" s="7"/>
    </row>
    <row r="12612" spans="7:7" x14ac:dyDescent="0.2">
      <c r="G12612" s="7"/>
    </row>
    <row r="12613" spans="7:7" x14ac:dyDescent="0.2">
      <c r="G12613" s="7"/>
    </row>
    <row r="12614" spans="7:7" x14ac:dyDescent="0.2">
      <c r="G12614" s="7"/>
    </row>
    <row r="12615" spans="7:7" x14ac:dyDescent="0.2">
      <c r="G12615" s="7"/>
    </row>
    <row r="12616" spans="7:7" x14ac:dyDescent="0.2">
      <c r="G12616" s="7"/>
    </row>
    <row r="12617" spans="7:7" x14ac:dyDescent="0.2">
      <c r="G12617" s="7"/>
    </row>
    <row r="12618" spans="7:7" x14ac:dyDescent="0.2">
      <c r="G12618" s="7"/>
    </row>
    <row r="12619" spans="7:7" x14ac:dyDescent="0.2">
      <c r="G12619" s="7"/>
    </row>
    <row r="12620" spans="7:7" x14ac:dyDescent="0.2">
      <c r="G12620" s="7"/>
    </row>
    <row r="12621" spans="7:7" x14ac:dyDescent="0.2">
      <c r="G12621" s="7"/>
    </row>
    <row r="12622" spans="7:7" x14ac:dyDescent="0.2">
      <c r="G12622" s="7"/>
    </row>
    <row r="12623" spans="7:7" x14ac:dyDescent="0.2">
      <c r="G12623" s="7"/>
    </row>
    <row r="12624" spans="7:7" x14ac:dyDescent="0.2">
      <c r="G12624" s="7"/>
    </row>
    <row r="12625" spans="7:7" x14ac:dyDescent="0.2">
      <c r="G12625" s="7"/>
    </row>
    <row r="12626" spans="7:7" x14ac:dyDescent="0.2">
      <c r="G12626" s="7"/>
    </row>
    <row r="12627" spans="7:7" x14ac:dyDescent="0.2">
      <c r="G12627" s="7"/>
    </row>
    <row r="12628" spans="7:7" x14ac:dyDescent="0.2">
      <c r="G12628" s="7"/>
    </row>
    <row r="12629" spans="7:7" x14ac:dyDescent="0.2">
      <c r="G12629" s="7"/>
    </row>
    <row r="12630" spans="7:7" x14ac:dyDescent="0.2">
      <c r="G12630" s="7"/>
    </row>
    <row r="12631" spans="7:7" x14ac:dyDescent="0.2">
      <c r="G12631" s="7"/>
    </row>
    <row r="12632" spans="7:7" x14ac:dyDescent="0.2">
      <c r="G12632" s="7"/>
    </row>
    <row r="12633" spans="7:7" x14ac:dyDescent="0.2">
      <c r="G12633" s="7"/>
    </row>
    <row r="12634" spans="7:7" x14ac:dyDescent="0.2">
      <c r="G12634" s="7"/>
    </row>
    <row r="12635" spans="7:7" x14ac:dyDescent="0.2">
      <c r="G12635" s="7"/>
    </row>
    <row r="12636" spans="7:7" x14ac:dyDescent="0.2">
      <c r="G12636" s="7"/>
    </row>
    <row r="12637" spans="7:7" x14ac:dyDescent="0.2">
      <c r="G12637" s="7"/>
    </row>
    <row r="12638" spans="7:7" x14ac:dyDescent="0.2">
      <c r="G12638" s="7"/>
    </row>
    <row r="12639" spans="7:7" x14ac:dyDescent="0.2">
      <c r="G12639" s="7"/>
    </row>
    <row r="12640" spans="7:7" x14ac:dyDescent="0.2">
      <c r="G12640" s="7"/>
    </row>
    <row r="12641" spans="7:7" x14ac:dyDescent="0.2">
      <c r="G12641" s="7"/>
    </row>
    <row r="12642" spans="7:7" x14ac:dyDescent="0.2">
      <c r="G12642" s="7"/>
    </row>
    <row r="12643" spans="7:7" x14ac:dyDescent="0.2">
      <c r="G12643" s="7"/>
    </row>
    <row r="12644" spans="7:7" x14ac:dyDescent="0.2">
      <c r="G12644" s="7"/>
    </row>
    <row r="12645" spans="7:7" x14ac:dyDescent="0.2">
      <c r="G12645" s="7"/>
    </row>
    <row r="12646" spans="7:7" x14ac:dyDescent="0.2">
      <c r="G12646" s="7"/>
    </row>
    <row r="12647" spans="7:7" x14ac:dyDescent="0.2">
      <c r="G12647" s="7"/>
    </row>
    <row r="12648" spans="7:7" x14ac:dyDescent="0.2">
      <c r="G12648" s="7"/>
    </row>
    <row r="12649" spans="7:7" x14ac:dyDescent="0.2">
      <c r="G12649" s="7"/>
    </row>
    <row r="12650" spans="7:7" x14ac:dyDescent="0.2">
      <c r="G12650" s="7"/>
    </row>
    <row r="12651" spans="7:7" x14ac:dyDescent="0.2">
      <c r="G12651" s="7"/>
    </row>
    <row r="12652" spans="7:7" x14ac:dyDescent="0.2">
      <c r="G12652" s="7"/>
    </row>
    <row r="12653" spans="7:7" x14ac:dyDescent="0.2">
      <c r="G12653" s="7"/>
    </row>
    <row r="12654" spans="7:7" x14ac:dyDescent="0.2">
      <c r="G12654" s="7"/>
    </row>
    <row r="12655" spans="7:7" x14ac:dyDescent="0.2">
      <c r="G12655" s="7"/>
    </row>
    <row r="12656" spans="7:7" x14ac:dyDescent="0.2">
      <c r="G12656" s="7"/>
    </row>
    <row r="12657" spans="7:7" x14ac:dyDescent="0.2">
      <c r="G12657" s="7"/>
    </row>
    <row r="12658" spans="7:7" x14ac:dyDescent="0.2">
      <c r="G12658" s="7"/>
    </row>
    <row r="12659" spans="7:7" x14ac:dyDescent="0.2">
      <c r="G12659" s="7"/>
    </row>
    <row r="12660" spans="7:7" x14ac:dyDescent="0.2">
      <c r="G12660" s="7"/>
    </row>
    <row r="12661" spans="7:7" x14ac:dyDescent="0.2">
      <c r="G12661" s="7"/>
    </row>
    <row r="12662" spans="7:7" x14ac:dyDescent="0.2">
      <c r="G12662" s="7"/>
    </row>
    <row r="12663" spans="7:7" x14ac:dyDescent="0.2">
      <c r="G12663" s="7"/>
    </row>
    <row r="12664" spans="7:7" x14ac:dyDescent="0.2">
      <c r="G12664" s="7"/>
    </row>
    <row r="12665" spans="7:7" x14ac:dyDescent="0.2">
      <c r="G12665" s="7"/>
    </row>
    <row r="12666" spans="7:7" x14ac:dyDescent="0.2">
      <c r="G12666" s="7"/>
    </row>
    <row r="12667" spans="7:7" x14ac:dyDescent="0.2">
      <c r="G12667" s="7"/>
    </row>
    <row r="12668" spans="7:7" x14ac:dyDescent="0.2">
      <c r="G12668" s="7"/>
    </row>
    <row r="12669" spans="7:7" x14ac:dyDescent="0.2">
      <c r="G12669" s="7"/>
    </row>
    <row r="12670" spans="7:7" x14ac:dyDescent="0.2">
      <c r="G12670" s="7"/>
    </row>
    <row r="12671" spans="7:7" x14ac:dyDescent="0.2">
      <c r="G12671" s="7"/>
    </row>
    <row r="12672" spans="7:7" x14ac:dyDescent="0.2">
      <c r="G12672" s="7"/>
    </row>
    <row r="12673" spans="7:7" x14ac:dyDescent="0.2">
      <c r="G12673" s="7"/>
    </row>
    <row r="12674" spans="7:7" x14ac:dyDescent="0.2">
      <c r="G12674" s="7"/>
    </row>
    <row r="12675" spans="7:7" x14ac:dyDescent="0.2">
      <c r="G12675" s="7"/>
    </row>
    <row r="12676" spans="7:7" x14ac:dyDescent="0.2">
      <c r="G12676" s="7"/>
    </row>
    <row r="12677" spans="7:7" x14ac:dyDescent="0.2">
      <c r="G12677" s="7"/>
    </row>
    <row r="12678" spans="7:7" x14ac:dyDescent="0.2">
      <c r="G12678" s="7"/>
    </row>
    <row r="12679" spans="7:7" x14ac:dyDescent="0.2">
      <c r="G12679" s="7"/>
    </row>
    <row r="12680" spans="7:7" x14ac:dyDescent="0.2">
      <c r="G12680" s="7"/>
    </row>
    <row r="12681" spans="7:7" x14ac:dyDescent="0.2">
      <c r="G12681" s="7"/>
    </row>
    <row r="12682" spans="7:7" x14ac:dyDescent="0.2">
      <c r="G12682" s="7"/>
    </row>
    <row r="12683" spans="7:7" x14ac:dyDescent="0.2">
      <c r="G12683" s="7"/>
    </row>
    <row r="12684" spans="7:7" x14ac:dyDescent="0.2">
      <c r="G12684" s="7"/>
    </row>
    <row r="12685" spans="7:7" x14ac:dyDescent="0.2">
      <c r="G12685" s="7"/>
    </row>
    <row r="12686" spans="7:7" x14ac:dyDescent="0.2">
      <c r="G12686" s="7"/>
    </row>
    <row r="12687" spans="7:7" x14ac:dyDescent="0.2">
      <c r="G12687" s="7"/>
    </row>
    <row r="12688" spans="7:7" x14ac:dyDescent="0.2">
      <c r="G12688" s="7"/>
    </row>
    <row r="12689" spans="7:7" x14ac:dyDescent="0.2">
      <c r="G12689" s="7"/>
    </row>
    <row r="12690" spans="7:7" x14ac:dyDescent="0.2">
      <c r="G12690" s="7"/>
    </row>
    <row r="12691" spans="7:7" x14ac:dyDescent="0.2">
      <c r="G12691" s="7"/>
    </row>
    <row r="12692" spans="7:7" x14ac:dyDescent="0.2">
      <c r="G12692" s="7"/>
    </row>
    <row r="12693" spans="7:7" x14ac:dyDescent="0.2">
      <c r="G12693" s="7"/>
    </row>
    <row r="12694" spans="7:7" x14ac:dyDescent="0.2">
      <c r="G12694" s="7"/>
    </row>
    <row r="12695" spans="7:7" x14ac:dyDescent="0.2">
      <c r="G12695" s="7"/>
    </row>
    <row r="12696" spans="7:7" x14ac:dyDescent="0.2">
      <c r="G12696" s="7"/>
    </row>
    <row r="12697" spans="7:7" x14ac:dyDescent="0.2">
      <c r="G12697" s="7"/>
    </row>
    <row r="12698" spans="7:7" x14ac:dyDescent="0.2">
      <c r="G12698" s="7"/>
    </row>
    <row r="12699" spans="7:7" x14ac:dyDescent="0.2">
      <c r="G12699" s="7"/>
    </row>
    <row r="12700" spans="7:7" x14ac:dyDescent="0.2">
      <c r="G12700" s="7"/>
    </row>
    <row r="12701" spans="7:7" x14ac:dyDescent="0.2">
      <c r="G12701" s="7"/>
    </row>
    <row r="12702" spans="7:7" x14ac:dyDescent="0.2">
      <c r="G12702" s="7"/>
    </row>
    <row r="12703" spans="7:7" x14ac:dyDescent="0.2">
      <c r="G12703" s="7"/>
    </row>
    <row r="12704" spans="7:7" x14ac:dyDescent="0.2">
      <c r="G12704" s="7"/>
    </row>
    <row r="12705" spans="7:7" x14ac:dyDescent="0.2">
      <c r="G12705" s="7"/>
    </row>
    <row r="12706" spans="7:7" x14ac:dyDescent="0.2">
      <c r="G12706" s="7"/>
    </row>
    <row r="12707" spans="7:7" x14ac:dyDescent="0.2">
      <c r="G12707" s="7"/>
    </row>
    <row r="12708" spans="7:7" x14ac:dyDescent="0.2">
      <c r="G12708" s="7"/>
    </row>
    <row r="12709" spans="7:7" x14ac:dyDescent="0.2">
      <c r="G12709" s="7"/>
    </row>
    <row r="12710" spans="7:7" x14ac:dyDescent="0.2">
      <c r="G12710" s="7"/>
    </row>
    <row r="12711" spans="7:7" x14ac:dyDescent="0.2">
      <c r="G12711" s="7"/>
    </row>
    <row r="12712" spans="7:7" x14ac:dyDescent="0.2">
      <c r="G12712" s="7"/>
    </row>
    <row r="12713" spans="7:7" x14ac:dyDescent="0.2">
      <c r="G12713" s="7"/>
    </row>
    <row r="12714" spans="7:7" x14ac:dyDescent="0.2">
      <c r="G12714" s="7"/>
    </row>
    <row r="12715" spans="7:7" x14ac:dyDescent="0.2">
      <c r="G12715" s="7"/>
    </row>
    <row r="12716" spans="7:7" x14ac:dyDescent="0.2">
      <c r="G12716" s="7"/>
    </row>
    <row r="12717" spans="7:7" x14ac:dyDescent="0.2">
      <c r="G12717" s="7"/>
    </row>
    <row r="12718" spans="7:7" x14ac:dyDescent="0.2">
      <c r="G12718" s="7"/>
    </row>
    <row r="12719" spans="7:7" x14ac:dyDescent="0.2">
      <c r="G12719" s="7"/>
    </row>
    <row r="12720" spans="7:7" x14ac:dyDescent="0.2">
      <c r="G12720" s="7"/>
    </row>
    <row r="12721" spans="7:7" x14ac:dyDescent="0.2">
      <c r="G12721" s="7"/>
    </row>
    <row r="12722" spans="7:7" x14ac:dyDescent="0.2">
      <c r="G12722" s="7"/>
    </row>
    <row r="12723" spans="7:7" x14ac:dyDescent="0.2">
      <c r="G12723" s="7"/>
    </row>
    <row r="12724" spans="7:7" x14ac:dyDescent="0.2">
      <c r="G12724" s="7"/>
    </row>
    <row r="12725" spans="7:7" x14ac:dyDescent="0.2">
      <c r="G12725" s="7"/>
    </row>
    <row r="12726" spans="7:7" x14ac:dyDescent="0.2">
      <c r="G12726" s="7"/>
    </row>
    <row r="12727" spans="7:7" x14ac:dyDescent="0.2">
      <c r="G12727" s="7"/>
    </row>
    <row r="12728" spans="7:7" x14ac:dyDescent="0.2">
      <c r="G12728" s="7"/>
    </row>
    <row r="12729" spans="7:7" x14ac:dyDescent="0.2">
      <c r="G12729" s="7"/>
    </row>
    <row r="12730" spans="7:7" x14ac:dyDescent="0.2">
      <c r="G12730" s="7"/>
    </row>
    <row r="12731" spans="7:7" x14ac:dyDescent="0.2">
      <c r="G12731" s="7"/>
    </row>
    <row r="12732" spans="7:7" x14ac:dyDescent="0.2">
      <c r="G12732" s="7"/>
    </row>
    <row r="12733" spans="7:7" x14ac:dyDescent="0.2">
      <c r="G12733" s="7"/>
    </row>
    <row r="12734" spans="7:7" x14ac:dyDescent="0.2">
      <c r="G12734" s="7"/>
    </row>
    <row r="12735" spans="7:7" x14ac:dyDescent="0.2">
      <c r="G12735" s="7"/>
    </row>
    <row r="12736" spans="7:7" x14ac:dyDescent="0.2">
      <c r="G12736" s="7"/>
    </row>
    <row r="12737" spans="7:7" x14ac:dyDescent="0.2">
      <c r="G12737" s="7"/>
    </row>
    <row r="12738" spans="7:7" x14ac:dyDescent="0.2">
      <c r="G12738" s="7"/>
    </row>
    <row r="12739" spans="7:7" x14ac:dyDescent="0.2">
      <c r="G12739" s="7"/>
    </row>
    <row r="12740" spans="7:7" x14ac:dyDescent="0.2">
      <c r="G12740" s="7"/>
    </row>
    <row r="12741" spans="7:7" x14ac:dyDescent="0.2">
      <c r="G12741" s="7"/>
    </row>
    <row r="12742" spans="7:7" x14ac:dyDescent="0.2">
      <c r="G12742" s="7"/>
    </row>
    <row r="12743" spans="7:7" x14ac:dyDescent="0.2">
      <c r="G12743" s="7"/>
    </row>
    <row r="12744" spans="7:7" x14ac:dyDescent="0.2">
      <c r="G12744" s="7"/>
    </row>
    <row r="12745" spans="7:7" x14ac:dyDescent="0.2">
      <c r="G12745" s="7"/>
    </row>
    <row r="12746" spans="7:7" x14ac:dyDescent="0.2">
      <c r="G12746" s="7"/>
    </row>
    <row r="12747" spans="7:7" x14ac:dyDescent="0.2">
      <c r="G12747" s="7"/>
    </row>
    <row r="12748" spans="7:7" x14ac:dyDescent="0.2">
      <c r="G12748" s="7"/>
    </row>
    <row r="12749" spans="7:7" x14ac:dyDescent="0.2">
      <c r="G12749" s="7"/>
    </row>
    <row r="12750" spans="7:7" x14ac:dyDescent="0.2">
      <c r="G12750" s="7"/>
    </row>
    <row r="12751" spans="7:7" x14ac:dyDescent="0.2">
      <c r="G12751" s="7"/>
    </row>
    <row r="12752" spans="7:7" x14ac:dyDescent="0.2">
      <c r="G12752" s="7"/>
    </row>
    <row r="12753" spans="7:7" x14ac:dyDescent="0.2">
      <c r="G12753" s="7"/>
    </row>
    <row r="12754" spans="7:7" x14ac:dyDescent="0.2">
      <c r="G12754" s="7"/>
    </row>
    <row r="12755" spans="7:7" x14ac:dyDescent="0.2">
      <c r="G12755" s="7"/>
    </row>
    <row r="12756" spans="7:7" x14ac:dyDescent="0.2">
      <c r="G12756" s="7"/>
    </row>
    <row r="12757" spans="7:7" x14ac:dyDescent="0.2">
      <c r="G12757" s="7"/>
    </row>
    <row r="12758" spans="7:7" x14ac:dyDescent="0.2">
      <c r="G12758" s="7"/>
    </row>
    <row r="12759" spans="7:7" x14ac:dyDescent="0.2">
      <c r="G12759" s="7"/>
    </row>
    <row r="12760" spans="7:7" x14ac:dyDescent="0.2">
      <c r="G12760" s="7"/>
    </row>
    <row r="12761" spans="7:7" x14ac:dyDescent="0.2">
      <c r="G12761" s="7"/>
    </row>
    <row r="12762" spans="7:7" x14ac:dyDescent="0.2">
      <c r="G12762" s="7"/>
    </row>
    <row r="12763" spans="7:7" x14ac:dyDescent="0.2">
      <c r="G12763" s="7"/>
    </row>
    <row r="12764" spans="7:7" x14ac:dyDescent="0.2">
      <c r="G12764" s="7"/>
    </row>
    <row r="12765" spans="7:7" x14ac:dyDescent="0.2">
      <c r="G12765" s="7"/>
    </row>
    <row r="12766" spans="7:7" x14ac:dyDescent="0.2">
      <c r="G12766" s="7"/>
    </row>
    <row r="12767" spans="7:7" x14ac:dyDescent="0.2">
      <c r="G12767" s="7"/>
    </row>
    <row r="12768" spans="7:7" x14ac:dyDescent="0.2">
      <c r="G12768" s="7"/>
    </row>
    <row r="12769" spans="7:7" x14ac:dyDescent="0.2">
      <c r="G12769" s="7"/>
    </row>
    <row r="12770" spans="7:7" x14ac:dyDescent="0.2">
      <c r="G12770" s="7"/>
    </row>
    <row r="12771" spans="7:7" x14ac:dyDescent="0.2">
      <c r="G12771" s="7"/>
    </row>
    <row r="12772" spans="7:7" x14ac:dyDescent="0.2">
      <c r="G12772" s="7"/>
    </row>
    <row r="12773" spans="7:7" x14ac:dyDescent="0.2">
      <c r="G12773" s="7"/>
    </row>
    <row r="12774" spans="7:7" x14ac:dyDescent="0.2">
      <c r="G12774" s="7"/>
    </row>
    <row r="12775" spans="7:7" x14ac:dyDescent="0.2">
      <c r="G12775" s="7"/>
    </row>
    <row r="12776" spans="7:7" x14ac:dyDescent="0.2">
      <c r="G12776" s="7"/>
    </row>
    <row r="12777" spans="7:7" x14ac:dyDescent="0.2">
      <c r="G12777" s="7"/>
    </row>
    <row r="12778" spans="7:7" x14ac:dyDescent="0.2">
      <c r="G12778" s="7"/>
    </row>
    <row r="12779" spans="7:7" x14ac:dyDescent="0.2">
      <c r="G12779" s="7"/>
    </row>
    <row r="12780" spans="7:7" x14ac:dyDescent="0.2">
      <c r="G12780" s="7"/>
    </row>
    <row r="12781" spans="7:7" x14ac:dyDescent="0.2">
      <c r="G12781" s="7"/>
    </row>
    <row r="12782" spans="7:7" x14ac:dyDescent="0.2">
      <c r="G12782" s="7"/>
    </row>
    <row r="12783" spans="7:7" x14ac:dyDescent="0.2">
      <c r="G12783" s="7"/>
    </row>
    <row r="12784" spans="7:7" x14ac:dyDescent="0.2">
      <c r="G12784" s="7"/>
    </row>
    <row r="12785" spans="7:7" x14ac:dyDescent="0.2">
      <c r="G12785" s="7"/>
    </row>
    <row r="12786" spans="7:7" x14ac:dyDescent="0.2">
      <c r="G12786" s="7"/>
    </row>
    <row r="12787" spans="7:7" x14ac:dyDescent="0.2">
      <c r="G12787" s="7"/>
    </row>
    <row r="12788" spans="7:7" x14ac:dyDescent="0.2">
      <c r="G12788" s="7"/>
    </row>
    <row r="12789" spans="7:7" x14ac:dyDescent="0.2">
      <c r="G12789" s="7"/>
    </row>
    <row r="12790" spans="7:7" x14ac:dyDescent="0.2">
      <c r="G12790" s="7"/>
    </row>
    <row r="12791" spans="7:7" x14ac:dyDescent="0.2">
      <c r="G12791" s="7"/>
    </row>
    <row r="12792" spans="7:7" x14ac:dyDescent="0.2">
      <c r="G12792" s="7"/>
    </row>
    <row r="12793" spans="7:7" x14ac:dyDescent="0.2">
      <c r="G12793" s="7"/>
    </row>
    <row r="12794" spans="7:7" x14ac:dyDescent="0.2">
      <c r="G12794" s="7"/>
    </row>
    <row r="12795" spans="7:7" x14ac:dyDescent="0.2">
      <c r="G12795" s="7"/>
    </row>
    <row r="12796" spans="7:7" x14ac:dyDescent="0.2">
      <c r="G12796" s="7"/>
    </row>
    <row r="12797" spans="7:7" x14ac:dyDescent="0.2">
      <c r="G12797" s="7"/>
    </row>
    <row r="12798" spans="7:7" x14ac:dyDescent="0.2">
      <c r="G12798" s="7"/>
    </row>
    <row r="12799" spans="7:7" x14ac:dyDescent="0.2">
      <c r="G12799" s="7"/>
    </row>
    <row r="12800" spans="7:7" x14ac:dyDescent="0.2">
      <c r="G12800" s="7"/>
    </row>
    <row r="12801" spans="7:7" x14ac:dyDescent="0.2">
      <c r="G12801" s="7"/>
    </row>
    <row r="12802" spans="7:7" x14ac:dyDescent="0.2">
      <c r="G12802" s="7"/>
    </row>
    <row r="12803" spans="7:7" x14ac:dyDescent="0.2">
      <c r="G12803" s="7"/>
    </row>
    <row r="12804" spans="7:7" x14ac:dyDescent="0.2">
      <c r="G12804" s="7"/>
    </row>
    <row r="12805" spans="7:7" x14ac:dyDescent="0.2">
      <c r="G12805" s="7"/>
    </row>
    <row r="12806" spans="7:7" x14ac:dyDescent="0.2">
      <c r="G12806" s="7"/>
    </row>
    <row r="12807" spans="7:7" x14ac:dyDescent="0.2">
      <c r="G12807" s="7"/>
    </row>
    <row r="12808" spans="7:7" x14ac:dyDescent="0.2">
      <c r="G12808" s="7"/>
    </row>
    <row r="12809" spans="7:7" x14ac:dyDescent="0.2">
      <c r="G12809" s="7"/>
    </row>
    <row r="12810" spans="7:7" x14ac:dyDescent="0.2">
      <c r="G12810" s="7"/>
    </row>
    <row r="12811" spans="7:7" x14ac:dyDescent="0.2">
      <c r="G12811" s="7"/>
    </row>
    <row r="12812" spans="7:7" x14ac:dyDescent="0.2">
      <c r="G12812" s="7"/>
    </row>
    <row r="12813" spans="7:7" x14ac:dyDescent="0.2">
      <c r="G12813" s="7"/>
    </row>
    <row r="12814" spans="7:7" x14ac:dyDescent="0.2">
      <c r="G12814" s="7"/>
    </row>
    <row r="12815" spans="7:7" x14ac:dyDescent="0.2">
      <c r="G12815" s="7"/>
    </row>
    <row r="12816" spans="7:7" x14ac:dyDescent="0.2">
      <c r="G12816" s="7"/>
    </row>
    <row r="12817" spans="7:7" x14ac:dyDescent="0.2">
      <c r="G12817" s="7"/>
    </row>
    <row r="12818" spans="7:7" x14ac:dyDescent="0.2">
      <c r="G12818" s="7"/>
    </row>
    <row r="12819" spans="7:7" x14ac:dyDescent="0.2">
      <c r="G12819" s="7"/>
    </row>
    <row r="12820" spans="7:7" x14ac:dyDescent="0.2">
      <c r="G12820" s="7"/>
    </row>
    <row r="12821" spans="7:7" x14ac:dyDescent="0.2">
      <c r="G12821" s="7"/>
    </row>
    <row r="12822" spans="7:7" x14ac:dyDescent="0.2">
      <c r="G12822" s="7"/>
    </row>
    <row r="12823" spans="7:7" x14ac:dyDescent="0.2">
      <c r="G12823" s="7"/>
    </row>
    <row r="12824" spans="7:7" x14ac:dyDescent="0.2">
      <c r="G12824" s="7"/>
    </row>
    <row r="12825" spans="7:7" x14ac:dyDescent="0.2">
      <c r="G12825" s="7"/>
    </row>
    <row r="12826" spans="7:7" x14ac:dyDescent="0.2">
      <c r="G12826" s="7"/>
    </row>
    <row r="12827" spans="7:7" x14ac:dyDescent="0.2">
      <c r="G12827" s="7"/>
    </row>
    <row r="12828" spans="7:7" x14ac:dyDescent="0.2">
      <c r="G12828" s="7"/>
    </row>
    <row r="12829" spans="7:7" x14ac:dyDescent="0.2">
      <c r="G12829" s="7"/>
    </row>
    <row r="12830" spans="7:7" x14ac:dyDescent="0.2">
      <c r="G12830" s="7"/>
    </row>
    <row r="12831" spans="7:7" x14ac:dyDescent="0.2">
      <c r="G12831" s="7"/>
    </row>
    <row r="12832" spans="7:7" x14ac:dyDescent="0.2">
      <c r="G12832" s="7"/>
    </row>
    <row r="12833" spans="7:7" x14ac:dyDescent="0.2">
      <c r="G12833" s="7"/>
    </row>
    <row r="12834" spans="7:7" x14ac:dyDescent="0.2">
      <c r="G12834" s="7"/>
    </row>
    <row r="12835" spans="7:7" x14ac:dyDescent="0.2">
      <c r="G12835" s="7"/>
    </row>
    <row r="12836" spans="7:7" x14ac:dyDescent="0.2">
      <c r="G12836" s="7"/>
    </row>
    <row r="12837" spans="7:7" x14ac:dyDescent="0.2">
      <c r="G12837" s="7"/>
    </row>
    <row r="12838" spans="7:7" x14ac:dyDescent="0.2">
      <c r="G12838" s="7"/>
    </row>
    <row r="12839" spans="7:7" x14ac:dyDescent="0.2">
      <c r="G12839" s="7"/>
    </row>
    <row r="12840" spans="7:7" x14ac:dyDescent="0.2">
      <c r="G12840" s="7"/>
    </row>
    <row r="12841" spans="7:7" x14ac:dyDescent="0.2">
      <c r="G12841" s="7"/>
    </row>
    <row r="12842" spans="7:7" x14ac:dyDescent="0.2">
      <c r="G12842" s="7"/>
    </row>
    <row r="12843" spans="7:7" x14ac:dyDescent="0.2">
      <c r="G12843" s="7"/>
    </row>
    <row r="12844" spans="7:7" x14ac:dyDescent="0.2">
      <c r="G12844" s="7"/>
    </row>
    <row r="12845" spans="7:7" x14ac:dyDescent="0.2">
      <c r="G12845" s="7"/>
    </row>
    <row r="12846" spans="7:7" x14ac:dyDescent="0.2">
      <c r="G12846" s="7"/>
    </row>
    <row r="12847" spans="7:7" x14ac:dyDescent="0.2">
      <c r="G12847" s="7"/>
    </row>
    <row r="12848" spans="7:7" x14ac:dyDescent="0.2">
      <c r="G12848" s="7"/>
    </row>
    <row r="12849" spans="7:7" x14ac:dyDescent="0.2">
      <c r="G12849" s="7"/>
    </row>
    <row r="12850" spans="7:7" x14ac:dyDescent="0.2">
      <c r="G12850" s="7"/>
    </row>
    <row r="12851" spans="7:7" x14ac:dyDescent="0.2">
      <c r="G12851" s="7"/>
    </row>
    <row r="12852" spans="7:7" x14ac:dyDescent="0.2">
      <c r="G12852" s="7"/>
    </row>
    <row r="12853" spans="7:7" x14ac:dyDescent="0.2">
      <c r="G12853" s="7"/>
    </row>
    <row r="12854" spans="7:7" x14ac:dyDescent="0.2">
      <c r="G12854" s="7"/>
    </row>
    <row r="12855" spans="7:7" x14ac:dyDescent="0.2">
      <c r="G12855" s="7"/>
    </row>
    <row r="12856" spans="7:7" x14ac:dyDescent="0.2">
      <c r="G12856" s="7"/>
    </row>
    <row r="12857" spans="7:7" x14ac:dyDescent="0.2">
      <c r="G12857" s="7"/>
    </row>
    <row r="12858" spans="7:7" x14ac:dyDescent="0.2">
      <c r="G12858" s="7"/>
    </row>
    <row r="12859" spans="7:7" x14ac:dyDescent="0.2">
      <c r="G12859" s="7"/>
    </row>
    <row r="12860" spans="7:7" x14ac:dyDescent="0.2">
      <c r="G12860" s="7"/>
    </row>
    <row r="12861" spans="7:7" x14ac:dyDescent="0.2">
      <c r="G12861" s="7"/>
    </row>
    <row r="12862" spans="7:7" x14ac:dyDescent="0.2">
      <c r="G12862" s="7"/>
    </row>
    <row r="12863" spans="7:7" x14ac:dyDescent="0.2">
      <c r="G12863" s="7"/>
    </row>
    <row r="12864" spans="7:7" x14ac:dyDescent="0.2">
      <c r="G12864" s="7"/>
    </row>
    <row r="12865" spans="7:7" x14ac:dyDescent="0.2">
      <c r="G12865" s="7"/>
    </row>
    <row r="12866" spans="7:7" x14ac:dyDescent="0.2">
      <c r="G12866" s="7"/>
    </row>
    <row r="12867" spans="7:7" x14ac:dyDescent="0.2">
      <c r="G12867" s="7"/>
    </row>
    <row r="12868" spans="7:7" x14ac:dyDescent="0.2">
      <c r="G12868" s="7"/>
    </row>
    <row r="12869" spans="7:7" x14ac:dyDescent="0.2">
      <c r="G12869" s="7"/>
    </row>
    <row r="12870" spans="7:7" x14ac:dyDescent="0.2">
      <c r="G12870" s="7"/>
    </row>
    <row r="12871" spans="7:7" x14ac:dyDescent="0.2">
      <c r="G12871" s="7"/>
    </row>
    <row r="12872" spans="7:7" x14ac:dyDescent="0.2">
      <c r="G12872" s="7"/>
    </row>
    <row r="12873" spans="7:7" x14ac:dyDescent="0.2">
      <c r="G12873" s="7"/>
    </row>
    <row r="12874" spans="7:7" x14ac:dyDescent="0.2">
      <c r="G12874" s="7"/>
    </row>
    <row r="12875" spans="7:7" x14ac:dyDescent="0.2">
      <c r="G12875" s="7"/>
    </row>
    <row r="12876" spans="7:7" x14ac:dyDescent="0.2">
      <c r="G12876" s="7"/>
    </row>
    <row r="12877" spans="7:7" x14ac:dyDescent="0.2">
      <c r="G12877" s="7"/>
    </row>
    <row r="12878" spans="7:7" x14ac:dyDescent="0.2">
      <c r="G12878" s="7"/>
    </row>
    <row r="12879" spans="7:7" x14ac:dyDescent="0.2">
      <c r="G12879" s="7"/>
    </row>
    <row r="12880" spans="7:7" x14ac:dyDescent="0.2">
      <c r="G12880" s="7"/>
    </row>
    <row r="12881" spans="7:7" x14ac:dyDescent="0.2">
      <c r="G12881" s="7"/>
    </row>
    <row r="12882" spans="7:7" x14ac:dyDescent="0.2">
      <c r="G12882" s="7"/>
    </row>
    <row r="12883" spans="7:7" x14ac:dyDescent="0.2">
      <c r="G12883" s="7"/>
    </row>
    <row r="12884" spans="7:7" x14ac:dyDescent="0.2">
      <c r="G12884" s="7"/>
    </row>
    <row r="12885" spans="7:7" x14ac:dyDescent="0.2">
      <c r="G12885" s="7"/>
    </row>
    <row r="12886" spans="7:7" x14ac:dyDescent="0.2">
      <c r="G12886" s="7"/>
    </row>
    <row r="12887" spans="7:7" x14ac:dyDescent="0.2">
      <c r="G12887" s="7"/>
    </row>
    <row r="12888" spans="7:7" x14ac:dyDescent="0.2">
      <c r="G12888" s="7"/>
    </row>
    <row r="12889" spans="7:7" x14ac:dyDescent="0.2">
      <c r="G12889" s="7"/>
    </row>
    <row r="12890" spans="7:7" x14ac:dyDescent="0.2">
      <c r="G12890" s="7"/>
    </row>
    <row r="12891" spans="7:7" x14ac:dyDescent="0.2">
      <c r="G12891" s="7"/>
    </row>
    <row r="12892" spans="7:7" x14ac:dyDescent="0.2">
      <c r="G12892" s="7"/>
    </row>
    <row r="12893" spans="7:7" x14ac:dyDescent="0.2">
      <c r="G12893" s="7"/>
    </row>
    <row r="12894" spans="7:7" x14ac:dyDescent="0.2">
      <c r="G12894" s="7"/>
    </row>
    <row r="12895" spans="7:7" x14ac:dyDescent="0.2">
      <c r="G12895" s="7"/>
    </row>
    <row r="12896" spans="7:7" x14ac:dyDescent="0.2">
      <c r="G12896" s="7"/>
    </row>
    <row r="12897" spans="7:7" x14ac:dyDescent="0.2">
      <c r="G12897" s="7"/>
    </row>
    <row r="12898" spans="7:7" x14ac:dyDescent="0.2">
      <c r="G12898" s="7"/>
    </row>
    <row r="12899" spans="7:7" x14ac:dyDescent="0.2">
      <c r="G12899" s="7"/>
    </row>
    <row r="12900" spans="7:7" x14ac:dyDescent="0.2">
      <c r="G12900" s="7"/>
    </row>
    <row r="12901" spans="7:7" x14ac:dyDescent="0.2">
      <c r="G12901" s="7"/>
    </row>
    <row r="12902" spans="7:7" x14ac:dyDescent="0.2">
      <c r="G12902" s="7"/>
    </row>
    <row r="12903" spans="7:7" x14ac:dyDescent="0.2">
      <c r="G12903" s="7"/>
    </row>
    <row r="12904" spans="7:7" x14ac:dyDescent="0.2">
      <c r="G12904" s="7"/>
    </row>
    <row r="12905" spans="7:7" x14ac:dyDescent="0.2">
      <c r="G12905" s="7"/>
    </row>
    <row r="12906" spans="7:7" x14ac:dyDescent="0.2">
      <c r="G12906" s="7"/>
    </row>
    <row r="12907" spans="7:7" x14ac:dyDescent="0.2">
      <c r="G12907" s="7"/>
    </row>
    <row r="12908" spans="7:7" x14ac:dyDescent="0.2">
      <c r="G12908" s="7"/>
    </row>
    <row r="12909" spans="7:7" x14ac:dyDescent="0.2">
      <c r="G12909" s="7"/>
    </row>
    <row r="12910" spans="7:7" x14ac:dyDescent="0.2">
      <c r="G12910" s="7"/>
    </row>
    <row r="12911" spans="7:7" x14ac:dyDescent="0.2">
      <c r="G12911" s="7"/>
    </row>
    <row r="12912" spans="7:7" x14ac:dyDescent="0.2">
      <c r="G12912" s="7"/>
    </row>
    <row r="12913" spans="7:7" x14ac:dyDescent="0.2">
      <c r="G12913" s="7"/>
    </row>
    <row r="12914" spans="7:7" x14ac:dyDescent="0.2">
      <c r="G12914" s="7"/>
    </row>
    <row r="12915" spans="7:7" x14ac:dyDescent="0.2">
      <c r="G12915" s="7"/>
    </row>
    <row r="12916" spans="7:7" x14ac:dyDescent="0.2">
      <c r="G12916" s="7"/>
    </row>
    <row r="12917" spans="7:7" x14ac:dyDescent="0.2">
      <c r="G12917" s="7"/>
    </row>
    <row r="12918" spans="7:7" x14ac:dyDescent="0.2">
      <c r="G12918" s="7"/>
    </row>
    <row r="12919" spans="7:7" x14ac:dyDescent="0.2">
      <c r="G12919" s="7"/>
    </row>
    <row r="12920" spans="7:7" x14ac:dyDescent="0.2">
      <c r="G12920" s="7"/>
    </row>
    <row r="12921" spans="7:7" x14ac:dyDescent="0.2">
      <c r="G12921" s="7"/>
    </row>
    <row r="12922" spans="7:7" x14ac:dyDescent="0.2">
      <c r="G12922" s="7"/>
    </row>
    <row r="12923" spans="7:7" x14ac:dyDescent="0.2">
      <c r="G12923" s="7"/>
    </row>
    <row r="12924" spans="7:7" x14ac:dyDescent="0.2">
      <c r="G12924" s="7"/>
    </row>
    <row r="12925" spans="7:7" x14ac:dyDescent="0.2">
      <c r="G12925" s="7"/>
    </row>
    <row r="12926" spans="7:7" x14ac:dyDescent="0.2">
      <c r="G12926" s="7"/>
    </row>
    <row r="12927" spans="7:7" x14ac:dyDescent="0.2">
      <c r="G12927" s="7"/>
    </row>
    <row r="12928" spans="7:7" x14ac:dyDescent="0.2">
      <c r="G12928" s="7"/>
    </row>
    <row r="12929" spans="7:7" x14ac:dyDescent="0.2">
      <c r="G12929" s="7"/>
    </row>
    <row r="12930" spans="7:7" x14ac:dyDescent="0.2">
      <c r="G12930" s="7"/>
    </row>
    <row r="12931" spans="7:7" x14ac:dyDescent="0.2">
      <c r="G12931" s="7"/>
    </row>
    <row r="12932" spans="7:7" x14ac:dyDescent="0.2">
      <c r="G12932" s="7"/>
    </row>
    <row r="12933" spans="7:7" x14ac:dyDescent="0.2">
      <c r="G12933" s="7"/>
    </row>
    <row r="12934" spans="7:7" x14ac:dyDescent="0.2">
      <c r="G12934" s="7"/>
    </row>
    <row r="12935" spans="7:7" x14ac:dyDescent="0.2">
      <c r="G12935" s="7"/>
    </row>
    <row r="12936" spans="7:7" x14ac:dyDescent="0.2">
      <c r="G12936" s="7"/>
    </row>
    <row r="12937" spans="7:7" x14ac:dyDescent="0.2">
      <c r="G12937" s="7"/>
    </row>
    <row r="12938" spans="7:7" x14ac:dyDescent="0.2">
      <c r="G12938" s="7"/>
    </row>
    <row r="12939" spans="7:7" x14ac:dyDescent="0.2">
      <c r="G12939" s="7"/>
    </row>
    <row r="12940" spans="7:7" x14ac:dyDescent="0.2">
      <c r="G12940" s="7"/>
    </row>
    <row r="12941" spans="7:7" x14ac:dyDescent="0.2">
      <c r="G12941" s="7"/>
    </row>
    <row r="12942" spans="7:7" x14ac:dyDescent="0.2">
      <c r="G12942" s="7"/>
    </row>
    <row r="12943" spans="7:7" x14ac:dyDescent="0.2">
      <c r="G12943" s="7"/>
    </row>
    <row r="12944" spans="7:7" x14ac:dyDescent="0.2">
      <c r="G12944" s="7"/>
    </row>
    <row r="12945" spans="7:7" x14ac:dyDescent="0.2">
      <c r="G12945" s="7"/>
    </row>
    <row r="12946" spans="7:7" x14ac:dyDescent="0.2">
      <c r="G12946" s="7"/>
    </row>
    <row r="12947" spans="7:7" x14ac:dyDescent="0.2">
      <c r="G12947" s="7"/>
    </row>
    <row r="12948" spans="7:7" x14ac:dyDescent="0.2">
      <c r="G12948" s="7"/>
    </row>
    <row r="12949" spans="7:7" x14ac:dyDescent="0.2">
      <c r="G12949" s="7"/>
    </row>
    <row r="12950" spans="7:7" x14ac:dyDescent="0.2">
      <c r="G12950" s="7"/>
    </row>
    <row r="12951" spans="7:7" x14ac:dyDescent="0.2">
      <c r="G12951" s="7"/>
    </row>
    <row r="12952" spans="7:7" x14ac:dyDescent="0.2">
      <c r="G12952" s="7"/>
    </row>
    <row r="12953" spans="7:7" x14ac:dyDescent="0.2">
      <c r="G12953" s="7"/>
    </row>
    <row r="12954" spans="7:7" x14ac:dyDescent="0.2">
      <c r="G12954" s="7"/>
    </row>
    <row r="12955" spans="7:7" x14ac:dyDescent="0.2">
      <c r="G12955" s="7"/>
    </row>
    <row r="12956" spans="7:7" x14ac:dyDescent="0.2">
      <c r="G12956" s="7"/>
    </row>
    <row r="12957" spans="7:7" x14ac:dyDescent="0.2">
      <c r="G12957" s="7"/>
    </row>
    <row r="12958" spans="7:7" x14ac:dyDescent="0.2">
      <c r="G12958" s="7"/>
    </row>
    <row r="12959" spans="7:7" x14ac:dyDescent="0.2">
      <c r="G12959" s="7"/>
    </row>
    <row r="12960" spans="7:7" x14ac:dyDescent="0.2">
      <c r="G12960" s="7"/>
    </row>
    <row r="12961" spans="7:7" x14ac:dyDescent="0.2">
      <c r="G12961" s="7"/>
    </row>
    <row r="12962" spans="7:7" x14ac:dyDescent="0.2">
      <c r="G12962" s="7"/>
    </row>
    <row r="12963" spans="7:7" x14ac:dyDescent="0.2">
      <c r="G12963" s="7"/>
    </row>
    <row r="12964" spans="7:7" x14ac:dyDescent="0.2">
      <c r="G12964" s="7"/>
    </row>
    <row r="12965" spans="7:7" x14ac:dyDescent="0.2">
      <c r="G12965" s="7"/>
    </row>
    <row r="12966" spans="7:7" x14ac:dyDescent="0.2">
      <c r="G12966" s="7"/>
    </row>
    <row r="12967" spans="7:7" x14ac:dyDescent="0.2">
      <c r="G12967" s="7"/>
    </row>
    <row r="12968" spans="7:7" x14ac:dyDescent="0.2">
      <c r="G12968" s="7"/>
    </row>
    <row r="12969" spans="7:7" x14ac:dyDescent="0.2">
      <c r="G12969" s="7"/>
    </row>
    <row r="12970" spans="7:7" x14ac:dyDescent="0.2">
      <c r="G12970" s="7"/>
    </row>
    <row r="12971" spans="7:7" x14ac:dyDescent="0.2">
      <c r="G12971" s="7"/>
    </row>
    <row r="12972" spans="7:7" x14ac:dyDescent="0.2">
      <c r="G12972" s="7"/>
    </row>
    <row r="12973" spans="7:7" x14ac:dyDescent="0.2">
      <c r="G12973" s="7"/>
    </row>
    <row r="12974" spans="7:7" x14ac:dyDescent="0.2">
      <c r="G12974" s="7"/>
    </row>
    <row r="12975" spans="7:7" x14ac:dyDescent="0.2">
      <c r="G12975" s="7"/>
    </row>
    <row r="12976" spans="7:7" x14ac:dyDescent="0.2">
      <c r="G12976" s="7"/>
    </row>
    <row r="12977" spans="7:7" x14ac:dyDescent="0.2">
      <c r="G12977" s="7"/>
    </row>
    <row r="12978" spans="7:7" x14ac:dyDescent="0.2">
      <c r="G12978" s="7"/>
    </row>
    <row r="12979" spans="7:7" x14ac:dyDescent="0.2">
      <c r="G12979" s="7"/>
    </row>
    <row r="12980" spans="7:7" x14ac:dyDescent="0.2">
      <c r="G12980" s="7"/>
    </row>
    <row r="12981" spans="7:7" x14ac:dyDescent="0.2">
      <c r="G12981" s="7"/>
    </row>
    <row r="12982" spans="7:7" x14ac:dyDescent="0.2">
      <c r="G12982" s="7"/>
    </row>
    <row r="12983" spans="7:7" x14ac:dyDescent="0.2">
      <c r="G12983" s="7"/>
    </row>
    <row r="12984" spans="7:7" x14ac:dyDescent="0.2">
      <c r="G12984" s="7"/>
    </row>
    <row r="12985" spans="7:7" x14ac:dyDescent="0.2">
      <c r="G12985" s="7"/>
    </row>
    <row r="12986" spans="7:7" x14ac:dyDescent="0.2">
      <c r="G12986" s="7"/>
    </row>
    <row r="12987" spans="7:7" x14ac:dyDescent="0.2">
      <c r="G12987" s="7"/>
    </row>
    <row r="12988" spans="7:7" x14ac:dyDescent="0.2">
      <c r="G12988" s="7"/>
    </row>
    <row r="12989" spans="7:7" x14ac:dyDescent="0.2">
      <c r="G12989" s="7"/>
    </row>
    <row r="12990" spans="7:7" x14ac:dyDescent="0.2">
      <c r="G12990" s="7"/>
    </row>
    <row r="12991" spans="7:7" x14ac:dyDescent="0.2">
      <c r="G12991" s="7"/>
    </row>
    <row r="12992" spans="7:7" x14ac:dyDescent="0.2">
      <c r="G12992" s="7"/>
    </row>
    <row r="12993" spans="7:7" x14ac:dyDescent="0.2">
      <c r="G12993" s="7"/>
    </row>
    <row r="12994" spans="7:7" x14ac:dyDescent="0.2">
      <c r="G12994" s="7"/>
    </row>
    <row r="12995" spans="7:7" x14ac:dyDescent="0.2">
      <c r="G12995" s="7"/>
    </row>
    <row r="12996" spans="7:7" x14ac:dyDescent="0.2">
      <c r="G12996" s="7"/>
    </row>
    <row r="12997" spans="7:7" x14ac:dyDescent="0.2">
      <c r="G12997" s="7"/>
    </row>
    <row r="12998" spans="7:7" x14ac:dyDescent="0.2">
      <c r="G12998" s="7"/>
    </row>
    <row r="12999" spans="7:7" x14ac:dyDescent="0.2">
      <c r="G12999" s="7"/>
    </row>
    <row r="13000" spans="7:7" x14ac:dyDescent="0.2">
      <c r="G13000" s="7"/>
    </row>
    <row r="13001" spans="7:7" x14ac:dyDescent="0.2">
      <c r="G13001" s="7"/>
    </row>
    <row r="13002" spans="7:7" x14ac:dyDescent="0.2">
      <c r="G13002" s="7"/>
    </row>
    <row r="13003" spans="7:7" x14ac:dyDescent="0.2">
      <c r="G13003" s="7"/>
    </row>
    <row r="13004" spans="7:7" x14ac:dyDescent="0.2">
      <c r="G13004" s="7"/>
    </row>
    <row r="13005" spans="7:7" x14ac:dyDescent="0.2">
      <c r="G13005" s="7"/>
    </row>
    <row r="13006" spans="7:7" x14ac:dyDescent="0.2">
      <c r="G13006" s="7"/>
    </row>
    <row r="13007" spans="7:7" x14ac:dyDescent="0.2">
      <c r="G13007" s="7"/>
    </row>
    <row r="13008" spans="7:7" x14ac:dyDescent="0.2">
      <c r="G13008" s="7"/>
    </row>
    <row r="13009" spans="7:7" x14ac:dyDescent="0.2">
      <c r="G13009" s="7"/>
    </row>
    <row r="13010" spans="7:7" x14ac:dyDescent="0.2">
      <c r="G13010" s="7"/>
    </row>
    <row r="13011" spans="7:7" x14ac:dyDescent="0.2">
      <c r="G13011" s="7"/>
    </row>
    <row r="13012" spans="7:7" x14ac:dyDescent="0.2">
      <c r="G13012" s="7"/>
    </row>
    <row r="13013" spans="7:7" x14ac:dyDescent="0.2">
      <c r="G13013" s="7"/>
    </row>
    <row r="13014" spans="7:7" x14ac:dyDescent="0.2">
      <c r="G13014" s="7"/>
    </row>
    <row r="13015" spans="7:7" x14ac:dyDescent="0.2">
      <c r="G13015" s="7"/>
    </row>
    <row r="13016" spans="7:7" x14ac:dyDescent="0.2">
      <c r="G13016" s="7"/>
    </row>
    <row r="13017" spans="7:7" x14ac:dyDescent="0.2">
      <c r="G13017" s="7"/>
    </row>
    <row r="13018" spans="7:7" x14ac:dyDescent="0.2">
      <c r="G13018" s="7"/>
    </row>
    <row r="13019" spans="7:7" x14ac:dyDescent="0.2">
      <c r="G13019" s="7"/>
    </row>
    <row r="13020" spans="7:7" x14ac:dyDescent="0.2">
      <c r="G13020" s="7"/>
    </row>
    <row r="13021" spans="7:7" x14ac:dyDescent="0.2">
      <c r="G13021" s="7"/>
    </row>
    <row r="13022" spans="7:7" x14ac:dyDescent="0.2">
      <c r="G13022" s="7"/>
    </row>
    <row r="13023" spans="7:7" x14ac:dyDescent="0.2">
      <c r="G13023" s="7"/>
    </row>
    <row r="13024" spans="7:7" x14ac:dyDescent="0.2">
      <c r="G13024" s="7"/>
    </row>
    <row r="13025" spans="7:7" x14ac:dyDescent="0.2">
      <c r="G13025" s="7"/>
    </row>
    <row r="13026" spans="7:7" x14ac:dyDescent="0.2">
      <c r="G13026" s="7"/>
    </row>
    <row r="13027" spans="7:7" x14ac:dyDescent="0.2">
      <c r="G13027" s="7"/>
    </row>
    <row r="13028" spans="7:7" x14ac:dyDescent="0.2">
      <c r="G13028" s="7"/>
    </row>
    <row r="13029" spans="7:7" x14ac:dyDescent="0.2">
      <c r="G13029" s="7"/>
    </row>
    <row r="13030" spans="7:7" x14ac:dyDescent="0.2">
      <c r="G13030" s="7"/>
    </row>
    <row r="13031" spans="7:7" x14ac:dyDescent="0.2">
      <c r="G13031" s="7"/>
    </row>
    <row r="13032" spans="7:7" x14ac:dyDescent="0.2">
      <c r="G13032" s="7"/>
    </row>
    <row r="13033" spans="7:7" x14ac:dyDescent="0.2">
      <c r="G13033" s="7"/>
    </row>
    <row r="13034" spans="7:7" x14ac:dyDescent="0.2">
      <c r="G13034" s="7"/>
    </row>
    <row r="13035" spans="7:7" x14ac:dyDescent="0.2">
      <c r="G13035" s="7"/>
    </row>
    <row r="13036" spans="7:7" x14ac:dyDescent="0.2">
      <c r="G13036" s="7"/>
    </row>
    <row r="13037" spans="7:7" x14ac:dyDescent="0.2">
      <c r="G13037" s="7"/>
    </row>
    <row r="13038" spans="7:7" x14ac:dyDescent="0.2">
      <c r="G13038" s="7"/>
    </row>
    <row r="13039" spans="7:7" x14ac:dyDescent="0.2">
      <c r="G13039" s="7"/>
    </row>
    <row r="13040" spans="7:7" x14ac:dyDescent="0.2">
      <c r="G13040" s="7"/>
    </row>
    <row r="13041" spans="7:7" x14ac:dyDescent="0.2">
      <c r="G13041" s="7"/>
    </row>
    <row r="13042" spans="7:7" x14ac:dyDescent="0.2">
      <c r="G13042" s="7"/>
    </row>
    <row r="13043" spans="7:7" x14ac:dyDescent="0.2">
      <c r="G13043" s="7"/>
    </row>
    <row r="13044" spans="7:7" x14ac:dyDescent="0.2">
      <c r="G13044" s="7"/>
    </row>
    <row r="13045" spans="7:7" x14ac:dyDescent="0.2">
      <c r="G13045" s="7"/>
    </row>
    <row r="13046" spans="7:7" x14ac:dyDescent="0.2">
      <c r="G13046" s="7"/>
    </row>
    <row r="13047" spans="7:7" x14ac:dyDescent="0.2">
      <c r="G13047" s="7"/>
    </row>
    <row r="13048" spans="7:7" x14ac:dyDescent="0.2">
      <c r="G13048" s="7"/>
    </row>
    <row r="13049" spans="7:7" x14ac:dyDescent="0.2">
      <c r="G13049" s="7"/>
    </row>
    <row r="13050" spans="7:7" x14ac:dyDescent="0.2">
      <c r="G13050" s="7"/>
    </row>
    <row r="13051" spans="7:7" x14ac:dyDescent="0.2">
      <c r="G13051" s="7"/>
    </row>
    <row r="13052" spans="7:7" x14ac:dyDescent="0.2">
      <c r="G13052" s="7"/>
    </row>
    <row r="13053" spans="7:7" x14ac:dyDescent="0.2">
      <c r="G13053" s="7"/>
    </row>
    <row r="13054" spans="7:7" x14ac:dyDescent="0.2">
      <c r="G13054" s="7"/>
    </row>
    <row r="13055" spans="7:7" x14ac:dyDescent="0.2">
      <c r="G13055" s="7"/>
    </row>
    <row r="13056" spans="7:7" x14ac:dyDescent="0.2">
      <c r="G13056" s="7"/>
    </row>
    <row r="13057" spans="7:7" x14ac:dyDescent="0.2">
      <c r="G13057" s="7"/>
    </row>
    <row r="13058" spans="7:7" x14ac:dyDescent="0.2">
      <c r="G13058" s="7"/>
    </row>
    <row r="13059" spans="7:7" x14ac:dyDescent="0.2">
      <c r="G13059" s="7"/>
    </row>
    <row r="13060" spans="7:7" x14ac:dyDescent="0.2">
      <c r="G13060" s="7"/>
    </row>
    <row r="13061" spans="7:7" x14ac:dyDescent="0.2">
      <c r="G13061" s="7"/>
    </row>
    <row r="13062" spans="7:7" x14ac:dyDescent="0.2">
      <c r="G13062" s="7"/>
    </row>
    <row r="13063" spans="7:7" x14ac:dyDescent="0.2">
      <c r="G13063" s="7"/>
    </row>
    <row r="13064" spans="7:7" x14ac:dyDescent="0.2">
      <c r="G13064" s="7"/>
    </row>
    <row r="13065" spans="7:7" x14ac:dyDescent="0.2">
      <c r="G13065" s="7"/>
    </row>
    <row r="13066" spans="7:7" x14ac:dyDescent="0.2">
      <c r="G13066" s="7"/>
    </row>
    <row r="13067" spans="7:7" x14ac:dyDescent="0.2">
      <c r="G13067" s="7"/>
    </row>
    <row r="13068" spans="7:7" x14ac:dyDescent="0.2">
      <c r="G13068" s="7"/>
    </row>
    <row r="13069" spans="7:7" x14ac:dyDescent="0.2">
      <c r="G13069" s="7"/>
    </row>
    <row r="13070" spans="7:7" x14ac:dyDescent="0.2">
      <c r="G13070" s="7"/>
    </row>
    <row r="13071" spans="7:7" x14ac:dyDescent="0.2">
      <c r="G13071" s="7"/>
    </row>
    <row r="13072" spans="7:7" x14ac:dyDescent="0.2">
      <c r="G13072" s="7"/>
    </row>
    <row r="13073" spans="7:7" x14ac:dyDescent="0.2">
      <c r="G13073" s="7"/>
    </row>
    <row r="13074" spans="7:7" x14ac:dyDescent="0.2">
      <c r="G13074" s="7"/>
    </row>
    <row r="13075" spans="7:7" x14ac:dyDescent="0.2">
      <c r="G13075" s="7"/>
    </row>
    <row r="13076" spans="7:7" x14ac:dyDescent="0.2">
      <c r="G13076" s="7"/>
    </row>
    <row r="13077" spans="7:7" x14ac:dyDescent="0.2">
      <c r="G13077" s="7"/>
    </row>
    <row r="13078" spans="7:7" x14ac:dyDescent="0.2">
      <c r="G13078" s="7"/>
    </row>
    <row r="13079" spans="7:7" x14ac:dyDescent="0.2">
      <c r="G13079" s="7"/>
    </row>
    <row r="13080" spans="7:7" x14ac:dyDescent="0.2">
      <c r="G13080" s="7"/>
    </row>
    <row r="13081" spans="7:7" x14ac:dyDescent="0.2">
      <c r="G13081" s="7"/>
    </row>
    <row r="13082" spans="7:7" x14ac:dyDescent="0.2">
      <c r="G13082" s="7"/>
    </row>
    <row r="13083" spans="7:7" x14ac:dyDescent="0.2">
      <c r="G13083" s="7"/>
    </row>
    <row r="13084" spans="7:7" x14ac:dyDescent="0.2">
      <c r="G13084" s="7"/>
    </row>
    <row r="13085" spans="7:7" x14ac:dyDescent="0.2">
      <c r="G13085" s="7"/>
    </row>
    <row r="13086" spans="7:7" x14ac:dyDescent="0.2">
      <c r="G13086" s="7"/>
    </row>
    <row r="13087" spans="7:7" x14ac:dyDescent="0.2">
      <c r="G13087" s="7"/>
    </row>
    <row r="13088" spans="7:7" x14ac:dyDescent="0.2">
      <c r="G13088" s="7"/>
    </row>
    <row r="13089" spans="7:7" x14ac:dyDescent="0.2">
      <c r="G13089" s="7"/>
    </row>
    <row r="13090" spans="7:7" x14ac:dyDescent="0.2">
      <c r="G13090" s="7"/>
    </row>
    <row r="13091" spans="7:7" x14ac:dyDescent="0.2">
      <c r="G13091" s="7"/>
    </row>
    <row r="13092" spans="7:7" x14ac:dyDescent="0.2">
      <c r="G13092" s="7"/>
    </row>
    <row r="13093" spans="7:7" x14ac:dyDescent="0.2">
      <c r="G13093" s="7"/>
    </row>
    <row r="13094" spans="7:7" x14ac:dyDescent="0.2">
      <c r="G13094" s="7"/>
    </row>
    <row r="13095" spans="7:7" x14ac:dyDescent="0.2">
      <c r="G13095" s="7"/>
    </row>
    <row r="13096" spans="7:7" x14ac:dyDescent="0.2">
      <c r="G13096" s="7"/>
    </row>
    <row r="13097" spans="7:7" x14ac:dyDescent="0.2">
      <c r="G13097" s="7"/>
    </row>
    <row r="13098" spans="7:7" x14ac:dyDescent="0.2">
      <c r="G13098" s="7"/>
    </row>
    <row r="13099" spans="7:7" x14ac:dyDescent="0.2">
      <c r="G13099" s="7"/>
    </row>
    <row r="13100" spans="7:7" x14ac:dyDescent="0.2">
      <c r="G13100" s="7"/>
    </row>
    <row r="13101" spans="7:7" x14ac:dyDescent="0.2">
      <c r="G13101" s="7"/>
    </row>
    <row r="13102" spans="7:7" x14ac:dyDescent="0.2">
      <c r="G13102" s="7"/>
    </row>
    <row r="13103" spans="7:7" x14ac:dyDescent="0.2">
      <c r="G13103" s="7"/>
    </row>
    <row r="13104" spans="7:7" x14ac:dyDescent="0.2">
      <c r="G13104" s="7"/>
    </row>
    <row r="13105" spans="7:7" x14ac:dyDescent="0.2">
      <c r="G13105" s="7"/>
    </row>
    <row r="13106" spans="7:7" x14ac:dyDescent="0.2">
      <c r="G13106" s="7"/>
    </row>
    <row r="13107" spans="7:7" x14ac:dyDescent="0.2">
      <c r="G13107" s="7"/>
    </row>
    <row r="13108" spans="7:7" x14ac:dyDescent="0.2">
      <c r="G13108" s="7"/>
    </row>
    <row r="13109" spans="7:7" x14ac:dyDescent="0.2">
      <c r="G13109" s="7"/>
    </row>
    <row r="13110" spans="7:7" x14ac:dyDescent="0.2">
      <c r="G13110" s="7"/>
    </row>
    <row r="13111" spans="7:7" x14ac:dyDescent="0.2">
      <c r="G13111" s="7"/>
    </row>
    <row r="13112" spans="7:7" x14ac:dyDescent="0.2">
      <c r="G13112" s="7"/>
    </row>
    <row r="13113" spans="7:7" x14ac:dyDescent="0.2">
      <c r="G13113" s="7"/>
    </row>
    <row r="13114" spans="7:7" x14ac:dyDescent="0.2">
      <c r="G13114" s="7"/>
    </row>
    <row r="13115" spans="7:7" x14ac:dyDescent="0.2">
      <c r="G13115" s="7"/>
    </row>
    <row r="13116" spans="7:7" x14ac:dyDescent="0.2">
      <c r="G13116" s="7"/>
    </row>
    <row r="13117" spans="7:7" x14ac:dyDescent="0.2">
      <c r="G13117" s="7"/>
    </row>
    <row r="13118" spans="7:7" x14ac:dyDescent="0.2">
      <c r="G13118" s="7"/>
    </row>
    <row r="13119" spans="7:7" x14ac:dyDescent="0.2">
      <c r="G13119" s="7"/>
    </row>
    <row r="13120" spans="7:7" x14ac:dyDescent="0.2">
      <c r="G13120" s="7"/>
    </row>
    <row r="13121" spans="7:7" x14ac:dyDescent="0.2">
      <c r="G13121" s="7"/>
    </row>
    <row r="13122" spans="7:7" x14ac:dyDescent="0.2">
      <c r="G13122" s="7"/>
    </row>
    <row r="13123" spans="7:7" x14ac:dyDescent="0.2">
      <c r="G13123" s="7"/>
    </row>
    <row r="13124" spans="7:7" x14ac:dyDescent="0.2">
      <c r="G13124" s="7"/>
    </row>
    <row r="13125" spans="7:7" x14ac:dyDescent="0.2">
      <c r="G13125" s="7"/>
    </row>
    <row r="13126" spans="7:7" x14ac:dyDescent="0.2">
      <c r="G13126" s="7"/>
    </row>
    <row r="13127" spans="7:7" x14ac:dyDescent="0.2">
      <c r="G13127" s="7"/>
    </row>
    <row r="13128" spans="7:7" x14ac:dyDescent="0.2">
      <c r="G13128" s="7"/>
    </row>
    <row r="13129" spans="7:7" x14ac:dyDescent="0.2">
      <c r="G13129" s="7"/>
    </row>
    <row r="13130" spans="7:7" x14ac:dyDescent="0.2">
      <c r="G13130" s="7"/>
    </row>
    <row r="13131" spans="7:7" x14ac:dyDescent="0.2">
      <c r="G13131" s="7"/>
    </row>
    <row r="13132" spans="7:7" x14ac:dyDescent="0.2">
      <c r="G13132" s="7"/>
    </row>
    <row r="13133" spans="7:7" x14ac:dyDescent="0.2">
      <c r="G13133" s="7"/>
    </row>
    <row r="13134" spans="7:7" x14ac:dyDescent="0.2">
      <c r="G13134" s="7"/>
    </row>
    <row r="13135" spans="7:7" x14ac:dyDescent="0.2">
      <c r="G13135" s="7"/>
    </row>
    <row r="13136" spans="7:7" x14ac:dyDescent="0.2">
      <c r="G13136" s="7"/>
    </row>
    <row r="13137" spans="7:7" x14ac:dyDescent="0.2">
      <c r="G13137" s="7"/>
    </row>
    <row r="13138" spans="7:7" x14ac:dyDescent="0.2">
      <c r="G13138" s="7"/>
    </row>
    <row r="13139" spans="7:7" x14ac:dyDescent="0.2">
      <c r="G13139" s="7"/>
    </row>
    <row r="13140" spans="7:7" x14ac:dyDescent="0.2">
      <c r="G13140" s="7"/>
    </row>
    <row r="13141" spans="7:7" x14ac:dyDescent="0.2">
      <c r="G13141" s="7"/>
    </row>
    <row r="13142" spans="7:7" x14ac:dyDescent="0.2">
      <c r="G13142" s="7"/>
    </row>
    <row r="13143" spans="7:7" x14ac:dyDescent="0.2">
      <c r="G13143" s="7"/>
    </row>
    <row r="13144" spans="7:7" x14ac:dyDescent="0.2">
      <c r="G13144" s="7"/>
    </row>
    <row r="13145" spans="7:7" x14ac:dyDescent="0.2">
      <c r="G13145" s="7"/>
    </row>
    <row r="13146" spans="7:7" x14ac:dyDescent="0.2">
      <c r="G13146" s="7"/>
    </row>
    <row r="13147" spans="7:7" x14ac:dyDescent="0.2">
      <c r="G13147" s="7"/>
    </row>
    <row r="13148" spans="7:7" x14ac:dyDescent="0.2">
      <c r="G13148" s="7"/>
    </row>
    <row r="13149" spans="7:7" x14ac:dyDescent="0.2">
      <c r="G13149" s="7"/>
    </row>
    <row r="13150" spans="7:7" x14ac:dyDescent="0.2">
      <c r="G13150" s="7"/>
    </row>
    <row r="13151" spans="7:7" x14ac:dyDescent="0.2">
      <c r="G13151" s="7"/>
    </row>
    <row r="13152" spans="7:7" x14ac:dyDescent="0.2">
      <c r="G13152" s="7"/>
    </row>
    <row r="13153" spans="7:7" x14ac:dyDescent="0.2">
      <c r="G13153" s="7"/>
    </row>
    <row r="13154" spans="7:7" x14ac:dyDescent="0.2">
      <c r="G13154" s="7"/>
    </row>
    <row r="13155" spans="7:7" x14ac:dyDescent="0.2">
      <c r="G13155" s="7"/>
    </row>
    <row r="13156" spans="7:7" x14ac:dyDescent="0.2">
      <c r="G13156" s="7"/>
    </row>
    <row r="13157" spans="7:7" x14ac:dyDescent="0.2">
      <c r="G13157" s="7"/>
    </row>
    <row r="13158" spans="7:7" x14ac:dyDescent="0.2">
      <c r="G13158" s="7"/>
    </row>
    <row r="13159" spans="7:7" x14ac:dyDescent="0.2">
      <c r="G13159" s="7"/>
    </row>
    <row r="13160" spans="7:7" x14ac:dyDescent="0.2">
      <c r="G13160" s="7"/>
    </row>
    <row r="13161" spans="7:7" x14ac:dyDescent="0.2">
      <c r="G13161" s="7"/>
    </row>
    <row r="13162" spans="7:7" x14ac:dyDescent="0.2">
      <c r="G13162" s="7"/>
    </row>
    <row r="13163" spans="7:7" x14ac:dyDescent="0.2">
      <c r="G13163" s="7"/>
    </row>
    <row r="13164" spans="7:7" x14ac:dyDescent="0.2">
      <c r="G13164" s="7"/>
    </row>
    <row r="13165" spans="7:7" x14ac:dyDescent="0.2">
      <c r="G13165" s="7"/>
    </row>
    <row r="13166" spans="7:7" x14ac:dyDescent="0.2">
      <c r="G13166" s="7"/>
    </row>
    <row r="13167" spans="7:7" x14ac:dyDescent="0.2">
      <c r="G13167" s="7"/>
    </row>
    <row r="13168" spans="7:7" x14ac:dyDescent="0.2">
      <c r="G13168" s="7"/>
    </row>
    <row r="13169" spans="7:7" x14ac:dyDescent="0.2">
      <c r="G13169" s="7"/>
    </row>
    <row r="13170" spans="7:7" x14ac:dyDescent="0.2">
      <c r="G13170" s="7"/>
    </row>
    <row r="13171" spans="7:7" x14ac:dyDescent="0.2">
      <c r="G13171" s="7"/>
    </row>
    <row r="13172" spans="7:7" x14ac:dyDescent="0.2">
      <c r="G13172" s="7"/>
    </row>
    <row r="13173" spans="7:7" x14ac:dyDescent="0.2">
      <c r="G13173" s="7"/>
    </row>
    <row r="13174" spans="7:7" x14ac:dyDescent="0.2">
      <c r="G13174" s="7"/>
    </row>
    <row r="13175" spans="7:7" x14ac:dyDescent="0.2">
      <c r="G13175" s="7"/>
    </row>
    <row r="13176" spans="7:7" x14ac:dyDescent="0.2">
      <c r="G13176" s="7"/>
    </row>
    <row r="13177" spans="7:7" x14ac:dyDescent="0.2">
      <c r="G13177" s="7"/>
    </row>
    <row r="13178" spans="7:7" x14ac:dyDescent="0.2">
      <c r="G13178" s="7"/>
    </row>
    <row r="13179" spans="7:7" x14ac:dyDescent="0.2">
      <c r="G13179" s="7"/>
    </row>
    <row r="13180" spans="7:7" x14ac:dyDescent="0.2">
      <c r="G13180" s="7"/>
    </row>
    <row r="13181" spans="7:7" x14ac:dyDescent="0.2">
      <c r="G13181" s="7"/>
    </row>
    <row r="13182" spans="7:7" x14ac:dyDescent="0.2">
      <c r="G13182" s="7"/>
    </row>
    <row r="13183" spans="7:7" x14ac:dyDescent="0.2">
      <c r="G13183" s="7"/>
    </row>
    <row r="13184" spans="7:7" x14ac:dyDescent="0.2">
      <c r="G13184" s="7"/>
    </row>
    <row r="13185" spans="7:7" x14ac:dyDescent="0.2">
      <c r="G13185" s="7"/>
    </row>
    <row r="13186" spans="7:7" x14ac:dyDescent="0.2">
      <c r="G13186" s="7"/>
    </row>
    <row r="13187" spans="7:7" x14ac:dyDescent="0.2">
      <c r="G13187" s="7"/>
    </row>
    <row r="13188" spans="7:7" x14ac:dyDescent="0.2">
      <c r="G13188" s="7"/>
    </row>
    <row r="13189" spans="7:7" x14ac:dyDescent="0.2">
      <c r="G13189" s="7"/>
    </row>
    <row r="13190" spans="7:7" x14ac:dyDescent="0.2">
      <c r="G13190" s="7"/>
    </row>
    <row r="13191" spans="7:7" x14ac:dyDescent="0.2">
      <c r="G13191" s="7"/>
    </row>
    <row r="13192" spans="7:7" x14ac:dyDescent="0.2">
      <c r="G13192" s="7"/>
    </row>
    <row r="13193" spans="7:7" x14ac:dyDescent="0.2">
      <c r="G13193" s="7"/>
    </row>
    <row r="13194" spans="7:7" x14ac:dyDescent="0.2">
      <c r="G13194" s="7"/>
    </row>
    <row r="13195" spans="7:7" x14ac:dyDescent="0.2">
      <c r="G13195" s="7"/>
    </row>
    <row r="13196" spans="7:7" x14ac:dyDescent="0.2">
      <c r="G13196" s="7"/>
    </row>
    <row r="13197" spans="7:7" x14ac:dyDescent="0.2">
      <c r="G13197" s="7"/>
    </row>
    <row r="13198" spans="7:7" x14ac:dyDescent="0.2">
      <c r="G13198" s="7"/>
    </row>
    <row r="13199" spans="7:7" x14ac:dyDescent="0.2">
      <c r="G13199" s="7"/>
    </row>
    <row r="13200" spans="7:7" x14ac:dyDescent="0.2">
      <c r="G13200" s="7"/>
    </row>
    <row r="13201" spans="7:7" x14ac:dyDescent="0.2">
      <c r="G13201" s="7"/>
    </row>
    <row r="13202" spans="7:7" x14ac:dyDescent="0.2">
      <c r="G13202" s="7"/>
    </row>
    <row r="13203" spans="7:7" x14ac:dyDescent="0.2">
      <c r="G13203" s="7"/>
    </row>
    <row r="13204" spans="7:7" x14ac:dyDescent="0.2">
      <c r="G13204" s="7"/>
    </row>
    <row r="13205" spans="7:7" x14ac:dyDescent="0.2">
      <c r="G13205" s="7"/>
    </row>
    <row r="13206" spans="7:7" x14ac:dyDescent="0.2">
      <c r="G13206" s="7"/>
    </row>
    <row r="13207" spans="7:7" x14ac:dyDescent="0.2">
      <c r="G13207" s="7"/>
    </row>
    <row r="13208" spans="7:7" x14ac:dyDescent="0.2">
      <c r="G13208" s="7"/>
    </row>
    <row r="13209" spans="7:7" x14ac:dyDescent="0.2">
      <c r="G13209" s="7"/>
    </row>
    <row r="13210" spans="7:7" x14ac:dyDescent="0.2">
      <c r="G13210" s="7"/>
    </row>
    <row r="13211" spans="7:7" x14ac:dyDescent="0.2">
      <c r="G13211" s="7"/>
    </row>
    <row r="13212" spans="7:7" x14ac:dyDescent="0.2">
      <c r="G13212" s="7"/>
    </row>
    <row r="13213" spans="7:7" x14ac:dyDescent="0.2">
      <c r="G13213" s="7"/>
    </row>
    <row r="13214" spans="7:7" x14ac:dyDescent="0.2">
      <c r="G13214" s="7"/>
    </row>
    <row r="13215" spans="7:7" x14ac:dyDescent="0.2">
      <c r="G13215" s="7"/>
    </row>
    <row r="13216" spans="7:7" x14ac:dyDescent="0.2">
      <c r="G13216" s="7"/>
    </row>
    <row r="13217" spans="7:7" x14ac:dyDescent="0.2">
      <c r="G13217" s="7"/>
    </row>
    <row r="13218" spans="7:7" x14ac:dyDescent="0.2">
      <c r="G13218" s="7"/>
    </row>
    <row r="13219" spans="7:7" x14ac:dyDescent="0.2">
      <c r="G13219" s="7"/>
    </row>
    <row r="13220" spans="7:7" x14ac:dyDescent="0.2">
      <c r="G13220" s="7"/>
    </row>
    <row r="13221" spans="7:7" x14ac:dyDescent="0.2">
      <c r="G13221" s="7"/>
    </row>
    <row r="13222" spans="7:7" x14ac:dyDescent="0.2">
      <c r="G13222" s="7"/>
    </row>
    <row r="13223" spans="7:7" x14ac:dyDescent="0.2">
      <c r="G13223" s="7"/>
    </row>
    <row r="13224" spans="7:7" x14ac:dyDescent="0.2">
      <c r="G13224" s="7"/>
    </row>
    <row r="13225" spans="7:7" x14ac:dyDescent="0.2">
      <c r="G13225" s="7"/>
    </row>
    <row r="13226" spans="7:7" x14ac:dyDescent="0.2">
      <c r="G13226" s="7"/>
    </row>
    <row r="13227" spans="7:7" x14ac:dyDescent="0.2">
      <c r="G13227" s="7"/>
    </row>
    <row r="13228" spans="7:7" x14ac:dyDescent="0.2">
      <c r="G13228" s="7"/>
    </row>
    <row r="13229" spans="7:7" x14ac:dyDescent="0.2">
      <c r="G13229" s="7"/>
    </row>
    <row r="13230" spans="7:7" x14ac:dyDescent="0.2">
      <c r="G13230" s="7"/>
    </row>
    <row r="13231" spans="7:7" x14ac:dyDescent="0.2">
      <c r="G13231" s="7"/>
    </row>
    <row r="13232" spans="7:7" x14ac:dyDescent="0.2">
      <c r="G13232" s="7"/>
    </row>
    <row r="13233" spans="7:7" x14ac:dyDescent="0.2">
      <c r="G13233" s="7"/>
    </row>
    <row r="13234" spans="7:7" x14ac:dyDescent="0.2">
      <c r="G13234" s="7"/>
    </row>
    <row r="13235" spans="7:7" x14ac:dyDescent="0.2">
      <c r="G13235" s="7"/>
    </row>
    <row r="13236" spans="7:7" x14ac:dyDescent="0.2">
      <c r="G13236" s="7"/>
    </row>
    <row r="13237" spans="7:7" x14ac:dyDescent="0.2">
      <c r="G13237" s="7"/>
    </row>
    <row r="13238" spans="7:7" x14ac:dyDescent="0.2">
      <c r="G13238" s="7"/>
    </row>
    <row r="13239" spans="7:7" x14ac:dyDescent="0.2">
      <c r="G13239" s="7"/>
    </row>
    <row r="13240" spans="7:7" x14ac:dyDescent="0.2">
      <c r="G13240" s="7"/>
    </row>
    <row r="13241" spans="7:7" x14ac:dyDescent="0.2">
      <c r="G13241" s="7"/>
    </row>
    <row r="13242" spans="7:7" x14ac:dyDescent="0.2">
      <c r="G13242" s="7"/>
    </row>
    <row r="13243" spans="7:7" x14ac:dyDescent="0.2">
      <c r="G13243" s="7"/>
    </row>
    <row r="13244" spans="7:7" x14ac:dyDescent="0.2">
      <c r="G13244" s="7"/>
    </row>
    <row r="13245" spans="7:7" x14ac:dyDescent="0.2">
      <c r="G13245" s="7"/>
    </row>
    <row r="13246" spans="7:7" x14ac:dyDescent="0.2">
      <c r="G13246" s="7"/>
    </row>
    <row r="13247" spans="7:7" x14ac:dyDescent="0.2">
      <c r="G13247" s="7"/>
    </row>
    <row r="13248" spans="7:7" x14ac:dyDescent="0.2">
      <c r="G13248" s="7"/>
    </row>
    <row r="13249" spans="7:7" x14ac:dyDescent="0.2">
      <c r="G13249" s="7"/>
    </row>
    <row r="13250" spans="7:7" x14ac:dyDescent="0.2">
      <c r="G13250" s="7"/>
    </row>
    <row r="13251" spans="7:7" x14ac:dyDescent="0.2">
      <c r="G13251" s="7"/>
    </row>
    <row r="13252" spans="7:7" x14ac:dyDescent="0.2">
      <c r="G13252" s="7"/>
    </row>
    <row r="13253" spans="7:7" x14ac:dyDescent="0.2">
      <c r="G13253" s="7"/>
    </row>
    <row r="13254" spans="7:7" x14ac:dyDescent="0.2">
      <c r="G13254" s="7"/>
    </row>
    <row r="13255" spans="7:7" x14ac:dyDescent="0.2">
      <c r="G13255" s="7"/>
    </row>
    <row r="13256" spans="7:7" x14ac:dyDescent="0.2">
      <c r="G13256" s="7"/>
    </row>
    <row r="13257" spans="7:7" x14ac:dyDescent="0.2">
      <c r="G13257" s="7"/>
    </row>
    <row r="13258" spans="7:7" x14ac:dyDescent="0.2">
      <c r="G13258" s="7"/>
    </row>
    <row r="13259" spans="7:7" x14ac:dyDescent="0.2">
      <c r="G13259" s="7"/>
    </row>
    <row r="13260" spans="7:7" x14ac:dyDescent="0.2">
      <c r="G13260" s="7"/>
    </row>
    <row r="13261" spans="7:7" x14ac:dyDescent="0.2">
      <c r="G13261" s="7"/>
    </row>
    <row r="13262" spans="7:7" x14ac:dyDescent="0.2">
      <c r="G13262" s="7"/>
    </row>
    <row r="13263" spans="7:7" x14ac:dyDescent="0.2">
      <c r="G13263" s="7"/>
    </row>
    <row r="13264" spans="7:7" x14ac:dyDescent="0.2">
      <c r="G13264" s="7"/>
    </row>
    <row r="13265" spans="7:7" x14ac:dyDescent="0.2">
      <c r="G13265" s="7"/>
    </row>
    <row r="13266" spans="7:7" x14ac:dyDescent="0.2">
      <c r="G13266" s="7"/>
    </row>
    <row r="13267" spans="7:7" x14ac:dyDescent="0.2">
      <c r="G13267" s="7"/>
    </row>
    <row r="13268" spans="7:7" x14ac:dyDescent="0.2">
      <c r="G13268" s="7"/>
    </row>
    <row r="13269" spans="7:7" x14ac:dyDescent="0.2">
      <c r="G13269" s="7"/>
    </row>
    <row r="13270" spans="7:7" x14ac:dyDescent="0.2">
      <c r="G13270" s="7"/>
    </row>
    <row r="13271" spans="7:7" x14ac:dyDescent="0.2">
      <c r="G13271" s="7"/>
    </row>
    <row r="13272" spans="7:7" x14ac:dyDescent="0.2">
      <c r="G13272" s="7"/>
    </row>
    <row r="13273" spans="7:7" x14ac:dyDescent="0.2">
      <c r="G13273" s="7"/>
    </row>
    <row r="13274" spans="7:7" x14ac:dyDescent="0.2">
      <c r="G13274" s="7"/>
    </row>
    <row r="13275" spans="7:7" x14ac:dyDescent="0.2">
      <c r="G13275" s="7"/>
    </row>
    <row r="13276" spans="7:7" x14ac:dyDescent="0.2">
      <c r="G13276" s="7"/>
    </row>
    <row r="13277" spans="7:7" x14ac:dyDescent="0.2">
      <c r="G13277" s="7"/>
    </row>
    <row r="13278" spans="7:7" x14ac:dyDescent="0.2">
      <c r="G13278" s="7"/>
    </row>
    <row r="13279" spans="7:7" x14ac:dyDescent="0.2">
      <c r="G13279" s="7"/>
    </row>
    <row r="13280" spans="7:7" x14ac:dyDescent="0.2">
      <c r="G13280" s="7"/>
    </row>
    <row r="13281" spans="7:7" x14ac:dyDescent="0.2">
      <c r="G13281" s="7"/>
    </row>
    <row r="13282" spans="7:7" x14ac:dyDescent="0.2">
      <c r="G13282" s="7"/>
    </row>
    <row r="13283" spans="7:7" x14ac:dyDescent="0.2">
      <c r="G13283" s="7"/>
    </row>
    <row r="13284" spans="7:7" x14ac:dyDescent="0.2">
      <c r="G13284" s="7"/>
    </row>
    <row r="13285" spans="7:7" x14ac:dyDescent="0.2">
      <c r="G13285" s="7"/>
    </row>
    <row r="13286" spans="7:7" x14ac:dyDescent="0.2">
      <c r="G13286" s="7"/>
    </row>
    <row r="13287" spans="7:7" x14ac:dyDescent="0.2">
      <c r="G13287" s="7"/>
    </row>
    <row r="13288" spans="7:7" x14ac:dyDescent="0.2">
      <c r="G13288" s="7"/>
    </row>
    <row r="13289" spans="7:7" x14ac:dyDescent="0.2">
      <c r="G13289" s="7"/>
    </row>
    <row r="13290" spans="7:7" x14ac:dyDescent="0.2">
      <c r="G13290" s="7"/>
    </row>
    <row r="13291" spans="7:7" x14ac:dyDescent="0.2">
      <c r="G13291" s="7"/>
    </row>
    <row r="13292" spans="7:7" x14ac:dyDescent="0.2">
      <c r="G13292" s="7"/>
    </row>
    <row r="13293" spans="7:7" x14ac:dyDescent="0.2">
      <c r="G13293" s="7"/>
    </row>
    <row r="13294" spans="7:7" x14ac:dyDescent="0.2">
      <c r="G13294" s="7"/>
    </row>
    <row r="13295" spans="7:7" x14ac:dyDescent="0.2">
      <c r="G13295" s="7"/>
    </row>
    <row r="13296" spans="7:7" x14ac:dyDescent="0.2">
      <c r="G13296" s="7"/>
    </row>
    <row r="13297" spans="7:7" x14ac:dyDescent="0.2">
      <c r="G13297" s="7"/>
    </row>
    <row r="13298" spans="7:7" x14ac:dyDescent="0.2">
      <c r="G13298" s="7"/>
    </row>
    <row r="13299" spans="7:7" x14ac:dyDescent="0.2">
      <c r="G13299" s="7"/>
    </row>
    <row r="13300" spans="7:7" x14ac:dyDescent="0.2">
      <c r="G13300" s="7"/>
    </row>
    <row r="13301" spans="7:7" x14ac:dyDescent="0.2">
      <c r="G13301" s="7"/>
    </row>
    <row r="13302" spans="7:7" x14ac:dyDescent="0.2">
      <c r="G13302" s="7"/>
    </row>
    <row r="13303" spans="7:7" x14ac:dyDescent="0.2">
      <c r="G13303" s="7"/>
    </row>
    <row r="13304" spans="7:7" x14ac:dyDescent="0.2">
      <c r="G13304" s="7"/>
    </row>
    <row r="13305" spans="7:7" x14ac:dyDescent="0.2">
      <c r="G13305" s="7"/>
    </row>
    <row r="13306" spans="7:7" x14ac:dyDescent="0.2">
      <c r="G13306" s="7"/>
    </row>
    <row r="13307" spans="7:7" x14ac:dyDescent="0.2">
      <c r="G13307" s="7"/>
    </row>
    <row r="13308" spans="7:7" x14ac:dyDescent="0.2">
      <c r="G13308" s="7"/>
    </row>
    <row r="13309" spans="7:7" x14ac:dyDescent="0.2">
      <c r="G13309" s="7"/>
    </row>
    <row r="13310" spans="7:7" x14ac:dyDescent="0.2">
      <c r="G13310" s="7"/>
    </row>
    <row r="13311" spans="7:7" x14ac:dyDescent="0.2">
      <c r="G13311" s="7"/>
    </row>
    <row r="13312" spans="7:7" x14ac:dyDescent="0.2">
      <c r="G13312" s="7"/>
    </row>
    <row r="13313" spans="7:7" x14ac:dyDescent="0.2">
      <c r="G13313" s="7"/>
    </row>
    <row r="13314" spans="7:7" x14ac:dyDescent="0.2">
      <c r="G13314" s="7"/>
    </row>
    <row r="13315" spans="7:7" x14ac:dyDescent="0.2">
      <c r="G13315" s="7"/>
    </row>
    <row r="13316" spans="7:7" x14ac:dyDescent="0.2">
      <c r="G13316" s="7"/>
    </row>
    <row r="13317" spans="7:7" x14ac:dyDescent="0.2">
      <c r="G13317" s="7"/>
    </row>
    <row r="13318" spans="7:7" x14ac:dyDescent="0.2">
      <c r="G13318" s="7"/>
    </row>
    <row r="13319" spans="7:7" x14ac:dyDescent="0.2">
      <c r="G13319" s="7"/>
    </row>
    <row r="13320" spans="7:7" x14ac:dyDescent="0.2">
      <c r="G13320" s="7"/>
    </row>
    <row r="13321" spans="7:7" x14ac:dyDescent="0.2">
      <c r="G13321" s="7"/>
    </row>
    <row r="13322" spans="7:7" x14ac:dyDescent="0.2">
      <c r="G13322" s="7"/>
    </row>
    <row r="13323" spans="7:7" x14ac:dyDescent="0.2">
      <c r="G13323" s="7"/>
    </row>
    <row r="13324" spans="7:7" x14ac:dyDescent="0.2">
      <c r="G13324" s="7"/>
    </row>
    <row r="13325" spans="7:7" x14ac:dyDescent="0.2">
      <c r="G13325" s="7"/>
    </row>
    <row r="13326" spans="7:7" x14ac:dyDescent="0.2">
      <c r="G13326" s="7"/>
    </row>
    <row r="13327" spans="7:7" x14ac:dyDescent="0.2">
      <c r="G13327" s="7"/>
    </row>
    <row r="13328" spans="7:7" x14ac:dyDescent="0.2">
      <c r="G13328" s="7"/>
    </row>
    <row r="13329" spans="7:7" x14ac:dyDescent="0.2">
      <c r="G13329" s="7"/>
    </row>
    <row r="13330" spans="7:7" x14ac:dyDescent="0.2">
      <c r="G13330" s="7"/>
    </row>
    <row r="13331" spans="7:7" x14ac:dyDescent="0.2">
      <c r="G13331" s="7"/>
    </row>
    <row r="13332" spans="7:7" x14ac:dyDescent="0.2">
      <c r="G13332" s="7"/>
    </row>
    <row r="13333" spans="7:7" x14ac:dyDescent="0.2">
      <c r="G13333" s="7"/>
    </row>
    <row r="13334" spans="7:7" x14ac:dyDescent="0.2">
      <c r="G13334" s="7"/>
    </row>
    <row r="13335" spans="7:7" x14ac:dyDescent="0.2">
      <c r="G13335" s="7"/>
    </row>
    <row r="13336" spans="7:7" x14ac:dyDescent="0.2">
      <c r="G13336" s="7"/>
    </row>
    <row r="13337" spans="7:7" x14ac:dyDescent="0.2">
      <c r="G13337" s="7"/>
    </row>
    <row r="13338" spans="7:7" x14ac:dyDescent="0.2">
      <c r="G13338" s="7"/>
    </row>
    <row r="13339" spans="7:7" x14ac:dyDescent="0.2">
      <c r="G13339" s="7"/>
    </row>
    <row r="13340" spans="7:7" x14ac:dyDescent="0.2">
      <c r="G13340" s="7"/>
    </row>
    <row r="13341" spans="7:7" x14ac:dyDescent="0.2">
      <c r="G13341" s="7"/>
    </row>
    <row r="13342" spans="7:7" x14ac:dyDescent="0.2">
      <c r="G13342" s="7"/>
    </row>
    <row r="13343" spans="7:7" x14ac:dyDescent="0.2">
      <c r="G13343" s="7"/>
    </row>
    <row r="13344" spans="7:7" x14ac:dyDescent="0.2">
      <c r="G13344" s="7"/>
    </row>
    <row r="13345" spans="7:7" x14ac:dyDescent="0.2">
      <c r="G13345" s="7"/>
    </row>
    <row r="13346" spans="7:7" x14ac:dyDescent="0.2">
      <c r="G13346" s="7"/>
    </row>
    <row r="13347" spans="7:7" x14ac:dyDescent="0.2">
      <c r="G13347" s="7"/>
    </row>
    <row r="13348" spans="7:7" x14ac:dyDescent="0.2">
      <c r="G13348" s="7"/>
    </row>
    <row r="13349" spans="7:7" x14ac:dyDescent="0.2">
      <c r="G13349" s="7"/>
    </row>
    <row r="13350" spans="7:7" x14ac:dyDescent="0.2">
      <c r="G13350" s="7"/>
    </row>
    <row r="13351" spans="7:7" x14ac:dyDescent="0.2">
      <c r="G13351" s="7"/>
    </row>
    <row r="13352" spans="7:7" x14ac:dyDescent="0.2">
      <c r="G13352" s="7"/>
    </row>
    <row r="13353" spans="7:7" x14ac:dyDescent="0.2">
      <c r="G13353" s="7"/>
    </row>
    <row r="13354" spans="7:7" x14ac:dyDescent="0.2">
      <c r="G13354" s="7"/>
    </row>
    <row r="13355" spans="7:7" x14ac:dyDescent="0.2">
      <c r="G13355" s="7"/>
    </row>
    <row r="13356" spans="7:7" x14ac:dyDescent="0.2">
      <c r="G13356" s="7"/>
    </row>
    <row r="13357" spans="7:7" x14ac:dyDescent="0.2">
      <c r="G13357" s="7"/>
    </row>
    <row r="13358" spans="7:7" x14ac:dyDescent="0.2">
      <c r="G13358" s="7"/>
    </row>
    <row r="13359" spans="7:7" x14ac:dyDescent="0.2">
      <c r="G13359" s="7"/>
    </row>
    <row r="13360" spans="7:7" x14ac:dyDescent="0.2">
      <c r="G13360" s="7"/>
    </row>
    <row r="13361" spans="7:7" x14ac:dyDescent="0.2">
      <c r="G13361" s="7"/>
    </row>
    <row r="13362" spans="7:7" x14ac:dyDescent="0.2">
      <c r="G13362" s="7"/>
    </row>
    <row r="13363" spans="7:7" x14ac:dyDescent="0.2">
      <c r="G13363" s="7"/>
    </row>
    <row r="13364" spans="7:7" x14ac:dyDescent="0.2">
      <c r="G13364" s="7"/>
    </row>
    <row r="13365" spans="7:7" x14ac:dyDescent="0.2">
      <c r="G13365" s="7"/>
    </row>
    <row r="13366" spans="7:7" x14ac:dyDescent="0.2">
      <c r="G13366" s="7"/>
    </row>
    <row r="13367" spans="7:7" x14ac:dyDescent="0.2">
      <c r="G13367" s="7"/>
    </row>
    <row r="13368" spans="7:7" x14ac:dyDescent="0.2">
      <c r="G13368" s="7"/>
    </row>
    <row r="13369" spans="7:7" x14ac:dyDescent="0.2">
      <c r="G13369" s="7"/>
    </row>
    <row r="13370" spans="7:7" x14ac:dyDescent="0.2">
      <c r="G13370" s="7"/>
    </row>
    <row r="13371" spans="7:7" x14ac:dyDescent="0.2">
      <c r="G13371" s="7"/>
    </row>
    <row r="13372" spans="7:7" x14ac:dyDescent="0.2">
      <c r="G13372" s="7"/>
    </row>
    <row r="13373" spans="7:7" x14ac:dyDescent="0.2">
      <c r="G13373" s="7"/>
    </row>
    <row r="13374" spans="7:7" x14ac:dyDescent="0.2">
      <c r="G13374" s="7"/>
    </row>
    <row r="13375" spans="7:7" x14ac:dyDescent="0.2">
      <c r="G13375" s="7"/>
    </row>
    <row r="13376" spans="7:7" x14ac:dyDescent="0.2">
      <c r="G13376" s="7"/>
    </row>
    <row r="13377" spans="7:7" x14ac:dyDescent="0.2">
      <c r="G13377" s="7"/>
    </row>
    <row r="13378" spans="7:7" x14ac:dyDescent="0.2">
      <c r="G13378" s="7"/>
    </row>
    <row r="13379" spans="7:7" x14ac:dyDescent="0.2">
      <c r="G13379" s="7"/>
    </row>
    <row r="13380" spans="7:7" x14ac:dyDescent="0.2">
      <c r="G13380" s="7"/>
    </row>
    <row r="13381" spans="7:7" x14ac:dyDescent="0.2">
      <c r="G13381" s="7"/>
    </row>
    <row r="13382" spans="7:7" x14ac:dyDescent="0.2">
      <c r="G13382" s="7"/>
    </row>
    <row r="13383" spans="7:7" x14ac:dyDescent="0.2">
      <c r="G13383" s="7"/>
    </row>
    <row r="13384" spans="7:7" x14ac:dyDescent="0.2">
      <c r="G13384" s="7"/>
    </row>
    <row r="13385" spans="7:7" x14ac:dyDescent="0.2">
      <c r="G13385" s="7"/>
    </row>
    <row r="13386" spans="7:7" x14ac:dyDescent="0.2">
      <c r="G13386" s="7"/>
    </row>
    <row r="13387" spans="7:7" x14ac:dyDescent="0.2">
      <c r="G13387" s="7"/>
    </row>
    <row r="13388" spans="7:7" x14ac:dyDescent="0.2">
      <c r="G13388" s="7"/>
    </row>
    <row r="13389" spans="7:7" x14ac:dyDescent="0.2">
      <c r="G13389" s="7"/>
    </row>
    <row r="13390" spans="7:7" x14ac:dyDescent="0.2">
      <c r="G13390" s="7"/>
    </row>
    <row r="13391" spans="7:7" x14ac:dyDescent="0.2">
      <c r="G13391" s="7"/>
    </row>
    <row r="13392" spans="7:7" x14ac:dyDescent="0.2">
      <c r="G13392" s="7"/>
    </row>
    <row r="13393" spans="7:7" x14ac:dyDescent="0.2">
      <c r="G13393" s="7"/>
    </row>
    <row r="13394" spans="7:7" x14ac:dyDescent="0.2">
      <c r="G13394" s="7"/>
    </row>
    <row r="13395" spans="7:7" x14ac:dyDescent="0.2">
      <c r="G13395" s="7"/>
    </row>
    <row r="13396" spans="7:7" x14ac:dyDescent="0.2">
      <c r="G13396" s="7"/>
    </row>
    <row r="13397" spans="7:7" x14ac:dyDescent="0.2">
      <c r="G13397" s="7"/>
    </row>
    <row r="13398" spans="7:7" x14ac:dyDescent="0.2">
      <c r="G13398" s="7"/>
    </row>
    <row r="13399" spans="7:7" x14ac:dyDescent="0.2">
      <c r="G13399" s="7"/>
    </row>
    <row r="13400" spans="7:7" x14ac:dyDescent="0.2">
      <c r="G13400" s="7"/>
    </row>
    <row r="13401" spans="7:7" x14ac:dyDescent="0.2">
      <c r="G13401" s="7"/>
    </row>
    <row r="13402" spans="7:7" x14ac:dyDescent="0.2">
      <c r="G13402" s="7"/>
    </row>
    <row r="13403" spans="7:7" x14ac:dyDescent="0.2">
      <c r="G13403" s="7"/>
    </row>
    <row r="13404" spans="7:7" x14ac:dyDescent="0.2">
      <c r="G13404" s="7"/>
    </row>
    <row r="13405" spans="7:7" x14ac:dyDescent="0.2">
      <c r="G13405" s="7"/>
    </row>
    <row r="13406" spans="7:7" x14ac:dyDescent="0.2">
      <c r="G13406" s="7"/>
    </row>
    <row r="13407" spans="7:7" x14ac:dyDescent="0.2">
      <c r="G13407" s="7"/>
    </row>
    <row r="13408" spans="7:7" x14ac:dyDescent="0.2">
      <c r="G13408" s="7"/>
    </row>
    <row r="13409" spans="7:7" x14ac:dyDescent="0.2">
      <c r="G13409" s="7"/>
    </row>
    <row r="13410" spans="7:7" x14ac:dyDescent="0.2">
      <c r="G13410" s="7"/>
    </row>
    <row r="13411" spans="7:7" x14ac:dyDescent="0.2">
      <c r="G13411" s="7"/>
    </row>
    <row r="13412" spans="7:7" x14ac:dyDescent="0.2">
      <c r="G13412" s="7"/>
    </row>
    <row r="13413" spans="7:7" x14ac:dyDescent="0.2">
      <c r="G13413" s="7"/>
    </row>
    <row r="13414" spans="7:7" x14ac:dyDescent="0.2">
      <c r="G13414" s="7"/>
    </row>
    <row r="13415" spans="7:7" x14ac:dyDescent="0.2">
      <c r="G13415" s="7"/>
    </row>
    <row r="13416" spans="7:7" x14ac:dyDescent="0.2">
      <c r="G13416" s="7"/>
    </row>
    <row r="13417" spans="7:7" x14ac:dyDescent="0.2">
      <c r="G13417" s="7"/>
    </row>
    <row r="13418" spans="7:7" x14ac:dyDescent="0.2">
      <c r="G13418" s="7"/>
    </row>
    <row r="13419" spans="7:7" x14ac:dyDescent="0.2">
      <c r="G13419" s="7"/>
    </row>
    <row r="13420" spans="7:7" x14ac:dyDescent="0.2">
      <c r="G13420" s="7"/>
    </row>
    <row r="13421" spans="7:7" x14ac:dyDescent="0.2">
      <c r="G13421" s="7"/>
    </row>
    <row r="13422" spans="7:7" x14ac:dyDescent="0.2">
      <c r="G13422" s="7"/>
    </row>
    <row r="13423" spans="7:7" x14ac:dyDescent="0.2">
      <c r="G13423" s="7"/>
    </row>
    <row r="13424" spans="7:7" x14ac:dyDescent="0.2">
      <c r="G13424" s="7"/>
    </row>
    <row r="13425" spans="7:7" x14ac:dyDescent="0.2">
      <c r="G13425" s="7"/>
    </row>
    <row r="13426" spans="7:7" x14ac:dyDescent="0.2">
      <c r="G13426" s="7"/>
    </row>
    <row r="13427" spans="7:7" x14ac:dyDescent="0.2">
      <c r="G13427" s="7"/>
    </row>
    <row r="13428" spans="7:7" x14ac:dyDescent="0.2">
      <c r="G13428" s="7"/>
    </row>
    <row r="13429" spans="7:7" x14ac:dyDescent="0.2">
      <c r="G13429" s="7"/>
    </row>
    <row r="13430" spans="7:7" x14ac:dyDescent="0.2">
      <c r="G13430" s="7"/>
    </row>
    <row r="13431" spans="7:7" x14ac:dyDescent="0.2">
      <c r="G13431" s="7"/>
    </row>
    <row r="13432" spans="7:7" x14ac:dyDescent="0.2">
      <c r="G13432" s="7"/>
    </row>
    <row r="13433" spans="7:7" x14ac:dyDescent="0.2">
      <c r="G13433" s="7"/>
    </row>
    <row r="13434" spans="7:7" x14ac:dyDescent="0.2">
      <c r="G13434" s="7"/>
    </row>
    <row r="13435" spans="7:7" x14ac:dyDescent="0.2">
      <c r="G13435" s="7"/>
    </row>
    <row r="13436" spans="7:7" x14ac:dyDescent="0.2">
      <c r="G13436" s="7"/>
    </row>
    <row r="13437" spans="7:7" x14ac:dyDescent="0.2">
      <c r="G13437" s="7"/>
    </row>
    <row r="13438" spans="7:7" x14ac:dyDescent="0.2">
      <c r="G13438" s="7"/>
    </row>
    <row r="13439" spans="7:7" x14ac:dyDescent="0.2">
      <c r="G13439" s="7"/>
    </row>
    <row r="13440" spans="7:7" x14ac:dyDescent="0.2">
      <c r="G13440" s="7"/>
    </row>
    <row r="13441" spans="7:7" x14ac:dyDescent="0.2">
      <c r="G13441" s="7"/>
    </row>
    <row r="13442" spans="7:7" x14ac:dyDescent="0.2">
      <c r="G13442" s="7"/>
    </row>
    <row r="13443" spans="7:7" x14ac:dyDescent="0.2">
      <c r="G13443" s="7"/>
    </row>
    <row r="13444" spans="7:7" x14ac:dyDescent="0.2">
      <c r="G13444" s="7"/>
    </row>
    <row r="13445" spans="7:7" x14ac:dyDescent="0.2">
      <c r="G13445" s="7"/>
    </row>
    <row r="13446" spans="7:7" x14ac:dyDescent="0.2">
      <c r="G13446" s="7"/>
    </row>
    <row r="13447" spans="7:7" x14ac:dyDescent="0.2">
      <c r="G13447" s="7"/>
    </row>
    <row r="13448" spans="7:7" x14ac:dyDescent="0.2">
      <c r="G13448" s="7"/>
    </row>
    <row r="13449" spans="7:7" x14ac:dyDescent="0.2">
      <c r="G13449" s="7"/>
    </row>
    <row r="13450" spans="7:7" x14ac:dyDescent="0.2">
      <c r="G13450" s="7"/>
    </row>
    <row r="13451" spans="7:7" x14ac:dyDescent="0.2">
      <c r="G13451" s="7"/>
    </row>
    <row r="13452" spans="7:7" x14ac:dyDescent="0.2">
      <c r="G13452" s="7"/>
    </row>
    <row r="13453" spans="7:7" x14ac:dyDescent="0.2">
      <c r="G13453" s="7"/>
    </row>
    <row r="13454" spans="7:7" x14ac:dyDescent="0.2">
      <c r="G13454" s="7"/>
    </row>
    <row r="13455" spans="7:7" x14ac:dyDescent="0.2">
      <c r="G13455" s="7"/>
    </row>
    <row r="13456" spans="7:7" x14ac:dyDescent="0.2">
      <c r="G13456" s="7"/>
    </row>
    <row r="13457" spans="7:7" x14ac:dyDescent="0.2">
      <c r="G13457" s="7"/>
    </row>
    <row r="13458" spans="7:7" x14ac:dyDescent="0.2">
      <c r="G13458" s="7"/>
    </row>
    <row r="13459" spans="7:7" x14ac:dyDescent="0.2">
      <c r="G13459" s="7"/>
    </row>
    <row r="13460" spans="7:7" x14ac:dyDescent="0.2">
      <c r="G13460" s="7"/>
    </row>
    <row r="13461" spans="7:7" x14ac:dyDescent="0.2">
      <c r="G13461" s="7"/>
    </row>
    <row r="13462" spans="7:7" x14ac:dyDescent="0.2">
      <c r="G13462" s="7"/>
    </row>
    <row r="13463" spans="7:7" x14ac:dyDescent="0.2">
      <c r="G13463" s="7"/>
    </row>
    <row r="13464" spans="7:7" x14ac:dyDescent="0.2">
      <c r="G13464" s="7"/>
    </row>
    <row r="13465" spans="7:7" x14ac:dyDescent="0.2">
      <c r="G13465" s="7"/>
    </row>
    <row r="13466" spans="7:7" x14ac:dyDescent="0.2">
      <c r="G13466" s="7"/>
    </row>
    <row r="13467" spans="7:7" x14ac:dyDescent="0.2">
      <c r="G13467" s="7"/>
    </row>
    <row r="13468" spans="7:7" x14ac:dyDescent="0.2">
      <c r="G13468" s="7"/>
    </row>
    <row r="13469" spans="7:7" x14ac:dyDescent="0.2">
      <c r="G13469" s="7"/>
    </row>
    <row r="13470" spans="7:7" x14ac:dyDescent="0.2">
      <c r="G13470" s="7"/>
    </row>
    <row r="13471" spans="7:7" x14ac:dyDescent="0.2">
      <c r="G13471" s="7"/>
    </row>
    <row r="13472" spans="7:7" x14ac:dyDescent="0.2">
      <c r="G13472" s="7"/>
    </row>
    <row r="13473" spans="7:7" x14ac:dyDescent="0.2">
      <c r="G13473" s="7"/>
    </row>
    <row r="13474" spans="7:7" x14ac:dyDescent="0.2">
      <c r="G13474" s="7"/>
    </row>
    <row r="13475" spans="7:7" x14ac:dyDescent="0.2">
      <c r="G13475" s="7"/>
    </row>
    <row r="13476" spans="7:7" x14ac:dyDescent="0.2">
      <c r="G13476" s="7"/>
    </row>
    <row r="13477" spans="7:7" x14ac:dyDescent="0.2">
      <c r="G13477" s="7"/>
    </row>
    <row r="13478" spans="7:7" x14ac:dyDescent="0.2">
      <c r="G13478" s="7"/>
    </row>
    <row r="13479" spans="7:7" x14ac:dyDescent="0.2">
      <c r="G13479" s="7"/>
    </row>
    <row r="13480" spans="7:7" x14ac:dyDescent="0.2">
      <c r="G13480" s="7"/>
    </row>
    <row r="13481" spans="7:7" x14ac:dyDescent="0.2">
      <c r="G13481" s="7"/>
    </row>
    <row r="13482" spans="7:7" x14ac:dyDescent="0.2">
      <c r="G13482" s="7"/>
    </row>
    <row r="13483" spans="7:7" x14ac:dyDescent="0.2">
      <c r="G13483" s="7"/>
    </row>
    <row r="13484" spans="7:7" x14ac:dyDescent="0.2">
      <c r="G13484" s="7"/>
    </row>
    <row r="13485" spans="7:7" x14ac:dyDescent="0.2">
      <c r="G13485" s="7"/>
    </row>
    <row r="13486" spans="7:7" x14ac:dyDescent="0.2">
      <c r="G13486" s="7"/>
    </row>
    <row r="13487" spans="7:7" x14ac:dyDescent="0.2">
      <c r="G13487" s="7"/>
    </row>
    <row r="13488" spans="7:7" x14ac:dyDescent="0.2">
      <c r="G13488" s="7"/>
    </row>
    <row r="13489" spans="7:7" x14ac:dyDescent="0.2">
      <c r="G13489" s="7"/>
    </row>
    <row r="13490" spans="7:7" x14ac:dyDescent="0.2">
      <c r="G13490" s="7"/>
    </row>
    <row r="13491" spans="7:7" x14ac:dyDescent="0.2">
      <c r="G13491" s="7"/>
    </row>
    <row r="13492" spans="7:7" x14ac:dyDescent="0.2">
      <c r="G13492" s="7"/>
    </row>
    <row r="13493" spans="7:7" x14ac:dyDescent="0.2">
      <c r="G13493" s="7"/>
    </row>
    <row r="13494" spans="7:7" x14ac:dyDescent="0.2">
      <c r="G13494" s="7"/>
    </row>
    <row r="13495" spans="7:7" x14ac:dyDescent="0.2">
      <c r="G13495" s="7"/>
    </row>
    <row r="13496" spans="7:7" x14ac:dyDescent="0.2">
      <c r="G13496" s="7"/>
    </row>
    <row r="13497" spans="7:7" x14ac:dyDescent="0.2">
      <c r="G13497" s="7"/>
    </row>
    <row r="13498" spans="7:7" x14ac:dyDescent="0.2">
      <c r="G13498" s="7"/>
    </row>
    <row r="13499" spans="7:7" x14ac:dyDescent="0.2">
      <c r="G13499" s="7"/>
    </row>
    <row r="13500" spans="7:7" x14ac:dyDescent="0.2">
      <c r="G13500" s="7"/>
    </row>
    <row r="13501" spans="7:7" x14ac:dyDescent="0.2">
      <c r="G13501" s="7"/>
    </row>
    <row r="13502" spans="7:7" x14ac:dyDescent="0.2">
      <c r="G13502" s="7"/>
    </row>
    <row r="13503" spans="7:7" x14ac:dyDescent="0.2">
      <c r="G13503" s="7"/>
    </row>
    <row r="13504" spans="7:7" x14ac:dyDescent="0.2">
      <c r="G13504" s="7"/>
    </row>
    <row r="13505" spans="7:7" x14ac:dyDescent="0.2">
      <c r="G13505" s="7"/>
    </row>
    <row r="13506" spans="7:7" x14ac:dyDescent="0.2">
      <c r="G13506" s="7"/>
    </row>
    <row r="13507" spans="7:7" x14ac:dyDescent="0.2">
      <c r="G13507" s="7"/>
    </row>
    <row r="13508" spans="7:7" x14ac:dyDescent="0.2">
      <c r="G13508" s="7"/>
    </row>
    <row r="13509" spans="7:7" x14ac:dyDescent="0.2">
      <c r="G13509" s="7"/>
    </row>
    <row r="13510" spans="7:7" x14ac:dyDescent="0.2">
      <c r="G13510" s="7"/>
    </row>
    <row r="13511" spans="7:7" x14ac:dyDescent="0.2">
      <c r="G13511" s="7"/>
    </row>
    <row r="13512" spans="7:7" x14ac:dyDescent="0.2">
      <c r="G13512" s="7"/>
    </row>
    <row r="13513" spans="7:7" x14ac:dyDescent="0.2">
      <c r="G13513" s="7"/>
    </row>
    <row r="13514" spans="7:7" x14ac:dyDescent="0.2">
      <c r="G13514" s="7"/>
    </row>
    <row r="13515" spans="7:7" x14ac:dyDescent="0.2">
      <c r="G13515" s="7"/>
    </row>
    <row r="13516" spans="7:7" x14ac:dyDescent="0.2">
      <c r="G13516" s="7"/>
    </row>
    <row r="13517" spans="7:7" x14ac:dyDescent="0.2">
      <c r="G13517" s="7"/>
    </row>
    <row r="13518" spans="7:7" x14ac:dyDescent="0.2">
      <c r="G13518" s="7"/>
    </row>
    <row r="13519" spans="7:7" x14ac:dyDescent="0.2">
      <c r="G13519" s="7"/>
    </row>
    <row r="13520" spans="7:7" x14ac:dyDescent="0.2">
      <c r="G13520" s="7"/>
    </row>
    <row r="13521" spans="7:7" x14ac:dyDescent="0.2">
      <c r="G13521" s="7"/>
    </row>
    <row r="13522" spans="7:7" x14ac:dyDescent="0.2">
      <c r="G13522" s="7"/>
    </row>
    <row r="13523" spans="7:7" x14ac:dyDescent="0.2">
      <c r="G13523" s="7"/>
    </row>
    <row r="13524" spans="7:7" x14ac:dyDescent="0.2">
      <c r="G13524" s="7"/>
    </row>
    <row r="13525" spans="7:7" x14ac:dyDescent="0.2">
      <c r="G13525" s="7"/>
    </row>
    <row r="13526" spans="7:7" x14ac:dyDescent="0.2">
      <c r="G13526" s="7"/>
    </row>
    <row r="13527" spans="7:7" x14ac:dyDescent="0.2">
      <c r="G13527" s="7"/>
    </row>
    <row r="13528" spans="7:7" x14ac:dyDescent="0.2">
      <c r="G13528" s="7"/>
    </row>
    <row r="13529" spans="7:7" x14ac:dyDescent="0.2">
      <c r="G13529" s="7"/>
    </row>
    <row r="13530" spans="7:7" x14ac:dyDescent="0.2">
      <c r="G13530" s="7"/>
    </row>
    <row r="13531" spans="7:7" x14ac:dyDescent="0.2">
      <c r="G13531" s="7"/>
    </row>
    <row r="13532" spans="7:7" x14ac:dyDescent="0.2">
      <c r="G13532" s="7"/>
    </row>
    <row r="13533" spans="7:7" x14ac:dyDescent="0.2">
      <c r="G13533" s="7"/>
    </row>
    <row r="13534" spans="7:7" x14ac:dyDescent="0.2">
      <c r="G13534" s="7"/>
    </row>
    <row r="13535" spans="7:7" x14ac:dyDescent="0.2">
      <c r="G13535" s="7"/>
    </row>
    <row r="13536" spans="7:7" x14ac:dyDescent="0.2">
      <c r="G13536" s="7"/>
    </row>
    <row r="13537" spans="7:7" x14ac:dyDescent="0.2">
      <c r="G13537" s="7"/>
    </row>
    <row r="13538" spans="7:7" x14ac:dyDescent="0.2">
      <c r="G13538" s="7"/>
    </row>
    <row r="13539" spans="7:7" x14ac:dyDescent="0.2">
      <c r="G13539" s="7"/>
    </row>
    <row r="13540" spans="7:7" x14ac:dyDescent="0.2">
      <c r="G13540" s="7"/>
    </row>
    <row r="13541" spans="7:7" x14ac:dyDescent="0.2">
      <c r="G13541" s="7"/>
    </row>
    <row r="13542" spans="7:7" x14ac:dyDescent="0.2">
      <c r="G13542" s="7"/>
    </row>
    <row r="13543" spans="7:7" x14ac:dyDescent="0.2">
      <c r="G13543" s="7"/>
    </row>
    <row r="13544" spans="7:7" x14ac:dyDescent="0.2">
      <c r="G13544" s="7"/>
    </row>
    <row r="13545" spans="7:7" x14ac:dyDescent="0.2">
      <c r="G13545" s="7"/>
    </row>
    <row r="13546" spans="7:7" x14ac:dyDescent="0.2">
      <c r="G13546" s="7"/>
    </row>
    <row r="13547" spans="7:7" x14ac:dyDescent="0.2">
      <c r="G13547" s="7"/>
    </row>
    <row r="13548" spans="7:7" x14ac:dyDescent="0.2">
      <c r="G13548" s="7"/>
    </row>
    <row r="13549" spans="7:7" x14ac:dyDescent="0.2">
      <c r="G13549" s="7"/>
    </row>
    <row r="13550" spans="7:7" x14ac:dyDescent="0.2">
      <c r="G13550" s="7"/>
    </row>
    <row r="13551" spans="7:7" x14ac:dyDescent="0.2">
      <c r="G13551" s="7"/>
    </row>
    <row r="13552" spans="7:7" x14ac:dyDescent="0.2">
      <c r="G13552" s="7"/>
    </row>
    <row r="13553" spans="7:7" x14ac:dyDescent="0.2">
      <c r="G13553" s="7"/>
    </row>
    <row r="13554" spans="7:7" x14ac:dyDescent="0.2">
      <c r="G13554" s="7"/>
    </row>
    <row r="13555" spans="7:7" x14ac:dyDescent="0.2">
      <c r="G13555" s="7"/>
    </row>
    <row r="13556" spans="7:7" x14ac:dyDescent="0.2">
      <c r="G13556" s="7"/>
    </row>
    <row r="13557" spans="7:7" x14ac:dyDescent="0.2">
      <c r="G13557" s="7"/>
    </row>
    <row r="13558" spans="7:7" x14ac:dyDescent="0.2">
      <c r="G13558" s="7"/>
    </row>
    <row r="13559" spans="7:7" x14ac:dyDescent="0.2">
      <c r="G13559" s="7"/>
    </row>
    <row r="13560" spans="7:7" x14ac:dyDescent="0.2">
      <c r="G13560" s="7"/>
    </row>
    <row r="13561" spans="7:7" x14ac:dyDescent="0.2">
      <c r="G13561" s="7"/>
    </row>
    <row r="13562" spans="7:7" x14ac:dyDescent="0.2">
      <c r="G13562" s="7"/>
    </row>
    <row r="13563" spans="7:7" x14ac:dyDescent="0.2">
      <c r="G13563" s="7"/>
    </row>
    <row r="13564" spans="7:7" x14ac:dyDescent="0.2">
      <c r="G13564" s="7"/>
    </row>
    <row r="13565" spans="7:7" x14ac:dyDescent="0.2">
      <c r="G13565" s="7"/>
    </row>
    <row r="13566" spans="7:7" x14ac:dyDescent="0.2">
      <c r="G13566" s="7"/>
    </row>
    <row r="13567" spans="7:7" x14ac:dyDescent="0.2">
      <c r="G13567" s="7"/>
    </row>
    <row r="13568" spans="7:7" x14ac:dyDescent="0.2">
      <c r="G13568" s="7"/>
    </row>
    <row r="13569" spans="7:7" x14ac:dyDescent="0.2">
      <c r="G13569" s="7"/>
    </row>
    <row r="13570" spans="7:7" x14ac:dyDescent="0.2">
      <c r="G13570" s="7"/>
    </row>
    <row r="13571" spans="7:7" x14ac:dyDescent="0.2">
      <c r="G13571" s="7"/>
    </row>
    <row r="13572" spans="7:7" x14ac:dyDescent="0.2">
      <c r="G13572" s="7"/>
    </row>
    <row r="13573" spans="7:7" x14ac:dyDescent="0.2">
      <c r="G13573" s="7"/>
    </row>
    <row r="13574" spans="7:7" x14ac:dyDescent="0.2">
      <c r="G13574" s="7"/>
    </row>
    <row r="13575" spans="7:7" x14ac:dyDescent="0.2">
      <c r="G13575" s="7"/>
    </row>
    <row r="13576" spans="7:7" x14ac:dyDescent="0.2">
      <c r="G13576" s="7"/>
    </row>
    <row r="13577" spans="7:7" x14ac:dyDescent="0.2">
      <c r="G13577" s="7"/>
    </row>
    <row r="13578" spans="7:7" x14ac:dyDescent="0.2">
      <c r="G13578" s="7"/>
    </row>
    <row r="13579" spans="7:7" x14ac:dyDescent="0.2">
      <c r="G13579" s="7"/>
    </row>
    <row r="13580" spans="7:7" x14ac:dyDescent="0.2">
      <c r="G13580" s="7"/>
    </row>
    <row r="13581" spans="7:7" x14ac:dyDescent="0.2">
      <c r="G13581" s="7"/>
    </row>
    <row r="13582" spans="7:7" x14ac:dyDescent="0.2">
      <c r="G13582" s="7"/>
    </row>
    <row r="13583" spans="7:7" x14ac:dyDescent="0.2">
      <c r="G13583" s="7"/>
    </row>
    <row r="13584" spans="7:7" x14ac:dyDescent="0.2">
      <c r="G13584" s="7"/>
    </row>
    <row r="13585" spans="7:7" x14ac:dyDescent="0.2">
      <c r="G13585" s="7"/>
    </row>
    <row r="13586" spans="7:7" x14ac:dyDescent="0.2">
      <c r="G13586" s="7"/>
    </row>
    <row r="13587" spans="7:7" x14ac:dyDescent="0.2">
      <c r="G13587" s="7"/>
    </row>
    <row r="13588" spans="7:7" x14ac:dyDescent="0.2">
      <c r="G13588" s="7"/>
    </row>
    <row r="13589" spans="7:7" x14ac:dyDescent="0.2">
      <c r="G13589" s="7"/>
    </row>
    <row r="13590" spans="7:7" x14ac:dyDescent="0.2">
      <c r="G13590" s="7"/>
    </row>
    <row r="13591" spans="7:7" x14ac:dyDescent="0.2">
      <c r="G13591" s="7"/>
    </row>
    <row r="13592" spans="7:7" x14ac:dyDescent="0.2">
      <c r="G13592" s="7"/>
    </row>
    <row r="13593" spans="7:7" x14ac:dyDescent="0.2">
      <c r="G13593" s="7"/>
    </row>
    <row r="13594" spans="7:7" x14ac:dyDescent="0.2">
      <c r="G13594" s="7"/>
    </row>
    <row r="13595" spans="7:7" x14ac:dyDescent="0.2">
      <c r="G13595" s="7"/>
    </row>
    <row r="13596" spans="7:7" x14ac:dyDescent="0.2">
      <c r="G13596" s="7"/>
    </row>
    <row r="13597" spans="7:7" x14ac:dyDescent="0.2">
      <c r="G13597" s="7"/>
    </row>
    <row r="13598" spans="7:7" x14ac:dyDescent="0.2">
      <c r="G13598" s="7"/>
    </row>
    <row r="13599" spans="7:7" x14ac:dyDescent="0.2">
      <c r="G13599" s="7"/>
    </row>
    <row r="13600" spans="7:7" x14ac:dyDescent="0.2">
      <c r="G13600" s="7"/>
    </row>
    <row r="13601" spans="7:7" x14ac:dyDescent="0.2">
      <c r="G13601" s="7"/>
    </row>
    <row r="13602" spans="7:7" x14ac:dyDescent="0.2">
      <c r="G13602" s="7"/>
    </row>
    <row r="13603" spans="7:7" x14ac:dyDescent="0.2">
      <c r="G13603" s="7"/>
    </row>
    <row r="13604" spans="7:7" x14ac:dyDescent="0.2">
      <c r="G13604" s="7"/>
    </row>
    <row r="13605" spans="7:7" x14ac:dyDescent="0.2">
      <c r="G13605" s="7"/>
    </row>
    <row r="13606" spans="7:7" x14ac:dyDescent="0.2">
      <c r="G13606" s="7"/>
    </row>
    <row r="13607" spans="7:7" x14ac:dyDescent="0.2">
      <c r="G13607" s="7"/>
    </row>
    <row r="13608" spans="7:7" x14ac:dyDescent="0.2">
      <c r="G13608" s="7"/>
    </row>
    <row r="13609" spans="7:7" x14ac:dyDescent="0.2">
      <c r="G13609" s="7"/>
    </row>
    <row r="13610" spans="7:7" x14ac:dyDescent="0.2">
      <c r="G13610" s="7"/>
    </row>
    <row r="13611" spans="7:7" x14ac:dyDescent="0.2">
      <c r="G13611" s="7"/>
    </row>
    <row r="13612" spans="7:7" x14ac:dyDescent="0.2">
      <c r="G13612" s="7"/>
    </row>
    <row r="13613" spans="7:7" x14ac:dyDescent="0.2">
      <c r="G13613" s="7"/>
    </row>
    <row r="13614" spans="7:7" x14ac:dyDescent="0.2">
      <c r="G13614" s="7"/>
    </row>
    <row r="13615" spans="7:7" x14ac:dyDescent="0.2">
      <c r="G13615" s="7"/>
    </row>
    <row r="13616" spans="7:7" x14ac:dyDescent="0.2">
      <c r="G13616" s="7"/>
    </row>
    <row r="13617" spans="7:7" x14ac:dyDescent="0.2">
      <c r="G13617" s="7"/>
    </row>
    <row r="13618" spans="7:7" x14ac:dyDescent="0.2">
      <c r="G13618" s="7"/>
    </row>
    <row r="13619" spans="7:7" x14ac:dyDescent="0.2">
      <c r="G13619" s="7"/>
    </row>
    <row r="13620" spans="7:7" x14ac:dyDescent="0.2">
      <c r="G13620" s="7"/>
    </row>
    <row r="13621" spans="7:7" x14ac:dyDescent="0.2">
      <c r="G13621" s="7"/>
    </row>
    <row r="13622" spans="7:7" x14ac:dyDescent="0.2">
      <c r="G13622" s="7"/>
    </row>
    <row r="13623" spans="7:7" x14ac:dyDescent="0.2">
      <c r="G13623" s="7"/>
    </row>
    <row r="13624" spans="7:7" x14ac:dyDescent="0.2">
      <c r="G13624" s="7"/>
    </row>
    <row r="13625" spans="7:7" x14ac:dyDescent="0.2">
      <c r="G13625" s="7"/>
    </row>
    <row r="13626" spans="7:7" x14ac:dyDescent="0.2">
      <c r="G13626" s="7"/>
    </row>
    <row r="13627" spans="7:7" x14ac:dyDescent="0.2">
      <c r="G13627" s="7"/>
    </row>
    <row r="13628" spans="7:7" x14ac:dyDescent="0.2">
      <c r="G13628" s="7"/>
    </row>
    <row r="13629" spans="7:7" x14ac:dyDescent="0.2">
      <c r="G13629" s="7"/>
    </row>
    <row r="13630" spans="7:7" x14ac:dyDescent="0.2">
      <c r="G13630" s="7"/>
    </row>
    <row r="13631" spans="7:7" x14ac:dyDescent="0.2">
      <c r="G13631" s="7"/>
    </row>
    <row r="13632" spans="7:7" x14ac:dyDescent="0.2">
      <c r="G13632" s="7"/>
    </row>
    <row r="13633" spans="7:7" x14ac:dyDescent="0.2">
      <c r="G13633" s="7"/>
    </row>
    <row r="13634" spans="7:7" x14ac:dyDescent="0.2">
      <c r="G13634" s="7"/>
    </row>
    <row r="13635" spans="7:7" x14ac:dyDescent="0.2">
      <c r="G13635" s="7"/>
    </row>
    <row r="13636" spans="7:7" x14ac:dyDescent="0.2">
      <c r="G13636" s="7"/>
    </row>
    <row r="13637" spans="7:7" x14ac:dyDescent="0.2">
      <c r="G13637" s="7"/>
    </row>
    <row r="13638" spans="7:7" x14ac:dyDescent="0.2">
      <c r="G13638" s="7"/>
    </row>
    <row r="13639" spans="7:7" x14ac:dyDescent="0.2">
      <c r="G13639" s="7"/>
    </row>
    <row r="13640" spans="7:7" x14ac:dyDescent="0.2">
      <c r="G13640" s="7"/>
    </row>
    <row r="13641" spans="7:7" x14ac:dyDescent="0.2">
      <c r="G13641" s="7"/>
    </row>
    <row r="13642" spans="7:7" x14ac:dyDescent="0.2">
      <c r="G13642" s="7"/>
    </row>
    <row r="13643" spans="7:7" x14ac:dyDescent="0.2">
      <c r="G13643" s="7"/>
    </row>
    <row r="13644" spans="7:7" x14ac:dyDescent="0.2">
      <c r="G13644" s="7"/>
    </row>
    <row r="13645" spans="7:7" x14ac:dyDescent="0.2">
      <c r="G13645" s="7"/>
    </row>
    <row r="13646" spans="7:7" x14ac:dyDescent="0.2">
      <c r="G13646" s="7"/>
    </row>
    <row r="13647" spans="7:7" x14ac:dyDescent="0.2">
      <c r="G13647" s="7"/>
    </row>
    <row r="13648" spans="7:7" x14ac:dyDescent="0.2">
      <c r="G13648" s="7"/>
    </row>
    <row r="13649" spans="7:7" x14ac:dyDescent="0.2">
      <c r="G13649" s="7"/>
    </row>
    <row r="13650" spans="7:7" x14ac:dyDescent="0.2">
      <c r="G13650" s="7"/>
    </row>
    <row r="13651" spans="7:7" x14ac:dyDescent="0.2">
      <c r="G13651" s="7"/>
    </row>
    <row r="13652" spans="7:7" x14ac:dyDescent="0.2">
      <c r="G13652" s="7"/>
    </row>
    <row r="13653" spans="7:7" x14ac:dyDescent="0.2">
      <c r="G13653" s="7"/>
    </row>
    <row r="13654" spans="7:7" x14ac:dyDescent="0.2">
      <c r="G13654" s="7"/>
    </row>
    <row r="13655" spans="7:7" x14ac:dyDescent="0.2">
      <c r="G13655" s="7"/>
    </row>
    <row r="13656" spans="7:7" x14ac:dyDescent="0.2">
      <c r="G13656" s="7"/>
    </row>
    <row r="13657" spans="7:7" x14ac:dyDescent="0.2">
      <c r="G13657" s="7"/>
    </row>
    <row r="13658" spans="7:7" x14ac:dyDescent="0.2">
      <c r="G13658" s="7"/>
    </row>
    <row r="13659" spans="7:7" x14ac:dyDescent="0.2">
      <c r="G13659" s="7"/>
    </row>
    <row r="13660" spans="7:7" x14ac:dyDescent="0.2">
      <c r="G13660" s="7"/>
    </row>
    <row r="13661" spans="7:7" x14ac:dyDescent="0.2">
      <c r="G13661" s="7"/>
    </row>
    <row r="13662" spans="7:7" x14ac:dyDescent="0.2">
      <c r="G13662" s="7"/>
    </row>
    <row r="13663" spans="7:7" x14ac:dyDescent="0.2">
      <c r="G13663" s="7"/>
    </row>
    <row r="13664" spans="7:7" x14ac:dyDescent="0.2">
      <c r="G13664" s="7"/>
    </row>
    <row r="13665" spans="7:7" x14ac:dyDescent="0.2">
      <c r="G13665" s="7"/>
    </row>
    <row r="13666" spans="7:7" x14ac:dyDescent="0.2">
      <c r="G13666" s="7"/>
    </row>
    <row r="13667" spans="7:7" x14ac:dyDescent="0.2">
      <c r="G13667" s="7"/>
    </row>
    <row r="13668" spans="7:7" x14ac:dyDescent="0.2">
      <c r="G13668" s="7"/>
    </row>
    <row r="13669" spans="7:7" x14ac:dyDescent="0.2">
      <c r="G13669" s="7"/>
    </row>
    <row r="13670" spans="7:7" x14ac:dyDescent="0.2">
      <c r="G13670" s="7"/>
    </row>
    <row r="13671" spans="7:7" x14ac:dyDescent="0.2">
      <c r="G13671" s="7"/>
    </row>
    <row r="13672" spans="7:7" x14ac:dyDescent="0.2">
      <c r="G13672" s="7"/>
    </row>
    <row r="13673" spans="7:7" x14ac:dyDescent="0.2">
      <c r="G13673" s="7"/>
    </row>
    <row r="13674" spans="7:7" x14ac:dyDescent="0.2">
      <c r="G13674" s="7"/>
    </row>
    <row r="13675" spans="7:7" x14ac:dyDescent="0.2">
      <c r="G13675" s="7"/>
    </row>
    <row r="13676" spans="7:7" x14ac:dyDescent="0.2">
      <c r="G13676" s="7"/>
    </row>
    <row r="13677" spans="7:7" x14ac:dyDescent="0.2">
      <c r="G13677" s="7"/>
    </row>
    <row r="13678" spans="7:7" x14ac:dyDescent="0.2">
      <c r="G13678" s="7"/>
    </row>
    <row r="13679" spans="7:7" x14ac:dyDescent="0.2">
      <c r="G13679" s="7"/>
    </row>
    <row r="13680" spans="7:7" x14ac:dyDescent="0.2">
      <c r="G13680" s="7"/>
    </row>
    <row r="13681" spans="7:7" x14ac:dyDescent="0.2">
      <c r="G13681" s="7"/>
    </row>
    <row r="13682" spans="7:7" x14ac:dyDescent="0.2">
      <c r="G13682" s="7"/>
    </row>
    <row r="13683" spans="7:7" x14ac:dyDescent="0.2">
      <c r="G13683" s="7"/>
    </row>
    <row r="13684" spans="7:7" x14ac:dyDescent="0.2">
      <c r="G13684" s="7"/>
    </row>
    <row r="13685" spans="7:7" x14ac:dyDescent="0.2">
      <c r="G13685" s="7"/>
    </row>
    <row r="13686" spans="7:7" x14ac:dyDescent="0.2">
      <c r="G13686" s="7"/>
    </row>
    <row r="13687" spans="7:7" x14ac:dyDescent="0.2">
      <c r="G13687" s="7"/>
    </row>
    <row r="13688" spans="7:7" x14ac:dyDescent="0.2">
      <c r="G13688" s="7"/>
    </row>
    <row r="13689" spans="7:7" x14ac:dyDescent="0.2">
      <c r="G13689" s="7"/>
    </row>
    <row r="13690" spans="7:7" x14ac:dyDescent="0.2">
      <c r="G13690" s="7"/>
    </row>
    <row r="13691" spans="7:7" x14ac:dyDescent="0.2">
      <c r="G13691" s="7"/>
    </row>
    <row r="13692" spans="7:7" x14ac:dyDescent="0.2">
      <c r="G13692" s="7"/>
    </row>
    <row r="13693" spans="7:7" x14ac:dyDescent="0.2">
      <c r="G13693" s="7"/>
    </row>
    <row r="13694" spans="7:7" x14ac:dyDescent="0.2">
      <c r="G13694" s="7"/>
    </row>
    <row r="13695" spans="7:7" x14ac:dyDescent="0.2">
      <c r="G13695" s="7"/>
    </row>
    <row r="13696" spans="7:7" x14ac:dyDescent="0.2">
      <c r="G13696" s="7"/>
    </row>
    <row r="13697" spans="7:7" x14ac:dyDescent="0.2">
      <c r="G13697" s="7"/>
    </row>
    <row r="13698" spans="7:7" x14ac:dyDescent="0.2">
      <c r="G13698" s="7"/>
    </row>
    <row r="13699" spans="7:7" x14ac:dyDescent="0.2">
      <c r="G13699" s="7"/>
    </row>
    <row r="13700" spans="7:7" x14ac:dyDescent="0.2">
      <c r="G13700" s="7"/>
    </row>
    <row r="13701" spans="7:7" x14ac:dyDescent="0.2">
      <c r="G13701" s="7"/>
    </row>
    <row r="13702" spans="7:7" x14ac:dyDescent="0.2">
      <c r="G13702" s="7"/>
    </row>
    <row r="13703" spans="7:7" x14ac:dyDescent="0.2">
      <c r="G13703" s="7"/>
    </row>
    <row r="13704" spans="7:7" x14ac:dyDescent="0.2">
      <c r="G13704" s="7"/>
    </row>
    <row r="13705" spans="7:7" x14ac:dyDescent="0.2">
      <c r="G13705" s="7"/>
    </row>
    <row r="13706" spans="7:7" x14ac:dyDescent="0.2">
      <c r="G13706" s="7"/>
    </row>
    <row r="13707" spans="7:7" x14ac:dyDescent="0.2">
      <c r="G13707" s="7"/>
    </row>
    <row r="13708" spans="7:7" x14ac:dyDescent="0.2">
      <c r="G13708" s="7"/>
    </row>
    <row r="13709" spans="7:7" x14ac:dyDescent="0.2">
      <c r="G13709" s="7"/>
    </row>
    <row r="13710" spans="7:7" x14ac:dyDescent="0.2">
      <c r="G13710" s="7"/>
    </row>
    <row r="13711" spans="7:7" x14ac:dyDescent="0.2">
      <c r="G13711" s="7"/>
    </row>
    <row r="13712" spans="7:7" x14ac:dyDescent="0.2">
      <c r="G13712" s="7"/>
    </row>
    <row r="13713" spans="7:7" x14ac:dyDescent="0.2">
      <c r="G13713" s="7"/>
    </row>
    <row r="13714" spans="7:7" x14ac:dyDescent="0.2">
      <c r="G13714" s="7"/>
    </row>
    <row r="13715" spans="7:7" x14ac:dyDescent="0.2">
      <c r="G13715" s="7"/>
    </row>
    <row r="13716" spans="7:7" x14ac:dyDescent="0.2">
      <c r="G13716" s="7"/>
    </row>
    <row r="13717" spans="7:7" x14ac:dyDescent="0.2">
      <c r="G13717" s="7"/>
    </row>
    <row r="13718" spans="7:7" x14ac:dyDescent="0.2">
      <c r="G13718" s="7"/>
    </row>
    <row r="13719" spans="7:7" x14ac:dyDescent="0.2">
      <c r="G13719" s="7"/>
    </row>
    <row r="13720" spans="7:7" x14ac:dyDescent="0.2">
      <c r="G13720" s="7"/>
    </row>
    <row r="13721" spans="7:7" x14ac:dyDescent="0.2">
      <c r="G13721" s="7"/>
    </row>
    <row r="13722" spans="7:7" x14ac:dyDescent="0.2">
      <c r="G13722" s="7"/>
    </row>
    <row r="13723" spans="7:7" x14ac:dyDescent="0.2">
      <c r="G13723" s="7"/>
    </row>
    <row r="13724" spans="7:7" x14ac:dyDescent="0.2">
      <c r="G13724" s="7"/>
    </row>
    <row r="13725" spans="7:7" x14ac:dyDescent="0.2">
      <c r="G13725" s="7"/>
    </row>
    <row r="13726" spans="7:7" x14ac:dyDescent="0.2">
      <c r="G13726" s="7"/>
    </row>
    <row r="13727" spans="7:7" x14ac:dyDescent="0.2">
      <c r="G13727" s="7"/>
    </row>
    <row r="13728" spans="7:7" x14ac:dyDescent="0.2">
      <c r="G13728" s="7"/>
    </row>
    <row r="13729" spans="7:7" x14ac:dyDescent="0.2">
      <c r="G13729" s="7"/>
    </row>
    <row r="13730" spans="7:7" x14ac:dyDescent="0.2">
      <c r="G13730" s="7"/>
    </row>
    <row r="13731" spans="7:7" x14ac:dyDescent="0.2">
      <c r="G13731" s="7"/>
    </row>
    <row r="13732" spans="7:7" x14ac:dyDescent="0.2">
      <c r="G13732" s="7"/>
    </row>
    <row r="13733" spans="7:7" x14ac:dyDescent="0.2">
      <c r="G13733" s="7"/>
    </row>
    <row r="13734" spans="7:7" x14ac:dyDescent="0.2">
      <c r="G13734" s="7"/>
    </row>
    <row r="13735" spans="7:7" x14ac:dyDescent="0.2">
      <c r="G13735" s="7"/>
    </row>
    <row r="13736" spans="7:7" x14ac:dyDescent="0.2">
      <c r="G13736" s="7"/>
    </row>
    <row r="13737" spans="7:7" x14ac:dyDescent="0.2">
      <c r="G13737" s="7"/>
    </row>
    <row r="13738" spans="7:7" x14ac:dyDescent="0.2">
      <c r="G13738" s="7"/>
    </row>
    <row r="13739" spans="7:7" x14ac:dyDescent="0.2">
      <c r="G13739" s="7"/>
    </row>
    <row r="13740" spans="7:7" x14ac:dyDescent="0.2">
      <c r="G13740" s="7"/>
    </row>
    <row r="13741" spans="7:7" x14ac:dyDescent="0.2">
      <c r="G13741" s="7"/>
    </row>
    <row r="13742" spans="7:7" x14ac:dyDescent="0.2">
      <c r="G13742" s="7"/>
    </row>
    <row r="13743" spans="7:7" x14ac:dyDescent="0.2">
      <c r="G13743" s="7"/>
    </row>
    <row r="13744" spans="7:7" x14ac:dyDescent="0.2">
      <c r="G13744" s="7"/>
    </row>
    <row r="13745" spans="7:7" x14ac:dyDescent="0.2">
      <c r="G13745" s="7"/>
    </row>
    <row r="13746" spans="7:7" x14ac:dyDescent="0.2">
      <c r="G13746" s="7"/>
    </row>
    <row r="13747" spans="7:7" x14ac:dyDescent="0.2">
      <c r="G13747" s="7"/>
    </row>
    <row r="13748" spans="7:7" x14ac:dyDescent="0.2">
      <c r="G13748" s="7"/>
    </row>
    <row r="13749" spans="7:7" x14ac:dyDescent="0.2">
      <c r="G13749" s="7"/>
    </row>
    <row r="13750" spans="7:7" x14ac:dyDescent="0.2">
      <c r="G13750" s="7"/>
    </row>
    <row r="13751" spans="7:7" x14ac:dyDescent="0.2">
      <c r="G13751" s="7"/>
    </row>
    <row r="13752" spans="7:7" x14ac:dyDescent="0.2">
      <c r="G13752" s="7"/>
    </row>
    <row r="13753" spans="7:7" x14ac:dyDescent="0.2">
      <c r="G13753" s="7"/>
    </row>
    <row r="13754" spans="7:7" x14ac:dyDescent="0.2">
      <c r="G13754" s="7"/>
    </row>
    <row r="13755" spans="7:7" x14ac:dyDescent="0.2">
      <c r="G13755" s="7"/>
    </row>
    <row r="13756" spans="7:7" x14ac:dyDescent="0.2">
      <c r="G13756" s="7"/>
    </row>
    <row r="13757" spans="7:7" x14ac:dyDescent="0.2">
      <c r="G13757" s="7"/>
    </row>
    <row r="13758" spans="7:7" x14ac:dyDescent="0.2">
      <c r="G13758" s="7"/>
    </row>
    <row r="13759" spans="7:7" x14ac:dyDescent="0.2">
      <c r="G13759" s="7"/>
    </row>
    <row r="13760" spans="7:7" x14ac:dyDescent="0.2">
      <c r="G13760" s="7"/>
    </row>
    <row r="13761" spans="7:7" x14ac:dyDescent="0.2">
      <c r="G13761" s="7"/>
    </row>
    <row r="13762" spans="7:7" x14ac:dyDescent="0.2">
      <c r="G13762" s="7"/>
    </row>
    <row r="13763" spans="7:7" x14ac:dyDescent="0.2">
      <c r="G13763" s="7"/>
    </row>
    <row r="13764" spans="7:7" x14ac:dyDescent="0.2">
      <c r="G13764" s="7"/>
    </row>
    <row r="13765" spans="7:7" x14ac:dyDescent="0.2">
      <c r="G13765" s="7"/>
    </row>
    <row r="13766" spans="7:7" x14ac:dyDescent="0.2">
      <c r="G13766" s="7"/>
    </row>
    <row r="13767" spans="7:7" x14ac:dyDescent="0.2">
      <c r="G13767" s="7"/>
    </row>
    <row r="13768" spans="7:7" x14ac:dyDescent="0.2">
      <c r="G13768" s="7"/>
    </row>
    <row r="13769" spans="7:7" x14ac:dyDescent="0.2">
      <c r="G13769" s="7"/>
    </row>
    <row r="13770" spans="7:7" x14ac:dyDescent="0.2">
      <c r="G13770" s="7"/>
    </row>
    <row r="13771" spans="7:7" x14ac:dyDescent="0.2">
      <c r="G13771" s="7"/>
    </row>
    <row r="13772" spans="7:7" x14ac:dyDescent="0.2">
      <c r="G13772" s="7"/>
    </row>
    <row r="13773" spans="7:7" x14ac:dyDescent="0.2">
      <c r="G13773" s="7"/>
    </row>
    <row r="13774" spans="7:7" x14ac:dyDescent="0.2">
      <c r="G13774" s="7"/>
    </row>
    <row r="13775" spans="7:7" x14ac:dyDescent="0.2">
      <c r="G13775" s="7"/>
    </row>
    <row r="13776" spans="7:7" x14ac:dyDescent="0.2">
      <c r="G13776" s="7"/>
    </row>
    <row r="13777" spans="7:7" x14ac:dyDescent="0.2">
      <c r="G13777" s="7"/>
    </row>
    <row r="13778" spans="7:7" x14ac:dyDescent="0.2">
      <c r="G13778" s="7"/>
    </row>
    <row r="13779" spans="7:7" x14ac:dyDescent="0.2">
      <c r="G13779" s="7"/>
    </row>
    <row r="13780" spans="7:7" x14ac:dyDescent="0.2">
      <c r="G13780" s="7"/>
    </row>
    <row r="13781" spans="7:7" x14ac:dyDescent="0.2">
      <c r="G13781" s="7"/>
    </row>
    <row r="13782" spans="7:7" x14ac:dyDescent="0.2">
      <c r="G13782" s="7"/>
    </row>
    <row r="13783" spans="7:7" x14ac:dyDescent="0.2">
      <c r="G13783" s="7"/>
    </row>
    <row r="13784" spans="7:7" x14ac:dyDescent="0.2">
      <c r="G13784" s="7"/>
    </row>
    <row r="13785" spans="7:7" x14ac:dyDescent="0.2">
      <c r="G13785" s="7"/>
    </row>
    <row r="13786" spans="7:7" x14ac:dyDescent="0.2">
      <c r="G13786" s="7"/>
    </row>
    <row r="13787" spans="7:7" x14ac:dyDescent="0.2">
      <c r="G13787" s="7"/>
    </row>
    <row r="13788" spans="7:7" x14ac:dyDescent="0.2">
      <c r="G13788" s="7"/>
    </row>
    <row r="13789" spans="7:7" x14ac:dyDescent="0.2">
      <c r="G13789" s="7"/>
    </row>
    <row r="13790" spans="7:7" x14ac:dyDescent="0.2">
      <c r="G13790" s="7"/>
    </row>
    <row r="13791" spans="7:7" x14ac:dyDescent="0.2">
      <c r="G13791" s="7"/>
    </row>
    <row r="13792" spans="7:7" x14ac:dyDescent="0.2">
      <c r="G13792" s="7"/>
    </row>
    <row r="13793" spans="7:7" x14ac:dyDescent="0.2">
      <c r="G13793" s="7"/>
    </row>
    <row r="13794" spans="7:7" x14ac:dyDescent="0.2">
      <c r="G13794" s="7"/>
    </row>
    <row r="13795" spans="7:7" x14ac:dyDescent="0.2">
      <c r="G13795" s="7"/>
    </row>
    <row r="13796" spans="7:7" x14ac:dyDescent="0.2">
      <c r="G13796" s="7"/>
    </row>
    <row r="13797" spans="7:7" x14ac:dyDescent="0.2">
      <c r="G13797" s="7"/>
    </row>
    <row r="13798" spans="7:7" x14ac:dyDescent="0.2">
      <c r="G13798" s="7"/>
    </row>
    <row r="13799" spans="7:7" x14ac:dyDescent="0.2">
      <c r="G13799" s="7"/>
    </row>
    <row r="13800" spans="7:7" x14ac:dyDescent="0.2">
      <c r="G13800" s="7"/>
    </row>
    <row r="13801" spans="7:7" x14ac:dyDescent="0.2">
      <c r="G13801" s="7"/>
    </row>
    <row r="13802" spans="7:7" x14ac:dyDescent="0.2">
      <c r="G13802" s="7"/>
    </row>
    <row r="13803" spans="7:7" x14ac:dyDescent="0.2">
      <c r="G13803" s="7"/>
    </row>
    <row r="13804" spans="7:7" x14ac:dyDescent="0.2">
      <c r="G13804" s="7"/>
    </row>
    <row r="13805" spans="7:7" x14ac:dyDescent="0.2">
      <c r="G13805" s="7"/>
    </row>
    <row r="13806" spans="7:7" x14ac:dyDescent="0.2">
      <c r="G13806" s="7"/>
    </row>
    <row r="13807" spans="7:7" x14ac:dyDescent="0.2">
      <c r="G13807" s="7"/>
    </row>
    <row r="13808" spans="7:7" x14ac:dyDescent="0.2">
      <c r="G13808" s="7"/>
    </row>
    <row r="13809" spans="7:7" x14ac:dyDescent="0.2">
      <c r="G13809" s="7"/>
    </row>
    <row r="13810" spans="7:7" x14ac:dyDescent="0.2">
      <c r="G13810" s="7"/>
    </row>
    <row r="13811" spans="7:7" x14ac:dyDescent="0.2">
      <c r="G13811" s="7"/>
    </row>
    <row r="13812" spans="7:7" x14ac:dyDescent="0.2">
      <c r="G13812" s="7"/>
    </row>
    <row r="13813" spans="7:7" x14ac:dyDescent="0.2">
      <c r="G13813" s="7"/>
    </row>
    <row r="13814" spans="7:7" x14ac:dyDescent="0.2">
      <c r="G13814" s="7"/>
    </row>
    <row r="13815" spans="7:7" x14ac:dyDescent="0.2">
      <c r="G13815" s="7"/>
    </row>
    <row r="13816" spans="7:7" x14ac:dyDescent="0.2">
      <c r="G13816" s="7"/>
    </row>
    <row r="13817" spans="7:7" x14ac:dyDescent="0.2">
      <c r="G13817" s="7"/>
    </row>
    <row r="13818" spans="7:7" x14ac:dyDescent="0.2">
      <c r="G13818" s="7"/>
    </row>
    <row r="13819" spans="7:7" x14ac:dyDescent="0.2">
      <c r="G13819" s="7"/>
    </row>
    <row r="13820" spans="7:7" x14ac:dyDescent="0.2">
      <c r="G13820" s="7"/>
    </row>
    <row r="13821" spans="7:7" x14ac:dyDescent="0.2">
      <c r="G13821" s="7"/>
    </row>
    <row r="13822" spans="7:7" x14ac:dyDescent="0.2">
      <c r="G13822" s="7"/>
    </row>
    <row r="13823" spans="7:7" x14ac:dyDescent="0.2">
      <c r="G13823" s="7"/>
    </row>
    <row r="13824" spans="7:7" x14ac:dyDescent="0.2">
      <c r="G13824" s="7"/>
    </row>
    <row r="13825" spans="7:7" x14ac:dyDescent="0.2">
      <c r="G13825" s="7"/>
    </row>
    <row r="13826" spans="7:7" x14ac:dyDescent="0.2">
      <c r="G13826" s="7"/>
    </row>
    <row r="13827" spans="7:7" x14ac:dyDescent="0.2">
      <c r="G13827" s="7"/>
    </row>
    <row r="13828" spans="7:7" x14ac:dyDescent="0.2">
      <c r="G13828" s="7"/>
    </row>
    <row r="13829" spans="7:7" x14ac:dyDescent="0.2">
      <c r="G13829" s="7"/>
    </row>
    <row r="13830" spans="7:7" x14ac:dyDescent="0.2">
      <c r="G13830" s="7"/>
    </row>
    <row r="13831" spans="7:7" x14ac:dyDescent="0.2">
      <c r="G13831" s="7"/>
    </row>
    <row r="13832" spans="7:7" x14ac:dyDescent="0.2">
      <c r="G13832" s="7"/>
    </row>
    <row r="13833" spans="7:7" x14ac:dyDescent="0.2">
      <c r="G13833" s="7"/>
    </row>
    <row r="13834" spans="7:7" x14ac:dyDescent="0.2">
      <c r="G13834" s="7"/>
    </row>
    <row r="13835" spans="7:7" x14ac:dyDescent="0.2">
      <c r="G13835" s="7"/>
    </row>
    <row r="13836" spans="7:7" x14ac:dyDescent="0.2">
      <c r="G13836" s="7"/>
    </row>
    <row r="13837" spans="7:7" x14ac:dyDescent="0.2">
      <c r="G13837" s="7"/>
    </row>
    <row r="13838" spans="7:7" x14ac:dyDescent="0.2">
      <c r="G13838" s="7"/>
    </row>
    <row r="13839" spans="7:7" x14ac:dyDescent="0.2">
      <c r="G13839" s="7"/>
    </row>
    <row r="13840" spans="7:7" x14ac:dyDescent="0.2">
      <c r="G13840" s="7"/>
    </row>
    <row r="13841" spans="7:7" x14ac:dyDescent="0.2">
      <c r="G13841" s="7"/>
    </row>
    <row r="13842" spans="7:7" x14ac:dyDescent="0.2">
      <c r="G13842" s="7"/>
    </row>
    <row r="13843" spans="7:7" x14ac:dyDescent="0.2">
      <c r="G13843" s="7"/>
    </row>
    <row r="13844" spans="7:7" x14ac:dyDescent="0.2">
      <c r="G13844" s="7"/>
    </row>
    <row r="13845" spans="7:7" x14ac:dyDescent="0.2">
      <c r="G13845" s="7"/>
    </row>
    <row r="13846" spans="7:7" x14ac:dyDescent="0.2">
      <c r="G13846" s="7"/>
    </row>
    <row r="13847" spans="7:7" x14ac:dyDescent="0.2">
      <c r="G13847" s="7"/>
    </row>
    <row r="13848" spans="7:7" x14ac:dyDescent="0.2">
      <c r="G13848" s="7"/>
    </row>
    <row r="13849" spans="7:7" x14ac:dyDescent="0.2">
      <c r="G13849" s="7"/>
    </row>
    <row r="13850" spans="7:7" x14ac:dyDescent="0.2">
      <c r="G13850" s="7"/>
    </row>
    <row r="13851" spans="7:7" x14ac:dyDescent="0.2">
      <c r="G13851" s="7"/>
    </row>
    <row r="13852" spans="7:7" x14ac:dyDescent="0.2">
      <c r="G13852" s="7"/>
    </row>
    <row r="13853" spans="7:7" x14ac:dyDescent="0.2">
      <c r="G13853" s="7"/>
    </row>
    <row r="13854" spans="7:7" x14ac:dyDescent="0.2">
      <c r="G13854" s="7"/>
    </row>
    <row r="13855" spans="7:7" x14ac:dyDescent="0.2">
      <c r="G13855" s="7"/>
    </row>
    <row r="13856" spans="7:7" x14ac:dyDescent="0.2">
      <c r="G13856" s="7"/>
    </row>
    <row r="13857" spans="7:7" x14ac:dyDescent="0.2">
      <c r="G13857" s="7"/>
    </row>
    <row r="13858" spans="7:7" x14ac:dyDescent="0.2">
      <c r="G13858" s="7"/>
    </row>
    <row r="13859" spans="7:7" x14ac:dyDescent="0.2">
      <c r="G13859" s="7"/>
    </row>
    <row r="13860" spans="7:7" x14ac:dyDescent="0.2">
      <c r="G13860" s="7"/>
    </row>
    <row r="13861" spans="7:7" x14ac:dyDescent="0.2">
      <c r="G13861" s="7"/>
    </row>
    <row r="13862" spans="7:7" x14ac:dyDescent="0.2">
      <c r="G13862" s="7"/>
    </row>
    <row r="13863" spans="7:7" x14ac:dyDescent="0.2">
      <c r="G13863" s="7"/>
    </row>
    <row r="13864" spans="7:7" x14ac:dyDescent="0.2">
      <c r="G13864" s="7"/>
    </row>
    <row r="13865" spans="7:7" x14ac:dyDescent="0.2">
      <c r="G13865" s="7"/>
    </row>
    <row r="13866" spans="7:7" x14ac:dyDescent="0.2">
      <c r="G13866" s="7"/>
    </row>
    <row r="13867" spans="7:7" x14ac:dyDescent="0.2">
      <c r="G13867" s="7"/>
    </row>
    <row r="13868" spans="7:7" x14ac:dyDescent="0.2">
      <c r="G13868" s="7"/>
    </row>
    <row r="13869" spans="7:7" x14ac:dyDescent="0.2">
      <c r="G13869" s="7"/>
    </row>
    <row r="13870" spans="7:7" x14ac:dyDescent="0.2">
      <c r="G13870" s="7"/>
    </row>
    <row r="13871" spans="7:7" x14ac:dyDescent="0.2">
      <c r="G13871" s="7"/>
    </row>
    <row r="13872" spans="7:7" x14ac:dyDescent="0.2">
      <c r="G13872" s="7"/>
    </row>
    <row r="13873" spans="7:7" x14ac:dyDescent="0.2">
      <c r="G13873" s="7"/>
    </row>
    <row r="13874" spans="7:7" x14ac:dyDescent="0.2">
      <c r="G13874" s="7"/>
    </row>
    <row r="13875" spans="7:7" x14ac:dyDescent="0.2">
      <c r="G13875" s="7"/>
    </row>
    <row r="13876" spans="7:7" x14ac:dyDescent="0.2">
      <c r="G13876" s="7"/>
    </row>
    <row r="13877" spans="7:7" x14ac:dyDescent="0.2">
      <c r="G13877" s="7"/>
    </row>
    <row r="13878" spans="7:7" x14ac:dyDescent="0.2">
      <c r="G13878" s="7"/>
    </row>
    <row r="13879" spans="7:7" x14ac:dyDescent="0.2">
      <c r="G13879" s="7"/>
    </row>
    <row r="13880" spans="7:7" x14ac:dyDescent="0.2">
      <c r="G13880" s="7"/>
    </row>
    <row r="13881" spans="7:7" x14ac:dyDescent="0.2">
      <c r="G13881" s="7"/>
    </row>
    <row r="13882" spans="7:7" x14ac:dyDescent="0.2">
      <c r="G13882" s="7"/>
    </row>
    <row r="13883" spans="7:7" x14ac:dyDescent="0.2">
      <c r="G13883" s="7"/>
    </row>
    <row r="13884" spans="7:7" x14ac:dyDescent="0.2">
      <c r="G13884" s="7"/>
    </row>
    <row r="13885" spans="7:7" x14ac:dyDescent="0.2">
      <c r="G13885" s="7"/>
    </row>
    <row r="13886" spans="7:7" x14ac:dyDescent="0.2">
      <c r="G13886" s="7"/>
    </row>
    <row r="13887" spans="7:7" x14ac:dyDescent="0.2">
      <c r="G13887" s="7"/>
    </row>
    <row r="13888" spans="7:7" x14ac:dyDescent="0.2">
      <c r="G13888" s="7"/>
    </row>
    <row r="13889" spans="7:7" x14ac:dyDescent="0.2">
      <c r="G13889" s="7"/>
    </row>
    <row r="13890" spans="7:7" x14ac:dyDescent="0.2">
      <c r="G13890" s="7"/>
    </row>
    <row r="13891" spans="7:7" x14ac:dyDescent="0.2">
      <c r="G13891" s="7"/>
    </row>
    <row r="13892" spans="7:7" x14ac:dyDescent="0.2">
      <c r="G13892" s="7"/>
    </row>
    <row r="13893" spans="7:7" x14ac:dyDescent="0.2">
      <c r="G13893" s="7"/>
    </row>
    <row r="13894" spans="7:7" x14ac:dyDescent="0.2">
      <c r="G13894" s="7"/>
    </row>
    <row r="13895" spans="7:7" x14ac:dyDescent="0.2">
      <c r="G13895" s="7"/>
    </row>
    <row r="13896" spans="7:7" x14ac:dyDescent="0.2">
      <c r="G13896" s="7"/>
    </row>
    <row r="13897" spans="7:7" x14ac:dyDescent="0.2">
      <c r="G13897" s="7"/>
    </row>
    <row r="13898" spans="7:7" x14ac:dyDescent="0.2">
      <c r="G13898" s="7"/>
    </row>
    <row r="13899" spans="7:7" x14ac:dyDescent="0.2">
      <c r="G13899" s="7"/>
    </row>
    <row r="13900" spans="7:7" x14ac:dyDescent="0.2">
      <c r="G13900" s="7"/>
    </row>
    <row r="13901" spans="7:7" x14ac:dyDescent="0.2">
      <c r="G13901" s="7"/>
    </row>
    <row r="13902" spans="7:7" x14ac:dyDescent="0.2">
      <c r="G13902" s="7"/>
    </row>
    <row r="13903" spans="7:7" x14ac:dyDescent="0.2">
      <c r="G13903" s="7"/>
    </row>
    <row r="13904" spans="7:7" x14ac:dyDescent="0.2">
      <c r="G13904" s="7"/>
    </row>
    <row r="13905" spans="7:7" x14ac:dyDescent="0.2">
      <c r="G13905" s="7"/>
    </row>
    <row r="13906" spans="7:7" x14ac:dyDescent="0.2">
      <c r="G13906" s="7"/>
    </row>
    <row r="13907" spans="7:7" x14ac:dyDescent="0.2">
      <c r="G13907" s="7"/>
    </row>
    <row r="13908" spans="7:7" x14ac:dyDescent="0.2">
      <c r="G13908" s="7"/>
    </row>
    <row r="13909" spans="7:7" x14ac:dyDescent="0.2">
      <c r="G13909" s="7"/>
    </row>
    <row r="13910" spans="7:7" x14ac:dyDescent="0.2">
      <c r="G13910" s="7"/>
    </row>
    <row r="13911" spans="7:7" x14ac:dyDescent="0.2">
      <c r="G13911" s="7"/>
    </row>
    <row r="13912" spans="7:7" x14ac:dyDescent="0.2">
      <c r="G13912" s="7"/>
    </row>
    <row r="13913" spans="7:7" x14ac:dyDescent="0.2">
      <c r="G13913" s="7"/>
    </row>
    <row r="13914" spans="7:7" x14ac:dyDescent="0.2">
      <c r="G13914" s="7"/>
    </row>
    <row r="13915" spans="7:7" x14ac:dyDescent="0.2">
      <c r="G13915" s="7"/>
    </row>
    <row r="13916" spans="7:7" x14ac:dyDescent="0.2">
      <c r="G13916" s="7"/>
    </row>
    <row r="13917" spans="7:7" x14ac:dyDescent="0.2">
      <c r="G13917" s="7"/>
    </row>
    <row r="13918" spans="7:7" x14ac:dyDescent="0.2">
      <c r="G13918" s="7"/>
    </row>
    <row r="13919" spans="7:7" x14ac:dyDescent="0.2">
      <c r="G13919" s="7"/>
    </row>
    <row r="13920" spans="7:7" x14ac:dyDescent="0.2">
      <c r="G13920" s="7"/>
    </row>
    <row r="13921" spans="7:7" x14ac:dyDescent="0.2">
      <c r="G13921" s="7"/>
    </row>
    <row r="13922" spans="7:7" x14ac:dyDescent="0.2">
      <c r="G13922" s="7"/>
    </row>
    <row r="13923" spans="7:7" x14ac:dyDescent="0.2">
      <c r="G13923" s="7"/>
    </row>
    <row r="13924" spans="7:7" x14ac:dyDescent="0.2">
      <c r="G13924" s="7"/>
    </row>
    <row r="13925" spans="7:7" x14ac:dyDescent="0.2">
      <c r="G13925" s="7"/>
    </row>
    <row r="13926" spans="7:7" x14ac:dyDescent="0.2">
      <c r="G13926" s="7"/>
    </row>
    <row r="13927" spans="7:7" x14ac:dyDescent="0.2">
      <c r="G13927" s="7"/>
    </row>
    <row r="13928" spans="7:7" x14ac:dyDescent="0.2">
      <c r="G13928" s="7"/>
    </row>
    <row r="13929" spans="7:7" x14ac:dyDescent="0.2">
      <c r="G13929" s="7"/>
    </row>
    <row r="13930" spans="7:7" x14ac:dyDescent="0.2">
      <c r="G13930" s="7"/>
    </row>
    <row r="13931" spans="7:7" x14ac:dyDescent="0.2">
      <c r="G13931" s="7"/>
    </row>
    <row r="13932" spans="7:7" x14ac:dyDescent="0.2">
      <c r="G13932" s="7"/>
    </row>
    <row r="13933" spans="7:7" x14ac:dyDescent="0.2">
      <c r="G13933" s="7"/>
    </row>
    <row r="13934" spans="7:7" x14ac:dyDescent="0.2">
      <c r="G13934" s="7"/>
    </row>
    <row r="13935" spans="7:7" x14ac:dyDescent="0.2">
      <c r="G13935" s="7"/>
    </row>
    <row r="13936" spans="7:7" x14ac:dyDescent="0.2">
      <c r="G13936" s="7"/>
    </row>
    <row r="13937" spans="7:7" x14ac:dyDescent="0.2">
      <c r="G13937" s="7"/>
    </row>
    <row r="13938" spans="7:7" x14ac:dyDescent="0.2">
      <c r="G13938" s="7"/>
    </row>
    <row r="13939" spans="7:7" x14ac:dyDescent="0.2">
      <c r="G13939" s="7"/>
    </row>
    <row r="13940" spans="7:7" x14ac:dyDescent="0.2">
      <c r="G13940" s="7"/>
    </row>
    <row r="13941" spans="7:7" x14ac:dyDescent="0.2">
      <c r="G13941" s="7"/>
    </row>
    <row r="13942" spans="7:7" x14ac:dyDescent="0.2">
      <c r="G13942" s="7"/>
    </row>
    <row r="13943" spans="7:7" x14ac:dyDescent="0.2">
      <c r="G13943" s="7"/>
    </row>
    <row r="13944" spans="7:7" x14ac:dyDescent="0.2">
      <c r="G13944" s="7"/>
    </row>
    <row r="13945" spans="7:7" x14ac:dyDescent="0.2">
      <c r="G13945" s="7"/>
    </row>
    <row r="13946" spans="7:7" x14ac:dyDescent="0.2">
      <c r="G13946" s="7"/>
    </row>
    <row r="13947" spans="7:7" x14ac:dyDescent="0.2">
      <c r="G13947" s="7"/>
    </row>
    <row r="13948" spans="7:7" x14ac:dyDescent="0.2">
      <c r="G13948" s="7"/>
    </row>
    <row r="13949" spans="7:7" x14ac:dyDescent="0.2">
      <c r="G13949" s="7"/>
    </row>
    <row r="13950" spans="7:7" x14ac:dyDescent="0.2">
      <c r="G13950" s="7"/>
    </row>
    <row r="13951" spans="7:7" x14ac:dyDescent="0.2">
      <c r="G13951" s="7"/>
    </row>
    <row r="13952" spans="7:7" x14ac:dyDescent="0.2">
      <c r="G13952" s="7"/>
    </row>
    <row r="13953" spans="7:7" x14ac:dyDescent="0.2">
      <c r="G13953" s="7"/>
    </row>
    <row r="13954" spans="7:7" x14ac:dyDescent="0.2">
      <c r="G13954" s="7"/>
    </row>
    <row r="13955" spans="7:7" x14ac:dyDescent="0.2">
      <c r="G13955" s="7"/>
    </row>
    <row r="13956" spans="7:7" x14ac:dyDescent="0.2">
      <c r="G13956" s="7"/>
    </row>
    <row r="13957" spans="7:7" x14ac:dyDescent="0.2">
      <c r="G13957" s="7"/>
    </row>
    <row r="13958" spans="7:7" x14ac:dyDescent="0.2">
      <c r="G13958" s="7"/>
    </row>
    <row r="13959" spans="7:7" x14ac:dyDescent="0.2">
      <c r="G13959" s="7"/>
    </row>
    <row r="13960" spans="7:7" x14ac:dyDescent="0.2">
      <c r="G13960" s="7"/>
    </row>
    <row r="13961" spans="7:7" x14ac:dyDescent="0.2">
      <c r="G13961" s="7"/>
    </row>
    <row r="13962" spans="7:7" x14ac:dyDescent="0.2">
      <c r="G13962" s="7"/>
    </row>
    <row r="13963" spans="7:7" x14ac:dyDescent="0.2">
      <c r="G13963" s="7"/>
    </row>
    <row r="13964" spans="7:7" x14ac:dyDescent="0.2">
      <c r="G13964" s="7"/>
    </row>
    <row r="13965" spans="7:7" x14ac:dyDescent="0.2">
      <c r="G13965" s="7"/>
    </row>
    <row r="13966" spans="7:7" x14ac:dyDescent="0.2">
      <c r="G13966" s="7"/>
    </row>
    <row r="13967" spans="7:7" x14ac:dyDescent="0.2">
      <c r="G13967" s="7"/>
    </row>
    <row r="13968" spans="7:7" x14ac:dyDescent="0.2">
      <c r="G13968" s="7"/>
    </row>
    <row r="13969" spans="7:7" x14ac:dyDescent="0.2">
      <c r="G13969" s="7"/>
    </row>
    <row r="13970" spans="7:7" x14ac:dyDescent="0.2">
      <c r="G13970" s="7"/>
    </row>
    <row r="13971" spans="7:7" x14ac:dyDescent="0.2">
      <c r="G13971" s="7"/>
    </row>
    <row r="13972" spans="7:7" x14ac:dyDescent="0.2">
      <c r="G13972" s="7"/>
    </row>
    <row r="13973" spans="7:7" x14ac:dyDescent="0.2">
      <c r="G13973" s="7"/>
    </row>
    <row r="13974" spans="7:7" x14ac:dyDescent="0.2">
      <c r="G13974" s="7"/>
    </row>
    <row r="13975" spans="7:7" x14ac:dyDescent="0.2">
      <c r="G13975" s="7"/>
    </row>
    <row r="13976" spans="7:7" x14ac:dyDescent="0.2">
      <c r="G13976" s="7"/>
    </row>
    <row r="13977" spans="7:7" x14ac:dyDescent="0.2">
      <c r="G13977" s="7"/>
    </row>
    <row r="13978" spans="7:7" x14ac:dyDescent="0.2">
      <c r="G13978" s="7"/>
    </row>
    <row r="13979" spans="7:7" x14ac:dyDescent="0.2">
      <c r="G13979" s="7"/>
    </row>
    <row r="13980" spans="7:7" x14ac:dyDescent="0.2">
      <c r="G13980" s="7"/>
    </row>
    <row r="13981" spans="7:7" x14ac:dyDescent="0.2">
      <c r="G13981" s="7"/>
    </row>
    <row r="13982" spans="7:7" x14ac:dyDescent="0.2">
      <c r="G13982" s="7"/>
    </row>
    <row r="13983" spans="7:7" x14ac:dyDescent="0.2">
      <c r="G13983" s="7"/>
    </row>
    <row r="13984" spans="7:7" x14ac:dyDescent="0.2">
      <c r="G13984" s="7"/>
    </row>
    <row r="13985" spans="7:7" x14ac:dyDescent="0.2">
      <c r="G13985" s="7"/>
    </row>
    <row r="13986" spans="7:7" x14ac:dyDescent="0.2">
      <c r="G13986" s="7"/>
    </row>
    <row r="13987" spans="7:7" x14ac:dyDescent="0.2">
      <c r="G13987" s="7"/>
    </row>
    <row r="13988" spans="7:7" x14ac:dyDescent="0.2">
      <c r="G13988" s="7"/>
    </row>
    <row r="13989" spans="7:7" x14ac:dyDescent="0.2">
      <c r="G13989" s="7"/>
    </row>
    <row r="13990" spans="7:7" x14ac:dyDescent="0.2">
      <c r="G13990" s="7"/>
    </row>
    <row r="13991" spans="7:7" x14ac:dyDescent="0.2">
      <c r="G13991" s="7"/>
    </row>
    <row r="13992" spans="7:7" x14ac:dyDescent="0.2">
      <c r="G13992" s="7"/>
    </row>
    <row r="13993" spans="7:7" x14ac:dyDescent="0.2">
      <c r="G13993" s="7"/>
    </row>
    <row r="13994" spans="7:7" x14ac:dyDescent="0.2">
      <c r="G13994" s="7"/>
    </row>
    <row r="13995" spans="7:7" x14ac:dyDescent="0.2">
      <c r="G13995" s="7"/>
    </row>
    <row r="13996" spans="7:7" x14ac:dyDescent="0.2">
      <c r="G13996" s="7"/>
    </row>
    <row r="13997" spans="7:7" x14ac:dyDescent="0.2">
      <c r="G13997" s="7"/>
    </row>
    <row r="13998" spans="7:7" x14ac:dyDescent="0.2">
      <c r="G13998" s="7"/>
    </row>
    <row r="13999" spans="7:7" x14ac:dyDescent="0.2">
      <c r="G13999" s="7"/>
    </row>
    <row r="14000" spans="7:7" x14ac:dyDescent="0.2">
      <c r="G14000" s="7"/>
    </row>
    <row r="14001" spans="7:7" x14ac:dyDescent="0.2">
      <c r="G14001" s="7"/>
    </row>
    <row r="14002" spans="7:7" x14ac:dyDescent="0.2">
      <c r="G14002" s="7"/>
    </row>
    <row r="14003" spans="7:7" x14ac:dyDescent="0.2">
      <c r="G14003" s="7"/>
    </row>
    <row r="14004" spans="7:7" x14ac:dyDescent="0.2">
      <c r="G14004" s="7"/>
    </row>
    <row r="14005" spans="7:7" x14ac:dyDescent="0.2">
      <c r="G14005" s="7"/>
    </row>
    <row r="14006" spans="7:7" x14ac:dyDescent="0.2">
      <c r="G14006" s="7"/>
    </row>
    <row r="14007" spans="7:7" x14ac:dyDescent="0.2">
      <c r="G14007" s="7"/>
    </row>
    <row r="14008" spans="7:7" x14ac:dyDescent="0.2">
      <c r="G14008" s="7"/>
    </row>
    <row r="14009" spans="7:7" x14ac:dyDescent="0.2">
      <c r="G14009" s="7"/>
    </row>
    <row r="14010" spans="7:7" x14ac:dyDescent="0.2">
      <c r="G14010" s="7"/>
    </row>
    <row r="14011" spans="7:7" x14ac:dyDescent="0.2">
      <c r="G14011" s="7"/>
    </row>
    <row r="14012" spans="7:7" x14ac:dyDescent="0.2">
      <c r="G14012" s="7"/>
    </row>
    <row r="14013" spans="7:7" x14ac:dyDescent="0.2">
      <c r="G14013" s="7"/>
    </row>
    <row r="14014" spans="7:7" x14ac:dyDescent="0.2">
      <c r="G14014" s="7"/>
    </row>
    <row r="14015" spans="7:7" x14ac:dyDescent="0.2">
      <c r="G14015" s="7"/>
    </row>
    <row r="14016" spans="7:7" x14ac:dyDescent="0.2">
      <c r="G14016" s="7"/>
    </row>
    <row r="14017" spans="7:7" x14ac:dyDescent="0.2">
      <c r="G14017" s="7"/>
    </row>
    <row r="14018" spans="7:7" x14ac:dyDescent="0.2">
      <c r="G14018" s="7"/>
    </row>
    <row r="14019" spans="7:7" x14ac:dyDescent="0.2">
      <c r="G14019" s="7"/>
    </row>
    <row r="14020" spans="7:7" x14ac:dyDescent="0.2">
      <c r="G14020" s="7"/>
    </row>
    <row r="14021" spans="7:7" x14ac:dyDescent="0.2">
      <c r="G14021" s="7"/>
    </row>
    <row r="14022" spans="7:7" x14ac:dyDescent="0.2">
      <c r="G14022" s="7"/>
    </row>
    <row r="14023" spans="7:7" x14ac:dyDescent="0.2">
      <c r="G14023" s="7"/>
    </row>
    <row r="14024" spans="7:7" x14ac:dyDescent="0.2">
      <c r="G14024" s="7"/>
    </row>
    <row r="14025" spans="7:7" x14ac:dyDescent="0.2">
      <c r="G14025" s="7"/>
    </row>
    <row r="14026" spans="7:7" x14ac:dyDescent="0.2">
      <c r="G14026" s="7"/>
    </row>
    <row r="14027" spans="7:7" x14ac:dyDescent="0.2">
      <c r="G14027" s="7"/>
    </row>
    <row r="14028" spans="7:7" x14ac:dyDescent="0.2">
      <c r="G14028" s="7"/>
    </row>
    <row r="14029" spans="7:7" x14ac:dyDescent="0.2">
      <c r="G14029" s="7"/>
    </row>
    <row r="14030" spans="7:7" x14ac:dyDescent="0.2">
      <c r="G14030" s="7"/>
    </row>
    <row r="14031" spans="7:7" x14ac:dyDescent="0.2">
      <c r="G14031" s="7"/>
    </row>
    <row r="14032" spans="7:7" x14ac:dyDescent="0.2">
      <c r="G14032" s="7"/>
    </row>
    <row r="14033" spans="7:7" x14ac:dyDescent="0.2">
      <c r="G14033" s="7"/>
    </row>
    <row r="14034" spans="7:7" x14ac:dyDescent="0.2">
      <c r="G14034" s="7"/>
    </row>
    <row r="14035" spans="7:7" x14ac:dyDescent="0.2">
      <c r="G14035" s="7"/>
    </row>
    <row r="14036" spans="7:7" x14ac:dyDescent="0.2">
      <c r="G14036" s="7"/>
    </row>
    <row r="14037" spans="7:7" x14ac:dyDescent="0.2">
      <c r="G14037" s="7"/>
    </row>
    <row r="14038" spans="7:7" x14ac:dyDescent="0.2">
      <c r="G14038" s="7"/>
    </row>
    <row r="14039" spans="7:7" x14ac:dyDescent="0.2">
      <c r="G14039" s="7"/>
    </row>
    <row r="14040" spans="7:7" x14ac:dyDescent="0.2">
      <c r="G14040" s="7"/>
    </row>
    <row r="14041" spans="7:7" x14ac:dyDescent="0.2">
      <c r="G14041" s="7"/>
    </row>
    <row r="14042" spans="7:7" x14ac:dyDescent="0.2">
      <c r="G14042" s="7"/>
    </row>
    <row r="14043" spans="7:7" x14ac:dyDescent="0.2">
      <c r="G14043" s="7"/>
    </row>
    <row r="14044" spans="7:7" x14ac:dyDescent="0.2">
      <c r="G14044" s="7"/>
    </row>
    <row r="14045" spans="7:7" x14ac:dyDescent="0.2">
      <c r="G14045" s="7"/>
    </row>
    <row r="14046" spans="7:7" x14ac:dyDescent="0.2">
      <c r="G14046" s="7"/>
    </row>
    <row r="14047" spans="7:7" x14ac:dyDescent="0.2">
      <c r="G14047" s="7"/>
    </row>
    <row r="14048" spans="7:7" x14ac:dyDescent="0.2">
      <c r="G14048" s="7"/>
    </row>
    <row r="14049" spans="7:7" x14ac:dyDescent="0.2">
      <c r="G14049" s="7"/>
    </row>
    <row r="14050" spans="7:7" x14ac:dyDescent="0.2">
      <c r="G14050" s="7"/>
    </row>
    <row r="14051" spans="7:7" x14ac:dyDescent="0.2">
      <c r="G14051" s="7"/>
    </row>
    <row r="14052" spans="7:7" x14ac:dyDescent="0.2">
      <c r="G14052" s="7"/>
    </row>
    <row r="14053" spans="7:7" x14ac:dyDescent="0.2">
      <c r="G14053" s="7"/>
    </row>
    <row r="14054" spans="7:7" x14ac:dyDescent="0.2">
      <c r="G14054" s="7"/>
    </row>
    <row r="14055" spans="7:7" x14ac:dyDescent="0.2">
      <c r="G14055" s="7"/>
    </row>
    <row r="14056" spans="7:7" x14ac:dyDescent="0.2">
      <c r="G14056" s="7"/>
    </row>
    <row r="14057" spans="7:7" x14ac:dyDescent="0.2">
      <c r="G14057" s="7"/>
    </row>
    <row r="14058" spans="7:7" x14ac:dyDescent="0.2">
      <c r="G14058" s="7"/>
    </row>
    <row r="14059" spans="7:7" x14ac:dyDescent="0.2">
      <c r="G14059" s="7"/>
    </row>
    <row r="14060" spans="7:7" x14ac:dyDescent="0.2">
      <c r="G14060" s="7"/>
    </row>
    <row r="14061" spans="7:7" x14ac:dyDescent="0.2">
      <c r="G14061" s="7"/>
    </row>
    <row r="14062" spans="7:7" x14ac:dyDescent="0.2">
      <c r="G14062" s="7"/>
    </row>
    <row r="14063" spans="7:7" x14ac:dyDescent="0.2">
      <c r="G14063" s="7"/>
    </row>
    <row r="14064" spans="7:7" x14ac:dyDescent="0.2">
      <c r="G14064" s="7"/>
    </row>
    <row r="14065" spans="7:7" x14ac:dyDescent="0.2">
      <c r="G14065" s="7"/>
    </row>
    <row r="14066" spans="7:7" x14ac:dyDescent="0.2">
      <c r="G14066" s="7"/>
    </row>
    <row r="14067" spans="7:7" x14ac:dyDescent="0.2">
      <c r="G14067" s="7"/>
    </row>
    <row r="14068" spans="7:7" x14ac:dyDescent="0.2">
      <c r="G14068" s="7"/>
    </row>
    <row r="14069" spans="7:7" x14ac:dyDescent="0.2">
      <c r="G14069" s="7"/>
    </row>
    <row r="14070" spans="7:7" x14ac:dyDescent="0.2">
      <c r="G14070" s="7"/>
    </row>
    <row r="14071" spans="7:7" x14ac:dyDescent="0.2">
      <c r="G14071" s="7"/>
    </row>
    <row r="14072" spans="7:7" x14ac:dyDescent="0.2">
      <c r="G14072" s="7"/>
    </row>
    <row r="14073" spans="7:7" x14ac:dyDescent="0.2">
      <c r="G14073" s="7"/>
    </row>
    <row r="14074" spans="7:7" x14ac:dyDescent="0.2">
      <c r="G14074" s="7"/>
    </row>
    <row r="14075" spans="7:7" x14ac:dyDescent="0.2">
      <c r="G14075" s="7"/>
    </row>
    <row r="14076" spans="7:7" x14ac:dyDescent="0.2">
      <c r="G14076" s="7"/>
    </row>
    <row r="14077" spans="7:7" x14ac:dyDescent="0.2">
      <c r="G14077" s="7"/>
    </row>
    <row r="14078" spans="7:7" x14ac:dyDescent="0.2">
      <c r="G14078" s="7"/>
    </row>
    <row r="14079" spans="7:7" x14ac:dyDescent="0.2">
      <c r="G14079" s="7"/>
    </row>
    <row r="14080" spans="7:7" x14ac:dyDescent="0.2">
      <c r="G14080" s="7"/>
    </row>
    <row r="14081" spans="7:7" x14ac:dyDescent="0.2">
      <c r="G14081" s="7"/>
    </row>
    <row r="14082" spans="7:7" x14ac:dyDescent="0.2">
      <c r="G14082" s="7"/>
    </row>
    <row r="14083" spans="7:7" x14ac:dyDescent="0.2">
      <c r="G14083" s="7"/>
    </row>
    <row r="14084" spans="7:7" x14ac:dyDescent="0.2">
      <c r="G14084" s="7"/>
    </row>
    <row r="14085" spans="7:7" x14ac:dyDescent="0.2">
      <c r="G14085" s="7"/>
    </row>
    <row r="14086" spans="7:7" x14ac:dyDescent="0.2">
      <c r="G14086" s="7"/>
    </row>
    <row r="14087" spans="7:7" x14ac:dyDescent="0.2">
      <c r="G14087" s="7"/>
    </row>
    <row r="14088" spans="7:7" x14ac:dyDescent="0.2">
      <c r="G14088" s="7"/>
    </row>
    <row r="14089" spans="7:7" x14ac:dyDescent="0.2">
      <c r="G14089" s="7"/>
    </row>
    <row r="14090" spans="7:7" x14ac:dyDescent="0.2">
      <c r="G14090" s="7"/>
    </row>
    <row r="14091" spans="7:7" x14ac:dyDescent="0.2">
      <c r="G14091" s="7"/>
    </row>
    <row r="14092" spans="7:7" x14ac:dyDescent="0.2">
      <c r="G14092" s="7"/>
    </row>
    <row r="14093" spans="7:7" x14ac:dyDescent="0.2">
      <c r="G14093" s="7"/>
    </row>
    <row r="14094" spans="7:7" x14ac:dyDescent="0.2">
      <c r="G14094" s="7"/>
    </row>
    <row r="14095" spans="7:7" x14ac:dyDescent="0.2">
      <c r="G14095" s="7"/>
    </row>
    <row r="14096" spans="7:7" x14ac:dyDescent="0.2">
      <c r="G14096" s="7"/>
    </row>
    <row r="14097" spans="7:7" x14ac:dyDescent="0.2">
      <c r="G14097" s="7"/>
    </row>
    <row r="14098" spans="7:7" x14ac:dyDescent="0.2">
      <c r="G14098" s="7"/>
    </row>
    <row r="14099" spans="7:7" x14ac:dyDescent="0.2">
      <c r="G14099" s="7"/>
    </row>
    <row r="14100" spans="7:7" x14ac:dyDescent="0.2">
      <c r="G14100" s="7"/>
    </row>
    <row r="14101" spans="7:7" x14ac:dyDescent="0.2">
      <c r="G14101" s="7"/>
    </row>
    <row r="14102" spans="7:7" x14ac:dyDescent="0.2">
      <c r="G14102" s="7"/>
    </row>
    <row r="14103" spans="7:7" x14ac:dyDescent="0.2">
      <c r="G14103" s="7"/>
    </row>
    <row r="14104" spans="7:7" x14ac:dyDescent="0.2">
      <c r="G14104" s="7"/>
    </row>
    <row r="14105" spans="7:7" x14ac:dyDescent="0.2">
      <c r="G14105" s="7"/>
    </row>
    <row r="14106" spans="7:7" x14ac:dyDescent="0.2">
      <c r="G14106" s="7"/>
    </row>
    <row r="14107" spans="7:7" x14ac:dyDescent="0.2">
      <c r="G14107" s="7"/>
    </row>
    <row r="14108" spans="7:7" x14ac:dyDescent="0.2">
      <c r="G14108" s="7"/>
    </row>
    <row r="14109" spans="7:7" x14ac:dyDescent="0.2">
      <c r="G14109" s="7"/>
    </row>
    <row r="14110" spans="7:7" x14ac:dyDescent="0.2">
      <c r="G14110" s="7"/>
    </row>
    <row r="14111" spans="7:7" x14ac:dyDescent="0.2">
      <c r="G14111" s="7"/>
    </row>
    <row r="14112" spans="7:7" x14ac:dyDescent="0.2">
      <c r="G14112" s="7"/>
    </row>
    <row r="14113" spans="7:7" x14ac:dyDescent="0.2">
      <c r="G14113" s="7"/>
    </row>
    <row r="14114" spans="7:7" x14ac:dyDescent="0.2">
      <c r="G14114" s="7"/>
    </row>
    <row r="14115" spans="7:7" x14ac:dyDescent="0.2">
      <c r="G14115" s="7"/>
    </row>
    <row r="14116" spans="7:7" x14ac:dyDescent="0.2">
      <c r="G14116" s="7"/>
    </row>
    <row r="14117" spans="7:7" x14ac:dyDescent="0.2">
      <c r="G14117" s="7"/>
    </row>
    <row r="14118" spans="7:7" x14ac:dyDescent="0.2">
      <c r="G14118" s="7"/>
    </row>
    <row r="14119" spans="7:7" x14ac:dyDescent="0.2">
      <c r="G14119" s="7"/>
    </row>
    <row r="14120" spans="7:7" x14ac:dyDescent="0.2">
      <c r="G14120" s="7"/>
    </row>
    <row r="14121" spans="7:7" x14ac:dyDescent="0.2">
      <c r="G14121" s="7"/>
    </row>
    <row r="14122" spans="7:7" x14ac:dyDescent="0.2">
      <c r="G14122" s="7"/>
    </row>
    <row r="14123" spans="7:7" x14ac:dyDescent="0.2">
      <c r="G14123" s="7"/>
    </row>
    <row r="14124" spans="7:7" x14ac:dyDescent="0.2">
      <c r="G14124" s="7"/>
    </row>
    <row r="14125" spans="7:7" x14ac:dyDescent="0.2">
      <c r="G14125" s="7"/>
    </row>
    <row r="14126" spans="7:7" x14ac:dyDescent="0.2">
      <c r="G14126" s="7"/>
    </row>
    <row r="14127" spans="7:7" x14ac:dyDescent="0.2">
      <c r="G14127" s="7"/>
    </row>
    <row r="14128" spans="7:7" x14ac:dyDescent="0.2">
      <c r="G14128" s="7"/>
    </row>
    <row r="14129" spans="7:7" x14ac:dyDescent="0.2">
      <c r="G14129" s="7"/>
    </row>
    <row r="14130" spans="7:7" x14ac:dyDescent="0.2">
      <c r="G14130" s="7"/>
    </row>
    <row r="14131" spans="7:7" x14ac:dyDescent="0.2">
      <c r="G14131" s="7"/>
    </row>
    <row r="14132" spans="7:7" x14ac:dyDescent="0.2">
      <c r="G14132" s="7"/>
    </row>
    <row r="14133" spans="7:7" x14ac:dyDescent="0.2">
      <c r="G14133" s="7"/>
    </row>
    <row r="14134" spans="7:7" x14ac:dyDescent="0.2">
      <c r="G14134" s="7"/>
    </row>
    <row r="14135" spans="7:7" x14ac:dyDescent="0.2">
      <c r="G14135" s="7"/>
    </row>
    <row r="14136" spans="7:7" x14ac:dyDescent="0.2">
      <c r="G14136" s="7"/>
    </row>
    <row r="14137" spans="7:7" x14ac:dyDescent="0.2">
      <c r="G14137" s="7"/>
    </row>
    <row r="14138" spans="7:7" x14ac:dyDescent="0.2">
      <c r="G14138" s="7"/>
    </row>
    <row r="14139" spans="7:7" x14ac:dyDescent="0.2">
      <c r="G14139" s="7"/>
    </row>
    <row r="14140" spans="7:7" x14ac:dyDescent="0.2">
      <c r="G14140" s="7"/>
    </row>
    <row r="14141" spans="7:7" x14ac:dyDescent="0.2">
      <c r="G14141" s="7"/>
    </row>
    <row r="14142" spans="7:7" x14ac:dyDescent="0.2">
      <c r="G14142" s="7"/>
    </row>
    <row r="14143" spans="7:7" x14ac:dyDescent="0.2">
      <c r="G14143" s="7"/>
    </row>
    <row r="14144" spans="7:7" x14ac:dyDescent="0.2">
      <c r="G14144" s="7"/>
    </row>
    <row r="14145" spans="7:7" x14ac:dyDescent="0.2">
      <c r="G14145" s="7"/>
    </row>
    <row r="14146" spans="7:7" x14ac:dyDescent="0.2">
      <c r="G14146" s="7"/>
    </row>
    <row r="14147" spans="7:7" x14ac:dyDescent="0.2">
      <c r="G14147" s="7"/>
    </row>
    <row r="14148" spans="7:7" x14ac:dyDescent="0.2">
      <c r="G14148" s="7"/>
    </row>
    <row r="14149" spans="7:7" x14ac:dyDescent="0.2">
      <c r="G14149" s="7"/>
    </row>
    <row r="14150" spans="7:7" x14ac:dyDescent="0.2">
      <c r="G14150" s="7"/>
    </row>
    <row r="14151" spans="7:7" x14ac:dyDescent="0.2">
      <c r="G14151" s="7"/>
    </row>
    <row r="14152" spans="7:7" x14ac:dyDescent="0.2">
      <c r="G14152" s="7"/>
    </row>
    <row r="14153" spans="7:7" x14ac:dyDescent="0.2">
      <c r="G14153" s="7"/>
    </row>
    <row r="14154" spans="7:7" x14ac:dyDescent="0.2">
      <c r="G14154" s="7"/>
    </row>
    <row r="14155" spans="7:7" x14ac:dyDescent="0.2">
      <c r="G14155" s="7"/>
    </row>
    <row r="14156" spans="7:7" x14ac:dyDescent="0.2">
      <c r="G14156" s="7"/>
    </row>
    <row r="14157" spans="7:7" x14ac:dyDescent="0.2">
      <c r="G14157" s="7"/>
    </row>
    <row r="14158" spans="7:7" x14ac:dyDescent="0.2">
      <c r="G14158" s="7"/>
    </row>
    <row r="14159" spans="7:7" x14ac:dyDescent="0.2">
      <c r="G14159" s="7"/>
    </row>
    <row r="14160" spans="7:7" x14ac:dyDescent="0.2">
      <c r="G14160" s="7"/>
    </row>
    <row r="14161" spans="7:7" x14ac:dyDescent="0.2">
      <c r="G14161" s="7"/>
    </row>
    <row r="14162" spans="7:7" x14ac:dyDescent="0.2">
      <c r="G14162" s="7"/>
    </row>
    <row r="14163" spans="7:7" x14ac:dyDescent="0.2">
      <c r="G14163" s="7"/>
    </row>
    <row r="14164" spans="7:7" x14ac:dyDescent="0.2">
      <c r="G14164" s="7"/>
    </row>
    <row r="14165" spans="7:7" x14ac:dyDescent="0.2">
      <c r="G14165" s="7"/>
    </row>
    <row r="14166" spans="7:7" x14ac:dyDescent="0.2">
      <c r="G14166" s="7"/>
    </row>
    <row r="14167" spans="7:7" x14ac:dyDescent="0.2">
      <c r="G14167" s="7"/>
    </row>
    <row r="14168" spans="7:7" x14ac:dyDescent="0.2">
      <c r="G14168" s="7"/>
    </row>
    <row r="14169" spans="7:7" x14ac:dyDescent="0.2">
      <c r="G14169" s="7"/>
    </row>
    <row r="14170" spans="7:7" x14ac:dyDescent="0.2">
      <c r="G14170" s="7"/>
    </row>
    <row r="14171" spans="7:7" x14ac:dyDescent="0.2">
      <c r="G14171" s="7"/>
    </row>
    <row r="14172" spans="7:7" x14ac:dyDescent="0.2">
      <c r="G14172" s="7"/>
    </row>
    <row r="14173" spans="7:7" x14ac:dyDescent="0.2">
      <c r="G14173" s="7"/>
    </row>
    <row r="14174" spans="7:7" x14ac:dyDescent="0.2">
      <c r="G14174" s="7"/>
    </row>
    <row r="14175" spans="7:7" x14ac:dyDescent="0.2">
      <c r="G14175" s="7"/>
    </row>
    <row r="14176" spans="7:7" x14ac:dyDescent="0.2">
      <c r="G14176" s="7"/>
    </row>
    <row r="14177" spans="7:7" x14ac:dyDescent="0.2">
      <c r="G14177" s="7"/>
    </row>
    <row r="14178" spans="7:7" x14ac:dyDescent="0.2">
      <c r="G14178" s="7"/>
    </row>
    <row r="14179" spans="7:7" x14ac:dyDescent="0.2">
      <c r="G14179" s="7"/>
    </row>
    <row r="14180" spans="7:7" x14ac:dyDescent="0.2">
      <c r="G14180" s="7"/>
    </row>
    <row r="14181" spans="7:7" x14ac:dyDescent="0.2">
      <c r="G14181" s="7"/>
    </row>
    <row r="14182" spans="7:7" x14ac:dyDescent="0.2">
      <c r="G14182" s="7"/>
    </row>
    <row r="14183" spans="7:7" x14ac:dyDescent="0.2">
      <c r="G14183" s="7"/>
    </row>
    <row r="14184" spans="7:7" x14ac:dyDescent="0.2">
      <c r="G14184" s="7"/>
    </row>
    <row r="14185" spans="7:7" x14ac:dyDescent="0.2">
      <c r="G14185" s="7"/>
    </row>
    <row r="14186" spans="7:7" x14ac:dyDescent="0.2">
      <c r="G14186" s="7"/>
    </row>
    <row r="14187" spans="7:7" x14ac:dyDescent="0.2">
      <c r="G14187" s="7"/>
    </row>
    <row r="14188" spans="7:7" x14ac:dyDescent="0.2">
      <c r="G14188" s="7"/>
    </row>
    <row r="14189" spans="7:7" x14ac:dyDescent="0.2">
      <c r="G14189" s="7"/>
    </row>
    <row r="14190" spans="7:7" x14ac:dyDescent="0.2">
      <c r="G14190" s="7"/>
    </row>
    <row r="14191" spans="7:7" x14ac:dyDescent="0.2">
      <c r="G14191" s="7"/>
    </row>
    <row r="14192" spans="7:7" x14ac:dyDescent="0.2">
      <c r="G14192" s="7"/>
    </row>
    <row r="14193" spans="7:7" x14ac:dyDescent="0.2">
      <c r="G14193" s="7"/>
    </row>
    <row r="14194" spans="7:7" x14ac:dyDescent="0.2">
      <c r="G14194" s="7"/>
    </row>
    <row r="14195" spans="7:7" x14ac:dyDescent="0.2">
      <c r="G14195" s="7"/>
    </row>
    <row r="14196" spans="7:7" x14ac:dyDescent="0.2">
      <c r="G14196" s="7"/>
    </row>
    <row r="14197" spans="7:7" x14ac:dyDescent="0.2">
      <c r="G14197" s="7"/>
    </row>
    <row r="14198" spans="7:7" x14ac:dyDescent="0.2">
      <c r="G14198" s="7"/>
    </row>
    <row r="14199" spans="7:7" x14ac:dyDescent="0.2">
      <c r="G14199" s="7"/>
    </row>
    <row r="14200" spans="7:7" x14ac:dyDescent="0.2">
      <c r="G14200" s="7"/>
    </row>
    <row r="14201" spans="7:7" x14ac:dyDescent="0.2">
      <c r="G14201" s="7"/>
    </row>
    <row r="14202" spans="7:7" x14ac:dyDescent="0.2">
      <c r="G14202" s="7"/>
    </row>
    <row r="14203" spans="7:7" x14ac:dyDescent="0.2">
      <c r="G14203" s="7"/>
    </row>
    <row r="14204" spans="7:7" x14ac:dyDescent="0.2">
      <c r="G14204" s="7"/>
    </row>
    <row r="14205" spans="7:7" x14ac:dyDescent="0.2">
      <c r="G14205" s="7"/>
    </row>
    <row r="14206" spans="7:7" x14ac:dyDescent="0.2">
      <c r="G14206" s="7"/>
    </row>
    <row r="14207" spans="7:7" x14ac:dyDescent="0.2">
      <c r="G14207" s="7"/>
    </row>
    <row r="14208" spans="7:7" x14ac:dyDescent="0.2">
      <c r="G14208" s="7"/>
    </row>
    <row r="14209" spans="7:7" x14ac:dyDescent="0.2">
      <c r="G14209" s="7"/>
    </row>
    <row r="14210" spans="7:7" x14ac:dyDescent="0.2">
      <c r="G14210" s="7"/>
    </row>
    <row r="14211" spans="7:7" x14ac:dyDescent="0.2">
      <c r="G14211" s="7"/>
    </row>
    <row r="14212" spans="7:7" x14ac:dyDescent="0.2">
      <c r="G14212" s="7"/>
    </row>
    <row r="14213" spans="7:7" x14ac:dyDescent="0.2">
      <c r="G14213" s="7"/>
    </row>
    <row r="14214" spans="7:7" x14ac:dyDescent="0.2">
      <c r="G14214" s="7"/>
    </row>
    <row r="14215" spans="7:7" x14ac:dyDescent="0.2">
      <c r="G14215" s="7"/>
    </row>
    <row r="14216" spans="7:7" x14ac:dyDescent="0.2">
      <c r="G14216" s="7"/>
    </row>
    <row r="14217" spans="7:7" x14ac:dyDescent="0.2">
      <c r="G14217" s="7"/>
    </row>
    <row r="14218" spans="7:7" x14ac:dyDescent="0.2">
      <c r="G14218" s="7"/>
    </row>
    <row r="14219" spans="7:7" x14ac:dyDescent="0.2">
      <c r="G14219" s="7"/>
    </row>
    <row r="14220" spans="7:7" x14ac:dyDescent="0.2">
      <c r="G14220" s="7"/>
    </row>
    <row r="14221" spans="7:7" x14ac:dyDescent="0.2">
      <c r="G14221" s="7"/>
    </row>
    <row r="14222" spans="7:7" x14ac:dyDescent="0.2">
      <c r="G14222" s="7"/>
    </row>
    <row r="14223" spans="7:7" x14ac:dyDescent="0.2">
      <c r="G14223" s="7"/>
    </row>
    <row r="14224" spans="7:7" x14ac:dyDescent="0.2">
      <c r="G14224" s="7"/>
    </row>
    <row r="14225" spans="7:7" x14ac:dyDescent="0.2">
      <c r="G14225" s="7"/>
    </row>
    <row r="14226" spans="7:7" x14ac:dyDescent="0.2">
      <c r="G14226" s="7"/>
    </row>
    <row r="14227" spans="7:7" x14ac:dyDescent="0.2">
      <c r="G14227" s="7"/>
    </row>
    <row r="14228" spans="7:7" x14ac:dyDescent="0.2">
      <c r="G14228" s="7"/>
    </row>
    <row r="14229" spans="7:7" x14ac:dyDescent="0.2">
      <c r="G14229" s="7"/>
    </row>
    <row r="14230" spans="7:7" x14ac:dyDescent="0.2">
      <c r="G14230" s="7"/>
    </row>
    <row r="14231" spans="7:7" x14ac:dyDescent="0.2">
      <c r="G14231" s="7"/>
    </row>
    <row r="14232" spans="7:7" x14ac:dyDescent="0.2">
      <c r="G14232" s="7"/>
    </row>
    <row r="14233" spans="7:7" x14ac:dyDescent="0.2">
      <c r="G14233" s="7"/>
    </row>
    <row r="14234" spans="7:7" x14ac:dyDescent="0.2">
      <c r="G14234" s="7"/>
    </row>
    <row r="14235" spans="7:7" x14ac:dyDescent="0.2">
      <c r="G14235" s="7"/>
    </row>
    <row r="14236" spans="7:7" x14ac:dyDescent="0.2">
      <c r="G14236" s="7"/>
    </row>
    <row r="14237" spans="7:7" x14ac:dyDescent="0.2">
      <c r="G14237" s="7"/>
    </row>
    <row r="14238" spans="7:7" x14ac:dyDescent="0.2">
      <c r="G14238" s="7"/>
    </row>
    <row r="14239" spans="7:7" x14ac:dyDescent="0.2">
      <c r="G14239" s="7"/>
    </row>
    <row r="14240" spans="7:7" x14ac:dyDescent="0.2">
      <c r="G14240" s="7"/>
    </row>
    <row r="14241" spans="7:7" x14ac:dyDescent="0.2">
      <c r="G14241" s="7"/>
    </row>
    <row r="14242" spans="7:7" x14ac:dyDescent="0.2">
      <c r="G14242" s="7"/>
    </row>
    <row r="14243" spans="7:7" x14ac:dyDescent="0.2">
      <c r="G14243" s="7"/>
    </row>
    <row r="14244" spans="7:7" x14ac:dyDescent="0.2">
      <c r="G14244" s="7"/>
    </row>
    <row r="14245" spans="7:7" x14ac:dyDescent="0.2">
      <c r="G14245" s="7"/>
    </row>
    <row r="14246" spans="7:7" x14ac:dyDescent="0.2">
      <c r="G14246" s="7"/>
    </row>
    <row r="14247" spans="7:7" x14ac:dyDescent="0.2">
      <c r="G14247" s="7"/>
    </row>
    <row r="14248" spans="7:7" x14ac:dyDescent="0.2">
      <c r="G14248" s="7"/>
    </row>
    <row r="14249" spans="7:7" x14ac:dyDescent="0.2">
      <c r="G14249" s="7"/>
    </row>
    <row r="14250" spans="7:7" x14ac:dyDescent="0.2">
      <c r="G14250" s="7"/>
    </row>
    <row r="14251" spans="7:7" x14ac:dyDescent="0.2">
      <c r="G14251" s="7"/>
    </row>
    <row r="14252" spans="7:7" x14ac:dyDescent="0.2">
      <c r="G14252" s="7"/>
    </row>
    <row r="14253" spans="7:7" x14ac:dyDescent="0.2">
      <c r="G14253" s="7"/>
    </row>
    <row r="14254" spans="7:7" x14ac:dyDescent="0.2">
      <c r="G14254" s="7"/>
    </row>
    <row r="14255" spans="7:7" x14ac:dyDescent="0.2">
      <c r="G14255" s="7"/>
    </row>
    <row r="14256" spans="7:7" x14ac:dyDescent="0.2">
      <c r="G14256" s="7"/>
    </row>
    <row r="14257" spans="7:7" x14ac:dyDescent="0.2">
      <c r="G14257" s="7"/>
    </row>
    <row r="14258" spans="7:7" x14ac:dyDescent="0.2">
      <c r="G14258" s="7"/>
    </row>
    <row r="14259" spans="7:7" x14ac:dyDescent="0.2">
      <c r="G14259" s="7"/>
    </row>
    <row r="14260" spans="7:7" x14ac:dyDescent="0.2">
      <c r="G14260" s="7"/>
    </row>
    <row r="14261" spans="7:7" x14ac:dyDescent="0.2">
      <c r="G14261" s="7"/>
    </row>
    <row r="14262" spans="7:7" x14ac:dyDescent="0.2">
      <c r="G14262" s="7"/>
    </row>
    <row r="14263" spans="7:7" x14ac:dyDescent="0.2">
      <c r="G14263" s="7"/>
    </row>
    <row r="14264" spans="7:7" x14ac:dyDescent="0.2">
      <c r="G14264" s="7"/>
    </row>
    <row r="14265" spans="7:7" x14ac:dyDescent="0.2">
      <c r="G14265" s="7"/>
    </row>
    <row r="14266" spans="7:7" x14ac:dyDescent="0.2">
      <c r="G14266" s="7"/>
    </row>
    <row r="14267" spans="7:7" x14ac:dyDescent="0.2">
      <c r="G14267" s="7"/>
    </row>
    <row r="14268" spans="7:7" x14ac:dyDescent="0.2">
      <c r="G14268" s="7"/>
    </row>
    <row r="14269" spans="7:7" x14ac:dyDescent="0.2">
      <c r="G14269" s="7"/>
    </row>
    <row r="14270" spans="7:7" x14ac:dyDescent="0.2">
      <c r="G14270" s="7"/>
    </row>
    <row r="14271" spans="7:7" x14ac:dyDescent="0.2">
      <c r="G14271" s="7"/>
    </row>
    <row r="14272" spans="7:7" x14ac:dyDescent="0.2">
      <c r="G14272" s="7"/>
    </row>
    <row r="14273" spans="7:7" x14ac:dyDescent="0.2">
      <c r="G14273" s="7"/>
    </row>
    <row r="14274" spans="7:7" x14ac:dyDescent="0.2">
      <c r="G14274" s="7"/>
    </row>
    <row r="14275" spans="7:7" x14ac:dyDescent="0.2">
      <c r="G14275" s="7"/>
    </row>
    <row r="14276" spans="7:7" x14ac:dyDescent="0.2">
      <c r="G14276" s="7"/>
    </row>
    <row r="14277" spans="7:7" x14ac:dyDescent="0.2">
      <c r="G14277" s="7"/>
    </row>
    <row r="14278" spans="7:7" x14ac:dyDescent="0.2">
      <c r="G14278" s="7"/>
    </row>
    <row r="14279" spans="7:7" x14ac:dyDescent="0.2">
      <c r="G14279" s="7"/>
    </row>
    <row r="14280" spans="7:7" x14ac:dyDescent="0.2">
      <c r="G14280" s="7"/>
    </row>
    <row r="14281" spans="7:7" x14ac:dyDescent="0.2">
      <c r="G14281" s="7"/>
    </row>
    <row r="14282" spans="7:7" x14ac:dyDescent="0.2">
      <c r="G14282" s="7"/>
    </row>
    <row r="14283" spans="7:7" x14ac:dyDescent="0.2">
      <c r="G14283" s="7"/>
    </row>
    <row r="14284" spans="7:7" x14ac:dyDescent="0.2">
      <c r="G14284" s="7"/>
    </row>
    <row r="14285" spans="7:7" x14ac:dyDescent="0.2">
      <c r="G14285" s="7"/>
    </row>
    <row r="14286" spans="7:7" x14ac:dyDescent="0.2">
      <c r="G14286" s="7"/>
    </row>
    <row r="14287" spans="7:7" x14ac:dyDescent="0.2">
      <c r="G14287" s="7"/>
    </row>
    <row r="14288" spans="7:7" x14ac:dyDescent="0.2">
      <c r="G14288" s="7"/>
    </row>
    <row r="14289" spans="7:7" x14ac:dyDescent="0.2">
      <c r="G14289" s="7"/>
    </row>
    <row r="14290" spans="7:7" x14ac:dyDescent="0.2">
      <c r="G14290" s="7"/>
    </row>
    <row r="14291" spans="7:7" x14ac:dyDescent="0.2">
      <c r="G14291" s="7"/>
    </row>
    <row r="14292" spans="7:7" x14ac:dyDescent="0.2">
      <c r="G14292" s="7"/>
    </row>
    <row r="14293" spans="7:7" x14ac:dyDescent="0.2">
      <c r="G14293" s="7"/>
    </row>
    <row r="14294" spans="7:7" x14ac:dyDescent="0.2">
      <c r="G14294" s="7"/>
    </row>
    <row r="14295" spans="7:7" x14ac:dyDescent="0.2">
      <c r="G14295" s="7"/>
    </row>
    <row r="14296" spans="7:7" x14ac:dyDescent="0.2">
      <c r="G14296" s="7"/>
    </row>
    <row r="14297" spans="7:7" x14ac:dyDescent="0.2">
      <c r="G14297" s="7"/>
    </row>
    <row r="14298" spans="7:7" x14ac:dyDescent="0.2">
      <c r="G14298" s="7"/>
    </row>
    <row r="14299" spans="7:7" x14ac:dyDescent="0.2">
      <c r="G14299" s="7"/>
    </row>
    <row r="14300" spans="7:7" x14ac:dyDescent="0.2">
      <c r="G14300" s="7"/>
    </row>
    <row r="14301" spans="7:7" x14ac:dyDescent="0.2">
      <c r="G14301" s="7"/>
    </row>
    <row r="14302" spans="7:7" x14ac:dyDescent="0.2">
      <c r="G14302" s="7"/>
    </row>
    <row r="14303" spans="7:7" x14ac:dyDescent="0.2">
      <c r="G14303" s="7"/>
    </row>
    <row r="14304" spans="7:7" x14ac:dyDescent="0.2">
      <c r="G14304" s="7"/>
    </row>
    <row r="14305" spans="7:7" x14ac:dyDescent="0.2">
      <c r="G14305" s="7"/>
    </row>
    <row r="14306" spans="7:7" x14ac:dyDescent="0.2">
      <c r="G14306" s="7"/>
    </row>
    <row r="14307" spans="7:7" x14ac:dyDescent="0.2">
      <c r="G14307" s="7"/>
    </row>
    <row r="14308" spans="7:7" x14ac:dyDescent="0.2">
      <c r="G14308" s="7"/>
    </row>
    <row r="14309" spans="7:7" x14ac:dyDescent="0.2">
      <c r="G14309" s="7"/>
    </row>
    <row r="14310" spans="7:7" x14ac:dyDescent="0.2">
      <c r="G14310" s="7"/>
    </row>
    <row r="14311" spans="7:7" x14ac:dyDescent="0.2">
      <c r="G14311" s="7"/>
    </row>
    <row r="14312" spans="7:7" x14ac:dyDescent="0.2">
      <c r="G14312" s="7"/>
    </row>
    <row r="14313" spans="7:7" x14ac:dyDescent="0.2">
      <c r="G14313" s="7"/>
    </row>
    <row r="14314" spans="7:7" x14ac:dyDescent="0.2">
      <c r="G14314" s="7"/>
    </row>
    <row r="14315" spans="7:7" x14ac:dyDescent="0.2">
      <c r="G14315" s="7"/>
    </row>
    <row r="14316" spans="7:7" x14ac:dyDescent="0.2">
      <c r="G14316" s="7"/>
    </row>
    <row r="14317" spans="7:7" x14ac:dyDescent="0.2">
      <c r="G14317" s="7"/>
    </row>
    <row r="14318" spans="7:7" x14ac:dyDescent="0.2">
      <c r="G14318" s="7"/>
    </row>
    <row r="14319" spans="7:7" x14ac:dyDescent="0.2">
      <c r="G14319" s="7"/>
    </row>
    <row r="14320" spans="7:7" x14ac:dyDescent="0.2">
      <c r="G14320" s="7"/>
    </row>
    <row r="14321" spans="7:7" x14ac:dyDescent="0.2">
      <c r="G14321" s="7"/>
    </row>
    <row r="14322" spans="7:7" x14ac:dyDescent="0.2">
      <c r="G14322" s="7"/>
    </row>
    <row r="14323" spans="7:7" x14ac:dyDescent="0.2">
      <c r="G14323" s="7"/>
    </row>
    <row r="14324" spans="7:7" x14ac:dyDescent="0.2">
      <c r="G14324" s="7"/>
    </row>
    <row r="14325" spans="7:7" x14ac:dyDescent="0.2">
      <c r="G14325" s="7"/>
    </row>
    <row r="14326" spans="7:7" x14ac:dyDescent="0.2">
      <c r="G14326" s="7"/>
    </row>
    <row r="14327" spans="7:7" x14ac:dyDescent="0.2">
      <c r="G14327" s="7"/>
    </row>
    <row r="14328" spans="7:7" x14ac:dyDescent="0.2">
      <c r="G14328" s="7"/>
    </row>
    <row r="14329" spans="7:7" x14ac:dyDescent="0.2">
      <c r="G14329" s="7"/>
    </row>
    <row r="14330" spans="7:7" x14ac:dyDescent="0.2">
      <c r="G14330" s="7"/>
    </row>
    <row r="14331" spans="7:7" x14ac:dyDescent="0.2">
      <c r="G14331" s="7"/>
    </row>
    <row r="14332" spans="7:7" x14ac:dyDescent="0.2">
      <c r="G14332" s="7"/>
    </row>
    <row r="14333" spans="7:7" x14ac:dyDescent="0.2">
      <c r="G14333" s="7"/>
    </row>
    <row r="14334" spans="7:7" x14ac:dyDescent="0.2">
      <c r="G14334" s="7"/>
    </row>
    <row r="14335" spans="7:7" x14ac:dyDescent="0.2">
      <c r="G14335" s="7"/>
    </row>
    <row r="14336" spans="7:7" x14ac:dyDescent="0.2">
      <c r="G14336" s="7"/>
    </row>
    <row r="14337" spans="7:7" x14ac:dyDescent="0.2">
      <c r="G14337" s="7"/>
    </row>
    <row r="14338" spans="7:7" x14ac:dyDescent="0.2">
      <c r="G14338" s="7"/>
    </row>
    <row r="14339" spans="7:7" x14ac:dyDescent="0.2">
      <c r="G14339" s="7"/>
    </row>
    <row r="14340" spans="7:7" x14ac:dyDescent="0.2">
      <c r="G14340" s="7"/>
    </row>
    <row r="14341" spans="7:7" x14ac:dyDescent="0.2">
      <c r="G14341" s="7"/>
    </row>
    <row r="14342" spans="7:7" x14ac:dyDescent="0.2">
      <c r="G14342" s="7"/>
    </row>
    <row r="14343" spans="7:7" x14ac:dyDescent="0.2">
      <c r="G14343" s="7"/>
    </row>
    <row r="14344" spans="7:7" x14ac:dyDescent="0.2">
      <c r="G14344" s="7"/>
    </row>
    <row r="14345" spans="7:7" x14ac:dyDescent="0.2">
      <c r="G14345" s="7"/>
    </row>
    <row r="14346" spans="7:7" x14ac:dyDescent="0.2">
      <c r="G14346" s="7"/>
    </row>
    <row r="14347" spans="7:7" x14ac:dyDescent="0.2">
      <c r="G14347" s="7"/>
    </row>
    <row r="14348" spans="7:7" x14ac:dyDescent="0.2">
      <c r="G14348" s="7"/>
    </row>
    <row r="14349" spans="7:7" x14ac:dyDescent="0.2">
      <c r="G14349" s="7"/>
    </row>
    <row r="14350" spans="7:7" x14ac:dyDescent="0.2">
      <c r="G14350" s="7"/>
    </row>
    <row r="14351" spans="7:7" x14ac:dyDescent="0.2">
      <c r="G14351" s="7"/>
    </row>
    <row r="14352" spans="7:7" x14ac:dyDescent="0.2">
      <c r="G14352" s="7"/>
    </row>
    <row r="14353" spans="7:7" x14ac:dyDescent="0.2">
      <c r="G14353" s="7"/>
    </row>
    <row r="14354" spans="7:7" x14ac:dyDescent="0.2">
      <c r="G14354" s="7"/>
    </row>
    <row r="14355" spans="7:7" x14ac:dyDescent="0.2">
      <c r="G14355" s="7"/>
    </row>
    <row r="14356" spans="7:7" x14ac:dyDescent="0.2">
      <c r="G14356" s="7"/>
    </row>
    <row r="14357" spans="7:7" x14ac:dyDescent="0.2">
      <c r="G14357" s="7"/>
    </row>
    <row r="14358" spans="7:7" x14ac:dyDescent="0.2">
      <c r="G14358" s="7"/>
    </row>
    <row r="14359" spans="7:7" x14ac:dyDescent="0.2">
      <c r="G14359" s="7"/>
    </row>
    <row r="14360" spans="7:7" x14ac:dyDescent="0.2">
      <c r="G14360" s="7"/>
    </row>
    <row r="14361" spans="7:7" x14ac:dyDescent="0.2">
      <c r="G14361" s="7"/>
    </row>
    <row r="14362" spans="7:7" x14ac:dyDescent="0.2">
      <c r="G14362" s="7"/>
    </row>
    <row r="14363" spans="7:7" x14ac:dyDescent="0.2">
      <c r="G14363" s="7"/>
    </row>
    <row r="14364" spans="7:7" x14ac:dyDescent="0.2">
      <c r="G14364" s="7"/>
    </row>
    <row r="14365" spans="7:7" x14ac:dyDescent="0.2">
      <c r="G14365" s="7"/>
    </row>
    <row r="14366" spans="7:7" x14ac:dyDescent="0.2">
      <c r="G14366" s="7"/>
    </row>
    <row r="14367" spans="7:7" x14ac:dyDescent="0.2">
      <c r="G14367" s="7"/>
    </row>
    <row r="14368" spans="7:7" x14ac:dyDescent="0.2">
      <c r="G14368" s="7"/>
    </row>
    <row r="14369" spans="7:7" x14ac:dyDescent="0.2">
      <c r="G14369" s="7"/>
    </row>
    <row r="14370" spans="7:7" x14ac:dyDescent="0.2">
      <c r="G14370" s="7"/>
    </row>
    <row r="14371" spans="7:7" x14ac:dyDescent="0.2">
      <c r="G14371" s="7"/>
    </row>
    <row r="14372" spans="7:7" x14ac:dyDescent="0.2">
      <c r="G14372" s="7"/>
    </row>
    <row r="14373" spans="7:7" x14ac:dyDescent="0.2">
      <c r="G14373" s="7"/>
    </row>
    <row r="14374" spans="7:7" x14ac:dyDescent="0.2">
      <c r="G14374" s="7"/>
    </row>
    <row r="14375" spans="7:7" x14ac:dyDescent="0.2">
      <c r="G14375" s="7"/>
    </row>
    <row r="14376" spans="7:7" x14ac:dyDescent="0.2">
      <c r="G14376" s="7"/>
    </row>
    <row r="14377" spans="7:7" x14ac:dyDescent="0.2">
      <c r="G14377" s="7"/>
    </row>
    <row r="14378" spans="7:7" x14ac:dyDescent="0.2">
      <c r="G14378" s="7"/>
    </row>
    <row r="14379" spans="7:7" x14ac:dyDescent="0.2">
      <c r="G14379" s="7"/>
    </row>
    <row r="14380" spans="7:7" x14ac:dyDescent="0.2">
      <c r="G14380" s="7"/>
    </row>
    <row r="14381" spans="7:7" x14ac:dyDescent="0.2">
      <c r="G14381" s="7"/>
    </row>
    <row r="14382" spans="7:7" x14ac:dyDescent="0.2">
      <c r="G14382" s="7"/>
    </row>
    <row r="14383" spans="7:7" x14ac:dyDescent="0.2">
      <c r="G14383" s="7"/>
    </row>
    <row r="14384" spans="7:7" x14ac:dyDescent="0.2">
      <c r="G14384" s="7"/>
    </row>
    <row r="14385" spans="7:7" x14ac:dyDescent="0.2">
      <c r="G14385" s="7"/>
    </row>
    <row r="14386" spans="7:7" x14ac:dyDescent="0.2">
      <c r="G14386" s="7"/>
    </row>
    <row r="14387" spans="7:7" x14ac:dyDescent="0.2">
      <c r="G14387" s="7"/>
    </row>
    <row r="14388" spans="7:7" x14ac:dyDescent="0.2">
      <c r="G14388" s="7"/>
    </row>
    <row r="14389" spans="7:7" x14ac:dyDescent="0.2">
      <c r="G14389" s="7"/>
    </row>
    <row r="14390" spans="7:7" x14ac:dyDescent="0.2">
      <c r="G14390" s="7"/>
    </row>
    <row r="14391" spans="7:7" x14ac:dyDescent="0.2">
      <c r="G14391" s="7"/>
    </row>
    <row r="14392" spans="7:7" x14ac:dyDescent="0.2">
      <c r="G14392" s="7"/>
    </row>
    <row r="14393" spans="7:7" x14ac:dyDescent="0.2">
      <c r="G14393" s="7"/>
    </row>
    <row r="14394" spans="7:7" x14ac:dyDescent="0.2">
      <c r="G14394" s="7"/>
    </row>
    <row r="14395" spans="7:7" x14ac:dyDescent="0.2">
      <c r="G14395" s="7"/>
    </row>
    <row r="14396" spans="7:7" x14ac:dyDescent="0.2">
      <c r="G14396" s="7"/>
    </row>
    <row r="14397" spans="7:7" x14ac:dyDescent="0.2">
      <c r="G14397" s="7"/>
    </row>
    <row r="14398" spans="7:7" x14ac:dyDescent="0.2">
      <c r="G14398" s="7"/>
    </row>
    <row r="14399" spans="7:7" x14ac:dyDescent="0.2">
      <c r="G14399" s="7"/>
    </row>
    <row r="14400" spans="7:7" x14ac:dyDescent="0.2">
      <c r="G14400" s="7"/>
    </row>
    <row r="14401" spans="7:7" x14ac:dyDescent="0.2">
      <c r="G14401" s="7"/>
    </row>
    <row r="14402" spans="7:7" x14ac:dyDescent="0.2">
      <c r="G14402" s="7"/>
    </row>
    <row r="14403" spans="7:7" x14ac:dyDescent="0.2">
      <c r="G14403" s="7"/>
    </row>
    <row r="14404" spans="7:7" x14ac:dyDescent="0.2">
      <c r="G14404" s="7"/>
    </row>
    <row r="14405" spans="7:7" x14ac:dyDescent="0.2">
      <c r="G14405" s="7"/>
    </row>
    <row r="14406" spans="7:7" x14ac:dyDescent="0.2">
      <c r="G14406" s="7"/>
    </row>
    <row r="14407" spans="7:7" x14ac:dyDescent="0.2">
      <c r="G14407" s="7"/>
    </row>
    <row r="14408" spans="7:7" x14ac:dyDescent="0.2">
      <c r="G14408" s="7"/>
    </row>
    <row r="14409" spans="7:7" x14ac:dyDescent="0.2">
      <c r="G14409" s="7"/>
    </row>
    <row r="14410" spans="7:7" x14ac:dyDescent="0.2">
      <c r="G14410" s="7"/>
    </row>
    <row r="14411" spans="7:7" x14ac:dyDescent="0.2">
      <c r="G14411" s="7"/>
    </row>
    <row r="14412" spans="7:7" x14ac:dyDescent="0.2">
      <c r="G14412" s="7"/>
    </row>
    <row r="14413" spans="7:7" x14ac:dyDescent="0.2">
      <c r="G14413" s="7"/>
    </row>
    <row r="14414" spans="7:7" x14ac:dyDescent="0.2">
      <c r="G14414" s="7"/>
    </row>
    <row r="14415" spans="7:7" x14ac:dyDescent="0.2">
      <c r="G14415" s="7"/>
    </row>
    <row r="14416" spans="7:7" x14ac:dyDescent="0.2">
      <c r="G14416" s="7"/>
    </row>
    <row r="14417" spans="7:7" x14ac:dyDescent="0.2">
      <c r="G14417" s="7"/>
    </row>
    <row r="14418" spans="7:7" x14ac:dyDescent="0.2">
      <c r="G14418" s="7"/>
    </row>
    <row r="14419" spans="7:7" x14ac:dyDescent="0.2">
      <c r="G14419" s="7"/>
    </row>
    <row r="14420" spans="7:7" x14ac:dyDescent="0.2">
      <c r="G14420" s="7"/>
    </row>
    <row r="14421" spans="7:7" x14ac:dyDescent="0.2">
      <c r="G14421" s="7"/>
    </row>
    <row r="14422" spans="7:7" x14ac:dyDescent="0.2">
      <c r="G14422" s="7"/>
    </row>
    <row r="14423" spans="7:7" x14ac:dyDescent="0.2">
      <c r="G14423" s="7"/>
    </row>
    <row r="14424" spans="7:7" x14ac:dyDescent="0.2">
      <c r="G14424" s="7"/>
    </row>
    <row r="14425" spans="7:7" x14ac:dyDescent="0.2">
      <c r="G14425" s="7"/>
    </row>
    <row r="14426" spans="7:7" x14ac:dyDescent="0.2">
      <c r="G14426" s="7"/>
    </row>
    <row r="14427" spans="7:7" x14ac:dyDescent="0.2">
      <c r="G14427" s="7"/>
    </row>
    <row r="14428" spans="7:7" x14ac:dyDescent="0.2">
      <c r="G14428" s="7"/>
    </row>
    <row r="14429" spans="7:7" x14ac:dyDescent="0.2">
      <c r="G14429" s="7"/>
    </row>
    <row r="14430" spans="7:7" x14ac:dyDescent="0.2">
      <c r="G14430" s="7"/>
    </row>
    <row r="14431" spans="7:7" x14ac:dyDescent="0.2">
      <c r="G14431" s="7"/>
    </row>
    <row r="14432" spans="7:7" x14ac:dyDescent="0.2">
      <c r="G14432" s="7"/>
    </row>
    <row r="14433" spans="7:7" x14ac:dyDescent="0.2">
      <c r="G14433" s="7"/>
    </row>
    <row r="14434" spans="7:7" x14ac:dyDescent="0.2">
      <c r="G14434" s="7"/>
    </row>
    <row r="14435" spans="7:7" x14ac:dyDescent="0.2">
      <c r="G14435" s="7"/>
    </row>
    <row r="14436" spans="7:7" x14ac:dyDescent="0.2">
      <c r="G14436" s="7"/>
    </row>
    <row r="14437" spans="7:7" x14ac:dyDescent="0.2">
      <c r="G14437" s="7"/>
    </row>
    <row r="14438" spans="7:7" x14ac:dyDescent="0.2">
      <c r="G14438" s="7"/>
    </row>
    <row r="14439" spans="7:7" x14ac:dyDescent="0.2">
      <c r="G14439" s="7"/>
    </row>
    <row r="14440" spans="7:7" x14ac:dyDescent="0.2">
      <c r="G14440" s="7"/>
    </row>
    <row r="14441" spans="7:7" x14ac:dyDescent="0.2">
      <c r="G14441" s="7"/>
    </row>
    <row r="14442" spans="7:7" x14ac:dyDescent="0.2">
      <c r="G14442" s="7"/>
    </row>
    <row r="14443" spans="7:7" x14ac:dyDescent="0.2">
      <c r="G14443" s="7"/>
    </row>
    <row r="14444" spans="7:7" x14ac:dyDescent="0.2">
      <c r="G14444" s="7"/>
    </row>
    <row r="14445" spans="7:7" x14ac:dyDescent="0.2">
      <c r="G14445" s="7"/>
    </row>
    <row r="14446" spans="7:7" x14ac:dyDescent="0.2">
      <c r="G14446" s="7"/>
    </row>
    <row r="14447" spans="7:7" x14ac:dyDescent="0.2">
      <c r="G14447" s="7"/>
    </row>
    <row r="14448" spans="7:7" x14ac:dyDescent="0.2">
      <c r="G14448" s="7"/>
    </row>
    <row r="14449" spans="7:7" x14ac:dyDescent="0.2">
      <c r="G14449" s="7"/>
    </row>
    <row r="14450" spans="7:7" x14ac:dyDescent="0.2">
      <c r="G14450" s="7"/>
    </row>
    <row r="14451" spans="7:7" x14ac:dyDescent="0.2">
      <c r="G14451" s="7"/>
    </row>
    <row r="14452" spans="7:7" x14ac:dyDescent="0.2">
      <c r="G14452" s="7"/>
    </row>
    <row r="14453" spans="7:7" x14ac:dyDescent="0.2">
      <c r="G14453" s="7"/>
    </row>
    <row r="14454" spans="7:7" x14ac:dyDescent="0.2">
      <c r="G14454" s="7"/>
    </row>
    <row r="14455" spans="7:7" x14ac:dyDescent="0.2">
      <c r="G14455" s="7"/>
    </row>
    <row r="14456" spans="7:7" x14ac:dyDescent="0.2">
      <c r="G14456" s="7"/>
    </row>
    <row r="14457" spans="7:7" x14ac:dyDescent="0.2">
      <c r="G14457" s="7"/>
    </row>
    <row r="14458" spans="7:7" x14ac:dyDescent="0.2">
      <c r="G14458" s="7"/>
    </row>
    <row r="14459" spans="7:7" x14ac:dyDescent="0.2">
      <c r="G14459" s="7"/>
    </row>
    <row r="14460" spans="7:7" x14ac:dyDescent="0.2">
      <c r="G14460" s="7"/>
    </row>
    <row r="14461" spans="7:7" x14ac:dyDescent="0.2">
      <c r="G14461" s="7"/>
    </row>
    <row r="14462" spans="7:7" x14ac:dyDescent="0.2">
      <c r="G14462" s="7"/>
    </row>
    <row r="14463" spans="7:7" x14ac:dyDescent="0.2">
      <c r="G14463" s="7"/>
    </row>
    <row r="14464" spans="7:7" x14ac:dyDescent="0.2">
      <c r="G14464" s="7"/>
    </row>
    <row r="14465" spans="7:7" x14ac:dyDescent="0.2">
      <c r="G14465" s="7"/>
    </row>
    <row r="14466" spans="7:7" x14ac:dyDescent="0.2">
      <c r="G14466" s="7"/>
    </row>
    <row r="14467" spans="7:7" x14ac:dyDescent="0.2">
      <c r="G14467" s="7"/>
    </row>
    <row r="14468" spans="7:7" x14ac:dyDescent="0.2">
      <c r="G14468" s="7"/>
    </row>
    <row r="14469" spans="7:7" x14ac:dyDescent="0.2">
      <c r="G14469" s="7"/>
    </row>
    <row r="14470" spans="7:7" x14ac:dyDescent="0.2">
      <c r="G14470" s="7"/>
    </row>
    <row r="14471" spans="7:7" x14ac:dyDescent="0.2">
      <c r="G14471" s="7"/>
    </row>
    <row r="14472" spans="7:7" x14ac:dyDescent="0.2">
      <c r="G14472" s="7"/>
    </row>
    <row r="14473" spans="7:7" x14ac:dyDescent="0.2">
      <c r="G14473" s="7"/>
    </row>
    <row r="14474" spans="7:7" x14ac:dyDescent="0.2">
      <c r="G14474" s="7"/>
    </row>
    <row r="14475" spans="7:7" x14ac:dyDescent="0.2">
      <c r="G14475" s="7"/>
    </row>
    <row r="14476" spans="7:7" x14ac:dyDescent="0.2">
      <c r="G14476" s="7"/>
    </row>
    <row r="14477" spans="7:7" x14ac:dyDescent="0.2">
      <c r="G14477" s="7"/>
    </row>
    <row r="14478" spans="7:7" x14ac:dyDescent="0.2">
      <c r="G14478" s="7"/>
    </row>
    <row r="14479" spans="7:7" x14ac:dyDescent="0.2">
      <c r="G14479" s="7"/>
    </row>
    <row r="14480" spans="7:7" x14ac:dyDescent="0.2">
      <c r="G14480" s="7"/>
    </row>
    <row r="14481" spans="7:7" x14ac:dyDescent="0.2">
      <c r="G14481" s="7"/>
    </row>
    <row r="14482" spans="7:7" x14ac:dyDescent="0.2">
      <c r="G14482" s="7"/>
    </row>
    <row r="14483" spans="7:7" x14ac:dyDescent="0.2">
      <c r="G14483" s="7"/>
    </row>
    <row r="14484" spans="7:7" x14ac:dyDescent="0.2">
      <c r="G14484" s="7"/>
    </row>
    <row r="14485" spans="7:7" x14ac:dyDescent="0.2">
      <c r="G14485" s="7"/>
    </row>
    <row r="14486" spans="7:7" x14ac:dyDescent="0.2">
      <c r="G14486" s="7"/>
    </row>
    <row r="14487" spans="7:7" x14ac:dyDescent="0.2">
      <c r="G14487" s="7"/>
    </row>
    <row r="14488" spans="7:7" x14ac:dyDescent="0.2">
      <c r="G14488" s="7"/>
    </row>
    <row r="14489" spans="7:7" x14ac:dyDescent="0.2">
      <c r="G14489" s="7"/>
    </row>
    <row r="14490" spans="7:7" x14ac:dyDescent="0.2">
      <c r="G14490" s="7"/>
    </row>
    <row r="14491" spans="7:7" x14ac:dyDescent="0.2">
      <c r="G14491" s="7"/>
    </row>
    <row r="14492" spans="7:7" x14ac:dyDescent="0.2">
      <c r="G14492" s="7"/>
    </row>
    <row r="14493" spans="7:7" x14ac:dyDescent="0.2">
      <c r="G14493" s="7"/>
    </row>
    <row r="14494" spans="7:7" x14ac:dyDescent="0.2">
      <c r="G14494" s="7"/>
    </row>
    <row r="14495" spans="7:7" x14ac:dyDescent="0.2">
      <c r="G14495" s="7"/>
    </row>
    <row r="14496" spans="7:7" x14ac:dyDescent="0.2">
      <c r="G14496" s="7"/>
    </row>
    <row r="14497" spans="7:7" x14ac:dyDescent="0.2">
      <c r="G14497" s="7"/>
    </row>
    <row r="14498" spans="7:7" x14ac:dyDescent="0.2">
      <c r="G14498" s="7"/>
    </row>
    <row r="14499" spans="7:7" x14ac:dyDescent="0.2">
      <c r="G14499" s="7"/>
    </row>
    <row r="14500" spans="7:7" x14ac:dyDescent="0.2">
      <c r="G14500" s="7"/>
    </row>
    <row r="14501" spans="7:7" x14ac:dyDescent="0.2">
      <c r="G14501" s="7"/>
    </row>
    <row r="14502" spans="7:7" x14ac:dyDescent="0.2">
      <c r="G14502" s="7"/>
    </row>
    <row r="14503" spans="7:7" x14ac:dyDescent="0.2">
      <c r="G14503" s="7"/>
    </row>
    <row r="14504" spans="7:7" x14ac:dyDescent="0.2">
      <c r="G14504" s="7"/>
    </row>
    <row r="14505" spans="7:7" x14ac:dyDescent="0.2">
      <c r="G14505" s="7"/>
    </row>
    <row r="14506" spans="7:7" x14ac:dyDescent="0.2">
      <c r="G14506" s="7"/>
    </row>
    <row r="14507" spans="7:7" x14ac:dyDescent="0.2">
      <c r="G14507" s="7"/>
    </row>
    <row r="14508" spans="7:7" x14ac:dyDescent="0.2">
      <c r="G14508" s="7"/>
    </row>
    <row r="14509" spans="7:7" x14ac:dyDescent="0.2">
      <c r="G14509" s="7"/>
    </row>
    <row r="14510" spans="7:7" x14ac:dyDescent="0.2">
      <c r="G14510" s="7"/>
    </row>
    <row r="14511" spans="7:7" x14ac:dyDescent="0.2">
      <c r="G14511" s="7"/>
    </row>
    <row r="14512" spans="7:7" x14ac:dyDescent="0.2">
      <c r="G14512" s="7"/>
    </row>
    <row r="14513" spans="7:7" x14ac:dyDescent="0.2">
      <c r="G14513" s="7"/>
    </row>
    <row r="14514" spans="7:7" x14ac:dyDescent="0.2">
      <c r="G14514" s="7"/>
    </row>
    <row r="14515" spans="7:7" x14ac:dyDescent="0.2">
      <c r="G14515" s="7"/>
    </row>
    <row r="14516" spans="7:7" x14ac:dyDescent="0.2">
      <c r="G14516" s="7"/>
    </row>
    <row r="14517" spans="7:7" x14ac:dyDescent="0.2">
      <c r="G14517" s="7"/>
    </row>
    <row r="14518" spans="7:7" x14ac:dyDescent="0.2">
      <c r="G14518" s="7"/>
    </row>
    <row r="14519" spans="7:7" x14ac:dyDescent="0.2">
      <c r="G14519" s="7"/>
    </row>
    <row r="14520" spans="7:7" x14ac:dyDescent="0.2">
      <c r="G14520" s="7"/>
    </row>
    <row r="14521" spans="7:7" x14ac:dyDescent="0.2">
      <c r="G14521" s="7"/>
    </row>
    <row r="14522" spans="7:7" x14ac:dyDescent="0.2">
      <c r="G14522" s="7"/>
    </row>
    <row r="14523" spans="7:7" x14ac:dyDescent="0.2">
      <c r="G14523" s="7"/>
    </row>
    <row r="14524" spans="7:7" x14ac:dyDescent="0.2">
      <c r="G14524" s="7"/>
    </row>
    <row r="14525" spans="7:7" x14ac:dyDescent="0.2">
      <c r="G14525" s="7"/>
    </row>
    <row r="14526" spans="7:7" x14ac:dyDescent="0.2">
      <c r="G14526" s="7"/>
    </row>
    <row r="14527" spans="7:7" x14ac:dyDescent="0.2">
      <c r="G14527" s="7"/>
    </row>
    <row r="14528" spans="7:7" x14ac:dyDescent="0.2">
      <c r="G14528" s="7"/>
    </row>
    <row r="14529" spans="7:7" x14ac:dyDescent="0.2">
      <c r="G14529" s="7"/>
    </row>
    <row r="14530" spans="7:7" x14ac:dyDescent="0.2">
      <c r="G14530" s="7"/>
    </row>
    <row r="14531" spans="7:7" x14ac:dyDescent="0.2">
      <c r="G14531" s="7"/>
    </row>
    <row r="14532" spans="7:7" x14ac:dyDescent="0.2">
      <c r="G14532" s="7"/>
    </row>
    <row r="14533" spans="7:7" x14ac:dyDescent="0.2">
      <c r="G14533" s="7"/>
    </row>
    <row r="14534" spans="7:7" x14ac:dyDescent="0.2">
      <c r="G14534" s="7"/>
    </row>
    <row r="14535" spans="7:7" x14ac:dyDescent="0.2">
      <c r="G14535" s="7"/>
    </row>
    <row r="14536" spans="7:7" x14ac:dyDescent="0.2">
      <c r="G14536" s="7"/>
    </row>
    <row r="14537" spans="7:7" x14ac:dyDescent="0.2">
      <c r="G14537" s="7"/>
    </row>
    <row r="14538" spans="7:7" x14ac:dyDescent="0.2">
      <c r="G14538" s="7"/>
    </row>
    <row r="14539" spans="7:7" x14ac:dyDescent="0.2">
      <c r="G14539" s="7"/>
    </row>
    <row r="14540" spans="7:7" x14ac:dyDescent="0.2">
      <c r="G14540" s="7"/>
    </row>
    <row r="14541" spans="7:7" x14ac:dyDescent="0.2">
      <c r="G14541" s="7"/>
    </row>
    <row r="14542" spans="7:7" x14ac:dyDescent="0.2">
      <c r="G14542" s="7"/>
    </row>
    <row r="14543" spans="7:7" x14ac:dyDescent="0.2">
      <c r="G14543" s="7"/>
    </row>
    <row r="14544" spans="7:7" x14ac:dyDescent="0.2">
      <c r="G14544" s="7"/>
    </row>
    <row r="14545" spans="7:7" x14ac:dyDescent="0.2">
      <c r="G14545" s="7"/>
    </row>
    <row r="14546" spans="7:7" x14ac:dyDescent="0.2">
      <c r="G14546" s="7"/>
    </row>
    <row r="14547" spans="7:7" x14ac:dyDescent="0.2">
      <c r="G14547" s="7"/>
    </row>
    <row r="14548" spans="7:7" x14ac:dyDescent="0.2">
      <c r="G14548" s="7"/>
    </row>
    <row r="14549" spans="7:7" x14ac:dyDescent="0.2">
      <c r="G14549" s="7"/>
    </row>
    <row r="14550" spans="7:7" x14ac:dyDescent="0.2">
      <c r="G14550" s="7"/>
    </row>
    <row r="14551" spans="7:7" x14ac:dyDescent="0.2">
      <c r="G14551" s="7"/>
    </row>
    <row r="14552" spans="7:7" x14ac:dyDescent="0.2">
      <c r="G14552" s="7"/>
    </row>
    <row r="14553" spans="7:7" x14ac:dyDescent="0.2">
      <c r="G14553" s="7"/>
    </row>
    <row r="14554" spans="7:7" x14ac:dyDescent="0.2">
      <c r="G14554" s="7"/>
    </row>
    <row r="14555" spans="7:7" x14ac:dyDescent="0.2">
      <c r="G14555" s="7"/>
    </row>
    <row r="14556" spans="7:7" x14ac:dyDescent="0.2">
      <c r="G14556" s="7"/>
    </row>
    <row r="14557" spans="7:7" x14ac:dyDescent="0.2">
      <c r="G14557" s="7"/>
    </row>
    <row r="14558" spans="7:7" x14ac:dyDescent="0.2">
      <c r="G14558" s="7"/>
    </row>
    <row r="14559" spans="7:7" x14ac:dyDescent="0.2">
      <c r="G14559" s="7"/>
    </row>
    <row r="14560" spans="7:7" x14ac:dyDescent="0.2">
      <c r="G14560" s="7"/>
    </row>
    <row r="14561" spans="7:7" x14ac:dyDescent="0.2">
      <c r="G14561" s="7"/>
    </row>
    <row r="14562" spans="7:7" x14ac:dyDescent="0.2">
      <c r="G14562" s="7"/>
    </row>
    <row r="14563" spans="7:7" x14ac:dyDescent="0.2">
      <c r="G14563" s="7"/>
    </row>
    <row r="14564" spans="7:7" x14ac:dyDescent="0.2">
      <c r="G14564" s="7"/>
    </row>
    <row r="14565" spans="7:7" x14ac:dyDescent="0.2">
      <c r="G14565" s="7"/>
    </row>
    <row r="14566" spans="7:7" x14ac:dyDescent="0.2">
      <c r="G14566" s="7"/>
    </row>
    <row r="14567" spans="7:7" x14ac:dyDescent="0.2">
      <c r="G14567" s="7"/>
    </row>
    <row r="14568" spans="7:7" x14ac:dyDescent="0.2">
      <c r="G14568" s="7"/>
    </row>
    <row r="14569" spans="7:7" x14ac:dyDescent="0.2">
      <c r="G14569" s="7"/>
    </row>
    <row r="14570" spans="7:7" x14ac:dyDescent="0.2">
      <c r="G14570" s="7"/>
    </row>
    <row r="14571" spans="7:7" x14ac:dyDescent="0.2">
      <c r="G14571" s="7"/>
    </row>
    <row r="14572" spans="7:7" x14ac:dyDescent="0.2">
      <c r="G14572" s="7"/>
    </row>
    <row r="14573" spans="7:7" x14ac:dyDescent="0.2">
      <c r="G14573" s="7"/>
    </row>
    <row r="14574" spans="7:7" x14ac:dyDescent="0.2">
      <c r="G14574" s="7"/>
    </row>
    <row r="14575" spans="7:7" x14ac:dyDescent="0.2">
      <c r="G14575" s="7"/>
    </row>
    <row r="14576" spans="7:7" x14ac:dyDescent="0.2">
      <c r="G14576" s="7"/>
    </row>
    <row r="14577" spans="7:7" x14ac:dyDescent="0.2">
      <c r="G14577" s="7"/>
    </row>
    <row r="14578" spans="7:7" x14ac:dyDescent="0.2">
      <c r="G14578" s="7"/>
    </row>
    <row r="14579" spans="7:7" x14ac:dyDescent="0.2">
      <c r="G14579" s="7"/>
    </row>
    <row r="14580" spans="7:7" x14ac:dyDescent="0.2">
      <c r="G14580" s="7"/>
    </row>
    <row r="14581" spans="7:7" x14ac:dyDescent="0.2">
      <c r="G14581" s="7"/>
    </row>
    <row r="14582" spans="7:7" x14ac:dyDescent="0.2">
      <c r="G14582" s="7"/>
    </row>
    <row r="14583" spans="7:7" x14ac:dyDescent="0.2">
      <c r="G14583" s="7"/>
    </row>
    <row r="14584" spans="7:7" x14ac:dyDescent="0.2">
      <c r="G14584" s="7"/>
    </row>
    <row r="14585" spans="7:7" x14ac:dyDescent="0.2">
      <c r="G14585" s="7"/>
    </row>
    <row r="14586" spans="7:7" x14ac:dyDescent="0.2">
      <c r="G14586" s="7"/>
    </row>
    <row r="14587" spans="7:7" x14ac:dyDescent="0.2">
      <c r="G14587" s="7"/>
    </row>
    <row r="14588" spans="7:7" x14ac:dyDescent="0.2">
      <c r="G14588" s="7"/>
    </row>
    <row r="14589" spans="7:7" x14ac:dyDescent="0.2">
      <c r="G14589" s="7"/>
    </row>
    <row r="14590" spans="7:7" x14ac:dyDescent="0.2">
      <c r="G14590" s="7"/>
    </row>
    <row r="14591" spans="7:7" x14ac:dyDescent="0.2">
      <c r="G14591" s="7"/>
    </row>
    <row r="14592" spans="7:7" x14ac:dyDescent="0.2">
      <c r="G14592" s="7"/>
    </row>
    <row r="14593" spans="7:7" x14ac:dyDescent="0.2">
      <c r="G14593" s="7"/>
    </row>
    <row r="14594" spans="7:7" x14ac:dyDescent="0.2">
      <c r="G14594" s="7"/>
    </row>
    <row r="14595" spans="7:7" x14ac:dyDescent="0.2">
      <c r="G14595" s="7"/>
    </row>
    <row r="14596" spans="7:7" x14ac:dyDescent="0.2">
      <c r="G14596" s="7"/>
    </row>
    <row r="14597" spans="7:7" x14ac:dyDescent="0.2">
      <c r="G14597" s="7"/>
    </row>
    <row r="14598" spans="7:7" x14ac:dyDescent="0.2">
      <c r="G14598" s="7"/>
    </row>
    <row r="14599" spans="7:7" x14ac:dyDescent="0.2">
      <c r="G14599" s="7"/>
    </row>
    <row r="14600" spans="7:7" x14ac:dyDescent="0.2">
      <c r="G14600" s="7"/>
    </row>
    <row r="14601" spans="7:7" x14ac:dyDescent="0.2">
      <c r="G14601" s="7"/>
    </row>
    <row r="14602" spans="7:7" x14ac:dyDescent="0.2">
      <c r="G14602" s="7"/>
    </row>
    <row r="14603" spans="7:7" x14ac:dyDescent="0.2">
      <c r="G14603" s="7"/>
    </row>
    <row r="14604" spans="7:7" x14ac:dyDescent="0.2">
      <c r="G14604" s="7"/>
    </row>
    <row r="14605" spans="7:7" x14ac:dyDescent="0.2">
      <c r="G14605" s="7"/>
    </row>
    <row r="14606" spans="7:7" x14ac:dyDescent="0.2">
      <c r="G14606" s="7"/>
    </row>
    <row r="14607" spans="7:7" x14ac:dyDescent="0.2">
      <c r="G14607" s="7"/>
    </row>
    <row r="14608" spans="7:7" x14ac:dyDescent="0.2">
      <c r="G14608" s="7"/>
    </row>
    <row r="14609" spans="7:7" x14ac:dyDescent="0.2">
      <c r="G14609" s="7"/>
    </row>
    <row r="14610" spans="7:7" x14ac:dyDescent="0.2">
      <c r="G14610" s="7"/>
    </row>
    <row r="14611" spans="7:7" x14ac:dyDescent="0.2">
      <c r="G14611" s="7"/>
    </row>
    <row r="14612" spans="7:7" x14ac:dyDescent="0.2">
      <c r="G14612" s="7"/>
    </row>
    <row r="14613" spans="7:7" x14ac:dyDescent="0.2">
      <c r="G14613" s="7"/>
    </row>
    <row r="14614" spans="7:7" x14ac:dyDescent="0.2">
      <c r="G14614" s="7"/>
    </row>
    <row r="14615" spans="7:7" x14ac:dyDescent="0.2">
      <c r="G14615" s="7"/>
    </row>
    <row r="14616" spans="7:7" x14ac:dyDescent="0.2">
      <c r="G14616" s="7"/>
    </row>
    <row r="14617" spans="7:7" x14ac:dyDescent="0.2">
      <c r="G14617" s="7"/>
    </row>
    <row r="14618" spans="7:7" x14ac:dyDescent="0.2">
      <c r="G14618" s="7"/>
    </row>
    <row r="14619" spans="7:7" x14ac:dyDescent="0.2">
      <c r="G14619" s="7"/>
    </row>
    <row r="14620" spans="7:7" x14ac:dyDescent="0.2">
      <c r="G14620" s="7"/>
    </row>
    <row r="14621" spans="7:7" x14ac:dyDescent="0.2">
      <c r="G14621" s="7"/>
    </row>
    <row r="14622" spans="7:7" x14ac:dyDescent="0.2">
      <c r="G14622" s="7"/>
    </row>
    <row r="14623" spans="7:7" x14ac:dyDescent="0.2">
      <c r="G14623" s="7"/>
    </row>
    <row r="14624" spans="7:7" x14ac:dyDescent="0.2">
      <c r="G14624" s="7"/>
    </row>
    <row r="14625" spans="7:7" x14ac:dyDescent="0.2">
      <c r="G14625" s="7"/>
    </row>
    <row r="14626" spans="7:7" x14ac:dyDescent="0.2">
      <c r="G14626" s="7"/>
    </row>
    <row r="14627" spans="7:7" x14ac:dyDescent="0.2">
      <c r="G14627" s="7"/>
    </row>
    <row r="14628" spans="7:7" x14ac:dyDescent="0.2">
      <c r="G14628" s="7"/>
    </row>
    <row r="14629" spans="7:7" x14ac:dyDescent="0.2">
      <c r="G14629" s="7"/>
    </row>
    <row r="14630" spans="7:7" x14ac:dyDescent="0.2">
      <c r="G14630" s="7"/>
    </row>
    <row r="14631" spans="7:7" x14ac:dyDescent="0.2">
      <c r="G14631" s="7"/>
    </row>
    <row r="14632" spans="7:7" x14ac:dyDescent="0.2">
      <c r="G14632" s="7"/>
    </row>
    <row r="14633" spans="7:7" x14ac:dyDescent="0.2">
      <c r="G14633" s="7"/>
    </row>
    <row r="14634" spans="7:7" x14ac:dyDescent="0.2">
      <c r="G14634" s="7"/>
    </row>
    <row r="14635" spans="7:7" x14ac:dyDescent="0.2">
      <c r="G14635" s="7"/>
    </row>
    <row r="14636" spans="7:7" x14ac:dyDescent="0.2">
      <c r="G14636" s="7"/>
    </row>
    <row r="14637" spans="7:7" x14ac:dyDescent="0.2">
      <c r="G14637" s="7"/>
    </row>
    <row r="14638" spans="7:7" x14ac:dyDescent="0.2">
      <c r="G14638" s="7"/>
    </row>
    <row r="14639" spans="7:7" x14ac:dyDescent="0.2">
      <c r="G14639" s="7"/>
    </row>
    <row r="14640" spans="7:7" x14ac:dyDescent="0.2">
      <c r="G14640" s="7"/>
    </row>
    <row r="14641" spans="7:7" x14ac:dyDescent="0.2">
      <c r="G14641" s="7"/>
    </row>
    <row r="14642" spans="7:7" x14ac:dyDescent="0.2">
      <c r="G14642" s="7"/>
    </row>
    <row r="14643" spans="7:7" x14ac:dyDescent="0.2">
      <c r="G14643" s="7"/>
    </row>
    <row r="14644" spans="7:7" x14ac:dyDescent="0.2">
      <c r="G14644" s="7"/>
    </row>
    <row r="14645" spans="7:7" x14ac:dyDescent="0.2">
      <c r="G14645" s="7"/>
    </row>
    <row r="14646" spans="7:7" x14ac:dyDescent="0.2">
      <c r="G14646" s="7"/>
    </row>
    <row r="14647" spans="7:7" x14ac:dyDescent="0.2">
      <c r="G14647" s="7"/>
    </row>
    <row r="14648" spans="7:7" x14ac:dyDescent="0.2">
      <c r="G14648" s="7"/>
    </row>
    <row r="14649" spans="7:7" x14ac:dyDescent="0.2">
      <c r="G14649" s="7"/>
    </row>
    <row r="14650" spans="7:7" x14ac:dyDescent="0.2">
      <c r="G14650" s="7"/>
    </row>
    <row r="14651" spans="7:7" x14ac:dyDescent="0.2">
      <c r="G14651" s="7"/>
    </row>
    <row r="14652" spans="7:7" x14ac:dyDescent="0.2">
      <c r="G14652" s="7"/>
    </row>
    <row r="14653" spans="7:7" x14ac:dyDescent="0.2">
      <c r="G14653" s="7"/>
    </row>
    <row r="14654" spans="7:7" x14ac:dyDescent="0.2">
      <c r="G14654" s="7"/>
    </row>
    <row r="14655" spans="7:7" x14ac:dyDescent="0.2">
      <c r="G14655" s="7"/>
    </row>
    <row r="14656" spans="7:7" x14ac:dyDescent="0.2">
      <c r="G14656" s="7"/>
    </row>
    <row r="14657" spans="7:7" x14ac:dyDescent="0.2">
      <c r="G14657" s="7"/>
    </row>
    <row r="14658" spans="7:7" x14ac:dyDescent="0.2">
      <c r="G14658" s="7"/>
    </row>
    <row r="14659" spans="7:7" x14ac:dyDescent="0.2">
      <c r="G14659" s="7"/>
    </row>
    <row r="14660" spans="7:7" x14ac:dyDescent="0.2">
      <c r="G14660" s="7"/>
    </row>
    <row r="14661" spans="7:7" x14ac:dyDescent="0.2">
      <c r="G14661" s="7"/>
    </row>
    <row r="14662" spans="7:7" x14ac:dyDescent="0.2">
      <c r="G14662" s="7"/>
    </row>
    <row r="14663" spans="7:7" x14ac:dyDescent="0.2">
      <c r="G14663" s="7"/>
    </row>
    <row r="14664" spans="7:7" x14ac:dyDescent="0.2">
      <c r="G14664" s="7"/>
    </row>
    <row r="14665" spans="7:7" x14ac:dyDescent="0.2">
      <c r="G14665" s="7"/>
    </row>
    <row r="14666" spans="7:7" x14ac:dyDescent="0.2">
      <c r="G14666" s="7"/>
    </row>
    <row r="14667" spans="7:7" x14ac:dyDescent="0.2">
      <c r="G14667" s="7"/>
    </row>
    <row r="14668" spans="7:7" x14ac:dyDescent="0.2">
      <c r="G14668" s="7"/>
    </row>
    <row r="14669" spans="7:7" x14ac:dyDescent="0.2">
      <c r="G14669" s="7"/>
    </row>
    <row r="14670" spans="7:7" x14ac:dyDescent="0.2">
      <c r="G14670" s="7"/>
    </row>
    <row r="14671" spans="7:7" x14ac:dyDescent="0.2">
      <c r="G14671" s="7"/>
    </row>
    <row r="14672" spans="7:7" x14ac:dyDescent="0.2">
      <c r="G14672" s="7"/>
    </row>
    <row r="14673" spans="7:7" x14ac:dyDescent="0.2">
      <c r="G14673" s="7"/>
    </row>
    <row r="14674" spans="7:7" x14ac:dyDescent="0.2">
      <c r="G14674" s="7"/>
    </row>
    <row r="14675" spans="7:7" x14ac:dyDescent="0.2">
      <c r="G14675" s="7"/>
    </row>
    <row r="14676" spans="7:7" x14ac:dyDescent="0.2">
      <c r="G14676" s="7"/>
    </row>
    <row r="14677" spans="7:7" x14ac:dyDescent="0.2">
      <c r="G14677" s="7"/>
    </row>
    <row r="14678" spans="7:7" x14ac:dyDescent="0.2">
      <c r="G14678" s="7"/>
    </row>
    <row r="14679" spans="7:7" x14ac:dyDescent="0.2">
      <c r="G14679" s="7"/>
    </row>
    <row r="14680" spans="7:7" x14ac:dyDescent="0.2">
      <c r="G14680" s="7"/>
    </row>
    <row r="14681" spans="7:7" x14ac:dyDescent="0.2">
      <c r="G14681" s="7"/>
    </row>
    <row r="14682" spans="7:7" x14ac:dyDescent="0.2">
      <c r="G14682" s="7"/>
    </row>
    <row r="14683" spans="7:7" x14ac:dyDescent="0.2">
      <c r="G14683" s="7"/>
    </row>
    <row r="14684" spans="7:7" x14ac:dyDescent="0.2">
      <c r="G14684" s="7"/>
    </row>
    <row r="14685" spans="7:7" x14ac:dyDescent="0.2">
      <c r="G14685" s="7"/>
    </row>
    <row r="14686" spans="7:7" x14ac:dyDescent="0.2">
      <c r="G14686" s="7"/>
    </row>
    <row r="14687" spans="7:7" x14ac:dyDescent="0.2">
      <c r="G14687" s="7"/>
    </row>
    <row r="14688" spans="7:7" x14ac:dyDescent="0.2">
      <c r="G14688" s="7"/>
    </row>
    <row r="14689" spans="7:7" x14ac:dyDescent="0.2">
      <c r="G14689" s="7"/>
    </row>
    <row r="14690" spans="7:7" x14ac:dyDescent="0.2">
      <c r="G14690" s="7"/>
    </row>
    <row r="14691" spans="7:7" x14ac:dyDescent="0.2">
      <c r="G14691" s="7"/>
    </row>
    <row r="14692" spans="7:7" x14ac:dyDescent="0.2">
      <c r="G14692" s="7"/>
    </row>
    <row r="14693" spans="7:7" x14ac:dyDescent="0.2">
      <c r="G14693" s="7"/>
    </row>
    <row r="14694" spans="7:7" x14ac:dyDescent="0.2">
      <c r="G14694" s="7"/>
    </row>
    <row r="14695" spans="7:7" x14ac:dyDescent="0.2">
      <c r="G14695" s="7"/>
    </row>
    <row r="14696" spans="7:7" x14ac:dyDescent="0.2">
      <c r="G14696" s="7"/>
    </row>
    <row r="14697" spans="7:7" x14ac:dyDescent="0.2">
      <c r="G14697" s="7"/>
    </row>
    <row r="14698" spans="7:7" x14ac:dyDescent="0.2">
      <c r="G14698" s="7"/>
    </row>
    <row r="14699" spans="7:7" x14ac:dyDescent="0.2">
      <c r="G14699" s="7"/>
    </row>
    <row r="14700" spans="7:7" x14ac:dyDescent="0.2">
      <c r="G14700" s="7"/>
    </row>
    <row r="14701" spans="7:7" x14ac:dyDescent="0.2">
      <c r="G14701" s="7"/>
    </row>
    <row r="14702" spans="7:7" x14ac:dyDescent="0.2">
      <c r="G14702" s="7"/>
    </row>
    <row r="14703" spans="7:7" x14ac:dyDescent="0.2">
      <c r="G14703" s="7"/>
    </row>
    <row r="14704" spans="7:7" x14ac:dyDescent="0.2">
      <c r="G14704" s="7"/>
    </row>
    <row r="14705" spans="7:7" x14ac:dyDescent="0.2">
      <c r="G14705" s="7"/>
    </row>
    <row r="14706" spans="7:7" x14ac:dyDescent="0.2">
      <c r="G14706" s="7"/>
    </row>
    <row r="14707" spans="7:7" x14ac:dyDescent="0.2">
      <c r="G14707" s="7"/>
    </row>
    <row r="14708" spans="7:7" x14ac:dyDescent="0.2">
      <c r="G14708" s="7"/>
    </row>
    <row r="14709" spans="7:7" x14ac:dyDescent="0.2">
      <c r="G14709" s="7"/>
    </row>
    <row r="14710" spans="7:7" x14ac:dyDescent="0.2">
      <c r="G14710" s="7"/>
    </row>
    <row r="14711" spans="7:7" x14ac:dyDescent="0.2">
      <c r="G14711" s="7"/>
    </row>
    <row r="14712" spans="7:7" x14ac:dyDescent="0.2">
      <c r="G14712" s="7"/>
    </row>
    <row r="14713" spans="7:7" x14ac:dyDescent="0.2">
      <c r="G14713" s="7"/>
    </row>
    <row r="14714" spans="7:7" x14ac:dyDescent="0.2">
      <c r="G14714" s="7"/>
    </row>
    <row r="14715" spans="7:7" x14ac:dyDescent="0.2">
      <c r="G14715" s="7"/>
    </row>
    <row r="14716" spans="7:7" x14ac:dyDescent="0.2">
      <c r="G14716" s="7"/>
    </row>
    <row r="14717" spans="7:7" x14ac:dyDescent="0.2">
      <c r="G14717" s="7"/>
    </row>
    <row r="14718" spans="7:7" x14ac:dyDescent="0.2">
      <c r="G14718" s="7"/>
    </row>
    <row r="14719" spans="7:7" x14ac:dyDescent="0.2">
      <c r="G14719" s="7"/>
    </row>
    <row r="14720" spans="7:7" x14ac:dyDescent="0.2">
      <c r="G14720" s="7"/>
    </row>
    <row r="14721" spans="7:7" x14ac:dyDescent="0.2">
      <c r="G14721" s="7"/>
    </row>
    <row r="14722" spans="7:7" x14ac:dyDescent="0.2">
      <c r="G14722" s="7"/>
    </row>
    <row r="14723" spans="7:7" x14ac:dyDescent="0.2">
      <c r="G14723" s="7"/>
    </row>
    <row r="14724" spans="7:7" x14ac:dyDescent="0.2">
      <c r="G14724" s="7"/>
    </row>
    <row r="14725" spans="7:7" x14ac:dyDescent="0.2">
      <c r="G14725" s="7"/>
    </row>
    <row r="14726" spans="7:7" x14ac:dyDescent="0.2">
      <c r="G14726" s="7"/>
    </row>
    <row r="14727" spans="7:7" x14ac:dyDescent="0.2">
      <c r="G14727" s="7"/>
    </row>
    <row r="14728" spans="7:7" x14ac:dyDescent="0.2">
      <c r="G14728" s="7"/>
    </row>
    <row r="14729" spans="7:7" x14ac:dyDescent="0.2">
      <c r="G14729" s="7"/>
    </row>
    <row r="14730" spans="7:7" x14ac:dyDescent="0.2">
      <c r="G14730" s="7"/>
    </row>
    <row r="14731" spans="7:7" x14ac:dyDescent="0.2">
      <c r="G14731" s="7"/>
    </row>
    <row r="14732" spans="7:7" x14ac:dyDescent="0.2">
      <c r="G14732" s="7"/>
    </row>
    <row r="14733" spans="7:7" x14ac:dyDescent="0.2">
      <c r="G14733" s="7"/>
    </row>
    <row r="14734" spans="7:7" x14ac:dyDescent="0.2">
      <c r="G14734" s="7"/>
    </row>
    <row r="14735" spans="7:7" x14ac:dyDescent="0.2">
      <c r="G14735" s="7"/>
    </row>
    <row r="14736" spans="7:7" x14ac:dyDescent="0.2">
      <c r="G14736" s="7"/>
    </row>
    <row r="14737" spans="7:7" x14ac:dyDescent="0.2">
      <c r="G14737" s="7"/>
    </row>
    <row r="14738" spans="7:7" x14ac:dyDescent="0.2">
      <c r="G14738" s="7"/>
    </row>
    <row r="14739" spans="7:7" x14ac:dyDescent="0.2">
      <c r="G14739" s="7"/>
    </row>
    <row r="14740" spans="7:7" x14ac:dyDescent="0.2">
      <c r="G14740" s="7"/>
    </row>
    <row r="14741" spans="7:7" x14ac:dyDescent="0.2">
      <c r="G14741" s="7"/>
    </row>
    <row r="14742" spans="7:7" x14ac:dyDescent="0.2">
      <c r="G14742" s="7"/>
    </row>
    <row r="14743" spans="7:7" x14ac:dyDescent="0.2">
      <c r="G14743" s="7"/>
    </row>
    <row r="14744" spans="7:7" x14ac:dyDescent="0.2">
      <c r="G14744" s="7"/>
    </row>
    <row r="14745" spans="7:7" x14ac:dyDescent="0.2">
      <c r="G14745" s="7"/>
    </row>
    <row r="14746" spans="7:7" x14ac:dyDescent="0.2">
      <c r="G14746" s="7"/>
    </row>
    <row r="14747" spans="7:7" x14ac:dyDescent="0.2">
      <c r="G14747" s="7"/>
    </row>
    <row r="14748" spans="7:7" x14ac:dyDescent="0.2">
      <c r="G14748" s="7"/>
    </row>
    <row r="14749" spans="7:7" x14ac:dyDescent="0.2">
      <c r="G14749" s="7"/>
    </row>
    <row r="14750" spans="7:7" x14ac:dyDescent="0.2">
      <c r="G14750" s="7"/>
    </row>
    <row r="14751" spans="7:7" x14ac:dyDescent="0.2">
      <c r="G14751" s="7"/>
    </row>
    <row r="14752" spans="7:7" x14ac:dyDescent="0.2">
      <c r="G14752" s="7"/>
    </row>
    <row r="14753" spans="7:7" x14ac:dyDescent="0.2">
      <c r="G14753" s="7"/>
    </row>
    <row r="14754" spans="7:7" x14ac:dyDescent="0.2">
      <c r="G14754" s="7"/>
    </row>
    <row r="14755" spans="7:7" x14ac:dyDescent="0.2">
      <c r="G14755" s="7"/>
    </row>
    <row r="14756" spans="7:7" x14ac:dyDescent="0.2">
      <c r="G14756" s="7"/>
    </row>
    <row r="14757" spans="7:7" x14ac:dyDescent="0.2">
      <c r="G14757" s="7"/>
    </row>
    <row r="14758" spans="7:7" x14ac:dyDescent="0.2">
      <c r="G14758" s="7"/>
    </row>
    <row r="14759" spans="7:7" x14ac:dyDescent="0.2">
      <c r="G14759" s="7"/>
    </row>
    <row r="14760" spans="7:7" x14ac:dyDescent="0.2">
      <c r="G14760" s="7"/>
    </row>
    <row r="14761" spans="7:7" x14ac:dyDescent="0.2">
      <c r="G14761" s="7"/>
    </row>
    <row r="14762" spans="7:7" x14ac:dyDescent="0.2">
      <c r="G14762" s="7"/>
    </row>
    <row r="14763" spans="7:7" x14ac:dyDescent="0.2">
      <c r="G14763" s="7"/>
    </row>
    <row r="14764" spans="7:7" x14ac:dyDescent="0.2">
      <c r="G14764" s="7"/>
    </row>
    <row r="14765" spans="7:7" x14ac:dyDescent="0.2">
      <c r="G14765" s="7"/>
    </row>
    <row r="14766" spans="7:7" x14ac:dyDescent="0.2">
      <c r="G14766" s="7"/>
    </row>
    <row r="14767" spans="7:7" x14ac:dyDescent="0.2">
      <c r="G14767" s="7"/>
    </row>
    <row r="14768" spans="7:7" x14ac:dyDescent="0.2">
      <c r="G14768" s="7"/>
    </row>
    <row r="14769" spans="7:7" x14ac:dyDescent="0.2">
      <c r="G14769" s="7"/>
    </row>
    <row r="14770" spans="7:7" x14ac:dyDescent="0.2">
      <c r="G14770" s="7"/>
    </row>
    <row r="14771" spans="7:7" x14ac:dyDescent="0.2">
      <c r="G14771" s="7"/>
    </row>
    <row r="14772" spans="7:7" x14ac:dyDescent="0.2">
      <c r="G14772" s="7"/>
    </row>
    <row r="14773" spans="7:7" x14ac:dyDescent="0.2">
      <c r="G14773" s="7"/>
    </row>
    <row r="14774" spans="7:7" x14ac:dyDescent="0.2">
      <c r="G14774" s="7"/>
    </row>
    <row r="14775" spans="7:7" x14ac:dyDescent="0.2">
      <c r="G14775" s="7"/>
    </row>
    <row r="14776" spans="7:7" x14ac:dyDescent="0.2">
      <c r="G14776" s="7"/>
    </row>
    <row r="14777" spans="7:7" x14ac:dyDescent="0.2">
      <c r="G14777" s="7"/>
    </row>
    <row r="14778" spans="7:7" x14ac:dyDescent="0.2">
      <c r="G14778" s="7"/>
    </row>
    <row r="14779" spans="7:7" x14ac:dyDescent="0.2">
      <c r="G14779" s="7"/>
    </row>
    <row r="14780" spans="7:7" x14ac:dyDescent="0.2">
      <c r="G14780" s="7"/>
    </row>
    <row r="14781" spans="7:7" x14ac:dyDescent="0.2">
      <c r="G14781" s="7"/>
    </row>
    <row r="14782" spans="7:7" x14ac:dyDescent="0.2">
      <c r="G14782" s="7"/>
    </row>
    <row r="14783" spans="7:7" x14ac:dyDescent="0.2">
      <c r="G14783" s="7"/>
    </row>
    <row r="14784" spans="7:7" x14ac:dyDescent="0.2">
      <c r="G14784" s="7"/>
    </row>
    <row r="14785" spans="7:7" x14ac:dyDescent="0.2">
      <c r="G14785" s="7"/>
    </row>
    <row r="14786" spans="7:7" x14ac:dyDescent="0.2">
      <c r="G14786" s="7"/>
    </row>
    <row r="14787" spans="7:7" x14ac:dyDescent="0.2">
      <c r="G14787" s="7"/>
    </row>
    <row r="14788" spans="7:7" x14ac:dyDescent="0.2">
      <c r="G14788" s="7"/>
    </row>
    <row r="14789" spans="7:7" x14ac:dyDescent="0.2">
      <c r="G14789" s="7"/>
    </row>
    <row r="14790" spans="7:7" x14ac:dyDescent="0.2">
      <c r="G14790" s="7"/>
    </row>
    <row r="14791" spans="7:7" x14ac:dyDescent="0.2">
      <c r="G14791" s="7"/>
    </row>
    <row r="14792" spans="7:7" x14ac:dyDescent="0.2">
      <c r="G14792" s="7"/>
    </row>
    <row r="14793" spans="7:7" x14ac:dyDescent="0.2">
      <c r="G14793" s="7"/>
    </row>
    <row r="14794" spans="7:7" x14ac:dyDescent="0.2">
      <c r="G14794" s="7"/>
    </row>
    <row r="14795" spans="7:7" x14ac:dyDescent="0.2">
      <c r="G14795" s="7"/>
    </row>
    <row r="14796" spans="7:7" x14ac:dyDescent="0.2">
      <c r="G14796" s="7"/>
    </row>
    <row r="14797" spans="7:7" x14ac:dyDescent="0.2">
      <c r="G14797" s="7"/>
    </row>
    <row r="14798" spans="7:7" x14ac:dyDescent="0.2">
      <c r="G14798" s="7"/>
    </row>
    <row r="14799" spans="7:7" x14ac:dyDescent="0.2">
      <c r="G14799" s="7"/>
    </row>
    <row r="14800" spans="7:7" x14ac:dyDescent="0.2">
      <c r="G14800" s="7"/>
    </row>
    <row r="14801" spans="7:7" x14ac:dyDescent="0.2">
      <c r="G14801" s="7"/>
    </row>
    <row r="14802" spans="7:7" x14ac:dyDescent="0.2">
      <c r="G14802" s="7"/>
    </row>
    <row r="14803" spans="7:7" x14ac:dyDescent="0.2">
      <c r="G14803" s="7"/>
    </row>
    <row r="14804" spans="7:7" x14ac:dyDescent="0.2">
      <c r="G14804" s="7"/>
    </row>
    <row r="14805" spans="7:7" x14ac:dyDescent="0.2">
      <c r="G14805" s="7"/>
    </row>
    <row r="14806" spans="7:7" x14ac:dyDescent="0.2">
      <c r="G14806" s="7"/>
    </row>
    <row r="14807" spans="7:7" x14ac:dyDescent="0.2">
      <c r="G14807" s="7"/>
    </row>
    <row r="14808" spans="7:7" x14ac:dyDescent="0.2">
      <c r="G14808" s="7"/>
    </row>
    <row r="14809" spans="7:7" x14ac:dyDescent="0.2">
      <c r="G14809" s="7"/>
    </row>
    <row r="14810" spans="7:7" x14ac:dyDescent="0.2">
      <c r="G14810" s="7"/>
    </row>
    <row r="14811" spans="7:7" x14ac:dyDescent="0.2">
      <c r="G14811" s="7"/>
    </row>
    <row r="14812" spans="7:7" x14ac:dyDescent="0.2">
      <c r="G14812" s="7"/>
    </row>
    <row r="14813" spans="7:7" x14ac:dyDescent="0.2">
      <c r="G14813" s="7"/>
    </row>
    <row r="14814" spans="7:7" x14ac:dyDescent="0.2">
      <c r="G14814" s="7"/>
    </row>
    <row r="14815" spans="7:7" x14ac:dyDescent="0.2">
      <c r="G14815" s="7"/>
    </row>
    <row r="14816" spans="7:7" x14ac:dyDescent="0.2">
      <c r="G14816" s="7"/>
    </row>
    <row r="14817" spans="7:7" x14ac:dyDescent="0.2">
      <c r="G14817" s="7"/>
    </row>
    <row r="14818" spans="7:7" x14ac:dyDescent="0.2">
      <c r="G14818" s="7"/>
    </row>
    <row r="14819" spans="7:7" x14ac:dyDescent="0.2">
      <c r="G14819" s="7"/>
    </row>
    <row r="14820" spans="7:7" x14ac:dyDescent="0.2">
      <c r="G14820" s="7"/>
    </row>
    <row r="14821" spans="7:7" x14ac:dyDescent="0.2">
      <c r="G14821" s="7"/>
    </row>
    <row r="14822" spans="7:7" x14ac:dyDescent="0.2">
      <c r="G14822" s="7"/>
    </row>
    <row r="14823" spans="7:7" x14ac:dyDescent="0.2">
      <c r="G14823" s="7"/>
    </row>
    <row r="14824" spans="7:7" x14ac:dyDescent="0.2">
      <c r="G14824" s="7"/>
    </row>
    <row r="14825" spans="7:7" x14ac:dyDescent="0.2">
      <c r="G14825" s="7"/>
    </row>
    <row r="14826" spans="7:7" x14ac:dyDescent="0.2">
      <c r="G14826" s="7"/>
    </row>
    <row r="14827" spans="7:7" x14ac:dyDescent="0.2">
      <c r="G14827" s="7"/>
    </row>
    <row r="14828" spans="7:7" x14ac:dyDescent="0.2">
      <c r="G14828" s="7"/>
    </row>
    <row r="14829" spans="7:7" x14ac:dyDescent="0.2">
      <c r="G14829" s="7"/>
    </row>
    <row r="14830" spans="7:7" x14ac:dyDescent="0.2">
      <c r="G14830" s="7"/>
    </row>
    <row r="14831" spans="7:7" x14ac:dyDescent="0.2">
      <c r="G14831" s="7"/>
    </row>
    <row r="14832" spans="7:7" x14ac:dyDescent="0.2">
      <c r="G14832" s="7"/>
    </row>
    <row r="14833" spans="7:7" x14ac:dyDescent="0.2">
      <c r="G14833" s="7"/>
    </row>
    <row r="14834" spans="7:7" x14ac:dyDescent="0.2">
      <c r="G14834" s="7"/>
    </row>
    <row r="14835" spans="7:7" x14ac:dyDescent="0.2">
      <c r="G14835" s="7"/>
    </row>
    <row r="14836" spans="7:7" x14ac:dyDescent="0.2">
      <c r="G14836" s="7"/>
    </row>
    <row r="14837" spans="7:7" x14ac:dyDescent="0.2">
      <c r="G14837" s="7"/>
    </row>
    <row r="14838" spans="7:7" x14ac:dyDescent="0.2">
      <c r="G14838" s="7"/>
    </row>
    <row r="14839" spans="7:7" x14ac:dyDescent="0.2">
      <c r="G14839" s="7"/>
    </row>
    <row r="14840" spans="7:7" x14ac:dyDescent="0.2">
      <c r="G14840" s="7"/>
    </row>
    <row r="14841" spans="7:7" x14ac:dyDescent="0.2">
      <c r="G14841" s="7"/>
    </row>
    <row r="14842" spans="7:7" x14ac:dyDescent="0.2">
      <c r="G14842" s="7"/>
    </row>
    <row r="14843" spans="7:7" x14ac:dyDescent="0.2">
      <c r="G14843" s="7"/>
    </row>
    <row r="14844" spans="7:7" x14ac:dyDescent="0.2">
      <c r="G14844" s="7"/>
    </row>
    <row r="14845" spans="7:7" x14ac:dyDescent="0.2">
      <c r="G14845" s="7"/>
    </row>
    <row r="14846" spans="7:7" x14ac:dyDescent="0.2">
      <c r="G14846" s="7"/>
    </row>
    <row r="14847" spans="7:7" x14ac:dyDescent="0.2">
      <c r="G14847" s="7"/>
    </row>
    <row r="14848" spans="7:7" x14ac:dyDescent="0.2">
      <c r="G14848" s="7"/>
    </row>
    <row r="14849" spans="7:7" x14ac:dyDescent="0.2">
      <c r="G14849" s="7"/>
    </row>
    <row r="14850" spans="7:7" x14ac:dyDescent="0.2">
      <c r="G14850" s="7"/>
    </row>
    <row r="14851" spans="7:7" x14ac:dyDescent="0.2">
      <c r="G14851" s="7"/>
    </row>
    <row r="14852" spans="7:7" x14ac:dyDescent="0.2">
      <c r="G14852" s="7"/>
    </row>
    <row r="14853" spans="7:7" x14ac:dyDescent="0.2">
      <c r="G14853" s="7"/>
    </row>
    <row r="14854" spans="7:7" x14ac:dyDescent="0.2">
      <c r="G14854" s="7"/>
    </row>
    <row r="14855" spans="7:7" x14ac:dyDescent="0.2">
      <c r="G14855" s="7"/>
    </row>
    <row r="14856" spans="7:7" x14ac:dyDescent="0.2">
      <c r="G14856" s="7"/>
    </row>
    <row r="14857" spans="7:7" x14ac:dyDescent="0.2">
      <c r="G14857" s="7"/>
    </row>
    <row r="14858" spans="7:7" x14ac:dyDescent="0.2">
      <c r="G14858" s="7"/>
    </row>
    <row r="14859" spans="7:7" x14ac:dyDescent="0.2">
      <c r="G14859" s="7"/>
    </row>
    <row r="14860" spans="7:7" x14ac:dyDescent="0.2">
      <c r="G14860" s="7"/>
    </row>
    <row r="14861" spans="7:7" x14ac:dyDescent="0.2">
      <c r="G14861" s="7"/>
    </row>
    <row r="14862" spans="7:7" x14ac:dyDescent="0.2">
      <c r="G14862" s="7"/>
    </row>
    <row r="14863" spans="7:7" x14ac:dyDescent="0.2">
      <c r="G14863" s="7"/>
    </row>
    <row r="14864" spans="7:7" x14ac:dyDescent="0.2">
      <c r="G14864" s="7"/>
    </row>
    <row r="14865" spans="7:7" x14ac:dyDescent="0.2">
      <c r="G14865" s="7"/>
    </row>
    <row r="14866" spans="7:7" x14ac:dyDescent="0.2">
      <c r="G14866" s="7"/>
    </row>
    <row r="14867" spans="7:7" x14ac:dyDescent="0.2">
      <c r="G14867" s="7"/>
    </row>
    <row r="14868" spans="7:7" x14ac:dyDescent="0.2">
      <c r="G14868" s="7"/>
    </row>
    <row r="14869" spans="7:7" x14ac:dyDescent="0.2">
      <c r="G14869" s="7"/>
    </row>
    <row r="14870" spans="7:7" x14ac:dyDescent="0.2">
      <c r="G14870" s="7"/>
    </row>
    <row r="14871" spans="7:7" x14ac:dyDescent="0.2">
      <c r="G14871" s="7"/>
    </row>
    <row r="14872" spans="7:7" x14ac:dyDescent="0.2">
      <c r="G14872" s="7"/>
    </row>
    <row r="14873" spans="7:7" x14ac:dyDescent="0.2">
      <c r="G14873" s="7"/>
    </row>
    <row r="14874" spans="7:7" x14ac:dyDescent="0.2">
      <c r="G14874" s="7"/>
    </row>
    <row r="14875" spans="7:7" x14ac:dyDescent="0.2">
      <c r="G14875" s="7"/>
    </row>
    <row r="14876" spans="7:7" x14ac:dyDescent="0.2">
      <c r="G14876" s="7"/>
    </row>
    <row r="14877" spans="7:7" x14ac:dyDescent="0.2">
      <c r="G14877" s="7"/>
    </row>
    <row r="14878" spans="7:7" x14ac:dyDescent="0.2">
      <c r="G14878" s="7"/>
    </row>
    <row r="14879" spans="7:7" x14ac:dyDescent="0.2">
      <c r="G14879" s="7"/>
    </row>
    <row r="14880" spans="7:7" x14ac:dyDescent="0.2">
      <c r="G14880" s="7"/>
    </row>
    <row r="14881" spans="7:7" x14ac:dyDescent="0.2">
      <c r="G14881" s="7"/>
    </row>
    <row r="14882" spans="7:7" x14ac:dyDescent="0.2">
      <c r="G14882" s="7"/>
    </row>
    <row r="14883" spans="7:7" x14ac:dyDescent="0.2">
      <c r="G14883" s="7"/>
    </row>
    <row r="14884" spans="7:7" x14ac:dyDescent="0.2">
      <c r="G14884" s="7"/>
    </row>
    <row r="14885" spans="7:7" x14ac:dyDescent="0.2">
      <c r="G14885" s="7"/>
    </row>
    <row r="14886" spans="7:7" x14ac:dyDescent="0.2">
      <c r="G14886" s="7"/>
    </row>
    <row r="14887" spans="7:7" x14ac:dyDescent="0.2">
      <c r="G14887" s="7"/>
    </row>
    <row r="14888" spans="7:7" x14ac:dyDescent="0.2">
      <c r="G14888" s="7"/>
    </row>
    <row r="14889" spans="7:7" x14ac:dyDescent="0.2">
      <c r="G14889" s="7"/>
    </row>
    <row r="14890" spans="7:7" x14ac:dyDescent="0.2">
      <c r="G14890" s="7"/>
    </row>
    <row r="14891" spans="7:7" x14ac:dyDescent="0.2">
      <c r="G14891" s="7"/>
    </row>
    <row r="14892" spans="7:7" x14ac:dyDescent="0.2">
      <c r="G14892" s="7"/>
    </row>
    <row r="14893" spans="7:7" x14ac:dyDescent="0.2">
      <c r="G14893" s="7"/>
    </row>
    <row r="14894" spans="7:7" x14ac:dyDescent="0.2">
      <c r="G14894" s="7"/>
    </row>
    <row r="14895" spans="7:7" x14ac:dyDescent="0.2">
      <c r="G14895" s="7"/>
    </row>
    <row r="14896" spans="7:7" x14ac:dyDescent="0.2">
      <c r="G14896" s="7"/>
    </row>
    <row r="14897" spans="7:7" x14ac:dyDescent="0.2">
      <c r="G14897" s="7"/>
    </row>
    <row r="14898" spans="7:7" x14ac:dyDescent="0.2">
      <c r="G14898" s="7"/>
    </row>
    <row r="14899" spans="7:7" x14ac:dyDescent="0.2">
      <c r="G14899" s="7"/>
    </row>
    <row r="14900" spans="7:7" x14ac:dyDescent="0.2">
      <c r="G14900" s="7"/>
    </row>
    <row r="14901" spans="7:7" x14ac:dyDescent="0.2">
      <c r="G14901" s="7"/>
    </row>
    <row r="14902" spans="7:7" x14ac:dyDescent="0.2">
      <c r="G14902" s="7"/>
    </row>
    <row r="14903" spans="7:7" x14ac:dyDescent="0.2">
      <c r="G14903" s="7"/>
    </row>
    <row r="14904" spans="7:7" x14ac:dyDescent="0.2">
      <c r="G14904" s="7"/>
    </row>
    <row r="14905" spans="7:7" x14ac:dyDescent="0.2">
      <c r="G14905" s="7"/>
    </row>
    <row r="14906" spans="7:7" x14ac:dyDescent="0.2">
      <c r="G14906" s="7"/>
    </row>
    <row r="14907" spans="7:7" x14ac:dyDescent="0.2">
      <c r="G14907" s="7"/>
    </row>
    <row r="14908" spans="7:7" x14ac:dyDescent="0.2">
      <c r="G14908" s="7"/>
    </row>
    <row r="14909" spans="7:7" x14ac:dyDescent="0.2">
      <c r="G14909" s="7"/>
    </row>
    <row r="14910" spans="7:7" x14ac:dyDescent="0.2">
      <c r="G14910" s="7"/>
    </row>
    <row r="14911" spans="7:7" x14ac:dyDescent="0.2">
      <c r="G14911" s="7"/>
    </row>
    <row r="14912" spans="7:7" x14ac:dyDescent="0.2">
      <c r="G14912" s="7"/>
    </row>
    <row r="14913" spans="7:7" x14ac:dyDescent="0.2">
      <c r="G14913" s="7"/>
    </row>
    <row r="14914" spans="7:7" x14ac:dyDescent="0.2">
      <c r="G14914" s="7"/>
    </row>
    <row r="14915" spans="7:7" x14ac:dyDescent="0.2">
      <c r="G14915" s="7"/>
    </row>
    <row r="14916" spans="7:7" x14ac:dyDescent="0.2">
      <c r="G14916" s="7"/>
    </row>
    <row r="14917" spans="7:7" x14ac:dyDescent="0.2">
      <c r="G14917" s="7"/>
    </row>
    <row r="14918" spans="7:7" x14ac:dyDescent="0.2">
      <c r="G14918" s="7"/>
    </row>
    <row r="14919" spans="7:7" x14ac:dyDescent="0.2">
      <c r="G14919" s="7"/>
    </row>
    <row r="14920" spans="7:7" x14ac:dyDescent="0.2">
      <c r="G14920" s="7"/>
    </row>
    <row r="14921" spans="7:7" x14ac:dyDescent="0.2">
      <c r="G14921" s="7"/>
    </row>
    <row r="14922" spans="7:7" x14ac:dyDescent="0.2">
      <c r="G14922" s="7"/>
    </row>
    <row r="14923" spans="7:7" x14ac:dyDescent="0.2">
      <c r="G14923" s="7"/>
    </row>
    <row r="14924" spans="7:7" x14ac:dyDescent="0.2">
      <c r="G14924" s="7"/>
    </row>
    <row r="14925" spans="7:7" x14ac:dyDescent="0.2">
      <c r="G14925" s="7"/>
    </row>
    <row r="14926" spans="7:7" x14ac:dyDescent="0.2">
      <c r="G14926" s="7"/>
    </row>
    <row r="14927" spans="7:7" x14ac:dyDescent="0.2">
      <c r="G14927" s="7"/>
    </row>
    <row r="14928" spans="7:7" x14ac:dyDescent="0.2">
      <c r="G14928" s="7"/>
    </row>
    <row r="14929" spans="7:7" x14ac:dyDescent="0.2">
      <c r="G14929" s="7"/>
    </row>
    <row r="14930" spans="7:7" x14ac:dyDescent="0.2">
      <c r="G14930" s="7"/>
    </row>
    <row r="14931" spans="7:7" x14ac:dyDescent="0.2">
      <c r="G14931" s="7"/>
    </row>
    <row r="14932" spans="7:7" x14ac:dyDescent="0.2">
      <c r="G14932" s="7"/>
    </row>
    <row r="14933" spans="7:7" x14ac:dyDescent="0.2">
      <c r="G14933" s="7"/>
    </row>
    <row r="14934" spans="7:7" x14ac:dyDescent="0.2">
      <c r="G14934" s="7"/>
    </row>
    <row r="14935" spans="7:7" x14ac:dyDescent="0.2">
      <c r="G14935" s="7"/>
    </row>
    <row r="14936" spans="7:7" x14ac:dyDescent="0.2">
      <c r="G14936" s="7"/>
    </row>
    <row r="14937" spans="7:7" x14ac:dyDescent="0.2">
      <c r="G14937" s="7"/>
    </row>
    <row r="14938" spans="7:7" x14ac:dyDescent="0.2">
      <c r="G14938" s="7"/>
    </row>
    <row r="14939" spans="7:7" x14ac:dyDescent="0.2">
      <c r="G14939" s="7"/>
    </row>
    <row r="14940" spans="7:7" x14ac:dyDescent="0.2">
      <c r="G14940" s="7"/>
    </row>
    <row r="14941" spans="7:7" x14ac:dyDescent="0.2">
      <c r="G14941" s="7"/>
    </row>
    <row r="14942" spans="7:7" x14ac:dyDescent="0.2">
      <c r="G14942" s="7"/>
    </row>
    <row r="14943" spans="7:7" x14ac:dyDescent="0.2">
      <c r="G14943" s="7"/>
    </row>
    <row r="14944" spans="7:7" x14ac:dyDescent="0.2">
      <c r="G14944" s="7"/>
    </row>
    <row r="14945" spans="7:7" x14ac:dyDescent="0.2">
      <c r="G14945" s="7"/>
    </row>
    <row r="14946" spans="7:7" x14ac:dyDescent="0.2">
      <c r="G14946" s="7"/>
    </row>
    <row r="14947" spans="7:7" x14ac:dyDescent="0.2">
      <c r="G14947" s="7"/>
    </row>
    <row r="14948" spans="7:7" x14ac:dyDescent="0.2">
      <c r="G14948" s="7"/>
    </row>
    <row r="14949" spans="7:7" x14ac:dyDescent="0.2">
      <c r="G14949" s="7"/>
    </row>
    <row r="14950" spans="7:7" x14ac:dyDescent="0.2">
      <c r="G14950" s="7"/>
    </row>
    <row r="14951" spans="7:7" x14ac:dyDescent="0.2">
      <c r="G14951" s="7"/>
    </row>
    <row r="14952" spans="7:7" x14ac:dyDescent="0.2">
      <c r="G14952" s="7"/>
    </row>
    <row r="14953" spans="7:7" x14ac:dyDescent="0.2">
      <c r="G14953" s="7"/>
    </row>
    <row r="14954" spans="7:7" x14ac:dyDescent="0.2">
      <c r="G14954" s="7"/>
    </row>
    <row r="14955" spans="7:7" x14ac:dyDescent="0.2">
      <c r="G14955" s="7"/>
    </row>
    <row r="14956" spans="7:7" x14ac:dyDescent="0.2">
      <c r="G14956" s="7"/>
    </row>
    <row r="14957" spans="7:7" x14ac:dyDescent="0.2">
      <c r="G14957" s="7"/>
    </row>
    <row r="14958" spans="7:7" x14ac:dyDescent="0.2">
      <c r="G14958" s="7"/>
    </row>
    <row r="14959" spans="7:7" x14ac:dyDescent="0.2">
      <c r="G14959" s="7"/>
    </row>
    <row r="14960" spans="7:7" x14ac:dyDescent="0.2">
      <c r="G14960" s="7"/>
    </row>
    <row r="14961" spans="7:7" x14ac:dyDescent="0.2">
      <c r="G14961" s="7"/>
    </row>
    <row r="14962" spans="7:7" x14ac:dyDescent="0.2">
      <c r="G14962" s="7"/>
    </row>
    <row r="14963" spans="7:7" x14ac:dyDescent="0.2">
      <c r="G14963" s="7"/>
    </row>
    <row r="14964" spans="7:7" x14ac:dyDescent="0.2">
      <c r="G14964" s="7"/>
    </row>
    <row r="14965" spans="7:7" x14ac:dyDescent="0.2">
      <c r="G14965" s="7"/>
    </row>
    <row r="14966" spans="7:7" x14ac:dyDescent="0.2">
      <c r="G14966" s="7"/>
    </row>
    <row r="14967" spans="7:7" x14ac:dyDescent="0.2">
      <c r="G14967" s="7"/>
    </row>
    <row r="14968" spans="7:7" x14ac:dyDescent="0.2">
      <c r="G14968" s="7"/>
    </row>
    <row r="14969" spans="7:7" x14ac:dyDescent="0.2">
      <c r="G14969" s="7"/>
    </row>
    <row r="14970" spans="7:7" x14ac:dyDescent="0.2">
      <c r="G14970" s="7"/>
    </row>
    <row r="14971" spans="7:7" x14ac:dyDescent="0.2">
      <c r="G14971" s="7"/>
    </row>
    <row r="14972" spans="7:7" x14ac:dyDescent="0.2">
      <c r="G14972" s="7"/>
    </row>
    <row r="14973" spans="7:7" x14ac:dyDescent="0.2">
      <c r="G14973" s="7"/>
    </row>
    <row r="14974" spans="7:7" x14ac:dyDescent="0.2">
      <c r="G14974" s="7"/>
    </row>
    <row r="14975" spans="7:7" x14ac:dyDescent="0.2">
      <c r="G14975" s="7"/>
    </row>
    <row r="14976" spans="7:7" x14ac:dyDescent="0.2">
      <c r="G14976" s="7"/>
    </row>
    <row r="14977" spans="7:7" x14ac:dyDescent="0.2">
      <c r="G14977" s="7"/>
    </row>
    <row r="14978" spans="7:7" x14ac:dyDescent="0.2">
      <c r="G14978" s="7"/>
    </row>
    <row r="14979" spans="7:7" x14ac:dyDescent="0.2">
      <c r="G14979" s="7"/>
    </row>
    <row r="14980" spans="7:7" x14ac:dyDescent="0.2">
      <c r="G14980" s="7"/>
    </row>
    <row r="14981" spans="7:7" x14ac:dyDescent="0.2">
      <c r="G14981" s="7"/>
    </row>
    <row r="14982" spans="7:7" x14ac:dyDescent="0.2">
      <c r="G14982" s="7"/>
    </row>
    <row r="14983" spans="7:7" x14ac:dyDescent="0.2">
      <c r="G14983" s="7"/>
    </row>
    <row r="14984" spans="7:7" x14ac:dyDescent="0.2">
      <c r="G14984" s="7"/>
    </row>
    <row r="14985" spans="7:7" x14ac:dyDescent="0.2">
      <c r="G14985" s="7"/>
    </row>
    <row r="14986" spans="7:7" x14ac:dyDescent="0.2">
      <c r="G14986" s="7"/>
    </row>
    <row r="14987" spans="7:7" x14ac:dyDescent="0.2">
      <c r="G14987" s="7"/>
    </row>
    <row r="14988" spans="7:7" x14ac:dyDescent="0.2">
      <c r="G14988" s="7"/>
    </row>
    <row r="14989" spans="7:7" x14ac:dyDescent="0.2">
      <c r="G14989" s="7"/>
    </row>
    <row r="14990" spans="7:7" x14ac:dyDescent="0.2">
      <c r="G14990" s="7"/>
    </row>
    <row r="14991" spans="7:7" x14ac:dyDescent="0.2">
      <c r="G14991" s="7"/>
    </row>
    <row r="14992" spans="7:7" x14ac:dyDescent="0.2">
      <c r="G14992" s="7"/>
    </row>
    <row r="14993" spans="7:7" x14ac:dyDescent="0.2">
      <c r="G14993" s="7"/>
    </row>
    <row r="14994" spans="7:7" x14ac:dyDescent="0.2">
      <c r="G14994" s="7"/>
    </row>
    <row r="14995" spans="7:7" x14ac:dyDescent="0.2">
      <c r="G14995" s="7"/>
    </row>
    <row r="14996" spans="7:7" x14ac:dyDescent="0.2">
      <c r="G14996" s="7"/>
    </row>
    <row r="14997" spans="7:7" x14ac:dyDescent="0.2">
      <c r="G14997" s="7"/>
    </row>
    <row r="14998" spans="7:7" x14ac:dyDescent="0.2">
      <c r="G14998" s="7"/>
    </row>
    <row r="14999" spans="7:7" x14ac:dyDescent="0.2">
      <c r="G14999" s="7"/>
    </row>
    <row r="15000" spans="7:7" x14ac:dyDescent="0.2">
      <c r="G15000" s="7"/>
    </row>
    <row r="15001" spans="7:7" x14ac:dyDescent="0.2">
      <c r="G15001" s="7"/>
    </row>
    <row r="15002" spans="7:7" x14ac:dyDescent="0.2">
      <c r="G15002" s="7"/>
    </row>
    <row r="15003" spans="7:7" x14ac:dyDescent="0.2">
      <c r="G15003" s="7"/>
    </row>
    <row r="15004" spans="7:7" x14ac:dyDescent="0.2">
      <c r="G15004" s="7"/>
    </row>
    <row r="15005" spans="7:7" x14ac:dyDescent="0.2">
      <c r="G15005" s="7"/>
    </row>
    <row r="15006" spans="7:7" x14ac:dyDescent="0.2">
      <c r="G15006" s="7"/>
    </row>
    <row r="15007" spans="7:7" x14ac:dyDescent="0.2">
      <c r="G15007" s="7"/>
    </row>
    <row r="15008" spans="7:7" x14ac:dyDescent="0.2">
      <c r="G15008" s="7"/>
    </row>
    <row r="15009" spans="7:7" x14ac:dyDescent="0.2">
      <c r="G15009" s="7"/>
    </row>
    <row r="15010" spans="7:7" x14ac:dyDescent="0.2">
      <c r="G15010" s="7"/>
    </row>
    <row r="15011" spans="7:7" x14ac:dyDescent="0.2">
      <c r="G15011" s="7"/>
    </row>
    <row r="15012" spans="7:7" x14ac:dyDescent="0.2">
      <c r="G15012" s="7"/>
    </row>
    <row r="15013" spans="7:7" x14ac:dyDescent="0.2">
      <c r="G15013" s="7"/>
    </row>
    <row r="15014" spans="7:7" x14ac:dyDescent="0.2">
      <c r="G15014" s="7"/>
    </row>
    <row r="15015" spans="7:7" x14ac:dyDescent="0.2">
      <c r="G15015" s="7"/>
    </row>
    <row r="15016" spans="7:7" x14ac:dyDescent="0.2">
      <c r="G15016" s="7"/>
    </row>
    <row r="15017" spans="7:7" x14ac:dyDescent="0.2">
      <c r="G15017" s="7"/>
    </row>
    <row r="15018" spans="7:7" x14ac:dyDescent="0.2">
      <c r="G15018" s="7"/>
    </row>
    <row r="15019" spans="7:7" x14ac:dyDescent="0.2">
      <c r="G15019" s="7"/>
    </row>
    <row r="15020" spans="7:7" x14ac:dyDescent="0.2">
      <c r="G15020" s="7"/>
    </row>
    <row r="15021" spans="7:7" x14ac:dyDescent="0.2">
      <c r="G15021" s="7"/>
    </row>
    <row r="15022" spans="7:7" x14ac:dyDescent="0.2">
      <c r="G15022" s="7"/>
    </row>
    <row r="15023" spans="7:7" x14ac:dyDescent="0.2">
      <c r="G15023" s="7"/>
    </row>
    <row r="15024" spans="7:7" x14ac:dyDescent="0.2">
      <c r="G15024" s="7"/>
    </row>
    <row r="15025" spans="7:7" x14ac:dyDescent="0.2">
      <c r="G15025" s="7"/>
    </row>
    <row r="15026" spans="7:7" x14ac:dyDescent="0.2">
      <c r="G15026" s="7"/>
    </row>
    <row r="15027" spans="7:7" x14ac:dyDescent="0.2">
      <c r="G15027" s="7"/>
    </row>
    <row r="15028" spans="7:7" x14ac:dyDescent="0.2">
      <c r="G15028" s="7"/>
    </row>
    <row r="15029" spans="7:7" x14ac:dyDescent="0.2">
      <c r="G15029" s="7"/>
    </row>
    <row r="15030" spans="7:7" x14ac:dyDescent="0.2">
      <c r="G15030" s="7"/>
    </row>
    <row r="15031" spans="7:7" x14ac:dyDescent="0.2">
      <c r="G15031" s="7"/>
    </row>
    <row r="15032" spans="7:7" x14ac:dyDescent="0.2">
      <c r="G15032" s="7"/>
    </row>
    <row r="15033" spans="7:7" x14ac:dyDescent="0.2">
      <c r="G15033" s="7"/>
    </row>
    <row r="15034" spans="7:7" x14ac:dyDescent="0.2">
      <c r="G15034" s="7"/>
    </row>
    <row r="15035" spans="7:7" x14ac:dyDescent="0.2">
      <c r="G15035" s="7"/>
    </row>
    <row r="15036" spans="7:7" x14ac:dyDescent="0.2">
      <c r="G15036" s="7"/>
    </row>
    <row r="15037" spans="7:7" x14ac:dyDescent="0.2">
      <c r="G15037" s="7"/>
    </row>
    <row r="15038" spans="7:7" x14ac:dyDescent="0.2">
      <c r="G15038" s="7"/>
    </row>
    <row r="15039" spans="7:7" x14ac:dyDescent="0.2">
      <c r="G15039" s="7"/>
    </row>
    <row r="15040" spans="7:7" x14ac:dyDescent="0.2">
      <c r="G15040" s="7"/>
    </row>
    <row r="15041" spans="7:7" x14ac:dyDescent="0.2">
      <c r="G15041" s="7"/>
    </row>
    <row r="15042" spans="7:7" x14ac:dyDescent="0.2">
      <c r="G15042" s="7"/>
    </row>
    <row r="15043" spans="7:7" x14ac:dyDescent="0.2">
      <c r="G15043" s="7"/>
    </row>
    <row r="15044" spans="7:7" x14ac:dyDescent="0.2">
      <c r="G15044" s="7"/>
    </row>
    <row r="15045" spans="7:7" x14ac:dyDescent="0.2">
      <c r="G15045" s="7"/>
    </row>
    <row r="15046" spans="7:7" x14ac:dyDescent="0.2">
      <c r="G15046" s="7"/>
    </row>
    <row r="15047" spans="7:7" x14ac:dyDescent="0.2">
      <c r="G15047" s="7"/>
    </row>
    <row r="15048" spans="7:7" x14ac:dyDescent="0.2">
      <c r="G15048" s="7"/>
    </row>
    <row r="15049" spans="7:7" x14ac:dyDescent="0.2">
      <c r="G15049" s="7"/>
    </row>
    <row r="15050" spans="7:7" x14ac:dyDescent="0.2">
      <c r="G15050" s="7"/>
    </row>
    <row r="15051" spans="7:7" x14ac:dyDescent="0.2">
      <c r="G15051" s="7"/>
    </row>
    <row r="15052" spans="7:7" x14ac:dyDescent="0.2">
      <c r="G15052" s="7"/>
    </row>
    <row r="15053" spans="7:7" x14ac:dyDescent="0.2">
      <c r="G15053" s="7"/>
    </row>
    <row r="15054" spans="7:7" x14ac:dyDescent="0.2">
      <c r="G15054" s="7"/>
    </row>
    <row r="15055" spans="7:7" x14ac:dyDescent="0.2">
      <c r="G15055" s="7"/>
    </row>
    <row r="15056" spans="7:7" x14ac:dyDescent="0.2">
      <c r="G15056" s="7"/>
    </row>
    <row r="15057" spans="7:7" x14ac:dyDescent="0.2">
      <c r="G15057" s="7"/>
    </row>
    <row r="15058" spans="7:7" x14ac:dyDescent="0.2">
      <c r="G15058" s="7"/>
    </row>
    <row r="15059" spans="7:7" x14ac:dyDescent="0.2">
      <c r="G15059" s="7"/>
    </row>
    <row r="15060" spans="7:7" x14ac:dyDescent="0.2">
      <c r="G15060" s="7"/>
    </row>
    <row r="15061" spans="7:7" x14ac:dyDescent="0.2">
      <c r="G15061" s="7"/>
    </row>
    <row r="15062" spans="7:7" x14ac:dyDescent="0.2">
      <c r="G15062" s="7"/>
    </row>
    <row r="15063" spans="7:7" x14ac:dyDescent="0.2">
      <c r="G15063" s="7"/>
    </row>
    <row r="15064" spans="7:7" x14ac:dyDescent="0.2">
      <c r="G15064" s="7"/>
    </row>
    <row r="15065" spans="7:7" x14ac:dyDescent="0.2">
      <c r="G15065" s="7"/>
    </row>
    <row r="15066" spans="7:7" x14ac:dyDescent="0.2">
      <c r="G15066" s="7"/>
    </row>
    <row r="15067" spans="7:7" x14ac:dyDescent="0.2">
      <c r="G15067" s="7"/>
    </row>
    <row r="15068" spans="7:7" x14ac:dyDescent="0.2">
      <c r="G15068" s="7"/>
    </row>
    <row r="15069" spans="7:7" x14ac:dyDescent="0.2">
      <c r="G15069" s="7"/>
    </row>
    <row r="15070" spans="7:7" x14ac:dyDescent="0.2">
      <c r="G15070" s="7"/>
    </row>
    <row r="15071" spans="7:7" x14ac:dyDescent="0.2">
      <c r="G15071" s="7"/>
    </row>
    <row r="15072" spans="7:7" x14ac:dyDescent="0.2">
      <c r="G15072" s="7"/>
    </row>
    <row r="15073" spans="7:7" x14ac:dyDescent="0.2">
      <c r="G15073" s="7"/>
    </row>
    <row r="15074" spans="7:7" x14ac:dyDescent="0.2">
      <c r="G15074" s="7"/>
    </row>
    <row r="15075" spans="7:7" x14ac:dyDescent="0.2">
      <c r="G15075" s="7"/>
    </row>
    <row r="15076" spans="7:7" x14ac:dyDescent="0.2">
      <c r="G15076" s="7"/>
    </row>
    <row r="15077" spans="7:7" x14ac:dyDescent="0.2">
      <c r="G15077" s="7"/>
    </row>
    <row r="15078" spans="7:7" x14ac:dyDescent="0.2">
      <c r="G15078" s="7"/>
    </row>
    <row r="15079" spans="7:7" x14ac:dyDescent="0.2">
      <c r="G15079" s="7"/>
    </row>
    <row r="15080" spans="7:7" x14ac:dyDescent="0.2">
      <c r="G15080" s="7"/>
    </row>
    <row r="15081" spans="7:7" x14ac:dyDescent="0.2">
      <c r="G15081" s="7"/>
    </row>
    <row r="15082" spans="7:7" x14ac:dyDescent="0.2">
      <c r="G15082" s="7"/>
    </row>
    <row r="15083" spans="7:7" x14ac:dyDescent="0.2">
      <c r="G15083" s="7"/>
    </row>
    <row r="15084" spans="7:7" x14ac:dyDescent="0.2">
      <c r="G15084" s="7"/>
    </row>
    <row r="15085" spans="7:7" x14ac:dyDescent="0.2">
      <c r="G15085" s="7"/>
    </row>
    <row r="15086" spans="7:7" x14ac:dyDescent="0.2">
      <c r="G15086" s="7"/>
    </row>
    <row r="15087" spans="7:7" x14ac:dyDescent="0.2">
      <c r="G15087" s="7"/>
    </row>
    <row r="15088" spans="7:7" x14ac:dyDescent="0.2">
      <c r="G15088" s="7"/>
    </row>
    <row r="15089" spans="7:7" x14ac:dyDescent="0.2">
      <c r="G15089" s="7"/>
    </row>
    <row r="15090" spans="7:7" x14ac:dyDescent="0.2">
      <c r="G15090" s="7"/>
    </row>
    <row r="15091" spans="7:7" x14ac:dyDescent="0.2">
      <c r="G15091" s="7"/>
    </row>
    <row r="15092" spans="7:7" x14ac:dyDescent="0.2">
      <c r="G15092" s="7"/>
    </row>
    <row r="15093" spans="7:7" x14ac:dyDescent="0.2">
      <c r="G15093" s="7"/>
    </row>
    <row r="15094" spans="7:7" x14ac:dyDescent="0.2">
      <c r="G15094" s="7"/>
    </row>
    <row r="15095" spans="7:7" x14ac:dyDescent="0.2">
      <c r="G15095" s="7"/>
    </row>
    <row r="15096" spans="7:7" x14ac:dyDescent="0.2">
      <c r="G15096" s="7"/>
    </row>
    <row r="15097" spans="7:7" x14ac:dyDescent="0.2">
      <c r="G15097" s="7"/>
    </row>
    <row r="15098" spans="7:7" x14ac:dyDescent="0.2">
      <c r="G15098" s="7"/>
    </row>
    <row r="15099" spans="7:7" x14ac:dyDescent="0.2">
      <c r="G15099" s="7"/>
    </row>
    <row r="15100" spans="7:7" x14ac:dyDescent="0.2">
      <c r="G15100" s="7"/>
    </row>
    <row r="15101" spans="7:7" x14ac:dyDescent="0.2">
      <c r="G15101" s="7"/>
    </row>
    <row r="15102" spans="7:7" x14ac:dyDescent="0.2">
      <c r="G15102" s="7"/>
    </row>
    <row r="15103" spans="7:7" x14ac:dyDescent="0.2">
      <c r="G15103" s="7"/>
    </row>
    <row r="15104" spans="7:7" x14ac:dyDescent="0.2">
      <c r="G15104" s="7"/>
    </row>
    <row r="15105" spans="7:7" x14ac:dyDescent="0.2">
      <c r="G15105" s="7"/>
    </row>
    <row r="15106" spans="7:7" x14ac:dyDescent="0.2">
      <c r="G15106" s="7"/>
    </row>
    <row r="15107" spans="7:7" x14ac:dyDescent="0.2">
      <c r="G15107" s="7"/>
    </row>
    <row r="15108" spans="7:7" x14ac:dyDescent="0.2">
      <c r="G15108" s="7"/>
    </row>
    <row r="15109" spans="7:7" x14ac:dyDescent="0.2">
      <c r="G15109" s="7"/>
    </row>
    <row r="15110" spans="7:7" x14ac:dyDescent="0.2">
      <c r="G15110" s="7"/>
    </row>
    <row r="15111" spans="7:7" x14ac:dyDescent="0.2">
      <c r="G15111" s="7"/>
    </row>
    <row r="15112" spans="7:7" x14ac:dyDescent="0.2">
      <c r="G15112" s="7"/>
    </row>
    <row r="15113" spans="7:7" x14ac:dyDescent="0.2">
      <c r="G15113" s="7"/>
    </row>
    <row r="15114" spans="7:7" x14ac:dyDescent="0.2">
      <c r="G15114" s="7"/>
    </row>
    <row r="15115" spans="7:7" x14ac:dyDescent="0.2">
      <c r="G15115" s="7"/>
    </row>
    <row r="15116" spans="7:7" x14ac:dyDescent="0.2">
      <c r="G15116" s="7"/>
    </row>
    <row r="15117" spans="7:7" x14ac:dyDescent="0.2">
      <c r="G15117" s="7"/>
    </row>
    <row r="15118" spans="7:7" x14ac:dyDescent="0.2">
      <c r="G15118" s="7"/>
    </row>
    <row r="15119" spans="7:7" x14ac:dyDescent="0.2">
      <c r="G15119" s="7"/>
    </row>
    <row r="15120" spans="7:7" x14ac:dyDescent="0.2">
      <c r="G15120" s="7"/>
    </row>
    <row r="15121" spans="7:7" x14ac:dyDescent="0.2">
      <c r="G15121" s="7"/>
    </row>
    <row r="15122" spans="7:7" x14ac:dyDescent="0.2">
      <c r="G15122" s="7"/>
    </row>
    <row r="15123" spans="7:7" x14ac:dyDescent="0.2">
      <c r="G15123" s="7"/>
    </row>
    <row r="15124" spans="7:7" x14ac:dyDescent="0.2">
      <c r="G15124" s="7"/>
    </row>
    <row r="15125" spans="7:7" x14ac:dyDescent="0.2">
      <c r="G15125" s="7"/>
    </row>
    <row r="15126" spans="7:7" x14ac:dyDescent="0.2">
      <c r="G15126" s="7"/>
    </row>
    <row r="15127" spans="7:7" x14ac:dyDescent="0.2">
      <c r="G15127" s="7"/>
    </row>
    <row r="15128" spans="7:7" x14ac:dyDescent="0.2">
      <c r="G15128" s="7"/>
    </row>
    <row r="15129" spans="7:7" x14ac:dyDescent="0.2">
      <c r="G15129" s="7"/>
    </row>
    <row r="15130" spans="7:7" x14ac:dyDescent="0.2">
      <c r="G15130" s="7"/>
    </row>
    <row r="15131" spans="7:7" x14ac:dyDescent="0.2">
      <c r="G15131" s="7"/>
    </row>
    <row r="15132" spans="7:7" x14ac:dyDescent="0.2">
      <c r="G15132" s="7"/>
    </row>
    <row r="15133" spans="7:7" x14ac:dyDescent="0.2">
      <c r="G15133" s="7"/>
    </row>
    <row r="15134" spans="7:7" x14ac:dyDescent="0.2">
      <c r="G15134" s="7"/>
    </row>
    <row r="15135" spans="7:7" x14ac:dyDescent="0.2">
      <c r="G15135" s="7"/>
    </row>
    <row r="15136" spans="7:7" x14ac:dyDescent="0.2">
      <c r="G15136" s="7"/>
    </row>
    <row r="15137" spans="7:7" x14ac:dyDescent="0.2">
      <c r="G15137" s="7"/>
    </row>
    <row r="15138" spans="7:7" x14ac:dyDescent="0.2">
      <c r="G15138" s="7"/>
    </row>
    <row r="15139" spans="7:7" x14ac:dyDescent="0.2">
      <c r="G15139" s="7"/>
    </row>
    <row r="15140" spans="7:7" x14ac:dyDescent="0.2">
      <c r="G15140" s="7"/>
    </row>
    <row r="15141" spans="7:7" x14ac:dyDescent="0.2">
      <c r="G15141" s="7"/>
    </row>
    <row r="15142" spans="7:7" x14ac:dyDescent="0.2">
      <c r="G15142" s="7"/>
    </row>
    <row r="15143" spans="7:7" x14ac:dyDescent="0.2">
      <c r="G15143" s="7"/>
    </row>
    <row r="15144" spans="7:7" x14ac:dyDescent="0.2">
      <c r="G15144" s="7"/>
    </row>
    <row r="15145" spans="7:7" x14ac:dyDescent="0.2">
      <c r="G15145" s="7"/>
    </row>
    <row r="15146" spans="7:7" x14ac:dyDescent="0.2">
      <c r="G15146" s="7"/>
    </row>
    <row r="15147" spans="7:7" x14ac:dyDescent="0.2">
      <c r="G15147" s="7"/>
    </row>
    <row r="15148" spans="7:7" x14ac:dyDescent="0.2">
      <c r="G15148" s="7"/>
    </row>
    <row r="15149" spans="7:7" x14ac:dyDescent="0.2">
      <c r="G15149" s="7"/>
    </row>
    <row r="15150" spans="7:7" x14ac:dyDescent="0.2">
      <c r="G15150" s="7"/>
    </row>
    <row r="15151" spans="7:7" x14ac:dyDescent="0.2">
      <c r="G15151" s="7"/>
    </row>
    <row r="15152" spans="7:7" x14ac:dyDescent="0.2">
      <c r="G15152" s="7"/>
    </row>
    <row r="15153" spans="7:7" x14ac:dyDescent="0.2">
      <c r="G15153" s="7"/>
    </row>
    <row r="15154" spans="7:7" x14ac:dyDescent="0.2">
      <c r="G15154" s="7"/>
    </row>
    <row r="15155" spans="7:7" x14ac:dyDescent="0.2">
      <c r="G15155" s="7"/>
    </row>
    <row r="15156" spans="7:7" x14ac:dyDescent="0.2">
      <c r="G15156" s="7"/>
    </row>
    <row r="15157" spans="7:7" x14ac:dyDescent="0.2">
      <c r="G15157" s="7"/>
    </row>
    <row r="15158" spans="7:7" x14ac:dyDescent="0.2">
      <c r="G15158" s="7"/>
    </row>
    <row r="15159" spans="7:7" x14ac:dyDescent="0.2">
      <c r="G15159" s="7"/>
    </row>
    <row r="15160" spans="7:7" x14ac:dyDescent="0.2">
      <c r="G15160" s="7"/>
    </row>
    <row r="15161" spans="7:7" x14ac:dyDescent="0.2">
      <c r="G15161" s="7"/>
    </row>
    <row r="15162" spans="7:7" x14ac:dyDescent="0.2">
      <c r="G15162" s="7"/>
    </row>
    <row r="15163" spans="7:7" x14ac:dyDescent="0.2">
      <c r="G15163" s="7"/>
    </row>
    <row r="15164" spans="7:7" x14ac:dyDescent="0.2">
      <c r="G15164" s="7"/>
    </row>
    <row r="15165" spans="7:7" x14ac:dyDescent="0.2">
      <c r="G15165" s="7"/>
    </row>
    <row r="15166" spans="7:7" x14ac:dyDescent="0.2">
      <c r="G15166" s="7"/>
    </row>
    <row r="15167" spans="7:7" x14ac:dyDescent="0.2">
      <c r="G15167" s="7"/>
    </row>
    <row r="15168" spans="7:7" x14ac:dyDescent="0.2">
      <c r="G15168" s="7"/>
    </row>
    <row r="15169" spans="7:7" x14ac:dyDescent="0.2">
      <c r="G15169" s="7"/>
    </row>
    <row r="15170" spans="7:7" x14ac:dyDescent="0.2">
      <c r="G15170" s="7"/>
    </row>
    <row r="15171" spans="7:7" x14ac:dyDescent="0.2">
      <c r="G15171" s="7"/>
    </row>
    <row r="15172" spans="7:7" x14ac:dyDescent="0.2">
      <c r="G15172" s="7"/>
    </row>
    <row r="15173" spans="7:7" x14ac:dyDescent="0.2">
      <c r="G15173" s="7"/>
    </row>
    <row r="15174" spans="7:7" x14ac:dyDescent="0.2">
      <c r="G15174" s="7"/>
    </row>
    <row r="15175" spans="7:7" x14ac:dyDescent="0.2">
      <c r="G15175" s="7"/>
    </row>
    <row r="15176" spans="7:7" x14ac:dyDescent="0.2">
      <c r="G15176" s="7"/>
    </row>
    <row r="15177" spans="7:7" x14ac:dyDescent="0.2">
      <c r="G15177" s="7"/>
    </row>
    <row r="15178" spans="7:7" x14ac:dyDescent="0.2">
      <c r="G15178" s="7"/>
    </row>
    <row r="15179" spans="7:7" x14ac:dyDescent="0.2">
      <c r="G15179" s="7"/>
    </row>
    <row r="15180" spans="7:7" x14ac:dyDescent="0.2">
      <c r="G15180" s="7"/>
    </row>
    <row r="15181" spans="7:7" x14ac:dyDescent="0.2">
      <c r="G15181" s="7"/>
    </row>
    <row r="15182" spans="7:7" x14ac:dyDescent="0.2">
      <c r="G15182" s="7"/>
    </row>
    <row r="15183" spans="7:7" x14ac:dyDescent="0.2">
      <c r="G15183" s="7"/>
    </row>
    <row r="15184" spans="7:7" x14ac:dyDescent="0.2">
      <c r="G15184" s="7"/>
    </row>
    <row r="15185" spans="7:7" x14ac:dyDescent="0.2">
      <c r="G15185" s="7"/>
    </row>
    <row r="15186" spans="7:7" x14ac:dyDescent="0.2">
      <c r="G15186" s="7"/>
    </row>
    <row r="15187" spans="7:7" x14ac:dyDescent="0.2">
      <c r="G15187" s="7"/>
    </row>
    <row r="15188" spans="7:7" x14ac:dyDescent="0.2">
      <c r="G15188" s="7"/>
    </row>
    <row r="15189" spans="7:7" x14ac:dyDescent="0.2">
      <c r="G15189" s="7"/>
    </row>
    <row r="15190" spans="7:7" x14ac:dyDescent="0.2">
      <c r="G15190" s="7"/>
    </row>
    <row r="15191" spans="7:7" x14ac:dyDescent="0.2">
      <c r="G15191" s="7"/>
    </row>
    <row r="15192" spans="7:7" x14ac:dyDescent="0.2">
      <c r="G15192" s="7"/>
    </row>
    <row r="15193" spans="7:7" x14ac:dyDescent="0.2">
      <c r="G15193" s="7"/>
    </row>
    <row r="15194" spans="7:7" x14ac:dyDescent="0.2">
      <c r="G15194" s="7"/>
    </row>
    <row r="15195" spans="7:7" x14ac:dyDescent="0.2">
      <c r="G15195" s="7"/>
    </row>
    <row r="15196" spans="7:7" x14ac:dyDescent="0.2">
      <c r="G15196" s="7"/>
    </row>
    <row r="15197" spans="7:7" x14ac:dyDescent="0.2">
      <c r="G15197" s="7"/>
    </row>
    <row r="15198" spans="7:7" x14ac:dyDescent="0.2">
      <c r="G15198" s="7"/>
    </row>
    <row r="15199" spans="7:7" x14ac:dyDescent="0.2">
      <c r="G15199" s="7"/>
    </row>
    <row r="15200" spans="7:7" x14ac:dyDescent="0.2">
      <c r="G15200" s="7"/>
    </row>
    <row r="15201" spans="7:7" x14ac:dyDescent="0.2">
      <c r="G15201" s="7"/>
    </row>
    <row r="15202" spans="7:7" x14ac:dyDescent="0.2">
      <c r="G15202" s="7"/>
    </row>
    <row r="15203" spans="7:7" x14ac:dyDescent="0.2">
      <c r="G15203" s="7"/>
    </row>
    <row r="15204" spans="7:7" x14ac:dyDescent="0.2">
      <c r="G15204" s="7"/>
    </row>
    <row r="15205" spans="7:7" x14ac:dyDescent="0.2">
      <c r="G15205" s="7"/>
    </row>
    <row r="15206" spans="7:7" x14ac:dyDescent="0.2">
      <c r="G15206" s="7"/>
    </row>
    <row r="15207" spans="7:7" x14ac:dyDescent="0.2">
      <c r="G15207" s="7"/>
    </row>
    <row r="15208" spans="7:7" x14ac:dyDescent="0.2">
      <c r="G15208" s="7"/>
    </row>
    <row r="15209" spans="7:7" x14ac:dyDescent="0.2">
      <c r="G15209" s="7"/>
    </row>
    <row r="15210" spans="7:7" x14ac:dyDescent="0.2">
      <c r="G15210" s="7"/>
    </row>
    <row r="15211" spans="7:7" x14ac:dyDescent="0.2">
      <c r="G15211" s="7"/>
    </row>
    <row r="15212" spans="7:7" x14ac:dyDescent="0.2">
      <c r="G15212" s="7"/>
    </row>
    <row r="15213" spans="7:7" x14ac:dyDescent="0.2">
      <c r="G15213" s="7"/>
    </row>
    <row r="15214" spans="7:7" x14ac:dyDescent="0.2">
      <c r="G15214" s="7"/>
    </row>
    <row r="15215" spans="7:7" x14ac:dyDescent="0.2">
      <c r="G15215" s="7"/>
    </row>
    <row r="15216" spans="7:7" x14ac:dyDescent="0.2">
      <c r="G15216" s="7"/>
    </row>
    <row r="15217" spans="7:7" x14ac:dyDescent="0.2">
      <c r="G15217" s="7"/>
    </row>
    <row r="15218" spans="7:7" x14ac:dyDescent="0.2">
      <c r="G15218" s="7"/>
    </row>
    <row r="15219" spans="7:7" x14ac:dyDescent="0.2">
      <c r="G15219" s="7"/>
    </row>
    <row r="15220" spans="7:7" x14ac:dyDescent="0.2">
      <c r="G15220" s="7"/>
    </row>
    <row r="15221" spans="7:7" x14ac:dyDescent="0.2">
      <c r="G15221" s="7"/>
    </row>
    <row r="15222" spans="7:7" x14ac:dyDescent="0.2">
      <c r="G15222" s="7"/>
    </row>
    <row r="15223" spans="7:7" x14ac:dyDescent="0.2">
      <c r="G15223" s="7"/>
    </row>
    <row r="15224" spans="7:7" x14ac:dyDescent="0.2">
      <c r="G15224" s="7"/>
    </row>
    <row r="15225" spans="7:7" x14ac:dyDescent="0.2">
      <c r="G15225" s="7"/>
    </row>
    <row r="15226" spans="7:7" x14ac:dyDescent="0.2">
      <c r="G15226" s="7"/>
    </row>
    <row r="15227" spans="7:7" x14ac:dyDescent="0.2">
      <c r="G15227" s="7"/>
    </row>
    <row r="15228" spans="7:7" x14ac:dyDescent="0.2">
      <c r="G15228" s="7"/>
    </row>
    <row r="15229" spans="7:7" x14ac:dyDescent="0.2">
      <c r="G15229" s="7"/>
    </row>
    <row r="15230" spans="7:7" x14ac:dyDescent="0.2">
      <c r="G15230" s="7"/>
    </row>
    <row r="15231" spans="7:7" x14ac:dyDescent="0.2">
      <c r="G15231" s="7"/>
    </row>
    <row r="15232" spans="7:7" x14ac:dyDescent="0.2">
      <c r="G15232" s="7"/>
    </row>
    <row r="15233" spans="7:7" x14ac:dyDescent="0.2">
      <c r="G15233" s="7"/>
    </row>
    <row r="15234" spans="7:7" x14ac:dyDescent="0.2">
      <c r="G15234" s="7"/>
    </row>
    <row r="15235" spans="7:7" x14ac:dyDescent="0.2">
      <c r="G15235" s="7"/>
    </row>
    <row r="15236" spans="7:7" x14ac:dyDescent="0.2">
      <c r="G15236" s="7"/>
    </row>
    <row r="15237" spans="7:7" x14ac:dyDescent="0.2">
      <c r="G15237" s="7"/>
    </row>
    <row r="15238" spans="7:7" x14ac:dyDescent="0.2">
      <c r="G15238" s="7"/>
    </row>
    <row r="15239" spans="7:7" x14ac:dyDescent="0.2">
      <c r="G15239" s="7"/>
    </row>
    <row r="15240" spans="7:7" x14ac:dyDescent="0.2">
      <c r="G15240" s="7"/>
    </row>
    <row r="15241" spans="7:7" x14ac:dyDescent="0.2">
      <c r="G15241" s="7"/>
    </row>
    <row r="15242" spans="7:7" x14ac:dyDescent="0.2">
      <c r="G15242" s="7"/>
    </row>
    <row r="15243" spans="7:7" x14ac:dyDescent="0.2">
      <c r="G15243" s="7"/>
    </row>
    <row r="15244" spans="7:7" x14ac:dyDescent="0.2">
      <c r="G15244" s="7"/>
    </row>
    <row r="15245" spans="7:7" x14ac:dyDescent="0.2">
      <c r="G15245" s="7"/>
    </row>
    <row r="15246" spans="7:7" x14ac:dyDescent="0.2">
      <c r="G15246" s="7"/>
    </row>
    <row r="15247" spans="7:7" x14ac:dyDescent="0.2">
      <c r="G15247" s="7"/>
    </row>
    <row r="15248" spans="7:7" x14ac:dyDescent="0.2">
      <c r="G15248" s="7"/>
    </row>
    <row r="15249" spans="7:7" x14ac:dyDescent="0.2">
      <c r="G15249" s="7"/>
    </row>
    <row r="15250" spans="7:7" x14ac:dyDescent="0.2">
      <c r="G15250" s="7"/>
    </row>
    <row r="15251" spans="7:7" x14ac:dyDescent="0.2">
      <c r="G15251" s="7"/>
    </row>
    <row r="15252" spans="7:7" x14ac:dyDescent="0.2">
      <c r="G15252" s="7"/>
    </row>
    <row r="15253" spans="7:7" x14ac:dyDescent="0.2">
      <c r="G15253" s="7"/>
    </row>
    <row r="15254" spans="7:7" x14ac:dyDescent="0.2">
      <c r="G15254" s="7"/>
    </row>
    <row r="15255" spans="7:7" x14ac:dyDescent="0.2">
      <c r="G15255" s="7"/>
    </row>
    <row r="15256" spans="7:7" x14ac:dyDescent="0.2">
      <c r="G15256" s="7"/>
    </row>
    <row r="15257" spans="7:7" x14ac:dyDescent="0.2">
      <c r="G15257" s="7"/>
    </row>
    <row r="15258" spans="7:7" x14ac:dyDescent="0.2">
      <c r="G15258" s="7"/>
    </row>
    <row r="15259" spans="7:7" x14ac:dyDescent="0.2">
      <c r="G15259" s="7"/>
    </row>
    <row r="15260" spans="7:7" x14ac:dyDescent="0.2">
      <c r="G15260" s="7"/>
    </row>
    <row r="15261" spans="7:7" x14ac:dyDescent="0.2">
      <c r="G15261" s="7"/>
    </row>
    <row r="15262" spans="7:7" x14ac:dyDescent="0.2">
      <c r="G15262" s="7"/>
    </row>
    <row r="15263" spans="7:7" x14ac:dyDescent="0.2">
      <c r="G15263" s="7"/>
    </row>
    <row r="15264" spans="7:7" x14ac:dyDescent="0.2">
      <c r="G15264" s="7"/>
    </row>
    <row r="15265" spans="7:7" x14ac:dyDescent="0.2">
      <c r="G15265" s="7"/>
    </row>
    <row r="15266" spans="7:7" x14ac:dyDescent="0.2">
      <c r="G15266" s="7"/>
    </row>
    <row r="15267" spans="7:7" x14ac:dyDescent="0.2">
      <c r="G15267" s="7"/>
    </row>
    <row r="15268" spans="7:7" x14ac:dyDescent="0.2">
      <c r="G15268" s="7"/>
    </row>
    <row r="15269" spans="7:7" x14ac:dyDescent="0.2">
      <c r="G15269" s="7"/>
    </row>
    <row r="15270" spans="7:7" x14ac:dyDescent="0.2">
      <c r="G15270" s="7"/>
    </row>
    <row r="15271" spans="7:7" x14ac:dyDescent="0.2">
      <c r="G15271" s="7"/>
    </row>
    <row r="15272" spans="7:7" x14ac:dyDescent="0.2">
      <c r="G15272" s="7"/>
    </row>
    <row r="15273" spans="7:7" x14ac:dyDescent="0.2">
      <c r="G15273" s="7"/>
    </row>
    <row r="15274" spans="7:7" x14ac:dyDescent="0.2">
      <c r="G15274" s="7"/>
    </row>
    <row r="15275" spans="7:7" x14ac:dyDescent="0.2">
      <c r="G15275" s="7"/>
    </row>
    <row r="15276" spans="7:7" x14ac:dyDescent="0.2">
      <c r="G15276" s="7"/>
    </row>
    <row r="15277" spans="7:7" x14ac:dyDescent="0.2">
      <c r="G15277" s="7"/>
    </row>
    <row r="15278" spans="7:7" x14ac:dyDescent="0.2">
      <c r="G15278" s="7"/>
    </row>
    <row r="15279" spans="7:7" x14ac:dyDescent="0.2">
      <c r="G15279" s="7"/>
    </row>
    <row r="15280" spans="7:7" x14ac:dyDescent="0.2">
      <c r="G15280" s="7"/>
    </row>
    <row r="15281" spans="7:7" x14ac:dyDescent="0.2">
      <c r="G15281" s="7"/>
    </row>
    <row r="15282" spans="7:7" x14ac:dyDescent="0.2">
      <c r="G15282" s="7"/>
    </row>
    <row r="15283" spans="7:7" x14ac:dyDescent="0.2">
      <c r="G15283" s="7"/>
    </row>
    <row r="15284" spans="7:7" x14ac:dyDescent="0.2">
      <c r="G15284" s="7"/>
    </row>
    <row r="15285" spans="7:7" x14ac:dyDescent="0.2">
      <c r="G15285" s="7"/>
    </row>
    <row r="15286" spans="7:7" x14ac:dyDescent="0.2">
      <c r="G15286" s="7"/>
    </row>
    <row r="15287" spans="7:7" x14ac:dyDescent="0.2">
      <c r="G15287" s="7"/>
    </row>
    <row r="15288" spans="7:7" x14ac:dyDescent="0.2">
      <c r="G15288" s="7"/>
    </row>
    <row r="15289" spans="7:7" x14ac:dyDescent="0.2">
      <c r="G15289" s="7"/>
    </row>
    <row r="15290" spans="7:7" x14ac:dyDescent="0.2">
      <c r="G15290" s="7"/>
    </row>
    <row r="15291" spans="7:7" x14ac:dyDescent="0.2">
      <c r="G15291" s="7"/>
    </row>
    <row r="15292" spans="7:7" x14ac:dyDescent="0.2">
      <c r="G15292" s="7"/>
    </row>
    <row r="15293" spans="7:7" x14ac:dyDescent="0.2">
      <c r="G15293" s="7"/>
    </row>
    <row r="15294" spans="7:7" x14ac:dyDescent="0.2">
      <c r="G15294" s="7"/>
    </row>
    <row r="15295" spans="7:7" x14ac:dyDescent="0.2">
      <c r="G15295" s="7"/>
    </row>
    <row r="15296" spans="7:7" x14ac:dyDescent="0.2">
      <c r="G15296" s="7"/>
    </row>
    <row r="15297" spans="7:7" x14ac:dyDescent="0.2">
      <c r="G15297" s="7"/>
    </row>
    <row r="15298" spans="7:7" x14ac:dyDescent="0.2">
      <c r="G15298" s="7"/>
    </row>
    <row r="15299" spans="7:7" x14ac:dyDescent="0.2">
      <c r="G15299" s="7"/>
    </row>
    <row r="15300" spans="7:7" x14ac:dyDescent="0.2">
      <c r="G15300" s="7"/>
    </row>
    <row r="15301" spans="7:7" x14ac:dyDescent="0.2">
      <c r="G15301" s="7"/>
    </row>
    <row r="15302" spans="7:7" x14ac:dyDescent="0.2">
      <c r="G15302" s="7"/>
    </row>
    <row r="15303" spans="7:7" x14ac:dyDescent="0.2">
      <c r="G15303" s="7"/>
    </row>
    <row r="15304" spans="7:7" x14ac:dyDescent="0.2">
      <c r="G15304" s="7"/>
    </row>
    <row r="15305" spans="7:7" x14ac:dyDescent="0.2">
      <c r="G15305" s="7"/>
    </row>
    <row r="15306" spans="7:7" x14ac:dyDescent="0.2">
      <c r="G15306" s="7"/>
    </row>
    <row r="15307" spans="7:7" x14ac:dyDescent="0.2">
      <c r="G15307" s="7"/>
    </row>
    <row r="15308" spans="7:7" x14ac:dyDescent="0.2">
      <c r="G15308" s="7"/>
    </row>
    <row r="15309" spans="7:7" x14ac:dyDescent="0.2">
      <c r="G15309" s="7"/>
    </row>
    <row r="15310" spans="7:7" x14ac:dyDescent="0.2">
      <c r="G15310" s="7"/>
    </row>
    <row r="15311" spans="7:7" x14ac:dyDescent="0.2">
      <c r="G15311" s="7"/>
    </row>
    <row r="15312" spans="7:7" x14ac:dyDescent="0.2">
      <c r="G15312" s="7"/>
    </row>
    <row r="15313" spans="7:7" x14ac:dyDescent="0.2">
      <c r="G15313" s="7"/>
    </row>
    <row r="15314" spans="7:7" x14ac:dyDescent="0.2">
      <c r="G15314" s="7"/>
    </row>
    <row r="15315" spans="7:7" x14ac:dyDescent="0.2">
      <c r="G15315" s="7"/>
    </row>
    <row r="15316" spans="7:7" x14ac:dyDescent="0.2">
      <c r="G15316" s="7"/>
    </row>
    <row r="15317" spans="7:7" x14ac:dyDescent="0.2">
      <c r="G15317" s="7"/>
    </row>
    <row r="15318" spans="7:7" x14ac:dyDescent="0.2">
      <c r="G15318" s="7"/>
    </row>
    <row r="15319" spans="7:7" x14ac:dyDescent="0.2">
      <c r="G15319" s="7"/>
    </row>
    <row r="15320" spans="7:7" x14ac:dyDescent="0.2">
      <c r="G15320" s="7"/>
    </row>
    <row r="15321" spans="7:7" x14ac:dyDescent="0.2">
      <c r="G15321" s="7"/>
    </row>
    <row r="15322" spans="7:7" x14ac:dyDescent="0.2">
      <c r="G15322" s="7"/>
    </row>
    <row r="15323" spans="7:7" x14ac:dyDescent="0.2">
      <c r="G15323" s="7"/>
    </row>
    <row r="15324" spans="7:7" x14ac:dyDescent="0.2">
      <c r="G15324" s="7"/>
    </row>
    <row r="15325" spans="7:7" x14ac:dyDescent="0.2">
      <c r="G15325" s="7"/>
    </row>
    <row r="15326" spans="7:7" x14ac:dyDescent="0.2">
      <c r="G15326" s="7"/>
    </row>
    <row r="15327" spans="7:7" x14ac:dyDescent="0.2">
      <c r="G15327" s="7"/>
    </row>
    <row r="15328" spans="7:7" x14ac:dyDescent="0.2">
      <c r="G15328" s="7"/>
    </row>
    <row r="15329" spans="7:7" x14ac:dyDescent="0.2">
      <c r="G15329" s="7"/>
    </row>
    <row r="15330" spans="7:7" x14ac:dyDescent="0.2">
      <c r="G15330" s="7"/>
    </row>
    <row r="15331" spans="7:7" x14ac:dyDescent="0.2">
      <c r="G15331" s="7"/>
    </row>
    <row r="15332" spans="7:7" x14ac:dyDescent="0.2">
      <c r="G15332" s="7"/>
    </row>
    <row r="15333" spans="7:7" x14ac:dyDescent="0.2">
      <c r="G15333" s="7"/>
    </row>
    <row r="15334" spans="7:7" x14ac:dyDescent="0.2">
      <c r="G15334" s="7"/>
    </row>
    <row r="15335" spans="7:7" x14ac:dyDescent="0.2">
      <c r="G15335" s="7"/>
    </row>
    <row r="15336" spans="7:7" x14ac:dyDescent="0.2">
      <c r="G15336" s="7"/>
    </row>
    <row r="15337" spans="7:7" x14ac:dyDescent="0.2">
      <c r="G15337" s="7"/>
    </row>
    <row r="15338" spans="7:7" x14ac:dyDescent="0.2">
      <c r="G15338" s="7"/>
    </row>
    <row r="15339" spans="7:7" x14ac:dyDescent="0.2">
      <c r="G15339" s="7"/>
    </row>
    <row r="15340" spans="7:7" x14ac:dyDescent="0.2">
      <c r="G15340" s="7"/>
    </row>
    <row r="15341" spans="7:7" x14ac:dyDescent="0.2">
      <c r="G15341" s="7"/>
    </row>
    <row r="15342" spans="7:7" x14ac:dyDescent="0.2">
      <c r="G15342" s="7"/>
    </row>
    <row r="15343" spans="7:7" x14ac:dyDescent="0.2">
      <c r="G15343" s="7"/>
    </row>
    <row r="15344" spans="7:7" x14ac:dyDescent="0.2">
      <c r="G15344" s="7"/>
    </row>
    <row r="15345" spans="7:7" x14ac:dyDescent="0.2">
      <c r="G15345" s="7"/>
    </row>
    <row r="15346" spans="7:7" x14ac:dyDescent="0.2">
      <c r="G15346" s="7"/>
    </row>
    <row r="15347" spans="7:7" x14ac:dyDescent="0.2">
      <c r="G15347" s="7"/>
    </row>
    <row r="15348" spans="7:7" x14ac:dyDescent="0.2">
      <c r="G15348" s="7"/>
    </row>
    <row r="15349" spans="7:7" x14ac:dyDescent="0.2">
      <c r="G15349" s="7"/>
    </row>
    <row r="15350" spans="7:7" x14ac:dyDescent="0.2">
      <c r="G15350" s="7"/>
    </row>
    <row r="15351" spans="7:7" x14ac:dyDescent="0.2">
      <c r="G15351" s="7"/>
    </row>
    <row r="15352" spans="7:7" x14ac:dyDescent="0.2">
      <c r="G15352" s="7"/>
    </row>
    <row r="15353" spans="7:7" x14ac:dyDescent="0.2">
      <c r="G15353" s="7"/>
    </row>
    <row r="15354" spans="7:7" x14ac:dyDescent="0.2">
      <c r="G15354" s="7"/>
    </row>
    <row r="15355" spans="7:7" x14ac:dyDescent="0.2">
      <c r="G15355" s="7"/>
    </row>
    <row r="15356" spans="7:7" x14ac:dyDescent="0.2">
      <c r="G15356" s="7"/>
    </row>
    <row r="15357" spans="7:7" x14ac:dyDescent="0.2">
      <c r="G15357" s="7"/>
    </row>
    <row r="15358" spans="7:7" x14ac:dyDescent="0.2">
      <c r="G15358" s="7"/>
    </row>
    <row r="15359" spans="7:7" x14ac:dyDescent="0.2">
      <c r="G15359" s="7"/>
    </row>
    <row r="15360" spans="7:7" x14ac:dyDescent="0.2">
      <c r="G15360" s="7"/>
    </row>
    <row r="15361" spans="7:7" x14ac:dyDescent="0.2">
      <c r="G15361" s="7"/>
    </row>
    <row r="15362" spans="7:7" x14ac:dyDescent="0.2">
      <c r="G15362" s="7"/>
    </row>
    <row r="15363" spans="7:7" x14ac:dyDescent="0.2">
      <c r="G15363" s="7"/>
    </row>
    <row r="15364" spans="7:7" x14ac:dyDescent="0.2">
      <c r="G15364" s="7"/>
    </row>
    <row r="15365" spans="7:7" x14ac:dyDescent="0.2">
      <c r="G15365" s="7"/>
    </row>
    <row r="15366" spans="7:7" x14ac:dyDescent="0.2">
      <c r="G15366" s="7"/>
    </row>
    <row r="15367" spans="7:7" x14ac:dyDescent="0.2">
      <c r="G15367" s="7"/>
    </row>
    <row r="15368" spans="7:7" x14ac:dyDescent="0.2">
      <c r="G15368" s="7"/>
    </row>
    <row r="15369" spans="7:7" x14ac:dyDescent="0.2">
      <c r="G15369" s="7"/>
    </row>
    <row r="15370" spans="7:7" x14ac:dyDescent="0.2">
      <c r="G15370" s="7"/>
    </row>
    <row r="15371" spans="7:7" x14ac:dyDescent="0.2">
      <c r="G15371" s="7"/>
    </row>
    <row r="15372" spans="7:7" x14ac:dyDescent="0.2">
      <c r="G15372" s="7"/>
    </row>
    <row r="15373" spans="7:7" x14ac:dyDescent="0.2">
      <c r="G15373" s="7"/>
    </row>
    <row r="15374" spans="7:7" x14ac:dyDescent="0.2">
      <c r="G15374" s="7"/>
    </row>
    <row r="15375" spans="7:7" x14ac:dyDescent="0.2">
      <c r="G15375" s="7"/>
    </row>
    <row r="15376" spans="7:7" x14ac:dyDescent="0.2">
      <c r="G15376" s="7"/>
    </row>
    <row r="15377" spans="7:7" x14ac:dyDescent="0.2">
      <c r="G15377" s="7"/>
    </row>
    <row r="15378" spans="7:7" x14ac:dyDescent="0.2">
      <c r="G15378" s="7"/>
    </row>
    <row r="15379" spans="7:7" x14ac:dyDescent="0.2">
      <c r="G15379" s="7"/>
    </row>
    <row r="15380" spans="7:7" x14ac:dyDescent="0.2">
      <c r="G15380" s="7"/>
    </row>
    <row r="15381" spans="7:7" x14ac:dyDescent="0.2">
      <c r="G15381" s="7"/>
    </row>
    <row r="15382" spans="7:7" x14ac:dyDescent="0.2">
      <c r="G15382" s="7"/>
    </row>
    <row r="15383" spans="7:7" x14ac:dyDescent="0.2">
      <c r="G15383" s="7"/>
    </row>
    <row r="15384" spans="7:7" x14ac:dyDescent="0.2">
      <c r="G15384" s="7"/>
    </row>
    <row r="15385" spans="7:7" x14ac:dyDescent="0.2">
      <c r="G15385" s="7"/>
    </row>
    <row r="15386" spans="7:7" x14ac:dyDescent="0.2">
      <c r="G15386" s="7"/>
    </row>
    <row r="15387" spans="7:7" x14ac:dyDescent="0.2">
      <c r="G15387" s="7"/>
    </row>
    <row r="15388" spans="7:7" x14ac:dyDescent="0.2">
      <c r="G15388" s="7"/>
    </row>
    <row r="15389" spans="7:7" x14ac:dyDescent="0.2">
      <c r="G15389" s="7"/>
    </row>
    <row r="15390" spans="7:7" x14ac:dyDescent="0.2">
      <c r="G15390" s="7"/>
    </row>
    <row r="15391" spans="7:7" x14ac:dyDescent="0.2">
      <c r="G15391" s="7"/>
    </row>
    <row r="15392" spans="7:7" x14ac:dyDescent="0.2">
      <c r="G15392" s="7"/>
    </row>
    <row r="15393" spans="7:7" x14ac:dyDescent="0.2">
      <c r="G15393" s="7"/>
    </row>
    <row r="15394" spans="7:7" x14ac:dyDescent="0.2">
      <c r="G15394" s="7"/>
    </row>
    <row r="15395" spans="7:7" x14ac:dyDescent="0.2">
      <c r="G15395" s="7"/>
    </row>
    <row r="15396" spans="7:7" x14ac:dyDescent="0.2">
      <c r="G15396" s="7"/>
    </row>
    <row r="15397" spans="7:7" x14ac:dyDescent="0.2">
      <c r="G15397" s="7"/>
    </row>
    <row r="15398" spans="7:7" x14ac:dyDescent="0.2">
      <c r="G15398" s="7"/>
    </row>
    <row r="15399" spans="7:7" x14ac:dyDescent="0.2">
      <c r="G15399" s="7"/>
    </row>
    <row r="15400" spans="7:7" x14ac:dyDescent="0.2">
      <c r="G15400" s="7"/>
    </row>
    <row r="15401" spans="7:7" x14ac:dyDescent="0.2">
      <c r="G15401" s="7"/>
    </row>
    <row r="15402" spans="7:7" x14ac:dyDescent="0.2">
      <c r="G15402" s="7"/>
    </row>
    <row r="15403" spans="7:7" x14ac:dyDescent="0.2">
      <c r="G15403" s="7"/>
    </row>
    <row r="15404" spans="7:7" x14ac:dyDescent="0.2">
      <c r="G15404" s="7"/>
    </row>
    <row r="15405" spans="7:7" x14ac:dyDescent="0.2">
      <c r="G15405" s="7"/>
    </row>
    <row r="15406" spans="7:7" x14ac:dyDescent="0.2">
      <c r="G15406" s="7"/>
    </row>
    <row r="15407" spans="7:7" x14ac:dyDescent="0.2">
      <c r="G15407" s="7"/>
    </row>
    <row r="15408" spans="7:7" x14ac:dyDescent="0.2">
      <c r="G15408" s="7"/>
    </row>
    <row r="15409" spans="7:7" x14ac:dyDescent="0.2">
      <c r="G15409" s="7"/>
    </row>
    <row r="15410" spans="7:7" x14ac:dyDescent="0.2">
      <c r="G15410" s="7"/>
    </row>
    <row r="15411" spans="7:7" x14ac:dyDescent="0.2">
      <c r="G15411" s="7"/>
    </row>
    <row r="15412" spans="7:7" x14ac:dyDescent="0.2">
      <c r="G15412" s="7"/>
    </row>
    <row r="15413" spans="7:7" x14ac:dyDescent="0.2">
      <c r="G15413" s="7"/>
    </row>
    <row r="15414" spans="7:7" x14ac:dyDescent="0.2">
      <c r="G15414" s="7"/>
    </row>
    <row r="15415" spans="7:7" x14ac:dyDescent="0.2">
      <c r="G15415" s="7"/>
    </row>
    <row r="15416" spans="7:7" x14ac:dyDescent="0.2">
      <c r="G15416" s="7"/>
    </row>
    <row r="15417" spans="7:7" x14ac:dyDescent="0.2">
      <c r="G15417" s="7"/>
    </row>
    <row r="15418" spans="7:7" x14ac:dyDescent="0.2">
      <c r="G15418" s="7"/>
    </row>
    <row r="15419" spans="7:7" x14ac:dyDescent="0.2">
      <c r="G15419" s="7"/>
    </row>
    <row r="15420" spans="7:7" x14ac:dyDescent="0.2">
      <c r="G15420" s="7"/>
    </row>
    <row r="15421" spans="7:7" x14ac:dyDescent="0.2">
      <c r="G15421" s="7"/>
    </row>
    <row r="15422" spans="7:7" x14ac:dyDescent="0.2">
      <c r="G15422" s="7"/>
    </row>
    <row r="15423" spans="7:7" x14ac:dyDescent="0.2">
      <c r="G15423" s="7"/>
    </row>
    <row r="15424" spans="7:7" x14ac:dyDescent="0.2">
      <c r="G15424" s="7"/>
    </row>
    <row r="15425" spans="7:7" x14ac:dyDescent="0.2">
      <c r="G15425" s="7"/>
    </row>
    <row r="15426" spans="7:7" x14ac:dyDescent="0.2">
      <c r="G15426" s="7"/>
    </row>
    <row r="15427" spans="7:7" x14ac:dyDescent="0.2">
      <c r="G15427" s="7"/>
    </row>
    <row r="15428" spans="7:7" x14ac:dyDescent="0.2">
      <c r="G15428" s="7"/>
    </row>
    <row r="15429" spans="7:7" x14ac:dyDescent="0.2">
      <c r="G15429" s="7"/>
    </row>
    <row r="15430" spans="7:7" x14ac:dyDescent="0.2">
      <c r="G15430" s="7"/>
    </row>
    <row r="15431" spans="7:7" x14ac:dyDescent="0.2">
      <c r="G15431" s="7"/>
    </row>
    <row r="15432" spans="7:7" x14ac:dyDescent="0.2">
      <c r="G15432" s="7"/>
    </row>
    <row r="15433" spans="7:7" x14ac:dyDescent="0.2">
      <c r="G15433" s="7"/>
    </row>
    <row r="15434" spans="7:7" x14ac:dyDescent="0.2">
      <c r="G15434" s="7"/>
    </row>
    <row r="15435" spans="7:7" x14ac:dyDescent="0.2">
      <c r="G15435" s="7"/>
    </row>
    <row r="15436" spans="7:7" x14ac:dyDescent="0.2">
      <c r="G15436" s="7"/>
    </row>
    <row r="15437" spans="7:7" x14ac:dyDescent="0.2">
      <c r="G15437" s="7"/>
    </row>
    <row r="15438" spans="7:7" x14ac:dyDescent="0.2">
      <c r="G15438" s="7"/>
    </row>
    <row r="15439" spans="7:7" x14ac:dyDescent="0.2">
      <c r="G15439" s="7"/>
    </row>
    <row r="15440" spans="7:7" x14ac:dyDescent="0.2">
      <c r="G15440" s="7"/>
    </row>
    <row r="15441" spans="7:7" x14ac:dyDescent="0.2">
      <c r="G15441" s="7"/>
    </row>
    <row r="15442" spans="7:7" x14ac:dyDescent="0.2">
      <c r="G15442" s="7"/>
    </row>
    <row r="15443" spans="7:7" x14ac:dyDescent="0.2">
      <c r="G15443" s="7"/>
    </row>
    <row r="15444" spans="7:7" x14ac:dyDescent="0.2">
      <c r="G15444" s="7"/>
    </row>
    <row r="15445" spans="7:7" x14ac:dyDescent="0.2">
      <c r="G15445" s="7"/>
    </row>
    <row r="15446" spans="7:7" x14ac:dyDescent="0.2">
      <c r="G15446" s="7"/>
    </row>
    <row r="15447" spans="7:7" x14ac:dyDescent="0.2">
      <c r="G15447" s="7"/>
    </row>
    <row r="15448" spans="7:7" x14ac:dyDescent="0.2">
      <c r="G15448" s="7"/>
    </row>
    <row r="15449" spans="7:7" x14ac:dyDescent="0.2">
      <c r="G15449" s="7"/>
    </row>
    <row r="15450" spans="7:7" x14ac:dyDescent="0.2">
      <c r="G15450" s="7"/>
    </row>
    <row r="15451" spans="7:7" x14ac:dyDescent="0.2">
      <c r="G15451" s="7"/>
    </row>
    <row r="15452" spans="7:7" x14ac:dyDescent="0.2">
      <c r="G15452" s="7"/>
    </row>
    <row r="15453" spans="7:7" x14ac:dyDescent="0.2">
      <c r="G15453" s="7"/>
    </row>
    <row r="15454" spans="7:7" x14ac:dyDescent="0.2">
      <c r="G15454" s="7"/>
    </row>
    <row r="15455" spans="7:7" x14ac:dyDescent="0.2">
      <c r="G15455" s="7"/>
    </row>
    <row r="15456" spans="7:7" x14ac:dyDescent="0.2">
      <c r="G15456" s="7"/>
    </row>
    <row r="15457" spans="7:7" x14ac:dyDescent="0.2">
      <c r="G15457" s="7"/>
    </row>
    <row r="15458" spans="7:7" x14ac:dyDescent="0.2">
      <c r="G15458" s="7"/>
    </row>
    <row r="15459" spans="7:7" x14ac:dyDescent="0.2">
      <c r="G15459" s="7"/>
    </row>
    <row r="15460" spans="7:7" x14ac:dyDescent="0.2">
      <c r="G15460" s="7"/>
    </row>
    <row r="15461" spans="7:7" x14ac:dyDescent="0.2">
      <c r="G15461" s="7"/>
    </row>
    <row r="15462" spans="7:7" x14ac:dyDescent="0.2">
      <c r="G15462" s="7"/>
    </row>
    <row r="15463" spans="7:7" x14ac:dyDescent="0.2">
      <c r="G15463" s="7"/>
    </row>
    <row r="15464" spans="7:7" x14ac:dyDescent="0.2">
      <c r="G15464" s="7"/>
    </row>
    <row r="15465" spans="7:7" x14ac:dyDescent="0.2">
      <c r="G15465" s="7"/>
    </row>
    <row r="15466" spans="7:7" x14ac:dyDescent="0.2">
      <c r="G15466" s="7"/>
    </row>
    <row r="15467" spans="7:7" x14ac:dyDescent="0.2">
      <c r="G15467" s="7"/>
    </row>
    <row r="15468" spans="7:7" x14ac:dyDescent="0.2">
      <c r="G15468" s="7"/>
    </row>
    <row r="15469" spans="7:7" x14ac:dyDescent="0.2">
      <c r="G15469" s="7"/>
    </row>
    <row r="15470" spans="7:7" x14ac:dyDescent="0.2">
      <c r="G15470" s="7"/>
    </row>
    <row r="15471" spans="7:7" x14ac:dyDescent="0.2">
      <c r="G15471" s="7"/>
    </row>
    <row r="15472" spans="7:7" x14ac:dyDescent="0.2">
      <c r="G15472" s="7"/>
    </row>
    <row r="15473" spans="7:7" x14ac:dyDescent="0.2">
      <c r="G15473" s="7"/>
    </row>
    <row r="15474" spans="7:7" x14ac:dyDescent="0.2">
      <c r="G15474" s="7"/>
    </row>
    <row r="15475" spans="7:7" x14ac:dyDescent="0.2">
      <c r="G15475" s="7"/>
    </row>
    <row r="15476" spans="7:7" x14ac:dyDescent="0.2">
      <c r="G15476" s="7"/>
    </row>
    <row r="15477" spans="7:7" x14ac:dyDescent="0.2">
      <c r="G15477" s="7"/>
    </row>
    <row r="15478" spans="7:7" x14ac:dyDescent="0.2">
      <c r="G15478" s="7"/>
    </row>
    <row r="15479" spans="7:7" x14ac:dyDescent="0.2">
      <c r="G15479" s="7"/>
    </row>
    <row r="15480" spans="7:7" x14ac:dyDescent="0.2">
      <c r="G15480" s="7"/>
    </row>
    <row r="15481" spans="7:7" x14ac:dyDescent="0.2">
      <c r="G15481" s="7"/>
    </row>
    <row r="15482" spans="7:7" x14ac:dyDescent="0.2">
      <c r="G15482" s="7"/>
    </row>
    <row r="15483" spans="7:7" x14ac:dyDescent="0.2">
      <c r="G15483" s="7"/>
    </row>
    <row r="15484" spans="7:7" x14ac:dyDescent="0.2">
      <c r="G15484" s="7"/>
    </row>
    <row r="15485" spans="7:7" x14ac:dyDescent="0.2">
      <c r="G15485" s="7"/>
    </row>
    <row r="15486" spans="7:7" x14ac:dyDescent="0.2">
      <c r="G15486" s="7"/>
    </row>
    <row r="15487" spans="7:7" x14ac:dyDescent="0.2">
      <c r="G15487" s="7"/>
    </row>
    <row r="15488" spans="7:7" x14ac:dyDescent="0.2">
      <c r="G15488" s="7"/>
    </row>
    <row r="15489" spans="7:7" x14ac:dyDescent="0.2">
      <c r="G15489" s="7"/>
    </row>
    <row r="15490" spans="7:7" x14ac:dyDescent="0.2">
      <c r="G15490" s="7"/>
    </row>
    <row r="15491" spans="7:7" x14ac:dyDescent="0.2">
      <c r="G15491" s="7"/>
    </row>
    <row r="15492" spans="7:7" x14ac:dyDescent="0.2">
      <c r="G15492" s="7"/>
    </row>
    <row r="15493" spans="7:7" x14ac:dyDescent="0.2">
      <c r="G15493" s="7"/>
    </row>
    <row r="15494" spans="7:7" x14ac:dyDescent="0.2">
      <c r="G15494" s="7"/>
    </row>
    <row r="15495" spans="7:7" x14ac:dyDescent="0.2">
      <c r="G15495" s="7"/>
    </row>
    <row r="15496" spans="7:7" x14ac:dyDescent="0.2">
      <c r="G15496" s="7"/>
    </row>
    <row r="15497" spans="7:7" x14ac:dyDescent="0.2">
      <c r="G15497" s="7"/>
    </row>
    <row r="15498" spans="7:7" x14ac:dyDescent="0.2">
      <c r="G15498" s="7"/>
    </row>
    <row r="15499" spans="7:7" x14ac:dyDescent="0.2">
      <c r="G15499" s="7"/>
    </row>
    <row r="15500" spans="7:7" x14ac:dyDescent="0.2">
      <c r="G15500" s="7"/>
    </row>
    <row r="15501" spans="7:7" x14ac:dyDescent="0.2">
      <c r="G15501" s="7"/>
    </row>
    <row r="15502" spans="7:7" x14ac:dyDescent="0.2">
      <c r="G15502" s="7"/>
    </row>
    <row r="15503" spans="7:7" x14ac:dyDescent="0.2">
      <c r="G15503" s="7"/>
    </row>
    <row r="15504" spans="7:7" x14ac:dyDescent="0.2">
      <c r="G15504" s="7"/>
    </row>
    <row r="15505" spans="7:7" x14ac:dyDescent="0.2">
      <c r="G15505" s="7"/>
    </row>
    <row r="15506" spans="7:7" x14ac:dyDescent="0.2">
      <c r="G15506" s="7"/>
    </row>
    <row r="15507" spans="7:7" x14ac:dyDescent="0.2">
      <c r="G15507" s="7"/>
    </row>
    <row r="15508" spans="7:7" x14ac:dyDescent="0.2">
      <c r="G15508" s="7"/>
    </row>
    <row r="15509" spans="7:7" x14ac:dyDescent="0.2">
      <c r="G15509" s="7"/>
    </row>
    <row r="15510" spans="7:7" x14ac:dyDescent="0.2">
      <c r="G15510" s="7"/>
    </row>
    <row r="15511" spans="7:7" x14ac:dyDescent="0.2">
      <c r="G15511" s="7"/>
    </row>
    <row r="15512" spans="7:7" x14ac:dyDescent="0.2">
      <c r="G15512" s="7"/>
    </row>
    <row r="15513" spans="7:7" x14ac:dyDescent="0.2">
      <c r="G15513" s="7"/>
    </row>
    <row r="15514" spans="7:7" x14ac:dyDescent="0.2">
      <c r="G15514" s="7"/>
    </row>
    <row r="15515" spans="7:7" x14ac:dyDescent="0.2">
      <c r="G15515" s="7"/>
    </row>
    <row r="15516" spans="7:7" x14ac:dyDescent="0.2">
      <c r="G15516" s="7"/>
    </row>
    <row r="15517" spans="7:7" x14ac:dyDescent="0.2">
      <c r="G15517" s="7"/>
    </row>
    <row r="15518" spans="7:7" x14ac:dyDescent="0.2">
      <c r="G15518" s="7"/>
    </row>
    <row r="15519" spans="7:7" x14ac:dyDescent="0.2">
      <c r="G15519" s="7"/>
    </row>
    <row r="15520" spans="7:7" x14ac:dyDescent="0.2">
      <c r="G15520" s="7"/>
    </row>
    <row r="15521" spans="7:7" x14ac:dyDescent="0.2">
      <c r="G15521" s="7"/>
    </row>
    <row r="15522" spans="7:7" x14ac:dyDescent="0.2">
      <c r="G15522" s="7"/>
    </row>
    <row r="15523" spans="7:7" x14ac:dyDescent="0.2">
      <c r="G15523" s="7"/>
    </row>
    <row r="15524" spans="7:7" x14ac:dyDescent="0.2">
      <c r="G15524" s="7"/>
    </row>
    <row r="15525" spans="7:7" x14ac:dyDescent="0.2">
      <c r="G15525" s="7"/>
    </row>
    <row r="15526" spans="7:7" x14ac:dyDescent="0.2">
      <c r="G15526" s="7"/>
    </row>
    <row r="15527" spans="7:7" x14ac:dyDescent="0.2">
      <c r="G15527" s="7"/>
    </row>
    <row r="15528" spans="7:7" x14ac:dyDescent="0.2">
      <c r="G15528" s="7"/>
    </row>
    <row r="15529" spans="7:7" x14ac:dyDescent="0.2">
      <c r="G15529" s="7"/>
    </row>
    <row r="15530" spans="7:7" x14ac:dyDescent="0.2">
      <c r="G15530" s="7"/>
    </row>
    <row r="15531" spans="7:7" x14ac:dyDescent="0.2">
      <c r="G15531" s="7"/>
    </row>
    <row r="15532" spans="7:7" x14ac:dyDescent="0.2">
      <c r="G15532" s="7"/>
    </row>
    <row r="15533" spans="7:7" x14ac:dyDescent="0.2">
      <c r="G15533" s="7"/>
    </row>
    <row r="15534" spans="7:7" x14ac:dyDescent="0.2">
      <c r="G15534" s="7"/>
    </row>
    <row r="15535" spans="7:7" x14ac:dyDescent="0.2">
      <c r="G15535" s="7"/>
    </row>
    <row r="15536" spans="7:7" x14ac:dyDescent="0.2">
      <c r="G15536" s="7"/>
    </row>
    <row r="15537" spans="7:7" x14ac:dyDescent="0.2">
      <c r="G15537" s="7"/>
    </row>
    <row r="15538" spans="7:7" x14ac:dyDescent="0.2">
      <c r="G15538" s="7"/>
    </row>
    <row r="15539" spans="7:7" x14ac:dyDescent="0.2">
      <c r="G15539" s="7"/>
    </row>
    <row r="15540" spans="7:7" x14ac:dyDescent="0.2">
      <c r="G15540" s="7"/>
    </row>
    <row r="15541" spans="7:7" x14ac:dyDescent="0.2">
      <c r="G15541" s="7"/>
    </row>
    <row r="15542" spans="7:7" x14ac:dyDescent="0.2">
      <c r="G15542" s="7"/>
    </row>
    <row r="15543" spans="7:7" x14ac:dyDescent="0.2">
      <c r="G15543" s="7"/>
    </row>
    <row r="15544" spans="7:7" x14ac:dyDescent="0.2">
      <c r="G15544" s="7"/>
    </row>
    <row r="15545" spans="7:7" x14ac:dyDescent="0.2">
      <c r="G15545" s="7"/>
    </row>
    <row r="15546" spans="7:7" x14ac:dyDescent="0.2">
      <c r="G15546" s="7"/>
    </row>
    <row r="15547" spans="7:7" x14ac:dyDescent="0.2">
      <c r="G15547" s="7"/>
    </row>
    <row r="15548" spans="7:7" x14ac:dyDescent="0.2">
      <c r="G15548" s="7"/>
    </row>
    <row r="15549" spans="7:7" x14ac:dyDescent="0.2">
      <c r="G15549" s="7"/>
    </row>
    <row r="15550" spans="7:7" x14ac:dyDescent="0.2">
      <c r="G15550" s="7"/>
    </row>
    <row r="15551" spans="7:7" x14ac:dyDescent="0.2">
      <c r="G15551" s="7"/>
    </row>
    <row r="15552" spans="7:7" x14ac:dyDescent="0.2">
      <c r="G15552" s="7"/>
    </row>
    <row r="15553" spans="7:7" x14ac:dyDescent="0.2">
      <c r="G15553" s="7"/>
    </row>
    <row r="15554" spans="7:7" x14ac:dyDescent="0.2">
      <c r="G15554" s="7"/>
    </row>
    <row r="15555" spans="7:7" x14ac:dyDescent="0.2">
      <c r="G15555" s="7"/>
    </row>
    <row r="15556" spans="7:7" x14ac:dyDescent="0.2">
      <c r="G15556" s="7"/>
    </row>
    <row r="15557" spans="7:7" x14ac:dyDescent="0.2">
      <c r="G15557" s="7"/>
    </row>
    <row r="15558" spans="7:7" x14ac:dyDescent="0.2">
      <c r="G15558" s="7"/>
    </row>
    <row r="15559" spans="7:7" x14ac:dyDescent="0.2">
      <c r="G15559" s="7"/>
    </row>
    <row r="15560" spans="7:7" x14ac:dyDescent="0.2">
      <c r="G15560" s="7"/>
    </row>
    <row r="15561" spans="7:7" x14ac:dyDescent="0.2">
      <c r="G15561" s="7"/>
    </row>
    <row r="15562" spans="7:7" x14ac:dyDescent="0.2">
      <c r="G15562" s="7"/>
    </row>
    <row r="15563" spans="7:7" x14ac:dyDescent="0.2">
      <c r="G15563" s="7"/>
    </row>
    <row r="15564" spans="7:7" x14ac:dyDescent="0.2">
      <c r="G15564" s="7"/>
    </row>
    <row r="15565" spans="7:7" x14ac:dyDescent="0.2">
      <c r="G15565" s="7"/>
    </row>
    <row r="15566" spans="7:7" x14ac:dyDescent="0.2">
      <c r="G15566" s="7"/>
    </row>
    <row r="15567" spans="7:7" x14ac:dyDescent="0.2">
      <c r="G15567" s="7"/>
    </row>
    <row r="15568" spans="7:7" x14ac:dyDescent="0.2">
      <c r="G15568" s="7"/>
    </row>
    <row r="15569" spans="7:7" x14ac:dyDescent="0.2">
      <c r="G15569" s="7"/>
    </row>
    <row r="15570" spans="7:7" x14ac:dyDescent="0.2">
      <c r="G15570" s="7"/>
    </row>
    <row r="15571" spans="7:7" x14ac:dyDescent="0.2">
      <c r="G15571" s="7"/>
    </row>
    <row r="15572" spans="7:7" x14ac:dyDescent="0.2">
      <c r="G15572" s="7"/>
    </row>
    <row r="15573" spans="7:7" x14ac:dyDescent="0.2">
      <c r="G15573" s="7"/>
    </row>
    <row r="15574" spans="7:7" x14ac:dyDescent="0.2">
      <c r="G15574" s="7"/>
    </row>
    <row r="15575" spans="7:7" x14ac:dyDescent="0.2">
      <c r="G15575" s="7"/>
    </row>
    <row r="15576" spans="7:7" x14ac:dyDescent="0.2">
      <c r="G15576" s="7"/>
    </row>
    <row r="15577" spans="7:7" x14ac:dyDescent="0.2">
      <c r="G15577" s="7"/>
    </row>
    <row r="15578" spans="7:7" x14ac:dyDescent="0.2">
      <c r="G15578" s="7"/>
    </row>
    <row r="15579" spans="7:7" x14ac:dyDescent="0.2">
      <c r="G15579" s="7"/>
    </row>
    <row r="15580" spans="7:7" x14ac:dyDescent="0.2">
      <c r="G15580" s="7"/>
    </row>
    <row r="15581" spans="7:7" x14ac:dyDescent="0.2">
      <c r="G15581" s="7"/>
    </row>
    <row r="15582" spans="7:7" x14ac:dyDescent="0.2">
      <c r="G15582" s="7"/>
    </row>
    <row r="15583" spans="7:7" x14ac:dyDescent="0.2">
      <c r="G15583" s="7"/>
    </row>
    <row r="15584" spans="7:7" x14ac:dyDescent="0.2">
      <c r="G15584" s="7"/>
    </row>
    <row r="15585" spans="7:7" x14ac:dyDescent="0.2">
      <c r="G15585" s="7"/>
    </row>
    <row r="15586" spans="7:7" x14ac:dyDescent="0.2">
      <c r="G15586" s="7"/>
    </row>
    <row r="15587" spans="7:7" x14ac:dyDescent="0.2">
      <c r="G15587" s="7"/>
    </row>
    <row r="15588" spans="7:7" x14ac:dyDescent="0.2">
      <c r="G15588" s="7"/>
    </row>
    <row r="15589" spans="7:7" x14ac:dyDescent="0.2">
      <c r="G15589" s="7"/>
    </row>
    <row r="15590" spans="7:7" x14ac:dyDescent="0.2">
      <c r="G15590" s="7"/>
    </row>
    <row r="15591" spans="7:7" x14ac:dyDescent="0.2">
      <c r="G15591" s="7"/>
    </row>
    <row r="15592" spans="7:7" x14ac:dyDescent="0.2">
      <c r="G15592" s="7"/>
    </row>
    <row r="15593" spans="7:7" x14ac:dyDescent="0.2">
      <c r="G15593" s="7"/>
    </row>
    <row r="15594" spans="7:7" x14ac:dyDescent="0.2">
      <c r="G15594" s="7"/>
    </row>
    <row r="15595" spans="7:7" x14ac:dyDescent="0.2">
      <c r="G15595" s="7"/>
    </row>
    <row r="15596" spans="7:7" x14ac:dyDescent="0.2">
      <c r="G15596" s="7"/>
    </row>
    <row r="15597" spans="7:7" x14ac:dyDescent="0.2">
      <c r="G15597" s="7"/>
    </row>
    <row r="15598" spans="7:7" x14ac:dyDescent="0.2">
      <c r="G15598" s="7"/>
    </row>
    <row r="15599" spans="7:7" x14ac:dyDescent="0.2">
      <c r="G15599" s="7"/>
    </row>
    <row r="15600" spans="7:7" x14ac:dyDescent="0.2">
      <c r="G15600" s="7"/>
    </row>
    <row r="15601" spans="7:7" x14ac:dyDescent="0.2">
      <c r="G15601" s="7"/>
    </row>
    <row r="15602" spans="7:7" x14ac:dyDescent="0.2">
      <c r="G15602" s="7"/>
    </row>
    <row r="15603" spans="7:7" x14ac:dyDescent="0.2">
      <c r="G15603" s="7"/>
    </row>
    <row r="15604" spans="7:7" x14ac:dyDescent="0.2">
      <c r="G15604" s="7"/>
    </row>
    <row r="15605" spans="7:7" x14ac:dyDescent="0.2">
      <c r="G15605" s="7"/>
    </row>
    <row r="15606" spans="7:7" x14ac:dyDescent="0.2">
      <c r="G15606" s="7"/>
    </row>
    <row r="15607" spans="7:7" x14ac:dyDescent="0.2">
      <c r="G15607" s="7"/>
    </row>
    <row r="15608" spans="7:7" x14ac:dyDescent="0.2">
      <c r="G15608" s="7"/>
    </row>
    <row r="15609" spans="7:7" x14ac:dyDescent="0.2">
      <c r="G15609" s="7"/>
    </row>
    <row r="15610" spans="7:7" x14ac:dyDescent="0.2">
      <c r="G15610" s="7"/>
    </row>
    <row r="15611" spans="7:7" x14ac:dyDescent="0.2">
      <c r="G15611" s="7"/>
    </row>
    <row r="15612" spans="7:7" x14ac:dyDescent="0.2">
      <c r="G15612" s="7"/>
    </row>
    <row r="15613" spans="7:7" x14ac:dyDescent="0.2">
      <c r="G15613" s="7"/>
    </row>
    <row r="15614" spans="7:7" x14ac:dyDescent="0.2">
      <c r="G15614" s="7"/>
    </row>
    <row r="15615" spans="7:7" x14ac:dyDescent="0.2">
      <c r="G15615" s="7"/>
    </row>
    <row r="15616" spans="7:7" x14ac:dyDescent="0.2">
      <c r="G15616" s="7"/>
    </row>
    <row r="15617" spans="7:7" x14ac:dyDescent="0.2">
      <c r="G15617" s="7"/>
    </row>
    <row r="15618" spans="7:7" x14ac:dyDescent="0.2">
      <c r="G15618" s="7"/>
    </row>
    <row r="15619" spans="7:7" x14ac:dyDescent="0.2">
      <c r="G15619" s="7"/>
    </row>
    <row r="15620" spans="7:7" x14ac:dyDescent="0.2">
      <c r="G15620" s="7"/>
    </row>
    <row r="15621" spans="7:7" x14ac:dyDescent="0.2">
      <c r="G15621" s="7"/>
    </row>
    <row r="15622" spans="7:7" x14ac:dyDescent="0.2">
      <c r="G15622" s="7"/>
    </row>
    <row r="15623" spans="7:7" x14ac:dyDescent="0.2">
      <c r="G15623" s="7"/>
    </row>
    <row r="15624" spans="7:7" x14ac:dyDescent="0.2">
      <c r="G15624" s="7"/>
    </row>
    <row r="15625" spans="7:7" x14ac:dyDescent="0.2">
      <c r="G15625" s="7"/>
    </row>
    <row r="15626" spans="7:7" x14ac:dyDescent="0.2">
      <c r="G15626" s="7"/>
    </row>
    <row r="15627" spans="7:7" x14ac:dyDescent="0.2">
      <c r="G15627" s="7"/>
    </row>
    <row r="15628" spans="7:7" x14ac:dyDescent="0.2">
      <c r="G15628" s="7"/>
    </row>
    <row r="15629" spans="7:7" x14ac:dyDescent="0.2">
      <c r="G15629" s="7"/>
    </row>
    <row r="15630" spans="7:7" x14ac:dyDescent="0.2">
      <c r="G15630" s="7"/>
    </row>
    <row r="15631" spans="7:7" x14ac:dyDescent="0.2">
      <c r="G15631" s="7"/>
    </row>
    <row r="15632" spans="7:7" x14ac:dyDescent="0.2">
      <c r="G15632" s="7"/>
    </row>
    <row r="15633" spans="7:7" x14ac:dyDescent="0.2">
      <c r="G15633" s="7"/>
    </row>
    <row r="15634" spans="7:7" x14ac:dyDescent="0.2">
      <c r="G15634" s="7"/>
    </row>
    <row r="15635" spans="7:7" x14ac:dyDescent="0.2">
      <c r="G15635" s="7"/>
    </row>
    <row r="15636" spans="7:7" x14ac:dyDescent="0.2">
      <c r="G15636" s="7"/>
    </row>
    <row r="15637" spans="7:7" x14ac:dyDescent="0.2">
      <c r="G15637" s="7"/>
    </row>
    <row r="15638" spans="7:7" x14ac:dyDescent="0.2">
      <c r="G15638" s="7"/>
    </row>
    <row r="15639" spans="7:7" x14ac:dyDescent="0.2">
      <c r="G15639" s="7"/>
    </row>
    <row r="15640" spans="7:7" x14ac:dyDescent="0.2">
      <c r="G15640" s="7"/>
    </row>
    <row r="15641" spans="7:7" x14ac:dyDescent="0.2">
      <c r="G15641" s="7"/>
    </row>
    <row r="15642" spans="7:7" x14ac:dyDescent="0.2">
      <c r="G15642" s="7"/>
    </row>
    <row r="15643" spans="7:7" x14ac:dyDescent="0.2">
      <c r="G15643" s="7"/>
    </row>
    <row r="15644" spans="7:7" x14ac:dyDescent="0.2">
      <c r="G15644" s="7"/>
    </row>
    <row r="15645" spans="7:7" x14ac:dyDescent="0.2">
      <c r="G15645" s="7"/>
    </row>
    <row r="15646" spans="7:7" x14ac:dyDescent="0.2">
      <c r="G15646" s="7"/>
    </row>
    <row r="15647" spans="7:7" x14ac:dyDescent="0.2">
      <c r="G15647" s="7"/>
    </row>
    <row r="15648" spans="7:7" x14ac:dyDescent="0.2">
      <c r="G15648" s="7"/>
    </row>
    <row r="15649" spans="7:7" x14ac:dyDescent="0.2">
      <c r="G15649" s="7"/>
    </row>
    <row r="15650" spans="7:7" x14ac:dyDescent="0.2">
      <c r="G15650" s="7"/>
    </row>
    <row r="15651" spans="7:7" x14ac:dyDescent="0.2">
      <c r="G15651" s="7"/>
    </row>
    <row r="15652" spans="7:7" x14ac:dyDescent="0.2">
      <c r="G15652" s="7"/>
    </row>
    <row r="15653" spans="7:7" x14ac:dyDescent="0.2">
      <c r="G15653" s="7"/>
    </row>
    <row r="15654" spans="7:7" x14ac:dyDescent="0.2">
      <c r="G15654" s="7"/>
    </row>
    <row r="15655" spans="7:7" x14ac:dyDescent="0.2">
      <c r="G15655" s="7"/>
    </row>
    <row r="15656" spans="7:7" x14ac:dyDescent="0.2">
      <c r="G15656" s="7"/>
    </row>
    <row r="15657" spans="7:7" x14ac:dyDescent="0.2">
      <c r="G15657" s="7"/>
    </row>
    <row r="15658" spans="7:7" x14ac:dyDescent="0.2">
      <c r="G15658" s="7"/>
    </row>
    <row r="15659" spans="7:7" x14ac:dyDescent="0.2">
      <c r="G15659" s="7"/>
    </row>
    <row r="15660" spans="7:7" x14ac:dyDescent="0.2">
      <c r="G15660" s="7"/>
    </row>
    <row r="15661" spans="7:7" x14ac:dyDescent="0.2">
      <c r="G15661" s="7"/>
    </row>
    <row r="15662" spans="7:7" x14ac:dyDescent="0.2">
      <c r="G15662" s="7"/>
    </row>
    <row r="15663" spans="7:7" x14ac:dyDescent="0.2">
      <c r="G15663" s="7"/>
    </row>
    <row r="15664" spans="7:7" x14ac:dyDescent="0.2">
      <c r="G15664" s="7"/>
    </row>
    <row r="15665" spans="7:7" x14ac:dyDescent="0.2">
      <c r="G15665" s="7"/>
    </row>
    <row r="15666" spans="7:7" x14ac:dyDescent="0.2">
      <c r="G15666" s="7"/>
    </row>
    <row r="15667" spans="7:7" x14ac:dyDescent="0.2">
      <c r="G15667" s="7"/>
    </row>
    <row r="15668" spans="7:7" x14ac:dyDescent="0.2">
      <c r="G15668" s="7"/>
    </row>
    <row r="15669" spans="7:7" x14ac:dyDescent="0.2">
      <c r="G15669" s="7"/>
    </row>
    <row r="15670" spans="7:7" x14ac:dyDescent="0.2">
      <c r="G15670" s="7"/>
    </row>
    <row r="15671" spans="7:7" x14ac:dyDescent="0.2">
      <c r="G15671" s="7"/>
    </row>
    <row r="15672" spans="7:7" x14ac:dyDescent="0.2">
      <c r="G15672" s="7"/>
    </row>
    <row r="15673" spans="7:7" x14ac:dyDescent="0.2">
      <c r="G15673" s="7"/>
    </row>
    <row r="15674" spans="7:7" x14ac:dyDescent="0.2">
      <c r="G15674" s="7"/>
    </row>
    <row r="15675" spans="7:7" x14ac:dyDescent="0.2">
      <c r="G15675" s="7"/>
    </row>
    <row r="15676" spans="7:7" x14ac:dyDescent="0.2">
      <c r="G15676" s="7"/>
    </row>
    <row r="15677" spans="7:7" x14ac:dyDescent="0.2">
      <c r="G15677" s="7"/>
    </row>
    <row r="15678" spans="7:7" x14ac:dyDescent="0.2">
      <c r="G15678" s="7"/>
    </row>
    <row r="15679" spans="7:7" x14ac:dyDescent="0.2">
      <c r="G15679" s="7"/>
    </row>
    <row r="15680" spans="7:7" x14ac:dyDescent="0.2">
      <c r="G15680" s="7"/>
    </row>
    <row r="15681" spans="7:7" x14ac:dyDescent="0.2">
      <c r="G15681" s="7"/>
    </row>
    <row r="15682" spans="7:7" x14ac:dyDescent="0.2">
      <c r="G15682" s="7"/>
    </row>
    <row r="15683" spans="7:7" x14ac:dyDescent="0.2">
      <c r="G15683" s="7"/>
    </row>
    <row r="15684" spans="7:7" x14ac:dyDescent="0.2">
      <c r="G15684" s="7"/>
    </row>
    <row r="15685" spans="7:7" x14ac:dyDescent="0.2">
      <c r="G15685" s="7"/>
    </row>
    <row r="15686" spans="7:7" x14ac:dyDescent="0.2">
      <c r="G15686" s="7"/>
    </row>
    <row r="15687" spans="7:7" x14ac:dyDescent="0.2">
      <c r="G15687" s="7"/>
    </row>
    <row r="15688" spans="7:7" x14ac:dyDescent="0.2">
      <c r="G15688" s="7"/>
    </row>
    <row r="15689" spans="7:7" x14ac:dyDescent="0.2">
      <c r="G15689" s="7"/>
    </row>
    <row r="15690" spans="7:7" x14ac:dyDescent="0.2">
      <c r="G15690" s="7"/>
    </row>
    <row r="15691" spans="7:7" x14ac:dyDescent="0.2">
      <c r="G15691" s="7"/>
    </row>
    <row r="15692" spans="7:7" x14ac:dyDescent="0.2">
      <c r="G15692" s="7"/>
    </row>
    <row r="15693" spans="7:7" x14ac:dyDescent="0.2">
      <c r="G15693" s="7"/>
    </row>
    <row r="15694" spans="7:7" x14ac:dyDescent="0.2">
      <c r="G15694" s="7"/>
    </row>
    <row r="15695" spans="7:7" x14ac:dyDescent="0.2">
      <c r="G15695" s="7"/>
    </row>
    <row r="15696" spans="7:7" x14ac:dyDescent="0.2">
      <c r="G15696" s="7"/>
    </row>
    <row r="15697" spans="7:7" x14ac:dyDescent="0.2">
      <c r="G15697" s="7"/>
    </row>
    <row r="15698" spans="7:7" x14ac:dyDescent="0.2">
      <c r="G15698" s="7"/>
    </row>
    <row r="15699" spans="7:7" x14ac:dyDescent="0.2">
      <c r="G15699" s="7"/>
    </row>
    <row r="15700" spans="7:7" x14ac:dyDescent="0.2">
      <c r="G15700" s="7"/>
    </row>
    <row r="15701" spans="7:7" x14ac:dyDescent="0.2">
      <c r="G15701" s="7"/>
    </row>
    <row r="15702" spans="7:7" x14ac:dyDescent="0.2">
      <c r="G15702" s="7"/>
    </row>
    <row r="15703" spans="7:7" x14ac:dyDescent="0.2">
      <c r="G15703" s="7"/>
    </row>
    <row r="15704" spans="7:7" x14ac:dyDescent="0.2">
      <c r="G15704" s="7"/>
    </row>
    <row r="15705" spans="7:7" x14ac:dyDescent="0.2">
      <c r="G15705" s="7"/>
    </row>
    <row r="15706" spans="7:7" x14ac:dyDescent="0.2">
      <c r="G15706" s="7"/>
    </row>
    <row r="15707" spans="7:7" x14ac:dyDescent="0.2">
      <c r="G15707" s="7"/>
    </row>
    <row r="15708" spans="7:7" x14ac:dyDescent="0.2">
      <c r="G15708" s="7"/>
    </row>
    <row r="15709" spans="7:7" x14ac:dyDescent="0.2">
      <c r="G15709" s="7"/>
    </row>
    <row r="15710" spans="7:7" x14ac:dyDescent="0.2">
      <c r="G15710" s="7"/>
    </row>
    <row r="15711" spans="7:7" x14ac:dyDescent="0.2">
      <c r="G15711" s="7"/>
    </row>
    <row r="15712" spans="7:7" x14ac:dyDescent="0.2">
      <c r="G15712" s="7"/>
    </row>
    <row r="15713" spans="7:7" x14ac:dyDescent="0.2">
      <c r="G15713" s="7"/>
    </row>
    <row r="15714" spans="7:7" x14ac:dyDescent="0.2">
      <c r="G15714" s="7"/>
    </row>
    <row r="15715" spans="7:7" x14ac:dyDescent="0.2">
      <c r="G15715" s="7"/>
    </row>
    <row r="15716" spans="7:7" x14ac:dyDescent="0.2">
      <c r="G15716" s="7"/>
    </row>
    <row r="15717" spans="7:7" x14ac:dyDescent="0.2">
      <c r="G15717" s="7"/>
    </row>
    <row r="15718" spans="7:7" x14ac:dyDescent="0.2">
      <c r="G15718" s="7"/>
    </row>
    <row r="15719" spans="7:7" x14ac:dyDescent="0.2">
      <c r="G15719" s="7"/>
    </row>
    <row r="15720" spans="7:7" x14ac:dyDescent="0.2">
      <c r="G15720" s="7"/>
    </row>
    <row r="15721" spans="7:7" x14ac:dyDescent="0.2">
      <c r="G15721" s="7"/>
    </row>
    <row r="15722" spans="7:7" x14ac:dyDescent="0.2">
      <c r="G15722" s="7"/>
    </row>
    <row r="15723" spans="7:7" x14ac:dyDescent="0.2">
      <c r="G15723" s="7"/>
    </row>
    <row r="15724" spans="7:7" x14ac:dyDescent="0.2">
      <c r="G15724" s="7"/>
    </row>
    <row r="15725" spans="7:7" x14ac:dyDescent="0.2">
      <c r="G15725" s="7"/>
    </row>
    <row r="15726" spans="7:7" x14ac:dyDescent="0.2">
      <c r="G15726" s="7"/>
    </row>
    <row r="15727" spans="7:7" x14ac:dyDescent="0.2">
      <c r="G15727" s="7"/>
    </row>
    <row r="15728" spans="7:7" x14ac:dyDescent="0.2">
      <c r="G15728" s="7"/>
    </row>
    <row r="15729" spans="7:7" x14ac:dyDescent="0.2">
      <c r="G15729" s="7"/>
    </row>
    <row r="15730" spans="7:7" x14ac:dyDescent="0.2">
      <c r="G15730" s="7"/>
    </row>
    <row r="15731" spans="7:7" x14ac:dyDescent="0.2">
      <c r="G15731" s="7"/>
    </row>
    <row r="15732" spans="7:7" x14ac:dyDescent="0.2">
      <c r="G15732" s="7"/>
    </row>
    <row r="15733" spans="7:7" x14ac:dyDescent="0.2">
      <c r="G15733" s="7"/>
    </row>
    <row r="15734" spans="7:7" x14ac:dyDescent="0.2">
      <c r="G15734" s="7"/>
    </row>
    <row r="15735" spans="7:7" x14ac:dyDescent="0.2">
      <c r="G15735" s="7"/>
    </row>
    <row r="15736" spans="7:7" x14ac:dyDescent="0.2">
      <c r="G15736" s="7"/>
    </row>
    <row r="15737" spans="7:7" x14ac:dyDescent="0.2">
      <c r="G15737" s="7"/>
    </row>
    <row r="15738" spans="7:7" x14ac:dyDescent="0.2">
      <c r="G15738" s="7"/>
    </row>
    <row r="15739" spans="7:7" x14ac:dyDescent="0.2">
      <c r="G15739" s="7"/>
    </row>
    <row r="15740" spans="7:7" x14ac:dyDescent="0.2">
      <c r="G15740" s="7"/>
    </row>
    <row r="15741" spans="7:7" x14ac:dyDescent="0.2">
      <c r="G15741" s="7"/>
    </row>
    <row r="15742" spans="7:7" x14ac:dyDescent="0.2">
      <c r="G15742" s="7"/>
    </row>
    <row r="15743" spans="7:7" x14ac:dyDescent="0.2">
      <c r="G15743" s="7"/>
    </row>
    <row r="15744" spans="7:7" x14ac:dyDescent="0.2">
      <c r="G15744" s="7"/>
    </row>
    <row r="15745" spans="7:7" x14ac:dyDescent="0.2">
      <c r="G15745" s="7"/>
    </row>
    <row r="15746" spans="7:7" x14ac:dyDescent="0.2">
      <c r="G15746" s="7"/>
    </row>
    <row r="15747" spans="7:7" x14ac:dyDescent="0.2">
      <c r="G15747" s="7"/>
    </row>
    <row r="15748" spans="7:7" x14ac:dyDescent="0.2">
      <c r="G15748" s="7"/>
    </row>
    <row r="15749" spans="7:7" x14ac:dyDescent="0.2">
      <c r="G15749" s="7"/>
    </row>
    <row r="15750" spans="7:7" x14ac:dyDescent="0.2">
      <c r="G15750" s="7"/>
    </row>
    <row r="15751" spans="7:7" x14ac:dyDescent="0.2">
      <c r="G15751" s="7"/>
    </row>
    <row r="15752" spans="7:7" x14ac:dyDescent="0.2">
      <c r="G15752" s="7"/>
    </row>
    <row r="15753" spans="7:7" x14ac:dyDescent="0.2">
      <c r="G15753" s="7"/>
    </row>
    <row r="15754" spans="7:7" x14ac:dyDescent="0.2">
      <c r="G15754" s="7"/>
    </row>
    <row r="15755" spans="7:7" x14ac:dyDescent="0.2">
      <c r="G15755" s="7"/>
    </row>
    <row r="15756" spans="7:7" x14ac:dyDescent="0.2">
      <c r="G15756" s="7"/>
    </row>
    <row r="15757" spans="7:7" x14ac:dyDescent="0.2">
      <c r="G15757" s="7"/>
    </row>
    <row r="15758" spans="7:7" x14ac:dyDescent="0.2">
      <c r="G15758" s="7"/>
    </row>
    <row r="15759" spans="7:7" x14ac:dyDescent="0.2">
      <c r="G15759" s="7"/>
    </row>
    <row r="15760" spans="7:7" x14ac:dyDescent="0.2">
      <c r="G15760" s="7"/>
    </row>
    <row r="15761" spans="7:7" x14ac:dyDescent="0.2">
      <c r="G15761" s="7"/>
    </row>
    <row r="15762" spans="7:7" x14ac:dyDescent="0.2">
      <c r="G15762" s="7"/>
    </row>
    <row r="15763" spans="7:7" x14ac:dyDescent="0.2">
      <c r="G15763" s="7"/>
    </row>
    <row r="15764" spans="7:7" x14ac:dyDescent="0.2">
      <c r="G15764" s="7"/>
    </row>
    <row r="15765" spans="7:7" x14ac:dyDescent="0.2">
      <c r="G15765" s="7"/>
    </row>
    <row r="15766" spans="7:7" x14ac:dyDescent="0.2">
      <c r="G15766" s="7"/>
    </row>
    <row r="15767" spans="7:7" x14ac:dyDescent="0.2">
      <c r="G15767" s="7"/>
    </row>
    <row r="15768" spans="7:7" x14ac:dyDescent="0.2">
      <c r="G15768" s="7"/>
    </row>
    <row r="15769" spans="7:7" x14ac:dyDescent="0.2">
      <c r="G15769" s="7"/>
    </row>
    <row r="15770" spans="7:7" x14ac:dyDescent="0.2">
      <c r="G15770" s="7"/>
    </row>
    <row r="15771" spans="7:7" x14ac:dyDescent="0.2">
      <c r="G15771" s="7"/>
    </row>
    <row r="15772" spans="7:7" x14ac:dyDescent="0.2">
      <c r="G15772" s="7"/>
    </row>
    <row r="15773" spans="7:7" x14ac:dyDescent="0.2">
      <c r="G15773" s="7"/>
    </row>
    <row r="15774" spans="7:7" x14ac:dyDescent="0.2">
      <c r="G15774" s="7"/>
    </row>
    <row r="15775" spans="7:7" x14ac:dyDescent="0.2">
      <c r="G15775" s="7"/>
    </row>
    <row r="15776" spans="7:7" x14ac:dyDescent="0.2">
      <c r="G15776" s="7"/>
    </row>
    <row r="15777" spans="7:7" x14ac:dyDescent="0.2">
      <c r="G15777" s="7"/>
    </row>
    <row r="15778" spans="7:7" x14ac:dyDescent="0.2">
      <c r="G15778" s="7"/>
    </row>
    <row r="15779" spans="7:7" x14ac:dyDescent="0.2">
      <c r="G15779" s="7"/>
    </row>
    <row r="15780" spans="7:7" x14ac:dyDescent="0.2">
      <c r="G15780" s="7"/>
    </row>
    <row r="15781" spans="7:7" x14ac:dyDescent="0.2">
      <c r="G15781" s="7"/>
    </row>
    <row r="15782" spans="7:7" x14ac:dyDescent="0.2">
      <c r="G15782" s="7"/>
    </row>
    <row r="15783" spans="7:7" x14ac:dyDescent="0.2">
      <c r="G15783" s="7"/>
    </row>
    <row r="15784" spans="7:7" x14ac:dyDescent="0.2">
      <c r="G15784" s="7"/>
    </row>
    <row r="15785" spans="7:7" x14ac:dyDescent="0.2">
      <c r="G15785" s="7"/>
    </row>
    <row r="15786" spans="7:7" x14ac:dyDescent="0.2">
      <c r="G15786" s="7"/>
    </row>
    <row r="15787" spans="7:7" x14ac:dyDescent="0.2">
      <c r="G15787" s="7"/>
    </row>
    <row r="15788" spans="7:7" x14ac:dyDescent="0.2">
      <c r="G15788" s="7"/>
    </row>
    <row r="15789" spans="7:7" x14ac:dyDescent="0.2">
      <c r="G15789" s="7"/>
    </row>
    <row r="15790" spans="7:7" x14ac:dyDescent="0.2">
      <c r="G15790" s="7"/>
    </row>
    <row r="15791" spans="7:7" x14ac:dyDescent="0.2">
      <c r="G15791" s="7"/>
    </row>
    <row r="15792" spans="7:7" x14ac:dyDescent="0.2">
      <c r="G15792" s="7"/>
    </row>
    <row r="15793" spans="7:7" x14ac:dyDescent="0.2">
      <c r="G15793" s="7"/>
    </row>
    <row r="15794" spans="7:7" x14ac:dyDescent="0.2">
      <c r="G15794" s="7"/>
    </row>
    <row r="15795" spans="7:7" x14ac:dyDescent="0.2">
      <c r="G15795" s="7"/>
    </row>
    <row r="15796" spans="7:7" x14ac:dyDescent="0.2">
      <c r="G15796" s="7"/>
    </row>
    <row r="15797" spans="7:7" x14ac:dyDescent="0.2">
      <c r="G15797" s="7"/>
    </row>
    <row r="15798" spans="7:7" x14ac:dyDescent="0.2">
      <c r="G15798" s="7"/>
    </row>
    <row r="15799" spans="7:7" x14ac:dyDescent="0.2">
      <c r="G15799" s="7"/>
    </row>
    <row r="15800" spans="7:7" x14ac:dyDescent="0.2">
      <c r="G15800" s="7"/>
    </row>
    <row r="15801" spans="7:7" x14ac:dyDescent="0.2">
      <c r="G15801" s="7"/>
    </row>
    <row r="15802" spans="7:7" x14ac:dyDescent="0.2">
      <c r="G15802" s="7"/>
    </row>
    <row r="15803" spans="7:7" x14ac:dyDescent="0.2">
      <c r="G15803" s="7"/>
    </row>
    <row r="15804" spans="7:7" x14ac:dyDescent="0.2">
      <c r="G15804" s="7"/>
    </row>
    <row r="15805" spans="7:7" x14ac:dyDescent="0.2">
      <c r="G15805" s="7"/>
    </row>
    <row r="15806" spans="7:7" x14ac:dyDescent="0.2">
      <c r="G15806" s="7"/>
    </row>
    <row r="15807" spans="7:7" x14ac:dyDescent="0.2">
      <c r="G15807" s="7"/>
    </row>
    <row r="15808" spans="7:7" x14ac:dyDescent="0.2">
      <c r="G15808" s="7"/>
    </row>
    <row r="15809" spans="7:7" x14ac:dyDescent="0.2">
      <c r="G15809" s="7"/>
    </row>
    <row r="15810" spans="7:7" x14ac:dyDescent="0.2">
      <c r="G15810" s="7"/>
    </row>
    <row r="15811" spans="7:7" x14ac:dyDescent="0.2">
      <c r="G15811" s="7"/>
    </row>
    <row r="15812" spans="7:7" x14ac:dyDescent="0.2">
      <c r="G15812" s="7"/>
    </row>
    <row r="15813" spans="7:7" x14ac:dyDescent="0.2">
      <c r="G15813" s="7"/>
    </row>
    <row r="15814" spans="7:7" x14ac:dyDescent="0.2">
      <c r="G15814" s="7"/>
    </row>
    <row r="15815" spans="7:7" x14ac:dyDescent="0.2">
      <c r="G15815" s="7"/>
    </row>
    <row r="15816" spans="7:7" x14ac:dyDescent="0.2">
      <c r="G15816" s="7"/>
    </row>
    <row r="15817" spans="7:7" x14ac:dyDescent="0.2">
      <c r="G15817" s="7"/>
    </row>
    <row r="15818" spans="7:7" x14ac:dyDescent="0.2">
      <c r="G15818" s="7"/>
    </row>
    <row r="15819" spans="7:7" x14ac:dyDescent="0.2">
      <c r="G15819" s="7"/>
    </row>
    <row r="15820" spans="7:7" x14ac:dyDescent="0.2">
      <c r="G15820" s="7"/>
    </row>
    <row r="15821" spans="7:7" x14ac:dyDescent="0.2">
      <c r="G15821" s="7"/>
    </row>
    <row r="15822" spans="7:7" x14ac:dyDescent="0.2">
      <c r="G15822" s="7"/>
    </row>
    <row r="15823" spans="7:7" x14ac:dyDescent="0.2">
      <c r="G15823" s="7"/>
    </row>
    <row r="15824" spans="7:7" x14ac:dyDescent="0.2">
      <c r="G15824" s="7"/>
    </row>
    <row r="15825" spans="7:7" x14ac:dyDescent="0.2">
      <c r="G15825" s="7"/>
    </row>
    <row r="15826" spans="7:7" x14ac:dyDescent="0.2">
      <c r="G15826" s="7"/>
    </row>
    <row r="15827" spans="7:7" x14ac:dyDescent="0.2">
      <c r="G15827" s="7"/>
    </row>
    <row r="15828" spans="7:7" x14ac:dyDescent="0.2">
      <c r="G15828" s="7"/>
    </row>
    <row r="15829" spans="7:7" x14ac:dyDescent="0.2">
      <c r="G15829" s="7"/>
    </row>
    <row r="15830" spans="7:7" x14ac:dyDescent="0.2">
      <c r="G15830" s="7"/>
    </row>
    <row r="15831" spans="7:7" x14ac:dyDescent="0.2">
      <c r="G15831" s="7"/>
    </row>
    <row r="15832" spans="7:7" x14ac:dyDescent="0.2">
      <c r="G15832" s="7"/>
    </row>
    <row r="15833" spans="7:7" x14ac:dyDescent="0.2">
      <c r="G15833" s="7"/>
    </row>
    <row r="15834" spans="7:7" x14ac:dyDescent="0.2">
      <c r="G15834" s="7"/>
    </row>
    <row r="15835" spans="7:7" x14ac:dyDescent="0.2">
      <c r="G15835" s="7"/>
    </row>
    <row r="15836" spans="7:7" x14ac:dyDescent="0.2">
      <c r="G15836" s="7"/>
    </row>
    <row r="15837" spans="7:7" x14ac:dyDescent="0.2">
      <c r="G15837" s="7"/>
    </row>
    <row r="15838" spans="7:7" x14ac:dyDescent="0.2">
      <c r="G15838" s="7"/>
    </row>
    <row r="15839" spans="7:7" x14ac:dyDescent="0.2">
      <c r="G15839" s="7"/>
    </row>
    <row r="15840" spans="7:7" x14ac:dyDescent="0.2">
      <c r="G15840" s="7"/>
    </row>
    <row r="15841" spans="7:7" x14ac:dyDescent="0.2">
      <c r="G15841" s="7"/>
    </row>
    <row r="15842" spans="7:7" x14ac:dyDescent="0.2">
      <c r="G15842" s="7"/>
    </row>
    <row r="15843" spans="7:7" x14ac:dyDescent="0.2">
      <c r="G15843" s="7"/>
    </row>
    <row r="15844" spans="7:7" x14ac:dyDescent="0.2">
      <c r="G15844" s="7"/>
    </row>
    <row r="15845" spans="7:7" x14ac:dyDescent="0.2">
      <c r="G15845" s="7"/>
    </row>
    <row r="15846" spans="7:7" x14ac:dyDescent="0.2">
      <c r="G15846" s="7"/>
    </row>
    <row r="15847" spans="7:7" x14ac:dyDescent="0.2">
      <c r="G15847" s="7"/>
    </row>
    <row r="15848" spans="7:7" x14ac:dyDescent="0.2">
      <c r="G15848" s="7"/>
    </row>
    <row r="15849" spans="7:7" x14ac:dyDescent="0.2">
      <c r="G15849" s="7"/>
    </row>
    <row r="15850" spans="7:7" x14ac:dyDescent="0.2">
      <c r="G15850" s="7"/>
    </row>
    <row r="15851" spans="7:7" x14ac:dyDescent="0.2">
      <c r="G15851" s="7"/>
    </row>
    <row r="15852" spans="7:7" x14ac:dyDescent="0.2">
      <c r="G15852" s="7"/>
    </row>
    <row r="15853" spans="7:7" x14ac:dyDescent="0.2">
      <c r="G15853" s="7"/>
    </row>
    <row r="15854" spans="7:7" x14ac:dyDescent="0.2">
      <c r="G15854" s="7"/>
    </row>
    <row r="15855" spans="7:7" x14ac:dyDescent="0.2">
      <c r="G15855" s="7"/>
    </row>
    <row r="15856" spans="7:7" x14ac:dyDescent="0.2">
      <c r="G15856" s="7"/>
    </row>
    <row r="15857" spans="7:7" x14ac:dyDescent="0.2">
      <c r="G15857" s="7"/>
    </row>
    <row r="15858" spans="7:7" x14ac:dyDescent="0.2">
      <c r="G15858" s="7"/>
    </row>
    <row r="15859" spans="7:7" x14ac:dyDescent="0.2">
      <c r="G15859" s="7"/>
    </row>
    <row r="15860" spans="7:7" x14ac:dyDescent="0.2">
      <c r="G15860" s="7"/>
    </row>
    <row r="15861" spans="7:7" x14ac:dyDescent="0.2">
      <c r="G15861" s="7"/>
    </row>
    <row r="15862" spans="7:7" x14ac:dyDescent="0.2">
      <c r="G15862" s="7"/>
    </row>
    <row r="15863" spans="7:7" x14ac:dyDescent="0.2">
      <c r="G15863" s="7"/>
    </row>
    <row r="15864" spans="7:7" x14ac:dyDescent="0.2">
      <c r="G15864" s="7"/>
    </row>
    <row r="15865" spans="7:7" x14ac:dyDescent="0.2">
      <c r="G15865" s="7"/>
    </row>
    <row r="15866" spans="7:7" x14ac:dyDescent="0.2">
      <c r="G15866" s="7"/>
    </row>
    <row r="15867" spans="7:7" x14ac:dyDescent="0.2">
      <c r="G15867" s="7"/>
    </row>
    <row r="15868" spans="7:7" x14ac:dyDescent="0.2">
      <c r="G15868" s="7"/>
    </row>
    <row r="15869" spans="7:7" x14ac:dyDescent="0.2">
      <c r="G15869" s="7"/>
    </row>
    <row r="15870" spans="7:7" x14ac:dyDescent="0.2">
      <c r="G15870" s="7"/>
    </row>
    <row r="15871" spans="7:7" x14ac:dyDescent="0.2">
      <c r="G15871" s="7"/>
    </row>
    <row r="15872" spans="7:7" x14ac:dyDescent="0.2">
      <c r="G15872" s="7"/>
    </row>
    <row r="15873" spans="7:7" x14ac:dyDescent="0.2">
      <c r="G15873" s="7"/>
    </row>
    <row r="15874" spans="7:7" x14ac:dyDescent="0.2">
      <c r="G15874" s="7"/>
    </row>
    <row r="15875" spans="7:7" x14ac:dyDescent="0.2">
      <c r="G15875" s="7"/>
    </row>
    <row r="15876" spans="7:7" x14ac:dyDescent="0.2">
      <c r="G15876" s="7"/>
    </row>
    <row r="15877" spans="7:7" x14ac:dyDescent="0.2">
      <c r="G15877" s="7"/>
    </row>
    <row r="15878" spans="7:7" x14ac:dyDescent="0.2">
      <c r="G15878" s="7"/>
    </row>
    <row r="15879" spans="7:7" x14ac:dyDescent="0.2">
      <c r="G15879" s="7"/>
    </row>
    <row r="15880" spans="7:7" x14ac:dyDescent="0.2">
      <c r="G15880" s="7"/>
    </row>
    <row r="15881" spans="7:7" x14ac:dyDescent="0.2">
      <c r="G15881" s="7"/>
    </row>
    <row r="15882" spans="7:7" x14ac:dyDescent="0.2">
      <c r="G15882" s="7"/>
    </row>
    <row r="15883" spans="7:7" x14ac:dyDescent="0.2">
      <c r="G15883" s="7"/>
    </row>
    <row r="15884" spans="7:7" x14ac:dyDescent="0.2">
      <c r="G15884" s="7"/>
    </row>
    <row r="15885" spans="7:7" x14ac:dyDescent="0.2">
      <c r="G15885" s="7"/>
    </row>
    <row r="15886" spans="7:7" x14ac:dyDescent="0.2">
      <c r="G15886" s="7"/>
    </row>
    <row r="15887" spans="7:7" x14ac:dyDescent="0.2">
      <c r="G15887" s="7"/>
    </row>
    <row r="15888" spans="7:7" x14ac:dyDescent="0.2">
      <c r="G15888" s="7"/>
    </row>
    <row r="15889" spans="7:7" x14ac:dyDescent="0.2">
      <c r="G15889" s="7"/>
    </row>
    <row r="15890" spans="7:7" x14ac:dyDescent="0.2">
      <c r="G15890" s="7"/>
    </row>
    <row r="15891" spans="7:7" x14ac:dyDescent="0.2">
      <c r="G15891" s="7"/>
    </row>
    <row r="15892" spans="7:7" x14ac:dyDescent="0.2">
      <c r="G15892" s="7"/>
    </row>
    <row r="15893" spans="7:7" x14ac:dyDescent="0.2">
      <c r="G15893" s="7"/>
    </row>
    <row r="15894" spans="7:7" x14ac:dyDescent="0.2">
      <c r="G15894" s="7"/>
    </row>
    <row r="15895" spans="7:7" x14ac:dyDescent="0.2">
      <c r="G15895" s="7"/>
    </row>
    <row r="15896" spans="7:7" x14ac:dyDescent="0.2">
      <c r="G15896" s="7"/>
    </row>
    <row r="15897" spans="7:7" x14ac:dyDescent="0.2">
      <c r="G15897" s="7"/>
    </row>
    <row r="15898" spans="7:7" x14ac:dyDescent="0.2">
      <c r="G15898" s="7"/>
    </row>
    <row r="15899" spans="7:7" x14ac:dyDescent="0.2">
      <c r="G15899" s="7"/>
    </row>
    <row r="15900" spans="7:7" x14ac:dyDescent="0.2">
      <c r="G15900" s="7"/>
    </row>
    <row r="15901" spans="7:7" x14ac:dyDescent="0.2">
      <c r="G15901" s="7"/>
    </row>
    <row r="15902" spans="7:7" x14ac:dyDescent="0.2">
      <c r="G15902" s="7"/>
    </row>
    <row r="15903" spans="7:7" x14ac:dyDescent="0.2">
      <c r="G15903" s="7"/>
    </row>
    <row r="15904" spans="7:7" x14ac:dyDescent="0.2">
      <c r="G15904" s="7"/>
    </row>
    <row r="15905" spans="7:7" x14ac:dyDescent="0.2">
      <c r="G15905" s="7"/>
    </row>
    <row r="15906" spans="7:7" x14ac:dyDescent="0.2">
      <c r="G15906" s="7"/>
    </row>
    <row r="15907" spans="7:7" x14ac:dyDescent="0.2">
      <c r="G15907" s="7"/>
    </row>
    <row r="15908" spans="7:7" x14ac:dyDescent="0.2">
      <c r="G15908" s="7"/>
    </row>
    <row r="15909" spans="7:7" x14ac:dyDescent="0.2">
      <c r="G15909" s="7"/>
    </row>
    <row r="15910" spans="7:7" x14ac:dyDescent="0.2">
      <c r="G15910" s="7"/>
    </row>
    <row r="15911" spans="7:7" x14ac:dyDescent="0.2">
      <c r="G15911" s="7"/>
    </row>
    <row r="15912" spans="7:7" x14ac:dyDescent="0.2">
      <c r="G15912" s="7"/>
    </row>
    <row r="15913" spans="7:7" x14ac:dyDescent="0.2">
      <c r="G15913" s="7"/>
    </row>
    <row r="15914" spans="7:7" x14ac:dyDescent="0.2">
      <c r="G15914" s="7"/>
    </row>
    <row r="15915" spans="7:7" x14ac:dyDescent="0.2">
      <c r="G15915" s="7"/>
    </row>
    <row r="15916" spans="7:7" x14ac:dyDescent="0.2">
      <c r="G15916" s="7"/>
    </row>
    <row r="15917" spans="7:7" x14ac:dyDescent="0.2">
      <c r="G15917" s="7"/>
    </row>
    <row r="15918" spans="7:7" x14ac:dyDescent="0.2">
      <c r="G15918" s="7"/>
    </row>
    <row r="15919" spans="7:7" x14ac:dyDescent="0.2">
      <c r="G15919" s="7"/>
    </row>
    <row r="15920" spans="7:7" x14ac:dyDescent="0.2">
      <c r="G15920" s="7"/>
    </row>
    <row r="15921" spans="7:7" x14ac:dyDescent="0.2">
      <c r="G15921" s="7"/>
    </row>
    <row r="15922" spans="7:7" x14ac:dyDescent="0.2">
      <c r="G15922" s="7"/>
    </row>
    <row r="15923" spans="7:7" x14ac:dyDescent="0.2">
      <c r="G15923" s="7"/>
    </row>
    <row r="15924" spans="7:7" x14ac:dyDescent="0.2">
      <c r="G15924" s="7"/>
    </row>
    <row r="15925" spans="7:7" x14ac:dyDescent="0.2">
      <c r="G15925" s="7"/>
    </row>
    <row r="15926" spans="7:7" x14ac:dyDescent="0.2">
      <c r="G15926" s="7"/>
    </row>
    <row r="15927" spans="7:7" x14ac:dyDescent="0.2">
      <c r="G15927" s="7"/>
    </row>
    <row r="15928" spans="7:7" x14ac:dyDescent="0.2">
      <c r="G15928" s="7"/>
    </row>
    <row r="15929" spans="7:7" x14ac:dyDescent="0.2">
      <c r="G15929" s="7"/>
    </row>
    <row r="15930" spans="7:7" x14ac:dyDescent="0.2">
      <c r="G15930" s="7"/>
    </row>
    <row r="15931" spans="7:7" x14ac:dyDescent="0.2">
      <c r="G15931" s="7"/>
    </row>
    <row r="15932" spans="7:7" x14ac:dyDescent="0.2">
      <c r="G15932" s="7"/>
    </row>
    <row r="15933" spans="7:7" x14ac:dyDescent="0.2">
      <c r="G15933" s="7"/>
    </row>
    <row r="15934" spans="7:7" x14ac:dyDescent="0.2">
      <c r="G15934" s="7"/>
    </row>
    <row r="15935" spans="7:7" x14ac:dyDescent="0.2">
      <c r="G15935" s="7"/>
    </row>
    <row r="15936" spans="7:7" x14ac:dyDescent="0.2">
      <c r="G15936" s="7"/>
    </row>
    <row r="15937" spans="7:7" x14ac:dyDescent="0.2">
      <c r="G15937" s="7"/>
    </row>
    <row r="15938" spans="7:7" x14ac:dyDescent="0.2">
      <c r="G15938" s="7"/>
    </row>
    <row r="15939" spans="7:7" x14ac:dyDescent="0.2">
      <c r="G15939" s="7"/>
    </row>
    <row r="15940" spans="7:7" x14ac:dyDescent="0.2">
      <c r="G15940" s="7"/>
    </row>
    <row r="15941" spans="7:7" x14ac:dyDescent="0.2">
      <c r="G15941" s="7"/>
    </row>
    <row r="15942" spans="7:7" x14ac:dyDescent="0.2">
      <c r="G15942" s="7"/>
    </row>
    <row r="15943" spans="7:7" x14ac:dyDescent="0.2">
      <c r="G15943" s="7"/>
    </row>
    <row r="15944" spans="7:7" x14ac:dyDescent="0.2">
      <c r="G15944" s="7"/>
    </row>
    <row r="15945" spans="7:7" x14ac:dyDescent="0.2">
      <c r="G15945" s="7"/>
    </row>
    <row r="15946" spans="7:7" x14ac:dyDescent="0.2">
      <c r="G15946" s="7"/>
    </row>
    <row r="15947" spans="7:7" x14ac:dyDescent="0.2">
      <c r="G15947" s="7"/>
    </row>
    <row r="15948" spans="7:7" x14ac:dyDescent="0.2">
      <c r="G15948" s="7"/>
    </row>
    <row r="15949" spans="7:7" x14ac:dyDescent="0.2">
      <c r="G15949" s="7"/>
    </row>
    <row r="15950" spans="7:7" x14ac:dyDescent="0.2">
      <c r="G15950" s="7"/>
    </row>
    <row r="15951" spans="7:7" x14ac:dyDescent="0.2">
      <c r="G15951" s="7"/>
    </row>
    <row r="15952" spans="7:7" x14ac:dyDescent="0.2">
      <c r="G15952" s="7"/>
    </row>
    <row r="15953" spans="7:7" x14ac:dyDescent="0.2">
      <c r="G15953" s="7"/>
    </row>
    <row r="15954" spans="7:7" x14ac:dyDescent="0.2">
      <c r="G15954" s="7"/>
    </row>
    <row r="15955" spans="7:7" x14ac:dyDescent="0.2">
      <c r="G15955" s="7"/>
    </row>
    <row r="15956" spans="7:7" x14ac:dyDescent="0.2">
      <c r="G15956" s="7"/>
    </row>
    <row r="15957" spans="7:7" x14ac:dyDescent="0.2">
      <c r="G15957" s="7"/>
    </row>
    <row r="15958" spans="7:7" x14ac:dyDescent="0.2">
      <c r="G15958" s="7"/>
    </row>
    <row r="15959" spans="7:7" x14ac:dyDescent="0.2">
      <c r="G15959" s="7"/>
    </row>
    <row r="15960" spans="7:7" x14ac:dyDescent="0.2">
      <c r="G15960" s="7"/>
    </row>
    <row r="15961" spans="7:7" x14ac:dyDescent="0.2">
      <c r="G15961" s="7"/>
    </row>
    <row r="15962" spans="7:7" x14ac:dyDescent="0.2">
      <c r="G15962" s="7"/>
    </row>
    <row r="15963" spans="7:7" x14ac:dyDescent="0.2">
      <c r="G15963" s="7"/>
    </row>
    <row r="15964" spans="7:7" x14ac:dyDescent="0.2">
      <c r="G15964" s="7"/>
    </row>
    <row r="15965" spans="7:7" x14ac:dyDescent="0.2">
      <c r="G15965" s="7"/>
    </row>
    <row r="15966" spans="7:7" x14ac:dyDescent="0.2">
      <c r="G15966" s="7"/>
    </row>
    <row r="15967" spans="7:7" x14ac:dyDescent="0.2">
      <c r="G15967" s="7"/>
    </row>
    <row r="15968" spans="7:7" x14ac:dyDescent="0.2">
      <c r="G15968" s="7"/>
    </row>
    <row r="15969" spans="7:7" x14ac:dyDescent="0.2">
      <c r="G15969" s="7"/>
    </row>
    <row r="15970" spans="7:7" x14ac:dyDescent="0.2">
      <c r="G15970" s="7"/>
    </row>
    <row r="15971" spans="7:7" x14ac:dyDescent="0.2">
      <c r="G15971" s="7"/>
    </row>
    <row r="15972" spans="7:7" x14ac:dyDescent="0.2">
      <c r="G15972" s="7"/>
    </row>
    <row r="15973" spans="7:7" x14ac:dyDescent="0.2">
      <c r="G15973" s="7"/>
    </row>
    <row r="15974" spans="7:7" x14ac:dyDescent="0.2">
      <c r="G15974" s="7"/>
    </row>
    <row r="15975" spans="7:7" x14ac:dyDescent="0.2">
      <c r="G15975" s="7"/>
    </row>
    <row r="15976" spans="7:7" x14ac:dyDescent="0.2">
      <c r="G15976" s="7"/>
    </row>
    <row r="15977" spans="7:7" x14ac:dyDescent="0.2">
      <c r="G15977" s="7"/>
    </row>
    <row r="15978" spans="7:7" x14ac:dyDescent="0.2">
      <c r="G15978" s="7"/>
    </row>
    <row r="15979" spans="7:7" x14ac:dyDescent="0.2">
      <c r="G15979" s="7"/>
    </row>
    <row r="15980" spans="7:7" x14ac:dyDescent="0.2">
      <c r="G15980" s="7"/>
    </row>
    <row r="15981" spans="7:7" x14ac:dyDescent="0.2">
      <c r="G15981" s="7"/>
    </row>
    <row r="15982" spans="7:7" x14ac:dyDescent="0.2">
      <c r="G15982" s="7"/>
    </row>
    <row r="15983" spans="7:7" x14ac:dyDescent="0.2">
      <c r="G15983" s="7"/>
    </row>
    <row r="15984" spans="7:7" x14ac:dyDescent="0.2">
      <c r="G15984" s="7"/>
    </row>
    <row r="15985" spans="7:7" x14ac:dyDescent="0.2">
      <c r="G15985" s="7"/>
    </row>
    <row r="15986" spans="7:7" x14ac:dyDescent="0.2">
      <c r="G15986" s="7"/>
    </row>
    <row r="15987" spans="7:7" x14ac:dyDescent="0.2">
      <c r="G15987" s="7"/>
    </row>
    <row r="15988" spans="7:7" x14ac:dyDescent="0.2">
      <c r="G15988" s="7"/>
    </row>
    <row r="15989" spans="7:7" x14ac:dyDescent="0.2">
      <c r="G15989" s="7"/>
    </row>
    <row r="15990" spans="7:7" x14ac:dyDescent="0.2">
      <c r="G15990" s="7"/>
    </row>
    <row r="15991" spans="7:7" x14ac:dyDescent="0.2">
      <c r="G15991" s="7"/>
    </row>
    <row r="15992" spans="7:7" x14ac:dyDescent="0.2">
      <c r="G15992" s="7"/>
    </row>
    <row r="15993" spans="7:7" x14ac:dyDescent="0.2">
      <c r="G15993" s="7"/>
    </row>
    <row r="15994" spans="7:7" x14ac:dyDescent="0.2">
      <c r="G15994" s="7"/>
    </row>
    <row r="15995" spans="7:7" x14ac:dyDescent="0.2">
      <c r="G15995" s="7"/>
    </row>
    <row r="15996" spans="7:7" x14ac:dyDescent="0.2">
      <c r="G15996" s="7"/>
    </row>
    <row r="15997" spans="7:7" x14ac:dyDescent="0.2">
      <c r="G15997" s="7"/>
    </row>
    <row r="15998" spans="7:7" x14ac:dyDescent="0.2">
      <c r="G15998" s="7"/>
    </row>
    <row r="15999" spans="7:7" x14ac:dyDescent="0.2">
      <c r="G15999" s="7"/>
    </row>
    <row r="16000" spans="7:7" x14ac:dyDescent="0.2">
      <c r="G16000" s="7"/>
    </row>
    <row r="16001" spans="7:7" x14ac:dyDescent="0.2">
      <c r="G16001" s="7"/>
    </row>
    <row r="16002" spans="7:7" x14ac:dyDescent="0.2">
      <c r="G16002" s="7"/>
    </row>
    <row r="16003" spans="7:7" x14ac:dyDescent="0.2">
      <c r="G16003" s="7"/>
    </row>
    <row r="16004" spans="7:7" x14ac:dyDescent="0.2">
      <c r="G16004" s="7"/>
    </row>
    <row r="16005" spans="7:7" x14ac:dyDescent="0.2">
      <c r="G16005" s="7"/>
    </row>
    <row r="16006" spans="7:7" x14ac:dyDescent="0.2">
      <c r="G16006" s="7"/>
    </row>
    <row r="16007" spans="7:7" x14ac:dyDescent="0.2">
      <c r="G16007" s="7"/>
    </row>
    <row r="16008" spans="7:7" x14ac:dyDescent="0.2">
      <c r="G16008" s="7"/>
    </row>
    <row r="16009" spans="7:7" x14ac:dyDescent="0.2">
      <c r="G16009" s="7"/>
    </row>
    <row r="16010" spans="7:7" x14ac:dyDescent="0.2">
      <c r="G16010" s="7"/>
    </row>
    <row r="16011" spans="7:7" x14ac:dyDescent="0.2">
      <c r="G16011" s="7"/>
    </row>
    <row r="16012" spans="7:7" x14ac:dyDescent="0.2">
      <c r="G16012" s="7"/>
    </row>
    <row r="16013" spans="7:7" x14ac:dyDescent="0.2">
      <c r="G16013" s="7"/>
    </row>
    <row r="16014" spans="7:7" x14ac:dyDescent="0.2">
      <c r="G16014" s="7"/>
    </row>
    <row r="16015" spans="7:7" x14ac:dyDescent="0.2">
      <c r="G16015" s="7"/>
    </row>
    <row r="16016" spans="7:7" x14ac:dyDescent="0.2">
      <c r="G16016" s="7"/>
    </row>
    <row r="16017" spans="7:7" x14ac:dyDescent="0.2">
      <c r="G16017" s="7"/>
    </row>
    <row r="16018" spans="7:7" x14ac:dyDescent="0.2">
      <c r="G16018" s="7"/>
    </row>
    <row r="16019" spans="7:7" x14ac:dyDescent="0.2">
      <c r="G16019" s="7"/>
    </row>
    <row r="16020" spans="7:7" x14ac:dyDescent="0.2">
      <c r="G16020" s="7"/>
    </row>
    <row r="16021" spans="7:7" x14ac:dyDescent="0.2">
      <c r="G16021" s="7"/>
    </row>
    <row r="16022" spans="7:7" x14ac:dyDescent="0.2">
      <c r="G16022" s="7"/>
    </row>
    <row r="16023" spans="7:7" x14ac:dyDescent="0.2">
      <c r="G16023" s="7"/>
    </row>
    <row r="16024" spans="7:7" x14ac:dyDescent="0.2">
      <c r="G16024" s="7"/>
    </row>
    <row r="16025" spans="7:7" x14ac:dyDescent="0.2">
      <c r="G16025" s="7"/>
    </row>
    <row r="16026" spans="7:7" x14ac:dyDescent="0.2">
      <c r="G16026" s="7"/>
    </row>
    <row r="16027" spans="7:7" x14ac:dyDescent="0.2">
      <c r="G16027" s="7"/>
    </row>
    <row r="16028" spans="7:7" x14ac:dyDescent="0.2">
      <c r="G16028" s="7"/>
    </row>
    <row r="16029" spans="7:7" x14ac:dyDescent="0.2">
      <c r="G16029" s="7"/>
    </row>
    <row r="16030" spans="7:7" x14ac:dyDescent="0.2">
      <c r="G16030" s="7"/>
    </row>
    <row r="16031" spans="7:7" x14ac:dyDescent="0.2">
      <c r="G16031" s="7"/>
    </row>
    <row r="16032" spans="7:7" x14ac:dyDescent="0.2">
      <c r="G16032" s="7"/>
    </row>
    <row r="16033" spans="7:7" x14ac:dyDescent="0.2">
      <c r="G16033" s="7"/>
    </row>
    <row r="16034" spans="7:7" x14ac:dyDescent="0.2">
      <c r="G16034" s="7"/>
    </row>
    <row r="16035" spans="7:7" x14ac:dyDescent="0.2">
      <c r="G16035" s="7"/>
    </row>
    <row r="16036" spans="7:7" x14ac:dyDescent="0.2">
      <c r="G16036" s="7"/>
    </row>
    <row r="16037" spans="7:7" x14ac:dyDescent="0.2">
      <c r="G16037" s="7"/>
    </row>
    <row r="16038" spans="7:7" x14ac:dyDescent="0.2">
      <c r="G16038" s="7"/>
    </row>
    <row r="16039" spans="7:7" x14ac:dyDescent="0.2">
      <c r="G16039" s="7"/>
    </row>
    <row r="16040" spans="7:7" x14ac:dyDescent="0.2">
      <c r="G16040" s="7"/>
    </row>
    <row r="16041" spans="7:7" x14ac:dyDescent="0.2">
      <c r="G16041" s="7"/>
    </row>
    <row r="16042" spans="7:7" x14ac:dyDescent="0.2">
      <c r="G16042" s="7"/>
    </row>
    <row r="16043" spans="7:7" x14ac:dyDescent="0.2">
      <c r="G16043" s="7"/>
    </row>
    <row r="16044" spans="7:7" x14ac:dyDescent="0.2">
      <c r="G16044" s="7"/>
    </row>
    <row r="16045" spans="7:7" x14ac:dyDescent="0.2">
      <c r="G16045" s="7"/>
    </row>
    <row r="16046" spans="7:7" x14ac:dyDescent="0.2">
      <c r="G16046" s="7"/>
    </row>
    <row r="16047" spans="7:7" x14ac:dyDescent="0.2">
      <c r="G16047" s="7"/>
    </row>
    <row r="16048" spans="7:7" x14ac:dyDescent="0.2">
      <c r="G16048" s="7"/>
    </row>
    <row r="16049" spans="7:7" x14ac:dyDescent="0.2">
      <c r="G16049" s="7"/>
    </row>
    <row r="16050" spans="7:7" x14ac:dyDescent="0.2">
      <c r="G16050" s="7"/>
    </row>
    <row r="16051" spans="7:7" x14ac:dyDescent="0.2">
      <c r="G16051" s="7"/>
    </row>
    <row r="16052" spans="7:7" x14ac:dyDescent="0.2">
      <c r="G16052" s="7"/>
    </row>
    <row r="16053" spans="7:7" x14ac:dyDescent="0.2">
      <c r="G16053" s="7"/>
    </row>
    <row r="16054" spans="7:7" x14ac:dyDescent="0.2">
      <c r="G16054" s="7"/>
    </row>
    <row r="16055" spans="7:7" x14ac:dyDescent="0.2">
      <c r="G16055" s="7"/>
    </row>
    <row r="16056" spans="7:7" x14ac:dyDescent="0.2">
      <c r="G16056" s="7"/>
    </row>
    <row r="16057" spans="7:7" x14ac:dyDescent="0.2">
      <c r="G16057" s="7"/>
    </row>
    <row r="16058" spans="7:7" x14ac:dyDescent="0.2">
      <c r="G16058" s="7"/>
    </row>
    <row r="16059" spans="7:7" x14ac:dyDescent="0.2">
      <c r="G16059" s="7"/>
    </row>
    <row r="16060" spans="7:7" x14ac:dyDescent="0.2">
      <c r="G16060" s="7"/>
    </row>
    <row r="16061" spans="7:7" x14ac:dyDescent="0.2">
      <c r="G16061" s="7"/>
    </row>
    <row r="16062" spans="7:7" x14ac:dyDescent="0.2">
      <c r="G16062" s="7"/>
    </row>
    <row r="16063" spans="7:7" x14ac:dyDescent="0.2">
      <c r="G16063" s="7"/>
    </row>
    <row r="16064" spans="7:7" x14ac:dyDescent="0.2">
      <c r="G16064" s="7"/>
    </row>
    <row r="16065" spans="7:7" x14ac:dyDescent="0.2">
      <c r="G16065" s="7"/>
    </row>
    <row r="16066" spans="7:7" x14ac:dyDescent="0.2">
      <c r="G16066" s="7"/>
    </row>
    <row r="16067" spans="7:7" x14ac:dyDescent="0.2">
      <c r="G16067" s="7"/>
    </row>
    <row r="16068" spans="7:7" x14ac:dyDescent="0.2">
      <c r="G16068" s="7"/>
    </row>
    <row r="16069" spans="7:7" x14ac:dyDescent="0.2">
      <c r="G16069" s="7"/>
    </row>
    <row r="16070" spans="7:7" x14ac:dyDescent="0.2">
      <c r="G16070" s="7"/>
    </row>
    <row r="16071" spans="7:7" x14ac:dyDescent="0.2">
      <c r="G16071" s="7"/>
    </row>
    <row r="16072" spans="7:7" x14ac:dyDescent="0.2">
      <c r="G16072" s="7"/>
    </row>
    <row r="16073" spans="7:7" x14ac:dyDescent="0.2">
      <c r="G16073" s="7"/>
    </row>
    <row r="16074" spans="7:7" x14ac:dyDescent="0.2">
      <c r="G16074" s="7"/>
    </row>
    <row r="16075" spans="7:7" x14ac:dyDescent="0.2">
      <c r="G16075" s="7"/>
    </row>
    <row r="16076" spans="7:7" x14ac:dyDescent="0.2">
      <c r="G16076" s="7"/>
    </row>
    <row r="16077" spans="7:7" x14ac:dyDescent="0.2">
      <c r="G16077" s="7"/>
    </row>
    <row r="16078" spans="7:7" x14ac:dyDescent="0.2">
      <c r="G16078" s="7"/>
    </row>
    <row r="16079" spans="7:7" x14ac:dyDescent="0.2">
      <c r="G16079" s="7"/>
    </row>
    <row r="16080" spans="7:7" x14ac:dyDescent="0.2">
      <c r="G16080" s="7"/>
    </row>
    <row r="16081" spans="7:7" x14ac:dyDescent="0.2">
      <c r="G16081" s="7"/>
    </row>
    <row r="16082" spans="7:7" x14ac:dyDescent="0.2">
      <c r="G16082" s="7"/>
    </row>
    <row r="16083" spans="7:7" x14ac:dyDescent="0.2">
      <c r="G16083" s="7"/>
    </row>
    <row r="16084" spans="7:7" x14ac:dyDescent="0.2">
      <c r="G16084" s="7"/>
    </row>
    <row r="16085" spans="7:7" x14ac:dyDescent="0.2">
      <c r="G16085" s="7"/>
    </row>
    <row r="16086" spans="7:7" x14ac:dyDescent="0.2">
      <c r="G16086" s="7"/>
    </row>
    <row r="16087" spans="7:7" x14ac:dyDescent="0.2">
      <c r="G16087" s="7"/>
    </row>
    <row r="16088" spans="7:7" x14ac:dyDescent="0.2">
      <c r="G16088" s="7"/>
    </row>
    <row r="16089" spans="7:7" x14ac:dyDescent="0.2">
      <c r="G16089" s="7"/>
    </row>
    <row r="16090" spans="7:7" x14ac:dyDescent="0.2">
      <c r="G16090" s="7"/>
    </row>
    <row r="16091" spans="7:7" x14ac:dyDescent="0.2">
      <c r="G16091" s="7"/>
    </row>
    <row r="16092" spans="7:7" x14ac:dyDescent="0.2">
      <c r="G16092" s="7"/>
    </row>
    <row r="16093" spans="7:7" x14ac:dyDescent="0.2">
      <c r="G16093" s="7"/>
    </row>
    <row r="16094" spans="7:7" x14ac:dyDescent="0.2">
      <c r="G16094" s="7"/>
    </row>
    <row r="16095" spans="7:7" x14ac:dyDescent="0.2">
      <c r="G16095" s="7"/>
    </row>
    <row r="16096" spans="7:7" x14ac:dyDescent="0.2">
      <c r="G16096" s="7"/>
    </row>
    <row r="16097" spans="7:7" x14ac:dyDescent="0.2">
      <c r="G16097" s="7"/>
    </row>
    <row r="16098" spans="7:7" x14ac:dyDescent="0.2">
      <c r="G16098" s="7"/>
    </row>
    <row r="16099" spans="7:7" x14ac:dyDescent="0.2">
      <c r="G16099" s="7"/>
    </row>
    <row r="16100" spans="7:7" x14ac:dyDescent="0.2">
      <c r="G16100" s="7"/>
    </row>
    <row r="16101" spans="7:7" x14ac:dyDescent="0.2">
      <c r="G16101" s="7"/>
    </row>
    <row r="16102" spans="7:7" x14ac:dyDescent="0.2">
      <c r="G16102" s="7"/>
    </row>
    <row r="16103" spans="7:7" x14ac:dyDescent="0.2">
      <c r="G16103" s="7"/>
    </row>
    <row r="16104" spans="7:7" x14ac:dyDescent="0.2">
      <c r="G16104" s="7"/>
    </row>
    <row r="16105" spans="7:7" x14ac:dyDescent="0.2">
      <c r="G16105" s="7"/>
    </row>
    <row r="16106" spans="7:7" x14ac:dyDescent="0.2">
      <c r="G16106" s="7"/>
    </row>
    <row r="16107" spans="7:7" x14ac:dyDescent="0.2">
      <c r="G16107" s="7"/>
    </row>
    <row r="16108" spans="7:7" x14ac:dyDescent="0.2">
      <c r="G16108" s="7"/>
    </row>
    <row r="16109" spans="7:7" x14ac:dyDescent="0.2">
      <c r="G16109" s="7"/>
    </row>
    <row r="16110" spans="7:7" x14ac:dyDescent="0.2">
      <c r="G16110" s="7"/>
    </row>
    <row r="16111" spans="7:7" x14ac:dyDescent="0.2">
      <c r="G16111" s="7"/>
    </row>
    <row r="16112" spans="7:7" x14ac:dyDescent="0.2">
      <c r="G16112" s="7"/>
    </row>
    <row r="16113" spans="7:7" x14ac:dyDescent="0.2">
      <c r="G16113" s="7"/>
    </row>
    <row r="16114" spans="7:7" x14ac:dyDescent="0.2">
      <c r="G16114" s="7"/>
    </row>
    <row r="16115" spans="7:7" x14ac:dyDescent="0.2">
      <c r="G16115" s="7"/>
    </row>
    <row r="16116" spans="7:7" x14ac:dyDescent="0.2">
      <c r="G16116" s="7"/>
    </row>
    <row r="16117" spans="7:7" x14ac:dyDescent="0.2">
      <c r="G16117" s="7"/>
    </row>
    <row r="16118" spans="7:7" x14ac:dyDescent="0.2">
      <c r="G16118" s="7"/>
    </row>
    <row r="16119" spans="7:7" x14ac:dyDescent="0.2">
      <c r="G16119" s="7"/>
    </row>
    <row r="16120" spans="7:7" x14ac:dyDescent="0.2">
      <c r="G16120" s="7"/>
    </row>
    <row r="16121" spans="7:7" x14ac:dyDescent="0.2">
      <c r="G16121" s="7"/>
    </row>
    <row r="16122" spans="7:7" x14ac:dyDescent="0.2">
      <c r="G16122" s="7"/>
    </row>
    <row r="16123" spans="7:7" x14ac:dyDescent="0.2">
      <c r="G16123" s="7"/>
    </row>
    <row r="16124" spans="7:7" x14ac:dyDescent="0.2">
      <c r="G16124" s="7"/>
    </row>
    <row r="16125" spans="7:7" x14ac:dyDescent="0.2">
      <c r="G16125" s="7"/>
    </row>
    <row r="16126" spans="7:7" x14ac:dyDescent="0.2">
      <c r="G16126" s="7"/>
    </row>
    <row r="16127" spans="7:7" x14ac:dyDescent="0.2">
      <c r="G16127" s="7"/>
    </row>
    <row r="16128" spans="7:7" x14ac:dyDescent="0.2">
      <c r="G16128" s="7"/>
    </row>
    <row r="16129" spans="7:7" x14ac:dyDescent="0.2">
      <c r="G16129" s="7"/>
    </row>
    <row r="16130" spans="7:7" x14ac:dyDescent="0.2">
      <c r="G16130" s="7"/>
    </row>
    <row r="16131" spans="7:7" x14ac:dyDescent="0.2">
      <c r="G16131" s="7"/>
    </row>
    <row r="16132" spans="7:7" x14ac:dyDescent="0.2">
      <c r="G16132" s="7"/>
    </row>
    <row r="16133" spans="7:7" x14ac:dyDescent="0.2">
      <c r="G16133" s="7"/>
    </row>
    <row r="16134" spans="7:7" x14ac:dyDescent="0.2">
      <c r="G16134" s="7"/>
    </row>
    <row r="16135" spans="7:7" x14ac:dyDescent="0.2">
      <c r="G16135" s="7"/>
    </row>
    <row r="16136" spans="7:7" x14ac:dyDescent="0.2">
      <c r="G16136" s="7"/>
    </row>
    <row r="16137" spans="7:7" x14ac:dyDescent="0.2">
      <c r="G16137" s="7"/>
    </row>
    <row r="16138" spans="7:7" x14ac:dyDescent="0.2">
      <c r="G16138" s="7"/>
    </row>
    <row r="16139" spans="7:7" x14ac:dyDescent="0.2">
      <c r="G16139" s="7"/>
    </row>
    <row r="16140" spans="7:7" x14ac:dyDescent="0.2">
      <c r="G16140" s="7"/>
    </row>
    <row r="16141" spans="7:7" x14ac:dyDescent="0.2">
      <c r="G16141" s="7"/>
    </row>
    <row r="16142" spans="7:7" x14ac:dyDescent="0.2">
      <c r="G16142" s="7"/>
    </row>
    <row r="16143" spans="7:7" x14ac:dyDescent="0.2">
      <c r="G16143" s="7"/>
    </row>
    <row r="16144" spans="7:7" x14ac:dyDescent="0.2">
      <c r="G16144" s="7"/>
    </row>
    <row r="16145" spans="7:7" x14ac:dyDescent="0.2">
      <c r="G16145" s="7"/>
    </row>
    <row r="16146" spans="7:7" x14ac:dyDescent="0.2">
      <c r="G16146" s="7"/>
    </row>
    <row r="16147" spans="7:7" x14ac:dyDescent="0.2">
      <c r="G16147" s="7"/>
    </row>
    <row r="16148" spans="7:7" x14ac:dyDescent="0.2">
      <c r="G16148" s="7"/>
    </row>
    <row r="16149" spans="7:7" x14ac:dyDescent="0.2">
      <c r="G16149" s="7"/>
    </row>
    <row r="16150" spans="7:7" x14ac:dyDescent="0.2">
      <c r="G16150" s="7"/>
    </row>
    <row r="16151" spans="7:7" x14ac:dyDescent="0.2">
      <c r="G16151" s="7"/>
    </row>
    <row r="16152" spans="7:7" x14ac:dyDescent="0.2">
      <c r="G16152" s="7"/>
    </row>
    <row r="16153" spans="7:7" x14ac:dyDescent="0.2">
      <c r="G16153" s="7"/>
    </row>
    <row r="16154" spans="7:7" x14ac:dyDescent="0.2">
      <c r="G16154" s="7"/>
    </row>
    <row r="16155" spans="7:7" x14ac:dyDescent="0.2">
      <c r="G16155" s="7"/>
    </row>
    <row r="16156" spans="7:7" x14ac:dyDescent="0.2">
      <c r="G16156" s="7"/>
    </row>
    <row r="16157" spans="7:7" x14ac:dyDescent="0.2">
      <c r="G16157" s="7"/>
    </row>
    <row r="16158" spans="7:7" x14ac:dyDescent="0.2">
      <c r="G16158" s="7"/>
    </row>
    <row r="16159" spans="7:7" x14ac:dyDescent="0.2">
      <c r="G16159" s="7"/>
    </row>
    <row r="16160" spans="7:7" x14ac:dyDescent="0.2">
      <c r="G16160" s="7"/>
    </row>
    <row r="16161" spans="7:7" x14ac:dyDescent="0.2">
      <c r="G16161" s="7"/>
    </row>
    <row r="16162" spans="7:7" x14ac:dyDescent="0.2">
      <c r="G16162" s="7"/>
    </row>
    <row r="16163" spans="7:7" x14ac:dyDescent="0.2">
      <c r="G16163" s="7"/>
    </row>
    <row r="16164" spans="7:7" x14ac:dyDescent="0.2">
      <c r="G16164" s="7"/>
    </row>
    <row r="16165" spans="7:7" x14ac:dyDescent="0.2">
      <c r="G16165" s="7"/>
    </row>
    <row r="16166" spans="7:7" x14ac:dyDescent="0.2">
      <c r="G16166" s="7"/>
    </row>
    <row r="16167" spans="7:7" x14ac:dyDescent="0.2">
      <c r="G16167" s="7"/>
    </row>
    <row r="16168" spans="7:7" x14ac:dyDescent="0.2">
      <c r="G16168" s="7"/>
    </row>
    <row r="16169" spans="7:7" x14ac:dyDescent="0.2">
      <c r="G16169" s="7"/>
    </row>
    <row r="16170" spans="7:7" x14ac:dyDescent="0.2">
      <c r="G16170" s="7"/>
    </row>
    <row r="16171" spans="7:7" x14ac:dyDescent="0.2">
      <c r="G16171" s="7"/>
    </row>
    <row r="16172" spans="7:7" x14ac:dyDescent="0.2">
      <c r="G16172" s="7"/>
    </row>
    <row r="16173" spans="7:7" x14ac:dyDescent="0.2">
      <c r="G16173" s="7"/>
    </row>
    <row r="16174" spans="7:7" x14ac:dyDescent="0.2">
      <c r="G16174" s="7"/>
    </row>
    <row r="16175" spans="7:7" x14ac:dyDescent="0.2">
      <c r="G16175" s="7"/>
    </row>
    <row r="16176" spans="7:7" x14ac:dyDescent="0.2">
      <c r="G16176" s="7"/>
    </row>
    <row r="16177" spans="7:7" x14ac:dyDescent="0.2">
      <c r="G16177" s="7"/>
    </row>
    <row r="16178" spans="7:7" x14ac:dyDescent="0.2">
      <c r="G16178" s="7"/>
    </row>
    <row r="16179" spans="7:7" x14ac:dyDescent="0.2">
      <c r="G16179" s="7"/>
    </row>
    <row r="16180" spans="7:7" x14ac:dyDescent="0.2">
      <c r="G16180" s="7"/>
    </row>
    <row r="16181" spans="7:7" x14ac:dyDescent="0.2">
      <c r="G16181" s="7"/>
    </row>
    <row r="16182" spans="7:7" x14ac:dyDescent="0.2">
      <c r="G16182" s="7"/>
    </row>
    <row r="16183" spans="7:7" x14ac:dyDescent="0.2">
      <c r="G16183" s="7"/>
    </row>
    <row r="16184" spans="7:7" x14ac:dyDescent="0.2">
      <c r="G16184" s="7"/>
    </row>
    <row r="16185" spans="7:7" x14ac:dyDescent="0.2">
      <c r="G16185" s="7"/>
    </row>
    <row r="16186" spans="7:7" x14ac:dyDescent="0.2">
      <c r="G16186" s="7"/>
    </row>
    <row r="16187" spans="7:7" x14ac:dyDescent="0.2">
      <c r="G16187" s="7"/>
    </row>
    <row r="16188" spans="7:7" x14ac:dyDescent="0.2">
      <c r="G16188" s="7"/>
    </row>
    <row r="16189" spans="7:7" x14ac:dyDescent="0.2">
      <c r="G16189" s="7"/>
    </row>
    <row r="16190" spans="7:7" x14ac:dyDescent="0.2">
      <c r="G16190" s="7"/>
    </row>
    <row r="16191" spans="7:7" x14ac:dyDescent="0.2">
      <c r="G16191" s="7"/>
    </row>
    <row r="16192" spans="7:7" x14ac:dyDescent="0.2">
      <c r="G16192" s="7"/>
    </row>
    <row r="16193" spans="7:7" x14ac:dyDescent="0.2">
      <c r="G16193" s="7"/>
    </row>
    <row r="16194" spans="7:7" x14ac:dyDescent="0.2">
      <c r="G16194" s="7"/>
    </row>
    <row r="16195" spans="7:7" x14ac:dyDescent="0.2">
      <c r="G16195" s="7"/>
    </row>
    <row r="16196" spans="7:7" x14ac:dyDescent="0.2">
      <c r="G16196" s="7"/>
    </row>
    <row r="16197" spans="7:7" x14ac:dyDescent="0.2">
      <c r="G16197" s="7"/>
    </row>
    <row r="16198" spans="7:7" x14ac:dyDescent="0.2">
      <c r="G16198" s="7"/>
    </row>
    <row r="16199" spans="7:7" x14ac:dyDescent="0.2">
      <c r="G16199" s="7"/>
    </row>
    <row r="16200" spans="7:7" x14ac:dyDescent="0.2">
      <c r="G16200" s="7"/>
    </row>
    <row r="16201" spans="7:7" x14ac:dyDescent="0.2">
      <c r="G16201" s="7"/>
    </row>
    <row r="16202" spans="7:7" x14ac:dyDescent="0.2">
      <c r="G16202" s="7"/>
    </row>
    <row r="16203" spans="7:7" x14ac:dyDescent="0.2">
      <c r="G16203" s="7"/>
    </row>
    <row r="16204" spans="7:7" x14ac:dyDescent="0.2">
      <c r="G16204" s="7"/>
    </row>
    <row r="16205" spans="7:7" x14ac:dyDescent="0.2">
      <c r="G16205" s="7"/>
    </row>
    <row r="16206" spans="7:7" x14ac:dyDescent="0.2">
      <c r="G16206" s="7"/>
    </row>
    <row r="16207" spans="7:7" x14ac:dyDescent="0.2">
      <c r="G16207" s="7"/>
    </row>
    <row r="16208" spans="7:7" x14ac:dyDescent="0.2">
      <c r="G16208" s="7"/>
    </row>
    <row r="16209" spans="7:7" x14ac:dyDescent="0.2">
      <c r="G16209" s="7"/>
    </row>
    <row r="16210" spans="7:7" x14ac:dyDescent="0.2">
      <c r="G16210" s="7"/>
    </row>
    <row r="16211" spans="7:7" x14ac:dyDescent="0.2">
      <c r="G16211" s="7"/>
    </row>
    <row r="16212" spans="7:7" x14ac:dyDescent="0.2">
      <c r="G16212" s="7"/>
    </row>
    <row r="16213" spans="7:7" x14ac:dyDescent="0.2">
      <c r="G16213" s="7"/>
    </row>
    <row r="16214" spans="7:7" x14ac:dyDescent="0.2">
      <c r="G16214" s="7"/>
    </row>
    <row r="16215" spans="7:7" x14ac:dyDescent="0.2">
      <c r="G16215" s="7"/>
    </row>
    <row r="16216" spans="7:7" x14ac:dyDescent="0.2">
      <c r="G16216" s="7"/>
    </row>
    <row r="16217" spans="7:7" x14ac:dyDescent="0.2">
      <c r="G16217" s="7"/>
    </row>
    <row r="16218" spans="7:7" x14ac:dyDescent="0.2">
      <c r="G16218" s="7"/>
    </row>
    <row r="16219" spans="7:7" x14ac:dyDescent="0.2">
      <c r="G16219" s="7"/>
    </row>
    <row r="16220" spans="7:7" x14ac:dyDescent="0.2">
      <c r="G16220" s="7"/>
    </row>
    <row r="16221" spans="7:7" x14ac:dyDescent="0.2">
      <c r="G16221" s="7"/>
    </row>
    <row r="16222" spans="7:7" x14ac:dyDescent="0.2">
      <c r="G16222" s="7"/>
    </row>
    <row r="16223" spans="7:7" x14ac:dyDescent="0.2">
      <c r="G16223" s="7"/>
    </row>
    <row r="16224" spans="7:7" x14ac:dyDescent="0.2">
      <c r="G16224" s="7"/>
    </row>
    <row r="16225" spans="7:7" x14ac:dyDescent="0.2">
      <c r="G16225" s="7"/>
    </row>
    <row r="16226" spans="7:7" x14ac:dyDescent="0.2">
      <c r="G16226" s="7"/>
    </row>
    <row r="16227" spans="7:7" x14ac:dyDescent="0.2">
      <c r="G16227" s="7"/>
    </row>
    <row r="16228" spans="7:7" x14ac:dyDescent="0.2">
      <c r="G16228" s="7"/>
    </row>
    <row r="16229" spans="7:7" x14ac:dyDescent="0.2">
      <c r="G16229" s="7"/>
    </row>
    <row r="16230" spans="7:7" x14ac:dyDescent="0.2">
      <c r="G16230" s="7"/>
    </row>
    <row r="16231" spans="7:7" x14ac:dyDescent="0.2">
      <c r="G16231" s="7"/>
    </row>
    <row r="16232" spans="7:7" x14ac:dyDescent="0.2">
      <c r="G16232" s="7"/>
    </row>
    <row r="16233" spans="7:7" x14ac:dyDescent="0.2">
      <c r="G16233" s="7"/>
    </row>
    <row r="16234" spans="7:7" x14ac:dyDescent="0.2">
      <c r="G16234" s="7"/>
    </row>
    <row r="16235" spans="7:7" x14ac:dyDescent="0.2">
      <c r="G16235" s="7"/>
    </row>
    <row r="16236" spans="7:7" x14ac:dyDescent="0.2">
      <c r="G16236" s="7"/>
    </row>
    <row r="16237" spans="7:7" x14ac:dyDescent="0.2">
      <c r="G16237" s="7"/>
    </row>
    <row r="16238" spans="7:7" x14ac:dyDescent="0.2">
      <c r="G16238" s="7"/>
    </row>
    <row r="16239" spans="7:7" x14ac:dyDescent="0.2">
      <c r="G16239" s="7"/>
    </row>
    <row r="16240" spans="7:7" x14ac:dyDescent="0.2">
      <c r="G16240" s="7"/>
    </row>
    <row r="16241" spans="7:7" x14ac:dyDescent="0.2">
      <c r="G16241" s="7"/>
    </row>
    <row r="16242" spans="7:7" x14ac:dyDescent="0.2">
      <c r="G16242" s="7"/>
    </row>
    <row r="16243" spans="7:7" x14ac:dyDescent="0.2">
      <c r="G16243" s="7"/>
    </row>
    <row r="16244" spans="7:7" x14ac:dyDescent="0.2">
      <c r="G16244" s="7"/>
    </row>
    <row r="16245" spans="7:7" x14ac:dyDescent="0.2">
      <c r="G16245" s="7"/>
    </row>
    <row r="16246" spans="7:7" x14ac:dyDescent="0.2">
      <c r="G16246" s="7"/>
    </row>
    <row r="16247" spans="7:7" x14ac:dyDescent="0.2">
      <c r="G16247" s="7"/>
    </row>
    <row r="16248" spans="7:7" x14ac:dyDescent="0.2">
      <c r="G16248" s="7"/>
    </row>
    <row r="16249" spans="7:7" x14ac:dyDescent="0.2">
      <c r="G16249" s="7"/>
    </row>
    <row r="16250" spans="7:7" x14ac:dyDescent="0.2">
      <c r="G16250" s="7"/>
    </row>
    <row r="16251" spans="7:7" x14ac:dyDescent="0.2">
      <c r="G16251" s="7"/>
    </row>
    <row r="16252" spans="7:7" x14ac:dyDescent="0.2">
      <c r="G16252" s="7"/>
    </row>
    <row r="16253" spans="7:7" x14ac:dyDescent="0.2">
      <c r="G16253" s="7"/>
    </row>
    <row r="16254" spans="7:7" x14ac:dyDescent="0.2">
      <c r="G16254" s="7"/>
    </row>
    <row r="16255" spans="7:7" x14ac:dyDescent="0.2">
      <c r="G16255" s="7"/>
    </row>
    <row r="16256" spans="7:7" x14ac:dyDescent="0.2">
      <c r="G16256" s="7"/>
    </row>
    <row r="16257" spans="7:7" x14ac:dyDescent="0.2">
      <c r="G16257" s="7"/>
    </row>
    <row r="16258" spans="7:7" x14ac:dyDescent="0.2">
      <c r="G16258" s="7"/>
    </row>
    <row r="16259" spans="7:7" x14ac:dyDescent="0.2">
      <c r="G16259" s="7"/>
    </row>
    <row r="16260" spans="7:7" x14ac:dyDescent="0.2">
      <c r="G16260" s="7"/>
    </row>
    <row r="16261" spans="7:7" x14ac:dyDescent="0.2">
      <c r="G16261" s="7"/>
    </row>
    <row r="16262" spans="7:7" x14ac:dyDescent="0.2">
      <c r="G16262" s="7"/>
    </row>
    <row r="16263" spans="7:7" x14ac:dyDescent="0.2">
      <c r="G16263" s="7"/>
    </row>
    <row r="16264" spans="7:7" x14ac:dyDescent="0.2">
      <c r="G16264" s="7"/>
    </row>
    <row r="16265" spans="7:7" x14ac:dyDescent="0.2">
      <c r="G16265" s="7"/>
    </row>
    <row r="16266" spans="7:7" x14ac:dyDescent="0.2">
      <c r="G16266" s="7"/>
    </row>
    <row r="16267" spans="7:7" x14ac:dyDescent="0.2">
      <c r="G16267" s="7"/>
    </row>
    <row r="16268" spans="7:7" x14ac:dyDescent="0.2">
      <c r="G16268" s="7"/>
    </row>
    <row r="16269" spans="7:7" x14ac:dyDescent="0.2">
      <c r="G16269" s="7"/>
    </row>
    <row r="16270" spans="7:7" x14ac:dyDescent="0.2">
      <c r="G16270" s="7"/>
    </row>
    <row r="16271" spans="7:7" x14ac:dyDescent="0.2">
      <c r="G16271" s="7"/>
    </row>
    <row r="16272" spans="7:7" x14ac:dyDescent="0.2">
      <c r="G16272" s="7"/>
    </row>
    <row r="16273" spans="7:7" x14ac:dyDescent="0.2">
      <c r="G16273" s="7"/>
    </row>
    <row r="16274" spans="7:7" x14ac:dyDescent="0.2">
      <c r="G16274" s="7"/>
    </row>
    <row r="16275" spans="7:7" x14ac:dyDescent="0.2">
      <c r="G16275" s="7"/>
    </row>
    <row r="16276" spans="7:7" x14ac:dyDescent="0.2">
      <c r="G16276" s="7"/>
    </row>
    <row r="16277" spans="7:7" x14ac:dyDescent="0.2">
      <c r="G16277" s="7"/>
    </row>
    <row r="16278" spans="7:7" x14ac:dyDescent="0.2">
      <c r="G16278" s="7"/>
    </row>
    <row r="16279" spans="7:7" x14ac:dyDescent="0.2">
      <c r="G16279" s="7"/>
    </row>
    <row r="16280" spans="7:7" x14ac:dyDescent="0.2">
      <c r="G16280" s="7"/>
    </row>
    <row r="16281" spans="7:7" x14ac:dyDescent="0.2">
      <c r="G16281" s="7"/>
    </row>
    <row r="16282" spans="7:7" x14ac:dyDescent="0.2">
      <c r="G16282" s="7"/>
    </row>
    <row r="16283" spans="7:7" x14ac:dyDescent="0.2">
      <c r="G16283" s="7"/>
    </row>
    <row r="16284" spans="7:7" x14ac:dyDescent="0.2">
      <c r="G16284" s="7"/>
    </row>
    <row r="16285" spans="7:7" x14ac:dyDescent="0.2">
      <c r="G16285" s="7"/>
    </row>
    <row r="16286" spans="7:7" x14ac:dyDescent="0.2">
      <c r="G16286" s="7"/>
    </row>
    <row r="16287" spans="7:7" x14ac:dyDescent="0.2">
      <c r="G16287" s="7"/>
    </row>
    <row r="16288" spans="7:7" x14ac:dyDescent="0.2">
      <c r="G16288" s="7"/>
    </row>
    <row r="16289" spans="7:7" x14ac:dyDescent="0.2">
      <c r="G16289" s="7"/>
    </row>
    <row r="16290" spans="7:7" x14ac:dyDescent="0.2">
      <c r="G16290" s="7"/>
    </row>
    <row r="16291" spans="7:7" x14ac:dyDescent="0.2">
      <c r="G16291" s="7"/>
    </row>
    <row r="16292" spans="7:7" x14ac:dyDescent="0.2">
      <c r="G16292" s="7"/>
    </row>
    <row r="16293" spans="7:7" x14ac:dyDescent="0.2">
      <c r="G16293" s="7"/>
    </row>
    <row r="16294" spans="7:7" x14ac:dyDescent="0.2">
      <c r="G16294" s="7"/>
    </row>
    <row r="16295" spans="7:7" x14ac:dyDescent="0.2">
      <c r="G16295" s="7"/>
    </row>
    <row r="16296" spans="7:7" x14ac:dyDescent="0.2">
      <c r="G16296" s="7"/>
    </row>
    <row r="16297" spans="7:7" x14ac:dyDescent="0.2">
      <c r="G16297" s="7"/>
    </row>
    <row r="16298" spans="7:7" x14ac:dyDescent="0.2">
      <c r="G16298" s="7"/>
    </row>
    <row r="16299" spans="7:7" x14ac:dyDescent="0.2">
      <c r="G16299" s="7"/>
    </row>
    <row r="16300" spans="7:7" x14ac:dyDescent="0.2">
      <c r="G16300" s="7"/>
    </row>
    <row r="16301" spans="7:7" x14ac:dyDescent="0.2">
      <c r="G16301" s="7"/>
    </row>
    <row r="16302" spans="7:7" x14ac:dyDescent="0.2">
      <c r="G16302" s="7"/>
    </row>
    <row r="16303" spans="7:7" x14ac:dyDescent="0.2">
      <c r="G16303" s="7"/>
    </row>
    <row r="16304" spans="7:7" x14ac:dyDescent="0.2">
      <c r="G16304" s="7"/>
    </row>
    <row r="16305" spans="7:7" x14ac:dyDescent="0.2">
      <c r="G16305" s="7"/>
    </row>
    <row r="16306" spans="7:7" x14ac:dyDescent="0.2">
      <c r="G16306" s="7"/>
    </row>
    <row r="16307" spans="7:7" x14ac:dyDescent="0.2">
      <c r="G16307" s="7"/>
    </row>
    <row r="16308" spans="7:7" x14ac:dyDescent="0.2">
      <c r="G16308" s="7"/>
    </row>
    <row r="16309" spans="7:7" x14ac:dyDescent="0.2">
      <c r="G16309" s="7"/>
    </row>
    <row r="16310" spans="7:7" x14ac:dyDescent="0.2">
      <c r="G16310" s="7"/>
    </row>
    <row r="16311" spans="7:7" x14ac:dyDescent="0.2">
      <c r="G16311" s="7"/>
    </row>
    <row r="16312" spans="7:7" x14ac:dyDescent="0.2">
      <c r="G16312" s="7"/>
    </row>
    <row r="16313" spans="7:7" x14ac:dyDescent="0.2">
      <c r="G16313" s="7"/>
    </row>
    <row r="16314" spans="7:7" x14ac:dyDescent="0.2">
      <c r="G16314" s="7"/>
    </row>
    <row r="16315" spans="7:7" x14ac:dyDescent="0.2">
      <c r="G16315" s="7"/>
    </row>
    <row r="16316" spans="7:7" x14ac:dyDescent="0.2">
      <c r="G16316" s="7"/>
    </row>
    <row r="16317" spans="7:7" x14ac:dyDescent="0.2">
      <c r="G16317" s="7"/>
    </row>
    <row r="16318" spans="7:7" x14ac:dyDescent="0.2">
      <c r="G16318" s="7"/>
    </row>
    <row r="16319" spans="7:7" x14ac:dyDescent="0.2">
      <c r="G16319" s="7"/>
    </row>
    <row r="16320" spans="7:7" x14ac:dyDescent="0.2">
      <c r="G16320" s="7"/>
    </row>
    <row r="16321" spans="7:7" x14ac:dyDescent="0.2">
      <c r="G16321" s="7"/>
    </row>
    <row r="16322" spans="7:7" x14ac:dyDescent="0.2">
      <c r="G16322" s="7"/>
    </row>
    <row r="16323" spans="7:7" x14ac:dyDescent="0.2">
      <c r="G16323" s="7"/>
    </row>
    <row r="16324" spans="7:7" x14ac:dyDescent="0.2">
      <c r="G16324" s="7"/>
    </row>
    <row r="16325" spans="7:7" x14ac:dyDescent="0.2">
      <c r="G16325" s="7"/>
    </row>
    <row r="16326" spans="7:7" x14ac:dyDescent="0.2">
      <c r="G16326" s="7"/>
    </row>
    <row r="16327" spans="7:7" x14ac:dyDescent="0.2">
      <c r="G16327" s="7"/>
    </row>
    <row r="16328" spans="7:7" x14ac:dyDescent="0.2">
      <c r="G16328" s="7"/>
    </row>
    <row r="16329" spans="7:7" x14ac:dyDescent="0.2">
      <c r="G16329" s="7"/>
    </row>
    <row r="16330" spans="7:7" x14ac:dyDescent="0.2">
      <c r="G16330" s="7"/>
    </row>
    <row r="16331" spans="7:7" x14ac:dyDescent="0.2">
      <c r="G16331" s="7"/>
    </row>
    <row r="16332" spans="7:7" x14ac:dyDescent="0.2">
      <c r="G16332" s="7"/>
    </row>
    <row r="16333" spans="7:7" x14ac:dyDescent="0.2">
      <c r="G16333" s="7"/>
    </row>
    <row r="16334" spans="7:7" x14ac:dyDescent="0.2">
      <c r="G16334" s="7"/>
    </row>
    <row r="16335" spans="7:7" x14ac:dyDescent="0.2">
      <c r="G16335" s="7"/>
    </row>
    <row r="16336" spans="7:7" x14ac:dyDescent="0.2">
      <c r="G16336" s="7"/>
    </row>
    <row r="16337" spans="7:7" x14ac:dyDescent="0.2">
      <c r="G16337" s="7"/>
    </row>
    <row r="16338" spans="7:7" x14ac:dyDescent="0.2">
      <c r="G16338" s="7"/>
    </row>
    <row r="16339" spans="7:7" x14ac:dyDescent="0.2">
      <c r="G16339" s="7"/>
    </row>
    <row r="16340" spans="7:7" x14ac:dyDescent="0.2">
      <c r="G16340" s="7"/>
    </row>
    <row r="16341" spans="7:7" x14ac:dyDescent="0.2">
      <c r="G16341" s="7"/>
    </row>
    <row r="16342" spans="7:7" x14ac:dyDescent="0.2">
      <c r="G16342" s="7"/>
    </row>
    <row r="16343" spans="7:7" x14ac:dyDescent="0.2">
      <c r="G16343" s="7"/>
    </row>
    <row r="16344" spans="7:7" x14ac:dyDescent="0.2">
      <c r="G16344" s="7"/>
    </row>
    <row r="16345" spans="7:7" x14ac:dyDescent="0.2">
      <c r="G16345" s="7"/>
    </row>
    <row r="16346" spans="7:7" x14ac:dyDescent="0.2">
      <c r="G16346" s="7"/>
    </row>
    <row r="16347" spans="7:7" x14ac:dyDescent="0.2">
      <c r="G16347" s="7"/>
    </row>
    <row r="16348" spans="7:7" x14ac:dyDescent="0.2">
      <c r="G16348" s="7"/>
    </row>
    <row r="16349" spans="7:7" x14ac:dyDescent="0.2">
      <c r="G16349" s="7"/>
    </row>
    <row r="16350" spans="7:7" x14ac:dyDescent="0.2">
      <c r="G16350" s="7"/>
    </row>
    <row r="16351" spans="7:7" x14ac:dyDescent="0.2">
      <c r="G16351" s="7"/>
    </row>
    <row r="16352" spans="7:7" x14ac:dyDescent="0.2">
      <c r="G16352" s="7"/>
    </row>
    <row r="16353" spans="7:7" x14ac:dyDescent="0.2">
      <c r="G16353" s="7"/>
    </row>
    <row r="16354" spans="7:7" x14ac:dyDescent="0.2">
      <c r="G16354" s="7"/>
    </row>
    <row r="16355" spans="7:7" x14ac:dyDescent="0.2">
      <c r="G16355" s="7"/>
    </row>
    <row r="16356" spans="7:7" x14ac:dyDescent="0.2">
      <c r="G16356" s="7"/>
    </row>
    <row r="16357" spans="7:7" x14ac:dyDescent="0.2">
      <c r="G16357" s="7"/>
    </row>
    <row r="16358" spans="7:7" x14ac:dyDescent="0.2">
      <c r="G16358" s="7"/>
    </row>
    <row r="16359" spans="7:7" x14ac:dyDescent="0.2">
      <c r="G16359" s="7"/>
    </row>
    <row r="16360" spans="7:7" x14ac:dyDescent="0.2">
      <c r="G16360" s="7"/>
    </row>
    <row r="16361" spans="7:7" x14ac:dyDescent="0.2">
      <c r="G16361" s="7"/>
    </row>
    <row r="16362" spans="7:7" x14ac:dyDescent="0.2">
      <c r="G16362" s="7"/>
    </row>
    <row r="16363" spans="7:7" x14ac:dyDescent="0.2">
      <c r="G16363" s="7"/>
    </row>
    <row r="16364" spans="7:7" x14ac:dyDescent="0.2">
      <c r="G16364" s="7"/>
    </row>
    <row r="16365" spans="7:7" x14ac:dyDescent="0.2">
      <c r="G16365" s="7"/>
    </row>
    <row r="16366" spans="7:7" x14ac:dyDescent="0.2">
      <c r="G16366" s="7"/>
    </row>
    <row r="16367" spans="7:7" x14ac:dyDescent="0.2">
      <c r="G16367" s="7"/>
    </row>
    <row r="16368" spans="7:7" x14ac:dyDescent="0.2">
      <c r="G16368" s="7"/>
    </row>
    <row r="16369" spans="7:7" x14ac:dyDescent="0.2">
      <c r="G16369" s="7"/>
    </row>
    <row r="16370" spans="7:7" x14ac:dyDescent="0.2">
      <c r="G16370" s="7"/>
    </row>
    <row r="16371" spans="7:7" x14ac:dyDescent="0.2">
      <c r="G16371" s="7"/>
    </row>
    <row r="16372" spans="7:7" x14ac:dyDescent="0.2">
      <c r="G16372" s="7"/>
    </row>
    <row r="16373" spans="7:7" x14ac:dyDescent="0.2">
      <c r="G16373" s="7"/>
    </row>
    <row r="16374" spans="7:7" x14ac:dyDescent="0.2">
      <c r="G16374" s="7"/>
    </row>
    <row r="16375" spans="7:7" x14ac:dyDescent="0.2">
      <c r="G16375" s="7"/>
    </row>
    <row r="16376" spans="7:7" x14ac:dyDescent="0.2">
      <c r="G16376" s="7"/>
    </row>
    <row r="16377" spans="7:7" x14ac:dyDescent="0.2">
      <c r="G16377" s="7"/>
    </row>
    <row r="16378" spans="7:7" x14ac:dyDescent="0.2">
      <c r="G16378" s="7"/>
    </row>
    <row r="16379" spans="7:7" x14ac:dyDescent="0.2">
      <c r="G16379" s="7"/>
    </row>
    <row r="16380" spans="7:7" x14ac:dyDescent="0.2">
      <c r="G16380" s="7"/>
    </row>
    <row r="16381" spans="7:7" x14ac:dyDescent="0.2">
      <c r="G16381" s="7"/>
    </row>
    <row r="16382" spans="7:7" x14ac:dyDescent="0.2">
      <c r="G16382" s="7"/>
    </row>
    <row r="16383" spans="7:7" x14ac:dyDescent="0.2">
      <c r="G16383" s="7"/>
    </row>
    <row r="16384" spans="7:7" x14ac:dyDescent="0.2">
      <c r="G16384" s="7"/>
    </row>
    <row r="16385" spans="7:7" x14ac:dyDescent="0.2">
      <c r="G16385" s="7"/>
    </row>
    <row r="16386" spans="7:7" x14ac:dyDescent="0.2">
      <c r="G16386" s="7"/>
    </row>
    <row r="16387" spans="7:7" x14ac:dyDescent="0.2">
      <c r="G16387" s="7"/>
    </row>
    <row r="16388" spans="7:7" x14ac:dyDescent="0.2">
      <c r="G16388" s="7"/>
    </row>
    <row r="16389" spans="7:7" x14ac:dyDescent="0.2">
      <c r="G16389" s="7"/>
    </row>
    <row r="16390" spans="7:7" x14ac:dyDescent="0.2">
      <c r="G16390" s="7"/>
    </row>
    <row r="16391" spans="7:7" x14ac:dyDescent="0.2">
      <c r="G16391" s="7"/>
    </row>
    <row r="16392" spans="7:7" x14ac:dyDescent="0.2">
      <c r="G16392" s="7"/>
    </row>
    <row r="16393" spans="7:7" x14ac:dyDescent="0.2">
      <c r="G16393" s="7"/>
    </row>
    <row r="16394" spans="7:7" x14ac:dyDescent="0.2">
      <c r="G16394" s="7"/>
    </row>
    <row r="16395" spans="7:7" x14ac:dyDescent="0.2">
      <c r="G16395" s="7"/>
    </row>
    <row r="16396" spans="7:7" x14ac:dyDescent="0.2">
      <c r="G16396" s="7"/>
    </row>
    <row r="16397" spans="7:7" x14ac:dyDescent="0.2">
      <c r="G16397" s="7"/>
    </row>
    <row r="16398" spans="7:7" x14ac:dyDescent="0.2">
      <c r="G16398" s="7"/>
    </row>
    <row r="16399" spans="7:7" x14ac:dyDescent="0.2">
      <c r="G16399" s="7"/>
    </row>
    <row r="16400" spans="7:7" x14ac:dyDescent="0.2">
      <c r="G16400" s="7"/>
    </row>
    <row r="16401" spans="7:7" x14ac:dyDescent="0.2">
      <c r="G16401" s="7"/>
    </row>
    <row r="16402" spans="7:7" x14ac:dyDescent="0.2">
      <c r="G16402" s="7"/>
    </row>
    <row r="16403" spans="7:7" x14ac:dyDescent="0.2">
      <c r="G16403" s="7"/>
    </row>
    <row r="16404" spans="7:7" x14ac:dyDescent="0.2">
      <c r="G16404" s="7"/>
    </row>
    <row r="16405" spans="7:7" x14ac:dyDescent="0.2">
      <c r="G16405" s="7"/>
    </row>
    <row r="16406" spans="7:7" x14ac:dyDescent="0.2">
      <c r="G16406" s="7"/>
    </row>
    <row r="16407" spans="7:7" x14ac:dyDescent="0.2">
      <c r="G16407" s="7"/>
    </row>
    <row r="16408" spans="7:7" x14ac:dyDescent="0.2">
      <c r="G16408" s="7"/>
    </row>
    <row r="16409" spans="7:7" x14ac:dyDescent="0.2">
      <c r="G16409" s="7"/>
    </row>
    <row r="16410" spans="7:7" x14ac:dyDescent="0.2">
      <c r="G16410" s="7"/>
    </row>
    <row r="16411" spans="7:7" x14ac:dyDescent="0.2">
      <c r="G16411" s="7"/>
    </row>
    <row r="16412" spans="7:7" x14ac:dyDescent="0.2">
      <c r="G16412" s="7"/>
    </row>
    <row r="16413" spans="7:7" x14ac:dyDescent="0.2">
      <c r="G16413" s="7"/>
    </row>
    <row r="16414" spans="7:7" x14ac:dyDescent="0.2">
      <c r="G16414" s="7"/>
    </row>
    <row r="16415" spans="7:7" x14ac:dyDescent="0.2">
      <c r="G16415" s="7"/>
    </row>
    <row r="16416" spans="7:7" x14ac:dyDescent="0.2">
      <c r="G16416" s="7"/>
    </row>
    <row r="16417" spans="7:7" x14ac:dyDescent="0.2">
      <c r="G16417" s="7"/>
    </row>
    <row r="16418" spans="7:7" x14ac:dyDescent="0.2">
      <c r="G16418" s="7"/>
    </row>
    <row r="16419" spans="7:7" x14ac:dyDescent="0.2">
      <c r="G16419" s="7"/>
    </row>
    <row r="16420" spans="7:7" x14ac:dyDescent="0.2">
      <c r="G16420" s="7"/>
    </row>
    <row r="16421" spans="7:7" x14ac:dyDescent="0.2">
      <c r="G16421" s="7"/>
    </row>
    <row r="16422" spans="7:7" x14ac:dyDescent="0.2">
      <c r="G16422" s="7"/>
    </row>
    <row r="16423" spans="7:7" x14ac:dyDescent="0.2">
      <c r="G16423" s="7"/>
    </row>
    <row r="16424" spans="7:7" x14ac:dyDescent="0.2">
      <c r="G16424" s="7"/>
    </row>
    <row r="16425" spans="7:7" x14ac:dyDescent="0.2">
      <c r="G16425" s="7"/>
    </row>
    <row r="16426" spans="7:7" x14ac:dyDescent="0.2">
      <c r="G16426" s="7"/>
    </row>
    <row r="16427" spans="7:7" x14ac:dyDescent="0.2">
      <c r="G16427" s="7"/>
    </row>
    <row r="16428" spans="7:7" x14ac:dyDescent="0.2">
      <c r="G16428" s="7"/>
    </row>
    <row r="16429" spans="7:7" x14ac:dyDescent="0.2">
      <c r="G16429" s="7"/>
    </row>
    <row r="16430" spans="7:7" x14ac:dyDescent="0.2">
      <c r="G16430" s="7"/>
    </row>
    <row r="16431" spans="7:7" x14ac:dyDescent="0.2">
      <c r="G16431" s="7"/>
    </row>
    <row r="16432" spans="7:7" x14ac:dyDescent="0.2">
      <c r="G16432" s="7"/>
    </row>
    <row r="16433" spans="7:7" x14ac:dyDescent="0.2">
      <c r="G16433" s="7"/>
    </row>
    <row r="16434" spans="7:7" x14ac:dyDescent="0.2">
      <c r="G16434" s="7"/>
    </row>
    <row r="16435" spans="7:7" x14ac:dyDescent="0.2">
      <c r="G16435" s="7"/>
    </row>
    <row r="16436" spans="7:7" x14ac:dyDescent="0.2">
      <c r="G16436" s="7"/>
    </row>
    <row r="16437" spans="7:7" x14ac:dyDescent="0.2">
      <c r="G16437" s="7"/>
    </row>
    <row r="16438" spans="7:7" x14ac:dyDescent="0.2">
      <c r="G16438" s="7"/>
    </row>
    <row r="16439" spans="7:7" x14ac:dyDescent="0.2">
      <c r="G16439" s="7"/>
    </row>
    <row r="16440" spans="7:7" x14ac:dyDescent="0.2">
      <c r="G16440" s="7"/>
    </row>
    <row r="16441" spans="7:7" x14ac:dyDescent="0.2">
      <c r="G16441" s="7"/>
    </row>
    <row r="16442" spans="7:7" x14ac:dyDescent="0.2">
      <c r="G16442" s="7"/>
    </row>
    <row r="16443" spans="7:7" x14ac:dyDescent="0.2">
      <c r="G16443" s="7"/>
    </row>
    <row r="16444" spans="7:7" x14ac:dyDescent="0.2">
      <c r="G16444" s="7"/>
    </row>
    <row r="16445" spans="7:7" x14ac:dyDescent="0.2">
      <c r="G16445" s="7"/>
    </row>
    <row r="16446" spans="7:7" x14ac:dyDescent="0.2">
      <c r="G16446" s="7"/>
    </row>
    <row r="16447" spans="7:7" x14ac:dyDescent="0.2">
      <c r="G16447" s="7"/>
    </row>
    <row r="16448" spans="7:7" x14ac:dyDescent="0.2">
      <c r="G16448" s="7"/>
    </row>
    <row r="16449" spans="7:7" x14ac:dyDescent="0.2">
      <c r="G16449" s="7"/>
    </row>
    <row r="16450" spans="7:7" x14ac:dyDescent="0.2">
      <c r="G16450" s="7"/>
    </row>
    <row r="16451" spans="7:7" x14ac:dyDescent="0.2">
      <c r="G16451" s="7"/>
    </row>
    <row r="16452" spans="7:7" x14ac:dyDescent="0.2">
      <c r="G16452" s="7"/>
    </row>
    <row r="16453" spans="7:7" x14ac:dyDescent="0.2">
      <c r="G16453" s="7"/>
    </row>
    <row r="16454" spans="7:7" x14ac:dyDescent="0.2">
      <c r="G16454" s="7"/>
    </row>
    <row r="16455" spans="7:7" x14ac:dyDescent="0.2">
      <c r="G16455" s="7"/>
    </row>
    <row r="16456" spans="7:7" x14ac:dyDescent="0.2">
      <c r="G16456" s="7"/>
    </row>
    <row r="16457" spans="7:7" x14ac:dyDescent="0.2">
      <c r="G16457" s="7"/>
    </row>
    <row r="16458" spans="7:7" x14ac:dyDescent="0.2">
      <c r="G16458" s="7"/>
    </row>
    <row r="16459" spans="7:7" x14ac:dyDescent="0.2">
      <c r="G16459" s="7"/>
    </row>
    <row r="16460" spans="7:7" x14ac:dyDescent="0.2">
      <c r="G16460" s="7"/>
    </row>
    <row r="16461" spans="7:7" x14ac:dyDescent="0.2">
      <c r="G16461" s="7"/>
    </row>
    <row r="16462" spans="7:7" x14ac:dyDescent="0.2">
      <c r="G16462" s="7"/>
    </row>
    <row r="16463" spans="7:7" x14ac:dyDescent="0.2">
      <c r="G16463" s="7"/>
    </row>
    <row r="16464" spans="7:7" x14ac:dyDescent="0.2">
      <c r="G16464" s="7"/>
    </row>
    <row r="16465" spans="7:7" x14ac:dyDescent="0.2">
      <c r="G16465" s="7"/>
    </row>
    <row r="16466" spans="7:7" x14ac:dyDescent="0.2">
      <c r="G16466" s="7"/>
    </row>
    <row r="16467" spans="7:7" x14ac:dyDescent="0.2">
      <c r="G16467" s="7"/>
    </row>
    <row r="16468" spans="7:7" x14ac:dyDescent="0.2">
      <c r="G16468" s="7"/>
    </row>
    <row r="16469" spans="7:7" x14ac:dyDescent="0.2">
      <c r="G16469" s="7"/>
    </row>
    <row r="16470" spans="7:7" x14ac:dyDescent="0.2">
      <c r="G16470" s="7"/>
    </row>
    <row r="16471" spans="7:7" x14ac:dyDescent="0.2">
      <c r="G16471" s="7"/>
    </row>
    <row r="16472" spans="7:7" x14ac:dyDescent="0.2">
      <c r="G16472" s="7"/>
    </row>
    <row r="16473" spans="7:7" x14ac:dyDescent="0.2">
      <c r="G16473" s="7"/>
    </row>
    <row r="16474" spans="7:7" x14ac:dyDescent="0.2">
      <c r="G16474" s="7"/>
    </row>
    <row r="16475" spans="7:7" x14ac:dyDescent="0.2">
      <c r="G16475" s="7"/>
    </row>
    <row r="16476" spans="7:7" x14ac:dyDescent="0.2">
      <c r="G16476" s="7"/>
    </row>
    <row r="16477" spans="7:7" x14ac:dyDescent="0.2">
      <c r="G16477" s="7"/>
    </row>
    <row r="16478" spans="7:7" x14ac:dyDescent="0.2">
      <c r="G16478" s="7"/>
    </row>
    <row r="16479" spans="7:7" x14ac:dyDescent="0.2">
      <c r="G16479" s="7"/>
    </row>
    <row r="16480" spans="7:7" x14ac:dyDescent="0.2">
      <c r="G16480" s="7"/>
    </row>
    <row r="16481" spans="7:7" x14ac:dyDescent="0.2">
      <c r="G16481" s="7"/>
    </row>
    <row r="16482" spans="7:7" x14ac:dyDescent="0.2">
      <c r="G16482" s="7"/>
    </row>
    <row r="16483" spans="7:7" x14ac:dyDescent="0.2">
      <c r="G16483" s="7"/>
    </row>
    <row r="16484" spans="7:7" x14ac:dyDescent="0.2">
      <c r="G16484" s="7"/>
    </row>
    <row r="16485" spans="7:7" x14ac:dyDescent="0.2">
      <c r="G16485" s="7"/>
    </row>
    <row r="16486" spans="7:7" x14ac:dyDescent="0.2">
      <c r="G16486" s="7"/>
    </row>
    <row r="16487" spans="7:7" x14ac:dyDescent="0.2">
      <c r="G16487" s="7"/>
    </row>
    <row r="16488" spans="7:7" x14ac:dyDescent="0.2">
      <c r="G16488" s="7"/>
    </row>
    <row r="16489" spans="7:7" x14ac:dyDescent="0.2">
      <c r="G16489" s="7"/>
    </row>
    <row r="16490" spans="7:7" x14ac:dyDescent="0.2">
      <c r="G16490" s="7"/>
    </row>
    <row r="16491" spans="7:7" x14ac:dyDescent="0.2">
      <c r="G16491" s="7"/>
    </row>
    <row r="16492" spans="7:7" x14ac:dyDescent="0.2">
      <c r="G16492" s="7"/>
    </row>
    <row r="16493" spans="7:7" x14ac:dyDescent="0.2">
      <c r="G16493" s="7"/>
    </row>
    <row r="16494" spans="7:7" x14ac:dyDescent="0.2">
      <c r="G16494" s="7"/>
    </row>
    <row r="16495" spans="7:7" x14ac:dyDescent="0.2">
      <c r="G16495" s="7"/>
    </row>
    <row r="16496" spans="7:7" x14ac:dyDescent="0.2">
      <c r="G16496" s="7"/>
    </row>
    <row r="16497" spans="7:7" x14ac:dyDescent="0.2">
      <c r="G16497" s="7"/>
    </row>
    <row r="16498" spans="7:7" x14ac:dyDescent="0.2">
      <c r="G16498" s="7"/>
    </row>
    <row r="16499" spans="7:7" x14ac:dyDescent="0.2">
      <c r="G16499" s="7"/>
    </row>
    <row r="16500" spans="7:7" x14ac:dyDescent="0.2">
      <c r="G16500" s="7"/>
    </row>
    <row r="16501" spans="7:7" x14ac:dyDescent="0.2">
      <c r="G16501" s="7"/>
    </row>
    <row r="16502" spans="7:7" x14ac:dyDescent="0.2">
      <c r="G16502" s="7"/>
    </row>
    <row r="16503" spans="7:7" x14ac:dyDescent="0.2">
      <c r="G16503" s="7"/>
    </row>
    <row r="16504" spans="7:7" x14ac:dyDescent="0.2">
      <c r="G16504" s="7"/>
    </row>
    <row r="16505" spans="7:7" x14ac:dyDescent="0.2">
      <c r="G16505" s="7"/>
    </row>
    <row r="16506" spans="7:7" x14ac:dyDescent="0.2">
      <c r="G16506" s="7"/>
    </row>
    <row r="16507" spans="7:7" x14ac:dyDescent="0.2">
      <c r="G16507" s="7"/>
    </row>
    <row r="16508" spans="7:7" x14ac:dyDescent="0.2">
      <c r="G16508" s="7"/>
    </row>
    <row r="16509" spans="7:7" x14ac:dyDescent="0.2">
      <c r="G16509" s="7"/>
    </row>
    <row r="16510" spans="7:7" x14ac:dyDescent="0.2">
      <c r="G16510" s="7"/>
    </row>
    <row r="16511" spans="7:7" x14ac:dyDescent="0.2">
      <c r="G16511" s="7"/>
    </row>
    <row r="16512" spans="7:7" x14ac:dyDescent="0.2">
      <c r="G16512" s="7"/>
    </row>
    <row r="16513" spans="7:7" x14ac:dyDescent="0.2">
      <c r="G16513" s="7"/>
    </row>
    <row r="16514" spans="7:7" x14ac:dyDescent="0.2">
      <c r="G16514" s="7"/>
    </row>
    <row r="16515" spans="7:7" x14ac:dyDescent="0.2">
      <c r="G16515" s="7"/>
    </row>
    <row r="16516" spans="7:7" x14ac:dyDescent="0.2">
      <c r="G16516" s="7"/>
    </row>
    <row r="16517" spans="7:7" x14ac:dyDescent="0.2">
      <c r="G16517" s="7"/>
    </row>
    <row r="16518" spans="7:7" x14ac:dyDescent="0.2">
      <c r="G16518" s="7"/>
    </row>
    <row r="16519" spans="7:7" x14ac:dyDescent="0.2">
      <c r="G16519" s="7"/>
    </row>
    <row r="16520" spans="7:7" x14ac:dyDescent="0.2">
      <c r="G16520" s="7"/>
    </row>
    <row r="16521" spans="7:7" x14ac:dyDescent="0.2">
      <c r="G16521" s="7"/>
    </row>
    <row r="16522" spans="7:7" x14ac:dyDescent="0.2">
      <c r="G16522" s="7"/>
    </row>
    <row r="16523" spans="7:7" x14ac:dyDescent="0.2">
      <c r="G16523" s="7"/>
    </row>
    <row r="16524" spans="7:7" x14ac:dyDescent="0.2">
      <c r="G16524" s="7"/>
    </row>
    <row r="16525" spans="7:7" x14ac:dyDescent="0.2">
      <c r="G16525" s="7"/>
    </row>
    <row r="16526" spans="7:7" x14ac:dyDescent="0.2">
      <c r="G16526" s="7"/>
    </row>
    <row r="16527" spans="7:7" x14ac:dyDescent="0.2">
      <c r="G16527" s="7"/>
    </row>
    <row r="16528" spans="7:7" x14ac:dyDescent="0.2">
      <c r="G16528" s="7"/>
    </row>
    <row r="16529" spans="7:7" x14ac:dyDescent="0.2">
      <c r="G16529" s="7"/>
    </row>
    <row r="16530" spans="7:7" x14ac:dyDescent="0.2">
      <c r="G16530" s="7"/>
    </row>
    <row r="16531" spans="7:7" x14ac:dyDescent="0.2">
      <c r="G16531" s="7"/>
    </row>
    <row r="16532" spans="7:7" x14ac:dyDescent="0.2">
      <c r="G16532" s="7"/>
    </row>
    <row r="16533" spans="7:7" x14ac:dyDescent="0.2">
      <c r="G16533" s="7"/>
    </row>
    <row r="16534" spans="7:7" x14ac:dyDescent="0.2">
      <c r="G16534" s="7"/>
    </row>
    <row r="16535" spans="7:7" x14ac:dyDescent="0.2">
      <c r="G16535" s="7"/>
    </row>
    <row r="16536" spans="7:7" x14ac:dyDescent="0.2">
      <c r="G16536" s="7"/>
    </row>
    <row r="16537" spans="7:7" x14ac:dyDescent="0.2">
      <c r="G16537" s="7"/>
    </row>
    <row r="16538" spans="7:7" x14ac:dyDescent="0.2">
      <c r="G16538" s="7"/>
    </row>
    <row r="16539" spans="7:7" x14ac:dyDescent="0.2">
      <c r="G16539" s="7"/>
    </row>
    <row r="16540" spans="7:7" x14ac:dyDescent="0.2">
      <c r="G16540" s="7"/>
    </row>
    <row r="16541" spans="7:7" x14ac:dyDescent="0.2">
      <c r="G16541" s="7"/>
    </row>
    <row r="16542" spans="7:7" x14ac:dyDescent="0.2">
      <c r="G16542" s="7"/>
    </row>
    <row r="16543" spans="7:7" x14ac:dyDescent="0.2">
      <c r="G16543" s="7"/>
    </row>
    <row r="16544" spans="7:7" x14ac:dyDescent="0.2">
      <c r="G16544" s="7"/>
    </row>
    <row r="16545" spans="7:7" x14ac:dyDescent="0.2">
      <c r="G16545" s="7"/>
    </row>
    <row r="16546" spans="7:7" x14ac:dyDescent="0.2">
      <c r="G16546" s="7"/>
    </row>
    <row r="16547" spans="7:7" x14ac:dyDescent="0.2">
      <c r="G16547" s="7"/>
    </row>
    <row r="16548" spans="7:7" x14ac:dyDescent="0.2">
      <c r="G16548" s="7"/>
    </row>
    <row r="16549" spans="7:7" x14ac:dyDescent="0.2">
      <c r="G16549" s="7"/>
    </row>
    <row r="16550" spans="7:7" x14ac:dyDescent="0.2">
      <c r="G16550" s="7"/>
    </row>
    <row r="16551" spans="7:7" x14ac:dyDescent="0.2">
      <c r="G16551" s="7"/>
    </row>
    <row r="16552" spans="7:7" x14ac:dyDescent="0.2">
      <c r="G16552" s="7"/>
    </row>
    <row r="16553" spans="7:7" x14ac:dyDescent="0.2">
      <c r="G16553" s="7"/>
    </row>
    <row r="16554" spans="7:7" x14ac:dyDescent="0.2">
      <c r="G16554" s="7"/>
    </row>
    <row r="16555" spans="7:7" x14ac:dyDescent="0.2">
      <c r="G16555" s="7"/>
    </row>
    <row r="16556" spans="7:7" x14ac:dyDescent="0.2">
      <c r="G16556" s="7"/>
    </row>
    <row r="16557" spans="7:7" x14ac:dyDescent="0.2">
      <c r="G16557" s="7"/>
    </row>
    <row r="16558" spans="7:7" x14ac:dyDescent="0.2">
      <c r="G16558" s="7"/>
    </row>
    <row r="16559" spans="7:7" x14ac:dyDescent="0.2">
      <c r="G16559" s="7"/>
    </row>
    <row r="16560" spans="7:7" x14ac:dyDescent="0.2">
      <c r="G16560" s="7"/>
    </row>
    <row r="16561" spans="7:7" x14ac:dyDescent="0.2">
      <c r="G16561" s="7"/>
    </row>
    <row r="16562" spans="7:7" x14ac:dyDescent="0.2">
      <c r="G16562" s="7"/>
    </row>
    <row r="16563" spans="7:7" x14ac:dyDescent="0.2">
      <c r="G16563" s="7"/>
    </row>
    <row r="16564" spans="7:7" x14ac:dyDescent="0.2">
      <c r="G16564" s="7"/>
    </row>
    <row r="16565" spans="7:7" x14ac:dyDescent="0.2">
      <c r="G16565" s="7"/>
    </row>
    <row r="16566" spans="7:7" x14ac:dyDescent="0.2">
      <c r="G16566" s="7"/>
    </row>
    <row r="16567" spans="7:7" x14ac:dyDescent="0.2">
      <c r="G16567" s="7"/>
    </row>
    <row r="16568" spans="7:7" x14ac:dyDescent="0.2">
      <c r="G16568" s="7"/>
    </row>
    <row r="16569" spans="7:7" x14ac:dyDescent="0.2">
      <c r="G16569" s="7"/>
    </row>
    <row r="16570" spans="7:7" x14ac:dyDescent="0.2">
      <c r="G16570" s="7"/>
    </row>
    <row r="16571" spans="7:7" x14ac:dyDescent="0.2">
      <c r="G16571" s="7"/>
    </row>
    <row r="16572" spans="7:7" x14ac:dyDescent="0.2">
      <c r="G16572" s="7"/>
    </row>
    <row r="16573" spans="7:7" x14ac:dyDescent="0.2">
      <c r="G16573" s="7"/>
    </row>
    <row r="16574" spans="7:7" x14ac:dyDescent="0.2">
      <c r="G16574" s="7"/>
    </row>
    <row r="16575" spans="7:7" x14ac:dyDescent="0.2">
      <c r="G16575" s="7"/>
    </row>
    <row r="16576" spans="7:7" x14ac:dyDescent="0.2">
      <c r="G16576" s="7"/>
    </row>
    <row r="16577" spans="7:7" x14ac:dyDescent="0.2">
      <c r="G16577" s="7"/>
    </row>
    <row r="16578" spans="7:7" x14ac:dyDescent="0.2">
      <c r="G16578" s="7"/>
    </row>
    <row r="16579" spans="7:7" x14ac:dyDescent="0.2">
      <c r="G16579" s="7"/>
    </row>
    <row r="16580" spans="7:7" x14ac:dyDescent="0.2">
      <c r="G16580" s="7"/>
    </row>
    <row r="16581" spans="7:7" x14ac:dyDescent="0.2">
      <c r="G16581" s="7"/>
    </row>
    <row r="16582" spans="7:7" x14ac:dyDescent="0.2">
      <c r="G16582" s="7"/>
    </row>
    <row r="16583" spans="7:7" x14ac:dyDescent="0.2">
      <c r="G16583" s="7"/>
    </row>
    <row r="16584" spans="7:7" x14ac:dyDescent="0.2">
      <c r="G16584" s="7"/>
    </row>
    <row r="16585" spans="7:7" x14ac:dyDescent="0.2">
      <c r="G16585" s="7"/>
    </row>
    <row r="16586" spans="7:7" x14ac:dyDescent="0.2">
      <c r="G16586" s="7"/>
    </row>
    <row r="16587" spans="7:7" x14ac:dyDescent="0.2">
      <c r="G16587" s="7"/>
    </row>
    <row r="16588" spans="7:7" x14ac:dyDescent="0.2">
      <c r="G16588" s="7"/>
    </row>
    <row r="16589" spans="7:7" x14ac:dyDescent="0.2">
      <c r="G16589" s="7"/>
    </row>
    <row r="16590" spans="7:7" x14ac:dyDescent="0.2">
      <c r="G16590" s="7"/>
    </row>
    <row r="16591" spans="7:7" x14ac:dyDescent="0.2">
      <c r="G16591" s="7"/>
    </row>
    <row r="16592" spans="7:7" x14ac:dyDescent="0.2">
      <c r="G16592" s="7"/>
    </row>
    <row r="16593" spans="7:7" x14ac:dyDescent="0.2">
      <c r="G16593" s="7"/>
    </row>
    <row r="16594" spans="7:7" x14ac:dyDescent="0.2">
      <c r="G16594" s="7"/>
    </row>
    <row r="16595" spans="7:7" x14ac:dyDescent="0.2">
      <c r="G16595" s="7"/>
    </row>
    <row r="16596" spans="7:7" x14ac:dyDescent="0.2">
      <c r="G16596" s="7"/>
    </row>
    <row r="16597" spans="7:7" x14ac:dyDescent="0.2">
      <c r="G16597" s="7"/>
    </row>
    <row r="16598" spans="7:7" x14ac:dyDescent="0.2">
      <c r="G16598" s="7"/>
    </row>
    <row r="16599" spans="7:7" x14ac:dyDescent="0.2">
      <c r="G16599" s="7"/>
    </row>
    <row r="16600" spans="7:7" x14ac:dyDescent="0.2">
      <c r="G16600" s="7"/>
    </row>
    <row r="16601" spans="7:7" x14ac:dyDescent="0.2">
      <c r="G16601" s="7"/>
    </row>
    <row r="16602" spans="7:7" x14ac:dyDescent="0.2">
      <c r="G16602" s="7"/>
    </row>
    <row r="16603" spans="7:7" x14ac:dyDescent="0.2">
      <c r="G16603" s="7"/>
    </row>
    <row r="16604" spans="7:7" x14ac:dyDescent="0.2">
      <c r="G16604" s="7"/>
    </row>
    <row r="16605" spans="7:7" x14ac:dyDescent="0.2">
      <c r="G16605" s="7"/>
    </row>
    <row r="16606" spans="7:7" x14ac:dyDescent="0.2">
      <c r="G16606" s="7"/>
    </row>
    <row r="16607" spans="7:7" x14ac:dyDescent="0.2">
      <c r="G16607" s="7"/>
    </row>
    <row r="16608" spans="7:7" x14ac:dyDescent="0.2">
      <c r="G16608" s="7"/>
    </row>
    <row r="16609" spans="7:7" x14ac:dyDescent="0.2">
      <c r="G16609" s="7"/>
    </row>
    <row r="16610" spans="7:7" x14ac:dyDescent="0.2">
      <c r="G16610" s="7"/>
    </row>
    <row r="16611" spans="7:7" x14ac:dyDescent="0.2">
      <c r="G16611" s="7"/>
    </row>
    <row r="16612" spans="7:7" x14ac:dyDescent="0.2">
      <c r="G16612" s="7"/>
    </row>
    <row r="16613" spans="7:7" x14ac:dyDescent="0.2">
      <c r="G16613" s="7"/>
    </row>
    <row r="16614" spans="7:7" x14ac:dyDescent="0.2">
      <c r="G16614" s="7"/>
    </row>
    <row r="16615" spans="7:7" x14ac:dyDescent="0.2">
      <c r="G16615" s="7"/>
    </row>
    <row r="16616" spans="7:7" x14ac:dyDescent="0.2">
      <c r="G16616" s="7"/>
    </row>
    <row r="16617" spans="7:7" x14ac:dyDescent="0.2">
      <c r="G16617" s="7"/>
    </row>
    <row r="16618" spans="7:7" x14ac:dyDescent="0.2">
      <c r="G16618" s="7"/>
    </row>
    <row r="16619" spans="7:7" x14ac:dyDescent="0.2">
      <c r="G16619" s="7"/>
    </row>
    <row r="16620" spans="7:7" x14ac:dyDescent="0.2">
      <c r="G16620" s="7"/>
    </row>
    <row r="16621" spans="7:7" x14ac:dyDescent="0.2">
      <c r="G16621" s="7"/>
    </row>
    <row r="16622" spans="7:7" x14ac:dyDescent="0.2">
      <c r="G16622" s="7"/>
    </row>
    <row r="16623" spans="7:7" x14ac:dyDescent="0.2">
      <c r="G16623" s="7"/>
    </row>
    <row r="16624" spans="7:7" x14ac:dyDescent="0.2">
      <c r="G16624" s="7"/>
    </row>
    <row r="16625" spans="7:7" x14ac:dyDescent="0.2">
      <c r="G16625" s="7"/>
    </row>
    <row r="16626" spans="7:7" x14ac:dyDescent="0.2">
      <c r="G16626" s="7"/>
    </row>
    <row r="16627" spans="7:7" x14ac:dyDescent="0.2">
      <c r="G16627" s="7"/>
    </row>
    <row r="16628" spans="7:7" x14ac:dyDescent="0.2">
      <c r="G16628" s="7"/>
    </row>
    <row r="16629" spans="7:7" x14ac:dyDescent="0.2">
      <c r="G16629" s="7"/>
    </row>
    <row r="16630" spans="7:7" x14ac:dyDescent="0.2">
      <c r="G16630" s="7"/>
    </row>
    <row r="16631" spans="7:7" x14ac:dyDescent="0.2">
      <c r="G16631" s="7"/>
    </row>
    <row r="16632" spans="7:7" x14ac:dyDescent="0.2">
      <c r="G16632" s="7"/>
    </row>
    <row r="16633" spans="7:7" x14ac:dyDescent="0.2">
      <c r="G16633" s="7"/>
    </row>
    <row r="16634" spans="7:7" x14ac:dyDescent="0.2">
      <c r="G16634" s="7"/>
    </row>
    <row r="16635" spans="7:7" x14ac:dyDescent="0.2">
      <c r="G16635" s="7"/>
    </row>
    <row r="16636" spans="7:7" x14ac:dyDescent="0.2">
      <c r="G16636" s="7"/>
    </row>
    <row r="16637" spans="7:7" x14ac:dyDescent="0.2">
      <c r="G16637" s="7"/>
    </row>
    <row r="16638" spans="7:7" x14ac:dyDescent="0.2">
      <c r="G16638" s="7"/>
    </row>
    <row r="16639" spans="7:7" x14ac:dyDescent="0.2">
      <c r="G16639" s="7"/>
    </row>
    <row r="16640" spans="7:7" x14ac:dyDescent="0.2">
      <c r="G16640" s="7"/>
    </row>
    <row r="16641" spans="7:7" x14ac:dyDescent="0.2">
      <c r="G16641" s="7"/>
    </row>
    <row r="16642" spans="7:7" x14ac:dyDescent="0.2">
      <c r="G16642" s="7"/>
    </row>
    <row r="16643" spans="7:7" x14ac:dyDescent="0.2">
      <c r="G16643" s="7"/>
    </row>
    <row r="16644" spans="7:7" x14ac:dyDescent="0.2">
      <c r="G16644" s="7"/>
    </row>
    <row r="16645" spans="7:7" x14ac:dyDescent="0.2">
      <c r="G16645" s="7"/>
    </row>
    <row r="16646" spans="7:7" x14ac:dyDescent="0.2">
      <c r="G16646" s="7"/>
    </row>
    <row r="16647" spans="7:7" x14ac:dyDescent="0.2">
      <c r="G16647" s="7"/>
    </row>
    <row r="16648" spans="7:7" x14ac:dyDescent="0.2">
      <c r="G16648" s="7"/>
    </row>
    <row r="16649" spans="7:7" x14ac:dyDescent="0.2">
      <c r="G16649" s="7"/>
    </row>
    <row r="16650" spans="7:7" x14ac:dyDescent="0.2">
      <c r="G16650" s="7"/>
    </row>
    <row r="16651" spans="7:7" x14ac:dyDescent="0.2">
      <c r="G16651" s="7"/>
    </row>
    <row r="16652" spans="7:7" x14ac:dyDescent="0.2">
      <c r="G16652" s="7"/>
    </row>
    <row r="16653" spans="7:7" x14ac:dyDescent="0.2">
      <c r="G16653" s="7"/>
    </row>
    <row r="16654" spans="7:7" x14ac:dyDescent="0.2">
      <c r="G16654" s="7"/>
    </row>
    <row r="16655" spans="7:7" x14ac:dyDescent="0.2">
      <c r="G16655" s="7"/>
    </row>
    <row r="16656" spans="7:7" x14ac:dyDescent="0.2">
      <c r="G16656" s="7"/>
    </row>
    <row r="16657" spans="7:7" x14ac:dyDescent="0.2">
      <c r="G16657" s="7"/>
    </row>
    <row r="16658" spans="7:7" x14ac:dyDescent="0.2">
      <c r="G16658" s="7"/>
    </row>
    <row r="16659" spans="7:7" x14ac:dyDescent="0.2">
      <c r="G16659" s="7"/>
    </row>
    <row r="16660" spans="7:7" x14ac:dyDescent="0.2">
      <c r="G16660" s="7"/>
    </row>
    <row r="16661" spans="7:7" x14ac:dyDescent="0.2">
      <c r="G16661" s="7"/>
    </row>
    <row r="16662" spans="7:7" x14ac:dyDescent="0.2">
      <c r="G16662" s="7"/>
    </row>
    <row r="16663" spans="7:7" x14ac:dyDescent="0.2">
      <c r="G16663" s="7"/>
    </row>
    <row r="16664" spans="7:7" x14ac:dyDescent="0.2">
      <c r="G16664" s="7"/>
    </row>
    <row r="16665" spans="7:7" x14ac:dyDescent="0.2">
      <c r="G16665" s="7"/>
    </row>
    <row r="16666" spans="7:7" x14ac:dyDescent="0.2">
      <c r="G16666" s="7"/>
    </row>
    <row r="16667" spans="7:7" x14ac:dyDescent="0.2">
      <c r="G16667" s="7"/>
    </row>
    <row r="16668" spans="7:7" x14ac:dyDescent="0.2">
      <c r="G16668" s="7"/>
    </row>
    <row r="16669" spans="7:7" x14ac:dyDescent="0.2">
      <c r="G16669" s="7"/>
    </row>
    <row r="16670" spans="7:7" x14ac:dyDescent="0.2">
      <c r="G16670" s="7"/>
    </row>
    <row r="16671" spans="7:7" x14ac:dyDescent="0.2">
      <c r="G16671" s="7"/>
    </row>
    <row r="16672" spans="7:7" x14ac:dyDescent="0.2">
      <c r="G16672" s="7"/>
    </row>
    <row r="16673" spans="7:7" x14ac:dyDescent="0.2">
      <c r="G16673" s="7"/>
    </row>
    <row r="16674" spans="7:7" x14ac:dyDescent="0.2">
      <c r="G16674" s="7"/>
    </row>
    <row r="16675" spans="7:7" x14ac:dyDescent="0.2">
      <c r="G16675" s="7"/>
    </row>
    <row r="16676" spans="7:7" x14ac:dyDescent="0.2">
      <c r="G16676" s="7"/>
    </row>
    <row r="16677" spans="7:7" x14ac:dyDescent="0.2">
      <c r="G16677" s="7"/>
    </row>
    <row r="16678" spans="7:7" x14ac:dyDescent="0.2">
      <c r="G16678" s="7"/>
    </row>
    <row r="16679" spans="7:7" x14ac:dyDescent="0.2">
      <c r="G16679" s="7"/>
    </row>
    <row r="16680" spans="7:7" x14ac:dyDescent="0.2">
      <c r="G16680" s="7"/>
    </row>
    <row r="16681" spans="7:7" x14ac:dyDescent="0.2">
      <c r="G16681" s="7"/>
    </row>
    <row r="16682" spans="7:7" x14ac:dyDescent="0.2">
      <c r="G16682" s="7"/>
    </row>
    <row r="16683" spans="7:7" x14ac:dyDescent="0.2">
      <c r="G16683" s="7"/>
    </row>
    <row r="16684" spans="7:7" x14ac:dyDescent="0.2">
      <c r="G16684" s="7"/>
    </row>
    <row r="16685" spans="7:7" x14ac:dyDescent="0.2">
      <c r="G16685" s="7"/>
    </row>
    <row r="16686" spans="7:7" x14ac:dyDescent="0.2">
      <c r="G16686" s="7"/>
    </row>
    <row r="16687" spans="7:7" x14ac:dyDescent="0.2">
      <c r="G16687" s="7"/>
    </row>
    <row r="16688" spans="7:7" x14ac:dyDescent="0.2">
      <c r="G16688" s="7"/>
    </row>
    <row r="16689" spans="7:7" x14ac:dyDescent="0.2">
      <c r="G16689" s="7"/>
    </row>
    <row r="16690" spans="7:7" x14ac:dyDescent="0.2">
      <c r="G16690" s="7"/>
    </row>
    <row r="16691" spans="7:7" x14ac:dyDescent="0.2">
      <c r="G16691" s="7"/>
    </row>
    <row r="16692" spans="7:7" x14ac:dyDescent="0.2">
      <c r="G16692" s="7"/>
    </row>
    <row r="16693" spans="7:7" x14ac:dyDescent="0.2">
      <c r="G16693" s="7"/>
    </row>
    <row r="16694" spans="7:7" x14ac:dyDescent="0.2">
      <c r="G16694" s="7"/>
    </row>
    <row r="16695" spans="7:7" x14ac:dyDescent="0.2">
      <c r="G16695" s="7"/>
    </row>
    <row r="16696" spans="7:7" x14ac:dyDescent="0.2">
      <c r="G16696" s="7"/>
    </row>
    <row r="16697" spans="7:7" x14ac:dyDescent="0.2">
      <c r="G16697" s="7"/>
    </row>
    <row r="16698" spans="7:7" x14ac:dyDescent="0.2">
      <c r="G16698" s="7"/>
    </row>
    <row r="16699" spans="7:7" x14ac:dyDescent="0.2">
      <c r="G16699" s="7"/>
    </row>
    <row r="16700" spans="7:7" x14ac:dyDescent="0.2">
      <c r="G16700" s="7"/>
    </row>
    <row r="16701" spans="7:7" x14ac:dyDescent="0.2">
      <c r="G16701" s="7"/>
    </row>
    <row r="16702" spans="7:7" x14ac:dyDescent="0.2">
      <c r="G16702" s="7"/>
    </row>
    <row r="16703" spans="7:7" x14ac:dyDescent="0.2">
      <c r="G16703" s="7"/>
    </row>
    <row r="16704" spans="7:7" x14ac:dyDescent="0.2">
      <c r="G16704" s="7"/>
    </row>
    <row r="16705" spans="7:7" x14ac:dyDescent="0.2">
      <c r="G16705" s="7"/>
    </row>
    <row r="16706" spans="7:7" x14ac:dyDescent="0.2">
      <c r="G16706" s="7"/>
    </row>
    <row r="16707" spans="7:7" x14ac:dyDescent="0.2">
      <c r="G16707" s="7"/>
    </row>
    <row r="16708" spans="7:7" x14ac:dyDescent="0.2">
      <c r="G16708" s="7"/>
    </row>
    <row r="16709" spans="7:7" x14ac:dyDescent="0.2">
      <c r="G16709" s="7"/>
    </row>
    <row r="16710" spans="7:7" x14ac:dyDescent="0.2">
      <c r="G16710" s="7"/>
    </row>
    <row r="16711" spans="7:7" x14ac:dyDescent="0.2">
      <c r="G16711" s="7"/>
    </row>
    <row r="16712" spans="7:7" x14ac:dyDescent="0.2">
      <c r="G16712" s="7"/>
    </row>
    <row r="16713" spans="7:7" x14ac:dyDescent="0.2">
      <c r="G16713" s="7"/>
    </row>
    <row r="16714" spans="7:7" x14ac:dyDescent="0.2">
      <c r="G16714" s="7"/>
    </row>
    <row r="16715" spans="7:7" x14ac:dyDescent="0.2">
      <c r="G16715" s="7"/>
    </row>
    <row r="16716" spans="7:7" x14ac:dyDescent="0.2">
      <c r="G16716" s="7"/>
    </row>
    <row r="16717" spans="7:7" x14ac:dyDescent="0.2">
      <c r="G16717" s="7"/>
    </row>
    <row r="16718" spans="7:7" x14ac:dyDescent="0.2">
      <c r="G16718" s="7"/>
    </row>
    <row r="16719" spans="7:7" x14ac:dyDescent="0.2">
      <c r="G16719" s="7"/>
    </row>
    <row r="16720" spans="7:7" x14ac:dyDescent="0.2">
      <c r="G16720" s="7"/>
    </row>
    <row r="16721" spans="7:7" x14ac:dyDescent="0.2">
      <c r="G16721" s="7"/>
    </row>
    <row r="16722" spans="7:7" x14ac:dyDescent="0.2">
      <c r="G16722" s="7"/>
    </row>
    <row r="16723" spans="7:7" x14ac:dyDescent="0.2">
      <c r="G16723" s="7"/>
    </row>
    <row r="16724" spans="7:7" x14ac:dyDescent="0.2">
      <c r="G16724" s="7"/>
    </row>
    <row r="16725" spans="7:7" x14ac:dyDescent="0.2">
      <c r="G16725" s="7"/>
    </row>
    <row r="16726" spans="7:7" x14ac:dyDescent="0.2">
      <c r="G16726" s="7"/>
    </row>
    <row r="16727" spans="7:7" x14ac:dyDescent="0.2">
      <c r="G16727" s="7"/>
    </row>
    <row r="16728" spans="7:7" x14ac:dyDescent="0.2">
      <c r="G16728" s="7"/>
    </row>
    <row r="16729" spans="7:7" x14ac:dyDescent="0.2">
      <c r="G16729" s="7"/>
    </row>
    <row r="16730" spans="7:7" x14ac:dyDescent="0.2">
      <c r="G16730" s="7"/>
    </row>
    <row r="16731" spans="7:7" x14ac:dyDescent="0.2">
      <c r="G16731" s="7"/>
    </row>
    <row r="16732" spans="7:7" x14ac:dyDescent="0.2">
      <c r="G16732" s="7"/>
    </row>
    <row r="16733" spans="7:7" x14ac:dyDescent="0.2">
      <c r="G16733" s="7"/>
    </row>
    <row r="16734" spans="7:7" x14ac:dyDescent="0.2">
      <c r="G16734" s="7"/>
    </row>
    <row r="16735" spans="7:7" x14ac:dyDescent="0.2">
      <c r="G16735" s="7"/>
    </row>
    <row r="16736" spans="7:7" x14ac:dyDescent="0.2">
      <c r="G16736" s="7"/>
    </row>
    <row r="16737" spans="7:7" x14ac:dyDescent="0.2">
      <c r="G16737" s="7"/>
    </row>
    <row r="16738" spans="7:7" x14ac:dyDescent="0.2">
      <c r="G16738" s="7"/>
    </row>
    <row r="16739" spans="7:7" x14ac:dyDescent="0.2">
      <c r="G16739" s="7"/>
    </row>
    <row r="16740" spans="7:7" x14ac:dyDescent="0.2">
      <c r="G16740" s="7"/>
    </row>
    <row r="16741" spans="7:7" x14ac:dyDescent="0.2">
      <c r="G16741" s="7"/>
    </row>
    <row r="16742" spans="7:7" x14ac:dyDescent="0.2">
      <c r="G16742" s="7"/>
    </row>
    <row r="16743" spans="7:7" x14ac:dyDescent="0.2">
      <c r="G16743" s="7"/>
    </row>
    <row r="16744" spans="7:7" x14ac:dyDescent="0.2">
      <c r="G16744" s="7"/>
    </row>
    <row r="16745" spans="7:7" x14ac:dyDescent="0.2">
      <c r="G16745" s="7"/>
    </row>
    <row r="16746" spans="7:7" x14ac:dyDescent="0.2">
      <c r="G16746" s="7"/>
    </row>
    <row r="16747" spans="7:7" x14ac:dyDescent="0.2">
      <c r="G16747" s="7"/>
    </row>
    <row r="16748" spans="7:7" x14ac:dyDescent="0.2">
      <c r="G16748" s="7"/>
    </row>
    <row r="16749" spans="7:7" x14ac:dyDescent="0.2">
      <c r="G16749" s="7"/>
    </row>
    <row r="16750" spans="7:7" x14ac:dyDescent="0.2">
      <c r="G16750" s="7"/>
    </row>
    <row r="16751" spans="7:7" x14ac:dyDescent="0.2">
      <c r="G16751" s="7"/>
    </row>
    <row r="16752" spans="7:7" x14ac:dyDescent="0.2">
      <c r="G16752" s="7"/>
    </row>
    <row r="16753" spans="7:7" x14ac:dyDescent="0.2">
      <c r="G16753" s="7"/>
    </row>
    <row r="16754" spans="7:7" x14ac:dyDescent="0.2">
      <c r="G16754" s="7"/>
    </row>
    <row r="16755" spans="7:7" x14ac:dyDescent="0.2">
      <c r="G16755" s="7"/>
    </row>
    <row r="16756" spans="7:7" x14ac:dyDescent="0.2">
      <c r="G16756" s="7"/>
    </row>
    <row r="16757" spans="7:7" x14ac:dyDescent="0.2">
      <c r="G16757" s="7"/>
    </row>
    <row r="16758" spans="7:7" x14ac:dyDescent="0.2">
      <c r="G16758" s="7"/>
    </row>
    <row r="16759" spans="7:7" x14ac:dyDescent="0.2">
      <c r="G16759" s="7"/>
    </row>
    <row r="16760" spans="7:7" x14ac:dyDescent="0.2">
      <c r="G16760" s="7"/>
    </row>
    <row r="16761" spans="7:7" x14ac:dyDescent="0.2">
      <c r="G16761" s="7"/>
    </row>
    <row r="16762" spans="7:7" x14ac:dyDescent="0.2">
      <c r="G16762" s="7"/>
    </row>
    <row r="16763" spans="7:7" x14ac:dyDescent="0.2">
      <c r="G16763" s="7"/>
    </row>
    <row r="16764" spans="7:7" x14ac:dyDescent="0.2">
      <c r="G16764" s="7"/>
    </row>
    <row r="16765" spans="7:7" x14ac:dyDescent="0.2">
      <c r="G16765" s="7"/>
    </row>
    <row r="16766" spans="7:7" x14ac:dyDescent="0.2">
      <c r="G16766" s="7"/>
    </row>
    <row r="16767" spans="7:7" x14ac:dyDescent="0.2">
      <c r="G16767" s="7"/>
    </row>
    <row r="16768" spans="7:7" x14ac:dyDescent="0.2">
      <c r="G16768" s="7"/>
    </row>
    <row r="16769" spans="7:7" x14ac:dyDescent="0.2">
      <c r="G16769" s="7"/>
    </row>
    <row r="16770" spans="7:7" x14ac:dyDescent="0.2">
      <c r="G16770" s="7"/>
    </row>
    <row r="16771" spans="7:7" x14ac:dyDescent="0.2">
      <c r="G16771" s="7"/>
    </row>
    <row r="16772" spans="7:7" x14ac:dyDescent="0.2">
      <c r="G16772" s="7"/>
    </row>
    <row r="16773" spans="7:7" x14ac:dyDescent="0.2">
      <c r="G16773" s="7"/>
    </row>
    <row r="16774" spans="7:7" x14ac:dyDescent="0.2">
      <c r="G16774" s="7"/>
    </row>
    <row r="16775" spans="7:7" x14ac:dyDescent="0.2">
      <c r="G16775" s="7"/>
    </row>
    <row r="16776" spans="7:7" x14ac:dyDescent="0.2">
      <c r="G16776" s="7"/>
    </row>
    <row r="16777" spans="7:7" x14ac:dyDescent="0.2">
      <c r="G16777" s="7"/>
    </row>
    <row r="16778" spans="7:7" x14ac:dyDescent="0.2">
      <c r="G16778" s="7"/>
    </row>
    <row r="16779" spans="7:7" x14ac:dyDescent="0.2">
      <c r="G16779" s="7"/>
    </row>
    <row r="16780" spans="7:7" x14ac:dyDescent="0.2">
      <c r="G16780" s="7"/>
    </row>
    <row r="16781" spans="7:7" x14ac:dyDescent="0.2">
      <c r="G16781" s="7"/>
    </row>
    <row r="16782" spans="7:7" x14ac:dyDescent="0.2">
      <c r="G16782" s="7"/>
    </row>
    <row r="16783" spans="7:7" x14ac:dyDescent="0.2">
      <c r="G16783" s="7"/>
    </row>
    <row r="16784" spans="7:7" x14ac:dyDescent="0.2">
      <c r="G16784" s="7"/>
    </row>
    <row r="16785" spans="7:7" x14ac:dyDescent="0.2">
      <c r="G16785" s="7"/>
    </row>
    <row r="16786" spans="7:7" x14ac:dyDescent="0.2">
      <c r="G16786" s="7"/>
    </row>
    <row r="16787" spans="7:7" x14ac:dyDescent="0.2">
      <c r="G16787" s="7"/>
    </row>
    <row r="16788" spans="7:7" x14ac:dyDescent="0.2">
      <c r="G16788" s="7"/>
    </row>
    <row r="16789" spans="7:7" x14ac:dyDescent="0.2">
      <c r="G16789" s="7"/>
    </row>
    <row r="16790" spans="7:7" x14ac:dyDescent="0.2">
      <c r="G16790" s="7"/>
    </row>
    <row r="16791" spans="7:7" x14ac:dyDescent="0.2">
      <c r="G16791" s="7"/>
    </row>
    <row r="16792" spans="7:7" x14ac:dyDescent="0.2">
      <c r="G16792" s="7"/>
    </row>
    <row r="16793" spans="7:7" x14ac:dyDescent="0.2">
      <c r="G16793" s="7"/>
    </row>
    <row r="16794" spans="7:7" x14ac:dyDescent="0.2">
      <c r="G16794" s="7"/>
    </row>
    <row r="16795" spans="7:7" x14ac:dyDescent="0.2">
      <c r="G16795" s="7"/>
    </row>
    <row r="16796" spans="7:7" x14ac:dyDescent="0.2">
      <c r="G16796" s="7"/>
    </row>
    <row r="16797" spans="7:7" x14ac:dyDescent="0.2">
      <c r="G16797" s="7"/>
    </row>
    <row r="16798" spans="7:7" x14ac:dyDescent="0.2">
      <c r="G16798" s="7"/>
    </row>
    <row r="16799" spans="7:7" x14ac:dyDescent="0.2">
      <c r="G16799" s="7"/>
    </row>
    <row r="16800" spans="7:7" x14ac:dyDescent="0.2">
      <c r="G16800" s="7"/>
    </row>
    <row r="16801" spans="7:7" x14ac:dyDescent="0.2">
      <c r="G16801" s="7"/>
    </row>
    <row r="16802" spans="7:7" x14ac:dyDescent="0.2">
      <c r="G16802" s="7"/>
    </row>
    <row r="16803" spans="7:7" x14ac:dyDescent="0.2">
      <c r="G16803" s="7"/>
    </row>
    <row r="16804" spans="7:7" x14ac:dyDescent="0.2">
      <c r="G16804" s="7"/>
    </row>
    <row r="16805" spans="7:7" x14ac:dyDescent="0.2">
      <c r="G16805" s="7"/>
    </row>
    <row r="16806" spans="7:7" x14ac:dyDescent="0.2">
      <c r="G16806" s="7"/>
    </row>
    <row r="16807" spans="7:7" x14ac:dyDescent="0.2">
      <c r="G16807" s="7"/>
    </row>
    <row r="16808" spans="7:7" x14ac:dyDescent="0.2">
      <c r="G16808" s="7"/>
    </row>
    <row r="16809" spans="7:7" x14ac:dyDescent="0.2">
      <c r="G16809" s="7"/>
    </row>
    <row r="16810" spans="7:7" x14ac:dyDescent="0.2">
      <c r="G16810" s="7"/>
    </row>
    <row r="16811" spans="7:7" x14ac:dyDescent="0.2">
      <c r="G16811" s="7"/>
    </row>
    <row r="16812" spans="7:7" x14ac:dyDescent="0.2">
      <c r="G16812" s="7"/>
    </row>
    <row r="16813" spans="7:7" x14ac:dyDescent="0.2">
      <c r="G16813" s="7"/>
    </row>
    <row r="16814" spans="7:7" x14ac:dyDescent="0.2">
      <c r="G16814" s="7"/>
    </row>
    <row r="16815" spans="7:7" x14ac:dyDescent="0.2">
      <c r="G16815" s="7"/>
    </row>
    <row r="16816" spans="7:7" x14ac:dyDescent="0.2">
      <c r="G16816" s="7"/>
    </row>
    <row r="16817" spans="7:7" x14ac:dyDescent="0.2">
      <c r="G16817" s="7"/>
    </row>
    <row r="16818" spans="7:7" x14ac:dyDescent="0.2">
      <c r="G16818" s="7"/>
    </row>
    <row r="16819" spans="7:7" x14ac:dyDescent="0.2">
      <c r="G16819" s="7"/>
    </row>
    <row r="16820" spans="7:7" x14ac:dyDescent="0.2">
      <c r="G16820" s="7"/>
    </row>
    <row r="16821" spans="7:7" x14ac:dyDescent="0.2">
      <c r="G16821" s="7"/>
    </row>
    <row r="16822" spans="7:7" x14ac:dyDescent="0.2">
      <c r="G16822" s="7"/>
    </row>
    <row r="16823" spans="7:7" x14ac:dyDescent="0.2">
      <c r="G16823" s="7"/>
    </row>
    <row r="16824" spans="7:7" x14ac:dyDescent="0.2">
      <c r="G16824" s="7"/>
    </row>
    <row r="16825" spans="7:7" x14ac:dyDescent="0.2">
      <c r="G16825" s="7"/>
    </row>
    <row r="16826" spans="7:7" x14ac:dyDescent="0.2">
      <c r="G16826" s="7"/>
    </row>
    <row r="16827" spans="7:7" x14ac:dyDescent="0.2">
      <c r="G16827" s="7"/>
    </row>
    <row r="16828" spans="7:7" x14ac:dyDescent="0.2">
      <c r="G16828" s="7"/>
    </row>
    <row r="16829" spans="7:7" x14ac:dyDescent="0.2">
      <c r="G16829" s="7"/>
    </row>
    <row r="16830" spans="7:7" x14ac:dyDescent="0.2">
      <c r="G16830" s="7"/>
    </row>
    <row r="16831" spans="7:7" x14ac:dyDescent="0.2">
      <c r="G16831" s="7"/>
    </row>
    <row r="16832" spans="7:7" x14ac:dyDescent="0.2">
      <c r="G16832" s="7"/>
    </row>
    <row r="16833" spans="7:7" x14ac:dyDescent="0.2">
      <c r="G16833" s="7"/>
    </row>
    <row r="16834" spans="7:7" x14ac:dyDescent="0.2">
      <c r="G16834" s="7"/>
    </row>
    <row r="16835" spans="7:7" x14ac:dyDescent="0.2">
      <c r="G16835" s="7"/>
    </row>
    <row r="16836" spans="7:7" x14ac:dyDescent="0.2">
      <c r="G16836" s="7"/>
    </row>
    <row r="16837" spans="7:7" x14ac:dyDescent="0.2">
      <c r="G16837" s="7"/>
    </row>
    <row r="16838" spans="7:7" x14ac:dyDescent="0.2">
      <c r="G16838" s="7"/>
    </row>
    <row r="16839" spans="7:7" x14ac:dyDescent="0.2">
      <c r="G16839" s="7"/>
    </row>
    <row r="16840" spans="7:7" x14ac:dyDescent="0.2">
      <c r="G16840" s="7"/>
    </row>
    <row r="16841" spans="7:7" x14ac:dyDescent="0.2">
      <c r="G16841" s="7"/>
    </row>
    <row r="16842" spans="7:7" x14ac:dyDescent="0.2">
      <c r="G16842" s="7"/>
    </row>
    <row r="16843" spans="7:7" x14ac:dyDescent="0.2">
      <c r="G16843" s="7"/>
    </row>
    <row r="16844" spans="7:7" x14ac:dyDescent="0.2">
      <c r="G16844" s="7"/>
    </row>
    <row r="16845" spans="7:7" x14ac:dyDescent="0.2">
      <c r="G16845" s="7"/>
    </row>
    <row r="16846" spans="7:7" x14ac:dyDescent="0.2">
      <c r="G16846" s="7"/>
    </row>
    <row r="16847" spans="7:7" x14ac:dyDescent="0.2">
      <c r="G16847" s="7"/>
    </row>
    <row r="16848" spans="7:7" x14ac:dyDescent="0.2">
      <c r="G16848" s="7"/>
    </row>
    <row r="16849" spans="7:7" x14ac:dyDescent="0.2">
      <c r="G16849" s="7"/>
    </row>
    <row r="16850" spans="7:7" x14ac:dyDescent="0.2">
      <c r="G16850" s="7"/>
    </row>
    <row r="16851" spans="7:7" x14ac:dyDescent="0.2">
      <c r="G16851" s="7"/>
    </row>
    <row r="16852" spans="7:7" x14ac:dyDescent="0.2">
      <c r="G16852" s="7"/>
    </row>
    <row r="16853" spans="7:7" x14ac:dyDescent="0.2">
      <c r="G16853" s="7"/>
    </row>
    <row r="16854" spans="7:7" x14ac:dyDescent="0.2">
      <c r="G16854" s="7"/>
    </row>
    <row r="16855" spans="7:7" x14ac:dyDescent="0.2">
      <c r="G16855" s="7"/>
    </row>
    <row r="16856" spans="7:7" x14ac:dyDescent="0.2">
      <c r="G16856" s="7"/>
    </row>
    <row r="16857" spans="7:7" x14ac:dyDescent="0.2">
      <c r="G16857" s="7"/>
    </row>
    <row r="16858" spans="7:7" x14ac:dyDescent="0.2">
      <c r="G16858" s="7"/>
    </row>
    <row r="16859" spans="7:7" x14ac:dyDescent="0.2">
      <c r="G16859" s="7"/>
    </row>
    <row r="16860" spans="7:7" x14ac:dyDescent="0.2">
      <c r="G16860" s="7"/>
    </row>
    <row r="16861" spans="7:7" x14ac:dyDescent="0.2">
      <c r="G16861" s="7"/>
    </row>
    <row r="16862" spans="7:7" x14ac:dyDescent="0.2">
      <c r="G16862" s="7"/>
    </row>
    <row r="16863" spans="7:7" x14ac:dyDescent="0.2">
      <c r="G16863" s="7"/>
    </row>
    <row r="16864" spans="7:7" x14ac:dyDescent="0.2">
      <c r="G16864" s="7"/>
    </row>
    <row r="16865" spans="7:7" x14ac:dyDescent="0.2">
      <c r="G16865" s="7"/>
    </row>
    <row r="16866" spans="7:7" x14ac:dyDescent="0.2">
      <c r="G16866" s="7"/>
    </row>
    <row r="16867" spans="7:7" x14ac:dyDescent="0.2">
      <c r="G16867" s="7"/>
    </row>
    <row r="16868" spans="7:7" x14ac:dyDescent="0.2">
      <c r="G16868" s="7"/>
    </row>
    <row r="16869" spans="7:7" x14ac:dyDescent="0.2">
      <c r="G16869" s="7"/>
    </row>
    <row r="16870" spans="7:7" x14ac:dyDescent="0.2">
      <c r="G16870" s="7"/>
    </row>
    <row r="16871" spans="7:7" x14ac:dyDescent="0.2">
      <c r="G16871" s="7"/>
    </row>
    <row r="16872" spans="7:7" x14ac:dyDescent="0.2">
      <c r="G16872" s="7"/>
    </row>
    <row r="16873" spans="7:7" x14ac:dyDescent="0.2">
      <c r="G16873" s="7"/>
    </row>
    <row r="16874" spans="7:7" x14ac:dyDescent="0.2">
      <c r="G16874" s="7"/>
    </row>
    <row r="16875" spans="7:7" x14ac:dyDescent="0.2">
      <c r="G16875" s="7"/>
    </row>
    <row r="16876" spans="7:7" x14ac:dyDescent="0.2">
      <c r="G16876" s="7"/>
    </row>
    <row r="16877" spans="7:7" x14ac:dyDescent="0.2">
      <c r="G16877" s="7"/>
    </row>
    <row r="16878" spans="7:7" x14ac:dyDescent="0.2">
      <c r="G16878" s="7"/>
    </row>
    <row r="16879" spans="7:7" x14ac:dyDescent="0.2">
      <c r="G16879" s="7"/>
    </row>
    <row r="16880" spans="7:7" x14ac:dyDescent="0.2">
      <c r="G16880" s="7"/>
    </row>
    <row r="16881" spans="7:7" x14ac:dyDescent="0.2">
      <c r="G16881" s="7"/>
    </row>
    <row r="16882" spans="7:7" x14ac:dyDescent="0.2">
      <c r="G16882" s="7"/>
    </row>
    <row r="16883" spans="7:7" x14ac:dyDescent="0.2">
      <c r="G16883" s="7"/>
    </row>
    <row r="16884" spans="7:7" x14ac:dyDescent="0.2">
      <c r="G16884" s="7"/>
    </row>
    <row r="16885" spans="7:7" x14ac:dyDescent="0.2">
      <c r="G16885" s="7"/>
    </row>
    <row r="16886" spans="7:7" x14ac:dyDescent="0.2">
      <c r="G16886" s="7"/>
    </row>
    <row r="16887" spans="7:7" x14ac:dyDescent="0.2">
      <c r="G16887" s="7"/>
    </row>
    <row r="16888" spans="7:7" x14ac:dyDescent="0.2">
      <c r="G16888" s="7"/>
    </row>
    <row r="16889" spans="7:7" x14ac:dyDescent="0.2">
      <c r="G16889" s="7"/>
    </row>
    <row r="16890" spans="7:7" x14ac:dyDescent="0.2">
      <c r="G16890" s="7"/>
    </row>
    <row r="16891" spans="7:7" x14ac:dyDescent="0.2">
      <c r="G16891" s="7"/>
    </row>
    <row r="16892" spans="7:7" x14ac:dyDescent="0.2">
      <c r="G16892" s="7"/>
    </row>
    <row r="16893" spans="7:7" x14ac:dyDescent="0.2">
      <c r="G16893" s="7"/>
    </row>
    <row r="16894" spans="7:7" x14ac:dyDescent="0.2">
      <c r="G16894" s="7"/>
    </row>
    <row r="16895" spans="7:7" x14ac:dyDescent="0.2">
      <c r="G16895" s="7"/>
    </row>
    <row r="16896" spans="7:7" x14ac:dyDescent="0.2">
      <c r="G16896" s="7"/>
    </row>
    <row r="16897" spans="7:7" x14ac:dyDescent="0.2">
      <c r="G16897" s="7"/>
    </row>
    <row r="16898" spans="7:7" x14ac:dyDescent="0.2">
      <c r="G16898" s="7"/>
    </row>
    <row r="16899" spans="7:7" x14ac:dyDescent="0.2">
      <c r="G16899" s="7"/>
    </row>
    <row r="16900" spans="7:7" x14ac:dyDescent="0.2">
      <c r="G16900" s="7"/>
    </row>
    <row r="16901" spans="7:7" x14ac:dyDescent="0.2">
      <c r="G16901" s="7"/>
    </row>
    <row r="16902" spans="7:7" x14ac:dyDescent="0.2">
      <c r="G16902" s="7"/>
    </row>
    <row r="16903" spans="7:7" x14ac:dyDescent="0.2">
      <c r="G16903" s="7"/>
    </row>
    <row r="16904" spans="7:7" x14ac:dyDescent="0.2">
      <c r="G16904" s="7"/>
    </row>
    <row r="16905" spans="7:7" x14ac:dyDescent="0.2">
      <c r="G16905" s="7"/>
    </row>
    <row r="16906" spans="7:7" x14ac:dyDescent="0.2">
      <c r="G16906" s="7"/>
    </row>
    <row r="16907" spans="7:7" x14ac:dyDescent="0.2">
      <c r="G16907" s="7"/>
    </row>
    <row r="16908" spans="7:7" x14ac:dyDescent="0.2">
      <c r="G16908" s="7"/>
    </row>
    <row r="16909" spans="7:7" x14ac:dyDescent="0.2">
      <c r="G16909" s="7"/>
    </row>
    <row r="16910" spans="7:7" x14ac:dyDescent="0.2">
      <c r="G16910" s="7"/>
    </row>
    <row r="16911" spans="7:7" x14ac:dyDescent="0.2">
      <c r="G16911" s="7"/>
    </row>
    <row r="16912" spans="7:7" x14ac:dyDescent="0.2">
      <c r="G16912" s="7"/>
    </row>
    <row r="16913" spans="7:7" x14ac:dyDescent="0.2">
      <c r="G16913" s="7"/>
    </row>
    <row r="16914" spans="7:7" x14ac:dyDescent="0.2">
      <c r="G16914" s="7"/>
    </row>
    <row r="16915" spans="7:7" x14ac:dyDescent="0.2">
      <c r="G16915" s="7"/>
    </row>
    <row r="16916" spans="7:7" x14ac:dyDescent="0.2">
      <c r="G16916" s="7"/>
    </row>
    <row r="16917" spans="7:7" x14ac:dyDescent="0.2">
      <c r="G16917" s="7"/>
    </row>
    <row r="16918" spans="7:7" x14ac:dyDescent="0.2">
      <c r="G16918" s="7"/>
    </row>
    <row r="16919" spans="7:7" x14ac:dyDescent="0.2">
      <c r="G16919" s="7"/>
    </row>
    <row r="16920" spans="7:7" x14ac:dyDescent="0.2">
      <c r="G16920" s="7"/>
    </row>
    <row r="16921" spans="7:7" x14ac:dyDescent="0.2">
      <c r="G16921" s="7"/>
    </row>
    <row r="16922" spans="7:7" x14ac:dyDescent="0.2">
      <c r="G16922" s="7"/>
    </row>
    <row r="16923" spans="7:7" x14ac:dyDescent="0.2">
      <c r="G16923" s="7"/>
    </row>
    <row r="16924" spans="7:7" x14ac:dyDescent="0.2">
      <c r="G16924" s="7"/>
    </row>
    <row r="16925" spans="7:7" x14ac:dyDescent="0.2">
      <c r="G16925" s="7"/>
    </row>
    <row r="16926" spans="7:7" x14ac:dyDescent="0.2">
      <c r="G16926" s="7"/>
    </row>
    <row r="16927" spans="7:7" x14ac:dyDescent="0.2">
      <c r="G16927" s="7"/>
    </row>
    <row r="16928" spans="7:7" x14ac:dyDescent="0.2">
      <c r="G16928" s="7"/>
    </row>
    <row r="16929" spans="7:7" x14ac:dyDescent="0.2">
      <c r="G16929" s="7"/>
    </row>
    <row r="16930" spans="7:7" x14ac:dyDescent="0.2">
      <c r="G16930" s="7"/>
    </row>
    <row r="16931" spans="7:7" x14ac:dyDescent="0.2">
      <c r="G16931" s="7"/>
    </row>
    <row r="16932" spans="7:7" x14ac:dyDescent="0.2">
      <c r="G16932" s="7"/>
    </row>
    <row r="16933" spans="7:7" x14ac:dyDescent="0.2">
      <c r="G16933" s="7"/>
    </row>
    <row r="16934" spans="7:7" x14ac:dyDescent="0.2">
      <c r="G16934" s="7"/>
    </row>
    <row r="16935" spans="7:7" x14ac:dyDescent="0.2">
      <c r="G16935" s="7"/>
    </row>
    <row r="16936" spans="7:7" x14ac:dyDescent="0.2">
      <c r="G16936" s="7"/>
    </row>
    <row r="16937" spans="7:7" x14ac:dyDescent="0.2">
      <c r="G16937" s="7"/>
    </row>
    <row r="16938" spans="7:7" x14ac:dyDescent="0.2">
      <c r="G16938" s="7"/>
    </row>
    <row r="16939" spans="7:7" x14ac:dyDescent="0.2">
      <c r="G16939" s="7"/>
    </row>
    <row r="16940" spans="7:7" x14ac:dyDescent="0.2">
      <c r="G16940" s="7"/>
    </row>
    <row r="16941" spans="7:7" x14ac:dyDescent="0.2">
      <c r="G16941" s="7"/>
    </row>
    <row r="16942" spans="7:7" x14ac:dyDescent="0.2">
      <c r="G16942" s="7"/>
    </row>
    <row r="16943" spans="7:7" x14ac:dyDescent="0.2">
      <c r="G16943" s="7"/>
    </row>
    <row r="16944" spans="7:7" x14ac:dyDescent="0.2">
      <c r="G16944" s="7"/>
    </row>
    <row r="16945" spans="7:7" x14ac:dyDescent="0.2">
      <c r="G16945" s="7"/>
    </row>
    <row r="16946" spans="7:7" x14ac:dyDescent="0.2">
      <c r="G16946" s="7"/>
    </row>
    <row r="16947" spans="7:7" x14ac:dyDescent="0.2">
      <c r="G16947" s="7"/>
    </row>
    <row r="16948" spans="7:7" x14ac:dyDescent="0.2">
      <c r="G16948" s="7"/>
    </row>
    <row r="16949" spans="7:7" x14ac:dyDescent="0.2">
      <c r="G16949" s="7"/>
    </row>
    <row r="16950" spans="7:7" x14ac:dyDescent="0.2">
      <c r="G16950" s="7"/>
    </row>
    <row r="16951" spans="7:7" x14ac:dyDescent="0.2">
      <c r="G16951" s="7"/>
    </row>
    <row r="16952" spans="7:7" x14ac:dyDescent="0.2">
      <c r="G16952" s="7"/>
    </row>
    <row r="16953" spans="7:7" x14ac:dyDescent="0.2">
      <c r="G16953" s="7"/>
    </row>
    <row r="16954" spans="7:7" x14ac:dyDescent="0.2">
      <c r="G16954" s="7"/>
    </row>
    <row r="16955" spans="7:7" x14ac:dyDescent="0.2">
      <c r="G16955" s="7"/>
    </row>
    <row r="16956" spans="7:7" x14ac:dyDescent="0.2">
      <c r="G16956" s="7"/>
    </row>
    <row r="16957" spans="7:7" x14ac:dyDescent="0.2">
      <c r="G16957" s="7"/>
    </row>
    <row r="16958" spans="7:7" x14ac:dyDescent="0.2">
      <c r="G16958" s="7"/>
    </row>
    <row r="16959" spans="7:7" x14ac:dyDescent="0.2">
      <c r="G16959" s="7"/>
    </row>
    <row r="16960" spans="7:7" x14ac:dyDescent="0.2">
      <c r="G16960" s="7"/>
    </row>
    <row r="16961" spans="7:7" x14ac:dyDescent="0.2">
      <c r="G16961" s="7"/>
    </row>
    <row r="16962" spans="7:7" x14ac:dyDescent="0.2">
      <c r="G16962" s="7"/>
    </row>
    <row r="16963" spans="7:7" x14ac:dyDescent="0.2">
      <c r="G16963" s="7"/>
    </row>
    <row r="16964" spans="7:7" x14ac:dyDescent="0.2">
      <c r="G16964" s="7"/>
    </row>
    <row r="16965" spans="7:7" x14ac:dyDescent="0.2">
      <c r="G16965" s="7"/>
    </row>
    <row r="16966" spans="7:7" x14ac:dyDescent="0.2">
      <c r="G16966" s="7"/>
    </row>
    <row r="16967" spans="7:7" x14ac:dyDescent="0.2">
      <c r="G16967" s="7"/>
    </row>
    <row r="16968" spans="7:7" x14ac:dyDescent="0.2">
      <c r="G16968" s="7"/>
    </row>
    <row r="16969" spans="7:7" x14ac:dyDescent="0.2">
      <c r="G16969" s="7"/>
    </row>
    <row r="16970" spans="7:7" x14ac:dyDescent="0.2">
      <c r="G16970" s="7"/>
    </row>
    <row r="16971" spans="7:7" x14ac:dyDescent="0.2">
      <c r="G16971" s="7"/>
    </row>
    <row r="16972" spans="7:7" x14ac:dyDescent="0.2">
      <c r="G16972" s="7"/>
    </row>
    <row r="16973" spans="7:7" x14ac:dyDescent="0.2">
      <c r="G16973" s="7"/>
    </row>
    <row r="16974" spans="7:7" x14ac:dyDescent="0.2">
      <c r="G16974" s="7"/>
    </row>
    <row r="16975" spans="7:7" x14ac:dyDescent="0.2">
      <c r="G16975" s="7"/>
    </row>
    <row r="16976" spans="7:7" x14ac:dyDescent="0.2">
      <c r="G16976" s="7"/>
    </row>
    <row r="16977" spans="7:7" x14ac:dyDescent="0.2">
      <c r="G16977" s="7"/>
    </row>
    <row r="16978" spans="7:7" x14ac:dyDescent="0.2">
      <c r="G16978" s="7"/>
    </row>
    <row r="16979" spans="7:7" x14ac:dyDescent="0.2">
      <c r="G16979" s="7"/>
    </row>
    <row r="16980" spans="7:7" x14ac:dyDescent="0.2">
      <c r="G16980" s="7"/>
    </row>
    <row r="16981" spans="7:7" x14ac:dyDescent="0.2">
      <c r="G16981" s="7"/>
    </row>
    <row r="16982" spans="7:7" x14ac:dyDescent="0.2">
      <c r="G16982" s="7"/>
    </row>
    <row r="16983" spans="7:7" x14ac:dyDescent="0.2">
      <c r="G16983" s="7"/>
    </row>
    <row r="16984" spans="7:7" x14ac:dyDescent="0.2">
      <c r="G16984" s="7"/>
    </row>
    <row r="16985" spans="7:7" x14ac:dyDescent="0.2">
      <c r="G16985" s="7"/>
    </row>
    <row r="16986" spans="7:7" x14ac:dyDescent="0.2">
      <c r="G16986" s="7"/>
    </row>
    <row r="16987" spans="7:7" x14ac:dyDescent="0.2">
      <c r="G16987" s="7"/>
    </row>
    <row r="16988" spans="7:7" x14ac:dyDescent="0.2">
      <c r="G16988" s="7"/>
    </row>
    <row r="16989" spans="7:7" x14ac:dyDescent="0.2">
      <c r="G16989" s="7"/>
    </row>
    <row r="16990" spans="7:7" x14ac:dyDescent="0.2">
      <c r="G16990" s="7"/>
    </row>
    <row r="16991" spans="7:7" x14ac:dyDescent="0.2">
      <c r="G16991" s="7"/>
    </row>
    <row r="16992" spans="7:7" x14ac:dyDescent="0.2">
      <c r="G16992" s="7"/>
    </row>
    <row r="16993" spans="7:7" x14ac:dyDescent="0.2">
      <c r="G16993" s="7"/>
    </row>
    <row r="16994" spans="7:7" x14ac:dyDescent="0.2">
      <c r="G16994" s="7"/>
    </row>
    <row r="16995" spans="7:7" x14ac:dyDescent="0.2">
      <c r="G16995" s="7"/>
    </row>
    <row r="16996" spans="7:7" x14ac:dyDescent="0.2">
      <c r="G16996" s="7"/>
    </row>
    <row r="16997" spans="7:7" x14ac:dyDescent="0.2">
      <c r="G16997" s="7"/>
    </row>
    <row r="16998" spans="7:7" x14ac:dyDescent="0.2">
      <c r="G16998" s="7"/>
    </row>
    <row r="16999" spans="7:7" x14ac:dyDescent="0.2">
      <c r="G16999" s="7"/>
    </row>
    <row r="17000" spans="7:7" x14ac:dyDescent="0.2">
      <c r="G17000" s="7"/>
    </row>
    <row r="17001" spans="7:7" x14ac:dyDescent="0.2">
      <c r="G17001" s="7"/>
    </row>
    <row r="17002" spans="7:7" x14ac:dyDescent="0.2">
      <c r="G17002" s="7"/>
    </row>
    <row r="17003" spans="7:7" x14ac:dyDescent="0.2">
      <c r="G17003" s="7"/>
    </row>
    <row r="17004" spans="7:7" x14ac:dyDescent="0.2">
      <c r="G17004" s="7"/>
    </row>
    <row r="17005" spans="7:7" x14ac:dyDescent="0.2">
      <c r="G17005" s="7"/>
    </row>
    <row r="17006" spans="7:7" x14ac:dyDescent="0.2">
      <c r="G17006" s="7"/>
    </row>
    <row r="17007" spans="7:7" x14ac:dyDescent="0.2">
      <c r="G17007" s="7"/>
    </row>
    <row r="17008" spans="7:7" x14ac:dyDescent="0.2">
      <c r="G17008" s="7"/>
    </row>
    <row r="17009" spans="7:7" x14ac:dyDescent="0.2">
      <c r="G17009" s="7"/>
    </row>
    <row r="17010" spans="7:7" x14ac:dyDescent="0.2">
      <c r="G17010" s="7"/>
    </row>
    <row r="17011" spans="7:7" x14ac:dyDescent="0.2">
      <c r="G17011" s="7"/>
    </row>
    <row r="17012" spans="7:7" x14ac:dyDescent="0.2">
      <c r="G17012" s="7"/>
    </row>
    <row r="17013" spans="7:7" x14ac:dyDescent="0.2">
      <c r="G17013" s="7"/>
    </row>
    <row r="17014" spans="7:7" x14ac:dyDescent="0.2">
      <c r="G17014" s="7"/>
    </row>
    <row r="17015" spans="7:7" x14ac:dyDescent="0.2">
      <c r="G17015" s="7"/>
    </row>
    <row r="17016" spans="7:7" x14ac:dyDescent="0.2">
      <c r="G17016" s="7"/>
    </row>
    <row r="17017" spans="7:7" x14ac:dyDescent="0.2">
      <c r="G17017" s="7"/>
    </row>
    <row r="17018" spans="7:7" x14ac:dyDescent="0.2">
      <c r="G17018" s="7"/>
    </row>
    <row r="17019" spans="7:7" x14ac:dyDescent="0.2">
      <c r="G17019" s="7"/>
    </row>
    <row r="17020" spans="7:7" x14ac:dyDescent="0.2">
      <c r="G17020" s="7"/>
    </row>
    <row r="17021" spans="7:7" x14ac:dyDescent="0.2">
      <c r="G17021" s="7"/>
    </row>
    <row r="17022" spans="7:7" x14ac:dyDescent="0.2">
      <c r="G17022" s="7"/>
    </row>
    <row r="17023" spans="7:7" x14ac:dyDescent="0.2">
      <c r="G17023" s="7"/>
    </row>
    <row r="17024" spans="7:7" x14ac:dyDescent="0.2">
      <c r="G17024" s="7"/>
    </row>
    <row r="17025" spans="7:7" x14ac:dyDescent="0.2">
      <c r="G17025" s="7"/>
    </row>
    <row r="17026" spans="7:7" x14ac:dyDescent="0.2">
      <c r="G17026" s="7"/>
    </row>
    <row r="17027" spans="7:7" x14ac:dyDescent="0.2">
      <c r="G17027" s="7"/>
    </row>
    <row r="17028" spans="7:7" x14ac:dyDescent="0.2">
      <c r="G17028" s="7"/>
    </row>
    <row r="17029" spans="7:7" x14ac:dyDescent="0.2">
      <c r="G17029" s="7"/>
    </row>
    <row r="17030" spans="7:7" x14ac:dyDescent="0.2">
      <c r="G17030" s="7"/>
    </row>
    <row r="17031" spans="7:7" x14ac:dyDescent="0.2">
      <c r="G17031" s="7"/>
    </row>
    <row r="17032" spans="7:7" x14ac:dyDescent="0.2">
      <c r="G17032" s="7"/>
    </row>
    <row r="17033" spans="7:7" x14ac:dyDescent="0.2">
      <c r="G17033" s="7"/>
    </row>
    <row r="17034" spans="7:7" x14ac:dyDescent="0.2">
      <c r="G17034" s="7"/>
    </row>
    <row r="17035" spans="7:7" x14ac:dyDescent="0.2">
      <c r="G17035" s="7"/>
    </row>
    <row r="17036" spans="7:7" x14ac:dyDescent="0.2">
      <c r="G17036" s="7"/>
    </row>
    <row r="17037" spans="7:7" x14ac:dyDescent="0.2">
      <c r="G17037" s="7"/>
    </row>
    <row r="17038" spans="7:7" x14ac:dyDescent="0.2">
      <c r="G17038" s="7"/>
    </row>
    <row r="17039" spans="7:7" x14ac:dyDescent="0.2">
      <c r="G17039" s="7"/>
    </row>
    <row r="17040" spans="7:7" x14ac:dyDescent="0.2">
      <c r="G17040" s="7"/>
    </row>
    <row r="17041" spans="7:7" x14ac:dyDescent="0.2">
      <c r="G17041" s="7"/>
    </row>
    <row r="17042" spans="7:7" x14ac:dyDescent="0.2">
      <c r="G17042" s="7"/>
    </row>
    <row r="17043" spans="7:7" x14ac:dyDescent="0.2">
      <c r="G17043" s="7"/>
    </row>
    <row r="17044" spans="7:7" x14ac:dyDescent="0.2">
      <c r="G17044" s="7"/>
    </row>
    <row r="17045" spans="7:7" x14ac:dyDescent="0.2">
      <c r="G17045" s="7"/>
    </row>
    <row r="17046" spans="7:7" x14ac:dyDescent="0.2">
      <c r="G17046" s="7"/>
    </row>
    <row r="17047" spans="7:7" x14ac:dyDescent="0.2">
      <c r="G17047" s="7"/>
    </row>
    <row r="17048" spans="7:7" x14ac:dyDescent="0.2">
      <c r="G17048" s="7"/>
    </row>
    <row r="17049" spans="7:7" x14ac:dyDescent="0.2">
      <c r="G17049" s="7"/>
    </row>
    <row r="17050" spans="7:7" x14ac:dyDescent="0.2">
      <c r="G17050" s="7"/>
    </row>
    <row r="17051" spans="7:7" x14ac:dyDescent="0.2">
      <c r="G17051" s="7"/>
    </row>
    <row r="17052" spans="7:7" x14ac:dyDescent="0.2">
      <c r="G17052" s="7"/>
    </row>
    <row r="17053" spans="7:7" x14ac:dyDescent="0.2">
      <c r="G17053" s="7"/>
    </row>
    <row r="17054" spans="7:7" x14ac:dyDescent="0.2">
      <c r="G17054" s="7"/>
    </row>
    <row r="17055" spans="7:7" x14ac:dyDescent="0.2">
      <c r="G17055" s="7"/>
    </row>
    <row r="17056" spans="7:7" x14ac:dyDescent="0.2">
      <c r="G17056" s="7"/>
    </row>
    <row r="17057" spans="7:7" x14ac:dyDescent="0.2">
      <c r="G17057" s="7"/>
    </row>
    <row r="17058" spans="7:7" x14ac:dyDescent="0.2">
      <c r="G17058" s="7"/>
    </row>
    <row r="17059" spans="7:7" x14ac:dyDescent="0.2">
      <c r="G17059" s="7"/>
    </row>
    <row r="17060" spans="7:7" x14ac:dyDescent="0.2">
      <c r="G17060" s="7"/>
    </row>
    <row r="17061" spans="7:7" x14ac:dyDescent="0.2">
      <c r="G17061" s="7"/>
    </row>
    <row r="17062" spans="7:7" x14ac:dyDescent="0.2">
      <c r="G17062" s="7"/>
    </row>
    <row r="17063" spans="7:7" x14ac:dyDescent="0.2">
      <c r="G17063" s="7"/>
    </row>
    <row r="17064" spans="7:7" x14ac:dyDescent="0.2">
      <c r="G17064" s="7"/>
    </row>
    <row r="17065" spans="7:7" x14ac:dyDescent="0.2">
      <c r="G17065" s="7"/>
    </row>
    <row r="17066" spans="7:7" x14ac:dyDescent="0.2">
      <c r="G17066" s="7"/>
    </row>
    <row r="17067" spans="7:7" x14ac:dyDescent="0.2">
      <c r="G17067" s="7"/>
    </row>
    <row r="17068" spans="7:7" x14ac:dyDescent="0.2">
      <c r="G17068" s="7"/>
    </row>
    <row r="17069" spans="7:7" x14ac:dyDescent="0.2">
      <c r="G17069" s="7"/>
    </row>
    <row r="17070" spans="7:7" x14ac:dyDescent="0.2">
      <c r="G17070" s="7"/>
    </row>
    <row r="17071" spans="7:7" x14ac:dyDescent="0.2">
      <c r="G17071" s="7"/>
    </row>
    <row r="17072" spans="7:7" x14ac:dyDescent="0.2">
      <c r="G17072" s="7"/>
    </row>
    <row r="17073" spans="7:7" x14ac:dyDescent="0.2">
      <c r="G17073" s="7"/>
    </row>
    <row r="17074" spans="7:7" x14ac:dyDescent="0.2">
      <c r="G17074" s="7"/>
    </row>
    <row r="17075" spans="7:7" x14ac:dyDescent="0.2">
      <c r="G17075" s="7"/>
    </row>
    <row r="17076" spans="7:7" x14ac:dyDescent="0.2">
      <c r="G17076" s="7"/>
    </row>
    <row r="17077" spans="7:7" x14ac:dyDescent="0.2">
      <c r="G17077" s="7"/>
    </row>
    <row r="17078" spans="7:7" x14ac:dyDescent="0.2">
      <c r="G17078" s="7"/>
    </row>
    <row r="17079" spans="7:7" x14ac:dyDescent="0.2">
      <c r="G17079" s="7"/>
    </row>
    <row r="17080" spans="7:7" x14ac:dyDescent="0.2">
      <c r="G17080" s="7"/>
    </row>
    <row r="17081" spans="7:7" x14ac:dyDescent="0.2">
      <c r="G17081" s="7"/>
    </row>
    <row r="17082" spans="7:7" x14ac:dyDescent="0.2">
      <c r="G17082" s="7"/>
    </row>
    <row r="17083" spans="7:7" x14ac:dyDescent="0.2">
      <c r="G17083" s="7"/>
    </row>
    <row r="17084" spans="7:7" x14ac:dyDescent="0.2">
      <c r="G17084" s="7"/>
    </row>
    <row r="17085" spans="7:7" x14ac:dyDescent="0.2">
      <c r="G17085" s="7"/>
    </row>
    <row r="17086" spans="7:7" x14ac:dyDescent="0.2">
      <c r="G17086" s="7"/>
    </row>
    <row r="17087" spans="7:7" x14ac:dyDescent="0.2">
      <c r="G17087" s="7"/>
    </row>
    <row r="17088" spans="7:7" x14ac:dyDescent="0.2">
      <c r="G17088" s="7"/>
    </row>
    <row r="17089" spans="7:7" x14ac:dyDescent="0.2">
      <c r="G17089" s="7"/>
    </row>
    <row r="17090" spans="7:7" x14ac:dyDescent="0.2">
      <c r="G17090" s="7"/>
    </row>
    <row r="17091" spans="7:7" x14ac:dyDescent="0.2">
      <c r="G17091" s="7"/>
    </row>
    <row r="17092" spans="7:7" x14ac:dyDescent="0.2">
      <c r="G17092" s="7"/>
    </row>
    <row r="17093" spans="7:7" x14ac:dyDescent="0.2">
      <c r="G17093" s="7"/>
    </row>
    <row r="17094" spans="7:7" x14ac:dyDescent="0.2">
      <c r="G17094" s="7"/>
    </row>
    <row r="17095" spans="7:7" x14ac:dyDescent="0.2">
      <c r="G17095" s="7"/>
    </row>
    <row r="17096" spans="7:7" x14ac:dyDescent="0.2">
      <c r="G17096" s="7"/>
    </row>
    <row r="17097" spans="7:7" x14ac:dyDescent="0.2">
      <c r="G17097" s="7"/>
    </row>
    <row r="17098" spans="7:7" x14ac:dyDescent="0.2">
      <c r="G17098" s="7"/>
    </row>
    <row r="17099" spans="7:7" x14ac:dyDescent="0.2">
      <c r="G17099" s="7"/>
    </row>
    <row r="17100" spans="7:7" x14ac:dyDescent="0.2">
      <c r="G17100" s="7"/>
    </row>
    <row r="17101" spans="7:7" x14ac:dyDescent="0.2">
      <c r="G17101" s="7"/>
    </row>
    <row r="17102" spans="7:7" x14ac:dyDescent="0.2">
      <c r="G17102" s="7"/>
    </row>
    <row r="17103" spans="7:7" x14ac:dyDescent="0.2">
      <c r="G17103" s="7"/>
    </row>
    <row r="17104" spans="7:7" x14ac:dyDescent="0.2">
      <c r="G17104" s="7"/>
    </row>
    <row r="17105" spans="7:7" x14ac:dyDescent="0.2">
      <c r="G17105" s="7"/>
    </row>
    <row r="17106" spans="7:7" x14ac:dyDescent="0.2">
      <c r="G17106" s="7"/>
    </row>
    <row r="17107" spans="7:7" x14ac:dyDescent="0.2">
      <c r="G17107" s="7"/>
    </row>
    <row r="17108" spans="7:7" x14ac:dyDescent="0.2">
      <c r="G17108" s="7"/>
    </row>
    <row r="17109" spans="7:7" x14ac:dyDescent="0.2">
      <c r="G17109" s="7"/>
    </row>
    <row r="17110" spans="7:7" x14ac:dyDescent="0.2">
      <c r="G17110" s="7"/>
    </row>
    <row r="17111" spans="7:7" x14ac:dyDescent="0.2">
      <c r="G17111" s="7"/>
    </row>
    <row r="17112" spans="7:7" x14ac:dyDescent="0.2">
      <c r="G17112" s="7"/>
    </row>
    <row r="17113" spans="7:7" x14ac:dyDescent="0.2">
      <c r="G17113" s="7"/>
    </row>
    <row r="17114" spans="7:7" x14ac:dyDescent="0.2">
      <c r="G17114" s="7"/>
    </row>
    <row r="17115" spans="7:7" x14ac:dyDescent="0.2">
      <c r="G17115" s="7"/>
    </row>
    <row r="17116" spans="7:7" x14ac:dyDescent="0.2">
      <c r="G17116" s="7"/>
    </row>
    <row r="17117" spans="7:7" x14ac:dyDescent="0.2">
      <c r="G17117" s="7"/>
    </row>
    <row r="17118" spans="7:7" x14ac:dyDescent="0.2">
      <c r="G17118" s="7"/>
    </row>
    <row r="17119" spans="7:7" x14ac:dyDescent="0.2">
      <c r="G17119" s="7"/>
    </row>
    <row r="17120" spans="7:7" x14ac:dyDescent="0.2">
      <c r="G17120" s="7"/>
    </row>
    <row r="17121" spans="7:7" x14ac:dyDescent="0.2">
      <c r="G17121" s="7"/>
    </row>
    <row r="17122" spans="7:7" x14ac:dyDescent="0.2">
      <c r="G17122" s="7"/>
    </row>
    <row r="17123" spans="7:7" x14ac:dyDescent="0.2">
      <c r="G17123" s="7"/>
    </row>
    <row r="17124" spans="7:7" x14ac:dyDescent="0.2">
      <c r="G17124" s="7"/>
    </row>
    <row r="17125" spans="7:7" x14ac:dyDescent="0.2">
      <c r="G17125" s="7"/>
    </row>
    <row r="17126" spans="7:7" x14ac:dyDescent="0.2">
      <c r="G17126" s="7"/>
    </row>
    <row r="17127" spans="7:7" x14ac:dyDescent="0.2">
      <c r="G17127" s="7"/>
    </row>
    <row r="17128" spans="7:7" x14ac:dyDescent="0.2">
      <c r="G17128" s="7"/>
    </row>
    <row r="17129" spans="7:7" x14ac:dyDescent="0.2">
      <c r="G17129" s="7"/>
    </row>
    <row r="17130" spans="7:7" x14ac:dyDescent="0.2">
      <c r="G17130" s="7"/>
    </row>
    <row r="17131" spans="7:7" x14ac:dyDescent="0.2">
      <c r="G17131" s="7"/>
    </row>
    <row r="17132" spans="7:7" x14ac:dyDescent="0.2">
      <c r="G17132" s="7"/>
    </row>
    <row r="17133" spans="7:7" x14ac:dyDescent="0.2">
      <c r="G17133" s="7"/>
    </row>
    <row r="17134" spans="7:7" x14ac:dyDescent="0.2">
      <c r="G17134" s="7"/>
    </row>
    <row r="17135" spans="7:7" x14ac:dyDescent="0.2">
      <c r="G17135" s="7"/>
    </row>
    <row r="17136" spans="7:7" x14ac:dyDescent="0.2">
      <c r="G17136" s="7"/>
    </row>
    <row r="17137" spans="7:7" x14ac:dyDescent="0.2">
      <c r="G17137" s="7"/>
    </row>
    <row r="17138" spans="7:7" x14ac:dyDescent="0.2">
      <c r="G17138" s="7"/>
    </row>
    <row r="17139" spans="7:7" x14ac:dyDescent="0.2">
      <c r="G17139" s="7"/>
    </row>
    <row r="17140" spans="7:7" x14ac:dyDescent="0.2">
      <c r="G17140" s="7"/>
    </row>
    <row r="17141" spans="7:7" x14ac:dyDescent="0.2">
      <c r="G17141" s="7"/>
    </row>
    <row r="17142" spans="7:7" x14ac:dyDescent="0.2">
      <c r="G17142" s="7"/>
    </row>
    <row r="17143" spans="7:7" x14ac:dyDescent="0.2">
      <c r="G17143" s="7"/>
    </row>
    <row r="17144" spans="7:7" x14ac:dyDescent="0.2">
      <c r="G17144" s="7"/>
    </row>
    <row r="17145" spans="7:7" x14ac:dyDescent="0.2">
      <c r="G17145" s="7"/>
    </row>
    <row r="17146" spans="7:7" x14ac:dyDescent="0.2">
      <c r="G17146" s="7"/>
    </row>
    <row r="17147" spans="7:7" x14ac:dyDescent="0.2">
      <c r="G17147" s="7"/>
    </row>
    <row r="17148" spans="7:7" x14ac:dyDescent="0.2">
      <c r="G17148" s="7"/>
    </row>
    <row r="17149" spans="7:7" x14ac:dyDescent="0.2">
      <c r="G17149" s="7"/>
    </row>
    <row r="17150" spans="7:7" x14ac:dyDescent="0.2">
      <c r="G17150" s="7"/>
    </row>
    <row r="17151" spans="7:7" x14ac:dyDescent="0.2">
      <c r="G17151" s="7"/>
    </row>
    <row r="17152" spans="7:7" x14ac:dyDescent="0.2">
      <c r="G17152" s="7"/>
    </row>
    <row r="17153" spans="7:7" x14ac:dyDescent="0.2">
      <c r="G17153" s="7"/>
    </row>
    <row r="17154" spans="7:7" x14ac:dyDescent="0.2">
      <c r="G17154" s="7"/>
    </row>
    <row r="17155" spans="7:7" x14ac:dyDescent="0.2">
      <c r="G17155" s="7"/>
    </row>
    <row r="17156" spans="7:7" x14ac:dyDescent="0.2">
      <c r="G17156" s="7"/>
    </row>
    <row r="17157" spans="7:7" x14ac:dyDescent="0.2">
      <c r="G17157" s="7"/>
    </row>
    <row r="17158" spans="7:7" x14ac:dyDescent="0.2">
      <c r="G17158" s="7"/>
    </row>
    <row r="17159" spans="7:7" x14ac:dyDescent="0.2">
      <c r="G17159" s="7"/>
    </row>
    <row r="17160" spans="7:7" x14ac:dyDescent="0.2">
      <c r="G17160" s="7"/>
    </row>
    <row r="17161" spans="7:7" x14ac:dyDescent="0.2">
      <c r="G17161" s="7"/>
    </row>
    <row r="17162" spans="7:7" x14ac:dyDescent="0.2">
      <c r="G17162" s="7"/>
    </row>
    <row r="17163" spans="7:7" x14ac:dyDescent="0.2">
      <c r="G17163" s="7"/>
    </row>
    <row r="17164" spans="7:7" x14ac:dyDescent="0.2">
      <c r="G17164" s="7"/>
    </row>
    <row r="17165" spans="7:7" x14ac:dyDescent="0.2">
      <c r="G17165" s="7"/>
    </row>
    <row r="17166" spans="7:7" x14ac:dyDescent="0.2">
      <c r="G17166" s="7"/>
    </row>
    <row r="17167" spans="7:7" x14ac:dyDescent="0.2">
      <c r="G17167" s="7"/>
    </row>
    <row r="17168" spans="7:7" x14ac:dyDescent="0.2">
      <c r="G17168" s="7"/>
    </row>
    <row r="17169" spans="7:7" x14ac:dyDescent="0.2">
      <c r="G17169" s="7"/>
    </row>
    <row r="17170" spans="7:7" x14ac:dyDescent="0.2">
      <c r="G17170" s="7"/>
    </row>
    <row r="17171" spans="7:7" x14ac:dyDescent="0.2">
      <c r="G17171" s="7"/>
    </row>
    <row r="17172" spans="7:7" x14ac:dyDescent="0.2">
      <c r="G17172" s="7"/>
    </row>
    <row r="17173" spans="7:7" x14ac:dyDescent="0.2">
      <c r="G17173" s="7"/>
    </row>
    <row r="17174" spans="7:7" x14ac:dyDescent="0.2">
      <c r="G17174" s="7"/>
    </row>
    <row r="17175" spans="7:7" x14ac:dyDescent="0.2">
      <c r="G17175" s="7"/>
    </row>
    <row r="17176" spans="7:7" x14ac:dyDescent="0.2">
      <c r="G17176" s="7"/>
    </row>
    <row r="17177" spans="7:7" x14ac:dyDescent="0.2">
      <c r="G17177" s="7"/>
    </row>
    <row r="17178" spans="7:7" x14ac:dyDescent="0.2">
      <c r="G17178" s="7"/>
    </row>
    <row r="17179" spans="7:7" x14ac:dyDescent="0.2">
      <c r="G17179" s="7"/>
    </row>
    <row r="17180" spans="7:7" x14ac:dyDescent="0.2">
      <c r="G17180" s="7"/>
    </row>
    <row r="17181" spans="7:7" x14ac:dyDescent="0.2">
      <c r="G17181" s="7"/>
    </row>
    <row r="17182" spans="7:7" x14ac:dyDescent="0.2">
      <c r="G17182" s="7"/>
    </row>
    <row r="17183" spans="7:7" x14ac:dyDescent="0.2">
      <c r="G17183" s="7"/>
    </row>
    <row r="17184" spans="7:7" x14ac:dyDescent="0.2">
      <c r="G17184" s="7"/>
    </row>
    <row r="17185" spans="7:7" x14ac:dyDescent="0.2">
      <c r="G17185" s="7"/>
    </row>
    <row r="17186" spans="7:7" x14ac:dyDescent="0.2">
      <c r="G17186" s="7"/>
    </row>
    <row r="17187" spans="7:7" x14ac:dyDescent="0.2">
      <c r="G17187" s="7"/>
    </row>
    <row r="17188" spans="7:7" x14ac:dyDescent="0.2">
      <c r="G17188" s="7"/>
    </row>
    <row r="17189" spans="7:7" x14ac:dyDescent="0.2">
      <c r="G17189" s="7"/>
    </row>
    <row r="17190" spans="7:7" x14ac:dyDescent="0.2">
      <c r="G17190" s="7"/>
    </row>
    <row r="17191" spans="7:7" x14ac:dyDescent="0.2">
      <c r="G17191" s="7"/>
    </row>
    <row r="17192" spans="7:7" x14ac:dyDescent="0.2">
      <c r="G17192" s="7"/>
    </row>
    <row r="17193" spans="7:7" x14ac:dyDescent="0.2">
      <c r="G17193" s="7"/>
    </row>
    <row r="17194" spans="7:7" x14ac:dyDescent="0.2">
      <c r="G17194" s="7"/>
    </row>
    <row r="17195" spans="7:7" x14ac:dyDescent="0.2">
      <c r="G17195" s="7"/>
    </row>
    <row r="17196" spans="7:7" x14ac:dyDescent="0.2">
      <c r="G17196" s="7"/>
    </row>
    <row r="17197" spans="7:7" x14ac:dyDescent="0.2">
      <c r="G17197" s="7"/>
    </row>
    <row r="17198" spans="7:7" x14ac:dyDescent="0.2">
      <c r="G17198" s="7"/>
    </row>
    <row r="17199" spans="7:7" x14ac:dyDescent="0.2">
      <c r="G17199" s="7"/>
    </row>
    <row r="17200" spans="7:7" x14ac:dyDescent="0.2">
      <c r="G17200" s="7"/>
    </row>
    <row r="17201" spans="7:7" x14ac:dyDescent="0.2">
      <c r="G17201" s="7"/>
    </row>
    <row r="17202" spans="7:7" x14ac:dyDescent="0.2">
      <c r="G17202" s="7"/>
    </row>
    <row r="17203" spans="7:7" x14ac:dyDescent="0.2">
      <c r="G17203" s="7"/>
    </row>
    <row r="17204" spans="7:7" x14ac:dyDescent="0.2">
      <c r="G17204" s="7"/>
    </row>
    <row r="17205" spans="7:7" x14ac:dyDescent="0.2">
      <c r="G17205" s="7"/>
    </row>
    <row r="17206" spans="7:7" x14ac:dyDescent="0.2">
      <c r="G17206" s="7"/>
    </row>
    <row r="17207" spans="7:7" x14ac:dyDescent="0.2">
      <c r="G17207" s="7"/>
    </row>
    <row r="17208" spans="7:7" x14ac:dyDescent="0.2">
      <c r="G17208" s="7"/>
    </row>
    <row r="17209" spans="7:7" x14ac:dyDescent="0.2">
      <c r="G17209" s="7"/>
    </row>
    <row r="17210" spans="7:7" x14ac:dyDescent="0.2">
      <c r="G17210" s="7"/>
    </row>
    <row r="17211" spans="7:7" x14ac:dyDescent="0.2">
      <c r="G17211" s="7"/>
    </row>
    <row r="17212" spans="7:7" x14ac:dyDescent="0.2">
      <c r="G17212" s="7"/>
    </row>
    <row r="17213" spans="7:7" x14ac:dyDescent="0.2">
      <c r="G17213" s="7"/>
    </row>
    <row r="17214" spans="7:7" x14ac:dyDescent="0.2">
      <c r="G17214" s="7"/>
    </row>
    <row r="17215" spans="7:7" x14ac:dyDescent="0.2">
      <c r="G17215" s="7"/>
    </row>
    <row r="17216" spans="7:7" x14ac:dyDescent="0.2">
      <c r="G17216" s="7"/>
    </row>
    <row r="17217" spans="7:7" x14ac:dyDescent="0.2">
      <c r="G17217" s="7"/>
    </row>
    <row r="17218" spans="7:7" x14ac:dyDescent="0.2">
      <c r="G17218" s="7"/>
    </row>
    <row r="17219" spans="7:7" x14ac:dyDescent="0.2">
      <c r="G17219" s="7"/>
    </row>
    <row r="17220" spans="7:7" x14ac:dyDescent="0.2">
      <c r="G17220" s="7"/>
    </row>
    <row r="17221" spans="7:7" x14ac:dyDescent="0.2">
      <c r="G17221" s="7"/>
    </row>
    <row r="17222" spans="7:7" x14ac:dyDescent="0.2">
      <c r="G17222" s="7"/>
    </row>
    <row r="17223" spans="7:7" x14ac:dyDescent="0.2">
      <c r="G17223" s="7"/>
    </row>
    <row r="17224" spans="7:7" x14ac:dyDescent="0.2">
      <c r="G17224" s="7"/>
    </row>
    <row r="17225" spans="7:7" x14ac:dyDescent="0.2">
      <c r="G17225" s="7"/>
    </row>
    <row r="17226" spans="7:7" x14ac:dyDescent="0.2">
      <c r="G17226" s="7"/>
    </row>
    <row r="17227" spans="7:7" x14ac:dyDescent="0.2">
      <c r="G17227" s="7"/>
    </row>
    <row r="17228" spans="7:7" x14ac:dyDescent="0.2">
      <c r="G17228" s="7"/>
    </row>
    <row r="17229" spans="7:7" x14ac:dyDescent="0.2">
      <c r="G17229" s="7"/>
    </row>
    <row r="17230" spans="7:7" x14ac:dyDescent="0.2">
      <c r="G17230" s="7"/>
    </row>
    <row r="17231" spans="7:7" x14ac:dyDescent="0.2">
      <c r="G17231" s="7"/>
    </row>
    <row r="17232" spans="7:7" x14ac:dyDescent="0.2">
      <c r="G17232" s="7"/>
    </row>
    <row r="17233" spans="7:7" x14ac:dyDescent="0.2">
      <c r="G17233" s="7"/>
    </row>
    <row r="17234" spans="7:7" x14ac:dyDescent="0.2">
      <c r="G17234" s="7"/>
    </row>
    <row r="17235" spans="7:7" x14ac:dyDescent="0.2">
      <c r="G17235" s="7"/>
    </row>
    <row r="17236" spans="7:7" x14ac:dyDescent="0.2">
      <c r="G17236" s="7"/>
    </row>
    <row r="17237" spans="7:7" x14ac:dyDescent="0.2">
      <c r="G17237" s="7"/>
    </row>
    <row r="17238" spans="7:7" x14ac:dyDescent="0.2">
      <c r="G17238" s="7"/>
    </row>
    <row r="17239" spans="7:7" x14ac:dyDescent="0.2">
      <c r="G17239" s="7"/>
    </row>
    <row r="17240" spans="7:7" x14ac:dyDescent="0.2">
      <c r="G17240" s="7"/>
    </row>
    <row r="17241" spans="7:7" x14ac:dyDescent="0.2">
      <c r="G17241" s="7"/>
    </row>
    <row r="17242" spans="7:7" x14ac:dyDescent="0.2">
      <c r="G17242" s="7"/>
    </row>
    <row r="17243" spans="7:7" x14ac:dyDescent="0.2">
      <c r="G17243" s="7"/>
    </row>
    <row r="17244" spans="7:7" x14ac:dyDescent="0.2">
      <c r="G17244" s="7"/>
    </row>
    <row r="17245" spans="7:7" x14ac:dyDescent="0.2">
      <c r="G17245" s="7"/>
    </row>
    <row r="17246" spans="7:7" x14ac:dyDescent="0.2">
      <c r="G17246" s="7"/>
    </row>
    <row r="17247" spans="7:7" x14ac:dyDescent="0.2">
      <c r="G17247" s="7"/>
    </row>
    <row r="17248" spans="7:7" x14ac:dyDescent="0.2">
      <c r="G17248" s="7"/>
    </row>
    <row r="17249" spans="7:7" x14ac:dyDescent="0.2">
      <c r="G17249" s="7"/>
    </row>
    <row r="17250" spans="7:7" x14ac:dyDescent="0.2">
      <c r="G17250" s="7"/>
    </row>
    <row r="17251" spans="7:7" x14ac:dyDescent="0.2">
      <c r="G17251" s="7"/>
    </row>
    <row r="17252" spans="7:7" x14ac:dyDescent="0.2">
      <c r="G17252" s="7"/>
    </row>
    <row r="17253" spans="7:7" x14ac:dyDescent="0.2">
      <c r="G17253" s="7"/>
    </row>
    <row r="17254" spans="7:7" x14ac:dyDescent="0.2">
      <c r="G17254" s="7"/>
    </row>
    <row r="17255" spans="7:7" x14ac:dyDescent="0.2">
      <c r="G17255" s="7"/>
    </row>
    <row r="17256" spans="7:7" x14ac:dyDescent="0.2">
      <c r="G17256" s="7"/>
    </row>
    <row r="17257" spans="7:7" x14ac:dyDescent="0.2">
      <c r="G17257" s="7"/>
    </row>
    <row r="17258" spans="7:7" x14ac:dyDescent="0.2">
      <c r="G17258" s="7"/>
    </row>
    <row r="17259" spans="7:7" x14ac:dyDescent="0.2">
      <c r="G17259" s="7"/>
    </row>
    <row r="17260" spans="7:7" x14ac:dyDescent="0.2">
      <c r="G17260" s="7"/>
    </row>
    <row r="17261" spans="7:7" x14ac:dyDescent="0.2">
      <c r="G17261" s="7"/>
    </row>
    <row r="17262" spans="7:7" x14ac:dyDescent="0.2">
      <c r="G17262" s="7"/>
    </row>
    <row r="17263" spans="7:7" x14ac:dyDescent="0.2">
      <c r="G17263" s="7"/>
    </row>
    <row r="17264" spans="7:7" x14ac:dyDescent="0.2">
      <c r="G17264" s="7"/>
    </row>
    <row r="17265" spans="7:7" x14ac:dyDescent="0.2">
      <c r="G17265" s="7"/>
    </row>
    <row r="17266" spans="7:7" x14ac:dyDescent="0.2">
      <c r="G17266" s="7"/>
    </row>
    <row r="17267" spans="7:7" x14ac:dyDescent="0.2">
      <c r="G17267" s="7"/>
    </row>
    <row r="17268" spans="7:7" x14ac:dyDescent="0.2">
      <c r="G17268" s="7"/>
    </row>
    <row r="17269" spans="7:7" x14ac:dyDescent="0.2">
      <c r="G17269" s="7"/>
    </row>
    <row r="17270" spans="7:7" x14ac:dyDescent="0.2">
      <c r="G17270" s="7"/>
    </row>
    <row r="17271" spans="7:7" x14ac:dyDescent="0.2">
      <c r="G17271" s="7"/>
    </row>
    <row r="17272" spans="7:7" x14ac:dyDescent="0.2">
      <c r="G17272" s="7"/>
    </row>
    <row r="17273" spans="7:7" x14ac:dyDescent="0.2">
      <c r="G17273" s="7"/>
    </row>
    <row r="17274" spans="7:7" x14ac:dyDescent="0.2">
      <c r="G17274" s="7"/>
    </row>
    <row r="17275" spans="7:7" x14ac:dyDescent="0.2">
      <c r="G17275" s="7"/>
    </row>
    <row r="17276" spans="7:7" x14ac:dyDescent="0.2">
      <c r="G17276" s="7"/>
    </row>
    <row r="17277" spans="7:7" x14ac:dyDescent="0.2">
      <c r="G17277" s="7"/>
    </row>
    <row r="17278" spans="7:7" x14ac:dyDescent="0.2">
      <c r="G17278" s="7"/>
    </row>
    <row r="17279" spans="7:7" x14ac:dyDescent="0.2">
      <c r="G17279" s="7"/>
    </row>
    <row r="17280" spans="7:7" x14ac:dyDescent="0.2">
      <c r="G17280" s="7"/>
    </row>
    <row r="17281" spans="7:7" x14ac:dyDescent="0.2">
      <c r="G17281" s="7"/>
    </row>
    <row r="17282" spans="7:7" x14ac:dyDescent="0.2">
      <c r="G17282" s="7"/>
    </row>
    <row r="17283" spans="7:7" x14ac:dyDescent="0.2">
      <c r="G17283" s="7"/>
    </row>
    <row r="17284" spans="7:7" x14ac:dyDescent="0.2">
      <c r="G17284" s="7"/>
    </row>
    <row r="17285" spans="7:7" x14ac:dyDescent="0.2">
      <c r="G17285" s="7"/>
    </row>
    <row r="17286" spans="7:7" x14ac:dyDescent="0.2">
      <c r="G17286" s="7"/>
    </row>
    <row r="17287" spans="7:7" x14ac:dyDescent="0.2">
      <c r="G17287" s="7"/>
    </row>
    <row r="17288" spans="7:7" x14ac:dyDescent="0.2">
      <c r="G17288" s="7"/>
    </row>
    <row r="17289" spans="7:7" x14ac:dyDescent="0.2">
      <c r="G17289" s="7"/>
    </row>
    <row r="17290" spans="7:7" x14ac:dyDescent="0.2">
      <c r="G17290" s="7"/>
    </row>
    <row r="17291" spans="7:7" x14ac:dyDescent="0.2">
      <c r="G17291" s="7"/>
    </row>
    <row r="17292" spans="7:7" x14ac:dyDescent="0.2">
      <c r="G17292" s="7"/>
    </row>
    <row r="17293" spans="7:7" x14ac:dyDescent="0.2">
      <c r="G17293" s="7"/>
    </row>
    <row r="17294" spans="7:7" x14ac:dyDescent="0.2">
      <c r="G17294" s="7"/>
    </row>
    <row r="17295" spans="7:7" x14ac:dyDescent="0.2">
      <c r="G17295" s="7"/>
    </row>
    <row r="17296" spans="7:7" x14ac:dyDescent="0.2">
      <c r="G17296" s="7"/>
    </row>
    <row r="17297" spans="7:7" x14ac:dyDescent="0.2">
      <c r="G17297" s="7"/>
    </row>
    <row r="17298" spans="7:7" x14ac:dyDescent="0.2">
      <c r="G17298" s="7"/>
    </row>
    <row r="17299" spans="7:7" x14ac:dyDescent="0.2">
      <c r="G17299" s="7"/>
    </row>
    <row r="17300" spans="7:7" x14ac:dyDescent="0.2">
      <c r="G17300" s="7"/>
    </row>
    <row r="17301" spans="7:7" x14ac:dyDescent="0.2">
      <c r="G17301" s="7"/>
    </row>
    <row r="17302" spans="7:7" x14ac:dyDescent="0.2">
      <c r="G17302" s="7"/>
    </row>
    <row r="17303" spans="7:7" x14ac:dyDescent="0.2">
      <c r="G17303" s="7"/>
    </row>
    <row r="17304" spans="7:7" x14ac:dyDescent="0.2">
      <c r="G17304" s="7"/>
    </row>
    <row r="17305" spans="7:7" x14ac:dyDescent="0.2">
      <c r="G17305" s="7"/>
    </row>
    <row r="17306" spans="7:7" x14ac:dyDescent="0.2">
      <c r="G17306" s="7"/>
    </row>
    <row r="17307" spans="7:7" x14ac:dyDescent="0.2">
      <c r="G17307" s="7"/>
    </row>
    <row r="17308" spans="7:7" x14ac:dyDescent="0.2">
      <c r="G17308" s="7"/>
    </row>
    <row r="17309" spans="7:7" x14ac:dyDescent="0.2">
      <c r="G17309" s="7"/>
    </row>
    <row r="17310" spans="7:7" x14ac:dyDescent="0.2">
      <c r="G17310" s="7"/>
    </row>
    <row r="17311" spans="7:7" x14ac:dyDescent="0.2">
      <c r="G17311" s="7"/>
    </row>
    <row r="17312" spans="7:7" x14ac:dyDescent="0.2">
      <c r="G17312" s="7"/>
    </row>
    <row r="17313" spans="7:7" x14ac:dyDescent="0.2">
      <c r="G17313" s="7"/>
    </row>
    <row r="17314" spans="7:7" x14ac:dyDescent="0.2">
      <c r="G17314" s="7"/>
    </row>
    <row r="17315" spans="7:7" x14ac:dyDescent="0.2">
      <c r="G17315" s="7"/>
    </row>
    <row r="17316" spans="7:7" x14ac:dyDescent="0.2">
      <c r="G17316" s="7"/>
    </row>
    <row r="17317" spans="7:7" x14ac:dyDescent="0.2">
      <c r="G17317" s="7"/>
    </row>
    <row r="17318" spans="7:7" x14ac:dyDescent="0.2">
      <c r="G17318" s="7"/>
    </row>
    <row r="17319" spans="7:7" x14ac:dyDescent="0.2">
      <c r="G17319" s="7"/>
    </row>
    <row r="17320" spans="7:7" x14ac:dyDescent="0.2">
      <c r="G17320" s="7"/>
    </row>
    <row r="17321" spans="7:7" x14ac:dyDescent="0.2">
      <c r="G17321" s="7"/>
    </row>
    <row r="17322" spans="7:7" x14ac:dyDescent="0.2">
      <c r="G17322" s="7"/>
    </row>
    <row r="17323" spans="7:7" x14ac:dyDescent="0.2">
      <c r="G17323" s="7"/>
    </row>
    <row r="17324" spans="7:7" x14ac:dyDescent="0.2">
      <c r="G17324" s="7"/>
    </row>
    <row r="17325" spans="7:7" x14ac:dyDescent="0.2">
      <c r="G17325" s="7"/>
    </row>
    <row r="17326" spans="7:7" x14ac:dyDescent="0.2">
      <c r="G17326" s="7"/>
    </row>
    <row r="17327" spans="7:7" x14ac:dyDescent="0.2">
      <c r="G17327" s="7"/>
    </row>
    <row r="17328" spans="7:7" x14ac:dyDescent="0.2">
      <c r="G17328" s="7"/>
    </row>
    <row r="17329" spans="7:7" x14ac:dyDescent="0.2">
      <c r="G17329" s="7"/>
    </row>
    <row r="17330" spans="7:7" x14ac:dyDescent="0.2">
      <c r="G17330" s="7"/>
    </row>
    <row r="17331" spans="7:7" x14ac:dyDescent="0.2">
      <c r="G17331" s="7"/>
    </row>
    <row r="17332" spans="7:7" x14ac:dyDescent="0.2">
      <c r="G17332" s="7"/>
    </row>
    <row r="17333" spans="7:7" x14ac:dyDescent="0.2">
      <c r="G17333" s="7"/>
    </row>
    <row r="17334" spans="7:7" x14ac:dyDescent="0.2">
      <c r="G17334" s="7"/>
    </row>
    <row r="17335" spans="7:7" x14ac:dyDescent="0.2">
      <c r="G17335" s="7"/>
    </row>
    <row r="17336" spans="7:7" x14ac:dyDescent="0.2">
      <c r="G17336" s="7"/>
    </row>
    <row r="17337" spans="7:7" x14ac:dyDescent="0.2">
      <c r="G17337" s="7"/>
    </row>
    <row r="17338" spans="7:7" x14ac:dyDescent="0.2">
      <c r="G17338" s="7"/>
    </row>
    <row r="17339" spans="7:7" x14ac:dyDescent="0.2">
      <c r="G17339" s="7"/>
    </row>
    <row r="17340" spans="7:7" x14ac:dyDescent="0.2">
      <c r="G17340" s="7"/>
    </row>
    <row r="17341" spans="7:7" x14ac:dyDescent="0.2">
      <c r="G17341" s="7"/>
    </row>
    <row r="17342" spans="7:7" x14ac:dyDescent="0.2">
      <c r="G17342" s="7"/>
    </row>
    <row r="17343" spans="7:7" x14ac:dyDescent="0.2">
      <c r="G17343" s="7"/>
    </row>
    <row r="17344" spans="7:7" x14ac:dyDescent="0.2">
      <c r="G17344" s="7"/>
    </row>
    <row r="17345" spans="7:7" x14ac:dyDescent="0.2">
      <c r="G17345" s="7"/>
    </row>
    <row r="17346" spans="7:7" x14ac:dyDescent="0.2">
      <c r="G17346" s="7"/>
    </row>
    <row r="17347" spans="7:7" x14ac:dyDescent="0.2">
      <c r="G17347" s="7"/>
    </row>
    <row r="17348" spans="7:7" x14ac:dyDescent="0.2">
      <c r="G17348" s="7"/>
    </row>
    <row r="17349" spans="7:7" x14ac:dyDescent="0.2">
      <c r="G17349" s="7"/>
    </row>
    <row r="17350" spans="7:7" x14ac:dyDescent="0.2">
      <c r="G17350" s="7"/>
    </row>
    <row r="17351" spans="7:7" x14ac:dyDescent="0.2">
      <c r="G17351" s="7"/>
    </row>
    <row r="17352" spans="7:7" x14ac:dyDescent="0.2">
      <c r="G17352" s="7"/>
    </row>
    <row r="17353" spans="7:7" x14ac:dyDescent="0.2">
      <c r="G17353" s="7"/>
    </row>
    <row r="17354" spans="7:7" x14ac:dyDescent="0.2">
      <c r="G17354" s="7"/>
    </row>
    <row r="17355" spans="7:7" x14ac:dyDescent="0.2">
      <c r="G17355" s="7"/>
    </row>
    <row r="17356" spans="7:7" x14ac:dyDescent="0.2">
      <c r="G17356" s="7"/>
    </row>
    <row r="17357" spans="7:7" x14ac:dyDescent="0.2">
      <c r="G17357" s="7"/>
    </row>
    <row r="17358" spans="7:7" x14ac:dyDescent="0.2">
      <c r="G17358" s="7"/>
    </row>
    <row r="17359" spans="7:7" x14ac:dyDescent="0.2">
      <c r="G17359" s="7"/>
    </row>
    <row r="17360" spans="7:7" x14ac:dyDescent="0.2">
      <c r="G17360" s="7"/>
    </row>
    <row r="17361" spans="7:7" x14ac:dyDescent="0.2">
      <c r="G17361" s="7"/>
    </row>
    <row r="17362" spans="7:7" x14ac:dyDescent="0.2">
      <c r="G17362" s="7"/>
    </row>
    <row r="17363" spans="7:7" x14ac:dyDescent="0.2">
      <c r="G17363" s="7"/>
    </row>
    <row r="17364" spans="7:7" x14ac:dyDescent="0.2">
      <c r="G17364" s="7"/>
    </row>
    <row r="17365" spans="7:7" x14ac:dyDescent="0.2">
      <c r="G17365" s="7"/>
    </row>
    <row r="17366" spans="7:7" x14ac:dyDescent="0.2">
      <c r="G17366" s="7"/>
    </row>
    <row r="17367" spans="7:7" x14ac:dyDescent="0.2">
      <c r="G17367" s="7"/>
    </row>
    <row r="17368" spans="7:7" x14ac:dyDescent="0.2">
      <c r="G17368" s="7"/>
    </row>
    <row r="17369" spans="7:7" x14ac:dyDescent="0.2">
      <c r="G17369" s="7"/>
    </row>
    <row r="17370" spans="7:7" x14ac:dyDescent="0.2">
      <c r="G17370" s="7"/>
    </row>
    <row r="17371" spans="7:7" x14ac:dyDescent="0.2">
      <c r="G17371" s="7"/>
    </row>
    <row r="17372" spans="7:7" x14ac:dyDescent="0.2">
      <c r="G17372" s="7"/>
    </row>
    <row r="17373" spans="7:7" x14ac:dyDescent="0.2">
      <c r="G17373" s="7"/>
    </row>
    <row r="17374" spans="7:7" x14ac:dyDescent="0.2">
      <c r="G17374" s="7"/>
    </row>
    <row r="17375" spans="7:7" x14ac:dyDescent="0.2">
      <c r="G17375" s="7"/>
    </row>
    <row r="17376" spans="7:7" x14ac:dyDescent="0.2">
      <c r="G17376" s="7"/>
    </row>
    <row r="17377" spans="7:7" x14ac:dyDescent="0.2">
      <c r="G17377" s="7"/>
    </row>
    <row r="17378" spans="7:7" x14ac:dyDescent="0.2">
      <c r="G17378" s="7"/>
    </row>
    <row r="17379" spans="7:7" x14ac:dyDescent="0.2">
      <c r="G17379" s="7"/>
    </row>
    <row r="17380" spans="7:7" x14ac:dyDescent="0.2">
      <c r="G17380" s="7"/>
    </row>
    <row r="17381" spans="7:7" x14ac:dyDescent="0.2">
      <c r="G17381" s="7"/>
    </row>
    <row r="17382" spans="7:7" x14ac:dyDescent="0.2">
      <c r="G17382" s="7"/>
    </row>
    <row r="17383" spans="7:7" x14ac:dyDescent="0.2">
      <c r="G17383" s="7"/>
    </row>
    <row r="17384" spans="7:7" x14ac:dyDescent="0.2">
      <c r="G17384" s="7"/>
    </row>
    <row r="17385" spans="7:7" x14ac:dyDescent="0.2">
      <c r="G17385" s="7"/>
    </row>
    <row r="17386" spans="7:7" x14ac:dyDescent="0.2">
      <c r="G17386" s="7"/>
    </row>
    <row r="17387" spans="7:7" x14ac:dyDescent="0.2">
      <c r="G17387" s="7"/>
    </row>
    <row r="17388" spans="7:7" x14ac:dyDescent="0.2">
      <c r="G17388" s="7"/>
    </row>
    <row r="17389" spans="7:7" x14ac:dyDescent="0.2">
      <c r="G17389" s="7"/>
    </row>
    <row r="17390" spans="7:7" x14ac:dyDescent="0.2">
      <c r="G17390" s="7"/>
    </row>
    <row r="17391" spans="7:7" x14ac:dyDescent="0.2">
      <c r="G17391" s="7"/>
    </row>
    <row r="17392" spans="7:7" x14ac:dyDescent="0.2">
      <c r="G17392" s="7"/>
    </row>
    <row r="17393" spans="7:7" x14ac:dyDescent="0.2">
      <c r="G17393" s="7"/>
    </row>
    <row r="17394" spans="7:7" x14ac:dyDescent="0.2">
      <c r="G17394" s="7"/>
    </row>
    <row r="17395" spans="7:7" x14ac:dyDescent="0.2">
      <c r="G17395" s="7"/>
    </row>
    <row r="17396" spans="7:7" x14ac:dyDescent="0.2">
      <c r="G17396" s="7"/>
    </row>
    <row r="17397" spans="7:7" x14ac:dyDescent="0.2">
      <c r="G17397" s="7"/>
    </row>
    <row r="17398" spans="7:7" x14ac:dyDescent="0.2">
      <c r="G17398" s="7"/>
    </row>
    <row r="17399" spans="7:7" x14ac:dyDescent="0.2">
      <c r="G17399" s="7"/>
    </row>
    <row r="17400" spans="7:7" x14ac:dyDescent="0.2">
      <c r="G17400" s="7"/>
    </row>
    <row r="17401" spans="7:7" x14ac:dyDescent="0.2">
      <c r="G17401" s="7"/>
    </row>
    <row r="17402" spans="7:7" x14ac:dyDescent="0.2">
      <c r="G17402" s="7"/>
    </row>
    <row r="17403" spans="7:7" x14ac:dyDescent="0.2">
      <c r="G17403" s="7"/>
    </row>
    <row r="17404" spans="7:7" x14ac:dyDescent="0.2">
      <c r="G17404" s="7"/>
    </row>
    <row r="17405" spans="7:7" x14ac:dyDescent="0.2">
      <c r="G17405" s="7"/>
    </row>
    <row r="17406" spans="7:7" x14ac:dyDescent="0.2">
      <c r="G17406" s="7"/>
    </row>
    <row r="17407" spans="7:7" x14ac:dyDescent="0.2">
      <c r="G17407" s="7"/>
    </row>
    <row r="17408" spans="7:7" x14ac:dyDescent="0.2">
      <c r="G17408" s="7"/>
    </row>
    <row r="17409" spans="7:7" x14ac:dyDescent="0.2">
      <c r="G17409" s="7"/>
    </row>
    <row r="17410" spans="7:7" x14ac:dyDescent="0.2">
      <c r="G17410" s="7"/>
    </row>
    <row r="17411" spans="7:7" x14ac:dyDescent="0.2">
      <c r="G17411" s="7"/>
    </row>
    <row r="17412" spans="7:7" x14ac:dyDescent="0.2">
      <c r="G17412" s="7"/>
    </row>
    <row r="17413" spans="7:7" x14ac:dyDescent="0.2">
      <c r="G17413" s="7"/>
    </row>
    <row r="17414" spans="7:7" x14ac:dyDescent="0.2">
      <c r="G17414" s="7"/>
    </row>
    <row r="17415" spans="7:7" x14ac:dyDescent="0.2">
      <c r="G17415" s="7"/>
    </row>
    <row r="17416" spans="7:7" x14ac:dyDescent="0.2">
      <c r="G17416" s="7"/>
    </row>
    <row r="17417" spans="7:7" x14ac:dyDescent="0.2">
      <c r="G17417" s="7"/>
    </row>
    <row r="17418" spans="7:7" x14ac:dyDescent="0.2">
      <c r="G17418" s="7"/>
    </row>
    <row r="17419" spans="7:7" x14ac:dyDescent="0.2">
      <c r="G17419" s="7"/>
    </row>
    <row r="17420" spans="7:7" x14ac:dyDescent="0.2">
      <c r="G17420" s="7"/>
    </row>
    <row r="17421" spans="7:7" x14ac:dyDescent="0.2">
      <c r="G17421" s="7"/>
    </row>
    <row r="17422" spans="7:7" x14ac:dyDescent="0.2">
      <c r="G17422" s="7"/>
    </row>
    <row r="17423" spans="7:7" x14ac:dyDescent="0.2">
      <c r="G17423" s="7"/>
    </row>
    <row r="17424" spans="7:7" x14ac:dyDescent="0.2">
      <c r="G17424" s="7"/>
    </row>
    <row r="17425" spans="7:7" x14ac:dyDescent="0.2">
      <c r="G17425" s="7"/>
    </row>
    <row r="17426" spans="7:7" x14ac:dyDescent="0.2">
      <c r="G17426" s="7"/>
    </row>
    <row r="17427" spans="7:7" x14ac:dyDescent="0.2">
      <c r="G17427" s="7"/>
    </row>
    <row r="17428" spans="7:7" x14ac:dyDescent="0.2">
      <c r="G17428" s="7"/>
    </row>
    <row r="17429" spans="7:7" x14ac:dyDescent="0.2">
      <c r="G17429" s="7"/>
    </row>
    <row r="17430" spans="7:7" x14ac:dyDescent="0.2">
      <c r="G17430" s="7"/>
    </row>
    <row r="17431" spans="7:7" x14ac:dyDescent="0.2">
      <c r="G17431" s="7"/>
    </row>
    <row r="17432" spans="7:7" x14ac:dyDescent="0.2">
      <c r="G17432" s="7"/>
    </row>
    <row r="17433" spans="7:7" x14ac:dyDescent="0.2">
      <c r="G17433" s="7"/>
    </row>
    <row r="17434" spans="7:7" x14ac:dyDescent="0.2">
      <c r="G17434" s="7"/>
    </row>
    <row r="17435" spans="7:7" x14ac:dyDescent="0.2">
      <c r="G17435" s="7"/>
    </row>
    <row r="17436" spans="7:7" x14ac:dyDescent="0.2">
      <c r="G17436" s="7"/>
    </row>
    <row r="17437" spans="7:7" x14ac:dyDescent="0.2">
      <c r="G17437" s="7"/>
    </row>
    <row r="17438" spans="7:7" x14ac:dyDescent="0.2">
      <c r="G17438" s="7"/>
    </row>
    <row r="17439" spans="7:7" x14ac:dyDescent="0.2">
      <c r="G17439" s="7"/>
    </row>
    <row r="17440" spans="7:7" x14ac:dyDescent="0.2">
      <c r="G17440" s="7"/>
    </row>
    <row r="17441" spans="7:7" x14ac:dyDescent="0.2">
      <c r="G17441" s="7"/>
    </row>
    <row r="17442" spans="7:7" x14ac:dyDescent="0.2">
      <c r="G17442" s="7"/>
    </row>
    <row r="17443" spans="7:7" x14ac:dyDescent="0.2">
      <c r="G17443" s="7"/>
    </row>
    <row r="17444" spans="7:7" x14ac:dyDescent="0.2">
      <c r="G17444" s="7"/>
    </row>
    <row r="17445" spans="7:7" x14ac:dyDescent="0.2">
      <c r="G17445" s="7"/>
    </row>
    <row r="17446" spans="7:7" x14ac:dyDescent="0.2">
      <c r="G17446" s="7"/>
    </row>
    <row r="17447" spans="7:7" x14ac:dyDescent="0.2">
      <c r="G17447" s="7"/>
    </row>
    <row r="17448" spans="7:7" x14ac:dyDescent="0.2">
      <c r="G17448" s="7"/>
    </row>
    <row r="17449" spans="7:7" x14ac:dyDescent="0.2">
      <c r="G17449" s="7"/>
    </row>
    <row r="17450" spans="7:7" x14ac:dyDescent="0.2">
      <c r="G17450" s="7"/>
    </row>
    <row r="17451" spans="7:7" x14ac:dyDescent="0.2">
      <c r="G17451" s="7"/>
    </row>
    <row r="17452" spans="7:7" x14ac:dyDescent="0.2">
      <c r="G17452" s="7"/>
    </row>
    <row r="17453" spans="7:7" x14ac:dyDescent="0.2">
      <c r="G17453" s="7"/>
    </row>
    <row r="17454" spans="7:7" x14ac:dyDescent="0.2">
      <c r="G17454" s="7"/>
    </row>
    <row r="17455" spans="7:7" x14ac:dyDescent="0.2">
      <c r="G17455" s="7"/>
    </row>
    <row r="17456" spans="7:7" x14ac:dyDescent="0.2">
      <c r="G17456" s="7"/>
    </row>
    <row r="17457" spans="7:7" x14ac:dyDescent="0.2">
      <c r="G17457" s="7"/>
    </row>
    <row r="17458" spans="7:7" x14ac:dyDescent="0.2">
      <c r="G17458" s="7"/>
    </row>
    <row r="17459" spans="7:7" x14ac:dyDescent="0.2">
      <c r="G17459" s="7"/>
    </row>
    <row r="17460" spans="7:7" x14ac:dyDescent="0.2">
      <c r="G17460" s="7"/>
    </row>
    <row r="17461" spans="7:7" x14ac:dyDescent="0.2">
      <c r="G17461" s="7"/>
    </row>
    <row r="17462" spans="7:7" x14ac:dyDescent="0.2">
      <c r="G17462" s="7"/>
    </row>
    <row r="17463" spans="7:7" x14ac:dyDescent="0.2">
      <c r="G17463" s="7"/>
    </row>
    <row r="17464" spans="7:7" x14ac:dyDescent="0.2">
      <c r="G17464" s="7"/>
    </row>
    <row r="17465" spans="7:7" x14ac:dyDescent="0.2">
      <c r="G17465" s="7"/>
    </row>
    <row r="17466" spans="7:7" x14ac:dyDescent="0.2">
      <c r="G17466" s="7"/>
    </row>
    <row r="17467" spans="7:7" x14ac:dyDescent="0.2">
      <c r="G17467" s="7"/>
    </row>
    <row r="17468" spans="7:7" x14ac:dyDescent="0.2">
      <c r="G17468" s="7"/>
    </row>
    <row r="17469" spans="7:7" x14ac:dyDescent="0.2">
      <c r="G17469" s="7"/>
    </row>
    <row r="17470" spans="7:7" x14ac:dyDescent="0.2">
      <c r="G17470" s="7"/>
    </row>
    <row r="17471" spans="7:7" x14ac:dyDescent="0.2">
      <c r="G17471" s="7"/>
    </row>
    <row r="17472" spans="7:7" x14ac:dyDescent="0.2">
      <c r="G17472" s="7"/>
    </row>
    <row r="17473" spans="7:7" x14ac:dyDescent="0.2">
      <c r="G17473" s="7"/>
    </row>
    <row r="17474" spans="7:7" x14ac:dyDescent="0.2">
      <c r="G17474" s="7"/>
    </row>
    <row r="17475" spans="7:7" x14ac:dyDescent="0.2">
      <c r="G17475" s="7"/>
    </row>
    <row r="17476" spans="7:7" x14ac:dyDescent="0.2">
      <c r="G17476" s="7"/>
    </row>
    <row r="17477" spans="7:7" x14ac:dyDescent="0.2">
      <c r="G17477" s="7"/>
    </row>
    <row r="17478" spans="7:7" x14ac:dyDescent="0.2">
      <c r="G17478" s="7"/>
    </row>
    <row r="17479" spans="7:7" x14ac:dyDescent="0.2">
      <c r="G17479" s="7"/>
    </row>
    <row r="17480" spans="7:7" x14ac:dyDescent="0.2">
      <c r="G17480" s="7"/>
    </row>
    <row r="17481" spans="7:7" x14ac:dyDescent="0.2">
      <c r="G17481" s="7"/>
    </row>
    <row r="17482" spans="7:7" x14ac:dyDescent="0.2">
      <c r="G17482" s="7"/>
    </row>
    <row r="17483" spans="7:7" x14ac:dyDescent="0.2">
      <c r="G17483" s="7"/>
    </row>
    <row r="17484" spans="7:7" x14ac:dyDescent="0.2">
      <c r="G17484" s="7"/>
    </row>
    <row r="17485" spans="7:7" x14ac:dyDescent="0.2">
      <c r="G17485" s="7"/>
    </row>
    <row r="17486" spans="7:7" x14ac:dyDescent="0.2">
      <c r="G17486" s="7"/>
    </row>
    <row r="17487" spans="7:7" x14ac:dyDescent="0.2">
      <c r="G17487" s="7"/>
    </row>
    <row r="17488" spans="7:7" x14ac:dyDescent="0.2">
      <c r="G17488" s="7"/>
    </row>
    <row r="17489" spans="7:7" x14ac:dyDescent="0.2">
      <c r="G17489" s="7"/>
    </row>
    <row r="17490" spans="7:7" x14ac:dyDescent="0.2">
      <c r="G17490" s="7"/>
    </row>
    <row r="17491" spans="7:7" x14ac:dyDescent="0.2">
      <c r="G17491" s="7"/>
    </row>
    <row r="17492" spans="7:7" x14ac:dyDescent="0.2">
      <c r="G17492" s="7"/>
    </row>
    <row r="17493" spans="7:7" x14ac:dyDescent="0.2">
      <c r="G17493" s="7"/>
    </row>
    <row r="17494" spans="7:7" x14ac:dyDescent="0.2">
      <c r="G17494" s="7"/>
    </row>
    <row r="17495" spans="7:7" x14ac:dyDescent="0.2">
      <c r="G17495" s="7"/>
    </row>
    <row r="17496" spans="7:7" x14ac:dyDescent="0.2">
      <c r="G17496" s="7"/>
    </row>
    <row r="17497" spans="7:7" x14ac:dyDescent="0.2">
      <c r="G17497" s="7"/>
    </row>
    <row r="17498" spans="7:7" x14ac:dyDescent="0.2">
      <c r="G17498" s="7"/>
    </row>
    <row r="17499" spans="7:7" x14ac:dyDescent="0.2">
      <c r="G17499" s="7"/>
    </row>
    <row r="17500" spans="7:7" x14ac:dyDescent="0.2">
      <c r="G17500" s="7"/>
    </row>
    <row r="17501" spans="7:7" x14ac:dyDescent="0.2">
      <c r="G17501" s="7"/>
    </row>
    <row r="17502" spans="7:7" x14ac:dyDescent="0.2">
      <c r="G17502" s="7"/>
    </row>
    <row r="17503" spans="7:7" x14ac:dyDescent="0.2">
      <c r="G17503" s="7"/>
    </row>
    <row r="17504" spans="7:7" x14ac:dyDescent="0.2">
      <c r="G17504" s="7"/>
    </row>
    <row r="17505" spans="7:7" x14ac:dyDescent="0.2">
      <c r="G17505" s="7"/>
    </row>
    <row r="17506" spans="7:7" x14ac:dyDescent="0.2">
      <c r="G17506" s="7"/>
    </row>
    <row r="17507" spans="7:7" x14ac:dyDescent="0.2">
      <c r="G17507" s="7"/>
    </row>
    <row r="17508" spans="7:7" x14ac:dyDescent="0.2">
      <c r="G17508" s="7"/>
    </row>
    <row r="17509" spans="7:7" x14ac:dyDescent="0.2">
      <c r="G17509" s="7"/>
    </row>
    <row r="17510" spans="7:7" x14ac:dyDescent="0.2">
      <c r="G17510" s="7"/>
    </row>
    <row r="17511" spans="7:7" x14ac:dyDescent="0.2">
      <c r="G17511" s="7"/>
    </row>
    <row r="17512" spans="7:7" x14ac:dyDescent="0.2">
      <c r="G17512" s="7"/>
    </row>
    <row r="17513" spans="7:7" x14ac:dyDescent="0.2">
      <c r="G17513" s="7"/>
    </row>
    <row r="17514" spans="7:7" x14ac:dyDescent="0.2">
      <c r="G17514" s="7"/>
    </row>
    <row r="17515" spans="7:7" x14ac:dyDescent="0.2">
      <c r="G17515" s="7"/>
    </row>
    <row r="17516" spans="7:7" x14ac:dyDescent="0.2">
      <c r="G17516" s="7"/>
    </row>
    <row r="17517" spans="7:7" x14ac:dyDescent="0.2">
      <c r="G17517" s="7"/>
    </row>
    <row r="17518" spans="7:7" x14ac:dyDescent="0.2">
      <c r="G17518" s="7"/>
    </row>
    <row r="17519" spans="7:7" x14ac:dyDescent="0.2">
      <c r="G17519" s="7"/>
    </row>
    <row r="17520" spans="7:7" x14ac:dyDescent="0.2">
      <c r="G17520" s="7"/>
    </row>
    <row r="17521" spans="7:7" x14ac:dyDescent="0.2">
      <c r="G17521" s="7"/>
    </row>
    <row r="17522" spans="7:7" x14ac:dyDescent="0.2">
      <c r="G17522" s="7"/>
    </row>
    <row r="17523" spans="7:7" x14ac:dyDescent="0.2">
      <c r="G17523" s="7"/>
    </row>
    <row r="17524" spans="7:7" x14ac:dyDescent="0.2">
      <c r="G17524" s="7"/>
    </row>
    <row r="17525" spans="7:7" x14ac:dyDescent="0.2">
      <c r="G17525" s="7"/>
    </row>
    <row r="17526" spans="7:7" x14ac:dyDescent="0.2">
      <c r="G17526" s="7"/>
    </row>
    <row r="17527" spans="7:7" x14ac:dyDescent="0.2">
      <c r="G17527" s="7"/>
    </row>
    <row r="17528" spans="7:7" x14ac:dyDescent="0.2">
      <c r="G17528" s="7"/>
    </row>
    <row r="17529" spans="7:7" x14ac:dyDescent="0.2">
      <c r="G17529" s="7"/>
    </row>
    <row r="17530" spans="7:7" x14ac:dyDescent="0.2">
      <c r="G17530" s="7"/>
    </row>
    <row r="17531" spans="7:7" x14ac:dyDescent="0.2">
      <c r="G17531" s="7"/>
    </row>
    <row r="17532" spans="7:7" x14ac:dyDescent="0.2">
      <c r="G17532" s="7"/>
    </row>
    <row r="17533" spans="7:7" x14ac:dyDescent="0.2">
      <c r="G17533" s="7"/>
    </row>
    <row r="17534" spans="7:7" x14ac:dyDescent="0.2">
      <c r="G17534" s="7"/>
    </row>
    <row r="17535" spans="7:7" x14ac:dyDescent="0.2">
      <c r="G17535" s="7"/>
    </row>
    <row r="17536" spans="7:7" x14ac:dyDescent="0.2">
      <c r="G17536" s="7"/>
    </row>
    <row r="17537" spans="7:7" x14ac:dyDescent="0.2">
      <c r="G17537" s="7"/>
    </row>
    <row r="17538" spans="7:7" x14ac:dyDescent="0.2">
      <c r="G17538" s="7"/>
    </row>
    <row r="17539" spans="7:7" x14ac:dyDescent="0.2">
      <c r="G17539" s="7"/>
    </row>
    <row r="17540" spans="7:7" x14ac:dyDescent="0.2">
      <c r="G17540" s="7"/>
    </row>
    <row r="17541" spans="7:7" x14ac:dyDescent="0.2">
      <c r="G17541" s="7"/>
    </row>
    <row r="17542" spans="7:7" x14ac:dyDescent="0.2">
      <c r="G17542" s="7"/>
    </row>
    <row r="17543" spans="7:7" x14ac:dyDescent="0.2">
      <c r="G17543" s="7"/>
    </row>
    <row r="17544" spans="7:7" x14ac:dyDescent="0.2">
      <c r="G17544" s="7"/>
    </row>
    <row r="17545" spans="7:7" x14ac:dyDescent="0.2">
      <c r="G17545" s="7"/>
    </row>
    <row r="17546" spans="7:7" x14ac:dyDescent="0.2">
      <c r="G17546" s="7"/>
    </row>
    <row r="17547" spans="7:7" x14ac:dyDescent="0.2">
      <c r="G17547" s="7"/>
    </row>
    <row r="17548" spans="7:7" x14ac:dyDescent="0.2">
      <c r="G17548" s="7"/>
    </row>
    <row r="17549" spans="7:7" x14ac:dyDescent="0.2">
      <c r="G17549" s="7"/>
    </row>
    <row r="17550" spans="7:7" x14ac:dyDescent="0.2">
      <c r="G17550" s="7"/>
    </row>
    <row r="17551" spans="7:7" x14ac:dyDescent="0.2">
      <c r="G17551" s="7"/>
    </row>
    <row r="17552" spans="7:7" x14ac:dyDescent="0.2">
      <c r="G17552" s="7"/>
    </row>
    <row r="17553" spans="7:7" x14ac:dyDescent="0.2">
      <c r="G17553" s="7"/>
    </row>
    <row r="17554" spans="7:7" x14ac:dyDescent="0.2">
      <c r="G17554" s="7"/>
    </row>
    <row r="17555" spans="7:7" x14ac:dyDescent="0.2">
      <c r="G17555" s="7"/>
    </row>
    <row r="17556" spans="7:7" x14ac:dyDescent="0.2">
      <c r="G17556" s="7"/>
    </row>
    <row r="17557" spans="7:7" x14ac:dyDescent="0.2">
      <c r="G17557" s="7"/>
    </row>
    <row r="17558" spans="7:7" x14ac:dyDescent="0.2">
      <c r="G17558" s="7"/>
    </row>
    <row r="17559" spans="7:7" x14ac:dyDescent="0.2">
      <c r="G17559" s="7"/>
    </row>
    <row r="17560" spans="7:7" x14ac:dyDescent="0.2">
      <c r="G17560" s="7"/>
    </row>
    <row r="17561" spans="7:7" x14ac:dyDescent="0.2">
      <c r="G17561" s="7"/>
    </row>
    <row r="17562" spans="7:7" x14ac:dyDescent="0.2">
      <c r="G17562" s="7"/>
    </row>
    <row r="17563" spans="7:7" x14ac:dyDescent="0.2">
      <c r="G17563" s="7"/>
    </row>
    <row r="17564" spans="7:7" x14ac:dyDescent="0.2">
      <c r="G17564" s="7"/>
    </row>
    <row r="17565" spans="7:7" x14ac:dyDescent="0.2">
      <c r="G17565" s="7"/>
    </row>
    <row r="17566" spans="7:7" x14ac:dyDescent="0.2">
      <c r="G17566" s="7"/>
    </row>
    <row r="17567" spans="7:7" x14ac:dyDescent="0.2">
      <c r="G17567" s="7"/>
    </row>
    <row r="17568" spans="7:7" x14ac:dyDescent="0.2">
      <c r="G17568" s="7"/>
    </row>
    <row r="17569" spans="7:7" x14ac:dyDescent="0.2">
      <c r="G17569" s="7"/>
    </row>
    <row r="17570" spans="7:7" x14ac:dyDescent="0.2">
      <c r="G17570" s="7"/>
    </row>
    <row r="17571" spans="7:7" x14ac:dyDescent="0.2">
      <c r="G17571" s="7"/>
    </row>
    <row r="17572" spans="7:7" x14ac:dyDescent="0.2">
      <c r="G17572" s="7"/>
    </row>
    <row r="17573" spans="7:7" x14ac:dyDescent="0.2">
      <c r="G17573" s="7"/>
    </row>
    <row r="17574" spans="7:7" x14ac:dyDescent="0.2">
      <c r="G17574" s="7"/>
    </row>
    <row r="17575" spans="7:7" x14ac:dyDescent="0.2">
      <c r="G17575" s="7"/>
    </row>
    <row r="17576" spans="7:7" x14ac:dyDescent="0.2">
      <c r="G17576" s="7"/>
    </row>
    <row r="17577" spans="7:7" x14ac:dyDescent="0.2">
      <c r="G17577" s="7"/>
    </row>
    <row r="17578" spans="7:7" x14ac:dyDescent="0.2">
      <c r="G17578" s="7"/>
    </row>
    <row r="17579" spans="7:7" x14ac:dyDescent="0.2">
      <c r="G17579" s="7"/>
    </row>
    <row r="17580" spans="7:7" x14ac:dyDescent="0.2">
      <c r="G17580" s="7"/>
    </row>
    <row r="17581" spans="7:7" x14ac:dyDescent="0.2">
      <c r="G17581" s="7"/>
    </row>
    <row r="17582" spans="7:7" x14ac:dyDescent="0.2">
      <c r="G17582" s="7"/>
    </row>
    <row r="17583" spans="7:7" x14ac:dyDescent="0.2">
      <c r="G17583" s="7"/>
    </row>
    <row r="17584" spans="7:7" x14ac:dyDescent="0.2">
      <c r="G17584" s="7"/>
    </row>
    <row r="17585" spans="7:7" x14ac:dyDescent="0.2">
      <c r="G17585" s="7"/>
    </row>
    <row r="17586" spans="7:7" x14ac:dyDescent="0.2">
      <c r="G17586" s="7"/>
    </row>
    <row r="17587" spans="7:7" x14ac:dyDescent="0.2">
      <c r="G17587" s="7"/>
    </row>
    <row r="17588" spans="7:7" x14ac:dyDescent="0.2">
      <c r="G17588" s="7"/>
    </row>
    <row r="17589" spans="7:7" x14ac:dyDescent="0.2">
      <c r="G17589" s="7"/>
    </row>
    <row r="17590" spans="7:7" x14ac:dyDescent="0.2">
      <c r="G17590" s="7"/>
    </row>
    <row r="17591" spans="7:7" x14ac:dyDescent="0.2">
      <c r="G17591" s="7"/>
    </row>
    <row r="17592" spans="7:7" x14ac:dyDescent="0.2">
      <c r="G17592" s="7"/>
    </row>
    <row r="17593" spans="7:7" x14ac:dyDescent="0.2">
      <c r="G17593" s="7"/>
    </row>
    <row r="17594" spans="7:7" x14ac:dyDescent="0.2">
      <c r="G17594" s="7"/>
    </row>
    <row r="17595" spans="7:7" x14ac:dyDescent="0.2">
      <c r="G17595" s="7"/>
    </row>
    <row r="17596" spans="7:7" x14ac:dyDescent="0.2">
      <c r="G17596" s="7"/>
    </row>
    <row r="17597" spans="7:7" x14ac:dyDescent="0.2">
      <c r="G17597" s="7"/>
    </row>
    <row r="17598" spans="7:7" x14ac:dyDescent="0.2">
      <c r="G17598" s="7"/>
    </row>
    <row r="17599" spans="7:7" x14ac:dyDescent="0.2">
      <c r="G17599" s="7"/>
    </row>
    <row r="17600" spans="7:7" x14ac:dyDescent="0.2">
      <c r="G17600" s="7"/>
    </row>
    <row r="17601" spans="7:7" x14ac:dyDescent="0.2">
      <c r="G17601" s="7"/>
    </row>
    <row r="17602" spans="7:7" x14ac:dyDescent="0.2">
      <c r="G17602" s="7"/>
    </row>
    <row r="17603" spans="7:7" x14ac:dyDescent="0.2">
      <c r="G17603" s="7"/>
    </row>
    <row r="17604" spans="7:7" x14ac:dyDescent="0.2">
      <c r="G17604" s="7"/>
    </row>
    <row r="17605" spans="7:7" x14ac:dyDescent="0.2">
      <c r="G17605" s="7"/>
    </row>
    <row r="17606" spans="7:7" x14ac:dyDescent="0.2">
      <c r="G17606" s="7"/>
    </row>
    <row r="17607" spans="7:7" x14ac:dyDescent="0.2">
      <c r="G17607" s="7"/>
    </row>
    <row r="17608" spans="7:7" x14ac:dyDescent="0.2">
      <c r="G17608" s="7"/>
    </row>
    <row r="17609" spans="7:7" x14ac:dyDescent="0.2">
      <c r="G17609" s="7"/>
    </row>
    <row r="17610" spans="7:7" x14ac:dyDescent="0.2">
      <c r="G17610" s="7"/>
    </row>
    <row r="17611" spans="7:7" x14ac:dyDescent="0.2">
      <c r="G17611" s="7"/>
    </row>
    <row r="17612" spans="7:7" x14ac:dyDescent="0.2">
      <c r="G17612" s="7"/>
    </row>
    <row r="17613" spans="7:7" x14ac:dyDescent="0.2">
      <c r="G17613" s="7"/>
    </row>
    <row r="17614" spans="7:7" x14ac:dyDescent="0.2">
      <c r="G17614" s="7"/>
    </row>
    <row r="17615" spans="7:7" x14ac:dyDescent="0.2">
      <c r="G17615" s="7"/>
    </row>
    <row r="17616" spans="7:7" x14ac:dyDescent="0.2">
      <c r="G17616" s="7"/>
    </row>
    <row r="17617" spans="7:7" x14ac:dyDescent="0.2">
      <c r="G17617" s="7"/>
    </row>
    <row r="17618" spans="7:7" x14ac:dyDescent="0.2">
      <c r="G17618" s="7"/>
    </row>
    <row r="17619" spans="7:7" x14ac:dyDescent="0.2">
      <c r="G17619" s="7"/>
    </row>
    <row r="17620" spans="7:7" x14ac:dyDescent="0.2">
      <c r="G17620" s="7"/>
    </row>
    <row r="17621" spans="7:7" x14ac:dyDescent="0.2">
      <c r="G17621" s="7"/>
    </row>
    <row r="17622" spans="7:7" x14ac:dyDescent="0.2">
      <c r="G17622" s="7"/>
    </row>
    <row r="17623" spans="7:7" x14ac:dyDescent="0.2">
      <c r="G17623" s="7"/>
    </row>
    <row r="17624" spans="7:7" x14ac:dyDescent="0.2">
      <c r="G17624" s="7"/>
    </row>
    <row r="17625" spans="7:7" x14ac:dyDescent="0.2">
      <c r="G17625" s="7"/>
    </row>
    <row r="17626" spans="7:7" x14ac:dyDescent="0.2">
      <c r="G17626" s="7"/>
    </row>
    <row r="17627" spans="7:7" x14ac:dyDescent="0.2">
      <c r="G17627" s="7"/>
    </row>
    <row r="17628" spans="7:7" x14ac:dyDescent="0.2">
      <c r="G17628" s="7"/>
    </row>
    <row r="17629" spans="7:7" x14ac:dyDescent="0.2">
      <c r="G17629" s="7"/>
    </row>
    <row r="17630" spans="7:7" x14ac:dyDescent="0.2">
      <c r="G17630" s="7"/>
    </row>
    <row r="17631" spans="7:7" x14ac:dyDescent="0.2">
      <c r="G17631" s="7"/>
    </row>
    <row r="17632" spans="7:7" x14ac:dyDescent="0.2">
      <c r="G17632" s="7"/>
    </row>
    <row r="17633" spans="7:7" x14ac:dyDescent="0.2">
      <c r="G17633" s="7"/>
    </row>
    <row r="17634" spans="7:7" x14ac:dyDescent="0.2">
      <c r="G17634" s="7"/>
    </row>
    <row r="17635" spans="7:7" x14ac:dyDescent="0.2">
      <c r="G17635" s="7"/>
    </row>
    <row r="17636" spans="7:7" x14ac:dyDescent="0.2">
      <c r="G17636" s="7"/>
    </row>
    <row r="17637" spans="7:7" x14ac:dyDescent="0.2">
      <c r="G17637" s="7"/>
    </row>
    <row r="17638" spans="7:7" x14ac:dyDescent="0.2">
      <c r="G17638" s="7"/>
    </row>
    <row r="17639" spans="7:7" x14ac:dyDescent="0.2">
      <c r="G17639" s="7"/>
    </row>
    <row r="17640" spans="7:7" x14ac:dyDescent="0.2">
      <c r="G17640" s="7"/>
    </row>
    <row r="17641" spans="7:7" x14ac:dyDescent="0.2">
      <c r="G17641" s="7"/>
    </row>
    <row r="17642" spans="7:7" x14ac:dyDescent="0.2">
      <c r="G17642" s="7"/>
    </row>
    <row r="17643" spans="7:7" x14ac:dyDescent="0.2">
      <c r="G17643" s="7"/>
    </row>
    <row r="17644" spans="7:7" x14ac:dyDescent="0.2">
      <c r="G17644" s="7"/>
    </row>
    <row r="17645" spans="7:7" x14ac:dyDescent="0.2">
      <c r="G17645" s="7"/>
    </row>
    <row r="17646" spans="7:7" x14ac:dyDescent="0.2">
      <c r="G17646" s="7"/>
    </row>
    <row r="17647" spans="7:7" x14ac:dyDescent="0.2">
      <c r="G17647" s="7"/>
    </row>
    <row r="17648" spans="7:7" x14ac:dyDescent="0.2">
      <c r="G17648" s="7"/>
    </row>
    <row r="17649" spans="7:7" x14ac:dyDescent="0.2">
      <c r="G17649" s="7"/>
    </row>
    <row r="17650" spans="7:7" x14ac:dyDescent="0.2">
      <c r="G17650" s="7"/>
    </row>
    <row r="17651" spans="7:7" x14ac:dyDescent="0.2">
      <c r="G17651" s="7"/>
    </row>
    <row r="17652" spans="7:7" x14ac:dyDescent="0.2">
      <c r="G17652" s="7"/>
    </row>
    <row r="17653" spans="7:7" x14ac:dyDescent="0.2">
      <c r="G17653" s="7"/>
    </row>
    <row r="17654" spans="7:7" x14ac:dyDescent="0.2">
      <c r="G17654" s="7"/>
    </row>
    <row r="17655" spans="7:7" x14ac:dyDescent="0.2">
      <c r="G17655" s="7"/>
    </row>
    <row r="17656" spans="7:7" x14ac:dyDescent="0.2">
      <c r="G17656" s="7"/>
    </row>
    <row r="17657" spans="7:7" x14ac:dyDescent="0.2">
      <c r="G17657" s="7"/>
    </row>
    <row r="17658" spans="7:7" x14ac:dyDescent="0.2">
      <c r="G17658" s="7"/>
    </row>
    <row r="17659" spans="7:7" x14ac:dyDescent="0.2">
      <c r="G17659" s="7"/>
    </row>
    <row r="17660" spans="7:7" x14ac:dyDescent="0.2">
      <c r="G17660" s="7"/>
    </row>
    <row r="17661" spans="7:7" x14ac:dyDescent="0.2">
      <c r="G17661" s="7"/>
    </row>
    <row r="17662" spans="7:7" x14ac:dyDescent="0.2">
      <c r="G17662" s="7"/>
    </row>
    <row r="17663" spans="7:7" x14ac:dyDescent="0.2">
      <c r="G17663" s="7"/>
    </row>
    <row r="17664" spans="7:7" x14ac:dyDescent="0.2">
      <c r="G17664" s="7"/>
    </row>
    <row r="17665" spans="7:7" x14ac:dyDescent="0.2">
      <c r="G17665" s="7"/>
    </row>
    <row r="17666" spans="7:7" x14ac:dyDescent="0.2">
      <c r="G17666" s="7"/>
    </row>
    <row r="17667" spans="7:7" x14ac:dyDescent="0.2">
      <c r="G17667" s="7"/>
    </row>
    <row r="17668" spans="7:7" x14ac:dyDescent="0.2">
      <c r="G17668" s="7"/>
    </row>
    <row r="17669" spans="7:7" x14ac:dyDescent="0.2">
      <c r="G17669" s="7"/>
    </row>
    <row r="17670" spans="7:7" x14ac:dyDescent="0.2">
      <c r="G17670" s="7"/>
    </row>
    <row r="17671" spans="7:7" x14ac:dyDescent="0.2">
      <c r="G17671" s="7"/>
    </row>
    <row r="17672" spans="7:7" x14ac:dyDescent="0.2">
      <c r="G17672" s="7"/>
    </row>
    <row r="17673" spans="7:7" x14ac:dyDescent="0.2">
      <c r="G17673" s="7"/>
    </row>
    <row r="17674" spans="7:7" x14ac:dyDescent="0.2">
      <c r="G17674" s="7"/>
    </row>
    <row r="17675" spans="7:7" x14ac:dyDescent="0.2">
      <c r="G17675" s="7"/>
    </row>
    <row r="17676" spans="7:7" x14ac:dyDescent="0.2">
      <c r="G17676" s="7"/>
    </row>
    <row r="17677" spans="7:7" x14ac:dyDescent="0.2">
      <c r="G17677" s="7"/>
    </row>
    <row r="17678" spans="7:7" x14ac:dyDescent="0.2">
      <c r="G17678" s="7"/>
    </row>
    <row r="17679" spans="7:7" x14ac:dyDescent="0.2">
      <c r="G17679" s="7"/>
    </row>
    <row r="17680" spans="7:7" x14ac:dyDescent="0.2">
      <c r="G17680" s="7"/>
    </row>
    <row r="17681" spans="7:7" x14ac:dyDescent="0.2">
      <c r="G17681" s="7"/>
    </row>
    <row r="17682" spans="7:7" x14ac:dyDescent="0.2">
      <c r="G17682" s="7"/>
    </row>
    <row r="17683" spans="7:7" x14ac:dyDescent="0.2">
      <c r="G17683" s="7"/>
    </row>
    <row r="17684" spans="7:7" x14ac:dyDescent="0.2">
      <c r="G17684" s="7"/>
    </row>
    <row r="17685" spans="7:7" x14ac:dyDescent="0.2">
      <c r="G17685" s="7"/>
    </row>
    <row r="17686" spans="7:7" x14ac:dyDescent="0.2">
      <c r="G17686" s="7"/>
    </row>
    <row r="17687" spans="7:7" x14ac:dyDescent="0.2">
      <c r="G17687" s="7"/>
    </row>
    <row r="17688" spans="7:7" x14ac:dyDescent="0.2">
      <c r="G17688" s="7"/>
    </row>
    <row r="17689" spans="7:7" x14ac:dyDescent="0.2">
      <c r="G17689" s="7"/>
    </row>
    <row r="17690" spans="7:7" x14ac:dyDescent="0.2">
      <c r="G17690" s="7"/>
    </row>
    <row r="17691" spans="7:7" x14ac:dyDescent="0.2">
      <c r="G17691" s="7"/>
    </row>
    <row r="17692" spans="7:7" x14ac:dyDescent="0.2">
      <c r="G17692" s="7"/>
    </row>
    <row r="17693" spans="7:7" x14ac:dyDescent="0.2">
      <c r="G17693" s="7"/>
    </row>
    <row r="17694" spans="7:7" x14ac:dyDescent="0.2">
      <c r="G17694" s="7"/>
    </row>
    <row r="17695" spans="7:7" x14ac:dyDescent="0.2">
      <c r="G17695" s="7"/>
    </row>
    <row r="17696" spans="7:7" x14ac:dyDescent="0.2">
      <c r="G17696" s="7"/>
    </row>
    <row r="17697" spans="7:7" x14ac:dyDescent="0.2">
      <c r="G17697" s="7"/>
    </row>
    <row r="17698" spans="7:7" x14ac:dyDescent="0.2">
      <c r="G17698" s="7"/>
    </row>
    <row r="17699" spans="7:7" x14ac:dyDescent="0.2">
      <c r="G17699" s="7"/>
    </row>
    <row r="17700" spans="7:7" x14ac:dyDescent="0.2">
      <c r="G17700" s="7"/>
    </row>
    <row r="17701" spans="7:7" x14ac:dyDescent="0.2">
      <c r="G17701" s="7"/>
    </row>
    <row r="17702" spans="7:7" x14ac:dyDescent="0.2">
      <c r="G17702" s="7"/>
    </row>
    <row r="17703" spans="7:7" x14ac:dyDescent="0.2">
      <c r="G17703" s="7"/>
    </row>
    <row r="17704" spans="7:7" x14ac:dyDescent="0.2">
      <c r="G17704" s="7"/>
    </row>
    <row r="17705" spans="7:7" x14ac:dyDescent="0.2">
      <c r="G17705" s="7"/>
    </row>
    <row r="17706" spans="7:7" x14ac:dyDescent="0.2">
      <c r="G17706" s="7"/>
    </row>
    <row r="17707" spans="7:7" x14ac:dyDescent="0.2">
      <c r="G17707" s="7"/>
    </row>
    <row r="17708" spans="7:7" x14ac:dyDescent="0.2">
      <c r="G17708" s="7"/>
    </row>
    <row r="17709" spans="7:7" x14ac:dyDescent="0.2">
      <c r="G17709" s="7"/>
    </row>
    <row r="17710" spans="7:7" x14ac:dyDescent="0.2">
      <c r="G17710" s="7"/>
    </row>
    <row r="17711" spans="7:7" x14ac:dyDescent="0.2">
      <c r="G17711" s="7"/>
    </row>
    <row r="17712" spans="7:7" x14ac:dyDescent="0.2">
      <c r="G17712" s="7"/>
    </row>
    <row r="17713" spans="7:7" x14ac:dyDescent="0.2">
      <c r="G17713" s="7"/>
    </row>
    <row r="17714" spans="7:7" x14ac:dyDescent="0.2">
      <c r="G17714" s="7"/>
    </row>
    <row r="17715" spans="7:7" x14ac:dyDescent="0.2">
      <c r="G17715" s="7"/>
    </row>
    <row r="17716" spans="7:7" x14ac:dyDescent="0.2">
      <c r="G17716" s="7"/>
    </row>
    <row r="17717" spans="7:7" x14ac:dyDescent="0.2">
      <c r="G17717" s="7"/>
    </row>
    <row r="17718" spans="7:7" x14ac:dyDescent="0.2">
      <c r="G17718" s="7"/>
    </row>
    <row r="17719" spans="7:7" x14ac:dyDescent="0.2">
      <c r="G17719" s="7"/>
    </row>
    <row r="17720" spans="7:7" x14ac:dyDescent="0.2">
      <c r="G17720" s="7"/>
    </row>
    <row r="17721" spans="7:7" x14ac:dyDescent="0.2">
      <c r="G17721" s="7"/>
    </row>
    <row r="17722" spans="7:7" x14ac:dyDescent="0.2">
      <c r="G17722" s="7"/>
    </row>
    <row r="17723" spans="7:7" x14ac:dyDescent="0.2">
      <c r="G17723" s="7"/>
    </row>
    <row r="17724" spans="7:7" x14ac:dyDescent="0.2">
      <c r="G17724" s="7"/>
    </row>
    <row r="17725" spans="7:7" x14ac:dyDescent="0.2">
      <c r="G17725" s="7"/>
    </row>
    <row r="17726" spans="7:7" x14ac:dyDescent="0.2">
      <c r="G17726" s="7"/>
    </row>
    <row r="17727" spans="7:7" x14ac:dyDescent="0.2">
      <c r="G17727" s="7"/>
    </row>
    <row r="17728" spans="7:7" x14ac:dyDescent="0.2">
      <c r="G17728" s="7"/>
    </row>
    <row r="17729" spans="7:7" x14ac:dyDescent="0.2">
      <c r="G17729" s="7"/>
    </row>
    <row r="17730" spans="7:7" x14ac:dyDescent="0.2">
      <c r="G17730" s="7"/>
    </row>
    <row r="17731" spans="7:7" x14ac:dyDescent="0.2">
      <c r="G17731" s="7"/>
    </row>
    <row r="17732" spans="7:7" x14ac:dyDescent="0.2">
      <c r="G17732" s="7"/>
    </row>
    <row r="17733" spans="7:7" x14ac:dyDescent="0.2">
      <c r="G17733" s="7"/>
    </row>
    <row r="17734" spans="7:7" x14ac:dyDescent="0.2">
      <c r="G17734" s="7"/>
    </row>
    <row r="17735" spans="7:7" x14ac:dyDescent="0.2">
      <c r="G17735" s="7"/>
    </row>
    <row r="17736" spans="7:7" x14ac:dyDescent="0.2">
      <c r="G17736" s="7"/>
    </row>
    <row r="17737" spans="7:7" x14ac:dyDescent="0.2">
      <c r="G17737" s="7"/>
    </row>
    <row r="17738" spans="7:7" x14ac:dyDescent="0.2">
      <c r="G17738" s="7"/>
    </row>
    <row r="17739" spans="7:7" x14ac:dyDescent="0.2">
      <c r="G17739" s="7"/>
    </row>
    <row r="17740" spans="7:7" x14ac:dyDescent="0.2">
      <c r="G17740" s="7"/>
    </row>
    <row r="17741" spans="7:7" x14ac:dyDescent="0.2">
      <c r="G17741" s="7"/>
    </row>
    <row r="17742" spans="7:7" x14ac:dyDescent="0.2">
      <c r="G17742" s="7"/>
    </row>
    <row r="17743" spans="7:7" x14ac:dyDescent="0.2">
      <c r="G17743" s="7"/>
    </row>
    <row r="17744" spans="7:7" x14ac:dyDescent="0.2">
      <c r="G17744" s="7"/>
    </row>
    <row r="17745" spans="7:7" x14ac:dyDescent="0.2">
      <c r="G17745" s="7"/>
    </row>
    <row r="17746" spans="7:7" x14ac:dyDescent="0.2">
      <c r="G17746" s="7"/>
    </row>
    <row r="17747" spans="7:7" x14ac:dyDescent="0.2">
      <c r="G17747" s="7"/>
    </row>
    <row r="17748" spans="7:7" x14ac:dyDescent="0.2">
      <c r="G17748" s="7"/>
    </row>
    <row r="17749" spans="7:7" x14ac:dyDescent="0.2">
      <c r="G17749" s="7"/>
    </row>
    <row r="17750" spans="7:7" x14ac:dyDescent="0.2">
      <c r="G17750" s="7"/>
    </row>
    <row r="17751" spans="7:7" x14ac:dyDescent="0.2">
      <c r="G17751" s="7"/>
    </row>
    <row r="17752" spans="7:7" x14ac:dyDescent="0.2">
      <c r="G17752" s="7"/>
    </row>
    <row r="17753" spans="7:7" x14ac:dyDescent="0.2">
      <c r="G17753" s="7"/>
    </row>
    <row r="17754" spans="7:7" x14ac:dyDescent="0.2">
      <c r="G17754" s="7"/>
    </row>
    <row r="17755" spans="7:7" x14ac:dyDescent="0.2">
      <c r="G17755" s="7"/>
    </row>
    <row r="17756" spans="7:7" x14ac:dyDescent="0.2">
      <c r="G17756" s="7"/>
    </row>
    <row r="17757" spans="7:7" x14ac:dyDescent="0.2">
      <c r="G17757" s="7"/>
    </row>
    <row r="17758" spans="7:7" x14ac:dyDescent="0.2">
      <c r="G17758" s="7"/>
    </row>
    <row r="17759" spans="7:7" x14ac:dyDescent="0.2">
      <c r="G17759" s="7"/>
    </row>
    <row r="17760" spans="7:7" x14ac:dyDescent="0.2">
      <c r="G17760" s="7"/>
    </row>
    <row r="17761" spans="7:7" x14ac:dyDescent="0.2">
      <c r="G17761" s="7"/>
    </row>
    <row r="17762" spans="7:7" x14ac:dyDescent="0.2">
      <c r="G17762" s="7"/>
    </row>
    <row r="17763" spans="7:7" x14ac:dyDescent="0.2">
      <c r="G17763" s="7"/>
    </row>
    <row r="17764" spans="7:7" x14ac:dyDescent="0.2">
      <c r="G17764" s="7"/>
    </row>
    <row r="17765" spans="7:7" x14ac:dyDescent="0.2">
      <c r="G17765" s="7"/>
    </row>
    <row r="17766" spans="7:7" x14ac:dyDescent="0.2">
      <c r="G17766" s="7"/>
    </row>
    <row r="17767" spans="7:7" x14ac:dyDescent="0.2">
      <c r="G17767" s="7"/>
    </row>
    <row r="17768" spans="7:7" x14ac:dyDescent="0.2">
      <c r="G17768" s="7"/>
    </row>
    <row r="17769" spans="7:7" x14ac:dyDescent="0.2">
      <c r="G17769" s="7"/>
    </row>
    <row r="17770" spans="7:7" x14ac:dyDescent="0.2">
      <c r="G17770" s="7"/>
    </row>
    <row r="17771" spans="7:7" x14ac:dyDescent="0.2">
      <c r="G17771" s="7"/>
    </row>
    <row r="17772" spans="7:7" x14ac:dyDescent="0.2">
      <c r="G17772" s="7"/>
    </row>
    <row r="17773" spans="7:7" x14ac:dyDescent="0.2">
      <c r="G17773" s="7"/>
    </row>
    <row r="17774" spans="7:7" x14ac:dyDescent="0.2">
      <c r="G17774" s="7"/>
    </row>
    <row r="17775" spans="7:7" x14ac:dyDescent="0.2">
      <c r="G17775" s="7"/>
    </row>
    <row r="17776" spans="7:7" x14ac:dyDescent="0.2">
      <c r="G17776" s="7"/>
    </row>
    <row r="17777" spans="7:7" x14ac:dyDescent="0.2">
      <c r="G17777" s="7"/>
    </row>
    <row r="17778" spans="7:7" x14ac:dyDescent="0.2">
      <c r="G17778" s="7"/>
    </row>
    <row r="17779" spans="7:7" x14ac:dyDescent="0.2">
      <c r="G17779" s="7"/>
    </row>
    <row r="17780" spans="7:7" x14ac:dyDescent="0.2">
      <c r="G17780" s="7"/>
    </row>
    <row r="17781" spans="7:7" x14ac:dyDescent="0.2">
      <c r="G17781" s="7"/>
    </row>
    <row r="17782" spans="7:7" x14ac:dyDescent="0.2">
      <c r="G17782" s="7"/>
    </row>
    <row r="17783" spans="7:7" x14ac:dyDescent="0.2">
      <c r="G17783" s="7"/>
    </row>
    <row r="17784" spans="7:7" x14ac:dyDescent="0.2">
      <c r="G17784" s="7"/>
    </row>
    <row r="17785" spans="7:7" x14ac:dyDescent="0.2">
      <c r="G17785" s="7"/>
    </row>
    <row r="17786" spans="7:7" x14ac:dyDescent="0.2">
      <c r="G17786" s="7"/>
    </row>
    <row r="17787" spans="7:7" x14ac:dyDescent="0.2">
      <c r="G17787" s="7"/>
    </row>
    <row r="17788" spans="7:7" x14ac:dyDescent="0.2">
      <c r="G17788" s="7"/>
    </row>
    <row r="17789" spans="7:7" x14ac:dyDescent="0.2">
      <c r="G17789" s="7"/>
    </row>
    <row r="17790" spans="7:7" x14ac:dyDescent="0.2">
      <c r="G17790" s="7"/>
    </row>
    <row r="17791" spans="7:7" x14ac:dyDescent="0.2">
      <c r="G17791" s="7"/>
    </row>
    <row r="17792" spans="7:7" x14ac:dyDescent="0.2">
      <c r="G17792" s="7"/>
    </row>
    <row r="17793" spans="7:7" x14ac:dyDescent="0.2">
      <c r="G17793" s="7"/>
    </row>
    <row r="17794" spans="7:7" x14ac:dyDescent="0.2">
      <c r="G17794" s="7"/>
    </row>
    <row r="17795" spans="7:7" x14ac:dyDescent="0.2">
      <c r="G17795" s="7"/>
    </row>
    <row r="17796" spans="7:7" x14ac:dyDescent="0.2">
      <c r="G17796" s="7"/>
    </row>
    <row r="17797" spans="7:7" x14ac:dyDescent="0.2">
      <c r="G17797" s="7"/>
    </row>
    <row r="17798" spans="7:7" x14ac:dyDescent="0.2">
      <c r="G17798" s="7"/>
    </row>
    <row r="17799" spans="7:7" x14ac:dyDescent="0.2">
      <c r="G17799" s="7"/>
    </row>
    <row r="17800" spans="7:7" x14ac:dyDescent="0.2">
      <c r="G17800" s="7"/>
    </row>
    <row r="17801" spans="7:7" x14ac:dyDescent="0.2">
      <c r="G17801" s="7"/>
    </row>
    <row r="17802" spans="7:7" x14ac:dyDescent="0.2">
      <c r="G17802" s="7"/>
    </row>
    <row r="17803" spans="7:7" x14ac:dyDescent="0.2">
      <c r="G17803" s="7"/>
    </row>
    <row r="17804" spans="7:7" x14ac:dyDescent="0.2">
      <c r="G17804" s="7"/>
    </row>
    <row r="17805" spans="7:7" x14ac:dyDescent="0.2">
      <c r="G17805" s="7"/>
    </row>
    <row r="17806" spans="7:7" x14ac:dyDescent="0.2">
      <c r="G17806" s="7"/>
    </row>
    <row r="17807" spans="7:7" x14ac:dyDescent="0.2">
      <c r="G17807" s="7"/>
    </row>
    <row r="17808" spans="7:7" x14ac:dyDescent="0.2">
      <c r="G17808" s="7"/>
    </row>
    <row r="17809" spans="7:7" x14ac:dyDescent="0.2">
      <c r="G17809" s="7"/>
    </row>
    <row r="17810" spans="7:7" x14ac:dyDescent="0.2">
      <c r="G17810" s="7"/>
    </row>
    <row r="17811" spans="7:7" x14ac:dyDescent="0.2">
      <c r="G17811" s="7"/>
    </row>
    <row r="17812" spans="7:7" x14ac:dyDescent="0.2">
      <c r="G17812" s="7"/>
    </row>
    <row r="17813" spans="7:7" x14ac:dyDescent="0.2">
      <c r="G17813" s="7"/>
    </row>
    <row r="17814" spans="7:7" x14ac:dyDescent="0.2">
      <c r="G17814" s="7"/>
    </row>
    <row r="17815" spans="7:7" x14ac:dyDescent="0.2">
      <c r="G17815" s="7"/>
    </row>
    <row r="17816" spans="7:7" x14ac:dyDescent="0.2">
      <c r="G17816" s="7"/>
    </row>
    <row r="17817" spans="7:7" x14ac:dyDescent="0.2">
      <c r="G17817" s="7"/>
    </row>
    <row r="17818" spans="7:7" x14ac:dyDescent="0.2">
      <c r="G17818" s="7"/>
    </row>
    <row r="17819" spans="7:7" x14ac:dyDescent="0.2">
      <c r="G17819" s="7"/>
    </row>
    <row r="17820" spans="7:7" x14ac:dyDescent="0.2">
      <c r="G17820" s="7"/>
    </row>
    <row r="17821" spans="7:7" x14ac:dyDescent="0.2">
      <c r="G17821" s="7"/>
    </row>
    <row r="17822" spans="7:7" x14ac:dyDescent="0.2">
      <c r="G17822" s="7"/>
    </row>
    <row r="17823" spans="7:7" x14ac:dyDescent="0.2">
      <c r="G17823" s="7"/>
    </row>
    <row r="17824" spans="7:7" x14ac:dyDescent="0.2">
      <c r="G17824" s="7"/>
    </row>
    <row r="17825" spans="7:7" x14ac:dyDescent="0.2">
      <c r="G17825" s="7"/>
    </row>
    <row r="17826" spans="7:7" x14ac:dyDescent="0.2">
      <c r="G17826" s="7"/>
    </row>
    <row r="17827" spans="7:7" x14ac:dyDescent="0.2">
      <c r="G17827" s="7"/>
    </row>
    <row r="17828" spans="7:7" x14ac:dyDescent="0.2">
      <c r="G17828" s="7"/>
    </row>
    <row r="17829" spans="7:7" x14ac:dyDescent="0.2">
      <c r="G17829" s="7"/>
    </row>
    <row r="17830" spans="7:7" x14ac:dyDescent="0.2">
      <c r="G17830" s="7"/>
    </row>
    <row r="17831" spans="7:7" x14ac:dyDescent="0.2">
      <c r="G17831" s="7"/>
    </row>
    <row r="17832" spans="7:7" x14ac:dyDescent="0.2">
      <c r="G17832" s="7"/>
    </row>
    <row r="17833" spans="7:7" x14ac:dyDescent="0.2">
      <c r="G17833" s="7"/>
    </row>
    <row r="17834" spans="7:7" x14ac:dyDescent="0.2">
      <c r="G17834" s="7"/>
    </row>
    <row r="17835" spans="7:7" x14ac:dyDescent="0.2">
      <c r="G17835" s="7"/>
    </row>
    <row r="17836" spans="7:7" x14ac:dyDescent="0.2">
      <c r="G17836" s="7"/>
    </row>
    <row r="17837" spans="7:7" x14ac:dyDescent="0.2">
      <c r="G17837" s="7"/>
    </row>
    <row r="17838" spans="7:7" x14ac:dyDescent="0.2">
      <c r="G17838" s="7"/>
    </row>
    <row r="17839" spans="7:7" x14ac:dyDescent="0.2">
      <c r="G17839" s="7"/>
    </row>
    <row r="17840" spans="7:7" x14ac:dyDescent="0.2">
      <c r="G17840" s="7"/>
    </row>
    <row r="17841" spans="7:7" x14ac:dyDescent="0.2">
      <c r="G17841" s="7"/>
    </row>
    <row r="17842" spans="7:7" x14ac:dyDescent="0.2">
      <c r="G17842" s="7"/>
    </row>
    <row r="17843" spans="7:7" x14ac:dyDescent="0.2">
      <c r="G17843" s="7"/>
    </row>
    <row r="17844" spans="7:7" x14ac:dyDescent="0.2">
      <c r="G17844" s="7"/>
    </row>
    <row r="17845" spans="7:7" x14ac:dyDescent="0.2">
      <c r="G17845" s="7"/>
    </row>
    <row r="17846" spans="7:7" x14ac:dyDescent="0.2">
      <c r="G17846" s="7"/>
    </row>
    <row r="17847" spans="7:7" x14ac:dyDescent="0.2">
      <c r="G17847" s="7"/>
    </row>
    <row r="17848" spans="7:7" x14ac:dyDescent="0.2">
      <c r="G17848" s="7"/>
    </row>
    <row r="17849" spans="7:7" x14ac:dyDescent="0.2">
      <c r="G17849" s="7"/>
    </row>
    <row r="17850" spans="7:7" x14ac:dyDescent="0.2">
      <c r="G17850" s="7"/>
    </row>
    <row r="17851" spans="7:7" x14ac:dyDescent="0.2">
      <c r="G17851" s="7"/>
    </row>
    <row r="17852" spans="7:7" x14ac:dyDescent="0.2">
      <c r="G17852" s="7"/>
    </row>
    <row r="17853" spans="7:7" x14ac:dyDescent="0.2">
      <c r="G17853" s="7"/>
    </row>
    <row r="17854" spans="7:7" x14ac:dyDescent="0.2">
      <c r="G17854" s="7"/>
    </row>
    <row r="17855" spans="7:7" x14ac:dyDescent="0.2">
      <c r="G17855" s="7"/>
    </row>
    <row r="17856" spans="7:7" x14ac:dyDescent="0.2">
      <c r="G17856" s="7"/>
    </row>
    <row r="17857" spans="7:7" x14ac:dyDescent="0.2">
      <c r="G17857" s="7"/>
    </row>
    <row r="17858" spans="7:7" x14ac:dyDescent="0.2">
      <c r="G17858" s="7"/>
    </row>
    <row r="17859" spans="7:7" x14ac:dyDescent="0.2">
      <c r="G17859" s="7"/>
    </row>
    <row r="17860" spans="7:7" x14ac:dyDescent="0.2">
      <c r="G17860" s="7"/>
    </row>
    <row r="17861" spans="7:7" x14ac:dyDescent="0.2">
      <c r="G17861" s="7"/>
    </row>
    <row r="17862" spans="7:7" x14ac:dyDescent="0.2">
      <c r="G17862" s="7"/>
    </row>
    <row r="17863" spans="7:7" x14ac:dyDescent="0.2">
      <c r="G17863" s="7"/>
    </row>
    <row r="17864" spans="7:7" x14ac:dyDescent="0.2">
      <c r="G17864" s="7"/>
    </row>
    <row r="17865" spans="7:7" x14ac:dyDescent="0.2">
      <c r="G17865" s="7"/>
    </row>
    <row r="17866" spans="7:7" x14ac:dyDescent="0.2">
      <c r="G17866" s="7"/>
    </row>
    <row r="17867" spans="7:7" x14ac:dyDescent="0.2">
      <c r="G17867" s="7"/>
    </row>
    <row r="17868" spans="7:7" x14ac:dyDescent="0.2">
      <c r="G17868" s="7"/>
    </row>
    <row r="17869" spans="7:7" x14ac:dyDescent="0.2">
      <c r="G17869" s="7"/>
    </row>
    <row r="17870" spans="7:7" x14ac:dyDescent="0.2">
      <c r="G17870" s="7"/>
    </row>
    <row r="17871" spans="7:7" x14ac:dyDescent="0.2">
      <c r="G17871" s="7"/>
    </row>
    <row r="17872" spans="7:7" x14ac:dyDescent="0.2">
      <c r="G17872" s="7"/>
    </row>
    <row r="17873" spans="7:7" x14ac:dyDescent="0.2">
      <c r="G17873" s="7"/>
    </row>
    <row r="17874" spans="7:7" x14ac:dyDescent="0.2">
      <c r="G17874" s="7"/>
    </row>
    <row r="17875" spans="7:7" x14ac:dyDescent="0.2">
      <c r="G17875" s="7"/>
    </row>
    <row r="17876" spans="7:7" x14ac:dyDescent="0.2">
      <c r="G17876" s="7"/>
    </row>
    <row r="17877" spans="7:7" x14ac:dyDescent="0.2">
      <c r="G17877" s="7"/>
    </row>
    <row r="17878" spans="7:7" x14ac:dyDescent="0.2">
      <c r="G17878" s="7"/>
    </row>
    <row r="17879" spans="7:7" x14ac:dyDescent="0.2">
      <c r="G17879" s="7"/>
    </row>
    <row r="17880" spans="7:7" x14ac:dyDescent="0.2">
      <c r="G17880" s="7"/>
    </row>
    <row r="17881" spans="7:7" x14ac:dyDescent="0.2">
      <c r="G17881" s="7"/>
    </row>
    <row r="17882" spans="7:7" x14ac:dyDescent="0.2">
      <c r="G17882" s="7"/>
    </row>
    <row r="17883" spans="7:7" x14ac:dyDescent="0.2">
      <c r="G17883" s="7"/>
    </row>
    <row r="17884" spans="7:7" x14ac:dyDescent="0.2">
      <c r="G17884" s="7"/>
    </row>
    <row r="17885" spans="7:7" x14ac:dyDescent="0.2">
      <c r="G17885" s="7"/>
    </row>
    <row r="17886" spans="7:7" x14ac:dyDescent="0.2">
      <c r="G17886" s="7"/>
    </row>
    <row r="17887" spans="7:7" x14ac:dyDescent="0.2">
      <c r="G17887" s="7"/>
    </row>
    <row r="17888" spans="7:7" x14ac:dyDescent="0.2">
      <c r="G17888" s="7"/>
    </row>
    <row r="17889" spans="7:7" x14ac:dyDescent="0.2">
      <c r="G17889" s="7"/>
    </row>
    <row r="17890" spans="7:7" x14ac:dyDescent="0.2">
      <c r="G17890" s="7"/>
    </row>
    <row r="17891" spans="7:7" x14ac:dyDescent="0.2">
      <c r="G17891" s="7"/>
    </row>
    <row r="17892" spans="7:7" x14ac:dyDescent="0.2">
      <c r="G17892" s="7"/>
    </row>
    <row r="17893" spans="7:7" x14ac:dyDescent="0.2">
      <c r="G17893" s="7"/>
    </row>
    <row r="17894" spans="7:7" x14ac:dyDescent="0.2">
      <c r="G17894" s="7"/>
    </row>
    <row r="17895" spans="7:7" x14ac:dyDescent="0.2">
      <c r="G17895" s="7"/>
    </row>
    <row r="17896" spans="7:7" x14ac:dyDescent="0.2">
      <c r="G17896" s="7"/>
    </row>
    <row r="17897" spans="7:7" x14ac:dyDescent="0.2">
      <c r="G17897" s="7"/>
    </row>
    <row r="17898" spans="7:7" x14ac:dyDescent="0.2">
      <c r="G17898" s="7"/>
    </row>
    <row r="17899" spans="7:7" x14ac:dyDescent="0.2">
      <c r="G17899" s="7"/>
    </row>
    <row r="17900" spans="7:7" x14ac:dyDescent="0.2">
      <c r="G17900" s="7"/>
    </row>
    <row r="17901" spans="7:7" x14ac:dyDescent="0.2">
      <c r="G17901" s="7"/>
    </row>
    <row r="17902" spans="7:7" x14ac:dyDescent="0.2">
      <c r="G17902" s="7"/>
    </row>
    <row r="17903" spans="7:7" x14ac:dyDescent="0.2">
      <c r="G17903" s="7"/>
    </row>
    <row r="17904" spans="7:7" x14ac:dyDescent="0.2">
      <c r="G17904" s="7"/>
    </row>
    <row r="17905" spans="7:7" x14ac:dyDescent="0.2">
      <c r="G17905" s="7"/>
    </row>
    <row r="17906" spans="7:7" x14ac:dyDescent="0.2">
      <c r="G17906" s="7"/>
    </row>
    <row r="17907" spans="7:7" x14ac:dyDescent="0.2">
      <c r="G17907" s="7"/>
    </row>
    <row r="17908" spans="7:7" x14ac:dyDescent="0.2">
      <c r="G17908" s="7"/>
    </row>
    <row r="17909" spans="7:7" x14ac:dyDescent="0.2">
      <c r="G17909" s="7"/>
    </row>
    <row r="17910" spans="7:7" x14ac:dyDescent="0.2">
      <c r="G17910" s="7"/>
    </row>
    <row r="17911" spans="7:7" x14ac:dyDescent="0.2">
      <c r="G17911" s="7"/>
    </row>
    <row r="17912" spans="7:7" x14ac:dyDescent="0.2">
      <c r="G17912" s="7"/>
    </row>
    <row r="17913" spans="7:7" x14ac:dyDescent="0.2">
      <c r="G17913" s="7"/>
    </row>
    <row r="17914" spans="7:7" x14ac:dyDescent="0.2">
      <c r="G17914" s="7"/>
    </row>
    <row r="17915" spans="7:7" x14ac:dyDescent="0.2">
      <c r="G17915" s="7"/>
    </row>
    <row r="17916" spans="7:7" x14ac:dyDescent="0.2">
      <c r="G17916" s="7"/>
    </row>
    <row r="17917" spans="7:7" x14ac:dyDescent="0.2">
      <c r="G17917" s="7"/>
    </row>
    <row r="17918" spans="7:7" x14ac:dyDescent="0.2">
      <c r="G17918" s="7"/>
    </row>
    <row r="17919" spans="7:7" x14ac:dyDescent="0.2">
      <c r="G17919" s="7"/>
    </row>
    <row r="17920" spans="7:7" x14ac:dyDescent="0.2">
      <c r="G17920" s="7"/>
    </row>
    <row r="17921" spans="7:7" x14ac:dyDescent="0.2">
      <c r="G17921" s="7"/>
    </row>
    <row r="17922" spans="7:7" x14ac:dyDescent="0.2">
      <c r="G17922" s="7"/>
    </row>
    <row r="17923" spans="7:7" x14ac:dyDescent="0.2">
      <c r="G17923" s="7"/>
    </row>
    <row r="17924" spans="7:7" x14ac:dyDescent="0.2">
      <c r="G17924" s="7"/>
    </row>
    <row r="17925" spans="7:7" x14ac:dyDescent="0.2">
      <c r="G17925" s="7"/>
    </row>
    <row r="17926" spans="7:7" x14ac:dyDescent="0.2">
      <c r="G17926" s="7"/>
    </row>
    <row r="17927" spans="7:7" x14ac:dyDescent="0.2">
      <c r="G17927" s="7"/>
    </row>
    <row r="17928" spans="7:7" x14ac:dyDescent="0.2">
      <c r="G17928" s="7"/>
    </row>
    <row r="17929" spans="7:7" x14ac:dyDescent="0.2">
      <c r="G17929" s="7"/>
    </row>
    <row r="17930" spans="7:7" x14ac:dyDescent="0.2">
      <c r="G17930" s="7"/>
    </row>
    <row r="17931" spans="7:7" x14ac:dyDescent="0.2">
      <c r="G17931" s="7"/>
    </row>
    <row r="17932" spans="7:7" x14ac:dyDescent="0.2">
      <c r="G17932" s="7"/>
    </row>
    <row r="17933" spans="7:7" x14ac:dyDescent="0.2">
      <c r="G17933" s="7"/>
    </row>
    <row r="17934" spans="7:7" x14ac:dyDescent="0.2">
      <c r="G17934" s="7"/>
    </row>
    <row r="17935" spans="7:7" x14ac:dyDescent="0.2">
      <c r="G17935" s="7"/>
    </row>
    <row r="17936" spans="7:7" x14ac:dyDescent="0.2">
      <c r="G17936" s="7"/>
    </row>
    <row r="17937" spans="7:7" x14ac:dyDescent="0.2">
      <c r="G17937" s="7"/>
    </row>
    <row r="17938" spans="7:7" x14ac:dyDescent="0.2">
      <c r="G17938" s="7"/>
    </row>
    <row r="17939" spans="7:7" x14ac:dyDescent="0.2">
      <c r="G17939" s="7"/>
    </row>
    <row r="17940" spans="7:7" x14ac:dyDescent="0.2">
      <c r="G17940" s="7"/>
    </row>
    <row r="17941" spans="7:7" x14ac:dyDescent="0.2">
      <c r="G17941" s="7"/>
    </row>
    <row r="17942" spans="7:7" x14ac:dyDescent="0.2">
      <c r="G17942" s="7"/>
    </row>
    <row r="17943" spans="7:7" x14ac:dyDescent="0.2">
      <c r="G17943" s="7"/>
    </row>
    <row r="17944" spans="7:7" x14ac:dyDescent="0.2">
      <c r="G17944" s="7"/>
    </row>
    <row r="17945" spans="7:7" x14ac:dyDescent="0.2">
      <c r="G17945" s="7"/>
    </row>
    <row r="17946" spans="7:7" x14ac:dyDescent="0.2">
      <c r="G17946" s="7"/>
    </row>
    <row r="17947" spans="7:7" x14ac:dyDescent="0.2">
      <c r="G17947" s="7"/>
    </row>
    <row r="17948" spans="7:7" x14ac:dyDescent="0.2">
      <c r="G17948" s="7"/>
    </row>
    <row r="17949" spans="7:7" x14ac:dyDescent="0.2">
      <c r="G17949" s="7"/>
    </row>
    <row r="17950" spans="7:7" x14ac:dyDescent="0.2">
      <c r="G17950" s="7"/>
    </row>
    <row r="17951" spans="7:7" x14ac:dyDescent="0.2">
      <c r="G17951" s="7"/>
    </row>
    <row r="17952" spans="7:7" x14ac:dyDescent="0.2">
      <c r="G17952" s="7"/>
    </row>
    <row r="17953" spans="7:7" x14ac:dyDescent="0.2">
      <c r="G17953" s="7"/>
    </row>
    <row r="17954" spans="7:7" x14ac:dyDescent="0.2">
      <c r="G17954" s="7"/>
    </row>
    <row r="17955" spans="7:7" x14ac:dyDescent="0.2">
      <c r="G17955" s="7"/>
    </row>
    <row r="17956" spans="7:7" x14ac:dyDescent="0.2">
      <c r="G17956" s="7"/>
    </row>
    <row r="17957" spans="7:7" x14ac:dyDescent="0.2">
      <c r="G17957" s="7"/>
    </row>
    <row r="17958" spans="7:7" x14ac:dyDescent="0.2">
      <c r="G17958" s="7"/>
    </row>
    <row r="17959" spans="7:7" x14ac:dyDescent="0.2">
      <c r="G17959" s="7"/>
    </row>
    <row r="17960" spans="7:7" x14ac:dyDescent="0.2">
      <c r="G17960" s="7"/>
    </row>
    <row r="17961" spans="7:7" x14ac:dyDescent="0.2">
      <c r="G17961" s="7"/>
    </row>
    <row r="17962" spans="7:7" x14ac:dyDescent="0.2">
      <c r="G17962" s="7"/>
    </row>
    <row r="17963" spans="7:7" x14ac:dyDescent="0.2">
      <c r="G17963" s="7"/>
    </row>
    <row r="17964" spans="7:7" x14ac:dyDescent="0.2">
      <c r="G17964" s="7"/>
    </row>
    <row r="17965" spans="7:7" x14ac:dyDescent="0.2">
      <c r="G17965" s="7"/>
    </row>
    <row r="17966" spans="7:7" x14ac:dyDescent="0.2">
      <c r="G17966" s="7"/>
    </row>
    <row r="17967" spans="7:7" x14ac:dyDescent="0.2">
      <c r="G17967" s="7"/>
    </row>
    <row r="17968" spans="7:7" x14ac:dyDescent="0.2">
      <c r="G17968" s="7"/>
    </row>
    <row r="17969" spans="7:7" x14ac:dyDescent="0.2">
      <c r="G17969" s="7"/>
    </row>
    <row r="17970" spans="7:7" x14ac:dyDescent="0.2">
      <c r="G17970" s="7"/>
    </row>
    <row r="17971" spans="7:7" x14ac:dyDescent="0.2">
      <c r="G17971" s="7"/>
    </row>
    <row r="17972" spans="7:7" x14ac:dyDescent="0.2">
      <c r="G17972" s="7"/>
    </row>
    <row r="17973" spans="7:7" x14ac:dyDescent="0.2">
      <c r="G17973" s="7"/>
    </row>
    <row r="17974" spans="7:7" x14ac:dyDescent="0.2">
      <c r="G17974" s="7"/>
    </row>
    <row r="17975" spans="7:7" x14ac:dyDescent="0.2">
      <c r="G17975" s="7"/>
    </row>
    <row r="17976" spans="7:7" x14ac:dyDescent="0.2">
      <c r="G17976" s="7"/>
    </row>
    <row r="17977" spans="7:7" x14ac:dyDescent="0.2">
      <c r="G17977" s="7"/>
    </row>
    <row r="17978" spans="7:7" x14ac:dyDescent="0.2">
      <c r="G17978" s="7"/>
    </row>
    <row r="17979" spans="7:7" x14ac:dyDescent="0.2">
      <c r="G17979" s="7"/>
    </row>
    <row r="17980" spans="7:7" x14ac:dyDescent="0.2">
      <c r="G17980" s="7"/>
    </row>
    <row r="17981" spans="7:7" x14ac:dyDescent="0.2">
      <c r="G17981" s="7"/>
    </row>
    <row r="17982" spans="7:7" x14ac:dyDescent="0.2">
      <c r="G17982" s="7"/>
    </row>
    <row r="17983" spans="7:7" x14ac:dyDescent="0.2">
      <c r="G17983" s="7"/>
    </row>
    <row r="17984" spans="7:7" x14ac:dyDescent="0.2">
      <c r="G17984" s="7"/>
    </row>
    <row r="17985" spans="7:7" x14ac:dyDescent="0.2">
      <c r="G17985" s="7"/>
    </row>
    <row r="17986" spans="7:7" x14ac:dyDescent="0.2">
      <c r="G17986" s="7"/>
    </row>
    <row r="17987" spans="7:7" x14ac:dyDescent="0.2">
      <c r="G17987" s="7"/>
    </row>
    <row r="17988" spans="7:7" x14ac:dyDescent="0.2">
      <c r="G17988" s="7"/>
    </row>
    <row r="17989" spans="7:7" x14ac:dyDescent="0.2">
      <c r="G17989" s="7"/>
    </row>
    <row r="17990" spans="7:7" x14ac:dyDescent="0.2">
      <c r="G17990" s="7"/>
    </row>
    <row r="17991" spans="7:7" x14ac:dyDescent="0.2">
      <c r="G17991" s="7"/>
    </row>
    <row r="17992" spans="7:7" x14ac:dyDescent="0.2">
      <c r="G17992" s="7"/>
    </row>
    <row r="17993" spans="7:7" x14ac:dyDescent="0.2">
      <c r="G17993" s="7"/>
    </row>
    <row r="17994" spans="7:7" x14ac:dyDescent="0.2">
      <c r="G17994" s="7"/>
    </row>
    <row r="17995" spans="7:7" x14ac:dyDescent="0.2">
      <c r="G17995" s="7"/>
    </row>
    <row r="17996" spans="7:7" x14ac:dyDescent="0.2">
      <c r="G17996" s="7"/>
    </row>
    <row r="17997" spans="7:7" x14ac:dyDescent="0.2">
      <c r="G17997" s="7"/>
    </row>
    <row r="17998" spans="7:7" x14ac:dyDescent="0.2">
      <c r="G17998" s="7"/>
    </row>
    <row r="17999" spans="7:7" x14ac:dyDescent="0.2">
      <c r="G17999" s="7"/>
    </row>
    <row r="18000" spans="7:7" x14ac:dyDescent="0.2">
      <c r="G18000" s="7"/>
    </row>
    <row r="18001" spans="7:7" x14ac:dyDescent="0.2">
      <c r="G18001" s="7"/>
    </row>
    <row r="18002" spans="7:7" x14ac:dyDescent="0.2">
      <c r="G18002" s="7"/>
    </row>
    <row r="18003" spans="7:7" x14ac:dyDescent="0.2">
      <c r="G18003" s="7"/>
    </row>
    <row r="18004" spans="7:7" x14ac:dyDescent="0.2">
      <c r="G18004" s="7"/>
    </row>
    <row r="18005" spans="7:7" x14ac:dyDescent="0.2">
      <c r="G18005" s="7"/>
    </row>
    <row r="18006" spans="7:7" x14ac:dyDescent="0.2">
      <c r="G18006" s="7"/>
    </row>
    <row r="18007" spans="7:7" x14ac:dyDescent="0.2">
      <c r="G18007" s="7"/>
    </row>
    <row r="18008" spans="7:7" x14ac:dyDescent="0.2">
      <c r="G18008" s="7"/>
    </row>
    <row r="18009" spans="7:7" x14ac:dyDescent="0.2">
      <c r="G18009" s="7"/>
    </row>
    <row r="18010" spans="7:7" x14ac:dyDescent="0.2">
      <c r="G18010" s="7"/>
    </row>
    <row r="18011" spans="7:7" x14ac:dyDescent="0.2">
      <c r="G18011" s="7"/>
    </row>
    <row r="18012" spans="7:7" x14ac:dyDescent="0.2">
      <c r="G18012" s="7"/>
    </row>
    <row r="18013" spans="7:7" x14ac:dyDescent="0.2">
      <c r="G18013" s="7"/>
    </row>
    <row r="18014" spans="7:7" x14ac:dyDescent="0.2">
      <c r="G18014" s="7"/>
    </row>
    <row r="18015" spans="7:7" x14ac:dyDescent="0.2">
      <c r="G18015" s="7"/>
    </row>
    <row r="18016" spans="7:7" x14ac:dyDescent="0.2">
      <c r="G18016" s="7"/>
    </row>
    <row r="18017" spans="7:7" x14ac:dyDescent="0.2">
      <c r="G18017" s="7"/>
    </row>
    <row r="18018" spans="7:7" x14ac:dyDescent="0.2">
      <c r="G18018" s="7"/>
    </row>
    <row r="18019" spans="7:7" x14ac:dyDescent="0.2">
      <c r="G18019" s="7"/>
    </row>
    <row r="18020" spans="7:7" x14ac:dyDescent="0.2">
      <c r="G18020" s="7"/>
    </row>
    <row r="18021" spans="7:7" x14ac:dyDescent="0.2">
      <c r="G18021" s="7"/>
    </row>
    <row r="18022" spans="7:7" x14ac:dyDescent="0.2">
      <c r="G18022" s="7"/>
    </row>
    <row r="18023" spans="7:7" x14ac:dyDescent="0.2">
      <c r="G18023" s="7"/>
    </row>
    <row r="18024" spans="7:7" x14ac:dyDescent="0.2">
      <c r="G18024" s="7"/>
    </row>
    <row r="18025" spans="7:7" x14ac:dyDescent="0.2">
      <c r="G18025" s="7"/>
    </row>
    <row r="18026" spans="7:7" x14ac:dyDescent="0.2">
      <c r="G18026" s="7"/>
    </row>
    <row r="18027" spans="7:7" x14ac:dyDescent="0.2">
      <c r="G18027" s="7"/>
    </row>
    <row r="18028" spans="7:7" x14ac:dyDescent="0.2">
      <c r="G18028" s="7"/>
    </row>
    <row r="18029" spans="7:7" x14ac:dyDescent="0.2">
      <c r="G18029" s="7"/>
    </row>
    <row r="18030" spans="7:7" x14ac:dyDescent="0.2">
      <c r="G18030" s="7"/>
    </row>
    <row r="18031" spans="7:7" x14ac:dyDescent="0.2">
      <c r="G18031" s="7"/>
    </row>
    <row r="18032" spans="7:7" x14ac:dyDescent="0.2">
      <c r="G18032" s="7"/>
    </row>
    <row r="18033" spans="7:7" x14ac:dyDescent="0.2">
      <c r="G18033" s="7"/>
    </row>
    <row r="18034" spans="7:7" x14ac:dyDescent="0.2">
      <c r="G18034" s="7"/>
    </row>
    <row r="18035" spans="7:7" x14ac:dyDescent="0.2">
      <c r="G18035" s="7"/>
    </row>
    <row r="18036" spans="7:7" x14ac:dyDescent="0.2">
      <c r="G18036" s="7"/>
    </row>
    <row r="18037" spans="7:7" x14ac:dyDescent="0.2">
      <c r="G18037" s="7"/>
    </row>
    <row r="18038" spans="7:7" x14ac:dyDescent="0.2">
      <c r="G18038" s="7"/>
    </row>
    <row r="18039" spans="7:7" x14ac:dyDescent="0.2">
      <c r="G18039" s="7"/>
    </row>
    <row r="18040" spans="7:7" x14ac:dyDescent="0.2">
      <c r="G18040" s="7"/>
    </row>
    <row r="18041" spans="7:7" x14ac:dyDescent="0.2">
      <c r="G18041" s="7"/>
    </row>
    <row r="18042" spans="7:7" x14ac:dyDescent="0.2">
      <c r="G18042" s="7"/>
    </row>
    <row r="18043" spans="7:7" x14ac:dyDescent="0.2">
      <c r="G18043" s="7"/>
    </row>
    <row r="18044" spans="7:7" x14ac:dyDescent="0.2">
      <c r="G18044" s="7"/>
    </row>
    <row r="18045" spans="7:7" x14ac:dyDescent="0.2">
      <c r="G18045" s="7"/>
    </row>
    <row r="18046" spans="7:7" x14ac:dyDescent="0.2">
      <c r="G18046" s="7"/>
    </row>
    <row r="18047" spans="7:7" x14ac:dyDescent="0.2">
      <c r="G18047" s="7"/>
    </row>
    <row r="18048" spans="7:7" x14ac:dyDescent="0.2">
      <c r="G18048" s="7"/>
    </row>
    <row r="18049" spans="7:7" x14ac:dyDescent="0.2">
      <c r="G18049" s="7"/>
    </row>
    <row r="18050" spans="7:7" x14ac:dyDescent="0.2">
      <c r="G18050" s="7"/>
    </row>
    <row r="18051" spans="7:7" x14ac:dyDescent="0.2">
      <c r="G18051" s="7"/>
    </row>
    <row r="18052" spans="7:7" x14ac:dyDescent="0.2">
      <c r="G18052" s="7"/>
    </row>
    <row r="18053" spans="7:7" x14ac:dyDescent="0.2">
      <c r="G18053" s="7"/>
    </row>
    <row r="18054" spans="7:7" x14ac:dyDescent="0.2">
      <c r="G18054" s="7"/>
    </row>
    <row r="18055" spans="7:7" x14ac:dyDescent="0.2">
      <c r="G18055" s="7"/>
    </row>
    <row r="18056" spans="7:7" x14ac:dyDescent="0.2">
      <c r="G18056" s="7"/>
    </row>
    <row r="18057" spans="7:7" x14ac:dyDescent="0.2">
      <c r="G18057" s="7"/>
    </row>
    <row r="18058" spans="7:7" x14ac:dyDescent="0.2">
      <c r="G18058" s="7"/>
    </row>
    <row r="18059" spans="7:7" x14ac:dyDescent="0.2">
      <c r="G18059" s="7"/>
    </row>
    <row r="18060" spans="7:7" x14ac:dyDescent="0.2">
      <c r="G18060" s="7"/>
    </row>
    <row r="18061" spans="7:7" x14ac:dyDescent="0.2">
      <c r="G18061" s="7"/>
    </row>
    <row r="18062" spans="7:7" x14ac:dyDescent="0.2">
      <c r="G18062" s="7"/>
    </row>
    <row r="18063" spans="7:7" x14ac:dyDescent="0.2">
      <c r="G18063" s="7"/>
    </row>
    <row r="18064" spans="7:7" x14ac:dyDescent="0.2">
      <c r="G18064" s="7"/>
    </row>
    <row r="18065" spans="7:7" x14ac:dyDescent="0.2">
      <c r="G18065" s="7"/>
    </row>
    <row r="18066" spans="7:7" x14ac:dyDescent="0.2">
      <c r="G18066" s="7"/>
    </row>
    <row r="18067" spans="7:7" x14ac:dyDescent="0.2">
      <c r="G18067" s="7"/>
    </row>
    <row r="18068" spans="7:7" x14ac:dyDescent="0.2">
      <c r="G18068" s="7"/>
    </row>
    <row r="18069" spans="7:7" x14ac:dyDescent="0.2">
      <c r="G18069" s="7"/>
    </row>
    <row r="18070" spans="7:7" x14ac:dyDescent="0.2">
      <c r="G18070" s="7"/>
    </row>
    <row r="18071" spans="7:7" x14ac:dyDescent="0.2">
      <c r="G18071" s="7"/>
    </row>
    <row r="18072" spans="7:7" x14ac:dyDescent="0.2">
      <c r="G18072" s="7"/>
    </row>
    <row r="18073" spans="7:7" x14ac:dyDescent="0.2">
      <c r="G18073" s="7"/>
    </row>
    <row r="18074" spans="7:7" x14ac:dyDescent="0.2">
      <c r="G18074" s="7"/>
    </row>
    <row r="18075" spans="7:7" x14ac:dyDescent="0.2">
      <c r="G18075" s="7"/>
    </row>
    <row r="18076" spans="7:7" x14ac:dyDescent="0.2">
      <c r="G18076" s="7"/>
    </row>
    <row r="18077" spans="7:7" x14ac:dyDescent="0.2">
      <c r="G18077" s="7"/>
    </row>
    <row r="18078" spans="7:7" x14ac:dyDescent="0.2">
      <c r="G18078" s="7"/>
    </row>
    <row r="18079" spans="7:7" x14ac:dyDescent="0.2">
      <c r="G18079" s="7"/>
    </row>
    <row r="18080" spans="7:7" x14ac:dyDescent="0.2">
      <c r="G18080" s="7"/>
    </row>
    <row r="18081" spans="7:7" x14ac:dyDescent="0.2">
      <c r="G18081" s="7"/>
    </row>
    <row r="18082" spans="7:7" x14ac:dyDescent="0.2">
      <c r="G18082" s="7"/>
    </row>
    <row r="18083" spans="7:7" x14ac:dyDescent="0.2">
      <c r="G18083" s="7"/>
    </row>
    <row r="18084" spans="7:7" x14ac:dyDescent="0.2">
      <c r="G18084" s="7"/>
    </row>
    <row r="18085" spans="7:7" x14ac:dyDescent="0.2">
      <c r="G18085" s="7"/>
    </row>
    <row r="18086" spans="7:7" x14ac:dyDescent="0.2">
      <c r="G18086" s="7"/>
    </row>
    <row r="18087" spans="7:7" x14ac:dyDescent="0.2">
      <c r="G18087" s="7"/>
    </row>
    <row r="18088" spans="7:7" x14ac:dyDescent="0.2">
      <c r="G18088" s="7"/>
    </row>
    <row r="18089" spans="7:7" x14ac:dyDescent="0.2">
      <c r="G18089" s="7"/>
    </row>
    <row r="18090" spans="7:7" x14ac:dyDescent="0.2">
      <c r="G18090" s="7"/>
    </row>
    <row r="18091" spans="7:7" x14ac:dyDescent="0.2">
      <c r="G18091" s="7"/>
    </row>
    <row r="18092" spans="7:7" x14ac:dyDescent="0.2">
      <c r="G18092" s="7"/>
    </row>
    <row r="18093" spans="7:7" x14ac:dyDescent="0.2">
      <c r="G18093" s="7"/>
    </row>
    <row r="18094" spans="7:7" x14ac:dyDescent="0.2">
      <c r="G18094" s="7"/>
    </row>
    <row r="18095" spans="7:7" x14ac:dyDescent="0.2">
      <c r="G18095" s="7"/>
    </row>
    <row r="18096" spans="7:7" x14ac:dyDescent="0.2">
      <c r="G18096" s="7"/>
    </row>
    <row r="18097" spans="7:7" x14ac:dyDescent="0.2">
      <c r="G18097" s="7"/>
    </row>
    <row r="18098" spans="7:7" x14ac:dyDescent="0.2">
      <c r="G18098" s="7"/>
    </row>
    <row r="18099" spans="7:7" x14ac:dyDescent="0.2">
      <c r="G18099" s="7"/>
    </row>
    <row r="18100" spans="7:7" x14ac:dyDescent="0.2">
      <c r="G18100" s="7"/>
    </row>
    <row r="18101" spans="7:7" x14ac:dyDescent="0.2">
      <c r="G18101" s="7"/>
    </row>
    <row r="18102" spans="7:7" x14ac:dyDescent="0.2">
      <c r="G18102" s="7"/>
    </row>
    <row r="18103" spans="7:7" x14ac:dyDescent="0.2">
      <c r="G18103" s="7"/>
    </row>
    <row r="18104" spans="7:7" x14ac:dyDescent="0.2">
      <c r="G18104" s="7"/>
    </row>
    <row r="18105" spans="7:7" x14ac:dyDescent="0.2">
      <c r="G18105" s="7"/>
    </row>
    <row r="18106" spans="7:7" x14ac:dyDescent="0.2">
      <c r="G18106" s="7"/>
    </row>
    <row r="18107" spans="7:7" x14ac:dyDescent="0.2">
      <c r="G18107" s="7"/>
    </row>
    <row r="18108" spans="7:7" x14ac:dyDescent="0.2">
      <c r="G18108" s="7"/>
    </row>
    <row r="18109" spans="7:7" x14ac:dyDescent="0.2">
      <c r="G18109" s="7"/>
    </row>
    <row r="18110" spans="7:7" x14ac:dyDescent="0.2">
      <c r="G18110" s="7"/>
    </row>
    <row r="18111" spans="7:7" x14ac:dyDescent="0.2">
      <c r="G18111" s="7"/>
    </row>
    <row r="18112" spans="7:7" x14ac:dyDescent="0.2">
      <c r="G18112" s="7"/>
    </row>
    <row r="18113" spans="7:7" x14ac:dyDescent="0.2">
      <c r="G18113" s="7"/>
    </row>
    <row r="18114" spans="7:7" x14ac:dyDescent="0.2">
      <c r="G18114" s="7"/>
    </row>
    <row r="18115" spans="7:7" x14ac:dyDescent="0.2">
      <c r="G18115" s="7"/>
    </row>
    <row r="18116" spans="7:7" x14ac:dyDescent="0.2">
      <c r="G18116" s="7"/>
    </row>
    <row r="18117" spans="7:7" x14ac:dyDescent="0.2">
      <c r="G18117" s="7"/>
    </row>
    <row r="18118" spans="7:7" x14ac:dyDescent="0.2">
      <c r="G18118" s="7"/>
    </row>
    <row r="18119" spans="7:7" x14ac:dyDescent="0.2">
      <c r="G18119" s="7"/>
    </row>
    <row r="18120" spans="7:7" x14ac:dyDescent="0.2">
      <c r="G18120" s="7"/>
    </row>
    <row r="18121" spans="7:7" x14ac:dyDescent="0.2">
      <c r="G18121" s="7"/>
    </row>
    <row r="18122" spans="7:7" x14ac:dyDescent="0.2">
      <c r="G18122" s="7"/>
    </row>
    <row r="18123" spans="7:7" x14ac:dyDescent="0.2">
      <c r="G18123" s="7"/>
    </row>
    <row r="18124" spans="7:7" x14ac:dyDescent="0.2">
      <c r="G18124" s="7"/>
    </row>
    <row r="18125" spans="7:7" x14ac:dyDescent="0.2">
      <c r="G18125" s="7"/>
    </row>
    <row r="18126" spans="7:7" x14ac:dyDescent="0.2">
      <c r="G18126" s="7"/>
    </row>
    <row r="18127" spans="7:7" x14ac:dyDescent="0.2">
      <c r="G18127" s="7"/>
    </row>
    <row r="18128" spans="7:7" x14ac:dyDescent="0.2">
      <c r="G18128" s="7"/>
    </row>
    <row r="18129" spans="7:7" x14ac:dyDescent="0.2">
      <c r="G18129" s="7"/>
    </row>
    <row r="18130" spans="7:7" x14ac:dyDescent="0.2">
      <c r="G18130" s="7"/>
    </row>
    <row r="18131" spans="7:7" x14ac:dyDescent="0.2">
      <c r="G18131" s="7"/>
    </row>
    <row r="18132" spans="7:7" x14ac:dyDescent="0.2">
      <c r="G18132" s="7"/>
    </row>
    <row r="18133" spans="7:7" x14ac:dyDescent="0.2">
      <c r="G18133" s="7"/>
    </row>
    <row r="18134" spans="7:7" x14ac:dyDescent="0.2">
      <c r="G18134" s="7"/>
    </row>
    <row r="18135" spans="7:7" x14ac:dyDescent="0.2">
      <c r="G18135" s="7"/>
    </row>
    <row r="18136" spans="7:7" x14ac:dyDescent="0.2">
      <c r="G18136" s="7"/>
    </row>
    <row r="18137" spans="7:7" x14ac:dyDescent="0.2">
      <c r="G18137" s="7"/>
    </row>
    <row r="18138" spans="7:7" x14ac:dyDescent="0.2">
      <c r="G18138" s="7"/>
    </row>
    <row r="18139" spans="7:7" x14ac:dyDescent="0.2">
      <c r="G18139" s="7"/>
    </row>
    <row r="18140" spans="7:7" x14ac:dyDescent="0.2">
      <c r="G18140" s="7"/>
    </row>
    <row r="18141" spans="7:7" x14ac:dyDescent="0.2">
      <c r="G18141" s="7"/>
    </row>
    <row r="18142" spans="7:7" x14ac:dyDescent="0.2">
      <c r="G18142" s="7"/>
    </row>
    <row r="18143" spans="7:7" x14ac:dyDescent="0.2">
      <c r="G18143" s="7"/>
    </row>
    <row r="18144" spans="7:7" x14ac:dyDescent="0.2">
      <c r="G18144" s="7"/>
    </row>
    <row r="18145" spans="7:7" x14ac:dyDescent="0.2">
      <c r="G18145" s="7"/>
    </row>
    <row r="18146" spans="7:7" x14ac:dyDescent="0.2">
      <c r="G18146" s="7"/>
    </row>
    <row r="18147" spans="7:7" x14ac:dyDescent="0.2">
      <c r="G18147" s="7"/>
    </row>
    <row r="18148" spans="7:7" x14ac:dyDescent="0.2">
      <c r="G18148" s="7"/>
    </row>
    <row r="18149" spans="7:7" x14ac:dyDescent="0.2">
      <c r="G18149" s="7"/>
    </row>
    <row r="18150" spans="7:7" x14ac:dyDescent="0.2">
      <c r="G18150" s="7"/>
    </row>
    <row r="18151" spans="7:7" x14ac:dyDescent="0.2">
      <c r="G18151" s="7"/>
    </row>
    <row r="18152" spans="7:7" x14ac:dyDescent="0.2">
      <c r="G18152" s="7"/>
    </row>
    <row r="18153" spans="7:7" x14ac:dyDescent="0.2">
      <c r="G18153" s="7"/>
    </row>
    <row r="18154" spans="7:7" x14ac:dyDescent="0.2">
      <c r="G18154" s="7"/>
    </row>
    <row r="18155" spans="7:7" x14ac:dyDescent="0.2">
      <c r="G18155" s="7"/>
    </row>
    <row r="18156" spans="7:7" x14ac:dyDescent="0.2">
      <c r="G18156" s="7"/>
    </row>
    <row r="18157" spans="7:7" x14ac:dyDescent="0.2">
      <c r="G18157" s="7"/>
    </row>
    <row r="18158" spans="7:7" x14ac:dyDescent="0.2">
      <c r="G18158" s="7"/>
    </row>
    <row r="18159" spans="7:7" x14ac:dyDescent="0.2">
      <c r="G18159" s="7"/>
    </row>
    <row r="18160" spans="7:7" x14ac:dyDescent="0.2">
      <c r="G18160" s="7"/>
    </row>
    <row r="18161" spans="7:7" x14ac:dyDescent="0.2">
      <c r="G18161" s="7"/>
    </row>
    <row r="18162" spans="7:7" x14ac:dyDescent="0.2">
      <c r="G18162" s="7"/>
    </row>
    <row r="18163" spans="7:7" x14ac:dyDescent="0.2">
      <c r="G18163" s="7"/>
    </row>
    <row r="18164" spans="7:7" x14ac:dyDescent="0.2">
      <c r="G18164" s="7"/>
    </row>
    <row r="18165" spans="7:7" x14ac:dyDescent="0.2">
      <c r="G18165" s="7"/>
    </row>
    <row r="18166" spans="7:7" x14ac:dyDescent="0.2">
      <c r="G18166" s="7"/>
    </row>
    <row r="18167" spans="7:7" x14ac:dyDescent="0.2">
      <c r="G18167" s="7"/>
    </row>
    <row r="18168" spans="7:7" x14ac:dyDescent="0.2">
      <c r="G18168" s="7"/>
    </row>
    <row r="18169" spans="7:7" x14ac:dyDescent="0.2">
      <c r="G18169" s="7"/>
    </row>
    <row r="18170" spans="7:7" x14ac:dyDescent="0.2">
      <c r="G18170" s="7"/>
    </row>
    <row r="18171" spans="7:7" x14ac:dyDescent="0.2">
      <c r="G18171" s="7"/>
    </row>
    <row r="18172" spans="7:7" x14ac:dyDescent="0.2">
      <c r="G18172" s="7"/>
    </row>
    <row r="18173" spans="7:7" x14ac:dyDescent="0.2">
      <c r="G18173" s="7"/>
    </row>
    <row r="18174" spans="7:7" x14ac:dyDescent="0.2">
      <c r="G18174" s="7"/>
    </row>
    <row r="18175" spans="7:7" x14ac:dyDescent="0.2">
      <c r="G18175" s="7"/>
    </row>
    <row r="18176" spans="7:7" x14ac:dyDescent="0.2">
      <c r="G18176" s="7"/>
    </row>
    <row r="18177" spans="7:7" x14ac:dyDescent="0.2">
      <c r="G18177" s="7"/>
    </row>
    <row r="18178" spans="7:7" x14ac:dyDescent="0.2">
      <c r="G18178" s="7"/>
    </row>
    <row r="18179" spans="7:7" x14ac:dyDescent="0.2">
      <c r="G18179" s="7"/>
    </row>
    <row r="18180" spans="7:7" x14ac:dyDescent="0.2">
      <c r="G18180" s="7"/>
    </row>
    <row r="18181" spans="7:7" x14ac:dyDescent="0.2">
      <c r="G18181" s="7"/>
    </row>
    <row r="18182" spans="7:7" x14ac:dyDescent="0.2">
      <c r="G18182" s="7"/>
    </row>
    <row r="18183" spans="7:7" x14ac:dyDescent="0.2">
      <c r="G18183" s="7"/>
    </row>
    <row r="18184" spans="7:7" x14ac:dyDescent="0.2">
      <c r="G18184" s="7"/>
    </row>
    <row r="18185" spans="7:7" x14ac:dyDescent="0.2">
      <c r="G18185" s="7"/>
    </row>
    <row r="18186" spans="7:7" x14ac:dyDescent="0.2">
      <c r="G18186" s="7"/>
    </row>
    <row r="18187" spans="7:7" x14ac:dyDescent="0.2">
      <c r="G18187" s="7"/>
    </row>
    <row r="18188" spans="7:7" x14ac:dyDescent="0.2">
      <c r="G18188" s="7"/>
    </row>
    <row r="18189" spans="7:7" x14ac:dyDescent="0.2">
      <c r="G18189" s="7"/>
    </row>
    <row r="18190" spans="7:7" x14ac:dyDescent="0.2">
      <c r="G18190" s="7"/>
    </row>
    <row r="18191" spans="7:7" x14ac:dyDescent="0.2">
      <c r="G18191" s="7"/>
    </row>
    <row r="18192" spans="7:7" x14ac:dyDescent="0.2">
      <c r="G18192" s="7"/>
    </row>
    <row r="18193" spans="7:7" x14ac:dyDescent="0.2">
      <c r="G18193" s="7"/>
    </row>
    <row r="18194" spans="7:7" x14ac:dyDescent="0.2">
      <c r="G18194" s="7"/>
    </row>
    <row r="18195" spans="7:7" x14ac:dyDescent="0.2">
      <c r="G18195" s="7"/>
    </row>
    <row r="18196" spans="7:7" x14ac:dyDescent="0.2">
      <c r="G18196" s="7"/>
    </row>
    <row r="18197" spans="7:7" x14ac:dyDescent="0.2">
      <c r="G18197" s="7"/>
    </row>
    <row r="18198" spans="7:7" x14ac:dyDescent="0.2">
      <c r="G18198" s="7"/>
    </row>
    <row r="18199" spans="7:7" x14ac:dyDescent="0.2">
      <c r="G18199" s="7"/>
    </row>
    <row r="18200" spans="7:7" x14ac:dyDescent="0.2">
      <c r="G18200" s="7"/>
    </row>
    <row r="18201" spans="7:7" x14ac:dyDescent="0.2">
      <c r="G18201" s="7"/>
    </row>
    <row r="18202" spans="7:7" x14ac:dyDescent="0.2">
      <c r="G18202" s="7"/>
    </row>
    <row r="18203" spans="7:7" x14ac:dyDescent="0.2">
      <c r="G18203" s="7"/>
    </row>
    <row r="18204" spans="7:7" x14ac:dyDescent="0.2">
      <c r="G18204" s="7"/>
    </row>
    <row r="18205" spans="7:7" x14ac:dyDescent="0.2">
      <c r="G18205" s="7"/>
    </row>
    <row r="18206" spans="7:7" x14ac:dyDescent="0.2">
      <c r="G18206" s="7"/>
    </row>
    <row r="18207" spans="7:7" x14ac:dyDescent="0.2">
      <c r="G18207" s="7"/>
    </row>
    <row r="18208" spans="7:7" x14ac:dyDescent="0.2">
      <c r="G18208" s="7"/>
    </row>
    <row r="18209" spans="7:7" x14ac:dyDescent="0.2">
      <c r="G18209" s="7"/>
    </row>
    <row r="18210" spans="7:7" x14ac:dyDescent="0.2">
      <c r="G18210" s="7"/>
    </row>
    <row r="18211" spans="7:7" x14ac:dyDescent="0.2">
      <c r="G18211" s="7"/>
    </row>
    <row r="18212" spans="7:7" x14ac:dyDescent="0.2">
      <c r="G18212" s="7"/>
    </row>
    <row r="18213" spans="7:7" x14ac:dyDescent="0.2">
      <c r="G18213" s="7"/>
    </row>
    <row r="18214" spans="7:7" x14ac:dyDescent="0.2">
      <c r="G18214" s="7"/>
    </row>
    <row r="18215" spans="7:7" x14ac:dyDescent="0.2">
      <c r="G18215" s="7"/>
    </row>
    <row r="18216" spans="7:7" x14ac:dyDescent="0.2">
      <c r="G18216" s="7"/>
    </row>
    <row r="18217" spans="7:7" x14ac:dyDescent="0.2">
      <c r="G18217" s="7"/>
    </row>
    <row r="18218" spans="7:7" x14ac:dyDescent="0.2">
      <c r="G18218" s="7"/>
    </row>
    <row r="18219" spans="7:7" x14ac:dyDescent="0.2">
      <c r="G18219" s="7"/>
    </row>
    <row r="18220" spans="7:7" x14ac:dyDescent="0.2">
      <c r="G18220" s="7"/>
    </row>
    <row r="18221" spans="7:7" x14ac:dyDescent="0.2">
      <c r="G18221" s="7"/>
    </row>
    <row r="18222" spans="7:7" x14ac:dyDescent="0.2">
      <c r="G18222" s="7"/>
    </row>
    <row r="18223" spans="7:7" x14ac:dyDescent="0.2">
      <c r="G18223" s="7"/>
    </row>
    <row r="18224" spans="7:7" x14ac:dyDescent="0.2">
      <c r="G18224" s="7"/>
    </row>
    <row r="18225" spans="7:7" x14ac:dyDescent="0.2">
      <c r="G18225" s="7"/>
    </row>
    <row r="18226" spans="7:7" x14ac:dyDescent="0.2">
      <c r="G18226" s="7"/>
    </row>
    <row r="18227" spans="7:7" x14ac:dyDescent="0.2">
      <c r="G18227" s="7"/>
    </row>
    <row r="18228" spans="7:7" x14ac:dyDescent="0.2">
      <c r="G18228" s="7"/>
    </row>
    <row r="18229" spans="7:7" x14ac:dyDescent="0.2">
      <c r="G18229" s="7"/>
    </row>
    <row r="18230" spans="7:7" x14ac:dyDescent="0.2">
      <c r="G18230" s="7"/>
    </row>
    <row r="18231" spans="7:7" x14ac:dyDescent="0.2">
      <c r="G18231" s="7"/>
    </row>
    <row r="18232" spans="7:7" x14ac:dyDescent="0.2">
      <c r="G18232" s="7"/>
    </row>
    <row r="18233" spans="7:7" x14ac:dyDescent="0.2">
      <c r="G18233" s="7"/>
    </row>
    <row r="18234" spans="7:7" x14ac:dyDescent="0.2">
      <c r="G18234" s="7"/>
    </row>
    <row r="18235" spans="7:7" x14ac:dyDescent="0.2">
      <c r="G18235" s="7"/>
    </row>
    <row r="18236" spans="7:7" x14ac:dyDescent="0.2">
      <c r="G18236" s="7"/>
    </row>
    <row r="18237" spans="7:7" x14ac:dyDescent="0.2">
      <c r="G18237" s="7"/>
    </row>
    <row r="18238" spans="7:7" x14ac:dyDescent="0.2">
      <c r="G18238" s="7"/>
    </row>
    <row r="18239" spans="7:7" x14ac:dyDescent="0.2">
      <c r="G18239" s="7"/>
    </row>
    <row r="18240" spans="7:7" x14ac:dyDescent="0.2">
      <c r="G18240" s="7"/>
    </row>
    <row r="18241" spans="7:7" x14ac:dyDescent="0.2">
      <c r="G18241" s="7"/>
    </row>
    <row r="18242" spans="7:7" x14ac:dyDescent="0.2">
      <c r="G18242" s="7"/>
    </row>
    <row r="18243" spans="7:7" x14ac:dyDescent="0.2">
      <c r="G18243" s="7"/>
    </row>
    <row r="18244" spans="7:7" x14ac:dyDescent="0.2">
      <c r="G18244" s="7"/>
    </row>
    <row r="18245" spans="7:7" x14ac:dyDescent="0.2">
      <c r="G18245" s="7"/>
    </row>
    <row r="18246" spans="7:7" x14ac:dyDescent="0.2">
      <c r="G18246" s="7"/>
    </row>
    <row r="18247" spans="7:7" x14ac:dyDescent="0.2">
      <c r="G18247" s="7"/>
    </row>
    <row r="18248" spans="7:7" x14ac:dyDescent="0.2">
      <c r="G18248" s="7"/>
    </row>
    <row r="18249" spans="7:7" x14ac:dyDescent="0.2">
      <c r="G18249" s="7"/>
    </row>
    <row r="18250" spans="7:7" x14ac:dyDescent="0.2">
      <c r="G18250" s="7"/>
    </row>
    <row r="18251" spans="7:7" x14ac:dyDescent="0.2">
      <c r="G18251" s="7"/>
    </row>
    <row r="18252" spans="7:7" x14ac:dyDescent="0.2">
      <c r="G18252" s="7"/>
    </row>
    <row r="18253" spans="7:7" x14ac:dyDescent="0.2">
      <c r="G18253" s="7"/>
    </row>
    <row r="18254" spans="7:7" x14ac:dyDescent="0.2">
      <c r="G18254" s="7"/>
    </row>
    <row r="18255" spans="7:7" x14ac:dyDescent="0.2">
      <c r="G18255" s="7"/>
    </row>
    <row r="18256" spans="7:7" x14ac:dyDescent="0.2">
      <c r="G18256" s="7"/>
    </row>
    <row r="18257" spans="7:7" x14ac:dyDescent="0.2">
      <c r="G18257" s="7"/>
    </row>
    <row r="18258" spans="7:7" x14ac:dyDescent="0.2">
      <c r="G18258" s="7"/>
    </row>
    <row r="18259" spans="7:7" x14ac:dyDescent="0.2">
      <c r="G18259" s="7"/>
    </row>
    <row r="18260" spans="7:7" x14ac:dyDescent="0.2">
      <c r="G18260" s="7"/>
    </row>
    <row r="18261" spans="7:7" x14ac:dyDescent="0.2">
      <c r="G18261" s="7"/>
    </row>
    <row r="18262" spans="7:7" x14ac:dyDescent="0.2">
      <c r="G18262" s="7"/>
    </row>
    <row r="18263" spans="7:7" x14ac:dyDescent="0.2">
      <c r="G18263" s="7"/>
    </row>
    <row r="18264" spans="7:7" x14ac:dyDescent="0.2">
      <c r="G18264" s="7"/>
    </row>
    <row r="18265" spans="7:7" x14ac:dyDescent="0.2">
      <c r="G18265" s="7"/>
    </row>
    <row r="18266" spans="7:7" x14ac:dyDescent="0.2">
      <c r="G18266" s="7"/>
    </row>
    <row r="18267" spans="7:7" x14ac:dyDescent="0.2">
      <c r="G18267" s="7"/>
    </row>
    <row r="18268" spans="7:7" x14ac:dyDescent="0.2">
      <c r="G18268" s="7"/>
    </row>
    <row r="18269" spans="7:7" x14ac:dyDescent="0.2">
      <c r="G18269" s="7"/>
    </row>
    <row r="18270" spans="7:7" x14ac:dyDescent="0.2">
      <c r="G18270" s="7"/>
    </row>
    <row r="18271" spans="7:7" x14ac:dyDescent="0.2">
      <c r="G18271" s="7"/>
    </row>
    <row r="18272" spans="7:7" x14ac:dyDescent="0.2">
      <c r="G18272" s="7"/>
    </row>
    <row r="18273" spans="7:7" x14ac:dyDescent="0.2">
      <c r="G18273" s="7"/>
    </row>
    <row r="18274" spans="7:7" x14ac:dyDescent="0.2">
      <c r="G18274" s="7"/>
    </row>
    <row r="18275" spans="7:7" x14ac:dyDescent="0.2">
      <c r="G18275" s="7"/>
    </row>
    <row r="18276" spans="7:7" x14ac:dyDescent="0.2">
      <c r="G18276" s="7"/>
    </row>
    <row r="18277" spans="7:7" x14ac:dyDescent="0.2">
      <c r="G18277" s="7"/>
    </row>
    <row r="18278" spans="7:7" x14ac:dyDescent="0.2">
      <c r="G18278" s="7"/>
    </row>
    <row r="18279" spans="7:7" x14ac:dyDescent="0.2">
      <c r="G18279" s="7"/>
    </row>
    <row r="18280" spans="7:7" x14ac:dyDescent="0.2">
      <c r="G18280" s="7"/>
    </row>
    <row r="18281" spans="7:7" x14ac:dyDescent="0.2">
      <c r="G18281" s="7"/>
    </row>
    <row r="18282" spans="7:7" x14ac:dyDescent="0.2">
      <c r="G18282" s="7"/>
    </row>
    <row r="18283" spans="7:7" x14ac:dyDescent="0.2">
      <c r="G18283" s="7"/>
    </row>
    <row r="18284" spans="7:7" x14ac:dyDescent="0.2">
      <c r="G18284" s="7"/>
    </row>
    <row r="18285" spans="7:7" x14ac:dyDescent="0.2">
      <c r="G18285" s="7"/>
    </row>
    <row r="18286" spans="7:7" x14ac:dyDescent="0.2">
      <c r="G18286" s="7"/>
    </row>
    <row r="18287" spans="7:7" x14ac:dyDescent="0.2">
      <c r="G18287" s="7"/>
    </row>
    <row r="18288" spans="7:7" x14ac:dyDescent="0.2">
      <c r="G18288" s="7"/>
    </row>
    <row r="18289" spans="7:7" x14ac:dyDescent="0.2">
      <c r="G18289" s="7"/>
    </row>
    <row r="18290" spans="7:7" x14ac:dyDescent="0.2">
      <c r="G18290" s="7"/>
    </row>
    <row r="18291" spans="7:7" x14ac:dyDescent="0.2">
      <c r="G18291" s="7"/>
    </row>
    <row r="18292" spans="7:7" x14ac:dyDescent="0.2">
      <c r="G18292" s="7"/>
    </row>
    <row r="18293" spans="7:7" x14ac:dyDescent="0.2">
      <c r="G18293" s="7"/>
    </row>
    <row r="18294" spans="7:7" x14ac:dyDescent="0.2">
      <c r="G18294" s="7"/>
    </row>
    <row r="18295" spans="7:7" x14ac:dyDescent="0.2">
      <c r="G18295" s="7"/>
    </row>
    <row r="18296" spans="7:7" x14ac:dyDescent="0.2">
      <c r="G18296" s="7"/>
    </row>
    <row r="18297" spans="7:7" x14ac:dyDescent="0.2">
      <c r="G18297" s="7"/>
    </row>
    <row r="18298" spans="7:7" x14ac:dyDescent="0.2">
      <c r="G18298" s="7"/>
    </row>
    <row r="18299" spans="7:7" x14ac:dyDescent="0.2">
      <c r="G18299" s="7"/>
    </row>
    <row r="18300" spans="7:7" x14ac:dyDescent="0.2">
      <c r="G18300" s="7"/>
    </row>
    <row r="18301" spans="7:7" x14ac:dyDescent="0.2">
      <c r="G18301" s="7"/>
    </row>
    <row r="18302" spans="7:7" x14ac:dyDescent="0.2">
      <c r="G18302" s="7"/>
    </row>
    <row r="18303" spans="7:7" x14ac:dyDescent="0.2">
      <c r="G18303" s="7"/>
    </row>
    <row r="18304" spans="7:7" x14ac:dyDescent="0.2">
      <c r="G18304" s="7"/>
    </row>
    <row r="18305" spans="7:7" x14ac:dyDescent="0.2">
      <c r="G18305" s="7"/>
    </row>
    <row r="18306" spans="7:7" x14ac:dyDescent="0.2">
      <c r="G18306" s="7"/>
    </row>
    <row r="18307" spans="7:7" x14ac:dyDescent="0.2">
      <c r="G18307" s="7"/>
    </row>
    <row r="18308" spans="7:7" x14ac:dyDescent="0.2">
      <c r="G18308" s="7"/>
    </row>
    <row r="18309" spans="7:7" x14ac:dyDescent="0.2">
      <c r="G18309" s="7"/>
    </row>
    <row r="18310" spans="7:7" x14ac:dyDescent="0.2">
      <c r="G18310" s="7"/>
    </row>
    <row r="18311" spans="7:7" x14ac:dyDescent="0.2">
      <c r="G18311" s="7"/>
    </row>
    <row r="18312" spans="7:7" x14ac:dyDescent="0.2">
      <c r="G18312" s="7"/>
    </row>
    <row r="18313" spans="7:7" x14ac:dyDescent="0.2">
      <c r="G18313" s="7"/>
    </row>
    <row r="18314" spans="7:7" x14ac:dyDescent="0.2">
      <c r="G18314" s="7"/>
    </row>
    <row r="18315" spans="7:7" x14ac:dyDescent="0.2">
      <c r="G18315" s="7"/>
    </row>
    <row r="18316" spans="7:7" x14ac:dyDescent="0.2">
      <c r="G18316" s="7"/>
    </row>
    <row r="18317" spans="7:7" x14ac:dyDescent="0.2">
      <c r="G18317" s="7"/>
    </row>
    <row r="18318" spans="7:7" x14ac:dyDescent="0.2">
      <c r="G18318" s="7"/>
    </row>
    <row r="18319" spans="7:7" x14ac:dyDescent="0.2">
      <c r="G18319" s="7"/>
    </row>
    <row r="18320" spans="7:7" x14ac:dyDescent="0.2">
      <c r="G18320" s="7"/>
    </row>
    <row r="18321" spans="7:7" x14ac:dyDescent="0.2">
      <c r="G18321" s="7"/>
    </row>
    <row r="18322" spans="7:7" x14ac:dyDescent="0.2">
      <c r="G18322" s="7"/>
    </row>
    <row r="18323" spans="7:7" x14ac:dyDescent="0.2">
      <c r="G18323" s="7"/>
    </row>
    <row r="18324" spans="7:7" x14ac:dyDescent="0.2">
      <c r="G18324" s="7"/>
    </row>
    <row r="18325" spans="7:7" x14ac:dyDescent="0.2">
      <c r="G18325" s="7"/>
    </row>
    <row r="18326" spans="7:7" x14ac:dyDescent="0.2">
      <c r="G18326" s="7"/>
    </row>
    <row r="18327" spans="7:7" x14ac:dyDescent="0.2">
      <c r="G18327" s="7"/>
    </row>
    <row r="18328" spans="7:7" x14ac:dyDescent="0.2">
      <c r="G18328" s="7"/>
    </row>
    <row r="18329" spans="7:7" x14ac:dyDescent="0.2">
      <c r="G18329" s="7"/>
    </row>
    <row r="18330" spans="7:7" x14ac:dyDescent="0.2">
      <c r="G18330" s="7"/>
    </row>
    <row r="18331" spans="7:7" x14ac:dyDescent="0.2">
      <c r="G18331" s="7"/>
    </row>
    <row r="18332" spans="7:7" x14ac:dyDescent="0.2">
      <c r="G18332" s="7"/>
    </row>
    <row r="18333" spans="7:7" x14ac:dyDescent="0.2">
      <c r="G18333" s="7"/>
    </row>
    <row r="18334" spans="7:7" x14ac:dyDescent="0.2">
      <c r="G18334" s="7"/>
    </row>
    <row r="18335" spans="7:7" x14ac:dyDescent="0.2">
      <c r="G18335" s="7"/>
    </row>
    <row r="18336" spans="7:7" x14ac:dyDescent="0.2">
      <c r="G18336" s="7"/>
    </row>
    <row r="18337" spans="7:7" x14ac:dyDescent="0.2">
      <c r="G18337" s="7"/>
    </row>
    <row r="18338" spans="7:7" x14ac:dyDescent="0.2">
      <c r="G18338" s="7"/>
    </row>
    <row r="18339" spans="7:7" x14ac:dyDescent="0.2">
      <c r="G18339" s="7"/>
    </row>
    <row r="18340" spans="7:7" x14ac:dyDescent="0.2">
      <c r="G18340" s="7"/>
    </row>
    <row r="18341" spans="7:7" x14ac:dyDescent="0.2">
      <c r="G18341" s="7"/>
    </row>
    <row r="18342" spans="7:7" x14ac:dyDescent="0.2">
      <c r="G18342" s="7"/>
    </row>
    <row r="18343" spans="7:7" x14ac:dyDescent="0.2">
      <c r="G18343" s="7"/>
    </row>
    <row r="18344" spans="7:7" x14ac:dyDescent="0.2">
      <c r="G18344" s="7"/>
    </row>
    <row r="18345" spans="7:7" x14ac:dyDescent="0.2">
      <c r="G18345" s="7"/>
    </row>
    <row r="18346" spans="7:7" x14ac:dyDescent="0.2">
      <c r="G18346" s="7"/>
    </row>
    <row r="18347" spans="7:7" x14ac:dyDescent="0.2">
      <c r="G18347" s="7"/>
    </row>
    <row r="18348" spans="7:7" x14ac:dyDescent="0.2">
      <c r="G18348" s="7"/>
    </row>
    <row r="18349" spans="7:7" x14ac:dyDescent="0.2">
      <c r="G18349" s="7"/>
    </row>
    <row r="18350" spans="7:7" x14ac:dyDescent="0.2">
      <c r="G18350" s="7"/>
    </row>
    <row r="18351" spans="7:7" x14ac:dyDescent="0.2">
      <c r="G18351" s="7"/>
    </row>
    <row r="18352" spans="7:7" x14ac:dyDescent="0.2">
      <c r="G18352" s="7"/>
    </row>
    <row r="18353" spans="7:7" x14ac:dyDescent="0.2">
      <c r="G18353" s="7"/>
    </row>
    <row r="18354" spans="7:7" x14ac:dyDescent="0.2">
      <c r="G18354" s="7"/>
    </row>
    <row r="18355" spans="7:7" x14ac:dyDescent="0.2">
      <c r="G18355" s="7"/>
    </row>
    <row r="18356" spans="7:7" x14ac:dyDescent="0.2">
      <c r="G18356" s="7"/>
    </row>
    <row r="18357" spans="7:7" x14ac:dyDescent="0.2">
      <c r="G18357" s="7"/>
    </row>
    <row r="18358" spans="7:7" x14ac:dyDescent="0.2">
      <c r="G18358" s="7"/>
    </row>
    <row r="18359" spans="7:7" x14ac:dyDescent="0.2">
      <c r="G18359" s="7"/>
    </row>
    <row r="18360" spans="7:7" x14ac:dyDescent="0.2">
      <c r="G18360" s="7"/>
    </row>
    <row r="18361" spans="7:7" x14ac:dyDescent="0.2">
      <c r="G18361" s="7"/>
    </row>
    <row r="18362" spans="7:7" x14ac:dyDescent="0.2">
      <c r="G18362" s="7"/>
    </row>
    <row r="18363" spans="7:7" x14ac:dyDescent="0.2">
      <c r="G18363" s="7"/>
    </row>
    <row r="18364" spans="7:7" x14ac:dyDescent="0.2">
      <c r="G18364" s="7"/>
    </row>
    <row r="18365" spans="7:7" x14ac:dyDescent="0.2">
      <c r="G18365" s="7"/>
    </row>
    <row r="18366" spans="7:7" x14ac:dyDescent="0.2">
      <c r="G18366" s="7"/>
    </row>
    <row r="18367" spans="7:7" x14ac:dyDescent="0.2">
      <c r="G18367" s="7"/>
    </row>
    <row r="18368" spans="7:7" x14ac:dyDescent="0.2">
      <c r="G18368" s="7"/>
    </row>
    <row r="18369" spans="7:7" x14ac:dyDescent="0.2">
      <c r="G18369" s="7"/>
    </row>
    <row r="18370" spans="7:7" x14ac:dyDescent="0.2">
      <c r="G18370" s="7"/>
    </row>
    <row r="18371" spans="7:7" x14ac:dyDescent="0.2">
      <c r="G18371" s="7"/>
    </row>
    <row r="18372" spans="7:7" x14ac:dyDescent="0.2">
      <c r="G18372" s="7"/>
    </row>
    <row r="18373" spans="7:7" x14ac:dyDescent="0.2">
      <c r="G18373" s="7"/>
    </row>
    <row r="18374" spans="7:7" x14ac:dyDescent="0.2">
      <c r="G18374" s="7"/>
    </row>
    <row r="18375" spans="7:7" x14ac:dyDescent="0.2">
      <c r="G18375" s="7"/>
    </row>
    <row r="18376" spans="7:7" x14ac:dyDescent="0.2">
      <c r="G18376" s="7"/>
    </row>
    <row r="18377" spans="7:7" x14ac:dyDescent="0.2">
      <c r="G18377" s="7"/>
    </row>
    <row r="18378" spans="7:7" x14ac:dyDescent="0.2">
      <c r="G18378" s="7"/>
    </row>
    <row r="18379" spans="7:7" x14ac:dyDescent="0.2">
      <c r="G18379" s="7"/>
    </row>
    <row r="18380" spans="7:7" x14ac:dyDescent="0.2">
      <c r="G18380" s="7"/>
    </row>
    <row r="18381" spans="7:7" x14ac:dyDescent="0.2">
      <c r="G18381" s="7"/>
    </row>
    <row r="18382" spans="7:7" x14ac:dyDescent="0.2">
      <c r="G18382" s="7"/>
    </row>
    <row r="18383" spans="7:7" x14ac:dyDescent="0.2">
      <c r="G18383" s="7"/>
    </row>
    <row r="18384" spans="7:7" x14ac:dyDescent="0.2">
      <c r="G18384" s="7"/>
    </row>
    <row r="18385" spans="7:7" x14ac:dyDescent="0.2">
      <c r="G18385" s="7"/>
    </row>
    <row r="18386" spans="7:7" x14ac:dyDescent="0.2">
      <c r="G18386" s="7"/>
    </row>
    <row r="18387" spans="7:7" x14ac:dyDescent="0.2">
      <c r="G18387" s="7"/>
    </row>
    <row r="18388" spans="7:7" x14ac:dyDescent="0.2">
      <c r="G18388" s="7"/>
    </row>
    <row r="18389" spans="7:7" x14ac:dyDescent="0.2">
      <c r="G18389" s="7"/>
    </row>
    <row r="18390" spans="7:7" x14ac:dyDescent="0.2">
      <c r="G18390" s="7"/>
    </row>
    <row r="18391" spans="7:7" x14ac:dyDescent="0.2">
      <c r="G18391" s="7"/>
    </row>
    <row r="18392" spans="7:7" x14ac:dyDescent="0.2">
      <c r="G18392" s="7"/>
    </row>
    <row r="18393" spans="7:7" x14ac:dyDescent="0.2">
      <c r="G18393" s="7"/>
    </row>
    <row r="18394" spans="7:7" x14ac:dyDescent="0.2">
      <c r="G18394" s="7"/>
    </row>
    <row r="18395" spans="7:7" x14ac:dyDescent="0.2">
      <c r="G18395" s="7"/>
    </row>
    <row r="18396" spans="7:7" x14ac:dyDescent="0.2">
      <c r="G18396" s="7"/>
    </row>
    <row r="18397" spans="7:7" x14ac:dyDescent="0.2">
      <c r="G18397" s="7"/>
    </row>
    <row r="18398" spans="7:7" x14ac:dyDescent="0.2">
      <c r="G18398" s="7"/>
    </row>
    <row r="18399" spans="7:7" x14ac:dyDescent="0.2">
      <c r="G18399" s="7"/>
    </row>
    <row r="18400" spans="7:7" x14ac:dyDescent="0.2">
      <c r="G18400" s="7"/>
    </row>
    <row r="18401" spans="7:7" x14ac:dyDescent="0.2">
      <c r="G18401" s="7"/>
    </row>
    <row r="18402" spans="7:7" x14ac:dyDescent="0.2">
      <c r="G18402" s="7"/>
    </row>
    <row r="18403" spans="7:7" x14ac:dyDescent="0.2">
      <c r="G18403" s="7"/>
    </row>
    <row r="18404" spans="7:7" x14ac:dyDescent="0.2">
      <c r="G18404" s="7"/>
    </row>
    <row r="18405" spans="7:7" x14ac:dyDescent="0.2">
      <c r="G18405" s="7"/>
    </row>
    <row r="18406" spans="7:7" x14ac:dyDescent="0.2">
      <c r="G18406" s="7"/>
    </row>
    <row r="18407" spans="7:7" x14ac:dyDescent="0.2">
      <c r="G18407" s="7"/>
    </row>
    <row r="18408" spans="7:7" x14ac:dyDescent="0.2">
      <c r="G18408" s="7"/>
    </row>
    <row r="18409" spans="7:7" x14ac:dyDescent="0.2">
      <c r="G18409" s="7"/>
    </row>
    <row r="18410" spans="7:7" x14ac:dyDescent="0.2">
      <c r="G18410" s="7"/>
    </row>
    <row r="18411" spans="7:7" x14ac:dyDescent="0.2">
      <c r="G18411" s="7"/>
    </row>
    <row r="18412" spans="7:7" x14ac:dyDescent="0.2">
      <c r="G18412" s="7"/>
    </row>
    <row r="18413" spans="7:7" x14ac:dyDescent="0.2">
      <c r="G18413" s="7"/>
    </row>
    <row r="18414" spans="7:7" x14ac:dyDescent="0.2">
      <c r="G18414" s="7"/>
    </row>
    <row r="18415" spans="7:7" x14ac:dyDescent="0.2">
      <c r="G18415" s="7"/>
    </row>
    <row r="18416" spans="7:7" x14ac:dyDescent="0.2">
      <c r="G18416" s="7"/>
    </row>
    <row r="18417" spans="7:7" x14ac:dyDescent="0.2">
      <c r="G18417" s="7"/>
    </row>
    <row r="18418" spans="7:7" x14ac:dyDescent="0.2">
      <c r="G18418" s="7"/>
    </row>
    <row r="18419" spans="7:7" x14ac:dyDescent="0.2">
      <c r="G18419" s="7"/>
    </row>
    <row r="18420" spans="7:7" x14ac:dyDescent="0.2">
      <c r="G18420" s="7"/>
    </row>
    <row r="18421" spans="7:7" x14ac:dyDescent="0.2">
      <c r="G18421" s="7"/>
    </row>
    <row r="18422" spans="7:7" x14ac:dyDescent="0.2">
      <c r="G18422" s="7"/>
    </row>
    <row r="18423" spans="7:7" x14ac:dyDescent="0.2">
      <c r="G18423" s="7"/>
    </row>
    <row r="18424" spans="7:7" x14ac:dyDescent="0.2">
      <c r="G18424" s="7"/>
    </row>
    <row r="18425" spans="7:7" x14ac:dyDescent="0.2">
      <c r="G18425" s="7"/>
    </row>
    <row r="18426" spans="7:7" x14ac:dyDescent="0.2">
      <c r="G18426" s="7"/>
    </row>
    <row r="18427" spans="7:7" x14ac:dyDescent="0.2">
      <c r="G18427" s="7"/>
    </row>
    <row r="18428" spans="7:7" x14ac:dyDescent="0.2">
      <c r="G18428" s="7"/>
    </row>
    <row r="18429" spans="7:7" x14ac:dyDescent="0.2">
      <c r="G18429" s="7"/>
    </row>
    <row r="18430" spans="7:7" x14ac:dyDescent="0.2">
      <c r="G18430" s="7"/>
    </row>
    <row r="18431" spans="7:7" x14ac:dyDescent="0.2">
      <c r="G18431" s="7"/>
    </row>
    <row r="18432" spans="7:7" x14ac:dyDescent="0.2">
      <c r="G18432" s="7"/>
    </row>
    <row r="18433" spans="7:7" x14ac:dyDescent="0.2">
      <c r="G18433" s="7"/>
    </row>
    <row r="18434" spans="7:7" x14ac:dyDescent="0.2">
      <c r="G18434" s="7"/>
    </row>
    <row r="18435" spans="7:7" x14ac:dyDescent="0.2">
      <c r="G18435" s="7"/>
    </row>
    <row r="18436" spans="7:7" x14ac:dyDescent="0.2">
      <c r="G18436" s="7"/>
    </row>
    <row r="18437" spans="7:7" x14ac:dyDescent="0.2">
      <c r="G18437" s="7"/>
    </row>
    <row r="18438" spans="7:7" x14ac:dyDescent="0.2">
      <c r="G18438" s="7"/>
    </row>
    <row r="18439" spans="7:7" x14ac:dyDescent="0.2">
      <c r="G18439" s="7"/>
    </row>
    <row r="18440" spans="7:7" x14ac:dyDescent="0.2">
      <c r="G18440" s="7"/>
    </row>
    <row r="18441" spans="7:7" x14ac:dyDescent="0.2">
      <c r="G18441" s="7"/>
    </row>
    <row r="18442" spans="7:7" x14ac:dyDescent="0.2">
      <c r="G18442" s="7"/>
    </row>
    <row r="18443" spans="7:7" x14ac:dyDescent="0.2">
      <c r="G18443" s="7"/>
    </row>
    <row r="18444" spans="7:7" x14ac:dyDescent="0.2">
      <c r="G18444" s="7"/>
    </row>
    <row r="18445" spans="7:7" x14ac:dyDescent="0.2">
      <c r="G18445" s="7"/>
    </row>
    <row r="18446" spans="7:7" x14ac:dyDescent="0.2">
      <c r="G18446" s="7"/>
    </row>
    <row r="18447" spans="7:7" x14ac:dyDescent="0.2">
      <c r="G18447" s="7"/>
    </row>
    <row r="18448" spans="7:7" x14ac:dyDescent="0.2">
      <c r="G18448" s="7"/>
    </row>
    <row r="18449" spans="7:7" x14ac:dyDescent="0.2">
      <c r="G18449" s="7"/>
    </row>
    <row r="18450" spans="7:7" x14ac:dyDescent="0.2">
      <c r="G18450" s="7"/>
    </row>
    <row r="18451" spans="7:7" x14ac:dyDescent="0.2">
      <c r="G18451" s="7"/>
    </row>
    <row r="18452" spans="7:7" x14ac:dyDescent="0.2">
      <c r="G18452" s="7"/>
    </row>
    <row r="18453" spans="7:7" x14ac:dyDescent="0.2">
      <c r="G18453" s="7"/>
    </row>
    <row r="18454" spans="7:7" x14ac:dyDescent="0.2">
      <c r="G18454" s="7"/>
    </row>
    <row r="18455" spans="7:7" x14ac:dyDescent="0.2">
      <c r="G18455" s="7"/>
    </row>
    <row r="18456" spans="7:7" x14ac:dyDescent="0.2">
      <c r="G18456" s="7"/>
    </row>
    <row r="18457" spans="7:7" x14ac:dyDescent="0.2">
      <c r="G18457" s="7"/>
    </row>
    <row r="18458" spans="7:7" x14ac:dyDescent="0.2">
      <c r="G18458" s="7"/>
    </row>
    <row r="18459" spans="7:7" x14ac:dyDescent="0.2">
      <c r="G18459" s="7"/>
    </row>
    <row r="18460" spans="7:7" x14ac:dyDescent="0.2">
      <c r="G18460" s="7"/>
    </row>
    <row r="18461" spans="7:7" x14ac:dyDescent="0.2">
      <c r="G18461" s="7"/>
    </row>
    <row r="18462" spans="7:7" x14ac:dyDescent="0.2">
      <c r="G18462" s="7"/>
    </row>
    <row r="18463" spans="7:7" x14ac:dyDescent="0.2">
      <c r="G18463" s="7"/>
    </row>
    <row r="18464" spans="7:7" x14ac:dyDescent="0.2">
      <c r="G18464" s="7"/>
    </row>
    <row r="18465" spans="7:7" x14ac:dyDescent="0.2">
      <c r="G18465" s="7"/>
    </row>
    <row r="18466" spans="7:7" x14ac:dyDescent="0.2">
      <c r="G18466" s="7"/>
    </row>
    <row r="18467" spans="7:7" x14ac:dyDescent="0.2">
      <c r="G18467" s="7"/>
    </row>
    <row r="18468" spans="7:7" x14ac:dyDescent="0.2">
      <c r="G18468" s="7"/>
    </row>
    <row r="18469" spans="7:7" x14ac:dyDescent="0.2">
      <c r="G18469" s="7"/>
    </row>
    <row r="18470" spans="7:7" x14ac:dyDescent="0.2">
      <c r="G18470" s="7"/>
    </row>
    <row r="18471" spans="7:7" x14ac:dyDescent="0.2">
      <c r="G18471" s="7"/>
    </row>
    <row r="18472" spans="7:7" x14ac:dyDescent="0.2">
      <c r="G18472" s="7"/>
    </row>
    <row r="18473" spans="7:7" x14ac:dyDescent="0.2">
      <c r="G18473" s="7"/>
    </row>
    <row r="18474" spans="7:7" x14ac:dyDescent="0.2">
      <c r="G18474" s="7"/>
    </row>
    <row r="18475" spans="7:7" x14ac:dyDescent="0.2">
      <c r="G18475" s="7"/>
    </row>
    <row r="18476" spans="7:7" x14ac:dyDescent="0.2">
      <c r="G18476" s="7"/>
    </row>
    <row r="18477" spans="7:7" x14ac:dyDescent="0.2">
      <c r="G18477" s="7"/>
    </row>
    <row r="18478" spans="7:7" x14ac:dyDescent="0.2">
      <c r="G18478" s="7"/>
    </row>
    <row r="18479" spans="7:7" x14ac:dyDescent="0.2">
      <c r="G18479" s="7"/>
    </row>
    <row r="18480" spans="7:7" x14ac:dyDescent="0.2">
      <c r="G18480" s="7"/>
    </row>
    <row r="18481" spans="7:7" x14ac:dyDescent="0.2">
      <c r="G18481" s="7"/>
    </row>
    <row r="18482" spans="7:7" x14ac:dyDescent="0.2">
      <c r="G18482" s="7"/>
    </row>
    <row r="18483" spans="7:7" x14ac:dyDescent="0.2">
      <c r="G18483" s="7"/>
    </row>
    <row r="18484" spans="7:7" x14ac:dyDescent="0.2">
      <c r="G18484" s="7"/>
    </row>
    <row r="18485" spans="7:7" x14ac:dyDescent="0.2">
      <c r="G18485" s="7"/>
    </row>
    <row r="18486" spans="7:7" x14ac:dyDescent="0.2">
      <c r="G18486" s="7"/>
    </row>
    <row r="18487" spans="7:7" x14ac:dyDescent="0.2">
      <c r="G18487" s="7"/>
    </row>
    <row r="18488" spans="7:7" x14ac:dyDescent="0.2">
      <c r="G18488" s="7"/>
    </row>
    <row r="18489" spans="7:7" x14ac:dyDescent="0.2">
      <c r="G18489" s="7"/>
    </row>
    <row r="18490" spans="7:7" x14ac:dyDescent="0.2">
      <c r="G18490" s="7"/>
    </row>
    <row r="18491" spans="7:7" x14ac:dyDescent="0.2">
      <c r="G18491" s="7"/>
    </row>
    <row r="18492" spans="7:7" x14ac:dyDescent="0.2">
      <c r="G18492" s="7"/>
    </row>
    <row r="18493" spans="7:7" x14ac:dyDescent="0.2">
      <c r="G18493" s="7"/>
    </row>
    <row r="18494" spans="7:7" x14ac:dyDescent="0.2">
      <c r="G18494" s="7"/>
    </row>
    <row r="18495" spans="7:7" x14ac:dyDescent="0.2">
      <c r="G18495" s="7"/>
    </row>
    <row r="18496" spans="7:7" x14ac:dyDescent="0.2">
      <c r="G18496" s="7"/>
    </row>
    <row r="18497" spans="7:7" x14ac:dyDescent="0.2">
      <c r="G18497" s="7"/>
    </row>
    <row r="18498" spans="7:7" x14ac:dyDescent="0.2">
      <c r="G18498" s="7"/>
    </row>
    <row r="18499" spans="7:7" x14ac:dyDescent="0.2">
      <c r="G18499" s="7"/>
    </row>
    <row r="18500" spans="7:7" x14ac:dyDescent="0.2">
      <c r="G18500" s="7"/>
    </row>
    <row r="18501" spans="7:7" x14ac:dyDescent="0.2">
      <c r="G18501" s="7"/>
    </row>
    <row r="18502" spans="7:7" x14ac:dyDescent="0.2">
      <c r="G18502" s="7"/>
    </row>
    <row r="18503" spans="7:7" x14ac:dyDescent="0.2">
      <c r="G18503" s="7"/>
    </row>
    <row r="18504" spans="7:7" x14ac:dyDescent="0.2">
      <c r="G18504" s="7"/>
    </row>
    <row r="18505" spans="7:7" x14ac:dyDescent="0.2">
      <c r="G18505" s="7"/>
    </row>
    <row r="18506" spans="7:7" x14ac:dyDescent="0.2">
      <c r="G18506" s="7"/>
    </row>
    <row r="18507" spans="7:7" x14ac:dyDescent="0.2">
      <c r="G18507" s="7"/>
    </row>
    <row r="18508" spans="7:7" x14ac:dyDescent="0.2">
      <c r="G18508" s="7"/>
    </row>
    <row r="18509" spans="7:7" x14ac:dyDescent="0.2">
      <c r="G18509" s="7"/>
    </row>
    <row r="18510" spans="7:7" x14ac:dyDescent="0.2">
      <c r="G18510" s="7"/>
    </row>
    <row r="18511" spans="7:7" x14ac:dyDescent="0.2">
      <c r="G18511" s="7"/>
    </row>
    <row r="18512" spans="7:7" x14ac:dyDescent="0.2">
      <c r="G18512" s="7"/>
    </row>
    <row r="18513" spans="7:7" x14ac:dyDescent="0.2">
      <c r="G18513" s="7"/>
    </row>
    <row r="18514" spans="7:7" x14ac:dyDescent="0.2">
      <c r="G18514" s="7"/>
    </row>
    <row r="18515" spans="7:7" x14ac:dyDescent="0.2">
      <c r="G18515" s="7"/>
    </row>
    <row r="18516" spans="7:7" x14ac:dyDescent="0.2">
      <c r="G18516" s="7"/>
    </row>
    <row r="18517" spans="7:7" x14ac:dyDescent="0.2">
      <c r="G18517" s="7"/>
    </row>
    <row r="18518" spans="7:7" x14ac:dyDescent="0.2">
      <c r="G18518" s="7"/>
    </row>
    <row r="18519" spans="7:7" x14ac:dyDescent="0.2">
      <c r="G18519" s="7"/>
    </row>
    <row r="18520" spans="7:7" x14ac:dyDescent="0.2">
      <c r="G18520" s="7"/>
    </row>
    <row r="18521" spans="7:7" x14ac:dyDescent="0.2">
      <c r="G18521" s="7"/>
    </row>
    <row r="18522" spans="7:7" x14ac:dyDescent="0.2">
      <c r="G18522" s="7"/>
    </row>
    <row r="18523" spans="7:7" x14ac:dyDescent="0.2">
      <c r="G18523" s="7"/>
    </row>
    <row r="18524" spans="7:7" x14ac:dyDescent="0.2">
      <c r="G18524" s="7"/>
    </row>
    <row r="18525" spans="7:7" x14ac:dyDescent="0.2">
      <c r="G18525" s="7"/>
    </row>
    <row r="18526" spans="7:7" x14ac:dyDescent="0.2">
      <c r="G18526" s="7"/>
    </row>
    <row r="18527" spans="7:7" x14ac:dyDescent="0.2">
      <c r="G18527" s="7"/>
    </row>
    <row r="18528" spans="7:7" x14ac:dyDescent="0.2">
      <c r="G18528" s="7"/>
    </row>
    <row r="18529" spans="7:7" x14ac:dyDescent="0.2">
      <c r="G18529" s="7"/>
    </row>
    <row r="18530" spans="7:7" x14ac:dyDescent="0.2">
      <c r="G18530" s="7"/>
    </row>
    <row r="18531" spans="7:7" x14ac:dyDescent="0.2">
      <c r="G18531" s="7"/>
    </row>
    <row r="18532" spans="7:7" x14ac:dyDescent="0.2">
      <c r="G18532" s="7"/>
    </row>
    <row r="18533" spans="7:7" x14ac:dyDescent="0.2">
      <c r="G18533" s="7"/>
    </row>
    <row r="18534" spans="7:7" x14ac:dyDescent="0.2">
      <c r="G18534" s="7"/>
    </row>
    <row r="18535" spans="7:7" x14ac:dyDescent="0.2">
      <c r="G18535" s="7"/>
    </row>
    <row r="18536" spans="7:7" x14ac:dyDescent="0.2">
      <c r="G18536" s="7"/>
    </row>
    <row r="18537" spans="7:7" x14ac:dyDescent="0.2">
      <c r="G18537" s="7"/>
    </row>
    <row r="18538" spans="7:7" x14ac:dyDescent="0.2">
      <c r="G18538" s="7"/>
    </row>
    <row r="18539" spans="7:7" x14ac:dyDescent="0.2">
      <c r="G18539" s="7"/>
    </row>
    <row r="18540" spans="7:7" x14ac:dyDescent="0.2">
      <c r="G18540" s="7"/>
    </row>
    <row r="18541" spans="7:7" x14ac:dyDescent="0.2">
      <c r="G18541" s="7"/>
    </row>
    <row r="18542" spans="7:7" x14ac:dyDescent="0.2">
      <c r="G18542" s="7"/>
    </row>
    <row r="18543" spans="7:7" x14ac:dyDescent="0.2">
      <c r="G18543" s="7"/>
    </row>
    <row r="18544" spans="7:7" x14ac:dyDescent="0.2">
      <c r="G18544" s="7"/>
    </row>
    <row r="18545" spans="7:7" x14ac:dyDescent="0.2">
      <c r="G18545" s="7"/>
    </row>
    <row r="18546" spans="7:7" x14ac:dyDescent="0.2">
      <c r="G18546" s="7"/>
    </row>
    <row r="18547" spans="7:7" x14ac:dyDescent="0.2">
      <c r="G18547" s="7"/>
    </row>
    <row r="18548" spans="7:7" x14ac:dyDescent="0.2">
      <c r="G18548" s="7"/>
    </row>
    <row r="18549" spans="7:7" x14ac:dyDescent="0.2">
      <c r="G18549" s="7"/>
    </row>
    <row r="18550" spans="7:7" x14ac:dyDescent="0.2">
      <c r="G18550" s="7"/>
    </row>
    <row r="18551" spans="7:7" x14ac:dyDescent="0.2">
      <c r="G18551" s="7"/>
    </row>
    <row r="18552" spans="7:7" x14ac:dyDescent="0.2">
      <c r="G18552" s="7"/>
    </row>
    <row r="18553" spans="7:7" x14ac:dyDescent="0.2">
      <c r="G18553" s="7"/>
    </row>
    <row r="18554" spans="7:7" x14ac:dyDescent="0.2">
      <c r="G18554" s="7"/>
    </row>
    <row r="18555" spans="7:7" x14ac:dyDescent="0.2">
      <c r="G18555" s="7"/>
    </row>
    <row r="18556" spans="7:7" x14ac:dyDescent="0.2">
      <c r="G18556" s="7"/>
    </row>
    <row r="18557" spans="7:7" x14ac:dyDescent="0.2">
      <c r="G18557" s="7"/>
    </row>
    <row r="18558" spans="7:7" x14ac:dyDescent="0.2">
      <c r="G18558" s="7"/>
    </row>
    <row r="18559" spans="7:7" x14ac:dyDescent="0.2">
      <c r="G18559" s="7"/>
    </row>
    <row r="18560" spans="7:7" x14ac:dyDescent="0.2">
      <c r="G18560" s="7"/>
    </row>
    <row r="18561" spans="7:7" x14ac:dyDescent="0.2">
      <c r="G18561" s="7"/>
    </row>
    <row r="18562" spans="7:7" x14ac:dyDescent="0.2">
      <c r="G18562" s="7"/>
    </row>
    <row r="18563" spans="7:7" x14ac:dyDescent="0.2">
      <c r="G18563" s="7"/>
    </row>
    <row r="18564" spans="7:7" x14ac:dyDescent="0.2">
      <c r="G18564" s="7"/>
    </row>
    <row r="18565" spans="7:7" x14ac:dyDescent="0.2">
      <c r="G18565" s="7"/>
    </row>
    <row r="18566" spans="7:7" x14ac:dyDescent="0.2">
      <c r="G18566" s="7"/>
    </row>
    <row r="18567" spans="7:7" x14ac:dyDescent="0.2">
      <c r="G18567" s="7"/>
    </row>
    <row r="18568" spans="7:7" x14ac:dyDescent="0.2">
      <c r="G18568" s="7"/>
    </row>
    <row r="18569" spans="7:7" x14ac:dyDescent="0.2">
      <c r="G18569" s="7"/>
    </row>
    <row r="18570" spans="7:7" x14ac:dyDescent="0.2">
      <c r="G18570" s="7"/>
    </row>
    <row r="18571" spans="7:7" x14ac:dyDescent="0.2">
      <c r="G18571" s="7"/>
    </row>
    <row r="18572" spans="7:7" x14ac:dyDescent="0.2">
      <c r="G18572" s="7"/>
    </row>
    <row r="18573" spans="7:7" x14ac:dyDescent="0.2">
      <c r="G18573" s="7"/>
    </row>
    <row r="18574" spans="7:7" x14ac:dyDescent="0.2">
      <c r="G18574" s="7"/>
    </row>
    <row r="18575" spans="7:7" x14ac:dyDescent="0.2">
      <c r="G18575" s="7"/>
    </row>
    <row r="18576" spans="7:7" x14ac:dyDescent="0.2">
      <c r="G18576" s="7"/>
    </row>
    <row r="18577" spans="7:7" x14ac:dyDescent="0.2">
      <c r="G18577" s="7"/>
    </row>
    <row r="18578" spans="7:7" x14ac:dyDescent="0.2">
      <c r="G18578" s="7"/>
    </row>
    <row r="18579" spans="7:7" x14ac:dyDescent="0.2">
      <c r="G18579" s="7"/>
    </row>
    <row r="18580" spans="7:7" x14ac:dyDescent="0.2">
      <c r="G18580" s="7"/>
    </row>
    <row r="18581" spans="7:7" x14ac:dyDescent="0.2">
      <c r="G18581" s="7"/>
    </row>
    <row r="18582" spans="7:7" x14ac:dyDescent="0.2">
      <c r="G18582" s="7"/>
    </row>
    <row r="18583" spans="7:7" x14ac:dyDescent="0.2">
      <c r="G18583" s="7"/>
    </row>
    <row r="18584" spans="7:7" x14ac:dyDescent="0.2">
      <c r="G18584" s="7"/>
    </row>
    <row r="18585" spans="7:7" x14ac:dyDescent="0.2">
      <c r="G18585" s="7"/>
    </row>
    <row r="18586" spans="7:7" x14ac:dyDescent="0.2">
      <c r="G18586" s="7"/>
    </row>
    <row r="18587" spans="7:7" x14ac:dyDescent="0.2">
      <c r="G18587" s="7"/>
    </row>
    <row r="18588" spans="7:7" x14ac:dyDescent="0.2">
      <c r="G18588" s="7"/>
    </row>
    <row r="18589" spans="7:7" x14ac:dyDescent="0.2">
      <c r="G18589" s="7"/>
    </row>
    <row r="18590" spans="7:7" x14ac:dyDescent="0.2">
      <c r="G18590" s="7"/>
    </row>
    <row r="18591" spans="7:7" x14ac:dyDescent="0.2">
      <c r="G18591" s="7"/>
    </row>
    <row r="18592" spans="7:7" x14ac:dyDescent="0.2">
      <c r="G18592" s="7"/>
    </row>
    <row r="18593" spans="7:7" x14ac:dyDescent="0.2">
      <c r="G18593" s="7"/>
    </row>
    <row r="18594" spans="7:7" x14ac:dyDescent="0.2">
      <c r="G18594" s="7"/>
    </row>
    <row r="18595" spans="7:7" x14ac:dyDescent="0.2">
      <c r="G18595" s="7"/>
    </row>
    <row r="18596" spans="7:7" x14ac:dyDescent="0.2">
      <c r="G18596" s="7"/>
    </row>
    <row r="18597" spans="7:7" x14ac:dyDescent="0.2">
      <c r="G18597" s="7"/>
    </row>
    <row r="18598" spans="7:7" x14ac:dyDescent="0.2">
      <c r="G18598" s="7"/>
    </row>
    <row r="18599" spans="7:7" x14ac:dyDescent="0.2">
      <c r="G18599" s="7"/>
    </row>
    <row r="18600" spans="7:7" x14ac:dyDescent="0.2">
      <c r="G18600" s="7"/>
    </row>
    <row r="18601" spans="7:7" x14ac:dyDescent="0.2">
      <c r="G18601" s="7"/>
    </row>
    <row r="18602" spans="7:7" x14ac:dyDescent="0.2">
      <c r="G18602" s="7"/>
    </row>
    <row r="18603" spans="7:7" x14ac:dyDescent="0.2">
      <c r="G18603" s="7"/>
    </row>
    <row r="18604" spans="7:7" x14ac:dyDescent="0.2">
      <c r="G18604" s="7"/>
    </row>
    <row r="18605" spans="7:7" x14ac:dyDescent="0.2">
      <c r="G18605" s="7"/>
    </row>
    <row r="18606" spans="7:7" x14ac:dyDescent="0.2">
      <c r="G18606" s="7"/>
    </row>
    <row r="18607" spans="7:7" x14ac:dyDescent="0.2">
      <c r="G18607" s="7"/>
    </row>
    <row r="18608" spans="7:7" x14ac:dyDescent="0.2">
      <c r="G18608" s="7"/>
    </row>
    <row r="18609" spans="7:7" x14ac:dyDescent="0.2">
      <c r="G18609" s="7"/>
    </row>
    <row r="18610" spans="7:7" x14ac:dyDescent="0.2">
      <c r="G18610" s="7"/>
    </row>
    <row r="18611" spans="7:7" x14ac:dyDescent="0.2">
      <c r="G18611" s="7"/>
    </row>
    <row r="18612" spans="7:7" x14ac:dyDescent="0.2">
      <c r="G18612" s="7"/>
    </row>
    <row r="18613" spans="7:7" x14ac:dyDescent="0.2">
      <c r="G18613" s="7"/>
    </row>
    <row r="18614" spans="7:7" x14ac:dyDescent="0.2">
      <c r="G18614" s="7"/>
    </row>
    <row r="18615" spans="7:7" x14ac:dyDescent="0.2">
      <c r="G18615" s="7"/>
    </row>
    <row r="18616" spans="7:7" x14ac:dyDescent="0.2">
      <c r="G18616" s="7"/>
    </row>
    <row r="18617" spans="7:7" x14ac:dyDescent="0.2">
      <c r="G18617" s="7"/>
    </row>
    <row r="18618" spans="7:7" x14ac:dyDescent="0.2">
      <c r="G18618" s="7"/>
    </row>
    <row r="18619" spans="7:7" x14ac:dyDescent="0.2">
      <c r="G18619" s="7"/>
    </row>
    <row r="18620" spans="7:7" x14ac:dyDescent="0.2">
      <c r="G18620" s="7"/>
    </row>
    <row r="18621" spans="7:7" x14ac:dyDescent="0.2">
      <c r="G18621" s="7"/>
    </row>
    <row r="18622" spans="7:7" x14ac:dyDescent="0.2">
      <c r="G18622" s="7"/>
    </row>
    <row r="18623" spans="7:7" x14ac:dyDescent="0.2">
      <c r="G18623" s="7"/>
    </row>
    <row r="18624" spans="7:7" x14ac:dyDescent="0.2">
      <c r="G18624" s="7"/>
    </row>
    <row r="18625" spans="7:7" x14ac:dyDescent="0.2">
      <c r="G18625" s="7"/>
    </row>
    <row r="18626" spans="7:7" x14ac:dyDescent="0.2">
      <c r="G18626" s="7"/>
    </row>
    <row r="18627" spans="7:7" x14ac:dyDescent="0.2">
      <c r="G18627" s="7"/>
    </row>
    <row r="18628" spans="7:7" x14ac:dyDescent="0.2">
      <c r="G18628" s="7"/>
    </row>
    <row r="18629" spans="7:7" x14ac:dyDescent="0.2">
      <c r="G18629" s="7"/>
    </row>
    <row r="18630" spans="7:7" x14ac:dyDescent="0.2">
      <c r="G18630" s="7"/>
    </row>
    <row r="18631" spans="7:7" x14ac:dyDescent="0.2">
      <c r="G18631" s="7"/>
    </row>
    <row r="18632" spans="7:7" x14ac:dyDescent="0.2">
      <c r="G18632" s="7"/>
    </row>
    <row r="18633" spans="7:7" x14ac:dyDescent="0.2">
      <c r="G18633" s="7"/>
    </row>
    <row r="18634" spans="7:7" x14ac:dyDescent="0.2">
      <c r="G18634" s="7"/>
    </row>
    <row r="18635" spans="7:7" x14ac:dyDescent="0.2">
      <c r="G18635" s="7"/>
    </row>
    <row r="18636" spans="7:7" x14ac:dyDescent="0.2">
      <c r="G18636" s="7"/>
    </row>
    <row r="18637" spans="7:7" x14ac:dyDescent="0.2">
      <c r="G18637" s="7"/>
    </row>
    <row r="18638" spans="7:7" x14ac:dyDescent="0.2">
      <c r="G18638" s="7"/>
    </row>
    <row r="18639" spans="7:7" x14ac:dyDescent="0.2">
      <c r="G18639" s="7"/>
    </row>
    <row r="18640" spans="7:7" x14ac:dyDescent="0.2">
      <c r="G18640" s="7"/>
    </row>
    <row r="18641" spans="7:7" x14ac:dyDescent="0.2">
      <c r="G18641" s="7"/>
    </row>
    <row r="18642" spans="7:7" x14ac:dyDescent="0.2">
      <c r="G18642" s="7"/>
    </row>
    <row r="18643" spans="7:7" x14ac:dyDescent="0.2">
      <c r="G18643" s="7"/>
    </row>
    <row r="18644" spans="7:7" x14ac:dyDescent="0.2">
      <c r="G18644" s="7"/>
    </row>
    <row r="18645" spans="7:7" x14ac:dyDescent="0.2">
      <c r="G18645" s="7"/>
    </row>
    <row r="18646" spans="7:7" x14ac:dyDescent="0.2">
      <c r="G18646" s="7"/>
    </row>
    <row r="18647" spans="7:7" x14ac:dyDescent="0.2">
      <c r="G18647" s="7"/>
    </row>
    <row r="18648" spans="7:7" x14ac:dyDescent="0.2">
      <c r="G18648" s="7"/>
    </row>
    <row r="18649" spans="7:7" x14ac:dyDescent="0.2">
      <c r="G18649" s="7"/>
    </row>
    <row r="18650" spans="7:7" x14ac:dyDescent="0.2">
      <c r="G18650" s="7"/>
    </row>
    <row r="18651" spans="7:7" x14ac:dyDescent="0.2">
      <c r="G18651" s="7"/>
    </row>
    <row r="18652" spans="7:7" x14ac:dyDescent="0.2">
      <c r="G18652" s="7"/>
    </row>
    <row r="18653" spans="7:7" x14ac:dyDescent="0.2">
      <c r="G18653" s="7"/>
    </row>
    <row r="18654" spans="7:7" x14ac:dyDescent="0.2">
      <c r="G18654" s="7"/>
    </row>
    <row r="18655" spans="7:7" x14ac:dyDescent="0.2">
      <c r="G18655" s="7"/>
    </row>
    <row r="18656" spans="7:7" x14ac:dyDescent="0.2">
      <c r="G18656" s="7"/>
    </row>
    <row r="18657" spans="7:7" x14ac:dyDescent="0.2">
      <c r="G18657" s="7"/>
    </row>
    <row r="18658" spans="7:7" x14ac:dyDescent="0.2">
      <c r="G18658" s="7"/>
    </row>
    <row r="18659" spans="7:7" x14ac:dyDescent="0.2">
      <c r="G18659" s="7"/>
    </row>
    <row r="18660" spans="7:7" x14ac:dyDescent="0.2">
      <c r="G18660" s="7"/>
    </row>
    <row r="18661" spans="7:7" x14ac:dyDescent="0.2">
      <c r="G18661" s="7"/>
    </row>
    <row r="18662" spans="7:7" x14ac:dyDescent="0.2">
      <c r="G18662" s="7"/>
    </row>
    <row r="18663" spans="7:7" x14ac:dyDescent="0.2">
      <c r="G18663" s="7"/>
    </row>
    <row r="18664" spans="7:7" x14ac:dyDescent="0.2">
      <c r="G18664" s="7"/>
    </row>
    <row r="18665" spans="7:7" x14ac:dyDescent="0.2">
      <c r="G18665" s="7"/>
    </row>
    <row r="18666" spans="7:7" x14ac:dyDescent="0.2">
      <c r="G18666" s="7"/>
    </row>
    <row r="18667" spans="7:7" x14ac:dyDescent="0.2">
      <c r="G18667" s="7"/>
    </row>
    <row r="18668" spans="7:7" x14ac:dyDescent="0.2">
      <c r="G18668" s="7"/>
    </row>
    <row r="18669" spans="7:7" x14ac:dyDescent="0.2">
      <c r="G18669" s="7"/>
    </row>
    <row r="18670" spans="7:7" x14ac:dyDescent="0.2">
      <c r="G18670" s="7"/>
    </row>
    <row r="18671" spans="7:7" x14ac:dyDescent="0.2">
      <c r="G18671" s="7"/>
    </row>
    <row r="18672" spans="7:7" x14ac:dyDescent="0.2">
      <c r="G18672" s="7"/>
    </row>
    <row r="18673" spans="7:7" x14ac:dyDescent="0.2">
      <c r="G18673" s="7"/>
    </row>
    <row r="18674" spans="7:7" x14ac:dyDescent="0.2">
      <c r="G18674" s="7"/>
    </row>
    <row r="18675" spans="7:7" x14ac:dyDescent="0.2">
      <c r="G18675" s="7"/>
    </row>
    <row r="18676" spans="7:7" x14ac:dyDescent="0.2">
      <c r="G18676" s="7"/>
    </row>
    <row r="18677" spans="7:7" x14ac:dyDescent="0.2">
      <c r="G18677" s="7"/>
    </row>
    <row r="18678" spans="7:7" x14ac:dyDescent="0.2">
      <c r="G18678" s="7"/>
    </row>
    <row r="18679" spans="7:7" x14ac:dyDescent="0.2">
      <c r="G18679" s="7"/>
    </row>
    <row r="18680" spans="7:7" x14ac:dyDescent="0.2">
      <c r="G18680" s="7"/>
    </row>
    <row r="18681" spans="7:7" x14ac:dyDescent="0.2">
      <c r="G18681" s="7"/>
    </row>
    <row r="18682" spans="7:7" x14ac:dyDescent="0.2">
      <c r="G18682" s="7"/>
    </row>
    <row r="18683" spans="7:7" x14ac:dyDescent="0.2">
      <c r="G18683" s="7"/>
    </row>
    <row r="18684" spans="7:7" x14ac:dyDescent="0.2">
      <c r="G18684" s="7"/>
    </row>
    <row r="18685" spans="7:7" x14ac:dyDescent="0.2">
      <c r="G18685" s="7"/>
    </row>
    <row r="18686" spans="7:7" x14ac:dyDescent="0.2">
      <c r="G18686" s="7"/>
    </row>
    <row r="18687" spans="7:7" x14ac:dyDescent="0.2">
      <c r="G18687" s="7"/>
    </row>
    <row r="18688" spans="7:7" x14ac:dyDescent="0.2">
      <c r="G18688" s="7"/>
    </row>
    <row r="18689" spans="7:7" x14ac:dyDescent="0.2">
      <c r="G18689" s="7"/>
    </row>
    <row r="18690" spans="7:7" x14ac:dyDescent="0.2">
      <c r="G18690" s="7"/>
    </row>
    <row r="18691" spans="7:7" x14ac:dyDescent="0.2">
      <c r="G18691" s="7"/>
    </row>
    <row r="18692" spans="7:7" x14ac:dyDescent="0.2">
      <c r="G18692" s="7"/>
    </row>
    <row r="18693" spans="7:7" x14ac:dyDescent="0.2">
      <c r="G18693" s="7"/>
    </row>
    <row r="18694" spans="7:7" x14ac:dyDescent="0.2">
      <c r="G18694" s="7"/>
    </row>
    <row r="18695" spans="7:7" x14ac:dyDescent="0.2">
      <c r="G18695" s="7"/>
    </row>
    <row r="18696" spans="7:7" x14ac:dyDescent="0.2">
      <c r="G18696" s="7"/>
    </row>
    <row r="18697" spans="7:7" x14ac:dyDescent="0.2">
      <c r="G18697" s="7"/>
    </row>
    <row r="18698" spans="7:7" x14ac:dyDescent="0.2">
      <c r="G18698" s="7"/>
    </row>
    <row r="18699" spans="7:7" x14ac:dyDescent="0.2">
      <c r="G18699" s="7"/>
    </row>
    <row r="18700" spans="7:7" x14ac:dyDescent="0.2">
      <c r="G18700" s="7"/>
    </row>
    <row r="18701" spans="7:7" x14ac:dyDescent="0.2">
      <c r="G18701" s="7"/>
    </row>
    <row r="18702" spans="7:7" x14ac:dyDescent="0.2">
      <c r="G18702" s="7"/>
    </row>
    <row r="18703" spans="7:7" x14ac:dyDescent="0.2">
      <c r="G18703" s="7"/>
    </row>
    <row r="18704" spans="7:7" x14ac:dyDescent="0.2">
      <c r="G18704" s="7"/>
    </row>
    <row r="18705" spans="7:7" x14ac:dyDescent="0.2">
      <c r="G18705" s="7"/>
    </row>
    <row r="18706" spans="7:7" x14ac:dyDescent="0.2">
      <c r="G18706" s="7"/>
    </row>
    <row r="18707" spans="7:7" x14ac:dyDescent="0.2">
      <c r="G18707" s="7"/>
    </row>
    <row r="18708" spans="7:7" x14ac:dyDescent="0.2">
      <c r="G18708" s="7"/>
    </row>
    <row r="18709" spans="7:7" x14ac:dyDescent="0.2">
      <c r="G18709" s="7"/>
    </row>
    <row r="18710" spans="7:7" x14ac:dyDescent="0.2">
      <c r="G18710" s="7"/>
    </row>
    <row r="18711" spans="7:7" x14ac:dyDescent="0.2">
      <c r="G18711" s="7"/>
    </row>
    <row r="18712" spans="7:7" x14ac:dyDescent="0.2">
      <c r="G18712" s="7"/>
    </row>
    <row r="18713" spans="7:7" x14ac:dyDescent="0.2">
      <c r="G18713" s="7"/>
    </row>
    <row r="18714" spans="7:7" x14ac:dyDescent="0.2">
      <c r="G18714" s="7"/>
    </row>
    <row r="18715" spans="7:7" x14ac:dyDescent="0.2">
      <c r="G18715" s="7"/>
    </row>
    <row r="18716" spans="7:7" x14ac:dyDescent="0.2">
      <c r="G18716" s="7"/>
    </row>
    <row r="18717" spans="7:7" x14ac:dyDescent="0.2">
      <c r="G18717" s="7"/>
    </row>
    <row r="18718" spans="7:7" x14ac:dyDescent="0.2">
      <c r="G18718" s="7"/>
    </row>
    <row r="18719" spans="7:7" x14ac:dyDescent="0.2">
      <c r="G18719" s="7"/>
    </row>
    <row r="18720" spans="7:7" x14ac:dyDescent="0.2">
      <c r="G18720" s="7"/>
    </row>
    <row r="18721" spans="7:7" x14ac:dyDescent="0.2">
      <c r="G18721" s="7"/>
    </row>
    <row r="18722" spans="7:7" x14ac:dyDescent="0.2">
      <c r="G18722" s="7"/>
    </row>
    <row r="18723" spans="7:7" x14ac:dyDescent="0.2">
      <c r="G18723" s="7"/>
    </row>
    <row r="18724" spans="7:7" x14ac:dyDescent="0.2">
      <c r="G18724" s="7"/>
    </row>
    <row r="18725" spans="7:7" x14ac:dyDescent="0.2">
      <c r="G18725" s="7"/>
    </row>
    <row r="18726" spans="7:7" x14ac:dyDescent="0.2">
      <c r="G18726" s="7"/>
    </row>
    <row r="18727" spans="7:7" x14ac:dyDescent="0.2">
      <c r="G18727" s="7"/>
    </row>
    <row r="18728" spans="7:7" x14ac:dyDescent="0.2">
      <c r="G18728" s="7"/>
    </row>
    <row r="18729" spans="7:7" x14ac:dyDescent="0.2">
      <c r="G18729" s="7"/>
    </row>
    <row r="18730" spans="7:7" x14ac:dyDescent="0.2">
      <c r="G18730" s="7"/>
    </row>
    <row r="18731" spans="7:7" x14ac:dyDescent="0.2">
      <c r="G18731" s="7"/>
    </row>
    <row r="18732" spans="7:7" x14ac:dyDescent="0.2">
      <c r="G18732" s="7"/>
    </row>
    <row r="18733" spans="7:7" x14ac:dyDescent="0.2">
      <c r="G18733" s="7"/>
    </row>
    <row r="18734" spans="7:7" x14ac:dyDescent="0.2">
      <c r="G18734" s="7"/>
    </row>
    <row r="18735" spans="7:7" x14ac:dyDescent="0.2">
      <c r="G18735" s="7"/>
    </row>
    <row r="18736" spans="7:7" x14ac:dyDescent="0.2">
      <c r="G18736" s="7"/>
    </row>
    <row r="18737" spans="7:7" x14ac:dyDescent="0.2">
      <c r="G18737" s="7"/>
    </row>
    <row r="18738" spans="7:7" x14ac:dyDescent="0.2">
      <c r="G18738" s="7"/>
    </row>
    <row r="18739" spans="7:7" x14ac:dyDescent="0.2">
      <c r="G18739" s="7"/>
    </row>
    <row r="18740" spans="7:7" x14ac:dyDescent="0.2">
      <c r="G18740" s="7"/>
    </row>
    <row r="18741" spans="7:7" x14ac:dyDescent="0.2">
      <c r="G18741" s="7"/>
    </row>
    <row r="18742" spans="7:7" x14ac:dyDescent="0.2">
      <c r="G18742" s="7"/>
    </row>
    <row r="18743" spans="7:7" x14ac:dyDescent="0.2">
      <c r="G18743" s="7"/>
    </row>
    <row r="18744" spans="7:7" x14ac:dyDescent="0.2">
      <c r="G18744" s="7"/>
    </row>
    <row r="18745" spans="7:7" x14ac:dyDescent="0.2">
      <c r="G18745" s="7"/>
    </row>
    <row r="18746" spans="7:7" x14ac:dyDescent="0.2">
      <c r="G18746" s="7"/>
    </row>
    <row r="18747" spans="7:7" x14ac:dyDescent="0.2">
      <c r="G18747" s="7"/>
    </row>
    <row r="18748" spans="7:7" x14ac:dyDescent="0.2">
      <c r="G18748" s="7"/>
    </row>
    <row r="18749" spans="7:7" x14ac:dyDescent="0.2">
      <c r="G18749" s="7"/>
    </row>
    <row r="18750" spans="7:7" x14ac:dyDescent="0.2">
      <c r="G18750" s="7"/>
    </row>
    <row r="18751" spans="7:7" x14ac:dyDescent="0.2">
      <c r="G18751" s="7"/>
    </row>
    <row r="18752" spans="7:7" x14ac:dyDescent="0.2">
      <c r="G18752" s="7"/>
    </row>
    <row r="18753" spans="7:7" x14ac:dyDescent="0.2">
      <c r="G18753" s="7"/>
    </row>
    <row r="18754" spans="7:7" x14ac:dyDescent="0.2">
      <c r="G18754" s="7"/>
    </row>
    <row r="18755" spans="7:7" x14ac:dyDescent="0.2">
      <c r="G18755" s="7"/>
    </row>
    <row r="18756" spans="7:7" x14ac:dyDescent="0.2">
      <c r="G18756" s="7"/>
    </row>
    <row r="18757" spans="7:7" x14ac:dyDescent="0.2">
      <c r="G18757" s="7"/>
    </row>
    <row r="18758" spans="7:7" x14ac:dyDescent="0.2">
      <c r="G18758" s="7"/>
    </row>
    <row r="18759" spans="7:7" x14ac:dyDescent="0.2">
      <c r="G18759" s="7"/>
    </row>
    <row r="18760" spans="7:7" x14ac:dyDescent="0.2">
      <c r="G18760" s="7"/>
    </row>
    <row r="18761" spans="7:7" x14ac:dyDescent="0.2">
      <c r="G18761" s="7"/>
    </row>
    <row r="18762" spans="7:7" x14ac:dyDescent="0.2">
      <c r="G18762" s="7"/>
    </row>
    <row r="18763" spans="7:7" x14ac:dyDescent="0.2">
      <c r="G18763" s="7"/>
    </row>
    <row r="18764" spans="7:7" x14ac:dyDescent="0.2">
      <c r="G18764" s="7"/>
    </row>
    <row r="18765" spans="7:7" x14ac:dyDescent="0.2">
      <c r="G18765" s="7"/>
    </row>
    <row r="18766" spans="7:7" x14ac:dyDescent="0.2">
      <c r="G18766" s="7"/>
    </row>
    <row r="18767" spans="7:7" x14ac:dyDescent="0.2">
      <c r="G18767" s="7"/>
    </row>
    <row r="18768" spans="7:7" x14ac:dyDescent="0.2">
      <c r="G18768" s="7"/>
    </row>
    <row r="18769" spans="7:7" x14ac:dyDescent="0.2">
      <c r="G18769" s="7"/>
    </row>
    <row r="18770" spans="7:7" x14ac:dyDescent="0.2">
      <c r="G18770" s="7"/>
    </row>
    <row r="18771" spans="7:7" x14ac:dyDescent="0.2">
      <c r="G18771" s="7"/>
    </row>
    <row r="18772" spans="7:7" x14ac:dyDescent="0.2">
      <c r="G18772" s="7"/>
    </row>
    <row r="18773" spans="7:7" x14ac:dyDescent="0.2">
      <c r="G18773" s="7"/>
    </row>
    <row r="18774" spans="7:7" x14ac:dyDescent="0.2">
      <c r="G18774" s="7"/>
    </row>
    <row r="18775" spans="7:7" x14ac:dyDescent="0.2">
      <c r="G18775" s="7"/>
    </row>
    <row r="18776" spans="7:7" x14ac:dyDescent="0.2">
      <c r="G18776" s="7"/>
    </row>
    <row r="18777" spans="7:7" x14ac:dyDescent="0.2">
      <c r="G18777" s="7"/>
    </row>
    <row r="18778" spans="7:7" x14ac:dyDescent="0.2">
      <c r="G18778" s="7"/>
    </row>
    <row r="18779" spans="7:7" x14ac:dyDescent="0.2">
      <c r="G18779" s="7"/>
    </row>
    <row r="18780" spans="7:7" x14ac:dyDescent="0.2">
      <c r="G18780" s="7"/>
    </row>
    <row r="18781" spans="7:7" x14ac:dyDescent="0.2">
      <c r="G18781" s="7"/>
    </row>
    <row r="18782" spans="7:7" x14ac:dyDescent="0.2">
      <c r="G18782" s="7"/>
    </row>
    <row r="18783" spans="7:7" x14ac:dyDescent="0.2">
      <c r="G18783" s="7"/>
    </row>
    <row r="18784" spans="7:7" x14ac:dyDescent="0.2">
      <c r="G18784" s="7"/>
    </row>
    <row r="18785" spans="7:7" x14ac:dyDescent="0.2">
      <c r="G18785" s="7"/>
    </row>
    <row r="18786" spans="7:7" x14ac:dyDescent="0.2">
      <c r="G18786" s="7"/>
    </row>
    <row r="18787" spans="7:7" x14ac:dyDescent="0.2">
      <c r="G18787" s="7"/>
    </row>
    <row r="18788" spans="7:7" x14ac:dyDescent="0.2">
      <c r="G18788" s="7"/>
    </row>
    <row r="18789" spans="7:7" x14ac:dyDescent="0.2">
      <c r="G18789" s="7"/>
    </row>
    <row r="18790" spans="7:7" x14ac:dyDescent="0.2">
      <c r="G18790" s="7"/>
    </row>
    <row r="18791" spans="7:7" x14ac:dyDescent="0.2">
      <c r="G18791" s="7"/>
    </row>
    <row r="18792" spans="7:7" x14ac:dyDescent="0.2">
      <c r="G18792" s="7"/>
    </row>
    <row r="18793" spans="7:7" x14ac:dyDescent="0.2">
      <c r="G18793" s="7"/>
    </row>
    <row r="18794" spans="7:7" x14ac:dyDescent="0.2">
      <c r="G18794" s="7"/>
    </row>
    <row r="18795" spans="7:7" x14ac:dyDescent="0.2">
      <c r="G18795" s="7"/>
    </row>
    <row r="18796" spans="7:7" x14ac:dyDescent="0.2">
      <c r="G18796" s="7"/>
    </row>
    <row r="18797" spans="7:7" x14ac:dyDescent="0.2">
      <c r="G18797" s="7"/>
    </row>
    <row r="18798" spans="7:7" x14ac:dyDescent="0.2">
      <c r="G18798" s="7"/>
    </row>
    <row r="18799" spans="7:7" x14ac:dyDescent="0.2">
      <c r="G18799" s="7"/>
    </row>
    <row r="18800" spans="7:7" x14ac:dyDescent="0.2">
      <c r="G18800" s="7"/>
    </row>
    <row r="18801" spans="7:7" x14ac:dyDescent="0.2">
      <c r="G18801" s="7"/>
    </row>
    <row r="18802" spans="7:7" x14ac:dyDescent="0.2">
      <c r="G18802" s="7"/>
    </row>
    <row r="18803" spans="7:7" x14ac:dyDescent="0.2">
      <c r="G18803" s="7"/>
    </row>
    <row r="18804" spans="7:7" x14ac:dyDescent="0.2">
      <c r="G18804" s="7"/>
    </row>
    <row r="18805" spans="7:7" x14ac:dyDescent="0.2">
      <c r="G18805" s="7"/>
    </row>
    <row r="18806" spans="7:7" x14ac:dyDescent="0.2">
      <c r="G18806" s="7"/>
    </row>
    <row r="18807" spans="7:7" x14ac:dyDescent="0.2">
      <c r="G18807" s="7"/>
    </row>
    <row r="18808" spans="7:7" x14ac:dyDescent="0.2">
      <c r="G18808" s="7"/>
    </row>
    <row r="18809" spans="7:7" x14ac:dyDescent="0.2">
      <c r="G18809" s="7"/>
    </row>
    <row r="18810" spans="7:7" x14ac:dyDescent="0.2">
      <c r="G18810" s="7"/>
    </row>
    <row r="18811" spans="7:7" x14ac:dyDescent="0.2">
      <c r="G18811" s="7"/>
    </row>
    <row r="18812" spans="7:7" x14ac:dyDescent="0.2">
      <c r="G18812" s="7"/>
    </row>
    <row r="18813" spans="7:7" x14ac:dyDescent="0.2">
      <c r="G18813" s="7"/>
    </row>
    <row r="18814" spans="7:7" x14ac:dyDescent="0.2">
      <c r="G18814" s="7"/>
    </row>
    <row r="18815" spans="7:7" x14ac:dyDescent="0.2">
      <c r="G18815" s="7"/>
    </row>
    <row r="18816" spans="7:7" x14ac:dyDescent="0.2">
      <c r="G18816" s="7"/>
    </row>
    <row r="18817" spans="7:7" x14ac:dyDescent="0.2">
      <c r="G18817" s="7"/>
    </row>
    <row r="18818" spans="7:7" x14ac:dyDescent="0.2">
      <c r="G18818" s="7"/>
    </row>
    <row r="18819" spans="7:7" x14ac:dyDescent="0.2">
      <c r="G18819" s="7"/>
    </row>
    <row r="18820" spans="7:7" x14ac:dyDescent="0.2">
      <c r="G18820" s="7"/>
    </row>
    <row r="18821" spans="7:7" x14ac:dyDescent="0.2">
      <c r="G18821" s="7"/>
    </row>
    <row r="18822" spans="7:7" x14ac:dyDescent="0.2">
      <c r="G18822" s="7"/>
    </row>
    <row r="18823" spans="7:7" x14ac:dyDescent="0.2">
      <c r="G18823" s="7"/>
    </row>
    <row r="18824" spans="7:7" x14ac:dyDescent="0.2">
      <c r="G18824" s="7"/>
    </row>
    <row r="18825" spans="7:7" x14ac:dyDescent="0.2">
      <c r="G18825" s="7"/>
    </row>
    <row r="18826" spans="7:7" x14ac:dyDescent="0.2">
      <c r="G18826" s="7"/>
    </row>
    <row r="18827" spans="7:7" x14ac:dyDescent="0.2">
      <c r="G18827" s="7"/>
    </row>
    <row r="18828" spans="7:7" x14ac:dyDescent="0.2">
      <c r="G18828" s="7"/>
    </row>
    <row r="18829" spans="7:7" x14ac:dyDescent="0.2">
      <c r="G18829" s="7"/>
    </row>
    <row r="18830" spans="7:7" x14ac:dyDescent="0.2">
      <c r="G18830" s="7"/>
    </row>
    <row r="18831" spans="7:7" x14ac:dyDescent="0.2">
      <c r="G18831" s="7"/>
    </row>
    <row r="18832" spans="7:7" x14ac:dyDescent="0.2">
      <c r="G18832" s="7"/>
    </row>
    <row r="18833" spans="7:7" x14ac:dyDescent="0.2">
      <c r="G18833" s="7"/>
    </row>
    <row r="18834" spans="7:7" x14ac:dyDescent="0.2">
      <c r="G18834" s="7"/>
    </row>
    <row r="18835" spans="7:7" x14ac:dyDescent="0.2">
      <c r="G18835" s="7"/>
    </row>
    <row r="18836" spans="7:7" x14ac:dyDescent="0.2">
      <c r="G18836" s="7"/>
    </row>
    <row r="18837" spans="7:7" x14ac:dyDescent="0.2">
      <c r="G18837" s="7"/>
    </row>
    <row r="18838" spans="7:7" x14ac:dyDescent="0.2">
      <c r="G18838" s="7"/>
    </row>
    <row r="18839" spans="7:7" x14ac:dyDescent="0.2">
      <c r="G18839" s="7"/>
    </row>
    <row r="18840" spans="7:7" x14ac:dyDescent="0.2">
      <c r="G18840" s="7"/>
    </row>
    <row r="18841" spans="7:7" x14ac:dyDescent="0.2">
      <c r="G18841" s="7"/>
    </row>
    <row r="18842" spans="7:7" x14ac:dyDescent="0.2">
      <c r="G18842" s="7"/>
    </row>
    <row r="18843" spans="7:7" x14ac:dyDescent="0.2">
      <c r="G18843" s="7"/>
    </row>
    <row r="18844" spans="7:7" x14ac:dyDescent="0.2">
      <c r="G18844" s="7"/>
    </row>
    <row r="18845" spans="7:7" x14ac:dyDescent="0.2">
      <c r="G18845" s="7"/>
    </row>
    <row r="18846" spans="7:7" x14ac:dyDescent="0.2">
      <c r="G18846" s="7"/>
    </row>
    <row r="18847" spans="7:7" x14ac:dyDescent="0.2">
      <c r="G18847" s="7"/>
    </row>
    <row r="18848" spans="7:7" x14ac:dyDescent="0.2">
      <c r="G18848" s="7"/>
    </row>
    <row r="18849" spans="7:7" x14ac:dyDescent="0.2">
      <c r="G18849" s="7"/>
    </row>
    <row r="18850" spans="7:7" x14ac:dyDescent="0.2">
      <c r="G18850" s="7"/>
    </row>
    <row r="18851" spans="7:7" x14ac:dyDescent="0.2">
      <c r="G18851" s="7"/>
    </row>
    <row r="18852" spans="7:7" x14ac:dyDescent="0.2">
      <c r="G18852" s="7"/>
    </row>
    <row r="18853" spans="7:7" x14ac:dyDescent="0.2">
      <c r="G18853" s="7"/>
    </row>
    <row r="18854" spans="7:7" x14ac:dyDescent="0.2">
      <c r="G18854" s="7"/>
    </row>
    <row r="18855" spans="7:7" x14ac:dyDescent="0.2">
      <c r="G18855" s="7"/>
    </row>
    <row r="18856" spans="7:7" x14ac:dyDescent="0.2">
      <c r="G18856" s="7"/>
    </row>
    <row r="18857" spans="7:7" x14ac:dyDescent="0.2">
      <c r="G18857" s="7"/>
    </row>
    <row r="18858" spans="7:7" x14ac:dyDescent="0.2">
      <c r="G18858" s="7"/>
    </row>
    <row r="18859" spans="7:7" x14ac:dyDescent="0.2">
      <c r="G18859" s="7"/>
    </row>
    <row r="18860" spans="7:7" x14ac:dyDescent="0.2">
      <c r="G18860" s="7"/>
    </row>
    <row r="18861" spans="7:7" x14ac:dyDescent="0.2">
      <c r="G18861" s="7"/>
    </row>
    <row r="18862" spans="7:7" x14ac:dyDescent="0.2">
      <c r="G18862" s="7"/>
    </row>
    <row r="18863" spans="7:7" x14ac:dyDescent="0.2">
      <c r="G18863" s="7"/>
    </row>
    <row r="18864" spans="7:7" x14ac:dyDescent="0.2">
      <c r="G18864" s="7"/>
    </row>
    <row r="18865" spans="7:7" x14ac:dyDescent="0.2">
      <c r="G18865" s="7"/>
    </row>
    <row r="18866" spans="7:7" x14ac:dyDescent="0.2">
      <c r="G18866" s="7"/>
    </row>
    <row r="18867" spans="7:7" x14ac:dyDescent="0.2">
      <c r="G18867" s="7"/>
    </row>
    <row r="18868" spans="7:7" x14ac:dyDescent="0.2">
      <c r="G18868" s="7"/>
    </row>
    <row r="18869" spans="7:7" x14ac:dyDescent="0.2">
      <c r="G18869" s="7"/>
    </row>
    <row r="18870" spans="7:7" x14ac:dyDescent="0.2">
      <c r="G18870" s="7"/>
    </row>
    <row r="18871" spans="7:7" x14ac:dyDescent="0.2">
      <c r="G18871" s="7"/>
    </row>
    <row r="18872" spans="7:7" x14ac:dyDescent="0.2">
      <c r="G18872" s="7"/>
    </row>
    <row r="18873" spans="7:7" x14ac:dyDescent="0.2">
      <c r="G18873" s="7"/>
    </row>
    <row r="18874" spans="7:7" x14ac:dyDescent="0.2">
      <c r="G18874" s="7"/>
    </row>
    <row r="18875" spans="7:7" x14ac:dyDescent="0.2">
      <c r="G18875" s="7"/>
    </row>
    <row r="18876" spans="7:7" x14ac:dyDescent="0.2">
      <c r="G18876" s="7"/>
    </row>
    <row r="18877" spans="7:7" x14ac:dyDescent="0.2">
      <c r="G18877" s="7"/>
    </row>
    <row r="18878" spans="7:7" x14ac:dyDescent="0.2">
      <c r="G18878" s="7"/>
    </row>
    <row r="18879" spans="7:7" x14ac:dyDescent="0.2">
      <c r="G18879" s="7"/>
    </row>
    <row r="18880" spans="7:7" x14ac:dyDescent="0.2">
      <c r="G18880" s="7"/>
    </row>
    <row r="18881" spans="7:7" x14ac:dyDescent="0.2">
      <c r="G18881" s="7"/>
    </row>
    <row r="18882" spans="7:7" x14ac:dyDescent="0.2">
      <c r="G18882" s="7"/>
    </row>
    <row r="18883" spans="7:7" x14ac:dyDescent="0.2">
      <c r="G18883" s="7"/>
    </row>
    <row r="18884" spans="7:7" x14ac:dyDescent="0.2">
      <c r="G18884" s="7"/>
    </row>
    <row r="18885" spans="7:7" x14ac:dyDescent="0.2">
      <c r="G18885" s="7"/>
    </row>
    <row r="18886" spans="7:7" x14ac:dyDescent="0.2">
      <c r="G18886" s="7"/>
    </row>
    <row r="18887" spans="7:7" x14ac:dyDescent="0.2">
      <c r="G18887" s="7"/>
    </row>
    <row r="18888" spans="7:7" x14ac:dyDescent="0.2">
      <c r="G18888" s="7"/>
    </row>
    <row r="18889" spans="7:7" x14ac:dyDescent="0.2">
      <c r="G18889" s="7"/>
    </row>
    <row r="18890" spans="7:7" x14ac:dyDescent="0.2">
      <c r="G18890" s="7"/>
    </row>
    <row r="18891" spans="7:7" x14ac:dyDescent="0.2">
      <c r="G18891" s="7"/>
    </row>
    <row r="18892" spans="7:7" x14ac:dyDescent="0.2">
      <c r="G18892" s="7"/>
    </row>
    <row r="18893" spans="7:7" x14ac:dyDescent="0.2">
      <c r="G18893" s="7"/>
    </row>
    <row r="18894" spans="7:7" x14ac:dyDescent="0.2">
      <c r="G18894" s="7"/>
    </row>
    <row r="18895" spans="7:7" x14ac:dyDescent="0.2">
      <c r="G18895" s="7"/>
    </row>
    <row r="18896" spans="7:7" x14ac:dyDescent="0.2">
      <c r="G18896" s="7"/>
    </row>
    <row r="18897" spans="7:7" x14ac:dyDescent="0.2">
      <c r="G18897" s="7"/>
    </row>
    <row r="18898" spans="7:7" x14ac:dyDescent="0.2">
      <c r="G18898" s="7"/>
    </row>
    <row r="18899" spans="7:7" x14ac:dyDescent="0.2">
      <c r="G18899" s="7"/>
    </row>
    <row r="18900" spans="7:7" x14ac:dyDescent="0.2">
      <c r="G18900" s="7"/>
    </row>
    <row r="18901" spans="7:7" x14ac:dyDescent="0.2">
      <c r="G18901" s="7"/>
    </row>
    <row r="18902" spans="7:7" x14ac:dyDescent="0.2">
      <c r="G18902" s="7"/>
    </row>
    <row r="18903" spans="7:7" x14ac:dyDescent="0.2">
      <c r="G18903" s="7"/>
    </row>
    <row r="18904" spans="7:7" x14ac:dyDescent="0.2">
      <c r="G18904" s="7"/>
    </row>
    <row r="18905" spans="7:7" x14ac:dyDescent="0.2">
      <c r="G18905" s="7"/>
    </row>
    <row r="18906" spans="7:7" x14ac:dyDescent="0.2">
      <c r="G18906" s="7"/>
    </row>
    <row r="18907" spans="7:7" x14ac:dyDescent="0.2">
      <c r="G18907" s="7"/>
    </row>
    <row r="18908" spans="7:7" x14ac:dyDescent="0.2">
      <c r="G18908" s="7"/>
    </row>
    <row r="18909" spans="7:7" x14ac:dyDescent="0.2">
      <c r="G18909" s="7"/>
    </row>
    <row r="18910" spans="7:7" x14ac:dyDescent="0.2">
      <c r="G18910" s="7"/>
    </row>
    <row r="18911" spans="7:7" x14ac:dyDescent="0.2">
      <c r="G18911" s="7"/>
    </row>
    <row r="18912" spans="7:7" x14ac:dyDescent="0.2">
      <c r="G18912" s="7"/>
    </row>
    <row r="18913" spans="7:7" x14ac:dyDescent="0.2">
      <c r="G18913" s="7"/>
    </row>
    <row r="18914" spans="7:7" x14ac:dyDescent="0.2">
      <c r="G18914" s="7"/>
    </row>
    <row r="18915" spans="7:7" x14ac:dyDescent="0.2">
      <c r="G18915" s="7"/>
    </row>
    <row r="18916" spans="7:7" x14ac:dyDescent="0.2">
      <c r="G18916" s="7"/>
    </row>
    <row r="18917" spans="7:7" x14ac:dyDescent="0.2">
      <c r="G18917" s="7"/>
    </row>
    <row r="18918" spans="7:7" x14ac:dyDescent="0.2">
      <c r="G18918" s="7"/>
    </row>
    <row r="18919" spans="7:7" x14ac:dyDescent="0.2">
      <c r="G18919" s="7"/>
    </row>
    <row r="18920" spans="7:7" x14ac:dyDescent="0.2">
      <c r="G18920" s="7"/>
    </row>
    <row r="18921" spans="7:7" x14ac:dyDescent="0.2">
      <c r="G18921" s="7"/>
    </row>
    <row r="18922" spans="7:7" x14ac:dyDescent="0.2">
      <c r="G18922" s="7"/>
    </row>
    <row r="18923" spans="7:7" x14ac:dyDescent="0.2">
      <c r="G18923" s="7"/>
    </row>
    <row r="18924" spans="7:7" x14ac:dyDescent="0.2">
      <c r="G18924" s="7"/>
    </row>
    <row r="18925" spans="7:7" x14ac:dyDescent="0.2">
      <c r="G18925" s="7"/>
    </row>
    <row r="18926" spans="7:7" x14ac:dyDescent="0.2">
      <c r="G18926" s="7"/>
    </row>
    <row r="18927" spans="7:7" x14ac:dyDescent="0.2">
      <c r="G18927" s="7"/>
    </row>
    <row r="18928" spans="7:7" x14ac:dyDescent="0.2">
      <c r="G18928" s="7"/>
    </row>
    <row r="18929" spans="7:7" x14ac:dyDescent="0.2">
      <c r="G18929" s="7"/>
    </row>
    <row r="18930" spans="7:7" x14ac:dyDescent="0.2">
      <c r="G18930" s="7"/>
    </row>
    <row r="18931" spans="7:7" x14ac:dyDescent="0.2">
      <c r="G18931" s="7"/>
    </row>
    <row r="18932" spans="7:7" x14ac:dyDescent="0.2">
      <c r="G18932" s="7"/>
    </row>
    <row r="18933" spans="7:7" x14ac:dyDescent="0.2">
      <c r="G18933" s="7"/>
    </row>
    <row r="18934" spans="7:7" x14ac:dyDescent="0.2">
      <c r="G18934" s="7"/>
    </row>
    <row r="18935" spans="7:7" x14ac:dyDescent="0.2">
      <c r="G18935" s="7"/>
    </row>
    <row r="18936" spans="7:7" x14ac:dyDescent="0.2">
      <c r="G18936" s="7"/>
    </row>
    <row r="18937" spans="7:7" x14ac:dyDescent="0.2">
      <c r="G18937" s="7"/>
    </row>
    <row r="18938" spans="7:7" x14ac:dyDescent="0.2">
      <c r="G18938" s="7"/>
    </row>
    <row r="18939" spans="7:7" x14ac:dyDescent="0.2">
      <c r="G18939" s="7"/>
    </row>
    <row r="18940" spans="7:7" x14ac:dyDescent="0.2">
      <c r="G18940" s="7"/>
    </row>
    <row r="18941" spans="7:7" x14ac:dyDescent="0.2">
      <c r="G18941" s="7"/>
    </row>
    <row r="18942" spans="7:7" x14ac:dyDescent="0.2">
      <c r="G18942" s="7"/>
    </row>
    <row r="18943" spans="7:7" x14ac:dyDescent="0.2">
      <c r="G18943" s="7"/>
    </row>
    <row r="18944" spans="7:7" x14ac:dyDescent="0.2">
      <c r="G18944" s="7"/>
    </row>
    <row r="18945" spans="7:7" x14ac:dyDescent="0.2">
      <c r="G18945" s="7"/>
    </row>
    <row r="18946" spans="7:7" x14ac:dyDescent="0.2">
      <c r="G18946" s="7"/>
    </row>
    <row r="18947" spans="7:7" x14ac:dyDescent="0.2">
      <c r="G18947" s="7"/>
    </row>
    <row r="18948" spans="7:7" x14ac:dyDescent="0.2">
      <c r="G18948" s="7"/>
    </row>
    <row r="18949" spans="7:7" x14ac:dyDescent="0.2">
      <c r="G18949" s="7"/>
    </row>
    <row r="18950" spans="7:7" x14ac:dyDescent="0.2">
      <c r="G18950" s="7"/>
    </row>
    <row r="18951" spans="7:7" x14ac:dyDescent="0.2">
      <c r="G18951" s="7"/>
    </row>
    <row r="18952" spans="7:7" x14ac:dyDescent="0.2">
      <c r="G18952" s="7"/>
    </row>
    <row r="18953" spans="7:7" x14ac:dyDescent="0.2">
      <c r="G18953" s="7"/>
    </row>
    <row r="18954" spans="7:7" x14ac:dyDescent="0.2">
      <c r="G18954" s="7"/>
    </row>
    <row r="18955" spans="7:7" x14ac:dyDescent="0.2">
      <c r="G18955" s="7"/>
    </row>
    <row r="18956" spans="7:7" x14ac:dyDescent="0.2">
      <c r="G18956" s="7"/>
    </row>
    <row r="18957" spans="7:7" x14ac:dyDescent="0.2">
      <c r="G18957" s="7"/>
    </row>
    <row r="18958" spans="7:7" x14ac:dyDescent="0.2">
      <c r="G18958" s="7"/>
    </row>
    <row r="18959" spans="7:7" x14ac:dyDescent="0.2">
      <c r="G18959" s="7"/>
    </row>
    <row r="18960" spans="7:7" x14ac:dyDescent="0.2">
      <c r="G18960" s="7"/>
    </row>
    <row r="18961" spans="7:7" x14ac:dyDescent="0.2">
      <c r="G18961" s="7"/>
    </row>
    <row r="18962" spans="7:7" x14ac:dyDescent="0.2">
      <c r="G18962" s="7"/>
    </row>
    <row r="18963" spans="7:7" x14ac:dyDescent="0.2">
      <c r="G18963" s="7"/>
    </row>
    <row r="18964" spans="7:7" x14ac:dyDescent="0.2">
      <c r="G18964" s="7"/>
    </row>
    <row r="18965" spans="7:7" x14ac:dyDescent="0.2">
      <c r="G18965" s="7"/>
    </row>
    <row r="18966" spans="7:7" x14ac:dyDescent="0.2">
      <c r="G18966" s="7"/>
    </row>
    <row r="18967" spans="7:7" x14ac:dyDescent="0.2">
      <c r="G18967" s="7"/>
    </row>
    <row r="18968" spans="7:7" x14ac:dyDescent="0.2">
      <c r="G18968" s="7"/>
    </row>
    <row r="18969" spans="7:7" x14ac:dyDescent="0.2">
      <c r="G18969" s="7"/>
    </row>
    <row r="18970" spans="7:7" x14ac:dyDescent="0.2">
      <c r="G18970" s="7"/>
    </row>
    <row r="18971" spans="7:7" x14ac:dyDescent="0.2">
      <c r="G18971" s="7"/>
    </row>
    <row r="18972" spans="7:7" x14ac:dyDescent="0.2">
      <c r="G18972" s="7"/>
    </row>
    <row r="18973" spans="7:7" x14ac:dyDescent="0.2">
      <c r="G18973" s="7"/>
    </row>
    <row r="18974" spans="7:7" x14ac:dyDescent="0.2">
      <c r="G18974" s="7"/>
    </row>
    <row r="18975" spans="7:7" x14ac:dyDescent="0.2">
      <c r="G18975" s="7"/>
    </row>
    <row r="18976" spans="7:7" x14ac:dyDescent="0.2">
      <c r="G18976" s="7"/>
    </row>
    <row r="18977" spans="7:7" x14ac:dyDescent="0.2">
      <c r="G18977" s="7"/>
    </row>
    <row r="18978" spans="7:7" x14ac:dyDescent="0.2">
      <c r="G18978" s="7"/>
    </row>
    <row r="18979" spans="7:7" x14ac:dyDescent="0.2">
      <c r="G18979" s="7"/>
    </row>
    <row r="18980" spans="7:7" x14ac:dyDescent="0.2">
      <c r="G18980" s="7"/>
    </row>
    <row r="18981" spans="7:7" x14ac:dyDescent="0.2">
      <c r="G18981" s="7"/>
    </row>
    <row r="18982" spans="7:7" x14ac:dyDescent="0.2">
      <c r="G18982" s="7"/>
    </row>
    <row r="18983" spans="7:7" x14ac:dyDescent="0.2">
      <c r="G18983" s="7"/>
    </row>
    <row r="18984" spans="7:7" x14ac:dyDescent="0.2">
      <c r="G18984" s="7"/>
    </row>
    <row r="18985" spans="7:7" x14ac:dyDescent="0.2">
      <c r="G18985" s="7"/>
    </row>
    <row r="18986" spans="7:7" x14ac:dyDescent="0.2">
      <c r="G18986" s="7"/>
    </row>
    <row r="18987" spans="7:7" x14ac:dyDescent="0.2">
      <c r="G18987" s="7"/>
    </row>
    <row r="18988" spans="7:7" x14ac:dyDescent="0.2">
      <c r="G18988" s="7"/>
    </row>
    <row r="18989" spans="7:7" x14ac:dyDescent="0.2">
      <c r="G18989" s="7"/>
    </row>
    <row r="18990" spans="7:7" x14ac:dyDescent="0.2">
      <c r="G18990" s="7"/>
    </row>
    <row r="18991" spans="7:7" x14ac:dyDescent="0.2">
      <c r="G18991" s="7"/>
    </row>
    <row r="18992" spans="7:7" x14ac:dyDescent="0.2">
      <c r="G18992" s="7"/>
    </row>
    <row r="18993" spans="7:7" x14ac:dyDescent="0.2">
      <c r="G18993" s="7"/>
    </row>
    <row r="18994" spans="7:7" x14ac:dyDescent="0.2">
      <c r="G18994" s="7"/>
    </row>
    <row r="18995" spans="7:7" x14ac:dyDescent="0.2">
      <c r="G18995" s="7"/>
    </row>
    <row r="18996" spans="7:7" x14ac:dyDescent="0.2">
      <c r="G18996" s="7"/>
    </row>
    <row r="18997" spans="7:7" x14ac:dyDescent="0.2">
      <c r="G18997" s="7"/>
    </row>
    <row r="18998" spans="7:7" x14ac:dyDescent="0.2">
      <c r="G18998" s="7"/>
    </row>
    <row r="18999" spans="7:7" x14ac:dyDescent="0.2">
      <c r="G18999" s="7"/>
    </row>
    <row r="19000" spans="7:7" x14ac:dyDescent="0.2">
      <c r="G19000" s="7"/>
    </row>
    <row r="19001" spans="7:7" x14ac:dyDescent="0.2">
      <c r="G19001" s="7"/>
    </row>
    <row r="19002" spans="7:7" x14ac:dyDescent="0.2">
      <c r="G19002" s="7"/>
    </row>
    <row r="19003" spans="7:7" x14ac:dyDescent="0.2">
      <c r="G19003" s="7"/>
    </row>
    <row r="19004" spans="7:7" x14ac:dyDescent="0.2">
      <c r="G19004" s="7"/>
    </row>
    <row r="19005" spans="7:7" x14ac:dyDescent="0.2">
      <c r="G19005" s="7"/>
    </row>
    <row r="19006" spans="7:7" x14ac:dyDescent="0.2">
      <c r="G19006" s="7"/>
    </row>
    <row r="19007" spans="7:7" x14ac:dyDescent="0.2">
      <c r="G19007" s="7"/>
    </row>
    <row r="19008" spans="7:7" x14ac:dyDescent="0.2">
      <c r="G19008" s="7"/>
    </row>
    <row r="19009" spans="7:7" x14ac:dyDescent="0.2">
      <c r="G19009" s="7"/>
    </row>
    <row r="19010" spans="7:7" x14ac:dyDescent="0.2">
      <c r="G19010" s="7"/>
    </row>
    <row r="19011" spans="7:7" x14ac:dyDescent="0.2">
      <c r="G19011" s="7"/>
    </row>
    <row r="19012" spans="7:7" x14ac:dyDescent="0.2">
      <c r="G19012" s="7"/>
    </row>
    <row r="19013" spans="7:7" x14ac:dyDescent="0.2">
      <c r="G19013" s="7"/>
    </row>
    <row r="19014" spans="7:7" x14ac:dyDescent="0.2">
      <c r="G19014" s="7"/>
    </row>
    <row r="19015" spans="7:7" x14ac:dyDescent="0.2">
      <c r="G19015" s="7"/>
    </row>
    <row r="19016" spans="7:7" x14ac:dyDescent="0.2">
      <c r="G19016" s="7"/>
    </row>
    <row r="19017" spans="7:7" x14ac:dyDescent="0.2">
      <c r="G19017" s="7"/>
    </row>
    <row r="19018" spans="7:7" x14ac:dyDescent="0.2">
      <c r="G19018" s="7"/>
    </row>
    <row r="19019" spans="7:7" x14ac:dyDescent="0.2">
      <c r="G19019" s="7"/>
    </row>
    <row r="19020" spans="7:7" x14ac:dyDescent="0.2">
      <c r="G19020" s="7"/>
    </row>
    <row r="19021" spans="7:7" x14ac:dyDescent="0.2">
      <c r="G19021" s="7"/>
    </row>
    <row r="19022" spans="7:7" x14ac:dyDescent="0.2">
      <c r="G19022" s="7"/>
    </row>
    <row r="19023" spans="7:7" x14ac:dyDescent="0.2">
      <c r="G19023" s="7"/>
    </row>
    <row r="19024" spans="7:7" x14ac:dyDescent="0.2">
      <c r="G19024" s="7"/>
    </row>
    <row r="19025" spans="7:7" x14ac:dyDescent="0.2">
      <c r="G19025" s="7"/>
    </row>
    <row r="19026" spans="7:7" x14ac:dyDescent="0.2">
      <c r="G19026" s="7"/>
    </row>
    <row r="19027" spans="7:7" x14ac:dyDescent="0.2">
      <c r="G19027" s="7"/>
    </row>
    <row r="19028" spans="7:7" x14ac:dyDescent="0.2">
      <c r="G19028" s="7"/>
    </row>
    <row r="19029" spans="7:7" x14ac:dyDescent="0.2">
      <c r="G19029" s="7"/>
    </row>
    <row r="19030" spans="7:7" x14ac:dyDescent="0.2">
      <c r="G19030" s="7"/>
    </row>
    <row r="19031" spans="7:7" x14ac:dyDescent="0.2">
      <c r="G19031" s="7"/>
    </row>
    <row r="19032" spans="7:7" x14ac:dyDescent="0.2">
      <c r="G19032" s="7"/>
    </row>
    <row r="19033" spans="7:7" x14ac:dyDescent="0.2">
      <c r="G19033" s="7"/>
    </row>
    <row r="19034" spans="7:7" x14ac:dyDescent="0.2">
      <c r="G19034" s="7"/>
    </row>
    <row r="19035" spans="7:7" x14ac:dyDescent="0.2">
      <c r="G19035" s="7"/>
    </row>
    <row r="19036" spans="7:7" x14ac:dyDescent="0.2">
      <c r="G19036" s="7"/>
    </row>
    <row r="19037" spans="7:7" x14ac:dyDescent="0.2">
      <c r="G19037" s="7"/>
    </row>
    <row r="19038" spans="7:7" x14ac:dyDescent="0.2">
      <c r="G19038" s="7"/>
    </row>
    <row r="19039" spans="7:7" x14ac:dyDescent="0.2">
      <c r="G19039" s="7"/>
    </row>
    <row r="19040" spans="7:7" x14ac:dyDescent="0.2">
      <c r="G19040" s="7"/>
    </row>
    <row r="19041" spans="7:7" x14ac:dyDescent="0.2">
      <c r="G19041" s="7"/>
    </row>
    <row r="19042" spans="7:7" x14ac:dyDescent="0.2">
      <c r="G19042" s="7"/>
    </row>
    <row r="19043" spans="7:7" x14ac:dyDescent="0.2">
      <c r="G19043" s="7"/>
    </row>
    <row r="19044" spans="7:7" x14ac:dyDescent="0.2">
      <c r="G19044" s="7"/>
    </row>
    <row r="19045" spans="7:7" x14ac:dyDescent="0.2">
      <c r="G19045" s="7"/>
    </row>
    <row r="19046" spans="7:7" x14ac:dyDescent="0.2">
      <c r="G19046" s="7"/>
    </row>
    <row r="19047" spans="7:7" x14ac:dyDescent="0.2">
      <c r="G19047" s="7"/>
    </row>
    <row r="19048" spans="7:7" x14ac:dyDescent="0.2">
      <c r="G19048" s="7"/>
    </row>
    <row r="19049" spans="7:7" x14ac:dyDescent="0.2">
      <c r="G19049" s="7"/>
    </row>
    <row r="19050" spans="7:7" x14ac:dyDescent="0.2">
      <c r="G19050" s="7"/>
    </row>
    <row r="19051" spans="7:7" x14ac:dyDescent="0.2">
      <c r="G19051" s="7"/>
    </row>
    <row r="19052" spans="7:7" x14ac:dyDescent="0.2">
      <c r="G19052" s="7"/>
    </row>
    <row r="19053" spans="7:7" x14ac:dyDescent="0.2">
      <c r="G19053" s="7"/>
    </row>
    <row r="19054" spans="7:7" x14ac:dyDescent="0.2">
      <c r="G19054" s="7"/>
    </row>
    <row r="19055" spans="7:7" x14ac:dyDescent="0.2">
      <c r="G19055" s="7"/>
    </row>
    <row r="19056" spans="7:7" x14ac:dyDescent="0.2">
      <c r="G19056" s="7"/>
    </row>
    <row r="19057" spans="7:7" x14ac:dyDescent="0.2">
      <c r="G19057" s="7"/>
    </row>
    <row r="19058" spans="7:7" x14ac:dyDescent="0.2">
      <c r="G19058" s="7"/>
    </row>
    <row r="19059" spans="7:7" x14ac:dyDescent="0.2">
      <c r="G19059" s="7"/>
    </row>
    <row r="19060" spans="7:7" x14ac:dyDescent="0.2">
      <c r="G19060" s="7"/>
    </row>
    <row r="19061" spans="7:7" x14ac:dyDescent="0.2">
      <c r="G19061" s="7"/>
    </row>
    <row r="19062" spans="7:7" x14ac:dyDescent="0.2">
      <c r="G19062" s="7"/>
    </row>
    <row r="19063" spans="7:7" x14ac:dyDescent="0.2">
      <c r="G19063" s="7"/>
    </row>
    <row r="19064" spans="7:7" x14ac:dyDescent="0.2">
      <c r="G19064" s="7"/>
    </row>
    <row r="19065" spans="7:7" x14ac:dyDescent="0.2">
      <c r="G19065" s="7"/>
    </row>
    <row r="19066" spans="7:7" x14ac:dyDescent="0.2">
      <c r="G19066" s="7"/>
    </row>
    <row r="19067" spans="7:7" x14ac:dyDescent="0.2">
      <c r="G19067" s="7"/>
    </row>
    <row r="19068" spans="7:7" x14ac:dyDescent="0.2">
      <c r="G19068" s="7"/>
    </row>
    <row r="19069" spans="7:7" x14ac:dyDescent="0.2">
      <c r="G19069" s="7"/>
    </row>
    <row r="19070" spans="7:7" x14ac:dyDescent="0.2">
      <c r="G19070" s="7"/>
    </row>
    <row r="19071" spans="7:7" x14ac:dyDescent="0.2">
      <c r="G19071" s="7"/>
    </row>
    <row r="19072" spans="7:7" x14ac:dyDescent="0.2">
      <c r="G19072" s="7"/>
    </row>
    <row r="19073" spans="7:7" x14ac:dyDescent="0.2">
      <c r="G19073" s="7"/>
    </row>
    <row r="19074" spans="7:7" x14ac:dyDescent="0.2">
      <c r="G19074" s="7"/>
    </row>
    <row r="19075" spans="7:7" x14ac:dyDescent="0.2">
      <c r="G19075" s="7"/>
    </row>
    <row r="19076" spans="7:7" x14ac:dyDescent="0.2">
      <c r="G19076" s="7"/>
    </row>
    <row r="19077" spans="7:7" x14ac:dyDescent="0.2">
      <c r="G19077" s="7"/>
    </row>
    <row r="19078" spans="7:7" x14ac:dyDescent="0.2">
      <c r="G19078" s="7"/>
    </row>
    <row r="19079" spans="7:7" x14ac:dyDescent="0.2">
      <c r="G19079" s="7"/>
    </row>
    <row r="19080" spans="7:7" x14ac:dyDescent="0.2">
      <c r="G19080" s="7"/>
    </row>
    <row r="19081" spans="7:7" x14ac:dyDescent="0.2">
      <c r="G19081" s="7"/>
    </row>
    <row r="19082" spans="7:7" x14ac:dyDescent="0.2">
      <c r="G19082" s="7"/>
    </row>
    <row r="19083" spans="7:7" x14ac:dyDescent="0.2">
      <c r="G19083" s="7"/>
    </row>
    <row r="19084" spans="7:7" x14ac:dyDescent="0.2">
      <c r="G19084" s="7"/>
    </row>
    <row r="19085" spans="7:7" x14ac:dyDescent="0.2">
      <c r="G19085" s="7"/>
    </row>
    <row r="19086" spans="7:7" x14ac:dyDescent="0.2">
      <c r="G19086" s="7"/>
    </row>
    <row r="19087" spans="7:7" x14ac:dyDescent="0.2">
      <c r="G19087" s="7"/>
    </row>
    <row r="19088" spans="7:7" x14ac:dyDescent="0.2">
      <c r="G19088" s="7"/>
    </row>
    <row r="19089" spans="7:7" x14ac:dyDescent="0.2">
      <c r="G19089" s="7"/>
    </row>
    <row r="19090" spans="7:7" x14ac:dyDescent="0.2">
      <c r="G19090" s="7"/>
    </row>
    <row r="19091" spans="7:7" x14ac:dyDescent="0.2">
      <c r="G19091" s="7"/>
    </row>
    <row r="19092" spans="7:7" x14ac:dyDescent="0.2">
      <c r="G19092" s="7"/>
    </row>
    <row r="19093" spans="7:7" x14ac:dyDescent="0.2">
      <c r="G19093" s="7"/>
    </row>
    <row r="19094" spans="7:7" x14ac:dyDescent="0.2">
      <c r="G19094" s="7"/>
    </row>
    <row r="19095" spans="7:7" x14ac:dyDescent="0.2">
      <c r="G19095" s="7"/>
    </row>
    <row r="19096" spans="7:7" x14ac:dyDescent="0.2">
      <c r="G19096" s="7"/>
    </row>
    <row r="19097" spans="7:7" x14ac:dyDescent="0.2">
      <c r="G19097" s="7"/>
    </row>
    <row r="19098" spans="7:7" x14ac:dyDescent="0.2">
      <c r="G19098" s="7"/>
    </row>
    <row r="19099" spans="7:7" x14ac:dyDescent="0.2">
      <c r="G19099" s="7"/>
    </row>
    <row r="19100" spans="7:7" x14ac:dyDescent="0.2">
      <c r="G19100" s="7"/>
    </row>
    <row r="19101" spans="7:7" x14ac:dyDescent="0.2">
      <c r="G19101" s="7"/>
    </row>
    <row r="19102" spans="7:7" x14ac:dyDescent="0.2">
      <c r="G19102" s="7"/>
    </row>
    <row r="19103" spans="7:7" x14ac:dyDescent="0.2">
      <c r="G19103" s="7"/>
    </row>
    <row r="19104" spans="7:7" x14ac:dyDescent="0.2">
      <c r="G19104" s="7"/>
    </row>
    <row r="19105" spans="7:7" x14ac:dyDescent="0.2">
      <c r="G19105" s="7"/>
    </row>
    <row r="19106" spans="7:7" x14ac:dyDescent="0.2">
      <c r="G19106" s="7"/>
    </row>
    <row r="19107" spans="7:7" x14ac:dyDescent="0.2">
      <c r="G19107" s="7"/>
    </row>
    <row r="19108" spans="7:7" x14ac:dyDescent="0.2">
      <c r="G19108" s="7"/>
    </row>
    <row r="19109" spans="7:7" x14ac:dyDescent="0.2">
      <c r="G19109" s="7"/>
    </row>
    <row r="19110" spans="7:7" x14ac:dyDescent="0.2">
      <c r="G19110" s="7"/>
    </row>
    <row r="19111" spans="7:7" x14ac:dyDescent="0.2">
      <c r="G19111" s="7"/>
    </row>
    <row r="19112" spans="7:7" x14ac:dyDescent="0.2">
      <c r="G19112" s="7"/>
    </row>
    <row r="19113" spans="7:7" x14ac:dyDescent="0.2">
      <c r="G19113" s="7"/>
    </row>
    <row r="19114" spans="7:7" x14ac:dyDescent="0.2">
      <c r="G19114" s="7"/>
    </row>
    <row r="19115" spans="7:7" x14ac:dyDescent="0.2">
      <c r="G19115" s="7"/>
    </row>
    <row r="19116" spans="7:7" x14ac:dyDescent="0.2">
      <c r="G19116" s="7"/>
    </row>
    <row r="19117" spans="7:7" x14ac:dyDescent="0.2">
      <c r="G19117" s="7"/>
    </row>
    <row r="19118" spans="7:7" x14ac:dyDescent="0.2">
      <c r="G19118" s="7"/>
    </row>
    <row r="19119" spans="7:7" x14ac:dyDescent="0.2">
      <c r="G19119" s="7"/>
    </row>
    <row r="19120" spans="7:7" x14ac:dyDescent="0.2">
      <c r="G19120" s="7"/>
    </row>
    <row r="19121" spans="7:7" x14ac:dyDescent="0.2">
      <c r="G19121" s="7"/>
    </row>
    <row r="19122" spans="7:7" x14ac:dyDescent="0.2">
      <c r="G19122" s="7"/>
    </row>
    <row r="19123" spans="7:7" x14ac:dyDescent="0.2">
      <c r="G19123" s="7"/>
    </row>
    <row r="19124" spans="7:7" x14ac:dyDescent="0.2">
      <c r="G19124" s="7"/>
    </row>
    <row r="19125" spans="7:7" x14ac:dyDescent="0.2">
      <c r="G19125" s="7"/>
    </row>
    <row r="19126" spans="7:7" x14ac:dyDescent="0.2">
      <c r="G19126" s="7"/>
    </row>
    <row r="19127" spans="7:7" x14ac:dyDescent="0.2">
      <c r="G19127" s="7"/>
    </row>
    <row r="19128" spans="7:7" x14ac:dyDescent="0.2">
      <c r="G19128" s="7"/>
    </row>
    <row r="19129" spans="7:7" x14ac:dyDescent="0.2">
      <c r="G19129" s="7"/>
    </row>
    <row r="19130" spans="7:7" x14ac:dyDescent="0.2">
      <c r="G19130" s="7"/>
    </row>
    <row r="19131" spans="7:7" x14ac:dyDescent="0.2">
      <c r="G19131" s="7"/>
    </row>
    <row r="19132" spans="7:7" x14ac:dyDescent="0.2">
      <c r="G19132" s="7"/>
    </row>
    <row r="19133" spans="7:7" x14ac:dyDescent="0.2">
      <c r="G19133" s="7"/>
    </row>
    <row r="19134" spans="7:7" x14ac:dyDescent="0.2">
      <c r="G19134" s="7"/>
    </row>
    <row r="19135" spans="7:7" x14ac:dyDescent="0.2">
      <c r="G19135" s="7"/>
    </row>
    <row r="19136" spans="7:7" x14ac:dyDescent="0.2">
      <c r="G19136" s="7"/>
    </row>
    <row r="19137" spans="7:7" x14ac:dyDescent="0.2">
      <c r="G19137" s="7"/>
    </row>
    <row r="19138" spans="7:7" x14ac:dyDescent="0.2">
      <c r="G19138" s="7"/>
    </row>
    <row r="19139" spans="7:7" x14ac:dyDescent="0.2">
      <c r="G19139" s="7"/>
    </row>
    <row r="19140" spans="7:7" x14ac:dyDescent="0.2">
      <c r="G19140" s="7"/>
    </row>
    <row r="19141" spans="7:7" x14ac:dyDescent="0.2">
      <c r="G19141" s="7"/>
    </row>
    <row r="19142" spans="7:7" x14ac:dyDescent="0.2">
      <c r="G19142" s="7"/>
    </row>
    <row r="19143" spans="7:7" x14ac:dyDescent="0.2">
      <c r="G19143" s="7"/>
    </row>
    <row r="19144" spans="7:7" x14ac:dyDescent="0.2">
      <c r="G19144" s="7"/>
    </row>
    <row r="19145" spans="7:7" x14ac:dyDescent="0.2">
      <c r="G19145" s="7"/>
    </row>
    <row r="19146" spans="7:7" x14ac:dyDescent="0.2">
      <c r="G19146" s="7"/>
    </row>
    <row r="19147" spans="7:7" x14ac:dyDescent="0.2">
      <c r="G19147" s="7"/>
    </row>
    <row r="19148" spans="7:7" x14ac:dyDescent="0.2">
      <c r="G19148" s="7"/>
    </row>
    <row r="19149" spans="7:7" x14ac:dyDescent="0.2">
      <c r="G19149" s="7"/>
    </row>
    <row r="19150" spans="7:7" x14ac:dyDescent="0.2">
      <c r="G19150" s="7"/>
    </row>
    <row r="19151" spans="7:7" x14ac:dyDescent="0.2">
      <c r="G19151" s="7"/>
    </row>
    <row r="19152" spans="7:7" x14ac:dyDescent="0.2">
      <c r="G19152" s="7"/>
    </row>
    <row r="19153" spans="7:7" x14ac:dyDescent="0.2">
      <c r="G19153" s="7"/>
    </row>
    <row r="19154" spans="7:7" x14ac:dyDescent="0.2">
      <c r="G19154" s="7"/>
    </row>
    <row r="19155" spans="7:7" x14ac:dyDescent="0.2">
      <c r="G19155" s="7"/>
    </row>
    <row r="19156" spans="7:7" x14ac:dyDescent="0.2">
      <c r="G19156" s="7"/>
    </row>
    <row r="19157" spans="7:7" x14ac:dyDescent="0.2">
      <c r="G19157" s="7"/>
    </row>
    <row r="19158" spans="7:7" x14ac:dyDescent="0.2">
      <c r="G19158" s="7"/>
    </row>
    <row r="19159" spans="7:7" x14ac:dyDescent="0.2">
      <c r="G19159" s="7"/>
    </row>
    <row r="19160" spans="7:7" x14ac:dyDescent="0.2">
      <c r="G19160" s="7"/>
    </row>
    <row r="19161" spans="7:7" x14ac:dyDescent="0.2">
      <c r="G19161" s="7"/>
    </row>
    <row r="19162" spans="7:7" x14ac:dyDescent="0.2">
      <c r="G19162" s="7"/>
    </row>
    <row r="19163" spans="7:7" x14ac:dyDescent="0.2">
      <c r="G19163" s="7"/>
    </row>
    <row r="19164" spans="7:7" x14ac:dyDescent="0.2">
      <c r="G19164" s="7"/>
    </row>
    <row r="19165" spans="7:7" x14ac:dyDescent="0.2">
      <c r="G19165" s="7"/>
    </row>
    <row r="19166" spans="7:7" x14ac:dyDescent="0.2">
      <c r="G19166" s="7"/>
    </row>
    <row r="19167" spans="7:7" x14ac:dyDescent="0.2">
      <c r="G19167" s="7"/>
    </row>
    <row r="19168" spans="7:7" x14ac:dyDescent="0.2">
      <c r="G19168" s="7"/>
    </row>
    <row r="19169" spans="7:7" x14ac:dyDescent="0.2">
      <c r="G19169" s="7"/>
    </row>
    <row r="19170" spans="7:7" x14ac:dyDescent="0.2">
      <c r="G19170" s="7"/>
    </row>
    <row r="19171" spans="7:7" x14ac:dyDescent="0.2">
      <c r="G19171" s="7"/>
    </row>
    <row r="19172" spans="7:7" x14ac:dyDescent="0.2">
      <c r="G19172" s="7"/>
    </row>
    <row r="19173" spans="7:7" x14ac:dyDescent="0.2">
      <c r="G19173" s="7"/>
    </row>
    <row r="19174" spans="7:7" x14ac:dyDescent="0.2">
      <c r="G19174" s="7"/>
    </row>
    <row r="19175" spans="7:7" x14ac:dyDescent="0.2">
      <c r="G19175" s="7"/>
    </row>
    <row r="19176" spans="7:7" x14ac:dyDescent="0.2">
      <c r="G19176" s="7"/>
    </row>
    <row r="19177" spans="7:7" x14ac:dyDescent="0.2">
      <c r="G19177" s="7"/>
    </row>
    <row r="19178" spans="7:7" x14ac:dyDescent="0.2">
      <c r="G19178" s="7"/>
    </row>
    <row r="19179" spans="7:7" x14ac:dyDescent="0.2">
      <c r="G19179" s="7"/>
    </row>
    <row r="19180" spans="7:7" x14ac:dyDescent="0.2">
      <c r="G19180" s="7"/>
    </row>
    <row r="19181" spans="7:7" x14ac:dyDescent="0.2">
      <c r="G19181" s="7"/>
    </row>
    <row r="19182" spans="7:7" x14ac:dyDescent="0.2">
      <c r="G19182" s="7"/>
    </row>
    <row r="19183" spans="7:7" x14ac:dyDescent="0.2">
      <c r="G19183" s="7"/>
    </row>
    <row r="19184" spans="7:7" x14ac:dyDescent="0.2">
      <c r="G19184" s="7"/>
    </row>
    <row r="19185" spans="7:7" x14ac:dyDescent="0.2">
      <c r="G19185" s="7"/>
    </row>
    <row r="19186" spans="7:7" x14ac:dyDescent="0.2">
      <c r="G19186" s="7"/>
    </row>
    <row r="19187" spans="7:7" x14ac:dyDescent="0.2">
      <c r="G19187" s="7"/>
    </row>
    <row r="19188" spans="7:7" x14ac:dyDescent="0.2">
      <c r="G19188" s="7"/>
    </row>
    <row r="19189" spans="7:7" x14ac:dyDescent="0.2">
      <c r="G19189" s="7"/>
    </row>
    <row r="19190" spans="7:7" x14ac:dyDescent="0.2">
      <c r="G19190" s="7"/>
    </row>
    <row r="19191" spans="7:7" x14ac:dyDescent="0.2">
      <c r="G19191" s="7"/>
    </row>
    <row r="19192" spans="7:7" x14ac:dyDescent="0.2">
      <c r="G19192" s="7"/>
    </row>
    <row r="19193" spans="7:7" x14ac:dyDescent="0.2">
      <c r="G19193" s="7"/>
    </row>
    <row r="19194" spans="7:7" x14ac:dyDescent="0.2">
      <c r="G19194" s="7"/>
    </row>
    <row r="19195" spans="7:7" x14ac:dyDescent="0.2">
      <c r="G19195" s="7"/>
    </row>
    <row r="19196" spans="7:7" x14ac:dyDescent="0.2">
      <c r="G19196" s="7"/>
    </row>
    <row r="19197" spans="7:7" x14ac:dyDescent="0.2">
      <c r="G19197" s="7"/>
    </row>
    <row r="19198" spans="7:7" x14ac:dyDescent="0.2">
      <c r="G19198" s="7"/>
    </row>
    <row r="19199" spans="7:7" x14ac:dyDescent="0.2">
      <c r="G19199" s="7"/>
    </row>
    <row r="19200" spans="7:7" x14ac:dyDescent="0.2">
      <c r="G19200" s="7"/>
    </row>
    <row r="19201" spans="7:7" x14ac:dyDescent="0.2">
      <c r="G19201" s="7"/>
    </row>
    <row r="19202" spans="7:7" x14ac:dyDescent="0.2">
      <c r="G19202" s="7"/>
    </row>
    <row r="19203" spans="7:7" x14ac:dyDescent="0.2">
      <c r="G19203" s="7"/>
    </row>
    <row r="19204" spans="7:7" x14ac:dyDescent="0.2">
      <c r="G19204" s="7"/>
    </row>
    <row r="19205" spans="7:7" x14ac:dyDescent="0.2">
      <c r="G19205" s="7"/>
    </row>
    <row r="19206" spans="7:7" x14ac:dyDescent="0.2">
      <c r="G19206" s="7"/>
    </row>
    <row r="19207" spans="7:7" x14ac:dyDescent="0.2">
      <c r="G19207" s="7"/>
    </row>
    <row r="19208" spans="7:7" x14ac:dyDescent="0.2">
      <c r="G19208" s="7"/>
    </row>
    <row r="19209" spans="7:7" x14ac:dyDescent="0.2">
      <c r="G19209" s="7"/>
    </row>
    <row r="19210" spans="7:7" x14ac:dyDescent="0.2">
      <c r="G19210" s="7"/>
    </row>
    <row r="19211" spans="7:7" x14ac:dyDescent="0.2">
      <c r="G19211" s="7"/>
    </row>
    <row r="19212" spans="7:7" x14ac:dyDescent="0.2">
      <c r="G19212" s="7"/>
    </row>
    <row r="19213" spans="7:7" x14ac:dyDescent="0.2">
      <c r="G19213" s="7"/>
    </row>
    <row r="19214" spans="7:7" x14ac:dyDescent="0.2">
      <c r="G19214" s="7"/>
    </row>
    <row r="19215" spans="7:7" x14ac:dyDescent="0.2">
      <c r="G19215" s="7"/>
    </row>
    <row r="19216" spans="7:7" x14ac:dyDescent="0.2">
      <c r="G19216" s="7"/>
    </row>
    <row r="19217" spans="7:7" x14ac:dyDescent="0.2">
      <c r="G19217" s="7"/>
    </row>
    <row r="19218" spans="7:7" x14ac:dyDescent="0.2">
      <c r="G19218" s="7"/>
    </row>
    <row r="19219" spans="7:7" x14ac:dyDescent="0.2">
      <c r="G19219" s="7"/>
    </row>
    <row r="19220" spans="7:7" x14ac:dyDescent="0.2">
      <c r="G19220" s="7"/>
    </row>
    <row r="19221" spans="7:7" x14ac:dyDescent="0.2">
      <c r="G19221" s="7"/>
    </row>
    <row r="19222" spans="7:7" x14ac:dyDescent="0.2">
      <c r="G19222" s="7"/>
    </row>
    <row r="19223" spans="7:7" x14ac:dyDescent="0.2">
      <c r="G19223" s="7"/>
    </row>
    <row r="19224" spans="7:7" x14ac:dyDescent="0.2">
      <c r="G19224" s="7"/>
    </row>
    <row r="19225" spans="7:7" x14ac:dyDescent="0.2">
      <c r="G19225" s="7"/>
    </row>
    <row r="19226" spans="7:7" x14ac:dyDescent="0.2">
      <c r="G19226" s="7"/>
    </row>
    <row r="19227" spans="7:7" x14ac:dyDescent="0.2">
      <c r="G19227" s="7"/>
    </row>
    <row r="19228" spans="7:7" x14ac:dyDescent="0.2">
      <c r="G19228" s="7"/>
    </row>
    <row r="19229" spans="7:7" x14ac:dyDescent="0.2">
      <c r="G19229" s="7"/>
    </row>
    <row r="19230" spans="7:7" x14ac:dyDescent="0.2">
      <c r="G19230" s="7"/>
    </row>
    <row r="19231" spans="7:7" x14ac:dyDescent="0.2">
      <c r="G19231" s="7"/>
    </row>
    <row r="19232" spans="7:7" x14ac:dyDescent="0.2">
      <c r="G19232" s="7"/>
    </row>
    <row r="19233" spans="7:7" x14ac:dyDescent="0.2">
      <c r="G19233" s="7"/>
    </row>
    <row r="19234" spans="7:7" x14ac:dyDescent="0.2">
      <c r="G19234" s="7"/>
    </row>
    <row r="19235" spans="7:7" x14ac:dyDescent="0.2">
      <c r="G19235" s="7"/>
    </row>
    <row r="19236" spans="7:7" x14ac:dyDescent="0.2">
      <c r="G19236" s="7"/>
    </row>
    <row r="19237" spans="7:7" x14ac:dyDescent="0.2">
      <c r="G19237" s="7"/>
    </row>
    <row r="19238" spans="7:7" x14ac:dyDescent="0.2">
      <c r="G19238" s="7"/>
    </row>
    <row r="19239" spans="7:7" x14ac:dyDescent="0.2">
      <c r="G19239" s="7"/>
    </row>
    <row r="19240" spans="7:7" x14ac:dyDescent="0.2">
      <c r="G19240" s="7"/>
    </row>
    <row r="19241" spans="7:7" x14ac:dyDescent="0.2">
      <c r="G19241" s="7"/>
    </row>
    <row r="19242" spans="7:7" x14ac:dyDescent="0.2">
      <c r="G19242" s="7"/>
    </row>
    <row r="19243" spans="7:7" x14ac:dyDescent="0.2">
      <c r="G19243" s="7"/>
    </row>
    <row r="19244" spans="7:7" x14ac:dyDescent="0.2">
      <c r="G19244" s="7"/>
    </row>
    <row r="19245" spans="7:7" x14ac:dyDescent="0.2">
      <c r="G19245" s="7"/>
    </row>
    <row r="19246" spans="7:7" x14ac:dyDescent="0.2">
      <c r="G19246" s="7"/>
    </row>
    <row r="19247" spans="7:7" x14ac:dyDescent="0.2">
      <c r="G19247" s="7"/>
    </row>
    <row r="19248" spans="7:7" x14ac:dyDescent="0.2">
      <c r="G19248" s="7"/>
    </row>
    <row r="19249" spans="7:7" x14ac:dyDescent="0.2">
      <c r="G19249" s="7"/>
    </row>
    <row r="19250" spans="7:7" x14ac:dyDescent="0.2">
      <c r="G19250" s="7"/>
    </row>
    <row r="19251" spans="7:7" x14ac:dyDescent="0.2">
      <c r="G19251" s="7"/>
    </row>
    <row r="19252" spans="7:7" x14ac:dyDescent="0.2">
      <c r="G19252" s="7"/>
    </row>
    <row r="19253" spans="7:7" x14ac:dyDescent="0.2">
      <c r="G19253" s="7"/>
    </row>
    <row r="19254" spans="7:7" x14ac:dyDescent="0.2">
      <c r="G19254" s="7"/>
    </row>
    <row r="19255" spans="7:7" x14ac:dyDescent="0.2">
      <c r="G19255" s="7"/>
    </row>
    <row r="19256" spans="7:7" x14ac:dyDescent="0.2">
      <c r="G19256" s="7"/>
    </row>
    <row r="19257" spans="7:7" x14ac:dyDescent="0.2">
      <c r="G19257" s="7"/>
    </row>
    <row r="19258" spans="7:7" x14ac:dyDescent="0.2">
      <c r="G19258" s="7"/>
    </row>
    <row r="19259" spans="7:7" x14ac:dyDescent="0.2">
      <c r="G19259" s="7"/>
    </row>
    <row r="19260" spans="7:7" x14ac:dyDescent="0.2">
      <c r="G19260" s="7"/>
    </row>
    <row r="19261" spans="7:7" x14ac:dyDescent="0.2">
      <c r="G19261" s="7"/>
    </row>
    <row r="19262" spans="7:7" x14ac:dyDescent="0.2">
      <c r="G19262" s="7"/>
    </row>
    <row r="19263" spans="7:7" x14ac:dyDescent="0.2">
      <c r="G19263" s="7"/>
    </row>
    <row r="19264" spans="7:7" x14ac:dyDescent="0.2">
      <c r="G19264" s="7"/>
    </row>
    <row r="19265" spans="7:7" x14ac:dyDescent="0.2">
      <c r="G19265" s="7"/>
    </row>
    <row r="19266" spans="7:7" x14ac:dyDescent="0.2">
      <c r="G19266" s="7"/>
    </row>
    <row r="19267" spans="7:7" x14ac:dyDescent="0.2">
      <c r="G19267" s="7"/>
    </row>
    <row r="19268" spans="7:7" x14ac:dyDescent="0.2">
      <c r="G19268" s="7"/>
    </row>
    <row r="19269" spans="7:7" x14ac:dyDescent="0.2">
      <c r="G19269" s="7"/>
    </row>
    <row r="19270" spans="7:7" x14ac:dyDescent="0.2">
      <c r="G19270" s="7"/>
    </row>
    <row r="19271" spans="7:7" x14ac:dyDescent="0.2">
      <c r="G19271" s="7"/>
    </row>
    <row r="19272" spans="7:7" x14ac:dyDescent="0.2">
      <c r="G19272" s="7"/>
    </row>
    <row r="19273" spans="7:7" x14ac:dyDescent="0.2">
      <c r="G19273" s="7"/>
    </row>
    <row r="19274" spans="7:7" x14ac:dyDescent="0.2">
      <c r="G19274" s="7"/>
    </row>
    <row r="19275" spans="7:7" x14ac:dyDescent="0.2">
      <c r="G19275" s="7"/>
    </row>
    <row r="19276" spans="7:7" x14ac:dyDescent="0.2">
      <c r="G19276" s="7"/>
    </row>
    <row r="19277" spans="7:7" x14ac:dyDescent="0.2">
      <c r="G19277" s="7"/>
    </row>
    <row r="19278" spans="7:7" x14ac:dyDescent="0.2">
      <c r="G19278" s="7"/>
    </row>
    <row r="19279" spans="7:7" x14ac:dyDescent="0.2">
      <c r="G19279" s="7"/>
    </row>
    <row r="19280" spans="7:7" x14ac:dyDescent="0.2">
      <c r="G19280" s="7"/>
    </row>
    <row r="19281" spans="7:7" x14ac:dyDescent="0.2">
      <c r="G19281" s="7"/>
    </row>
    <row r="19282" spans="7:7" x14ac:dyDescent="0.2">
      <c r="G19282" s="7"/>
    </row>
    <row r="19283" spans="7:7" x14ac:dyDescent="0.2">
      <c r="G19283" s="7"/>
    </row>
    <row r="19284" spans="7:7" x14ac:dyDescent="0.2">
      <c r="G19284" s="7"/>
    </row>
    <row r="19285" spans="7:7" x14ac:dyDescent="0.2">
      <c r="G19285" s="7"/>
    </row>
    <row r="19286" spans="7:7" x14ac:dyDescent="0.2">
      <c r="G19286" s="7"/>
    </row>
    <row r="19287" spans="7:7" x14ac:dyDescent="0.2">
      <c r="G19287" s="7"/>
    </row>
    <row r="19288" spans="7:7" x14ac:dyDescent="0.2">
      <c r="G19288" s="7"/>
    </row>
    <row r="19289" spans="7:7" x14ac:dyDescent="0.2">
      <c r="G19289" s="7"/>
    </row>
    <row r="19290" spans="7:7" x14ac:dyDescent="0.2">
      <c r="G19290" s="7"/>
    </row>
    <row r="19291" spans="7:7" x14ac:dyDescent="0.2">
      <c r="G19291" s="7"/>
    </row>
    <row r="19292" spans="7:7" x14ac:dyDescent="0.2">
      <c r="G19292" s="7"/>
    </row>
    <row r="19293" spans="7:7" x14ac:dyDescent="0.2">
      <c r="G19293" s="7"/>
    </row>
    <row r="19294" spans="7:7" x14ac:dyDescent="0.2">
      <c r="G19294" s="7"/>
    </row>
    <row r="19295" spans="7:7" x14ac:dyDescent="0.2">
      <c r="G19295" s="7"/>
    </row>
    <row r="19296" spans="7:7" x14ac:dyDescent="0.2">
      <c r="G19296" s="7"/>
    </row>
    <row r="19297" spans="7:7" x14ac:dyDescent="0.2">
      <c r="G19297" s="7"/>
    </row>
    <row r="19298" spans="7:7" x14ac:dyDescent="0.2">
      <c r="G19298" s="7"/>
    </row>
    <row r="19299" spans="7:7" x14ac:dyDescent="0.2">
      <c r="G19299" s="7"/>
    </row>
    <row r="19300" spans="7:7" x14ac:dyDescent="0.2">
      <c r="G19300" s="7"/>
    </row>
    <row r="19301" spans="7:7" x14ac:dyDescent="0.2">
      <c r="G19301" s="7"/>
    </row>
    <row r="19302" spans="7:7" x14ac:dyDescent="0.2">
      <c r="G19302" s="7"/>
    </row>
    <row r="19303" spans="7:7" x14ac:dyDescent="0.2">
      <c r="G19303" s="7"/>
    </row>
    <row r="19304" spans="7:7" x14ac:dyDescent="0.2">
      <c r="G19304" s="7"/>
    </row>
    <row r="19305" spans="7:7" x14ac:dyDescent="0.2">
      <c r="G19305" s="7"/>
    </row>
    <row r="19306" spans="7:7" x14ac:dyDescent="0.2">
      <c r="G19306" s="7"/>
    </row>
    <row r="19307" spans="7:7" x14ac:dyDescent="0.2">
      <c r="G19307" s="7"/>
    </row>
    <row r="19308" spans="7:7" x14ac:dyDescent="0.2">
      <c r="G19308" s="7"/>
    </row>
    <row r="19309" spans="7:7" x14ac:dyDescent="0.2">
      <c r="G19309" s="7"/>
    </row>
    <row r="19310" spans="7:7" x14ac:dyDescent="0.2">
      <c r="G19310" s="7"/>
    </row>
    <row r="19311" spans="7:7" x14ac:dyDescent="0.2">
      <c r="G19311" s="7"/>
    </row>
    <row r="19312" spans="7:7" x14ac:dyDescent="0.2">
      <c r="G19312" s="7"/>
    </row>
    <row r="19313" spans="7:7" x14ac:dyDescent="0.2">
      <c r="G19313" s="7"/>
    </row>
    <row r="19314" spans="7:7" x14ac:dyDescent="0.2">
      <c r="G19314" s="7"/>
    </row>
    <row r="19315" spans="7:7" x14ac:dyDescent="0.2">
      <c r="G19315" s="7"/>
    </row>
    <row r="19316" spans="7:7" x14ac:dyDescent="0.2">
      <c r="G19316" s="7"/>
    </row>
    <row r="19317" spans="7:7" x14ac:dyDescent="0.2">
      <c r="G19317" s="7"/>
    </row>
    <row r="19318" spans="7:7" x14ac:dyDescent="0.2">
      <c r="G19318" s="7"/>
    </row>
    <row r="19319" spans="7:7" x14ac:dyDescent="0.2">
      <c r="G19319" s="7"/>
    </row>
    <row r="19320" spans="7:7" x14ac:dyDescent="0.2">
      <c r="G19320" s="7"/>
    </row>
    <row r="19321" spans="7:7" x14ac:dyDescent="0.2">
      <c r="G19321" s="7"/>
    </row>
    <row r="19322" spans="7:7" x14ac:dyDescent="0.2">
      <c r="G19322" s="7"/>
    </row>
    <row r="19323" spans="7:7" x14ac:dyDescent="0.2">
      <c r="G19323" s="7"/>
    </row>
    <row r="19324" spans="7:7" x14ac:dyDescent="0.2">
      <c r="G19324" s="7"/>
    </row>
    <row r="19325" spans="7:7" x14ac:dyDescent="0.2">
      <c r="G19325" s="7"/>
    </row>
    <row r="19326" spans="7:7" x14ac:dyDescent="0.2">
      <c r="G19326" s="7"/>
    </row>
    <row r="19327" spans="7:7" x14ac:dyDescent="0.2">
      <c r="G19327" s="7"/>
    </row>
    <row r="19328" spans="7:7" x14ac:dyDescent="0.2">
      <c r="G19328" s="7"/>
    </row>
    <row r="19329" spans="7:7" x14ac:dyDescent="0.2">
      <c r="G19329" s="7"/>
    </row>
    <row r="19330" spans="7:7" x14ac:dyDescent="0.2">
      <c r="G19330" s="7"/>
    </row>
    <row r="19331" spans="7:7" x14ac:dyDescent="0.2">
      <c r="G19331" s="7"/>
    </row>
    <row r="19332" spans="7:7" x14ac:dyDescent="0.2">
      <c r="G19332" s="7"/>
    </row>
    <row r="19333" spans="7:7" x14ac:dyDescent="0.2">
      <c r="G19333" s="7"/>
    </row>
    <row r="19334" spans="7:7" x14ac:dyDescent="0.2">
      <c r="G19334" s="7"/>
    </row>
    <row r="19335" spans="7:7" x14ac:dyDescent="0.2">
      <c r="G19335" s="7"/>
    </row>
    <row r="19336" spans="7:7" x14ac:dyDescent="0.2">
      <c r="G19336" s="7"/>
    </row>
    <row r="19337" spans="7:7" x14ac:dyDescent="0.2">
      <c r="G19337" s="7"/>
    </row>
    <row r="19338" spans="7:7" x14ac:dyDescent="0.2">
      <c r="G19338" s="7"/>
    </row>
    <row r="19339" spans="7:7" x14ac:dyDescent="0.2">
      <c r="G19339" s="7"/>
    </row>
    <row r="19340" spans="7:7" x14ac:dyDescent="0.2">
      <c r="G19340" s="7"/>
    </row>
    <row r="19341" spans="7:7" x14ac:dyDescent="0.2">
      <c r="G19341" s="7"/>
    </row>
    <row r="19342" spans="7:7" x14ac:dyDescent="0.2">
      <c r="G19342" s="7"/>
    </row>
    <row r="19343" spans="7:7" x14ac:dyDescent="0.2">
      <c r="G19343" s="7"/>
    </row>
    <row r="19344" spans="7:7" x14ac:dyDescent="0.2">
      <c r="G19344" s="7"/>
    </row>
    <row r="19345" spans="7:7" x14ac:dyDescent="0.2">
      <c r="G19345" s="7"/>
    </row>
    <row r="19346" spans="7:7" x14ac:dyDescent="0.2">
      <c r="G19346" s="7"/>
    </row>
    <row r="19347" spans="7:7" x14ac:dyDescent="0.2">
      <c r="G19347" s="7"/>
    </row>
    <row r="19348" spans="7:7" x14ac:dyDescent="0.2">
      <c r="G19348" s="7"/>
    </row>
    <row r="19349" spans="7:7" x14ac:dyDescent="0.2">
      <c r="G19349" s="7"/>
    </row>
    <row r="19350" spans="7:7" x14ac:dyDescent="0.2">
      <c r="G19350" s="7"/>
    </row>
    <row r="19351" spans="7:7" x14ac:dyDescent="0.2">
      <c r="G19351" s="7"/>
    </row>
    <row r="19352" spans="7:7" x14ac:dyDescent="0.2">
      <c r="G19352" s="7"/>
    </row>
    <row r="19353" spans="7:7" x14ac:dyDescent="0.2">
      <c r="G19353" s="7"/>
    </row>
    <row r="19354" spans="7:7" x14ac:dyDescent="0.2">
      <c r="G19354" s="7"/>
    </row>
    <row r="19355" spans="7:7" x14ac:dyDescent="0.2">
      <c r="G19355" s="7"/>
    </row>
    <row r="19356" spans="7:7" x14ac:dyDescent="0.2">
      <c r="G19356" s="7"/>
    </row>
    <row r="19357" spans="7:7" x14ac:dyDescent="0.2">
      <c r="G19357" s="7"/>
    </row>
    <row r="19358" spans="7:7" x14ac:dyDescent="0.2">
      <c r="G19358" s="7"/>
    </row>
    <row r="19359" spans="7:7" x14ac:dyDescent="0.2">
      <c r="G19359" s="7"/>
    </row>
    <row r="19360" spans="7:7" x14ac:dyDescent="0.2">
      <c r="G19360" s="7"/>
    </row>
    <row r="19361" spans="7:7" x14ac:dyDescent="0.2">
      <c r="G19361" s="7"/>
    </row>
    <row r="19362" spans="7:7" x14ac:dyDescent="0.2">
      <c r="G19362" s="7"/>
    </row>
    <row r="19363" spans="7:7" x14ac:dyDescent="0.2">
      <c r="G19363" s="7"/>
    </row>
    <row r="19364" spans="7:7" x14ac:dyDescent="0.2">
      <c r="G19364" s="7"/>
    </row>
    <row r="19365" spans="7:7" x14ac:dyDescent="0.2">
      <c r="G19365" s="7"/>
    </row>
    <row r="19366" spans="7:7" x14ac:dyDescent="0.2">
      <c r="G19366" s="7"/>
    </row>
    <row r="19367" spans="7:7" x14ac:dyDescent="0.2">
      <c r="G19367" s="7"/>
    </row>
    <row r="19368" spans="7:7" x14ac:dyDescent="0.2">
      <c r="G19368" s="7"/>
    </row>
    <row r="19369" spans="7:7" x14ac:dyDescent="0.2">
      <c r="G19369" s="7"/>
    </row>
    <row r="19370" spans="7:7" x14ac:dyDescent="0.2">
      <c r="G19370" s="7"/>
    </row>
    <row r="19371" spans="7:7" x14ac:dyDescent="0.2">
      <c r="G19371" s="7"/>
    </row>
    <row r="19372" spans="7:7" x14ac:dyDescent="0.2">
      <c r="G19372" s="7"/>
    </row>
    <row r="19373" spans="7:7" x14ac:dyDescent="0.2">
      <c r="G19373" s="7"/>
    </row>
    <row r="19374" spans="7:7" x14ac:dyDescent="0.2">
      <c r="G19374" s="7"/>
    </row>
    <row r="19375" spans="7:7" x14ac:dyDescent="0.2">
      <c r="G19375" s="7"/>
    </row>
    <row r="19376" spans="7:7" x14ac:dyDescent="0.2">
      <c r="G19376" s="7"/>
    </row>
    <row r="19377" spans="7:7" x14ac:dyDescent="0.2">
      <c r="G19377" s="7"/>
    </row>
    <row r="19378" spans="7:7" x14ac:dyDescent="0.2">
      <c r="G19378" s="7"/>
    </row>
    <row r="19379" spans="7:7" x14ac:dyDescent="0.2">
      <c r="G19379" s="7"/>
    </row>
    <row r="19380" spans="7:7" x14ac:dyDescent="0.2">
      <c r="G19380" s="7"/>
    </row>
    <row r="19381" spans="7:7" x14ac:dyDescent="0.2">
      <c r="G19381" s="7"/>
    </row>
    <row r="19382" spans="7:7" x14ac:dyDescent="0.2">
      <c r="G19382" s="7"/>
    </row>
    <row r="19383" spans="7:7" x14ac:dyDescent="0.2">
      <c r="G19383" s="7"/>
    </row>
    <row r="19384" spans="7:7" x14ac:dyDescent="0.2">
      <c r="G19384" s="7"/>
    </row>
    <row r="19385" spans="7:7" x14ac:dyDescent="0.2">
      <c r="G19385" s="7"/>
    </row>
    <row r="19386" spans="7:7" x14ac:dyDescent="0.2">
      <c r="G19386" s="7"/>
    </row>
    <row r="19387" spans="7:7" x14ac:dyDescent="0.2">
      <c r="G19387" s="7"/>
    </row>
    <row r="19388" spans="7:7" x14ac:dyDescent="0.2">
      <c r="G19388" s="7"/>
    </row>
    <row r="19389" spans="7:7" x14ac:dyDescent="0.2">
      <c r="G19389" s="7"/>
    </row>
    <row r="19390" spans="7:7" x14ac:dyDescent="0.2">
      <c r="G19390" s="7"/>
    </row>
    <row r="19391" spans="7:7" x14ac:dyDescent="0.2">
      <c r="G19391" s="7"/>
    </row>
    <row r="19392" spans="7:7" x14ac:dyDescent="0.2">
      <c r="G19392" s="7"/>
    </row>
    <row r="19393" spans="7:7" x14ac:dyDescent="0.2">
      <c r="G19393" s="7"/>
    </row>
    <row r="19394" spans="7:7" x14ac:dyDescent="0.2">
      <c r="G19394" s="7"/>
    </row>
    <row r="19395" spans="7:7" x14ac:dyDescent="0.2">
      <c r="G19395" s="7"/>
    </row>
    <row r="19396" spans="7:7" x14ac:dyDescent="0.2">
      <c r="G19396" s="7"/>
    </row>
    <row r="19397" spans="7:7" x14ac:dyDescent="0.2">
      <c r="G19397" s="7"/>
    </row>
    <row r="19398" spans="7:7" x14ac:dyDescent="0.2">
      <c r="G19398" s="7"/>
    </row>
    <row r="19399" spans="7:7" x14ac:dyDescent="0.2">
      <c r="G19399" s="7"/>
    </row>
    <row r="19400" spans="7:7" x14ac:dyDescent="0.2">
      <c r="G19400" s="7"/>
    </row>
    <row r="19401" spans="7:7" x14ac:dyDescent="0.2">
      <c r="G19401" s="7"/>
    </row>
    <row r="19402" spans="7:7" x14ac:dyDescent="0.2">
      <c r="G19402" s="7"/>
    </row>
    <row r="19403" spans="7:7" x14ac:dyDescent="0.2">
      <c r="G19403" s="7"/>
    </row>
    <row r="19404" spans="7:7" x14ac:dyDescent="0.2">
      <c r="G19404" s="7"/>
    </row>
    <row r="19405" spans="7:7" x14ac:dyDescent="0.2">
      <c r="G19405" s="7"/>
    </row>
    <row r="19406" spans="7:7" x14ac:dyDescent="0.2">
      <c r="G19406" s="7"/>
    </row>
    <row r="19407" spans="7:7" x14ac:dyDescent="0.2">
      <c r="G19407" s="7"/>
    </row>
    <row r="19408" spans="7:7" x14ac:dyDescent="0.2">
      <c r="G19408" s="7"/>
    </row>
    <row r="19409" spans="7:7" x14ac:dyDescent="0.2">
      <c r="G19409" s="7"/>
    </row>
    <row r="19410" spans="7:7" x14ac:dyDescent="0.2">
      <c r="G19410" s="7"/>
    </row>
    <row r="19411" spans="7:7" x14ac:dyDescent="0.2">
      <c r="G19411" s="7"/>
    </row>
    <row r="19412" spans="7:7" x14ac:dyDescent="0.2">
      <c r="G19412" s="7"/>
    </row>
    <row r="19413" spans="7:7" x14ac:dyDescent="0.2">
      <c r="G19413" s="7"/>
    </row>
    <row r="19414" spans="7:7" x14ac:dyDescent="0.2">
      <c r="G19414" s="7"/>
    </row>
    <row r="19415" spans="7:7" x14ac:dyDescent="0.2">
      <c r="G19415" s="7"/>
    </row>
    <row r="19416" spans="7:7" x14ac:dyDescent="0.2">
      <c r="G19416" s="7"/>
    </row>
    <row r="19417" spans="7:7" x14ac:dyDescent="0.2">
      <c r="G19417" s="7"/>
    </row>
    <row r="19418" spans="7:7" x14ac:dyDescent="0.2">
      <c r="G19418" s="7"/>
    </row>
    <row r="19419" spans="7:7" x14ac:dyDescent="0.2">
      <c r="G19419" s="7"/>
    </row>
    <row r="19420" spans="7:7" x14ac:dyDescent="0.2">
      <c r="G19420" s="7"/>
    </row>
    <row r="19421" spans="7:7" x14ac:dyDescent="0.2">
      <c r="G19421" s="7"/>
    </row>
    <row r="19422" spans="7:7" x14ac:dyDescent="0.2">
      <c r="G19422" s="7"/>
    </row>
    <row r="19423" spans="7:7" x14ac:dyDescent="0.2">
      <c r="G19423" s="7"/>
    </row>
    <row r="19424" spans="7:7" x14ac:dyDescent="0.2">
      <c r="G19424" s="7"/>
    </row>
    <row r="19425" spans="7:7" x14ac:dyDescent="0.2">
      <c r="G19425" s="7"/>
    </row>
    <row r="19426" spans="7:7" x14ac:dyDescent="0.2">
      <c r="G19426" s="7"/>
    </row>
    <row r="19427" spans="7:7" x14ac:dyDescent="0.2">
      <c r="G19427" s="7"/>
    </row>
    <row r="19428" spans="7:7" x14ac:dyDescent="0.2">
      <c r="G19428" s="7"/>
    </row>
    <row r="19429" spans="7:7" x14ac:dyDescent="0.2">
      <c r="G19429" s="7"/>
    </row>
    <row r="19430" spans="7:7" x14ac:dyDescent="0.2">
      <c r="G19430" s="7"/>
    </row>
    <row r="19431" spans="7:7" x14ac:dyDescent="0.2">
      <c r="G19431" s="7"/>
    </row>
    <row r="19432" spans="7:7" x14ac:dyDescent="0.2">
      <c r="G19432" s="7"/>
    </row>
    <row r="19433" spans="7:7" x14ac:dyDescent="0.2">
      <c r="G19433" s="7"/>
    </row>
    <row r="19434" spans="7:7" x14ac:dyDescent="0.2">
      <c r="G19434" s="7"/>
    </row>
    <row r="19435" spans="7:7" x14ac:dyDescent="0.2">
      <c r="G19435" s="7"/>
    </row>
    <row r="19436" spans="7:7" x14ac:dyDescent="0.2">
      <c r="G19436" s="7"/>
    </row>
    <row r="19437" spans="7:7" x14ac:dyDescent="0.2">
      <c r="G19437" s="7"/>
    </row>
    <row r="19438" spans="7:7" x14ac:dyDescent="0.2">
      <c r="G19438" s="7"/>
    </row>
    <row r="19439" spans="7:7" x14ac:dyDescent="0.2">
      <c r="G19439" s="7"/>
    </row>
    <row r="19440" spans="7:7" x14ac:dyDescent="0.2">
      <c r="G19440" s="7"/>
    </row>
    <row r="19441" spans="7:7" x14ac:dyDescent="0.2">
      <c r="G19441" s="7"/>
    </row>
    <row r="19442" spans="7:7" x14ac:dyDescent="0.2">
      <c r="G19442" s="7"/>
    </row>
    <row r="19443" spans="7:7" x14ac:dyDescent="0.2">
      <c r="G19443" s="7"/>
    </row>
    <row r="19444" spans="7:7" x14ac:dyDescent="0.2">
      <c r="G19444" s="7"/>
    </row>
    <row r="19445" spans="7:7" x14ac:dyDescent="0.2">
      <c r="G19445" s="7"/>
    </row>
    <row r="19446" spans="7:7" x14ac:dyDescent="0.2">
      <c r="G19446" s="7"/>
    </row>
    <row r="19447" spans="7:7" x14ac:dyDescent="0.2">
      <c r="G19447" s="7"/>
    </row>
    <row r="19448" spans="7:7" x14ac:dyDescent="0.2">
      <c r="G19448" s="7"/>
    </row>
    <row r="19449" spans="7:7" x14ac:dyDescent="0.2">
      <c r="G19449" s="7"/>
    </row>
    <row r="19450" spans="7:7" x14ac:dyDescent="0.2">
      <c r="G19450" s="7"/>
    </row>
    <row r="19451" spans="7:7" x14ac:dyDescent="0.2">
      <c r="G19451" s="7"/>
    </row>
    <row r="19452" spans="7:7" x14ac:dyDescent="0.2">
      <c r="G19452" s="7"/>
    </row>
    <row r="19453" spans="7:7" x14ac:dyDescent="0.2">
      <c r="G19453" s="7"/>
    </row>
    <row r="19454" spans="7:7" x14ac:dyDescent="0.2">
      <c r="G19454" s="7"/>
    </row>
    <row r="19455" spans="7:7" x14ac:dyDescent="0.2">
      <c r="G19455" s="7"/>
    </row>
    <row r="19456" spans="7:7" x14ac:dyDescent="0.2">
      <c r="G19456" s="7"/>
    </row>
    <row r="19457" spans="7:7" x14ac:dyDescent="0.2">
      <c r="G19457" s="7"/>
    </row>
    <row r="19458" spans="7:7" x14ac:dyDescent="0.2">
      <c r="G19458" s="7"/>
    </row>
    <row r="19459" spans="7:7" x14ac:dyDescent="0.2">
      <c r="G19459" s="7"/>
    </row>
    <row r="19460" spans="7:7" x14ac:dyDescent="0.2">
      <c r="G19460" s="7"/>
    </row>
    <row r="19461" spans="7:7" x14ac:dyDescent="0.2">
      <c r="G19461" s="7"/>
    </row>
    <row r="19462" spans="7:7" x14ac:dyDescent="0.2">
      <c r="G19462" s="7"/>
    </row>
    <row r="19463" spans="7:7" x14ac:dyDescent="0.2">
      <c r="G19463" s="7"/>
    </row>
    <row r="19464" spans="7:7" x14ac:dyDescent="0.2">
      <c r="G19464" s="7"/>
    </row>
    <row r="19465" spans="7:7" x14ac:dyDescent="0.2">
      <c r="G19465" s="7"/>
    </row>
    <row r="19466" spans="7:7" x14ac:dyDescent="0.2">
      <c r="G19466" s="7"/>
    </row>
    <row r="19467" spans="7:7" x14ac:dyDescent="0.2">
      <c r="G19467" s="7"/>
    </row>
    <row r="19468" spans="7:7" x14ac:dyDescent="0.2">
      <c r="G19468" s="7"/>
    </row>
    <row r="19469" spans="7:7" x14ac:dyDescent="0.2">
      <c r="G19469" s="7"/>
    </row>
    <row r="19470" spans="7:7" x14ac:dyDescent="0.2">
      <c r="G19470" s="7"/>
    </row>
    <row r="19471" spans="7:7" x14ac:dyDescent="0.2">
      <c r="G19471" s="7"/>
    </row>
    <row r="19472" spans="7:7" x14ac:dyDescent="0.2">
      <c r="G19472" s="7"/>
    </row>
    <row r="19473" spans="7:7" x14ac:dyDescent="0.2">
      <c r="G19473" s="7"/>
    </row>
    <row r="19474" spans="7:7" x14ac:dyDescent="0.2">
      <c r="G19474" s="7"/>
    </row>
    <row r="19475" spans="7:7" x14ac:dyDescent="0.2">
      <c r="G19475" s="7"/>
    </row>
    <row r="19476" spans="7:7" x14ac:dyDescent="0.2">
      <c r="G19476" s="7"/>
    </row>
    <row r="19477" spans="7:7" x14ac:dyDescent="0.2">
      <c r="G19477" s="7"/>
    </row>
    <row r="19478" spans="7:7" x14ac:dyDescent="0.2">
      <c r="G19478" s="7"/>
    </row>
    <row r="19479" spans="7:7" x14ac:dyDescent="0.2">
      <c r="G19479" s="7"/>
    </row>
    <row r="19480" spans="7:7" x14ac:dyDescent="0.2">
      <c r="G19480" s="7"/>
    </row>
    <row r="19481" spans="7:7" x14ac:dyDescent="0.2">
      <c r="G19481" s="7"/>
    </row>
    <row r="19482" spans="7:7" x14ac:dyDescent="0.2">
      <c r="G19482" s="7"/>
    </row>
    <row r="19483" spans="7:7" x14ac:dyDescent="0.2">
      <c r="G19483" s="7"/>
    </row>
    <row r="19484" spans="7:7" x14ac:dyDescent="0.2">
      <c r="G19484" s="7"/>
    </row>
    <row r="19485" spans="7:7" x14ac:dyDescent="0.2">
      <c r="G19485" s="7"/>
    </row>
    <row r="19486" spans="7:7" x14ac:dyDescent="0.2">
      <c r="G19486" s="7"/>
    </row>
    <row r="19487" spans="7:7" x14ac:dyDescent="0.2">
      <c r="G19487" s="7"/>
    </row>
    <row r="19488" spans="7:7" x14ac:dyDescent="0.2">
      <c r="G19488" s="7"/>
    </row>
    <row r="19489" spans="7:7" x14ac:dyDescent="0.2">
      <c r="G19489" s="7"/>
    </row>
    <row r="19490" spans="7:7" x14ac:dyDescent="0.2">
      <c r="G19490" s="7"/>
    </row>
    <row r="19491" spans="7:7" x14ac:dyDescent="0.2">
      <c r="G19491" s="7"/>
    </row>
    <row r="19492" spans="7:7" x14ac:dyDescent="0.2">
      <c r="G19492" s="7"/>
    </row>
    <row r="19493" spans="7:7" x14ac:dyDescent="0.2">
      <c r="G19493" s="7"/>
    </row>
    <row r="19494" spans="7:7" x14ac:dyDescent="0.2">
      <c r="G19494" s="7"/>
    </row>
    <row r="19495" spans="7:7" x14ac:dyDescent="0.2">
      <c r="G19495" s="7"/>
    </row>
    <row r="19496" spans="7:7" x14ac:dyDescent="0.2">
      <c r="G19496" s="7"/>
    </row>
    <row r="19497" spans="7:7" x14ac:dyDescent="0.2">
      <c r="G19497" s="7"/>
    </row>
    <row r="19498" spans="7:7" x14ac:dyDescent="0.2">
      <c r="G19498" s="7"/>
    </row>
    <row r="19499" spans="7:7" x14ac:dyDescent="0.2">
      <c r="G19499" s="7"/>
    </row>
    <row r="19500" spans="7:7" x14ac:dyDescent="0.2">
      <c r="G19500" s="7"/>
    </row>
    <row r="19501" spans="7:7" x14ac:dyDescent="0.2">
      <c r="G19501" s="7"/>
    </row>
    <row r="19502" spans="7:7" x14ac:dyDescent="0.2">
      <c r="G19502" s="7"/>
    </row>
    <row r="19503" spans="7:7" x14ac:dyDescent="0.2">
      <c r="G19503" s="7"/>
    </row>
    <row r="19504" spans="7:7" x14ac:dyDescent="0.2">
      <c r="G19504" s="7"/>
    </row>
    <row r="19505" spans="7:7" x14ac:dyDescent="0.2">
      <c r="G19505" s="7"/>
    </row>
    <row r="19506" spans="7:7" x14ac:dyDescent="0.2">
      <c r="G19506" s="7"/>
    </row>
    <row r="19507" spans="7:7" x14ac:dyDescent="0.2">
      <c r="G19507" s="7"/>
    </row>
    <row r="19508" spans="7:7" x14ac:dyDescent="0.2">
      <c r="G19508" s="7"/>
    </row>
    <row r="19509" spans="7:7" x14ac:dyDescent="0.2">
      <c r="G19509" s="7"/>
    </row>
    <row r="19510" spans="7:7" x14ac:dyDescent="0.2">
      <c r="G19510" s="7"/>
    </row>
    <row r="19511" spans="7:7" x14ac:dyDescent="0.2">
      <c r="G19511" s="7"/>
    </row>
    <row r="19512" spans="7:7" x14ac:dyDescent="0.2">
      <c r="G19512" s="7"/>
    </row>
    <row r="19513" spans="7:7" x14ac:dyDescent="0.2">
      <c r="G19513" s="7"/>
    </row>
    <row r="19514" spans="7:7" x14ac:dyDescent="0.2">
      <c r="G19514" s="7"/>
    </row>
    <row r="19515" spans="7:7" x14ac:dyDescent="0.2">
      <c r="G19515" s="7"/>
    </row>
    <row r="19516" spans="7:7" x14ac:dyDescent="0.2">
      <c r="G19516" s="7"/>
    </row>
    <row r="19517" spans="7:7" x14ac:dyDescent="0.2">
      <c r="G19517" s="7"/>
    </row>
    <row r="19518" spans="7:7" x14ac:dyDescent="0.2">
      <c r="G19518" s="7"/>
    </row>
    <row r="19519" spans="7:7" x14ac:dyDescent="0.2">
      <c r="G19519" s="7"/>
    </row>
    <row r="19520" spans="7:7" x14ac:dyDescent="0.2">
      <c r="G19520" s="7"/>
    </row>
    <row r="19521" spans="7:7" x14ac:dyDescent="0.2">
      <c r="G19521" s="7"/>
    </row>
    <row r="19522" spans="7:7" x14ac:dyDescent="0.2">
      <c r="G19522" s="7"/>
    </row>
    <row r="19523" spans="7:7" x14ac:dyDescent="0.2">
      <c r="G19523" s="7"/>
    </row>
    <row r="19524" spans="7:7" x14ac:dyDescent="0.2">
      <c r="G19524" s="7"/>
    </row>
    <row r="19525" spans="7:7" x14ac:dyDescent="0.2">
      <c r="G19525" s="7"/>
    </row>
    <row r="19526" spans="7:7" x14ac:dyDescent="0.2">
      <c r="G19526" s="7"/>
    </row>
    <row r="19527" spans="7:7" x14ac:dyDescent="0.2">
      <c r="G19527" s="7"/>
    </row>
    <row r="19528" spans="7:7" x14ac:dyDescent="0.2">
      <c r="G19528" s="7"/>
    </row>
    <row r="19529" spans="7:7" x14ac:dyDescent="0.2">
      <c r="G19529" s="7"/>
    </row>
    <row r="19530" spans="7:7" x14ac:dyDescent="0.2">
      <c r="G19530" s="7"/>
    </row>
    <row r="19531" spans="7:7" x14ac:dyDescent="0.2">
      <c r="G19531" s="7"/>
    </row>
    <row r="19532" spans="7:7" x14ac:dyDescent="0.2">
      <c r="G19532" s="7"/>
    </row>
    <row r="19533" spans="7:7" x14ac:dyDescent="0.2">
      <c r="G19533" s="7"/>
    </row>
    <row r="19534" spans="7:7" x14ac:dyDescent="0.2">
      <c r="G19534" s="7"/>
    </row>
    <row r="19535" spans="7:7" x14ac:dyDescent="0.2">
      <c r="G19535" s="7"/>
    </row>
    <row r="19536" spans="7:7" x14ac:dyDescent="0.2">
      <c r="G19536" s="7"/>
    </row>
    <row r="19537" spans="7:7" x14ac:dyDescent="0.2">
      <c r="G19537" s="7"/>
    </row>
    <row r="19538" spans="7:7" x14ac:dyDescent="0.2">
      <c r="G19538" s="7"/>
    </row>
    <row r="19539" spans="7:7" x14ac:dyDescent="0.2">
      <c r="G19539" s="7"/>
    </row>
    <row r="19540" spans="7:7" x14ac:dyDescent="0.2">
      <c r="G19540" s="7"/>
    </row>
    <row r="19541" spans="7:7" x14ac:dyDescent="0.2">
      <c r="G19541" s="7"/>
    </row>
    <row r="19542" spans="7:7" x14ac:dyDescent="0.2">
      <c r="G19542" s="7"/>
    </row>
    <row r="19543" spans="7:7" x14ac:dyDescent="0.2">
      <c r="G19543" s="7"/>
    </row>
    <row r="19544" spans="7:7" x14ac:dyDescent="0.2">
      <c r="G19544" s="7"/>
    </row>
    <row r="19545" spans="7:7" x14ac:dyDescent="0.2">
      <c r="G19545" s="7"/>
    </row>
    <row r="19546" spans="7:7" x14ac:dyDescent="0.2">
      <c r="G19546" s="7"/>
    </row>
    <row r="19547" spans="7:7" x14ac:dyDescent="0.2">
      <c r="G19547" s="7"/>
    </row>
    <row r="19548" spans="7:7" x14ac:dyDescent="0.2">
      <c r="G19548" s="7"/>
    </row>
    <row r="19549" spans="7:7" x14ac:dyDescent="0.2">
      <c r="G19549" s="7"/>
    </row>
    <row r="19550" spans="7:7" x14ac:dyDescent="0.2">
      <c r="G19550" s="7"/>
    </row>
    <row r="19551" spans="7:7" x14ac:dyDescent="0.2">
      <c r="G19551" s="7"/>
    </row>
    <row r="19552" spans="7:7" x14ac:dyDescent="0.2">
      <c r="G19552" s="7"/>
    </row>
    <row r="19553" spans="7:7" x14ac:dyDescent="0.2">
      <c r="G19553" s="7"/>
    </row>
    <row r="19554" spans="7:7" x14ac:dyDescent="0.2">
      <c r="G19554" s="7"/>
    </row>
    <row r="19555" spans="7:7" x14ac:dyDescent="0.2">
      <c r="G19555" s="7"/>
    </row>
    <row r="19556" spans="7:7" x14ac:dyDescent="0.2">
      <c r="G19556" s="7"/>
    </row>
    <row r="19557" spans="7:7" x14ac:dyDescent="0.2">
      <c r="G19557" s="7"/>
    </row>
    <row r="19558" spans="7:7" x14ac:dyDescent="0.2">
      <c r="G19558" s="7"/>
    </row>
    <row r="19559" spans="7:7" x14ac:dyDescent="0.2">
      <c r="G19559" s="7"/>
    </row>
    <row r="19560" spans="7:7" x14ac:dyDescent="0.2">
      <c r="G19560" s="7"/>
    </row>
    <row r="19561" spans="7:7" x14ac:dyDescent="0.2">
      <c r="G19561" s="7"/>
    </row>
    <row r="19562" spans="7:7" x14ac:dyDescent="0.2">
      <c r="G19562" s="7"/>
    </row>
    <row r="19563" spans="7:7" x14ac:dyDescent="0.2">
      <c r="G19563" s="7"/>
    </row>
    <row r="19564" spans="7:7" x14ac:dyDescent="0.2">
      <c r="G19564" s="7"/>
    </row>
    <row r="19565" spans="7:7" x14ac:dyDescent="0.2">
      <c r="G19565" s="7"/>
    </row>
    <row r="19566" spans="7:7" x14ac:dyDescent="0.2">
      <c r="G19566" s="7"/>
    </row>
    <row r="19567" spans="7:7" x14ac:dyDescent="0.2">
      <c r="G19567" s="7"/>
    </row>
    <row r="19568" spans="7:7" x14ac:dyDescent="0.2">
      <c r="G19568" s="7"/>
    </row>
    <row r="19569" spans="7:7" x14ac:dyDescent="0.2">
      <c r="G19569" s="7"/>
    </row>
    <row r="19570" spans="7:7" x14ac:dyDescent="0.2">
      <c r="G19570" s="7"/>
    </row>
    <row r="19571" spans="7:7" x14ac:dyDescent="0.2">
      <c r="G19571" s="7"/>
    </row>
    <row r="19572" spans="7:7" x14ac:dyDescent="0.2">
      <c r="G19572" s="7"/>
    </row>
    <row r="19573" spans="7:7" x14ac:dyDescent="0.2">
      <c r="G19573" s="7"/>
    </row>
    <row r="19574" spans="7:7" x14ac:dyDescent="0.2">
      <c r="G19574" s="7"/>
    </row>
    <row r="19575" spans="7:7" x14ac:dyDescent="0.2">
      <c r="G19575" s="7"/>
    </row>
    <row r="19576" spans="7:7" x14ac:dyDescent="0.2">
      <c r="G19576" s="7"/>
    </row>
    <row r="19577" spans="7:7" x14ac:dyDescent="0.2">
      <c r="G19577" s="7"/>
    </row>
    <row r="19578" spans="7:7" x14ac:dyDescent="0.2">
      <c r="G19578" s="7"/>
    </row>
    <row r="19579" spans="7:7" x14ac:dyDescent="0.2">
      <c r="G19579" s="7"/>
    </row>
    <row r="19580" spans="7:7" x14ac:dyDescent="0.2">
      <c r="G19580" s="7"/>
    </row>
    <row r="19581" spans="7:7" x14ac:dyDescent="0.2">
      <c r="G19581" s="7"/>
    </row>
    <row r="19582" spans="7:7" x14ac:dyDescent="0.2">
      <c r="G19582" s="7"/>
    </row>
    <row r="19583" spans="7:7" x14ac:dyDescent="0.2">
      <c r="G19583" s="7"/>
    </row>
    <row r="19584" spans="7:7" x14ac:dyDescent="0.2">
      <c r="G19584" s="7"/>
    </row>
    <row r="19585" spans="7:7" x14ac:dyDescent="0.2">
      <c r="G19585" s="7"/>
    </row>
    <row r="19586" spans="7:7" x14ac:dyDescent="0.2">
      <c r="G19586" s="7"/>
    </row>
    <row r="19587" spans="7:7" x14ac:dyDescent="0.2">
      <c r="G19587" s="7"/>
    </row>
    <row r="19588" spans="7:7" x14ac:dyDescent="0.2">
      <c r="G19588" s="7"/>
    </row>
    <row r="19589" spans="7:7" x14ac:dyDescent="0.2">
      <c r="G19589" s="7"/>
    </row>
    <row r="19590" spans="7:7" x14ac:dyDescent="0.2">
      <c r="G19590" s="7"/>
    </row>
    <row r="19591" spans="7:7" x14ac:dyDescent="0.2">
      <c r="G19591" s="7"/>
    </row>
    <row r="19592" spans="7:7" x14ac:dyDescent="0.2">
      <c r="G19592" s="7"/>
    </row>
    <row r="19593" spans="7:7" x14ac:dyDescent="0.2">
      <c r="G19593" s="7"/>
    </row>
    <row r="19594" spans="7:7" x14ac:dyDescent="0.2">
      <c r="G19594" s="7"/>
    </row>
    <row r="19595" spans="7:7" x14ac:dyDescent="0.2">
      <c r="G19595" s="7"/>
    </row>
    <row r="19596" spans="7:7" x14ac:dyDescent="0.2">
      <c r="G19596" s="7"/>
    </row>
    <row r="19597" spans="7:7" x14ac:dyDescent="0.2">
      <c r="G19597" s="7"/>
    </row>
    <row r="19598" spans="7:7" x14ac:dyDescent="0.2">
      <c r="G19598" s="7"/>
    </row>
    <row r="19599" spans="7:7" x14ac:dyDescent="0.2">
      <c r="G19599" s="7"/>
    </row>
    <row r="19600" spans="7:7" x14ac:dyDescent="0.2">
      <c r="G19600" s="7"/>
    </row>
    <row r="19601" spans="7:7" x14ac:dyDescent="0.2">
      <c r="G19601" s="7"/>
    </row>
    <row r="19602" spans="7:7" x14ac:dyDescent="0.2">
      <c r="G19602" s="7"/>
    </row>
    <row r="19603" spans="7:7" x14ac:dyDescent="0.2">
      <c r="G19603" s="7"/>
    </row>
    <row r="19604" spans="7:7" x14ac:dyDescent="0.2">
      <c r="G19604" s="7"/>
    </row>
    <row r="19605" spans="7:7" x14ac:dyDescent="0.2">
      <c r="G19605" s="7"/>
    </row>
    <row r="19606" spans="7:7" x14ac:dyDescent="0.2">
      <c r="G19606" s="7"/>
    </row>
    <row r="19607" spans="7:7" x14ac:dyDescent="0.2">
      <c r="G19607" s="7"/>
    </row>
    <row r="19608" spans="7:7" x14ac:dyDescent="0.2">
      <c r="G19608" s="7"/>
    </row>
    <row r="19609" spans="7:7" x14ac:dyDescent="0.2">
      <c r="G19609" s="7"/>
    </row>
    <row r="19610" spans="7:7" x14ac:dyDescent="0.2">
      <c r="G19610" s="7"/>
    </row>
    <row r="19611" spans="7:7" x14ac:dyDescent="0.2">
      <c r="G19611" s="7"/>
    </row>
    <row r="19612" spans="7:7" x14ac:dyDescent="0.2">
      <c r="G19612" s="7"/>
    </row>
    <row r="19613" spans="7:7" x14ac:dyDescent="0.2">
      <c r="G19613" s="7"/>
    </row>
    <row r="19614" spans="7:7" x14ac:dyDescent="0.2">
      <c r="G19614" s="7"/>
    </row>
    <row r="19615" spans="7:7" x14ac:dyDescent="0.2">
      <c r="G19615" s="7"/>
    </row>
    <row r="19616" spans="7:7" x14ac:dyDescent="0.2">
      <c r="G19616" s="7"/>
    </row>
    <row r="19617" spans="7:7" x14ac:dyDescent="0.2">
      <c r="G19617" s="7"/>
    </row>
    <row r="19618" spans="7:7" x14ac:dyDescent="0.2">
      <c r="G19618" s="7"/>
    </row>
    <row r="19619" spans="7:7" x14ac:dyDescent="0.2">
      <c r="G19619" s="7"/>
    </row>
    <row r="19620" spans="7:7" x14ac:dyDescent="0.2">
      <c r="G19620" s="7"/>
    </row>
    <row r="19621" spans="7:7" x14ac:dyDescent="0.2">
      <c r="G19621" s="7"/>
    </row>
    <row r="19622" spans="7:7" x14ac:dyDescent="0.2">
      <c r="G19622" s="7"/>
    </row>
    <row r="19623" spans="7:7" x14ac:dyDescent="0.2">
      <c r="G19623" s="7"/>
    </row>
    <row r="19624" spans="7:7" x14ac:dyDescent="0.2">
      <c r="G19624" s="7"/>
    </row>
    <row r="19625" spans="7:7" x14ac:dyDescent="0.2">
      <c r="G19625" s="7"/>
    </row>
    <row r="19626" spans="7:7" x14ac:dyDescent="0.2">
      <c r="G19626" s="7"/>
    </row>
    <row r="19627" spans="7:7" x14ac:dyDescent="0.2">
      <c r="G19627" s="7"/>
    </row>
    <row r="19628" spans="7:7" x14ac:dyDescent="0.2">
      <c r="G19628" s="7"/>
    </row>
    <row r="19629" spans="7:7" x14ac:dyDescent="0.2">
      <c r="G19629" s="7"/>
    </row>
    <row r="19630" spans="7:7" x14ac:dyDescent="0.2">
      <c r="G19630" s="7"/>
    </row>
    <row r="19631" spans="7:7" x14ac:dyDescent="0.2">
      <c r="G19631" s="7"/>
    </row>
    <row r="19632" spans="7:7" x14ac:dyDescent="0.2">
      <c r="G19632" s="7"/>
    </row>
    <row r="19633" spans="7:7" x14ac:dyDescent="0.2">
      <c r="G19633" s="7"/>
    </row>
    <row r="19634" spans="7:7" x14ac:dyDescent="0.2">
      <c r="G19634" s="7"/>
    </row>
    <row r="19635" spans="7:7" x14ac:dyDescent="0.2">
      <c r="G19635" s="7"/>
    </row>
    <row r="19636" spans="7:7" x14ac:dyDescent="0.2">
      <c r="G19636" s="7"/>
    </row>
    <row r="19637" spans="7:7" x14ac:dyDescent="0.2">
      <c r="G19637" s="7"/>
    </row>
    <row r="19638" spans="7:7" x14ac:dyDescent="0.2">
      <c r="G19638" s="7"/>
    </row>
    <row r="19639" spans="7:7" x14ac:dyDescent="0.2">
      <c r="G19639" s="7"/>
    </row>
    <row r="19640" spans="7:7" x14ac:dyDescent="0.2">
      <c r="G19640" s="7"/>
    </row>
    <row r="19641" spans="7:7" x14ac:dyDescent="0.2">
      <c r="G19641" s="7"/>
    </row>
    <row r="19642" spans="7:7" x14ac:dyDescent="0.2">
      <c r="G19642" s="7"/>
    </row>
    <row r="19643" spans="7:7" x14ac:dyDescent="0.2">
      <c r="G19643" s="7"/>
    </row>
    <row r="19644" spans="7:7" x14ac:dyDescent="0.2">
      <c r="G19644" s="7"/>
    </row>
    <row r="19645" spans="7:7" x14ac:dyDescent="0.2">
      <c r="G19645" s="7"/>
    </row>
    <row r="19646" spans="7:7" x14ac:dyDescent="0.2">
      <c r="G19646" s="7"/>
    </row>
    <row r="19647" spans="7:7" x14ac:dyDescent="0.2">
      <c r="G19647" s="7"/>
    </row>
    <row r="19648" spans="7:7" x14ac:dyDescent="0.2">
      <c r="G19648" s="7"/>
    </row>
    <row r="19649" spans="7:7" x14ac:dyDescent="0.2">
      <c r="G19649" s="7"/>
    </row>
    <row r="19650" spans="7:7" x14ac:dyDescent="0.2">
      <c r="G19650" s="7"/>
    </row>
    <row r="19651" spans="7:7" x14ac:dyDescent="0.2">
      <c r="G19651" s="7"/>
    </row>
    <row r="19652" spans="7:7" x14ac:dyDescent="0.2">
      <c r="G19652" s="7"/>
    </row>
    <row r="19653" spans="7:7" x14ac:dyDescent="0.2">
      <c r="G19653" s="7"/>
    </row>
    <row r="19654" spans="7:7" x14ac:dyDescent="0.2">
      <c r="G19654" s="7"/>
    </row>
    <row r="19655" spans="7:7" x14ac:dyDescent="0.2">
      <c r="G19655" s="7"/>
    </row>
    <row r="19656" spans="7:7" x14ac:dyDescent="0.2">
      <c r="G19656" s="7"/>
    </row>
    <row r="19657" spans="7:7" x14ac:dyDescent="0.2">
      <c r="G19657" s="7"/>
    </row>
    <row r="19658" spans="7:7" x14ac:dyDescent="0.2">
      <c r="G19658" s="7"/>
    </row>
    <row r="19659" spans="7:7" x14ac:dyDescent="0.2">
      <c r="G19659" s="7"/>
    </row>
    <row r="19660" spans="7:7" x14ac:dyDescent="0.2">
      <c r="G19660" s="7"/>
    </row>
    <row r="19661" spans="7:7" x14ac:dyDescent="0.2">
      <c r="G19661" s="7"/>
    </row>
    <row r="19662" spans="7:7" x14ac:dyDescent="0.2">
      <c r="G19662" s="7"/>
    </row>
    <row r="19663" spans="7:7" x14ac:dyDescent="0.2">
      <c r="G19663" s="7"/>
    </row>
    <row r="19664" spans="7:7" x14ac:dyDescent="0.2">
      <c r="G19664" s="7"/>
    </row>
    <row r="19665" spans="7:7" x14ac:dyDescent="0.2">
      <c r="G19665" s="7"/>
    </row>
    <row r="19666" spans="7:7" x14ac:dyDescent="0.2">
      <c r="G19666" s="7"/>
    </row>
    <row r="19667" spans="7:7" x14ac:dyDescent="0.2">
      <c r="G19667" s="7"/>
    </row>
    <row r="19668" spans="7:7" x14ac:dyDescent="0.2">
      <c r="G19668" s="7"/>
    </row>
    <row r="19669" spans="7:7" x14ac:dyDescent="0.2">
      <c r="G19669" s="7"/>
    </row>
    <row r="19670" spans="7:7" x14ac:dyDescent="0.2">
      <c r="G19670" s="7"/>
    </row>
    <row r="19671" spans="7:7" x14ac:dyDescent="0.2">
      <c r="G19671" s="7"/>
    </row>
    <row r="19672" spans="7:7" x14ac:dyDescent="0.2">
      <c r="G19672" s="7"/>
    </row>
    <row r="19673" spans="7:7" x14ac:dyDescent="0.2">
      <c r="G19673" s="7"/>
    </row>
    <row r="19674" spans="7:7" x14ac:dyDescent="0.2">
      <c r="G19674" s="7"/>
    </row>
    <row r="19675" spans="7:7" x14ac:dyDescent="0.2">
      <c r="G19675" s="7"/>
    </row>
    <row r="19676" spans="7:7" x14ac:dyDescent="0.2">
      <c r="G19676" s="7"/>
    </row>
    <row r="19677" spans="7:7" x14ac:dyDescent="0.2">
      <c r="G19677" s="7"/>
    </row>
    <row r="19678" spans="7:7" x14ac:dyDescent="0.2">
      <c r="G19678" s="7"/>
    </row>
    <row r="19679" spans="7:7" x14ac:dyDescent="0.2">
      <c r="G19679" s="7"/>
    </row>
    <row r="19680" spans="7:7" x14ac:dyDescent="0.2">
      <c r="G19680" s="7"/>
    </row>
    <row r="19681" spans="7:7" x14ac:dyDescent="0.2">
      <c r="G19681" s="7"/>
    </row>
    <row r="19682" spans="7:7" x14ac:dyDescent="0.2">
      <c r="G19682" s="7"/>
    </row>
    <row r="19683" spans="7:7" x14ac:dyDescent="0.2">
      <c r="G19683" s="7"/>
    </row>
    <row r="19684" spans="7:7" x14ac:dyDescent="0.2">
      <c r="G19684" s="7"/>
    </row>
    <row r="19685" spans="7:7" x14ac:dyDescent="0.2">
      <c r="G19685" s="7"/>
    </row>
    <row r="19686" spans="7:7" x14ac:dyDescent="0.2">
      <c r="G19686" s="7"/>
    </row>
    <row r="19687" spans="7:7" x14ac:dyDescent="0.2">
      <c r="G19687" s="7"/>
    </row>
    <row r="19688" spans="7:7" x14ac:dyDescent="0.2">
      <c r="G19688" s="7"/>
    </row>
    <row r="19689" spans="7:7" x14ac:dyDescent="0.2">
      <c r="G19689" s="7"/>
    </row>
    <row r="19690" spans="7:7" x14ac:dyDescent="0.2">
      <c r="G19690" s="7"/>
    </row>
    <row r="19691" spans="7:7" x14ac:dyDescent="0.2">
      <c r="G19691" s="7"/>
    </row>
    <row r="19692" spans="7:7" x14ac:dyDescent="0.2">
      <c r="G19692" s="7"/>
    </row>
    <row r="19693" spans="7:7" x14ac:dyDescent="0.2">
      <c r="G19693" s="7"/>
    </row>
    <row r="19694" spans="7:7" x14ac:dyDescent="0.2">
      <c r="G19694" s="7"/>
    </row>
    <row r="19695" spans="7:7" x14ac:dyDescent="0.2">
      <c r="G19695" s="7"/>
    </row>
    <row r="19696" spans="7:7" x14ac:dyDescent="0.2">
      <c r="G19696" s="7"/>
    </row>
    <row r="19697" spans="7:7" x14ac:dyDescent="0.2">
      <c r="G19697" s="7"/>
    </row>
    <row r="19698" spans="7:7" x14ac:dyDescent="0.2">
      <c r="G19698" s="7"/>
    </row>
    <row r="19699" spans="7:7" x14ac:dyDescent="0.2">
      <c r="G19699" s="7"/>
    </row>
    <row r="19700" spans="7:7" x14ac:dyDescent="0.2">
      <c r="G19700" s="7"/>
    </row>
    <row r="19701" spans="7:7" x14ac:dyDescent="0.2">
      <c r="G19701" s="7"/>
    </row>
    <row r="19702" spans="7:7" x14ac:dyDescent="0.2">
      <c r="G19702" s="7"/>
    </row>
    <row r="19703" spans="7:7" x14ac:dyDescent="0.2">
      <c r="G19703" s="7"/>
    </row>
    <row r="19704" spans="7:7" x14ac:dyDescent="0.2">
      <c r="G19704" s="7"/>
    </row>
    <row r="19705" spans="7:7" x14ac:dyDescent="0.2">
      <c r="G19705" s="7"/>
    </row>
    <row r="19706" spans="7:7" x14ac:dyDescent="0.2">
      <c r="G19706" s="7"/>
    </row>
    <row r="19707" spans="7:7" x14ac:dyDescent="0.2">
      <c r="G19707" s="7"/>
    </row>
    <row r="19708" spans="7:7" x14ac:dyDescent="0.2">
      <c r="G19708" s="7"/>
    </row>
    <row r="19709" spans="7:7" x14ac:dyDescent="0.2">
      <c r="G19709" s="7"/>
    </row>
    <row r="19710" spans="7:7" x14ac:dyDescent="0.2">
      <c r="G19710" s="7"/>
    </row>
    <row r="19711" spans="7:7" x14ac:dyDescent="0.2">
      <c r="G19711" s="7"/>
    </row>
    <row r="19712" spans="7:7" x14ac:dyDescent="0.2">
      <c r="G19712" s="7"/>
    </row>
    <row r="19713" spans="7:7" x14ac:dyDescent="0.2">
      <c r="G19713" s="7"/>
    </row>
    <row r="19714" spans="7:7" x14ac:dyDescent="0.2">
      <c r="G19714" s="7"/>
    </row>
    <row r="19715" spans="7:7" x14ac:dyDescent="0.2">
      <c r="G19715" s="7"/>
    </row>
    <row r="19716" spans="7:7" x14ac:dyDescent="0.2">
      <c r="G19716" s="7"/>
    </row>
    <row r="19717" spans="7:7" x14ac:dyDescent="0.2">
      <c r="G19717" s="7"/>
    </row>
    <row r="19718" spans="7:7" x14ac:dyDescent="0.2">
      <c r="G19718" s="7"/>
    </row>
    <row r="19719" spans="7:7" x14ac:dyDescent="0.2">
      <c r="G19719" s="7"/>
    </row>
    <row r="19720" spans="7:7" x14ac:dyDescent="0.2">
      <c r="G19720" s="7"/>
    </row>
    <row r="19721" spans="7:7" x14ac:dyDescent="0.2">
      <c r="G19721" s="7"/>
    </row>
    <row r="19722" spans="7:7" x14ac:dyDescent="0.2">
      <c r="G19722" s="7"/>
    </row>
    <row r="19723" spans="7:7" x14ac:dyDescent="0.2">
      <c r="G19723" s="7"/>
    </row>
    <row r="19724" spans="7:7" x14ac:dyDescent="0.2">
      <c r="G19724" s="7"/>
    </row>
    <row r="19725" spans="7:7" x14ac:dyDescent="0.2">
      <c r="G19725" s="7"/>
    </row>
    <row r="19726" spans="7:7" x14ac:dyDescent="0.2">
      <c r="G19726" s="7"/>
    </row>
    <row r="19727" spans="7:7" x14ac:dyDescent="0.2">
      <c r="G19727" s="7"/>
    </row>
    <row r="19728" spans="7:7" x14ac:dyDescent="0.2">
      <c r="G19728" s="7"/>
    </row>
    <row r="19729" spans="7:7" x14ac:dyDescent="0.2">
      <c r="G19729" s="7"/>
    </row>
    <row r="19730" spans="7:7" x14ac:dyDescent="0.2">
      <c r="G19730" s="7"/>
    </row>
    <row r="19731" spans="7:7" x14ac:dyDescent="0.2">
      <c r="G19731" s="7"/>
    </row>
    <row r="19732" spans="7:7" x14ac:dyDescent="0.2">
      <c r="G19732" s="7"/>
    </row>
    <row r="19733" spans="7:7" x14ac:dyDescent="0.2">
      <c r="G19733" s="7"/>
    </row>
    <row r="19734" spans="7:7" x14ac:dyDescent="0.2">
      <c r="G19734" s="7"/>
    </row>
    <row r="19735" spans="7:7" x14ac:dyDescent="0.2">
      <c r="G19735" s="7"/>
    </row>
    <row r="19736" spans="7:7" x14ac:dyDescent="0.2">
      <c r="G19736" s="7"/>
    </row>
    <row r="19737" spans="7:7" x14ac:dyDescent="0.2">
      <c r="G19737" s="7"/>
    </row>
    <row r="19738" spans="7:7" x14ac:dyDescent="0.2">
      <c r="G19738" s="7"/>
    </row>
    <row r="19739" spans="7:7" x14ac:dyDescent="0.2">
      <c r="G19739" s="7"/>
    </row>
    <row r="19740" spans="7:7" x14ac:dyDescent="0.2">
      <c r="G19740" s="7"/>
    </row>
    <row r="19741" spans="7:7" x14ac:dyDescent="0.2">
      <c r="G19741" s="7"/>
    </row>
    <row r="19742" spans="7:7" x14ac:dyDescent="0.2">
      <c r="G19742" s="7"/>
    </row>
    <row r="19743" spans="7:7" x14ac:dyDescent="0.2">
      <c r="G19743" s="7"/>
    </row>
    <row r="19744" spans="7:7" x14ac:dyDescent="0.2">
      <c r="G19744" s="7"/>
    </row>
    <row r="19745" spans="7:7" x14ac:dyDescent="0.2">
      <c r="G19745" s="7"/>
    </row>
    <row r="19746" spans="7:7" x14ac:dyDescent="0.2">
      <c r="G19746" s="7"/>
    </row>
    <row r="19747" spans="7:7" x14ac:dyDescent="0.2">
      <c r="G19747" s="7"/>
    </row>
    <row r="19748" spans="7:7" x14ac:dyDescent="0.2">
      <c r="G19748" s="7"/>
    </row>
    <row r="19749" spans="7:7" x14ac:dyDescent="0.2">
      <c r="G19749" s="7"/>
    </row>
    <row r="19750" spans="7:7" x14ac:dyDescent="0.2">
      <c r="G19750" s="7"/>
    </row>
    <row r="19751" spans="7:7" x14ac:dyDescent="0.2">
      <c r="G19751" s="7"/>
    </row>
    <row r="19752" spans="7:7" x14ac:dyDescent="0.2">
      <c r="G19752" s="7"/>
    </row>
    <row r="19753" spans="7:7" x14ac:dyDescent="0.2">
      <c r="G19753" s="7"/>
    </row>
    <row r="19754" spans="7:7" x14ac:dyDescent="0.2">
      <c r="G19754" s="7"/>
    </row>
    <row r="19755" spans="7:7" x14ac:dyDescent="0.2">
      <c r="G19755" s="7"/>
    </row>
    <row r="19756" spans="7:7" x14ac:dyDescent="0.2">
      <c r="G19756" s="7"/>
    </row>
    <row r="19757" spans="7:7" x14ac:dyDescent="0.2">
      <c r="G19757" s="7"/>
    </row>
    <row r="19758" spans="7:7" x14ac:dyDescent="0.2">
      <c r="G19758" s="7"/>
    </row>
    <row r="19759" spans="7:7" x14ac:dyDescent="0.2">
      <c r="G19759" s="7"/>
    </row>
    <row r="19760" spans="7:7" x14ac:dyDescent="0.2">
      <c r="G19760" s="7"/>
    </row>
    <row r="19761" spans="7:7" x14ac:dyDescent="0.2">
      <c r="G19761" s="7"/>
    </row>
    <row r="19762" spans="7:7" x14ac:dyDescent="0.2">
      <c r="G19762" s="7"/>
    </row>
    <row r="19763" spans="7:7" x14ac:dyDescent="0.2">
      <c r="G19763" s="7"/>
    </row>
    <row r="19764" spans="7:7" x14ac:dyDescent="0.2">
      <c r="G19764" s="7"/>
    </row>
    <row r="19765" spans="7:7" x14ac:dyDescent="0.2">
      <c r="G19765" s="7"/>
    </row>
    <row r="19766" spans="7:7" x14ac:dyDescent="0.2">
      <c r="G19766" s="7"/>
    </row>
    <row r="19767" spans="7:7" x14ac:dyDescent="0.2">
      <c r="G19767" s="7"/>
    </row>
    <row r="19768" spans="7:7" x14ac:dyDescent="0.2">
      <c r="G19768" s="7"/>
    </row>
    <row r="19769" spans="7:7" x14ac:dyDescent="0.2">
      <c r="G19769" s="7"/>
    </row>
    <row r="19770" spans="7:7" x14ac:dyDescent="0.2">
      <c r="G19770" s="7"/>
    </row>
    <row r="19771" spans="7:7" x14ac:dyDescent="0.2">
      <c r="G19771" s="7"/>
    </row>
    <row r="19772" spans="7:7" x14ac:dyDescent="0.2">
      <c r="G19772" s="7"/>
    </row>
    <row r="19773" spans="7:7" x14ac:dyDescent="0.2">
      <c r="G19773" s="7"/>
    </row>
    <row r="19774" spans="7:7" x14ac:dyDescent="0.2">
      <c r="G19774" s="7"/>
    </row>
    <row r="19775" spans="7:7" x14ac:dyDescent="0.2">
      <c r="G19775" s="7"/>
    </row>
    <row r="19776" spans="7:7" x14ac:dyDescent="0.2">
      <c r="G19776" s="7"/>
    </row>
    <row r="19777" spans="7:7" x14ac:dyDescent="0.2">
      <c r="G19777" s="7"/>
    </row>
    <row r="19778" spans="7:7" x14ac:dyDescent="0.2">
      <c r="G19778" s="7"/>
    </row>
    <row r="19779" spans="7:7" x14ac:dyDescent="0.2">
      <c r="G19779" s="7"/>
    </row>
    <row r="19780" spans="7:7" x14ac:dyDescent="0.2">
      <c r="G19780" s="7"/>
    </row>
    <row r="19781" spans="7:7" x14ac:dyDescent="0.2">
      <c r="G19781" s="7"/>
    </row>
    <row r="19782" spans="7:7" x14ac:dyDescent="0.2">
      <c r="G19782" s="7"/>
    </row>
    <row r="19783" spans="7:7" x14ac:dyDescent="0.2">
      <c r="G19783" s="7"/>
    </row>
    <row r="19784" spans="7:7" x14ac:dyDescent="0.2">
      <c r="G19784" s="7"/>
    </row>
    <row r="19785" spans="7:7" x14ac:dyDescent="0.2">
      <c r="G19785" s="7"/>
    </row>
    <row r="19786" spans="7:7" x14ac:dyDescent="0.2">
      <c r="G19786" s="7"/>
    </row>
    <row r="19787" spans="7:7" x14ac:dyDescent="0.2">
      <c r="G19787" s="7"/>
    </row>
    <row r="19788" spans="7:7" x14ac:dyDescent="0.2">
      <c r="G19788" s="7"/>
    </row>
    <row r="19789" spans="7:7" x14ac:dyDescent="0.2">
      <c r="G19789" s="7"/>
    </row>
    <row r="19790" spans="7:7" x14ac:dyDescent="0.2">
      <c r="G19790" s="7"/>
    </row>
    <row r="19791" spans="7:7" x14ac:dyDescent="0.2">
      <c r="G19791" s="7"/>
    </row>
    <row r="19792" spans="7:7" x14ac:dyDescent="0.2">
      <c r="G19792" s="7"/>
    </row>
    <row r="19793" spans="7:7" x14ac:dyDescent="0.2">
      <c r="G19793" s="7"/>
    </row>
    <row r="19794" spans="7:7" x14ac:dyDescent="0.2">
      <c r="G19794" s="7"/>
    </row>
    <row r="19795" spans="7:7" x14ac:dyDescent="0.2">
      <c r="G19795" s="7"/>
    </row>
    <row r="19796" spans="7:7" x14ac:dyDescent="0.2">
      <c r="G19796" s="7"/>
    </row>
    <row r="19797" spans="7:7" x14ac:dyDescent="0.2">
      <c r="G19797" s="7"/>
    </row>
    <row r="19798" spans="7:7" x14ac:dyDescent="0.2">
      <c r="G19798" s="7"/>
    </row>
    <row r="19799" spans="7:7" x14ac:dyDescent="0.2">
      <c r="G19799" s="7"/>
    </row>
    <row r="19800" spans="7:7" x14ac:dyDescent="0.2">
      <c r="G19800" s="7"/>
    </row>
    <row r="19801" spans="7:7" x14ac:dyDescent="0.2">
      <c r="G19801" s="7"/>
    </row>
    <row r="19802" spans="7:7" x14ac:dyDescent="0.2">
      <c r="G19802" s="7"/>
    </row>
    <row r="19803" spans="7:7" x14ac:dyDescent="0.2">
      <c r="G19803" s="7"/>
    </row>
    <row r="19804" spans="7:7" x14ac:dyDescent="0.2">
      <c r="G19804" s="7"/>
    </row>
    <row r="19805" spans="7:7" x14ac:dyDescent="0.2">
      <c r="G19805" s="7"/>
    </row>
    <row r="19806" spans="7:7" x14ac:dyDescent="0.2">
      <c r="G19806" s="7"/>
    </row>
    <row r="19807" spans="7:7" x14ac:dyDescent="0.2">
      <c r="G19807" s="7"/>
    </row>
    <row r="19808" spans="7:7" x14ac:dyDescent="0.2">
      <c r="G19808" s="7"/>
    </row>
    <row r="19809" spans="7:7" x14ac:dyDescent="0.2">
      <c r="G19809" s="7"/>
    </row>
    <row r="19810" spans="7:7" x14ac:dyDescent="0.2">
      <c r="G19810" s="7"/>
    </row>
    <row r="19811" spans="7:7" x14ac:dyDescent="0.2">
      <c r="G19811" s="7"/>
    </row>
    <row r="19812" spans="7:7" x14ac:dyDescent="0.2">
      <c r="G19812" s="7"/>
    </row>
    <row r="19813" spans="7:7" x14ac:dyDescent="0.2">
      <c r="G19813" s="7"/>
    </row>
    <row r="19814" spans="7:7" x14ac:dyDescent="0.2">
      <c r="G19814" s="7"/>
    </row>
    <row r="19815" spans="7:7" x14ac:dyDescent="0.2">
      <c r="G19815" s="7"/>
    </row>
    <row r="19816" spans="7:7" x14ac:dyDescent="0.2">
      <c r="G19816" s="7"/>
    </row>
    <row r="19817" spans="7:7" x14ac:dyDescent="0.2">
      <c r="G19817" s="7"/>
    </row>
    <row r="19818" spans="7:7" x14ac:dyDescent="0.2">
      <c r="G19818" s="7"/>
    </row>
    <row r="19819" spans="7:7" x14ac:dyDescent="0.2">
      <c r="G19819" s="7"/>
    </row>
    <row r="19820" spans="7:7" x14ac:dyDescent="0.2">
      <c r="G19820" s="7"/>
    </row>
    <row r="19821" spans="7:7" x14ac:dyDescent="0.2">
      <c r="G19821" s="7"/>
    </row>
    <row r="19822" spans="7:7" x14ac:dyDescent="0.2">
      <c r="G19822" s="7"/>
    </row>
    <row r="19823" spans="7:7" x14ac:dyDescent="0.2">
      <c r="G19823" s="7"/>
    </row>
    <row r="19824" spans="7:7" x14ac:dyDescent="0.2">
      <c r="G19824" s="7"/>
    </row>
    <row r="19825" spans="7:7" x14ac:dyDescent="0.2">
      <c r="G19825" s="7"/>
    </row>
    <row r="19826" spans="7:7" x14ac:dyDescent="0.2">
      <c r="G19826" s="7"/>
    </row>
    <row r="19827" spans="7:7" x14ac:dyDescent="0.2">
      <c r="G19827" s="7"/>
    </row>
    <row r="19828" spans="7:7" x14ac:dyDescent="0.2">
      <c r="G19828" s="7"/>
    </row>
    <row r="19829" spans="7:7" x14ac:dyDescent="0.2">
      <c r="G19829" s="7"/>
    </row>
    <row r="19830" spans="7:7" x14ac:dyDescent="0.2">
      <c r="G19830" s="7"/>
    </row>
    <row r="19831" spans="7:7" x14ac:dyDescent="0.2">
      <c r="G19831" s="7"/>
    </row>
    <row r="19832" spans="7:7" x14ac:dyDescent="0.2">
      <c r="G19832" s="7"/>
    </row>
    <row r="19833" spans="7:7" x14ac:dyDescent="0.2">
      <c r="G19833" s="7"/>
    </row>
    <row r="19834" spans="7:7" x14ac:dyDescent="0.2">
      <c r="G19834" s="7"/>
    </row>
    <row r="19835" spans="7:7" x14ac:dyDescent="0.2">
      <c r="G19835" s="7"/>
    </row>
    <row r="19836" spans="7:7" x14ac:dyDescent="0.2">
      <c r="G19836" s="7"/>
    </row>
    <row r="19837" spans="7:7" x14ac:dyDescent="0.2">
      <c r="G19837" s="7"/>
    </row>
    <row r="19838" spans="7:7" x14ac:dyDescent="0.2">
      <c r="G19838" s="7"/>
    </row>
    <row r="19839" spans="7:7" x14ac:dyDescent="0.2">
      <c r="G19839" s="7"/>
    </row>
    <row r="19840" spans="7:7" x14ac:dyDescent="0.2">
      <c r="G19840" s="7"/>
    </row>
    <row r="19841" spans="7:7" x14ac:dyDescent="0.2">
      <c r="G19841" s="7"/>
    </row>
    <row r="19842" spans="7:7" x14ac:dyDescent="0.2">
      <c r="G19842" s="7"/>
    </row>
    <row r="19843" spans="7:7" x14ac:dyDescent="0.2">
      <c r="G19843" s="7"/>
    </row>
    <row r="19844" spans="7:7" x14ac:dyDescent="0.2">
      <c r="G19844" s="7"/>
    </row>
    <row r="19845" spans="7:7" x14ac:dyDescent="0.2">
      <c r="G19845" s="7"/>
    </row>
    <row r="19846" spans="7:7" x14ac:dyDescent="0.2">
      <c r="G19846" s="7"/>
    </row>
    <row r="19847" spans="7:7" x14ac:dyDescent="0.2">
      <c r="G19847" s="7"/>
    </row>
    <row r="19848" spans="7:7" x14ac:dyDescent="0.2">
      <c r="G19848" s="7"/>
    </row>
    <row r="19849" spans="7:7" x14ac:dyDescent="0.2">
      <c r="G19849" s="7"/>
    </row>
    <row r="19850" spans="7:7" x14ac:dyDescent="0.2">
      <c r="G19850" s="7"/>
    </row>
    <row r="19851" spans="7:7" x14ac:dyDescent="0.2">
      <c r="G19851" s="7"/>
    </row>
    <row r="19852" spans="7:7" x14ac:dyDescent="0.2">
      <c r="G19852" s="7"/>
    </row>
    <row r="19853" spans="7:7" x14ac:dyDescent="0.2">
      <c r="G19853" s="7"/>
    </row>
    <row r="19854" spans="7:7" x14ac:dyDescent="0.2">
      <c r="G19854" s="7"/>
    </row>
    <row r="19855" spans="7:7" x14ac:dyDescent="0.2">
      <c r="G19855" s="7"/>
    </row>
    <row r="19856" spans="7:7" x14ac:dyDescent="0.2">
      <c r="G19856" s="7"/>
    </row>
    <row r="19857" spans="7:7" x14ac:dyDescent="0.2">
      <c r="G19857" s="7"/>
    </row>
    <row r="19858" spans="7:7" x14ac:dyDescent="0.2">
      <c r="G19858" s="7"/>
    </row>
    <row r="19859" spans="7:7" x14ac:dyDescent="0.2">
      <c r="G19859" s="7"/>
    </row>
    <row r="19860" spans="7:7" x14ac:dyDescent="0.2">
      <c r="G19860" s="7"/>
    </row>
    <row r="19861" spans="7:7" x14ac:dyDescent="0.2">
      <c r="G19861" s="7"/>
    </row>
    <row r="19862" spans="7:7" x14ac:dyDescent="0.2">
      <c r="G19862" s="7"/>
    </row>
    <row r="19863" spans="7:7" x14ac:dyDescent="0.2">
      <c r="G19863" s="7"/>
    </row>
    <row r="19864" spans="7:7" x14ac:dyDescent="0.2">
      <c r="G19864" s="7"/>
    </row>
    <row r="19865" spans="7:7" x14ac:dyDescent="0.2">
      <c r="G19865" s="7"/>
    </row>
    <row r="19866" spans="7:7" x14ac:dyDescent="0.2">
      <c r="G19866" s="7"/>
    </row>
    <row r="19867" spans="7:7" x14ac:dyDescent="0.2">
      <c r="G19867" s="7"/>
    </row>
    <row r="19868" spans="7:7" x14ac:dyDescent="0.2">
      <c r="G19868" s="7"/>
    </row>
    <row r="19869" spans="7:7" x14ac:dyDescent="0.2">
      <c r="G19869" s="7"/>
    </row>
    <row r="19870" spans="7:7" x14ac:dyDescent="0.2">
      <c r="G19870" s="7"/>
    </row>
    <row r="19871" spans="7:7" x14ac:dyDescent="0.2">
      <c r="G19871" s="7"/>
    </row>
    <row r="19872" spans="7:7" x14ac:dyDescent="0.2">
      <c r="G19872" s="7"/>
    </row>
    <row r="19873" spans="7:7" x14ac:dyDescent="0.2">
      <c r="G19873" s="7"/>
    </row>
    <row r="19874" spans="7:7" x14ac:dyDescent="0.2">
      <c r="G19874" s="7"/>
    </row>
    <row r="19875" spans="7:7" x14ac:dyDescent="0.2">
      <c r="G19875" s="7"/>
    </row>
    <row r="19876" spans="7:7" x14ac:dyDescent="0.2">
      <c r="G19876" s="7"/>
    </row>
    <row r="19877" spans="7:7" x14ac:dyDescent="0.2">
      <c r="G19877" s="7"/>
    </row>
    <row r="19878" spans="7:7" x14ac:dyDescent="0.2">
      <c r="G19878" s="7"/>
    </row>
    <row r="19879" spans="7:7" x14ac:dyDescent="0.2">
      <c r="G19879" s="7"/>
    </row>
    <row r="19880" spans="7:7" x14ac:dyDescent="0.2">
      <c r="G19880" s="7"/>
    </row>
    <row r="19881" spans="7:7" x14ac:dyDescent="0.2">
      <c r="G19881" s="7"/>
    </row>
    <row r="19882" spans="7:7" x14ac:dyDescent="0.2">
      <c r="G19882" s="7"/>
    </row>
    <row r="19883" spans="7:7" x14ac:dyDescent="0.2">
      <c r="G19883" s="7"/>
    </row>
    <row r="19884" spans="7:7" x14ac:dyDescent="0.2">
      <c r="G19884" s="7"/>
    </row>
    <row r="19885" spans="7:7" x14ac:dyDescent="0.2">
      <c r="G19885" s="7"/>
    </row>
    <row r="19886" spans="7:7" x14ac:dyDescent="0.2">
      <c r="G19886" s="7"/>
    </row>
    <row r="19887" spans="7:7" x14ac:dyDescent="0.2">
      <c r="G19887" s="7"/>
    </row>
    <row r="19888" spans="7:7" x14ac:dyDescent="0.2">
      <c r="G19888" s="7"/>
    </row>
    <row r="19889" spans="7:7" x14ac:dyDescent="0.2">
      <c r="G19889" s="7"/>
    </row>
    <row r="19890" spans="7:7" x14ac:dyDescent="0.2">
      <c r="G19890" s="7"/>
    </row>
    <row r="19891" spans="7:7" x14ac:dyDescent="0.2">
      <c r="G19891" s="7"/>
    </row>
    <row r="19892" spans="7:7" x14ac:dyDescent="0.2">
      <c r="G19892" s="7"/>
    </row>
    <row r="19893" spans="7:7" x14ac:dyDescent="0.2">
      <c r="G19893" s="7"/>
    </row>
    <row r="19894" spans="7:7" x14ac:dyDescent="0.2">
      <c r="G19894" s="7"/>
    </row>
    <row r="19895" spans="7:7" x14ac:dyDescent="0.2">
      <c r="G19895" s="7"/>
    </row>
    <row r="19896" spans="7:7" x14ac:dyDescent="0.2">
      <c r="G19896" s="7"/>
    </row>
    <row r="19897" spans="7:7" x14ac:dyDescent="0.2">
      <c r="G19897" s="7"/>
    </row>
    <row r="19898" spans="7:7" x14ac:dyDescent="0.2">
      <c r="G19898" s="7"/>
    </row>
    <row r="19899" spans="7:7" x14ac:dyDescent="0.2">
      <c r="G19899" s="7"/>
    </row>
    <row r="19900" spans="7:7" x14ac:dyDescent="0.2">
      <c r="G19900" s="7"/>
    </row>
    <row r="19901" spans="7:7" x14ac:dyDescent="0.2">
      <c r="G19901" s="7"/>
    </row>
    <row r="19902" spans="7:7" x14ac:dyDescent="0.2">
      <c r="G19902" s="7"/>
    </row>
    <row r="19903" spans="7:7" x14ac:dyDescent="0.2">
      <c r="G19903" s="7"/>
    </row>
    <row r="19904" spans="7:7" x14ac:dyDescent="0.2">
      <c r="G19904" s="7"/>
    </row>
    <row r="19905" spans="7:7" x14ac:dyDescent="0.2">
      <c r="G19905" s="7"/>
    </row>
    <row r="19906" spans="7:7" x14ac:dyDescent="0.2">
      <c r="G19906" s="7"/>
    </row>
    <row r="19907" spans="7:7" x14ac:dyDescent="0.2">
      <c r="G19907" s="7"/>
    </row>
    <row r="19908" spans="7:7" x14ac:dyDescent="0.2">
      <c r="G19908" s="7"/>
    </row>
    <row r="19909" spans="7:7" x14ac:dyDescent="0.2">
      <c r="G19909" s="7"/>
    </row>
    <row r="19910" spans="7:7" x14ac:dyDescent="0.2">
      <c r="G19910" s="7"/>
    </row>
    <row r="19911" spans="7:7" x14ac:dyDescent="0.2">
      <c r="G19911" s="7"/>
    </row>
    <row r="19912" spans="7:7" x14ac:dyDescent="0.2">
      <c r="G19912" s="7"/>
    </row>
    <row r="19913" spans="7:7" x14ac:dyDescent="0.2">
      <c r="G19913" s="7"/>
    </row>
    <row r="19914" spans="7:7" x14ac:dyDescent="0.2">
      <c r="G19914" s="7"/>
    </row>
    <row r="19915" spans="7:7" x14ac:dyDescent="0.2">
      <c r="G19915" s="7"/>
    </row>
    <row r="19916" spans="7:7" x14ac:dyDescent="0.2">
      <c r="G19916" s="7"/>
    </row>
    <row r="19917" spans="7:7" x14ac:dyDescent="0.2">
      <c r="G19917" s="7"/>
    </row>
    <row r="19918" spans="7:7" x14ac:dyDescent="0.2">
      <c r="G19918" s="7"/>
    </row>
    <row r="19919" spans="7:7" x14ac:dyDescent="0.2">
      <c r="G19919" s="7"/>
    </row>
    <row r="19920" spans="7:7" x14ac:dyDescent="0.2">
      <c r="G19920" s="7"/>
    </row>
    <row r="19921" spans="7:7" x14ac:dyDescent="0.2">
      <c r="G19921" s="7"/>
    </row>
    <row r="19922" spans="7:7" x14ac:dyDescent="0.2">
      <c r="G19922" s="7"/>
    </row>
    <row r="19923" spans="7:7" x14ac:dyDescent="0.2">
      <c r="G19923" s="7"/>
    </row>
    <row r="19924" spans="7:7" x14ac:dyDescent="0.2">
      <c r="G19924" s="7"/>
    </row>
    <row r="19925" spans="7:7" x14ac:dyDescent="0.2">
      <c r="G19925" s="7"/>
    </row>
    <row r="19926" spans="7:7" x14ac:dyDescent="0.2">
      <c r="G19926" s="7"/>
    </row>
    <row r="19927" spans="7:7" x14ac:dyDescent="0.2">
      <c r="G19927" s="7"/>
    </row>
    <row r="19928" spans="7:7" x14ac:dyDescent="0.2">
      <c r="G19928" s="7"/>
    </row>
    <row r="19929" spans="7:7" x14ac:dyDescent="0.2">
      <c r="G19929" s="7"/>
    </row>
    <row r="19930" spans="7:7" x14ac:dyDescent="0.2">
      <c r="G19930" s="7"/>
    </row>
    <row r="19931" spans="7:7" x14ac:dyDescent="0.2">
      <c r="G19931" s="7"/>
    </row>
    <row r="19932" spans="7:7" x14ac:dyDescent="0.2">
      <c r="G19932" s="7"/>
    </row>
    <row r="19933" spans="7:7" x14ac:dyDescent="0.2">
      <c r="G19933" s="7"/>
    </row>
    <row r="19934" spans="7:7" x14ac:dyDescent="0.2">
      <c r="G19934" s="7"/>
    </row>
    <row r="19935" spans="7:7" x14ac:dyDescent="0.2">
      <c r="G19935" s="7"/>
    </row>
    <row r="19936" spans="7:7" x14ac:dyDescent="0.2">
      <c r="G19936" s="7"/>
    </row>
    <row r="19937" spans="7:7" x14ac:dyDescent="0.2">
      <c r="G19937" s="7"/>
    </row>
    <row r="19938" spans="7:7" x14ac:dyDescent="0.2">
      <c r="G19938" s="7"/>
    </row>
    <row r="19939" spans="7:7" x14ac:dyDescent="0.2">
      <c r="G19939" s="7"/>
    </row>
    <row r="19940" spans="7:7" x14ac:dyDescent="0.2">
      <c r="G19940" s="7"/>
    </row>
    <row r="19941" spans="7:7" x14ac:dyDescent="0.2">
      <c r="G19941" s="7"/>
    </row>
    <row r="19942" spans="7:7" x14ac:dyDescent="0.2">
      <c r="G19942" s="7"/>
    </row>
    <row r="19943" spans="7:7" x14ac:dyDescent="0.2">
      <c r="G19943" s="7"/>
    </row>
    <row r="19944" spans="7:7" x14ac:dyDescent="0.2">
      <c r="G19944" s="7"/>
    </row>
    <row r="19945" spans="7:7" x14ac:dyDescent="0.2">
      <c r="G19945" s="7"/>
    </row>
    <row r="19946" spans="7:7" x14ac:dyDescent="0.2">
      <c r="G19946" s="7"/>
    </row>
    <row r="19947" spans="7:7" x14ac:dyDescent="0.2">
      <c r="G19947" s="7"/>
    </row>
    <row r="19948" spans="7:7" x14ac:dyDescent="0.2">
      <c r="G19948" s="7"/>
    </row>
    <row r="19949" spans="7:7" x14ac:dyDescent="0.2">
      <c r="G19949" s="7"/>
    </row>
    <row r="19950" spans="7:7" x14ac:dyDescent="0.2">
      <c r="G19950" s="7"/>
    </row>
    <row r="19951" spans="7:7" x14ac:dyDescent="0.2">
      <c r="G19951" s="7"/>
    </row>
    <row r="19952" spans="7:7" x14ac:dyDescent="0.2">
      <c r="G19952" s="7"/>
    </row>
    <row r="19953" spans="7:7" x14ac:dyDescent="0.2">
      <c r="G19953" s="7"/>
    </row>
    <row r="19954" spans="7:7" x14ac:dyDescent="0.2">
      <c r="G19954" s="7"/>
    </row>
    <row r="19955" spans="7:7" x14ac:dyDescent="0.2">
      <c r="G19955" s="7"/>
    </row>
    <row r="19956" spans="7:7" x14ac:dyDescent="0.2">
      <c r="G19956" s="7"/>
    </row>
    <row r="19957" spans="7:7" x14ac:dyDescent="0.2">
      <c r="G19957" s="7"/>
    </row>
    <row r="19958" spans="7:7" x14ac:dyDescent="0.2">
      <c r="G19958" s="7"/>
    </row>
    <row r="19959" spans="7:7" x14ac:dyDescent="0.2">
      <c r="G19959" s="7"/>
    </row>
    <row r="19960" spans="7:7" x14ac:dyDescent="0.2">
      <c r="G19960" s="7"/>
    </row>
    <row r="19961" spans="7:7" x14ac:dyDescent="0.2">
      <c r="G19961" s="7"/>
    </row>
    <row r="19962" spans="7:7" x14ac:dyDescent="0.2">
      <c r="G19962" s="7"/>
    </row>
    <row r="19963" spans="7:7" x14ac:dyDescent="0.2">
      <c r="G19963" s="7"/>
    </row>
    <row r="19964" spans="7:7" x14ac:dyDescent="0.2">
      <c r="G19964" s="7"/>
    </row>
    <row r="19965" spans="7:7" x14ac:dyDescent="0.2">
      <c r="G19965" s="7"/>
    </row>
    <row r="19966" spans="7:7" x14ac:dyDescent="0.2">
      <c r="G19966" s="7"/>
    </row>
    <row r="19967" spans="7:7" x14ac:dyDescent="0.2">
      <c r="G19967" s="7"/>
    </row>
    <row r="19968" spans="7:7" x14ac:dyDescent="0.2">
      <c r="G19968" s="7"/>
    </row>
    <row r="19969" spans="7:7" x14ac:dyDescent="0.2">
      <c r="G19969" s="7"/>
    </row>
    <row r="19970" spans="7:7" x14ac:dyDescent="0.2">
      <c r="G19970" s="7"/>
    </row>
    <row r="19971" spans="7:7" x14ac:dyDescent="0.2">
      <c r="G19971" s="7"/>
    </row>
    <row r="19972" spans="7:7" x14ac:dyDescent="0.2">
      <c r="G19972" s="7"/>
    </row>
    <row r="19973" spans="7:7" x14ac:dyDescent="0.2">
      <c r="G19973" s="7"/>
    </row>
    <row r="19974" spans="7:7" x14ac:dyDescent="0.2">
      <c r="G19974" s="7"/>
    </row>
    <row r="19975" spans="7:7" x14ac:dyDescent="0.2">
      <c r="G19975" s="7"/>
    </row>
    <row r="19976" spans="7:7" x14ac:dyDescent="0.2">
      <c r="G19976" s="7"/>
    </row>
    <row r="19977" spans="7:7" x14ac:dyDescent="0.2">
      <c r="G19977" s="7"/>
    </row>
    <row r="19978" spans="7:7" x14ac:dyDescent="0.2">
      <c r="G19978" s="7"/>
    </row>
    <row r="19979" spans="7:7" x14ac:dyDescent="0.2">
      <c r="G19979" s="7"/>
    </row>
    <row r="19980" spans="7:7" x14ac:dyDescent="0.2">
      <c r="G19980" s="7"/>
    </row>
    <row r="19981" spans="7:7" x14ac:dyDescent="0.2">
      <c r="G19981" s="7"/>
    </row>
    <row r="19982" spans="7:7" x14ac:dyDescent="0.2">
      <c r="G19982" s="7"/>
    </row>
    <row r="19983" spans="7:7" x14ac:dyDescent="0.2">
      <c r="G19983" s="7"/>
    </row>
    <row r="19984" spans="7:7" x14ac:dyDescent="0.2">
      <c r="G19984" s="7"/>
    </row>
    <row r="19985" spans="7:7" x14ac:dyDescent="0.2">
      <c r="G19985" s="7"/>
    </row>
    <row r="19986" spans="7:7" x14ac:dyDescent="0.2">
      <c r="G19986" s="7"/>
    </row>
    <row r="19987" spans="7:7" x14ac:dyDescent="0.2">
      <c r="G19987" s="7"/>
    </row>
    <row r="19988" spans="7:7" x14ac:dyDescent="0.2">
      <c r="G19988" s="7"/>
    </row>
    <row r="19989" spans="7:7" x14ac:dyDescent="0.2">
      <c r="G19989" s="7"/>
    </row>
    <row r="19990" spans="7:7" x14ac:dyDescent="0.2">
      <c r="G19990" s="7"/>
    </row>
    <row r="19991" spans="7:7" x14ac:dyDescent="0.2">
      <c r="G19991" s="7"/>
    </row>
    <row r="19992" spans="7:7" x14ac:dyDescent="0.2">
      <c r="G19992" s="7"/>
    </row>
    <row r="19993" spans="7:7" x14ac:dyDescent="0.2">
      <c r="G19993" s="7"/>
    </row>
    <row r="19994" spans="7:7" x14ac:dyDescent="0.2">
      <c r="G19994" s="7"/>
    </row>
    <row r="19995" spans="7:7" x14ac:dyDescent="0.2">
      <c r="G19995" s="7"/>
    </row>
    <row r="19996" spans="7:7" x14ac:dyDescent="0.2">
      <c r="G19996" s="7"/>
    </row>
    <row r="19997" spans="7:7" x14ac:dyDescent="0.2">
      <c r="G19997" s="7"/>
    </row>
    <row r="19998" spans="7:7" x14ac:dyDescent="0.2">
      <c r="G19998" s="7"/>
    </row>
    <row r="19999" spans="7:7" x14ac:dyDescent="0.2">
      <c r="G19999" s="7"/>
    </row>
    <row r="20000" spans="7:7" x14ac:dyDescent="0.2">
      <c r="G20000" s="7"/>
    </row>
    <row r="20001" spans="7:7" x14ac:dyDescent="0.2">
      <c r="G20001" s="7"/>
    </row>
    <row r="20002" spans="7:7" x14ac:dyDescent="0.2">
      <c r="G20002" s="7"/>
    </row>
    <row r="20003" spans="7:7" x14ac:dyDescent="0.2">
      <c r="G20003" s="7"/>
    </row>
    <row r="20004" spans="7:7" x14ac:dyDescent="0.2">
      <c r="G20004" s="7"/>
    </row>
    <row r="20005" spans="7:7" x14ac:dyDescent="0.2">
      <c r="G20005" s="7"/>
    </row>
    <row r="20006" spans="7:7" x14ac:dyDescent="0.2">
      <c r="G20006" s="7"/>
    </row>
    <row r="20007" spans="7:7" x14ac:dyDescent="0.2">
      <c r="G20007" s="7"/>
    </row>
    <row r="20008" spans="7:7" x14ac:dyDescent="0.2">
      <c r="G20008" s="7"/>
    </row>
    <row r="20009" spans="7:7" x14ac:dyDescent="0.2">
      <c r="G20009" s="7"/>
    </row>
    <row r="20010" spans="7:7" x14ac:dyDescent="0.2">
      <c r="G20010" s="7"/>
    </row>
    <row r="20011" spans="7:7" x14ac:dyDescent="0.2">
      <c r="G20011" s="7"/>
    </row>
    <row r="20012" spans="7:7" x14ac:dyDescent="0.2">
      <c r="G20012" s="7"/>
    </row>
    <row r="20013" spans="7:7" x14ac:dyDescent="0.2">
      <c r="G20013" s="7"/>
    </row>
    <row r="20014" spans="7:7" x14ac:dyDescent="0.2">
      <c r="G20014" s="7"/>
    </row>
    <row r="20015" spans="7:7" x14ac:dyDescent="0.2">
      <c r="G20015" s="7"/>
    </row>
    <row r="20016" spans="7:7" x14ac:dyDescent="0.2">
      <c r="G20016" s="7"/>
    </row>
    <row r="20017" spans="7:7" x14ac:dyDescent="0.2">
      <c r="G20017" s="7"/>
    </row>
    <row r="20018" spans="7:7" x14ac:dyDescent="0.2">
      <c r="G20018" s="7"/>
    </row>
    <row r="20019" spans="7:7" x14ac:dyDescent="0.2">
      <c r="G20019" s="7"/>
    </row>
    <row r="20020" spans="7:7" x14ac:dyDescent="0.2">
      <c r="G20020" s="7"/>
    </row>
    <row r="20021" spans="7:7" x14ac:dyDescent="0.2">
      <c r="G20021" s="7"/>
    </row>
    <row r="20022" spans="7:7" x14ac:dyDescent="0.2">
      <c r="G20022" s="7"/>
    </row>
    <row r="20023" spans="7:7" x14ac:dyDescent="0.2">
      <c r="G20023" s="7"/>
    </row>
    <row r="20024" spans="7:7" x14ac:dyDescent="0.2">
      <c r="G20024" s="7"/>
    </row>
    <row r="20025" spans="7:7" x14ac:dyDescent="0.2">
      <c r="G20025" s="7"/>
    </row>
    <row r="20026" spans="7:7" x14ac:dyDescent="0.2">
      <c r="G20026" s="7"/>
    </row>
    <row r="20027" spans="7:7" x14ac:dyDescent="0.2">
      <c r="G20027" s="7"/>
    </row>
    <row r="20028" spans="7:7" x14ac:dyDescent="0.2">
      <c r="G20028" s="7"/>
    </row>
    <row r="20029" spans="7:7" x14ac:dyDescent="0.2">
      <c r="G20029" s="7"/>
    </row>
    <row r="20030" spans="7:7" x14ac:dyDescent="0.2">
      <c r="G20030" s="7"/>
    </row>
    <row r="20031" spans="7:7" x14ac:dyDescent="0.2">
      <c r="G20031" s="7"/>
    </row>
    <row r="20032" spans="7:7" x14ac:dyDescent="0.2">
      <c r="G20032" s="7"/>
    </row>
    <row r="20033" spans="7:7" x14ac:dyDescent="0.2">
      <c r="G20033" s="7"/>
    </row>
    <row r="20034" spans="7:7" x14ac:dyDescent="0.2">
      <c r="G20034" s="7"/>
    </row>
    <row r="20035" spans="7:7" x14ac:dyDescent="0.2">
      <c r="G20035" s="7"/>
    </row>
    <row r="20036" spans="7:7" x14ac:dyDescent="0.2">
      <c r="G20036" s="7"/>
    </row>
    <row r="20037" spans="7:7" x14ac:dyDescent="0.2">
      <c r="G20037" s="7"/>
    </row>
    <row r="20038" spans="7:7" x14ac:dyDescent="0.2">
      <c r="G20038" s="7"/>
    </row>
    <row r="20039" spans="7:7" x14ac:dyDescent="0.2">
      <c r="G20039" s="7"/>
    </row>
    <row r="20040" spans="7:7" x14ac:dyDescent="0.2">
      <c r="G20040" s="7"/>
    </row>
    <row r="20041" spans="7:7" x14ac:dyDescent="0.2">
      <c r="G20041" s="7"/>
    </row>
    <row r="20042" spans="7:7" x14ac:dyDescent="0.2">
      <c r="G20042" s="7"/>
    </row>
    <row r="20043" spans="7:7" x14ac:dyDescent="0.2">
      <c r="G20043" s="7"/>
    </row>
    <row r="20044" spans="7:7" x14ac:dyDescent="0.2">
      <c r="G20044" s="7"/>
    </row>
    <row r="20045" spans="7:7" x14ac:dyDescent="0.2">
      <c r="G20045" s="7"/>
    </row>
    <row r="20046" spans="7:7" x14ac:dyDescent="0.2">
      <c r="G20046" s="7"/>
    </row>
    <row r="20047" spans="7:7" x14ac:dyDescent="0.2">
      <c r="G20047" s="7"/>
    </row>
    <row r="20048" spans="7:7" x14ac:dyDescent="0.2">
      <c r="G20048" s="7"/>
    </row>
    <row r="20049" spans="7:7" x14ac:dyDescent="0.2">
      <c r="G20049" s="7"/>
    </row>
    <row r="20050" spans="7:7" x14ac:dyDescent="0.2">
      <c r="G20050" s="7"/>
    </row>
    <row r="20051" spans="7:7" x14ac:dyDescent="0.2">
      <c r="G20051" s="7"/>
    </row>
    <row r="20052" spans="7:7" x14ac:dyDescent="0.2">
      <c r="G20052" s="7"/>
    </row>
    <row r="20053" spans="7:7" x14ac:dyDescent="0.2">
      <c r="G20053" s="7"/>
    </row>
    <row r="20054" spans="7:7" x14ac:dyDescent="0.2">
      <c r="G20054" s="7"/>
    </row>
    <row r="20055" spans="7:7" x14ac:dyDescent="0.2">
      <c r="G20055" s="7"/>
    </row>
    <row r="20056" spans="7:7" x14ac:dyDescent="0.2">
      <c r="G20056" s="7"/>
    </row>
    <row r="20057" spans="7:7" x14ac:dyDescent="0.2">
      <c r="G20057" s="7"/>
    </row>
    <row r="20058" spans="7:7" x14ac:dyDescent="0.2">
      <c r="G20058" s="7"/>
    </row>
    <row r="20059" spans="7:7" x14ac:dyDescent="0.2">
      <c r="G20059" s="7"/>
    </row>
    <row r="20060" spans="7:7" x14ac:dyDescent="0.2">
      <c r="G20060" s="7"/>
    </row>
    <row r="20061" spans="7:7" x14ac:dyDescent="0.2">
      <c r="G20061" s="7"/>
    </row>
    <row r="20062" spans="7:7" x14ac:dyDescent="0.2">
      <c r="G20062" s="7"/>
    </row>
    <row r="20063" spans="7:7" x14ac:dyDescent="0.2">
      <c r="G20063" s="7"/>
    </row>
    <row r="20064" spans="7:7" x14ac:dyDescent="0.2">
      <c r="G20064" s="7"/>
    </row>
    <row r="20065" spans="7:7" x14ac:dyDescent="0.2">
      <c r="G20065" s="7"/>
    </row>
    <row r="20066" spans="7:7" x14ac:dyDescent="0.2">
      <c r="G20066" s="7"/>
    </row>
    <row r="20067" spans="7:7" x14ac:dyDescent="0.2">
      <c r="G20067" s="7"/>
    </row>
    <row r="20068" spans="7:7" x14ac:dyDescent="0.2">
      <c r="G20068" s="7"/>
    </row>
    <row r="20069" spans="7:7" x14ac:dyDescent="0.2">
      <c r="G20069" s="7"/>
    </row>
    <row r="20070" spans="7:7" x14ac:dyDescent="0.2">
      <c r="G20070" s="7"/>
    </row>
    <row r="20071" spans="7:7" x14ac:dyDescent="0.2">
      <c r="G20071" s="7"/>
    </row>
    <row r="20072" spans="7:7" x14ac:dyDescent="0.2">
      <c r="G20072" s="7"/>
    </row>
    <row r="20073" spans="7:7" x14ac:dyDescent="0.2">
      <c r="G20073" s="7"/>
    </row>
    <row r="20074" spans="7:7" x14ac:dyDescent="0.2">
      <c r="G20074" s="7"/>
    </row>
    <row r="20075" spans="7:7" x14ac:dyDescent="0.2">
      <c r="G20075" s="7"/>
    </row>
    <row r="20076" spans="7:7" x14ac:dyDescent="0.2">
      <c r="G20076" s="7"/>
    </row>
    <row r="20077" spans="7:7" x14ac:dyDescent="0.2">
      <c r="G20077" s="7"/>
    </row>
    <row r="20078" spans="7:7" x14ac:dyDescent="0.2">
      <c r="G20078" s="7"/>
    </row>
    <row r="20079" spans="7:7" x14ac:dyDescent="0.2">
      <c r="G20079" s="7"/>
    </row>
    <row r="20080" spans="7:7" x14ac:dyDescent="0.2">
      <c r="G20080" s="7"/>
    </row>
    <row r="20081" spans="7:7" x14ac:dyDescent="0.2">
      <c r="G20081" s="7"/>
    </row>
    <row r="20082" spans="7:7" x14ac:dyDescent="0.2">
      <c r="G20082" s="7"/>
    </row>
    <row r="20083" spans="7:7" x14ac:dyDescent="0.2">
      <c r="G20083" s="7"/>
    </row>
    <row r="20084" spans="7:7" x14ac:dyDescent="0.2">
      <c r="G20084" s="7"/>
    </row>
    <row r="20085" spans="7:7" x14ac:dyDescent="0.2">
      <c r="G20085" s="7"/>
    </row>
    <row r="20086" spans="7:7" x14ac:dyDescent="0.2">
      <c r="G20086" s="7"/>
    </row>
    <row r="20087" spans="7:7" x14ac:dyDescent="0.2">
      <c r="G20087" s="7"/>
    </row>
    <row r="20088" spans="7:7" x14ac:dyDescent="0.2">
      <c r="G20088" s="7"/>
    </row>
    <row r="20089" spans="7:7" x14ac:dyDescent="0.2">
      <c r="G20089" s="7"/>
    </row>
    <row r="20090" spans="7:7" x14ac:dyDescent="0.2">
      <c r="G20090" s="7"/>
    </row>
    <row r="20091" spans="7:7" x14ac:dyDescent="0.2">
      <c r="G20091" s="7"/>
    </row>
    <row r="20092" spans="7:7" x14ac:dyDescent="0.2">
      <c r="G20092" s="7"/>
    </row>
    <row r="20093" spans="7:7" x14ac:dyDescent="0.2">
      <c r="G20093" s="7"/>
    </row>
    <row r="20094" spans="7:7" x14ac:dyDescent="0.2">
      <c r="G20094" s="7"/>
    </row>
    <row r="20095" spans="7:7" x14ac:dyDescent="0.2">
      <c r="G20095" s="7"/>
    </row>
    <row r="20096" spans="7:7" x14ac:dyDescent="0.2">
      <c r="G20096" s="7"/>
    </row>
    <row r="20097" spans="7:7" x14ac:dyDescent="0.2">
      <c r="G20097" s="7"/>
    </row>
    <row r="20098" spans="7:7" x14ac:dyDescent="0.2">
      <c r="G20098" s="7"/>
    </row>
    <row r="20099" spans="7:7" x14ac:dyDescent="0.2">
      <c r="G20099" s="7"/>
    </row>
    <row r="20100" spans="7:7" x14ac:dyDescent="0.2">
      <c r="G20100" s="7"/>
    </row>
    <row r="20101" spans="7:7" x14ac:dyDescent="0.2">
      <c r="G20101" s="7"/>
    </row>
    <row r="20102" spans="7:7" x14ac:dyDescent="0.2">
      <c r="G20102" s="7"/>
    </row>
    <row r="20103" spans="7:7" x14ac:dyDescent="0.2">
      <c r="G20103" s="7"/>
    </row>
    <row r="20104" spans="7:7" x14ac:dyDescent="0.2">
      <c r="G20104" s="7"/>
    </row>
    <row r="20105" spans="7:7" x14ac:dyDescent="0.2">
      <c r="G20105" s="7"/>
    </row>
    <row r="20106" spans="7:7" x14ac:dyDescent="0.2">
      <c r="G20106" s="7"/>
    </row>
    <row r="20107" spans="7:7" x14ac:dyDescent="0.2">
      <c r="G20107" s="7"/>
    </row>
    <row r="20108" spans="7:7" x14ac:dyDescent="0.2">
      <c r="G20108" s="7"/>
    </row>
    <row r="20109" spans="7:7" x14ac:dyDescent="0.2">
      <c r="G20109" s="7"/>
    </row>
    <row r="20110" spans="7:7" x14ac:dyDescent="0.2">
      <c r="G20110" s="7"/>
    </row>
    <row r="20111" spans="7:7" x14ac:dyDescent="0.2">
      <c r="G20111" s="7"/>
    </row>
    <row r="20112" spans="7:7" x14ac:dyDescent="0.2">
      <c r="G20112" s="7"/>
    </row>
    <row r="20113" spans="7:7" x14ac:dyDescent="0.2">
      <c r="G20113" s="7"/>
    </row>
    <row r="20114" spans="7:7" x14ac:dyDescent="0.2">
      <c r="G20114" s="7"/>
    </row>
    <row r="20115" spans="7:7" x14ac:dyDescent="0.2">
      <c r="G20115" s="7"/>
    </row>
    <row r="20116" spans="7:7" x14ac:dyDescent="0.2">
      <c r="G20116" s="7"/>
    </row>
    <row r="20117" spans="7:7" x14ac:dyDescent="0.2">
      <c r="G20117" s="7"/>
    </row>
    <row r="20118" spans="7:7" x14ac:dyDescent="0.2">
      <c r="G20118" s="7"/>
    </row>
    <row r="20119" spans="7:7" x14ac:dyDescent="0.2">
      <c r="G20119" s="7"/>
    </row>
    <row r="20120" spans="7:7" x14ac:dyDescent="0.2">
      <c r="G20120" s="7"/>
    </row>
    <row r="20121" spans="7:7" x14ac:dyDescent="0.2">
      <c r="G20121" s="7"/>
    </row>
    <row r="20122" spans="7:7" x14ac:dyDescent="0.2">
      <c r="G20122" s="7"/>
    </row>
    <row r="20123" spans="7:7" x14ac:dyDescent="0.2">
      <c r="G20123" s="7"/>
    </row>
    <row r="20124" spans="7:7" x14ac:dyDescent="0.2">
      <c r="G20124" s="7"/>
    </row>
    <row r="20125" spans="7:7" x14ac:dyDescent="0.2">
      <c r="G20125" s="7"/>
    </row>
    <row r="20126" spans="7:7" x14ac:dyDescent="0.2">
      <c r="G20126" s="7"/>
    </row>
    <row r="20127" spans="7:7" x14ac:dyDescent="0.2">
      <c r="G20127" s="7"/>
    </row>
    <row r="20128" spans="7:7" x14ac:dyDescent="0.2">
      <c r="G20128" s="7"/>
    </row>
    <row r="20129" spans="7:7" x14ac:dyDescent="0.2">
      <c r="G20129" s="7"/>
    </row>
    <row r="20130" spans="7:7" x14ac:dyDescent="0.2">
      <c r="G20130" s="7"/>
    </row>
    <row r="20131" spans="7:7" x14ac:dyDescent="0.2">
      <c r="G20131" s="7"/>
    </row>
    <row r="20132" spans="7:7" x14ac:dyDescent="0.2">
      <c r="G20132" s="7"/>
    </row>
    <row r="20133" spans="7:7" x14ac:dyDescent="0.2">
      <c r="G20133" s="7"/>
    </row>
    <row r="20134" spans="7:7" x14ac:dyDescent="0.2">
      <c r="G20134" s="7"/>
    </row>
    <row r="20135" spans="7:7" x14ac:dyDescent="0.2">
      <c r="G20135" s="7"/>
    </row>
    <row r="20136" spans="7:7" x14ac:dyDescent="0.2">
      <c r="G20136" s="7"/>
    </row>
    <row r="20137" spans="7:7" x14ac:dyDescent="0.2">
      <c r="G20137" s="7"/>
    </row>
    <row r="20138" spans="7:7" x14ac:dyDescent="0.2">
      <c r="G20138" s="7"/>
    </row>
    <row r="20139" spans="7:7" x14ac:dyDescent="0.2">
      <c r="G20139" s="7"/>
    </row>
    <row r="20140" spans="7:7" x14ac:dyDescent="0.2">
      <c r="G20140" s="7"/>
    </row>
    <row r="20141" spans="7:7" x14ac:dyDescent="0.2">
      <c r="G20141" s="7"/>
    </row>
    <row r="20142" spans="7:7" x14ac:dyDescent="0.2">
      <c r="G20142" s="7"/>
    </row>
    <row r="20143" spans="7:7" x14ac:dyDescent="0.2">
      <c r="G20143" s="7"/>
    </row>
    <row r="20144" spans="7:7" x14ac:dyDescent="0.2">
      <c r="G20144" s="7"/>
    </row>
    <row r="20145" spans="7:7" x14ac:dyDescent="0.2">
      <c r="G20145" s="7"/>
    </row>
    <row r="20146" spans="7:7" x14ac:dyDescent="0.2">
      <c r="G20146" s="7"/>
    </row>
    <row r="20147" spans="7:7" x14ac:dyDescent="0.2">
      <c r="G20147" s="7"/>
    </row>
    <row r="20148" spans="7:7" x14ac:dyDescent="0.2">
      <c r="G20148" s="7"/>
    </row>
    <row r="20149" spans="7:7" x14ac:dyDescent="0.2">
      <c r="G20149" s="7"/>
    </row>
    <row r="20150" spans="7:7" x14ac:dyDescent="0.2">
      <c r="G20150" s="7"/>
    </row>
    <row r="20151" spans="7:7" x14ac:dyDescent="0.2">
      <c r="G20151" s="7"/>
    </row>
    <row r="20152" spans="7:7" x14ac:dyDescent="0.2">
      <c r="G20152" s="7"/>
    </row>
    <row r="20153" spans="7:7" x14ac:dyDescent="0.2">
      <c r="G20153" s="7"/>
    </row>
    <row r="20154" spans="7:7" x14ac:dyDescent="0.2">
      <c r="G20154" s="7"/>
    </row>
    <row r="20155" spans="7:7" x14ac:dyDescent="0.2">
      <c r="G20155" s="7"/>
    </row>
    <row r="20156" spans="7:7" x14ac:dyDescent="0.2">
      <c r="G20156" s="7"/>
    </row>
    <row r="20157" spans="7:7" x14ac:dyDescent="0.2">
      <c r="G20157" s="7"/>
    </row>
    <row r="20158" spans="7:7" x14ac:dyDescent="0.2">
      <c r="G20158" s="7"/>
    </row>
    <row r="20159" spans="7:7" x14ac:dyDescent="0.2">
      <c r="G20159" s="7"/>
    </row>
    <row r="20160" spans="7:7" x14ac:dyDescent="0.2">
      <c r="G20160" s="7"/>
    </row>
    <row r="20161" spans="7:7" x14ac:dyDescent="0.2">
      <c r="G20161" s="7"/>
    </row>
    <row r="20162" spans="7:7" x14ac:dyDescent="0.2">
      <c r="G20162" s="7"/>
    </row>
    <row r="20163" spans="7:7" x14ac:dyDescent="0.2">
      <c r="G20163" s="7"/>
    </row>
    <row r="20164" spans="7:7" x14ac:dyDescent="0.2">
      <c r="G20164" s="7"/>
    </row>
    <row r="20165" spans="7:7" x14ac:dyDescent="0.2">
      <c r="G20165" s="7"/>
    </row>
    <row r="20166" spans="7:7" x14ac:dyDescent="0.2">
      <c r="G20166" s="7"/>
    </row>
    <row r="20167" spans="7:7" x14ac:dyDescent="0.2">
      <c r="G20167" s="7"/>
    </row>
    <row r="20168" spans="7:7" x14ac:dyDescent="0.2">
      <c r="G20168" s="7"/>
    </row>
    <row r="20169" spans="7:7" x14ac:dyDescent="0.2">
      <c r="G20169" s="7"/>
    </row>
    <row r="20170" spans="7:7" x14ac:dyDescent="0.2">
      <c r="G20170" s="7"/>
    </row>
    <row r="20171" spans="7:7" x14ac:dyDescent="0.2">
      <c r="G20171" s="7"/>
    </row>
    <row r="20172" spans="7:7" x14ac:dyDescent="0.2">
      <c r="G20172" s="7"/>
    </row>
    <row r="20173" spans="7:7" x14ac:dyDescent="0.2">
      <c r="G20173" s="7"/>
    </row>
    <row r="20174" spans="7:7" x14ac:dyDescent="0.2">
      <c r="G20174" s="7"/>
    </row>
    <row r="20175" spans="7:7" x14ac:dyDescent="0.2">
      <c r="G20175" s="7"/>
    </row>
    <row r="20176" spans="7:7" x14ac:dyDescent="0.2">
      <c r="G20176" s="7"/>
    </row>
    <row r="20177" spans="7:7" x14ac:dyDescent="0.2">
      <c r="G20177" s="7"/>
    </row>
    <row r="20178" spans="7:7" x14ac:dyDescent="0.2">
      <c r="G20178" s="7"/>
    </row>
    <row r="20179" spans="7:7" x14ac:dyDescent="0.2">
      <c r="G20179" s="7"/>
    </row>
    <row r="20180" spans="7:7" x14ac:dyDescent="0.2">
      <c r="G20180" s="7"/>
    </row>
    <row r="20181" spans="7:7" x14ac:dyDescent="0.2">
      <c r="G20181" s="7"/>
    </row>
    <row r="20182" spans="7:7" x14ac:dyDescent="0.2">
      <c r="G20182" s="7"/>
    </row>
    <row r="20183" spans="7:7" x14ac:dyDescent="0.2">
      <c r="G20183" s="7"/>
    </row>
    <row r="20184" spans="7:7" x14ac:dyDescent="0.2">
      <c r="G20184" s="7"/>
    </row>
    <row r="20185" spans="7:7" x14ac:dyDescent="0.2">
      <c r="G20185" s="7"/>
    </row>
    <row r="20186" spans="7:7" x14ac:dyDescent="0.2">
      <c r="G20186" s="7"/>
    </row>
    <row r="20187" spans="7:7" x14ac:dyDescent="0.2">
      <c r="G20187" s="7"/>
    </row>
    <row r="20188" spans="7:7" x14ac:dyDescent="0.2">
      <c r="G20188" s="7"/>
    </row>
    <row r="20189" spans="7:7" x14ac:dyDescent="0.2">
      <c r="G20189" s="7"/>
    </row>
    <row r="20190" spans="7:7" x14ac:dyDescent="0.2">
      <c r="G20190" s="7"/>
    </row>
    <row r="20191" spans="7:7" x14ac:dyDescent="0.2">
      <c r="G20191" s="7"/>
    </row>
    <row r="20192" spans="7:7" x14ac:dyDescent="0.2">
      <c r="G20192" s="7"/>
    </row>
    <row r="20193" spans="7:7" x14ac:dyDescent="0.2">
      <c r="G20193" s="7"/>
    </row>
    <row r="20194" spans="7:7" x14ac:dyDescent="0.2">
      <c r="G20194" s="7"/>
    </row>
    <row r="20195" spans="7:7" x14ac:dyDescent="0.2">
      <c r="G20195" s="7"/>
    </row>
    <row r="20196" spans="7:7" x14ac:dyDescent="0.2">
      <c r="G20196" s="7"/>
    </row>
    <row r="20197" spans="7:7" x14ac:dyDescent="0.2">
      <c r="G20197" s="7"/>
    </row>
    <row r="20198" spans="7:7" x14ac:dyDescent="0.2">
      <c r="G20198" s="7"/>
    </row>
    <row r="20199" spans="7:7" x14ac:dyDescent="0.2">
      <c r="G20199" s="7"/>
    </row>
    <row r="20200" spans="7:7" x14ac:dyDescent="0.2">
      <c r="G20200" s="7"/>
    </row>
    <row r="20201" spans="7:7" x14ac:dyDescent="0.2">
      <c r="G20201" s="7"/>
    </row>
    <row r="20202" spans="7:7" x14ac:dyDescent="0.2">
      <c r="G20202" s="7"/>
    </row>
    <row r="20203" spans="7:7" x14ac:dyDescent="0.2">
      <c r="G20203" s="7"/>
    </row>
    <row r="20204" spans="7:7" x14ac:dyDescent="0.2">
      <c r="G20204" s="7"/>
    </row>
    <row r="20205" spans="7:7" x14ac:dyDescent="0.2">
      <c r="G20205" s="7"/>
    </row>
    <row r="20206" spans="7:7" x14ac:dyDescent="0.2">
      <c r="G20206" s="7"/>
    </row>
    <row r="20207" spans="7:7" x14ac:dyDescent="0.2">
      <c r="G20207" s="7"/>
    </row>
    <row r="20208" spans="7:7" x14ac:dyDescent="0.2">
      <c r="G20208" s="7"/>
    </row>
    <row r="20209" spans="7:7" x14ac:dyDescent="0.2">
      <c r="G20209" s="7"/>
    </row>
    <row r="20210" spans="7:7" x14ac:dyDescent="0.2">
      <c r="G20210" s="7"/>
    </row>
    <row r="20211" spans="7:7" x14ac:dyDescent="0.2">
      <c r="G20211" s="7"/>
    </row>
    <row r="20212" spans="7:7" x14ac:dyDescent="0.2">
      <c r="G20212" s="7"/>
    </row>
    <row r="20213" spans="7:7" x14ac:dyDescent="0.2">
      <c r="G20213" s="7"/>
    </row>
    <row r="20214" spans="7:7" x14ac:dyDescent="0.2">
      <c r="G20214" s="7"/>
    </row>
    <row r="20215" spans="7:7" x14ac:dyDescent="0.2">
      <c r="G20215" s="7"/>
    </row>
    <row r="20216" spans="7:7" x14ac:dyDescent="0.2">
      <c r="G20216" s="7"/>
    </row>
    <row r="20217" spans="7:7" x14ac:dyDescent="0.2">
      <c r="G20217" s="7"/>
    </row>
    <row r="20218" spans="7:7" x14ac:dyDescent="0.2">
      <c r="G20218" s="7"/>
    </row>
    <row r="20219" spans="7:7" x14ac:dyDescent="0.2">
      <c r="G20219" s="7"/>
    </row>
    <row r="20220" spans="7:7" x14ac:dyDescent="0.2">
      <c r="G20220" s="7"/>
    </row>
    <row r="20221" spans="7:7" x14ac:dyDescent="0.2">
      <c r="G20221" s="7"/>
    </row>
    <row r="20222" spans="7:7" x14ac:dyDescent="0.2">
      <c r="G20222" s="7"/>
    </row>
    <row r="20223" spans="7:7" x14ac:dyDescent="0.2">
      <c r="G20223" s="7"/>
    </row>
    <row r="20224" spans="7:7" x14ac:dyDescent="0.2">
      <c r="G20224" s="7"/>
    </row>
    <row r="20225" spans="7:7" x14ac:dyDescent="0.2">
      <c r="G20225" s="7"/>
    </row>
    <row r="20226" spans="7:7" x14ac:dyDescent="0.2">
      <c r="G20226" s="7"/>
    </row>
    <row r="20227" spans="7:7" x14ac:dyDescent="0.2">
      <c r="G20227" s="7"/>
    </row>
    <row r="20228" spans="7:7" x14ac:dyDescent="0.2">
      <c r="G20228" s="7"/>
    </row>
    <row r="20229" spans="7:7" x14ac:dyDescent="0.2">
      <c r="G20229" s="7"/>
    </row>
    <row r="20230" spans="7:7" x14ac:dyDescent="0.2">
      <c r="G20230" s="7"/>
    </row>
    <row r="20231" spans="7:7" x14ac:dyDescent="0.2">
      <c r="G20231" s="7"/>
    </row>
    <row r="20232" spans="7:7" x14ac:dyDescent="0.2">
      <c r="G20232" s="7"/>
    </row>
    <row r="20233" spans="7:7" x14ac:dyDescent="0.2">
      <c r="G20233" s="7"/>
    </row>
    <row r="20234" spans="7:7" x14ac:dyDescent="0.2">
      <c r="G20234" s="7"/>
    </row>
    <row r="20235" spans="7:7" x14ac:dyDescent="0.2">
      <c r="G20235" s="7"/>
    </row>
    <row r="20236" spans="7:7" x14ac:dyDescent="0.2">
      <c r="G20236" s="7"/>
    </row>
    <row r="20237" spans="7:7" x14ac:dyDescent="0.2">
      <c r="G20237" s="7"/>
    </row>
    <row r="20238" spans="7:7" x14ac:dyDescent="0.2">
      <c r="G20238" s="7"/>
    </row>
    <row r="20239" spans="7:7" x14ac:dyDescent="0.2">
      <c r="G20239" s="7"/>
    </row>
    <row r="20240" spans="7:7" x14ac:dyDescent="0.2">
      <c r="G20240" s="7"/>
    </row>
    <row r="20241" spans="7:7" x14ac:dyDescent="0.2">
      <c r="G20241" s="7"/>
    </row>
    <row r="20242" spans="7:7" x14ac:dyDescent="0.2">
      <c r="G20242" s="7"/>
    </row>
    <row r="20243" spans="7:7" x14ac:dyDescent="0.2">
      <c r="G20243" s="7"/>
    </row>
    <row r="20244" spans="7:7" x14ac:dyDescent="0.2">
      <c r="G20244" s="7"/>
    </row>
    <row r="20245" spans="7:7" x14ac:dyDescent="0.2">
      <c r="G20245" s="7"/>
    </row>
    <row r="20246" spans="7:7" x14ac:dyDescent="0.2">
      <c r="G20246" s="7"/>
    </row>
    <row r="20247" spans="7:7" x14ac:dyDescent="0.2">
      <c r="G20247" s="7"/>
    </row>
    <row r="20248" spans="7:7" x14ac:dyDescent="0.2">
      <c r="G20248" s="7"/>
    </row>
    <row r="20249" spans="7:7" x14ac:dyDescent="0.2">
      <c r="G20249" s="7"/>
    </row>
    <row r="20250" spans="7:7" x14ac:dyDescent="0.2">
      <c r="G20250" s="7"/>
    </row>
    <row r="20251" spans="7:7" x14ac:dyDescent="0.2">
      <c r="G20251" s="7"/>
    </row>
    <row r="20252" spans="7:7" x14ac:dyDescent="0.2">
      <c r="G20252" s="7"/>
    </row>
    <row r="20253" spans="7:7" x14ac:dyDescent="0.2">
      <c r="G20253" s="7"/>
    </row>
    <row r="20254" spans="7:7" x14ac:dyDescent="0.2">
      <c r="G20254" s="7"/>
    </row>
    <row r="20255" spans="7:7" x14ac:dyDescent="0.2">
      <c r="G20255" s="7"/>
    </row>
    <row r="20256" spans="7:7" x14ac:dyDescent="0.2">
      <c r="G20256" s="7"/>
    </row>
    <row r="20257" spans="7:7" x14ac:dyDescent="0.2">
      <c r="G20257" s="7"/>
    </row>
    <row r="20258" spans="7:7" x14ac:dyDescent="0.2">
      <c r="G20258" s="7"/>
    </row>
    <row r="20259" spans="7:7" x14ac:dyDescent="0.2">
      <c r="G20259" s="7"/>
    </row>
    <row r="20260" spans="7:7" x14ac:dyDescent="0.2">
      <c r="G20260" s="7"/>
    </row>
    <row r="20261" spans="7:7" x14ac:dyDescent="0.2">
      <c r="G20261" s="7"/>
    </row>
    <row r="20262" spans="7:7" x14ac:dyDescent="0.2">
      <c r="G20262" s="7"/>
    </row>
    <row r="20263" spans="7:7" x14ac:dyDescent="0.2">
      <c r="G20263" s="7"/>
    </row>
    <row r="20264" spans="7:7" x14ac:dyDescent="0.2">
      <c r="G20264" s="7"/>
    </row>
    <row r="20265" spans="7:7" x14ac:dyDescent="0.2">
      <c r="G20265" s="7"/>
    </row>
    <row r="20266" spans="7:7" x14ac:dyDescent="0.2">
      <c r="G20266" s="7"/>
    </row>
    <row r="20267" spans="7:7" x14ac:dyDescent="0.2">
      <c r="G20267" s="7"/>
    </row>
    <row r="20268" spans="7:7" x14ac:dyDescent="0.2">
      <c r="G20268" s="7"/>
    </row>
    <row r="20269" spans="7:7" x14ac:dyDescent="0.2">
      <c r="G20269" s="7"/>
    </row>
    <row r="20270" spans="7:7" x14ac:dyDescent="0.2">
      <c r="G20270" s="7"/>
    </row>
    <row r="20271" spans="7:7" x14ac:dyDescent="0.2">
      <c r="G20271" s="7"/>
    </row>
    <row r="20272" spans="7:7" x14ac:dyDescent="0.2">
      <c r="G20272" s="7"/>
    </row>
    <row r="20273" spans="7:7" x14ac:dyDescent="0.2">
      <c r="G20273" s="7"/>
    </row>
    <row r="20274" spans="7:7" x14ac:dyDescent="0.2">
      <c r="G20274" s="7"/>
    </row>
    <row r="20275" spans="7:7" x14ac:dyDescent="0.2">
      <c r="G20275" s="7"/>
    </row>
    <row r="20276" spans="7:7" x14ac:dyDescent="0.2">
      <c r="G20276" s="7"/>
    </row>
    <row r="20277" spans="7:7" x14ac:dyDescent="0.2">
      <c r="G20277" s="7"/>
    </row>
    <row r="20278" spans="7:7" x14ac:dyDescent="0.2">
      <c r="G20278" s="7"/>
    </row>
    <row r="20279" spans="7:7" x14ac:dyDescent="0.2">
      <c r="G20279" s="7"/>
    </row>
    <row r="20280" spans="7:7" x14ac:dyDescent="0.2">
      <c r="G20280" s="7"/>
    </row>
    <row r="20281" spans="7:7" x14ac:dyDescent="0.2">
      <c r="G20281" s="7"/>
    </row>
    <row r="20282" spans="7:7" x14ac:dyDescent="0.2">
      <c r="G20282" s="7"/>
    </row>
    <row r="20283" spans="7:7" x14ac:dyDescent="0.2">
      <c r="G20283" s="7"/>
    </row>
    <row r="20284" spans="7:7" x14ac:dyDescent="0.2">
      <c r="G20284" s="7"/>
    </row>
    <row r="20285" spans="7:7" x14ac:dyDescent="0.2">
      <c r="G20285" s="7"/>
    </row>
    <row r="20286" spans="7:7" x14ac:dyDescent="0.2">
      <c r="G20286" s="7"/>
    </row>
    <row r="20287" spans="7:7" x14ac:dyDescent="0.2">
      <c r="G20287" s="7"/>
    </row>
    <row r="20288" spans="7:7" x14ac:dyDescent="0.2">
      <c r="G20288" s="7"/>
    </row>
    <row r="20289" spans="7:7" x14ac:dyDescent="0.2">
      <c r="G20289" s="7"/>
    </row>
    <row r="20290" spans="7:7" x14ac:dyDescent="0.2">
      <c r="G20290" s="7"/>
    </row>
    <row r="20291" spans="7:7" x14ac:dyDescent="0.2">
      <c r="G20291" s="7"/>
    </row>
    <row r="20292" spans="7:7" x14ac:dyDescent="0.2">
      <c r="G20292" s="7"/>
    </row>
    <row r="20293" spans="7:7" x14ac:dyDescent="0.2">
      <c r="G20293" s="7"/>
    </row>
    <row r="20294" spans="7:7" x14ac:dyDescent="0.2">
      <c r="G20294" s="7"/>
    </row>
    <row r="20295" spans="7:7" x14ac:dyDescent="0.2">
      <c r="G20295" s="7"/>
    </row>
    <row r="20296" spans="7:7" x14ac:dyDescent="0.2">
      <c r="G20296" s="7"/>
    </row>
    <row r="20297" spans="7:7" x14ac:dyDescent="0.2">
      <c r="G20297" s="7"/>
    </row>
    <row r="20298" spans="7:7" x14ac:dyDescent="0.2">
      <c r="G20298" s="7"/>
    </row>
    <row r="20299" spans="7:7" x14ac:dyDescent="0.2">
      <c r="G20299" s="7"/>
    </row>
    <row r="20300" spans="7:7" x14ac:dyDescent="0.2">
      <c r="G20300" s="7"/>
    </row>
    <row r="20301" spans="7:7" x14ac:dyDescent="0.2">
      <c r="G20301" s="7"/>
    </row>
    <row r="20302" spans="7:7" x14ac:dyDescent="0.2">
      <c r="G20302" s="7"/>
    </row>
    <row r="20303" spans="7:7" x14ac:dyDescent="0.2">
      <c r="G20303" s="7"/>
    </row>
    <row r="20304" spans="7:7" x14ac:dyDescent="0.2">
      <c r="G20304" s="7"/>
    </row>
    <row r="20305" spans="7:7" x14ac:dyDescent="0.2">
      <c r="G20305" s="7"/>
    </row>
    <row r="20306" spans="7:7" x14ac:dyDescent="0.2">
      <c r="G20306" s="7"/>
    </row>
    <row r="20307" spans="7:7" x14ac:dyDescent="0.2">
      <c r="G20307" s="7"/>
    </row>
    <row r="20308" spans="7:7" x14ac:dyDescent="0.2">
      <c r="G20308" s="7"/>
    </row>
    <row r="20309" spans="7:7" x14ac:dyDescent="0.2">
      <c r="G20309" s="7"/>
    </row>
    <row r="20310" spans="7:7" x14ac:dyDescent="0.2">
      <c r="G20310" s="7"/>
    </row>
    <row r="20311" spans="7:7" x14ac:dyDescent="0.2">
      <c r="G20311" s="7"/>
    </row>
    <row r="20312" spans="7:7" x14ac:dyDescent="0.2">
      <c r="G20312" s="7"/>
    </row>
    <row r="20313" spans="7:7" x14ac:dyDescent="0.2">
      <c r="G20313" s="7"/>
    </row>
    <row r="20314" spans="7:7" x14ac:dyDescent="0.2">
      <c r="G20314" s="7"/>
    </row>
    <row r="20315" spans="7:7" x14ac:dyDescent="0.2">
      <c r="G20315" s="7"/>
    </row>
    <row r="20316" spans="7:7" x14ac:dyDescent="0.2">
      <c r="G20316" s="7"/>
    </row>
    <row r="20317" spans="7:7" x14ac:dyDescent="0.2">
      <c r="G20317" s="7"/>
    </row>
    <row r="20318" spans="7:7" x14ac:dyDescent="0.2">
      <c r="G20318" s="7"/>
    </row>
    <row r="20319" spans="7:7" x14ac:dyDescent="0.2">
      <c r="G20319" s="7"/>
    </row>
    <row r="20320" spans="7:7" x14ac:dyDescent="0.2">
      <c r="G20320" s="7"/>
    </row>
    <row r="20321" spans="7:7" x14ac:dyDescent="0.2">
      <c r="G20321" s="7"/>
    </row>
    <row r="20322" spans="7:7" x14ac:dyDescent="0.2">
      <c r="G20322" s="7"/>
    </row>
    <row r="20323" spans="7:7" x14ac:dyDescent="0.2">
      <c r="G20323" s="7"/>
    </row>
    <row r="20324" spans="7:7" x14ac:dyDescent="0.2">
      <c r="G20324" s="7"/>
    </row>
    <row r="20325" spans="7:7" x14ac:dyDescent="0.2">
      <c r="G20325" s="7"/>
    </row>
    <row r="20326" spans="7:7" x14ac:dyDescent="0.2">
      <c r="G20326" s="7"/>
    </row>
    <row r="20327" spans="7:7" x14ac:dyDescent="0.2">
      <c r="G20327" s="7"/>
    </row>
    <row r="20328" spans="7:7" x14ac:dyDescent="0.2">
      <c r="G20328" s="7"/>
    </row>
    <row r="20329" spans="7:7" x14ac:dyDescent="0.2">
      <c r="G20329" s="7"/>
    </row>
    <row r="20330" spans="7:7" x14ac:dyDescent="0.2">
      <c r="G20330" s="7"/>
    </row>
    <row r="20331" spans="7:7" x14ac:dyDescent="0.2">
      <c r="G20331" s="7"/>
    </row>
    <row r="20332" spans="7:7" x14ac:dyDescent="0.2">
      <c r="G20332" s="7"/>
    </row>
    <row r="20333" spans="7:7" x14ac:dyDescent="0.2">
      <c r="G20333" s="7"/>
    </row>
    <row r="20334" spans="7:7" x14ac:dyDescent="0.2">
      <c r="G20334" s="7"/>
    </row>
    <row r="20335" spans="7:7" x14ac:dyDescent="0.2">
      <c r="G20335" s="7"/>
    </row>
    <row r="20336" spans="7:7" x14ac:dyDescent="0.2">
      <c r="G20336" s="7"/>
    </row>
    <row r="20337" spans="7:7" x14ac:dyDescent="0.2">
      <c r="G20337" s="7"/>
    </row>
    <row r="20338" spans="7:7" x14ac:dyDescent="0.2">
      <c r="G20338" s="7"/>
    </row>
    <row r="20339" spans="7:7" x14ac:dyDescent="0.2">
      <c r="G20339" s="7"/>
    </row>
    <row r="20340" spans="7:7" x14ac:dyDescent="0.2">
      <c r="G20340" s="7"/>
    </row>
    <row r="20341" spans="7:7" x14ac:dyDescent="0.2">
      <c r="G20341" s="7"/>
    </row>
    <row r="20342" spans="7:7" x14ac:dyDescent="0.2">
      <c r="G20342" s="7"/>
    </row>
    <row r="20343" spans="7:7" x14ac:dyDescent="0.2">
      <c r="G20343" s="7"/>
    </row>
    <row r="20344" spans="7:7" x14ac:dyDescent="0.2">
      <c r="G20344" s="7"/>
    </row>
    <row r="20345" spans="7:7" x14ac:dyDescent="0.2">
      <c r="G20345" s="7"/>
    </row>
    <row r="20346" spans="7:7" x14ac:dyDescent="0.2">
      <c r="G20346" s="7"/>
    </row>
    <row r="20347" spans="7:7" x14ac:dyDescent="0.2">
      <c r="G20347" s="7"/>
    </row>
    <row r="20348" spans="7:7" x14ac:dyDescent="0.2">
      <c r="G20348" s="7"/>
    </row>
    <row r="20349" spans="7:7" x14ac:dyDescent="0.2">
      <c r="G20349" s="7"/>
    </row>
    <row r="20350" spans="7:7" x14ac:dyDescent="0.2">
      <c r="G20350" s="7"/>
    </row>
    <row r="20351" spans="7:7" x14ac:dyDescent="0.2">
      <c r="G20351" s="7"/>
    </row>
    <row r="20352" spans="7:7" x14ac:dyDescent="0.2">
      <c r="G20352" s="7"/>
    </row>
    <row r="20353" spans="7:7" x14ac:dyDescent="0.2">
      <c r="G20353" s="7"/>
    </row>
    <row r="20354" spans="7:7" x14ac:dyDescent="0.2">
      <c r="G20354" s="7"/>
    </row>
    <row r="20355" spans="7:7" x14ac:dyDescent="0.2">
      <c r="G20355" s="7"/>
    </row>
    <row r="20356" spans="7:7" x14ac:dyDescent="0.2">
      <c r="G20356" s="7"/>
    </row>
    <row r="20357" spans="7:7" x14ac:dyDescent="0.2">
      <c r="G20357" s="7"/>
    </row>
    <row r="20358" spans="7:7" x14ac:dyDescent="0.2">
      <c r="G20358" s="7"/>
    </row>
    <row r="20359" spans="7:7" x14ac:dyDescent="0.2">
      <c r="G20359" s="7"/>
    </row>
    <row r="20360" spans="7:7" x14ac:dyDescent="0.2">
      <c r="G20360" s="7"/>
    </row>
    <row r="20361" spans="7:7" x14ac:dyDescent="0.2">
      <c r="G20361" s="7"/>
    </row>
    <row r="20362" spans="7:7" x14ac:dyDescent="0.2">
      <c r="G20362" s="7"/>
    </row>
    <row r="20363" spans="7:7" x14ac:dyDescent="0.2">
      <c r="G20363" s="7"/>
    </row>
    <row r="20364" spans="7:7" x14ac:dyDescent="0.2">
      <c r="G20364" s="7"/>
    </row>
    <row r="20365" spans="7:7" x14ac:dyDescent="0.2">
      <c r="G20365" s="7"/>
    </row>
    <row r="20366" spans="7:7" x14ac:dyDescent="0.2">
      <c r="G20366" s="7"/>
    </row>
    <row r="20367" spans="7:7" x14ac:dyDescent="0.2">
      <c r="G20367" s="7"/>
    </row>
    <row r="20368" spans="7:7" x14ac:dyDescent="0.2">
      <c r="G20368" s="7"/>
    </row>
    <row r="20369" spans="7:7" x14ac:dyDescent="0.2">
      <c r="G20369" s="7"/>
    </row>
    <row r="20370" spans="7:7" x14ac:dyDescent="0.2">
      <c r="G20370" s="7"/>
    </row>
    <row r="20371" spans="7:7" x14ac:dyDescent="0.2">
      <c r="G20371" s="7"/>
    </row>
    <row r="20372" spans="7:7" x14ac:dyDescent="0.2">
      <c r="G20372" s="7"/>
    </row>
    <row r="20373" spans="7:7" x14ac:dyDescent="0.2">
      <c r="G20373" s="7"/>
    </row>
    <row r="20374" spans="7:7" x14ac:dyDescent="0.2">
      <c r="G20374" s="7"/>
    </row>
    <row r="20375" spans="7:7" x14ac:dyDescent="0.2">
      <c r="G20375" s="7"/>
    </row>
    <row r="20376" spans="7:7" x14ac:dyDescent="0.2">
      <c r="G20376" s="7"/>
    </row>
    <row r="20377" spans="7:7" x14ac:dyDescent="0.2">
      <c r="G20377" s="7"/>
    </row>
    <row r="20378" spans="7:7" x14ac:dyDescent="0.2">
      <c r="G20378" s="7"/>
    </row>
    <row r="20379" spans="7:7" x14ac:dyDescent="0.2">
      <c r="G20379" s="7"/>
    </row>
    <row r="20380" spans="7:7" x14ac:dyDescent="0.2">
      <c r="G20380" s="7"/>
    </row>
    <row r="20381" spans="7:7" x14ac:dyDescent="0.2">
      <c r="G20381" s="7"/>
    </row>
    <row r="20382" spans="7:7" x14ac:dyDescent="0.2">
      <c r="G20382" s="7"/>
    </row>
    <row r="20383" spans="7:7" x14ac:dyDescent="0.2">
      <c r="G20383" s="7"/>
    </row>
    <row r="20384" spans="7:7" x14ac:dyDescent="0.2">
      <c r="G20384" s="7"/>
    </row>
    <row r="20385" spans="7:7" x14ac:dyDescent="0.2">
      <c r="G20385" s="7"/>
    </row>
    <row r="20386" spans="7:7" x14ac:dyDescent="0.2">
      <c r="G20386" s="7"/>
    </row>
    <row r="20387" spans="7:7" x14ac:dyDescent="0.2">
      <c r="G20387" s="7"/>
    </row>
    <row r="20388" spans="7:7" x14ac:dyDescent="0.2">
      <c r="G20388" s="7"/>
    </row>
    <row r="20389" spans="7:7" x14ac:dyDescent="0.2">
      <c r="G20389" s="7"/>
    </row>
    <row r="20390" spans="7:7" x14ac:dyDescent="0.2">
      <c r="G20390" s="7"/>
    </row>
    <row r="20391" spans="7:7" x14ac:dyDescent="0.2">
      <c r="G20391" s="7"/>
    </row>
    <row r="20392" spans="7:7" x14ac:dyDescent="0.2">
      <c r="G20392" s="7"/>
    </row>
    <row r="20393" spans="7:7" x14ac:dyDescent="0.2">
      <c r="G20393" s="7"/>
    </row>
    <row r="20394" spans="7:7" x14ac:dyDescent="0.2">
      <c r="G20394" s="7"/>
    </row>
    <row r="20395" spans="7:7" x14ac:dyDescent="0.2">
      <c r="G20395" s="7"/>
    </row>
    <row r="20396" spans="7:7" x14ac:dyDescent="0.2">
      <c r="G20396" s="7"/>
    </row>
    <row r="20397" spans="7:7" x14ac:dyDescent="0.2">
      <c r="G20397" s="7"/>
    </row>
    <row r="20398" spans="7:7" x14ac:dyDescent="0.2">
      <c r="G20398" s="7"/>
    </row>
    <row r="20399" spans="7:7" x14ac:dyDescent="0.2">
      <c r="G20399" s="7"/>
    </row>
    <row r="20400" spans="7:7" x14ac:dyDescent="0.2">
      <c r="G20400" s="7"/>
    </row>
    <row r="20401" spans="7:7" x14ac:dyDescent="0.2">
      <c r="G20401" s="7"/>
    </row>
    <row r="20402" spans="7:7" x14ac:dyDescent="0.2">
      <c r="G20402" s="7"/>
    </row>
    <row r="20403" spans="7:7" x14ac:dyDescent="0.2">
      <c r="G20403" s="7"/>
    </row>
    <row r="20404" spans="7:7" x14ac:dyDescent="0.2">
      <c r="G20404" s="7"/>
    </row>
    <row r="20405" spans="7:7" x14ac:dyDescent="0.2">
      <c r="G20405" s="7"/>
    </row>
    <row r="20406" spans="7:7" x14ac:dyDescent="0.2">
      <c r="G20406" s="7"/>
    </row>
    <row r="20407" spans="7:7" x14ac:dyDescent="0.2">
      <c r="G20407" s="7"/>
    </row>
    <row r="20408" spans="7:7" x14ac:dyDescent="0.2">
      <c r="G20408" s="7"/>
    </row>
    <row r="20409" spans="7:7" x14ac:dyDescent="0.2">
      <c r="G20409" s="7"/>
    </row>
    <row r="20410" spans="7:7" x14ac:dyDescent="0.2">
      <c r="G20410" s="7"/>
    </row>
    <row r="20411" spans="7:7" x14ac:dyDescent="0.2">
      <c r="G20411" s="7"/>
    </row>
    <row r="20412" spans="7:7" x14ac:dyDescent="0.2">
      <c r="G20412" s="7"/>
    </row>
    <row r="20413" spans="7:7" x14ac:dyDescent="0.2">
      <c r="G20413" s="7"/>
    </row>
    <row r="20414" spans="7:7" x14ac:dyDescent="0.2">
      <c r="G20414" s="7"/>
    </row>
    <row r="20415" spans="7:7" x14ac:dyDescent="0.2">
      <c r="G20415" s="7"/>
    </row>
    <row r="20416" spans="7:7" x14ac:dyDescent="0.2">
      <c r="G20416" s="7"/>
    </row>
    <row r="20417" spans="7:7" x14ac:dyDescent="0.2">
      <c r="G20417" s="7"/>
    </row>
    <row r="20418" spans="7:7" x14ac:dyDescent="0.2">
      <c r="G20418" s="7"/>
    </row>
    <row r="20419" spans="7:7" x14ac:dyDescent="0.2">
      <c r="G20419" s="7"/>
    </row>
    <row r="20420" spans="7:7" x14ac:dyDescent="0.2">
      <c r="G20420" s="7"/>
    </row>
    <row r="20421" spans="7:7" x14ac:dyDescent="0.2">
      <c r="G20421" s="7"/>
    </row>
    <row r="20422" spans="7:7" x14ac:dyDescent="0.2">
      <c r="G20422" s="7"/>
    </row>
    <row r="20423" spans="7:7" x14ac:dyDescent="0.2">
      <c r="G20423" s="7"/>
    </row>
    <row r="20424" spans="7:7" x14ac:dyDescent="0.2">
      <c r="G20424" s="7"/>
    </row>
    <row r="20425" spans="7:7" x14ac:dyDescent="0.2">
      <c r="G20425" s="7"/>
    </row>
    <row r="20426" spans="7:7" x14ac:dyDescent="0.2">
      <c r="G20426" s="7"/>
    </row>
    <row r="20427" spans="7:7" x14ac:dyDescent="0.2">
      <c r="G20427" s="7"/>
    </row>
    <row r="20428" spans="7:7" x14ac:dyDescent="0.2">
      <c r="G20428" s="7"/>
    </row>
    <row r="20429" spans="7:7" x14ac:dyDescent="0.2">
      <c r="G20429" s="7"/>
    </row>
    <row r="20430" spans="7:7" x14ac:dyDescent="0.2">
      <c r="G20430" s="7"/>
    </row>
    <row r="20431" spans="7:7" x14ac:dyDescent="0.2">
      <c r="G20431" s="7"/>
    </row>
    <row r="20432" spans="7:7" x14ac:dyDescent="0.2">
      <c r="G20432" s="7"/>
    </row>
    <row r="20433" spans="7:7" x14ac:dyDescent="0.2">
      <c r="G20433" s="7"/>
    </row>
    <row r="20434" spans="7:7" x14ac:dyDescent="0.2">
      <c r="G20434" s="7"/>
    </row>
    <row r="20435" spans="7:7" x14ac:dyDescent="0.2">
      <c r="G20435" s="7"/>
    </row>
    <row r="20436" spans="7:7" x14ac:dyDescent="0.2">
      <c r="G20436" s="7"/>
    </row>
    <row r="20437" spans="7:7" x14ac:dyDescent="0.2">
      <c r="G20437" s="7"/>
    </row>
    <row r="20438" spans="7:7" x14ac:dyDescent="0.2">
      <c r="G20438" s="7"/>
    </row>
    <row r="20439" spans="7:7" x14ac:dyDescent="0.2">
      <c r="G20439" s="7"/>
    </row>
    <row r="20440" spans="7:7" x14ac:dyDescent="0.2">
      <c r="G20440" s="7"/>
    </row>
    <row r="20441" spans="7:7" x14ac:dyDescent="0.2">
      <c r="G20441" s="7"/>
    </row>
    <row r="20442" spans="7:7" x14ac:dyDescent="0.2">
      <c r="G20442" s="7"/>
    </row>
    <row r="20443" spans="7:7" x14ac:dyDescent="0.2">
      <c r="G20443" s="7"/>
    </row>
    <row r="20444" spans="7:7" x14ac:dyDescent="0.2">
      <c r="G20444" s="7"/>
    </row>
    <row r="20445" spans="7:7" x14ac:dyDescent="0.2">
      <c r="G20445" s="7"/>
    </row>
    <row r="20446" spans="7:7" x14ac:dyDescent="0.2">
      <c r="G20446" s="7"/>
    </row>
    <row r="20447" spans="7:7" x14ac:dyDescent="0.2">
      <c r="G20447" s="7"/>
    </row>
    <row r="20448" spans="7:7" x14ac:dyDescent="0.2">
      <c r="G20448" s="7"/>
    </row>
    <row r="20449" spans="7:7" x14ac:dyDescent="0.2">
      <c r="G20449" s="7"/>
    </row>
    <row r="20450" spans="7:7" x14ac:dyDescent="0.2">
      <c r="G20450" s="7"/>
    </row>
    <row r="20451" spans="7:7" x14ac:dyDescent="0.2">
      <c r="G20451" s="7"/>
    </row>
    <row r="20452" spans="7:7" x14ac:dyDescent="0.2">
      <c r="G20452" s="7"/>
    </row>
    <row r="20453" spans="7:7" x14ac:dyDescent="0.2">
      <c r="G20453" s="7"/>
    </row>
    <row r="20454" spans="7:7" x14ac:dyDescent="0.2">
      <c r="G20454" s="7"/>
    </row>
    <row r="20455" spans="7:7" x14ac:dyDescent="0.2">
      <c r="G20455" s="7"/>
    </row>
    <row r="20456" spans="7:7" x14ac:dyDescent="0.2">
      <c r="G20456" s="7"/>
    </row>
    <row r="20457" spans="7:7" x14ac:dyDescent="0.2">
      <c r="G20457" s="7"/>
    </row>
    <row r="20458" spans="7:7" x14ac:dyDescent="0.2">
      <c r="G20458" s="7"/>
    </row>
    <row r="20459" spans="7:7" x14ac:dyDescent="0.2">
      <c r="G20459" s="7"/>
    </row>
    <row r="20460" spans="7:7" x14ac:dyDescent="0.2">
      <c r="G20460" s="7"/>
    </row>
    <row r="20461" spans="7:7" x14ac:dyDescent="0.2">
      <c r="G20461" s="7"/>
    </row>
    <row r="20462" spans="7:7" x14ac:dyDescent="0.2">
      <c r="G20462" s="7"/>
    </row>
    <row r="20463" spans="7:7" x14ac:dyDescent="0.2">
      <c r="G20463" s="7"/>
    </row>
    <row r="20464" spans="7:7" x14ac:dyDescent="0.2">
      <c r="G20464" s="7"/>
    </row>
    <row r="20465" spans="7:7" x14ac:dyDescent="0.2">
      <c r="G20465" s="7"/>
    </row>
    <row r="20466" spans="7:7" x14ac:dyDescent="0.2">
      <c r="G20466" s="7"/>
    </row>
    <row r="20467" spans="7:7" x14ac:dyDescent="0.2">
      <c r="G20467" s="7"/>
    </row>
    <row r="20468" spans="7:7" x14ac:dyDescent="0.2">
      <c r="G20468" s="7"/>
    </row>
    <row r="20469" spans="7:7" x14ac:dyDescent="0.2">
      <c r="G20469" s="7"/>
    </row>
    <row r="20470" spans="7:7" x14ac:dyDescent="0.2">
      <c r="G20470" s="7"/>
    </row>
    <row r="20471" spans="7:7" x14ac:dyDescent="0.2">
      <c r="G20471" s="7"/>
    </row>
    <row r="20472" spans="7:7" x14ac:dyDescent="0.2">
      <c r="G20472" s="7"/>
    </row>
    <row r="20473" spans="7:7" x14ac:dyDescent="0.2">
      <c r="G20473" s="7"/>
    </row>
    <row r="20474" spans="7:7" x14ac:dyDescent="0.2">
      <c r="G20474" s="7"/>
    </row>
    <row r="20475" spans="7:7" x14ac:dyDescent="0.2">
      <c r="G20475" s="7"/>
    </row>
    <row r="20476" spans="7:7" x14ac:dyDescent="0.2">
      <c r="G20476" s="7"/>
    </row>
    <row r="20477" spans="7:7" x14ac:dyDescent="0.2">
      <c r="G20477" s="7"/>
    </row>
    <row r="20478" spans="7:7" x14ac:dyDescent="0.2">
      <c r="G20478" s="7"/>
    </row>
    <row r="20479" spans="7:7" x14ac:dyDescent="0.2">
      <c r="G20479" s="7"/>
    </row>
    <row r="20480" spans="7:7" x14ac:dyDescent="0.2">
      <c r="G20480" s="7"/>
    </row>
    <row r="20481" spans="7:7" x14ac:dyDescent="0.2">
      <c r="G20481" s="7"/>
    </row>
    <row r="20482" spans="7:7" x14ac:dyDescent="0.2">
      <c r="G20482" s="7"/>
    </row>
    <row r="20483" spans="7:7" x14ac:dyDescent="0.2">
      <c r="G20483" s="7"/>
    </row>
    <row r="20484" spans="7:7" x14ac:dyDescent="0.2">
      <c r="G20484" s="7"/>
    </row>
    <row r="20485" spans="7:7" x14ac:dyDescent="0.2">
      <c r="G20485" s="7"/>
    </row>
    <row r="20486" spans="7:7" x14ac:dyDescent="0.2">
      <c r="G20486" s="7"/>
    </row>
    <row r="20487" spans="7:7" x14ac:dyDescent="0.2">
      <c r="G20487" s="7"/>
    </row>
    <row r="20488" spans="7:7" x14ac:dyDescent="0.2">
      <c r="G20488" s="7"/>
    </row>
    <row r="20489" spans="7:7" x14ac:dyDescent="0.2">
      <c r="G20489" s="7"/>
    </row>
    <row r="20490" spans="7:7" x14ac:dyDescent="0.2">
      <c r="G20490" s="7"/>
    </row>
    <row r="20491" spans="7:7" x14ac:dyDescent="0.2">
      <c r="G20491" s="7"/>
    </row>
    <row r="20492" spans="7:7" x14ac:dyDescent="0.2">
      <c r="G20492" s="7"/>
    </row>
    <row r="20493" spans="7:7" x14ac:dyDescent="0.2">
      <c r="G20493" s="7"/>
    </row>
    <row r="20494" spans="7:7" x14ac:dyDescent="0.2">
      <c r="G20494" s="7"/>
    </row>
    <row r="20495" spans="7:7" x14ac:dyDescent="0.2">
      <c r="G20495" s="7"/>
    </row>
    <row r="20496" spans="7:7" x14ac:dyDescent="0.2">
      <c r="G20496" s="7"/>
    </row>
    <row r="20497" spans="7:7" x14ac:dyDescent="0.2">
      <c r="G20497" s="7"/>
    </row>
    <row r="20498" spans="7:7" x14ac:dyDescent="0.2">
      <c r="G20498" s="7"/>
    </row>
    <row r="20499" spans="7:7" x14ac:dyDescent="0.2">
      <c r="G20499" s="7"/>
    </row>
    <row r="20500" spans="7:7" x14ac:dyDescent="0.2">
      <c r="G20500" s="7"/>
    </row>
    <row r="20501" spans="7:7" x14ac:dyDescent="0.2">
      <c r="G20501" s="7"/>
    </row>
    <row r="20502" spans="7:7" x14ac:dyDescent="0.2">
      <c r="G20502" s="7"/>
    </row>
    <row r="20503" spans="7:7" x14ac:dyDescent="0.2">
      <c r="G20503" s="7"/>
    </row>
    <row r="20504" spans="7:7" x14ac:dyDescent="0.2">
      <c r="G20504" s="7"/>
    </row>
    <row r="20505" spans="7:7" x14ac:dyDescent="0.2">
      <c r="G20505" s="7"/>
    </row>
    <row r="20506" spans="7:7" x14ac:dyDescent="0.2">
      <c r="G20506" s="7"/>
    </row>
    <row r="20507" spans="7:7" x14ac:dyDescent="0.2">
      <c r="G20507" s="7"/>
    </row>
    <row r="20508" spans="7:7" x14ac:dyDescent="0.2">
      <c r="G20508" s="7"/>
    </row>
    <row r="20509" spans="7:7" x14ac:dyDescent="0.2">
      <c r="G20509" s="7"/>
    </row>
    <row r="20510" spans="7:7" x14ac:dyDescent="0.2">
      <c r="G20510" s="7"/>
    </row>
    <row r="20511" spans="7:7" x14ac:dyDescent="0.2">
      <c r="G20511" s="7"/>
    </row>
    <row r="20512" spans="7:7" x14ac:dyDescent="0.2">
      <c r="G20512" s="7"/>
    </row>
    <row r="20513" spans="7:7" x14ac:dyDescent="0.2">
      <c r="G20513" s="7"/>
    </row>
    <row r="20514" spans="7:7" x14ac:dyDescent="0.2">
      <c r="G20514" s="7"/>
    </row>
    <row r="20515" spans="7:7" x14ac:dyDescent="0.2">
      <c r="G20515" s="7"/>
    </row>
    <row r="20516" spans="7:7" x14ac:dyDescent="0.2">
      <c r="G20516" s="7"/>
    </row>
    <row r="20517" spans="7:7" x14ac:dyDescent="0.2">
      <c r="G20517" s="7"/>
    </row>
    <row r="20518" spans="7:7" x14ac:dyDescent="0.2">
      <c r="G20518" s="7"/>
    </row>
    <row r="20519" spans="7:7" x14ac:dyDescent="0.2">
      <c r="G20519" s="7"/>
    </row>
    <row r="20520" spans="7:7" x14ac:dyDescent="0.2">
      <c r="G20520" s="7"/>
    </row>
    <row r="20521" spans="7:7" x14ac:dyDescent="0.2">
      <c r="G20521" s="7"/>
    </row>
    <row r="20522" spans="7:7" x14ac:dyDescent="0.2">
      <c r="G20522" s="7"/>
    </row>
    <row r="20523" spans="7:7" x14ac:dyDescent="0.2">
      <c r="G20523" s="7"/>
    </row>
    <row r="20524" spans="7:7" x14ac:dyDescent="0.2">
      <c r="G20524" s="7"/>
    </row>
    <row r="20525" spans="7:7" x14ac:dyDescent="0.2">
      <c r="G20525" s="7"/>
    </row>
    <row r="20526" spans="7:7" x14ac:dyDescent="0.2">
      <c r="G20526" s="7"/>
    </row>
    <row r="20527" spans="7:7" x14ac:dyDescent="0.2">
      <c r="G20527" s="7"/>
    </row>
    <row r="20528" spans="7:7" x14ac:dyDescent="0.2">
      <c r="G20528" s="7"/>
    </row>
    <row r="20529" spans="7:7" x14ac:dyDescent="0.2">
      <c r="G20529" s="7"/>
    </row>
    <row r="20530" spans="7:7" x14ac:dyDescent="0.2">
      <c r="G20530" s="7"/>
    </row>
    <row r="20531" spans="7:7" x14ac:dyDescent="0.2">
      <c r="G20531" s="7"/>
    </row>
    <row r="20532" spans="7:7" x14ac:dyDescent="0.2">
      <c r="G20532" s="7"/>
    </row>
    <row r="20533" spans="7:7" x14ac:dyDescent="0.2">
      <c r="G20533" s="7"/>
    </row>
    <row r="20534" spans="7:7" x14ac:dyDescent="0.2">
      <c r="G20534" s="7"/>
    </row>
    <row r="20535" spans="7:7" x14ac:dyDescent="0.2">
      <c r="G20535" s="7"/>
    </row>
    <row r="20536" spans="7:7" x14ac:dyDescent="0.2">
      <c r="G20536" s="7"/>
    </row>
    <row r="20537" spans="7:7" x14ac:dyDescent="0.2">
      <c r="G20537" s="7"/>
    </row>
    <row r="20538" spans="7:7" x14ac:dyDescent="0.2">
      <c r="G20538" s="7"/>
    </row>
    <row r="20539" spans="7:7" x14ac:dyDescent="0.2">
      <c r="G20539" s="7"/>
    </row>
    <row r="20540" spans="7:7" x14ac:dyDescent="0.2">
      <c r="G20540" s="7"/>
    </row>
    <row r="20541" spans="7:7" x14ac:dyDescent="0.2">
      <c r="G20541" s="7"/>
    </row>
    <row r="20542" spans="7:7" x14ac:dyDescent="0.2">
      <c r="G20542" s="7"/>
    </row>
    <row r="20543" spans="7:7" x14ac:dyDescent="0.2">
      <c r="G20543" s="7"/>
    </row>
    <row r="20544" spans="7:7" x14ac:dyDescent="0.2">
      <c r="G20544" s="7"/>
    </row>
    <row r="20545" spans="7:7" x14ac:dyDescent="0.2">
      <c r="G20545" s="7"/>
    </row>
    <row r="20546" spans="7:7" x14ac:dyDescent="0.2">
      <c r="G20546" s="7"/>
    </row>
    <row r="20547" spans="7:7" x14ac:dyDescent="0.2">
      <c r="G20547" s="7"/>
    </row>
    <row r="20548" spans="7:7" x14ac:dyDescent="0.2">
      <c r="G20548" s="7"/>
    </row>
    <row r="20549" spans="7:7" x14ac:dyDescent="0.2">
      <c r="G20549" s="7"/>
    </row>
    <row r="20550" spans="7:7" x14ac:dyDescent="0.2">
      <c r="G20550" s="7"/>
    </row>
    <row r="20551" spans="7:7" x14ac:dyDescent="0.2">
      <c r="G20551" s="7"/>
    </row>
    <row r="20552" spans="7:7" x14ac:dyDescent="0.2">
      <c r="G20552" s="7"/>
    </row>
    <row r="20553" spans="7:7" x14ac:dyDescent="0.2">
      <c r="G20553" s="7"/>
    </row>
    <row r="20554" spans="7:7" x14ac:dyDescent="0.2">
      <c r="G20554" s="7"/>
    </row>
    <row r="20555" spans="7:7" x14ac:dyDescent="0.2">
      <c r="G20555" s="7"/>
    </row>
    <row r="20556" spans="7:7" x14ac:dyDescent="0.2">
      <c r="G20556" s="7"/>
    </row>
    <row r="20557" spans="7:7" x14ac:dyDescent="0.2">
      <c r="G20557" s="7"/>
    </row>
    <row r="20558" spans="7:7" x14ac:dyDescent="0.2">
      <c r="G20558" s="7"/>
    </row>
    <row r="20559" spans="7:7" x14ac:dyDescent="0.2">
      <c r="G20559" s="7"/>
    </row>
    <row r="20560" spans="7:7" x14ac:dyDescent="0.2">
      <c r="G20560" s="7"/>
    </row>
    <row r="20561" spans="7:7" x14ac:dyDescent="0.2">
      <c r="G20561" s="7"/>
    </row>
    <row r="20562" spans="7:7" x14ac:dyDescent="0.2">
      <c r="G20562" s="7"/>
    </row>
    <row r="20563" spans="7:7" x14ac:dyDescent="0.2">
      <c r="G20563" s="7"/>
    </row>
    <row r="20564" spans="7:7" x14ac:dyDescent="0.2">
      <c r="G20564" s="7"/>
    </row>
    <row r="20565" spans="7:7" x14ac:dyDescent="0.2">
      <c r="G20565" s="7"/>
    </row>
    <row r="20566" spans="7:7" x14ac:dyDescent="0.2">
      <c r="G20566" s="7"/>
    </row>
    <row r="20567" spans="7:7" x14ac:dyDescent="0.2">
      <c r="G20567" s="7"/>
    </row>
    <row r="20568" spans="7:7" x14ac:dyDescent="0.2">
      <c r="G20568" s="7"/>
    </row>
    <row r="20569" spans="7:7" x14ac:dyDescent="0.2">
      <c r="G20569" s="7"/>
    </row>
    <row r="20570" spans="7:7" x14ac:dyDescent="0.2">
      <c r="G20570" s="7"/>
    </row>
    <row r="20571" spans="7:7" x14ac:dyDescent="0.2">
      <c r="G20571" s="7"/>
    </row>
    <row r="20572" spans="7:7" x14ac:dyDescent="0.2">
      <c r="G20572" s="7"/>
    </row>
    <row r="20573" spans="7:7" x14ac:dyDescent="0.2">
      <c r="G20573" s="7"/>
    </row>
    <row r="20574" spans="7:7" x14ac:dyDescent="0.2">
      <c r="G20574" s="7"/>
    </row>
    <row r="20575" spans="7:7" x14ac:dyDescent="0.2">
      <c r="G20575" s="7"/>
    </row>
    <row r="20576" spans="7:7" x14ac:dyDescent="0.2">
      <c r="G20576" s="7"/>
    </row>
    <row r="20577" spans="7:7" x14ac:dyDescent="0.2">
      <c r="G20577" s="7"/>
    </row>
    <row r="20578" spans="7:7" x14ac:dyDescent="0.2">
      <c r="G20578" s="7"/>
    </row>
    <row r="20579" spans="7:7" x14ac:dyDescent="0.2">
      <c r="G20579" s="7"/>
    </row>
    <row r="20580" spans="7:7" x14ac:dyDescent="0.2">
      <c r="G20580" s="7"/>
    </row>
    <row r="20581" spans="7:7" x14ac:dyDescent="0.2">
      <c r="G20581" s="7"/>
    </row>
    <row r="20582" spans="7:7" x14ac:dyDescent="0.2">
      <c r="G20582" s="7"/>
    </row>
    <row r="20583" spans="7:7" x14ac:dyDescent="0.2">
      <c r="G20583" s="7"/>
    </row>
    <row r="20584" spans="7:7" x14ac:dyDescent="0.2">
      <c r="G20584" s="7"/>
    </row>
    <row r="20585" spans="7:7" x14ac:dyDescent="0.2">
      <c r="G20585" s="7"/>
    </row>
    <row r="20586" spans="7:7" x14ac:dyDescent="0.2">
      <c r="G20586" s="7"/>
    </row>
    <row r="20587" spans="7:7" x14ac:dyDescent="0.2">
      <c r="G20587" s="7"/>
    </row>
    <row r="20588" spans="7:7" x14ac:dyDescent="0.2">
      <c r="G20588" s="7"/>
    </row>
    <row r="20589" spans="7:7" x14ac:dyDescent="0.2">
      <c r="G20589" s="7"/>
    </row>
    <row r="20590" spans="7:7" x14ac:dyDescent="0.2">
      <c r="G20590" s="7"/>
    </row>
    <row r="20591" spans="7:7" x14ac:dyDescent="0.2">
      <c r="G20591" s="7"/>
    </row>
    <row r="20592" spans="7:7" x14ac:dyDescent="0.2">
      <c r="G20592" s="7"/>
    </row>
    <row r="20593" spans="7:7" x14ac:dyDescent="0.2">
      <c r="G20593" s="7"/>
    </row>
    <row r="20594" spans="7:7" x14ac:dyDescent="0.2">
      <c r="G20594" s="7"/>
    </row>
    <row r="20595" spans="7:7" x14ac:dyDescent="0.2">
      <c r="G20595" s="7"/>
    </row>
    <row r="20596" spans="7:7" x14ac:dyDescent="0.2">
      <c r="G20596" s="7"/>
    </row>
    <row r="20597" spans="7:7" x14ac:dyDescent="0.2">
      <c r="G20597" s="7"/>
    </row>
    <row r="20598" spans="7:7" x14ac:dyDescent="0.2">
      <c r="G20598" s="7"/>
    </row>
    <row r="20599" spans="7:7" x14ac:dyDescent="0.2">
      <c r="G20599" s="7"/>
    </row>
    <row r="20600" spans="7:7" x14ac:dyDescent="0.2">
      <c r="G20600" s="7"/>
    </row>
    <row r="20601" spans="7:7" x14ac:dyDescent="0.2">
      <c r="G20601" s="7"/>
    </row>
    <row r="20602" spans="7:7" x14ac:dyDescent="0.2">
      <c r="G20602" s="7"/>
    </row>
    <row r="20603" spans="7:7" x14ac:dyDescent="0.2">
      <c r="G20603" s="7"/>
    </row>
    <row r="20604" spans="7:7" x14ac:dyDescent="0.2">
      <c r="G20604" s="7"/>
    </row>
    <row r="20605" spans="7:7" x14ac:dyDescent="0.2">
      <c r="G20605" s="7"/>
    </row>
    <row r="20606" spans="7:7" x14ac:dyDescent="0.2">
      <c r="G20606" s="7"/>
    </row>
    <row r="20607" spans="7:7" x14ac:dyDescent="0.2">
      <c r="G20607" s="7"/>
    </row>
    <row r="20608" spans="7:7" x14ac:dyDescent="0.2">
      <c r="G20608" s="7"/>
    </row>
    <row r="20609" spans="7:7" x14ac:dyDescent="0.2">
      <c r="G20609" s="7"/>
    </row>
    <row r="20610" spans="7:7" x14ac:dyDescent="0.2">
      <c r="G20610" s="7"/>
    </row>
    <row r="20611" spans="7:7" x14ac:dyDescent="0.2">
      <c r="G20611" s="7"/>
    </row>
    <row r="20612" spans="7:7" x14ac:dyDescent="0.2">
      <c r="G20612" s="7"/>
    </row>
    <row r="20613" spans="7:7" x14ac:dyDescent="0.2">
      <c r="G20613" s="7"/>
    </row>
    <row r="20614" spans="7:7" x14ac:dyDescent="0.2">
      <c r="G20614" s="7"/>
    </row>
    <row r="20615" spans="7:7" x14ac:dyDescent="0.2">
      <c r="G20615" s="7"/>
    </row>
    <row r="20616" spans="7:7" x14ac:dyDescent="0.2">
      <c r="G20616" s="7"/>
    </row>
    <row r="20617" spans="7:7" x14ac:dyDescent="0.2">
      <c r="G20617" s="7"/>
    </row>
    <row r="20618" spans="7:7" x14ac:dyDescent="0.2">
      <c r="G20618" s="7"/>
    </row>
    <row r="20619" spans="7:7" x14ac:dyDescent="0.2">
      <c r="G20619" s="7"/>
    </row>
    <row r="20620" spans="7:7" x14ac:dyDescent="0.2">
      <c r="G20620" s="7"/>
    </row>
    <row r="20621" spans="7:7" x14ac:dyDescent="0.2">
      <c r="G20621" s="7"/>
    </row>
    <row r="20622" spans="7:7" x14ac:dyDescent="0.2">
      <c r="G20622" s="7"/>
    </row>
    <row r="20623" spans="7:7" x14ac:dyDescent="0.2">
      <c r="G20623" s="7"/>
    </row>
    <row r="20624" spans="7:7" x14ac:dyDescent="0.2">
      <c r="G20624" s="7"/>
    </row>
    <row r="20625" spans="7:7" x14ac:dyDescent="0.2">
      <c r="G20625" s="7"/>
    </row>
    <row r="20626" spans="7:7" x14ac:dyDescent="0.2">
      <c r="G20626" s="7"/>
    </row>
    <row r="20627" spans="7:7" x14ac:dyDescent="0.2">
      <c r="G20627" s="7"/>
    </row>
    <row r="20628" spans="7:7" x14ac:dyDescent="0.2">
      <c r="G20628" s="7"/>
    </row>
    <row r="20629" spans="7:7" x14ac:dyDescent="0.2">
      <c r="G20629" s="7"/>
    </row>
    <row r="20630" spans="7:7" x14ac:dyDescent="0.2">
      <c r="G20630" s="7"/>
    </row>
    <row r="20631" spans="7:7" x14ac:dyDescent="0.2">
      <c r="G20631" s="7"/>
    </row>
    <row r="20632" spans="7:7" x14ac:dyDescent="0.2">
      <c r="G20632" s="7"/>
    </row>
    <row r="20633" spans="7:7" x14ac:dyDescent="0.2">
      <c r="G20633" s="7"/>
    </row>
    <row r="20634" spans="7:7" x14ac:dyDescent="0.2">
      <c r="G20634" s="7"/>
    </row>
    <row r="20635" spans="7:7" x14ac:dyDescent="0.2">
      <c r="G20635" s="7"/>
    </row>
    <row r="20636" spans="7:7" x14ac:dyDescent="0.2">
      <c r="G20636" s="7"/>
    </row>
    <row r="20637" spans="7:7" x14ac:dyDescent="0.2">
      <c r="G20637" s="7"/>
    </row>
    <row r="20638" spans="7:7" x14ac:dyDescent="0.2">
      <c r="G20638" s="7"/>
    </row>
    <row r="20639" spans="7:7" x14ac:dyDescent="0.2">
      <c r="G20639" s="7"/>
    </row>
    <row r="20640" spans="7:7" x14ac:dyDescent="0.2">
      <c r="G20640" s="7"/>
    </row>
    <row r="20641" spans="7:7" x14ac:dyDescent="0.2">
      <c r="G20641" s="7"/>
    </row>
    <row r="20642" spans="7:7" x14ac:dyDescent="0.2">
      <c r="G20642" s="7"/>
    </row>
    <row r="20643" spans="7:7" x14ac:dyDescent="0.2">
      <c r="G20643" s="7"/>
    </row>
    <row r="20644" spans="7:7" x14ac:dyDescent="0.2">
      <c r="G20644" s="7"/>
    </row>
    <row r="20645" spans="7:7" x14ac:dyDescent="0.2">
      <c r="G20645" s="7"/>
    </row>
    <row r="20646" spans="7:7" x14ac:dyDescent="0.2">
      <c r="G20646" s="7"/>
    </row>
    <row r="20647" spans="7:7" x14ac:dyDescent="0.2">
      <c r="G20647" s="7"/>
    </row>
    <row r="20648" spans="7:7" x14ac:dyDescent="0.2">
      <c r="G20648" s="7"/>
    </row>
    <row r="20649" spans="7:7" x14ac:dyDescent="0.2">
      <c r="G20649" s="7"/>
    </row>
    <row r="20650" spans="7:7" x14ac:dyDescent="0.2">
      <c r="G20650" s="7"/>
    </row>
    <row r="20651" spans="7:7" x14ac:dyDescent="0.2">
      <c r="G20651" s="7"/>
    </row>
    <row r="20652" spans="7:7" x14ac:dyDescent="0.2">
      <c r="G20652" s="7"/>
    </row>
    <row r="20653" spans="7:7" x14ac:dyDescent="0.2">
      <c r="G20653" s="7"/>
    </row>
    <row r="20654" spans="7:7" x14ac:dyDescent="0.2">
      <c r="G20654" s="7"/>
    </row>
    <row r="20655" spans="7:7" x14ac:dyDescent="0.2">
      <c r="G20655" s="7"/>
    </row>
    <row r="20656" spans="7:7" x14ac:dyDescent="0.2">
      <c r="G20656" s="7"/>
    </row>
    <row r="20657" spans="7:7" x14ac:dyDescent="0.2">
      <c r="G20657" s="7"/>
    </row>
    <row r="20658" spans="7:7" x14ac:dyDescent="0.2">
      <c r="G20658" s="7"/>
    </row>
    <row r="20659" spans="7:7" x14ac:dyDescent="0.2">
      <c r="G20659" s="7"/>
    </row>
    <row r="20660" spans="7:7" x14ac:dyDescent="0.2">
      <c r="G20660" s="7"/>
    </row>
    <row r="20661" spans="7:7" x14ac:dyDescent="0.2">
      <c r="G20661" s="7"/>
    </row>
    <row r="20662" spans="7:7" x14ac:dyDescent="0.2">
      <c r="G20662" s="7"/>
    </row>
    <row r="20663" spans="7:7" x14ac:dyDescent="0.2">
      <c r="G20663" s="7"/>
    </row>
    <row r="20664" spans="7:7" x14ac:dyDescent="0.2">
      <c r="G20664" s="7"/>
    </row>
    <row r="20665" spans="7:7" x14ac:dyDescent="0.2">
      <c r="G20665" s="7"/>
    </row>
    <row r="20666" spans="7:7" x14ac:dyDescent="0.2">
      <c r="G20666" s="7"/>
    </row>
    <row r="20667" spans="7:7" x14ac:dyDescent="0.2">
      <c r="G20667" s="7"/>
    </row>
    <row r="20668" spans="7:7" x14ac:dyDescent="0.2">
      <c r="G20668" s="7"/>
    </row>
    <row r="20669" spans="7:7" x14ac:dyDescent="0.2">
      <c r="G20669" s="7"/>
    </row>
    <row r="20670" spans="7:7" x14ac:dyDescent="0.2">
      <c r="G20670" s="7"/>
    </row>
    <row r="20671" spans="7:7" x14ac:dyDescent="0.2">
      <c r="G20671" s="7"/>
    </row>
    <row r="20672" spans="7:7" x14ac:dyDescent="0.2">
      <c r="G20672" s="7"/>
    </row>
    <row r="20673" spans="7:7" x14ac:dyDescent="0.2">
      <c r="G20673" s="7"/>
    </row>
    <row r="20674" spans="7:7" x14ac:dyDescent="0.2">
      <c r="G20674" s="7"/>
    </row>
    <row r="20675" spans="7:7" x14ac:dyDescent="0.2">
      <c r="G20675" s="7"/>
    </row>
    <row r="20676" spans="7:7" x14ac:dyDescent="0.2">
      <c r="G20676" s="7"/>
    </row>
    <row r="20677" spans="7:7" x14ac:dyDescent="0.2">
      <c r="G20677" s="7"/>
    </row>
    <row r="20678" spans="7:7" x14ac:dyDescent="0.2">
      <c r="G20678" s="7"/>
    </row>
    <row r="20679" spans="7:7" x14ac:dyDescent="0.2">
      <c r="G20679" s="7"/>
    </row>
    <row r="20680" spans="7:7" x14ac:dyDescent="0.2">
      <c r="G20680" s="7"/>
    </row>
    <row r="20681" spans="7:7" x14ac:dyDescent="0.2">
      <c r="G20681" s="7"/>
    </row>
    <row r="20682" spans="7:7" x14ac:dyDescent="0.2">
      <c r="G20682" s="7"/>
    </row>
    <row r="20683" spans="7:7" x14ac:dyDescent="0.2">
      <c r="G20683" s="7"/>
    </row>
    <row r="20684" spans="7:7" x14ac:dyDescent="0.2">
      <c r="G20684" s="7"/>
    </row>
    <row r="20685" spans="7:7" x14ac:dyDescent="0.2">
      <c r="G20685" s="7"/>
    </row>
    <row r="20686" spans="7:7" x14ac:dyDescent="0.2">
      <c r="G20686" s="7"/>
    </row>
    <row r="20687" spans="7:7" x14ac:dyDescent="0.2">
      <c r="G20687" s="7"/>
    </row>
    <row r="20688" spans="7:7" x14ac:dyDescent="0.2">
      <c r="G20688" s="7"/>
    </row>
    <row r="20689" spans="7:7" x14ac:dyDescent="0.2">
      <c r="G20689" s="7"/>
    </row>
    <row r="20690" spans="7:7" x14ac:dyDescent="0.2">
      <c r="G20690" s="7"/>
    </row>
    <row r="20691" spans="7:7" x14ac:dyDescent="0.2">
      <c r="G20691" s="7"/>
    </row>
    <row r="20692" spans="7:7" x14ac:dyDescent="0.2">
      <c r="G20692" s="7"/>
    </row>
    <row r="20693" spans="7:7" x14ac:dyDescent="0.2">
      <c r="G20693" s="7"/>
    </row>
    <row r="20694" spans="7:7" x14ac:dyDescent="0.2">
      <c r="G20694" s="7"/>
    </row>
    <row r="20695" spans="7:7" x14ac:dyDescent="0.2">
      <c r="G20695" s="7"/>
    </row>
    <row r="20696" spans="7:7" x14ac:dyDescent="0.2">
      <c r="G20696" s="7"/>
    </row>
    <row r="20697" spans="7:7" x14ac:dyDescent="0.2">
      <c r="G20697" s="7"/>
    </row>
    <row r="20698" spans="7:7" x14ac:dyDescent="0.2">
      <c r="G20698" s="7"/>
    </row>
    <row r="20699" spans="7:7" x14ac:dyDescent="0.2">
      <c r="G20699" s="7"/>
    </row>
    <row r="20700" spans="7:7" x14ac:dyDescent="0.2">
      <c r="G20700" s="7"/>
    </row>
    <row r="20701" spans="7:7" x14ac:dyDescent="0.2">
      <c r="G20701" s="7"/>
    </row>
    <row r="20702" spans="7:7" x14ac:dyDescent="0.2">
      <c r="G20702" s="7"/>
    </row>
    <row r="20703" spans="7:7" x14ac:dyDescent="0.2">
      <c r="G20703" s="7"/>
    </row>
    <row r="20704" spans="7:7" x14ac:dyDescent="0.2">
      <c r="G20704" s="7"/>
    </row>
    <row r="20705" spans="7:7" x14ac:dyDescent="0.2">
      <c r="G20705" s="7"/>
    </row>
    <row r="20706" spans="7:7" x14ac:dyDescent="0.2">
      <c r="G20706" s="7"/>
    </row>
    <row r="20707" spans="7:7" x14ac:dyDescent="0.2">
      <c r="G20707" s="7"/>
    </row>
    <row r="20708" spans="7:7" x14ac:dyDescent="0.2">
      <c r="G20708" s="7"/>
    </row>
    <row r="20709" spans="7:7" x14ac:dyDescent="0.2">
      <c r="G20709" s="7"/>
    </row>
    <row r="20710" spans="7:7" x14ac:dyDescent="0.2">
      <c r="G20710" s="7"/>
    </row>
    <row r="20711" spans="7:7" x14ac:dyDescent="0.2">
      <c r="G20711" s="7"/>
    </row>
    <row r="20712" spans="7:7" x14ac:dyDescent="0.2">
      <c r="G20712" s="7"/>
    </row>
    <row r="20713" spans="7:7" x14ac:dyDescent="0.2">
      <c r="G20713" s="7"/>
    </row>
    <row r="20714" spans="7:7" x14ac:dyDescent="0.2">
      <c r="G20714" s="7"/>
    </row>
    <row r="20715" spans="7:7" x14ac:dyDescent="0.2">
      <c r="G20715" s="7"/>
    </row>
    <row r="20716" spans="7:7" x14ac:dyDescent="0.2">
      <c r="G20716" s="7"/>
    </row>
    <row r="20717" spans="7:7" x14ac:dyDescent="0.2">
      <c r="G20717" s="7"/>
    </row>
    <row r="20718" spans="7:7" x14ac:dyDescent="0.2">
      <c r="G20718" s="7"/>
    </row>
    <row r="20719" spans="7:7" x14ac:dyDescent="0.2">
      <c r="G20719" s="7"/>
    </row>
    <row r="20720" spans="7:7" x14ac:dyDescent="0.2">
      <c r="G20720" s="7"/>
    </row>
    <row r="20721" spans="7:7" x14ac:dyDescent="0.2">
      <c r="G20721" s="7"/>
    </row>
    <row r="20722" spans="7:7" x14ac:dyDescent="0.2">
      <c r="G20722" s="7"/>
    </row>
    <row r="20723" spans="7:7" x14ac:dyDescent="0.2">
      <c r="G20723" s="7"/>
    </row>
    <row r="20724" spans="7:7" x14ac:dyDescent="0.2">
      <c r="G20724" s="7"/>
    </row>
    <row r="20725" spans="7:7" x14ac:dyDescent="0.2">
      <c r="G20725" s="7"/>
    </row>
    <row r="20726" spans="7:7" x14ac:dyDescent="0.2">
      <c r="G20726" s="7"/>
    </row>
    <row r="20727" spans="7:7" x14ac:dyDescent="0.2">
      <c r="G20727" s="7"/>
    </row>
    <row r="20728" spans="7:7" x14ac:dyDescent="0.2">
      <c r="G20728" s="7"/>
    </row>
    <row r="20729" spans="7:7" x14ac:dyDescent="0.2">
      <c r="G20729" s="7"/>
    </row>
    <row r="20730" spans="7:7" x14ac:dyDescent="0.2">
      <c r="G20730" s="7"/>
    </row>
    <row r="20731" spans="7:7" x14ac:dyDescent="0.2">
      <c r="G20731" s="7"/>
    </row>
    <row r="20732" spans="7:7" x14ac:dyDescent="0.2">
      <c r="G20732" s="7"/>
    </row>
    <row r="20733" spans="7:7" x14ac:dyDescent="0.2">
      <c r="G20733" s="7"/>
    </row>
    <row r="20734" spans="7:7" x14ac:dyDescent="0.2">
      <c r="G20734" s="7"/>
    </row>
    <row r="20735" spans="7:7" x14ac:dyDescent="0.2">
      <c r="G20735" s="7"/>
    </row>
    <row r="20736" spans="7:7" x14ac:dyDescent="0.2">
      <c r="G20736" s="7"/>
    </row>
    <row r="20737" spans="7:7" x14ac:dyDescent="0.2">
      <c r="G20737" s="7"/>
    </row>
    <row r="20738" spans="7:7" x14ac:dyDescent="0.2">
      <c r="G20738" s="7"/>
    </row>
    <row r="20739" spans="7:7" x14ac:dyDescent="0.2">
      <c r="G20739" s="7"/>
    </row>
    <row r="20740" spans="7:7" x14ac:dyDescent="0.2">
      <c r="G20740" s="7"/>
    </row>
    <row r="20741" spans="7:7" x14ac:dyDescent="0.2">
      <c r="G20741" s="7"/>
    </row>
    <row r="20742" spans="7:7" x14ac:dyDescent="0.2">
      <c r="G20742" s="7"/>
    </row>
    <row r="20743" spans="7:7" x14ac:dyDescent="0.2">
      <c r="G20743" s="7"/>
    </row>
    <row r="20744" spans="7:7" x14ac:dyDescent="0.2">
      <c r="G20744" s="7"/>
    </row>
    <row r="20745" spans="7:7" x14ac:dyDescent="0.2">
      <c r="G20745" s="7"/>
    </row>
    <row r="20746" spans="7:7" x14ac:dyDescent="0.2">
      <c r="G20746" s="7"/>
    </row>
    <row r="20747" spans="7:7" x14ac:dyDescent="0.2">
      <c r="G20747" s="7"/>
    </row>
    <row r="20748" spans="7:7" x14ac:dyDescent="0.2">
      <c r="G20748" s="7"/>
    </row>
    <row r="20749" spans="7:7" x14ac:dyDescent="0.2">
      <c r="G20749" s="7"/>
    </row>
    <row r="20750" spans="7:7" x14ac:dyDescent="0.2">
      <c r="G20750" s="7"/>
    </row>
    <row r="20751" spans="7:7" x14ac:dyDescent="0.2">
      <c r="G20751" s="7"/>
    </row>
    <row r="20752" spans="7:7" x14ac:dyDescent="0.2">
      <c r="G20752" s="7"/>
    </row>
    <row r="20753" spans="7:7" x14ac:dyDescent="0.2">
      <c r="G20753" s="7"/>
    </row>
    <row r="20754" spans="7:7" x14ac:dyDescent="0.2">
      <c r="G20754" s="7"/>
    </row>
    <row r="20755" spans="7:7" x14ac:dyDescent="0.2">
      <c r="G20755" s="7"/>
    </row>
    <row r="20756" spans="7:7" x14ac:dyDescent="0.2">
      <c r="G20756" s="7"/>
    </row>
    <row r="20757" spans="7:7" x14ac:dyDescent="0.2">
      <c r="G20757" s="7"/>
    </row>
    <row r="20758" spans="7:7" x14ac:dyDescent="0.2">
      <c r="G20758" s="7"/>
    </row>
    <row r="20759" spans="7:7" x14ac:dyDescent="0.2">
      <c r="G20759" s="7"/>
    </row>
    <row r="20760" spans="7:7" x14ac:dyDescent="0.2">
      <c r="G20760" s="7"/>
    </row>
    <row r="20761" spans="7:7" x14ac:dyDescent="0.2">
      <c r="G20761" s="7"/>
    </row>
    <row r="20762" spans="7:7" x14ac:dyDescent="0.2">
      <c r="G20762" s="7"/>
    </row>
    <row r="20763" spans="7:7" x14ac:dyDescent="0.2">
      <c r="G20763" s="7"/>
    </row>
    <row r="20764" spans="7:7" x14ac:dyDescent="0.2">
      <c r="G20764" s="7"/>
    </row>
    <row r="20765" spans="7:7" x14ac:dyDescent="0.2">
      <c r="G20765" s="7"/>
    </row>
    <row r="20766" spans="7:7" x14ac:dyDescent="0.2">
      <c r="G20766" s="7"/>
    </row>
    <row r="20767" spans="7:7" x14ac:dyDescent="0.2">
      <c r="G20767" s="7"/>
    </row>
    <row r="20768" spans="7:7" x14ac:dyDescent="0.2">
      <c r="G20768" s="7"/>
    </row>
    <row r="20769" spans="7:7" x14ac:dyDescent="0.2">
      <c r="G20769" s="7"/>
    </row>
    <row r="20770" spans="7:7" x14ac:dyDescent="0.2">
      <c r="G20770" s="7"/>
    </row>
    <row r="20771" spans="7:7" x14ac:dyDescent="0.2">
      <c r="G20771" s="7"/>
    </row>
    <row r="20772" spans="7:7" x14ac:dyDescent="0.2">
      <c r="G20772" s="7"/>
    </row>
    <row r="20773" spans="7:7" x14ac:dyDescent="0.2">
      <c r="G20773" s="7"/>
    </row>
    <row r="20774" spans="7:7" x14ac:dyDescent="0.2">
      <c r="G20774" s="7"/>
    </row>
    <row r="20775" spans="7:7" x14ac:dyDescent="0.2">
      <c r="G20775" s="7"/>
    </row>
    <row r="20776" spans="7:7" x14ac:dyDescent="0.2">
      <c r="G20776" s="7"/>
    </row>
    <row r="20777" spans="7:7" x14ac:dyDescent="0.2">
      <c r="G20777" s="7"/>
    </row>
    <row r="20778" spans="7:7" x14ac:dyDescent="0.2">
      <c r="G20778" s="7"/>
    </row>
    <row r="20779" spans="7:7" x14ac:dyDescent="0.2">
      <c r="G20779" s="7"/>
    </row>
    <row r="20780" spans="7:7" x14ac:dyDescent="0.2">
      <c r="G20780" s="7"/>
    </row>
    <row r="20781" spans="7:7" x14ac:dyDescent="0.2">
      <c r="G20781" s="7"/>
    </row>
    <row r="20782" spans="7:7" x14ac:dyDescent="0.2">
      <c r="G20782" s="7"/>
    </row>
    <row r="20783" spans="7:7" x14ac:dyDescent="0.2">
      <c r="G20783" s="7"/>
    </row>
    <row r="20784" spans="7:7" x14ac:dyDescent="0.2">
      <c r="G20784" s="7"/>
    </row>
    <row r="20785" spans="7:7" x14ac:dyDescent="0.2">
      <c r="G20785" s="7"/>
    </row>
    <row r="20786" spans="7:7" x14ac:dyDescent="0.2">
      <c r="G20786" s="7"/>
    </row>
    <row r="20787" spans="7:7" x14ac:dyDescent="0.2">
      <c r="G20787" s="7"/>
    </row>
    <row r="20788" spans="7:7" x14ac:dyDescent="0.2">
      <c r="G20788" s="7"/>
    </row>
    <row r="20789" spans="7:7" x14ac:dyDescent="0.2">
      <c r="G20789" s="7"/>
    </row>
    <row r="20790" spans="7:7" x14ac:dyDescent="0.2">
      <c r="G20790" s="7"/>
    </row>
    <row r="20791" spans="7:7" x14ac:dyDescent="0.2">
      <c r="G20791" s="7"/>
    </row>
    <row r="20792" spans="7:7" x14ac:dyDescent="0.2">
      <c r="G20792" s="7"/>
    </row>
    <row r="20793" spans="7:7" x14ac:dyDescent="0.2">
      <c r="G20793" s="7"/>
    </row>
    <row r="20794" spans="7:7" x14ac:dyDescent="0.2">
      <c r="G20794" s="7"/>
    </row>
    <row r="20795" spans="7:7" x14ac:dyDescent="0.2">
      <c r="G20795" s="7"/>
    </row>
    <row r="20796" spans="7:7" x14ac:dyDescent="0.2">
      <c r="G20796" s="7"/>
    </row>
    <row r="20797" spans="7:7" x14ac:dyDescent="0.2">
      <c r="G20797" s="7"/>
    </row>
    <row r="20798" spans="7:7" x14ac:dyDescent="0.2">
      <c r="G20798" s="7"/>
    </row>
    <row r="20799" spans="7:7" x14ac:dyDescent="0.2">
      <c r="G20799" s="7"/>
    </row>
    <row r="20800" spans="7:7" x14ac:dyDescent="0.2">
      <c r="G20800" s="7"/>
    </row>
    <row r="20801" spans="7:7" x14ac:dyDescent="0.2">
      <c r="G20801" s="7"/>
    </row>
    <row r="20802" spans="7:7" x14ac:dyDescent="0.2">
      <c r="G20802" s="7"/>
    </row>
    <row r="20803" spans="7:7" x14ac:dyDescent="0.2">
      <c r="G20803" s="7"/>
    </row>
    <row r="20804" spans="7:7" x14ac:dyDescent="0.2">
      <c r="G20804" s="7"/>
    </row>
    <row r="20805" spans="7:7" x14ac:dyDescent="0.2">
      <c r="G20805" s="7"/>
    </row>
    <row r="20806" spans="7:7" x14ac:dyDescent="0.2">
      <c r="G20806" s="7"/>
    </row>
    <row r="20807" spans="7:7" x14ac:dyDescent="0.2">
      <c r="G20807" s="7"/>
    </row>
    <row r="20808" spans="7:7" x14ac:dyDescent="0.2">
      <c r="G20808" s="7"/>
    </row>
    <row r="20809" spans="7:7" x14ac:dyDescent="0.2">
      <c r="G20809" s="7"/>
    </row>
    <row r="20810" spans="7:7" x14ac:dyDescent="0.2">
      <c r="G20810" s="7"/>
    </row>
    <row r="20811" spans="7:7" x14ac:dyDescent="0.2">
      <c r="G20811" s="7"/>
    </row>
    <row r="20812" spans="7:7" x14ac:dyDescent="0.2">
      <c r="G20812" s="7"/>
    </row>
    <row r="20813" spans="7:7" x14ac:dyDescent="0.2">
      <c r="G20813" s="7"/>
    </row>
    <row r="20814" spans="7:7" x14ac:dyDescent="0.2">
      <c r="G20814" s="7"/>
    </row>
    <row r="20815" spans="7:7" x14ac:dyDescent="0.2">
      <c r="G20815" s="7"/>
    </row>
    <row r="20816" spans="7:7" x14ac:dyDescent="0.2">
      <c r="G20816" s="7"/>
    </row>
    <row r="20817" spans="7:7" x14ac:dyDescent="0.2">
      <c r="G20817" s="7"/>
    </row>
    <row r="20818" spans="7:7" x14ac:dyDescent="0.2">
      <c r="G20818" s="7"/>
    </row>
    <row r="20819" spans="7:7" x14ac:dyDescent="0.2">
      <c r="G20819" s="7"/>
    </row>
    <row r="20820" spans="7:7" x14ac:dyDescent="0.2">
      <c r="G20820" s="7"/>
    </row>
    <row r="20821" spans="7:7" x14ac:dyDescent="0.2">
      <c r="G20821" s="7"/>
    </row>
    <row r="20822" spans="7:7" x14ac:dyDescent="0.2">
      <c r="G20822" s="7"/>
    </row>
    <row r="20823" spans="7:7" x14ac:dyDescent="0.2">
      <c r="G20823" s="7"/>
    </row>
    <row r="20824" spans="7:7" x14ac:dyDescent="0.2">
      <c r="G20824" s="7"/>
    </row>
    <row r="20825" spans="7:7" x14ac:dyDescent="0.2">
      <c r="G20825" s="7"/>
    </row>
    <row r="20826" spans="7:7" x14ac:dyDescent="0.2">
      <c r="G20826" s="7"/>
    </row>
    <row r="20827" spans="7:7" x14ac:dyDescent="0.2">
      <c r="G20827" s="7"/>
    </row>
    <row r="20828" spans="7:7" x14ac:dyDescent="0.2">
      <c r="G20828" s="7"/>
    </row>
    <row r="20829" spans="7:7" x14ac:dyDescent="0.2">
      <c r="G20829" s="7"/>
    </row>
    <row r="20830" spans="7:7" x14ac:dyDescent="0.2">
      <c r="G20830" s="7"/>
    </row>
    <row r="20831" spans="7:7" x14ac:dyDescent="0.2">
      <c r="G20831" s="7"/>
    </row>
    <row r="20832" spans="7:7" x14ac:dyDescent="0.2">
      <c r="G20832" s="7"/>
    </row>
    <row r="20833" spans="7:7" x14ac:dyDescent="0.2">
      <c r="G20833" s="7"/>
    </row>
    <row r="20834" spans="7:7" x14ac:dyDescent="0.2">
      <c r="G20834" s="7"/>
    </row>
    <row r="20835" spans="7:7" x14ac:dyDescent="0.2">
      <c r="G20835" s="7"/>
    </row>
    <row r="20836" spans="7:7" x14ac:dyDescent="0.2">
      <c r="G20836" s="7"/>
    </row>
    <row r="20837" spans="7:7" x14ac:dyDescent="0.2">
      <c r="G20837" s="7"/>
    </row>
    <row r="20838" spans="7:7" x14ac:dyDescent="0.2">
      <c r="G20838" s="7"/>
    </row>
    <row r="20839" spans="7:7" x14ac:dyDescent="0.2">
      <c r="G20839" s="7"/>
    </row>
    <row r="20840" spans="7:7" x14ac:dyDescent="0.2">
      <c r="G20840" s="7"/>
    </row>
    <row r="20841" spans="7:7" x14ac:dyDescent="0.2">
      <c r="G20841" s="7"/>
    </row>
    <row r="20842" spans="7:7" x14ac:dyDescent="0.2">
      <c r="G20842" s="7"/>
    </row>
    <row r="20843" spans="7:7" x14ac:dyDescent="0.2">
      <c r="G20843" s="7"/>
    </row>
    <row r="20844" spans="7:7" x14ac:dyDescent="0.2">
      <c r="G20844" s="7"/>
    </row>
    <row r="20845" spans="7:7" x14ac:dyDescent="0.2">
      <c r="G20845" s="7"/>
    </row>
    <row r="20846" spans="7:7" x14ac:dyDescent="0.2">
      <c r="G20846" s="7"/>
    </row>
    <row r="20847" spans="7:7" x14ac:dyDescent="0.2">
      <c r="G20847" s="7"/>
    </row>
    <row r="20848" spans="7:7" x14ac:dyDescent="0.2">
      <c r="G20848" s="7"/>
    </row>
    <row r="20849" spans="7:7" x14ac:dyDescent="0.2">
      <c r="G20849" s="7"/>
    </row>
    <row r="20850" spans="7:7" x14ac:dyDescent="0.2">
      <c r="G20850" s="7"/>
    </row>
    <row r="20851" spans="7:7" x14ac:dyDescent="0.2">
      <c r="G20851" s="7"/>
    </row>
    <row r="20852" spans="7:7" x14ac:dyDescent="0.2">
      <c r="G20852" s="7"/>
    </row>
    <row r="20853" spans="7:7" x14ac:dyDescent="0.2">
      <c r="G20853" s="7"/>
    </row>
    <row r="20854" spans="7:7" x14ac:dyDescent="0.2">
      <c r="G20854" s="7"/>
    </row>
    <row r="20855" spans="7:7" x14ac:dyDescent="0.2">
      <c r="G20855" s="7"/>
    </row>
    <row r="20856" spans="7:7" x14ac:dyDescent="0.2">
      <c r="G20856" s="7"/>
    </row>
    <row r="20857" spans="7:7" x14ac:dyDescent="0.2">
      <c r="G20857" s="7"/>
    </row>
    <row r="20858" spans="7:7" x14ac:dyDescent="0.2">
      <c r="G20858" s="7"/>
    </row>
    <row r="20859" spans="7:7" x14ac:dyDescent="0.2">
      <c r="G20859" s="7"/>
    </row>
    <row r="20860" spans="7:7" x14ac:dyDescent="0.2">
      <c r="G20860" s="7"/>
    </row>
    <row r="20861" spans="7:7" x14ac:dyDescent="0.2">
      <c r="G20861" s="7"/>
    </row>
    <row r="20862" spans="7:7" x14ac:dyDescent="0.2">
      <c r="G20862" s="7"/>
    </row>
    <row r="20863" spans="7:7" x14ac:dyDescent="0.2">
      <c r="G20863" s="7"/>
    </row>
    <row r="20864" spans="7:7" x14ac:dyDescent="0.2">
      <c r="G20864" s="7"/>
    </row>
    <row r="20865" spans="7:7" x14ac:dyDescent="0.2">
      <c r="G20865" s="7"/>
    </row>
    <row r="20866" spans="7:7" x14ac:dyDescent="0.2">
      <c r="G20866" s="7"/>
    </row>
    <row r="20867" spans="7:7" x14ac:dyDescent="0.2">
      <c r="G20867" s="7"/>
    </row>
    <row r="20868" spans="7:7" x14ac:dyDescent="0.2">
      <c r="G20868" s="7"/>
    </row>
    <row r="20869" spans="7:7" x14ac:dyDescent="0.2">
      <c r="G20869" s="7"/>
    </row>
    <row r="20870" spans="7:7" x14ac:dyDescent="0.2">
      <c r="G20870" s="7"/>
    </row>
    <row r="20871" spans="7:7" x14ac:dyDescent="0.2">
      <c r="G20871" s="7"/>
    </row>
    <row r="20872" spans="7:7" x14ac:dyDescent="0.2">
      <c r="G20872" s="7"/>
    </row>
    <row r="20873" spans="7:7" x14ac:dyDescent="0.2">
      <c r="G20873" s="7"/>
    </row>
    <row r="20874" spans="7:7" x14ac:dyDescent="0.2">
      <c r="G20874" s="7"/>
    </row>
    <row r="20875" spans="7:7" x14ac:dyDescent="0.2">
      <c r="G20875" s="7"/>
    </row>
    <row r="20876" spans="7:7" x14ac:dyDescent="0.2">
      <c r="G20876" s="7"/>
    </row>
    <row r="20877" spans="7:7" x14ac:dyDescent="0.2">
      <c r="G20877" s="7"/>
    </row>
    <row r="20878" spans="7:7" x14ac:dyDescent="0.2">
      <c r="G20878" s="7"/>
    </row>
    <row r="20879" spans="7:7" x14ac:dyDescent="0.2">
      <c r="G20879" s="7"/>
    </row>
    <row r="20880" spans="7:7" x14ac:dyDescent="0.2">
      <c r="G20880" s="7"/>
    </row>
    <row r="20881" spans="7:7" x14ac:dyDescent="0.2">
      <c r="G20881" s="7"/>
    </row>
    <row r="20882" spans="7:7" x14ac:dyDescent="0.2">
      <c r="G20882" s="7"/>
    </row>
    <row r="20883" spans="7:7" x14ac:dyDescent="0.2">
      <c r="G20883" s="7"/>
    </row>
    <row r="20884" spans="7:7" x14ac:dyDescent="0.2">
      <c r="G20884" s="7"/>
    </row>
    <row r="20885" spans="7:7" x14ac:dyDescent="0.2">
      <c r="G20885" s="7"/>
    </row>
    <row r="20886" spans="7:7" x14ac:dyDescent="0.2">
      <c r="G20886" s="7"/>
    </row>
    <row r="20887" spans="7:7" x14ac:dyDescent="0.2">
      <c r="G20887" s="7"/>
    </row>
    <row r="20888" spans="7:7" x14ac:dyDescent="0.2">
      <c r="G20888" s="7"/>
    </row>
    <row r="20889" spans="7:7" x14ac:dyDescent="0.2">
      <c r="G20889" s="7"/>
    </row>
    <row r="20890" spans="7:7" x14ac:dyDescent="0.2">
      <c r="G20890" s="7"/>
    </row>
    <row r="20891" spans="7:7" x14ac:dyDescent="0.2">
      <c r="G20891" s="7"/>
    </row>
    <row r="20892" spans="7:7" x14ac:dyDescent="0.2">
      <c r="G20892" s="7"/>
    </row>
    <row r="20893" spans="7:7" x14ac:dyDescent="0.2">
      <c r="G20893" s="7"/>
    </row>
    <row r="20894" spans="7:7" x14ac:dyDescent="0.2">
      <c r="G20894" s="7"/>
    </row>
    <row r="20895" spans="7:7" x14ac:dyDescent="0.2">
      <c r="G20895" s="7"/>
    </row>
    <row r="20896" spans="7:7" x14ac:dyDescent="0.2">
      <c r="G20896" s="7"/>
    </row>
    <row r="20897" spans="7:7" x14ac:dyDescent="0.2">
      <c r="G20897" s="7"/>
    </row>
    <row r="20898" spans="7:7" x14ac:dyDescent="0.2">
      <c r="G20898" s="7"/>
    </row>
    <row r="20899" spans="7:7" x14ac:dyDescent="0.2">
      <c r="G20899" s="7"/>
    </row>
    <row r="20900" spans="7:7" x14ac:dyDescent="0.2">
      <c r="G20900" s="7"/>
    </row>
    <row r="20901" spans="7:7" x14ac:dyDescent="0.2">
      <c r="G20901" s="7"/>
    </row>
    <row r="20902" spans="7:7" x14ac:dyDescent="0.2">
      <c r="G20902" s="7"/>
    </row>
    <row r="20903" spans="7:7" x14ac:dyDescent="0.2">
      <c r="G20903" s="7"/>
    </row>
    <row r="20904" spans="7:7" x14ac:dyDescent="0.2">
      <c r="G20904" s="7"/>
    </row>
    <row r="20905" spans="7:7" x14ac:dyDescent="0.2">
      <c r="G20905" s="7"/>
    </row>
    <row r="20906" spans="7:7" x14ac:dyDescent="0.2">
      <c r="G20906" s="7"/>
    </row>
    <row r="20907" spans="7:7" x14ac:dyDescent="0.2">
      <c r="G20907" s="7"/>
    </row>
    <row r="20908" spans="7:7" x14ac:dyDescent="0.2">
      <c r="G20908" s="7"/>
    </row>
    <row r="20909" spans="7:7" x14ac:dyDescent="0.2">
      <c r="G20909" s="7"/>
    </row>
    <row r="20910" spans="7:7" x14ac:dyDescent="0.2">
      <c r="G20910" s="7"/>
    </row>
    <row r="20911" spans="7:7" x14ac:dyDescent="0.2">
      <c r="G20911" s="7"/>
    </row>
    <row r="20912" spans="7:7" x14ac:dyDescent="0.2">
      <c r="G20912" s="7"/>
    </row>
    <row r="20913" spans="7:7" x14ac:dyDescent="0.2">
      <c r="G20913" s="7"/>
    </row>
    <row r="20914" spans="7:7" x14ac:dyDescent="0.2">
      <c r="G20914" s="7"/>
    </row>
    <row r="20915" spans="7:7" x14ac:dyDescent="0.2">
      <c r="G20915" s="7"/>
    </row>
    <row r="20916" spans="7:7" x14ac:dyDescent="0.2">
      <c r="G20916" s="7"/>
    </row>
    <row r="20917" spans="7:7" x14ac:dyDescent="0.2">
      <c r="G20917" s="7"/>
    </row>
    <row r="20918" spans="7:7" x14ac:dyDescent="0.2">
      <c r="G20918" s="7"/>
    </row>
    <row r="20919" spans="7:7" x14ac:dyDescent="0.2">
      <c r="G20919" s="7"/>
    </row>
    <row r="20920" spans="7:7" x14ac:dyDescent="0.2">
      <c r="G20920" s="7"/>
    </row>
    <row r="20921" spans="7:7" x14ac:dyDescent="0.2">
      <c r="G20921" s="7"/>
    </row>
    <row r="20922" spans="7:7" x14ac:dyDescent="0.2">
      <c r="G20922" s="7"/>
    </row>
    <row r="20923" spans="7:7" x14ac:dyDescent="0.2">
      <c r="G20923" s="7"/>
    </row>
    <row r="20924" spans="7:7" x14ac:dyDescent="0.2">
      <c r="G20924" s="7"/>
    </row>
    <row r="20925" spans="7:7" x14ac:dyDescent="0.2">
      <c r="G20925" s="7"/>
    </row>
    <row r="20926" spans="7:7" x14ac:dyDescent="0.2">
      <c r="G20926" s="7"/>
    </row>
    <row r="20927" spans="7:7" x14ac:dyDescent="0.2">
      <c r="G20927" s="7"/>
    </row>
    <row r="20928" spans="7:7" x14ac:dyDescent="0.2">
      <c r="G20928" s="7"/>
    </row>
    <row r="20929" spans="7:7" x14ac:dyDescent="0.2">
      <c r="G20929" s="7"/>
    </row>
    <row r="20930" spans="7:7" x14ac:dyDescent="0.2">
      <c r="G20930" s="7"/>
    </row>
    <row r="20931" spans="7:7" x14ac:dyDescent="0.2">
      <c r="G20931" s="7"/>
    </row>
    <row r="20932" spans="7:7" x14ac:dyDescent="0.2">
      <c r="G20932" s="7"/>
    </row>
    <row r="20933" spans="7:7" x14ac:dyDescent="0.2">
      <c r="G20933" s="7"/>
    </row>
    <row r="20934" spans="7:7" x14ac:dyDescent="0.2">
      <c r="G20934" s="7"/>
    </row>
    <row r="20935" spans="7:7" x14ac:dyDescent="0.2">
      <c r="G20935" s="7"/>
    </row>
    <row r="20936" spans="7:7" x14ac:dyDescent="0.2">
      <c r="G20936" s="7"/>
    </row>
    <row r="20937" spans="7:7" x14ac:dyDescent="0.2">
      <c r="G20937" s="7"/>
    </row>
    <row r="20938" spans="7:7" x14ac:dyDescent="0.2">
      <c r="G20938" s="7"/>
    </row>
    <row r="20939" spans="7:7" x14ac:dyDescent="0.2">
      <c r="G20939" s="7"/>
    </row>
    <row r="20940" spans="7:7" x14ac:dyDescent="0.2">
      <c r="G20940" s="7"/>
    </row>
    <row r="20941" spans="7:7" x14ac:dyDescent="0.2">
      <c r="G20941" s="7"/>
    </row>
    <row r="20942" spans="7:7" x14ac:dyDescent="0.2">
      <c r="G20942" s="7"/>
    </row>
    <row r="20943" spans="7:7" x14ac:dyDescent="0.2">
      <c r="G20943" s="7"/>
    </row>
    <row r="20944" spans="7:7" x14ac:dyDescent="0.2">
      <c r="G20944" s="7"/>
    </row>
    <row r="20945" spans="7:7" x14ac:dyDescent="0.2">
      <c r="G20945" s="7"/>
    </row>
    <row r="20946" spans="7:7" x14ac:dyDescent="0.2">
      <c r="G20946" s="7"/>
    </row>
    <row r="20947" spans="7:7" x14ac:dyDescent="0.2">
      <c r="G20947" s="7"/>
    </row>
    <row r="20948" spans="7:7" x14ac:dyDescent="0.2">
      <c r="G20948" s="7"/>
    </row>
    <row r="20949" spans="7:7" x14ac:dyDescent="0.2">
      <c r="G20949" s="7"/>
    </row>
    <row r="20950" spans="7:7" x14ac:dyDescent="0.2">
      <c r="G20950" s="7"/>
    </row>
    <row r="20951" spans="7:7" x14ac:dyDescent="0.2">
      <c r="G20951" s="7"/>
    </row>
    <row r="20952" spans="7:7" x14ac:dyDescent="0.2">
      <c r="G20952" s="7"/>
    </row>
    <row r="20953" spans="7:7" x14ac:dyDescent="0.2">
      <c r="G20953" s="7"/>
    </row>
    <row r="20954" spans="7:7" x14ac:dyDescent="0.2">
      <c r="G20954" s="7"/>
    </row>
    <row r="20955" spans="7:7" x14ac:dyDescent="0.2">
      <c r="G20955" s="7"/>
    </row>
    <row r="20956" spans="7:7" x14ac:dyDescent="0.2">
      <c r="G20956" s="7"/>
    </row>
    <row r="20957" spans="7:7" x14ac:dyDescent="0.2">
      <c r="G20957" s="7"/>
    </row>
    <row r="20958" spans="7:7" x14ac:dyDescent="0.2">
      <c r="G20958" s="7"/>
    </row>
    <row r="20959" spans="7:7" x14ac:dyDescent="0.2">
      <c r="G20959" s="7"/>
    </row>
    <row r="20960" spans="7:7" x14ac:dyDescent="0.2">
      <c r="G20960" s="7"/>
    </row>
    <row r="20961" spans="7:7" x14ac:dyDescent="0.2">
      <c r="G20961" s="7"/>
    </row>
    <row r="20962" spans="7:7" x14ac:dyDescent="0.2">
      <c r="G20962" s="7"/>
    </row>
    <row r="20963" spans="7:7" x14ac:dyDescent="0.2">
      <c r="G20963" s="7"/>
    </row>
    <row r="20964" spans="7:7" x14ac:dyDescent="0.2">
      <c r="G20964" s="7"/>
    </row>
    <row r="20965" spans="7:7" x14ac:dyDescent="0.2">
      <c r="G20965" s="7"/>
    </row>
    <row r="20966" spans="7:7" x14ac:dyDescent="0.2">
      <c r="G20966" s="7"/>
    </row>
    <row r="20967" spans="7:7" x14ac:dyDescent="0.2">
      <c r="G20967" s="7"/>
    </row>
    <row r="20968" spans="7:7" x14ac:dyDescent="0.2">
      <c r="G20968" s="7"/>
    </row>
    <row r="20969" spans="7:7" x14ac:dyDescent="0.2">
      <c r="G20969" s="7"/>
    </row>
    <row r="20970" spans="7:7" x14ac:dyDescent="0.2">
      <c r="G20970" s="7"/>
    </row>
    <row r="20971" spans="7:7" x14ac:dyDescent="0.2">
      <c r="G20971" s="7"/>
    </row>
    <row r="20972" spans="7:7" x14ac:dyDescent="0.2">
      <c r="G20972" s="7"/>
    </row>
    <row r="20973" spans="7:7" x14ac:dyDescent="0.2">
      <c r="G20973" s="7"/>
    </row>
    <row r="20974" spans="7:7" x14ac:dyDescent="0.2">
      <c r="G20974" s="7"/>
    </row>
    <row r="20975" spans="7:7" x14ac:dyDescent="0.2">
      <c r="G20975" s="7"/>
    </row>
    <row r="20976" spans="7:7" x14ac:dyDescent="0.2">
      <c r="G20976" s="7"/>
    </row>
    <row r="20977" spans="7:7" x14ac:dyDescent="0.2">
      <c r="G20977" s="7"/>
    </row>
    <row r="20978" spans="7:7" x14ac:dyDescent="0.2">
      <c r="G20978" s="7"/>
    </row>
    <row r="20979" spans="7:7" x14ac:dyDescent="0.2">
      <c r="G20979" s="7"/>
    </row>
    <row r="20980" spans="7:7" x14ac:dyDescent="0.2">
      <c r="G20980" s="7"/>
    </row>
    <row r="20981" spans="7:7" x14ac:dyDescent="0.2">
      <c r="G20981" s="7"/>
    </row>
    <row r="20982" spans="7:7" x14ac:dyDescent="0.2">
      <c r="G20982" s="7"/>
    </row>
    <row r="20983" spans="7:7" x14ac:dyDescent="0.2">
      <c r="G20983" s="7"/>
    </row>
    <row r="20984" spans="7:7" x14ac:dyDescent="0.2">
      <c r="G20984" s="7"/>
    </row>
    <row r="20985" spans="7:7" x14ac:dyDescent="0.2">
      <c r="G20985" s="7"/>
    </row>
    <row r="20986" spans="7:7" x14ac:dyDescent="0.2">
      <c r="G20986" s="7"/>
    </row>
    <row r="20987" spans="7:7" x14ac:dyDescent="0.2">
      <c r="G20987" s="7"/>
    </row>
    <row r="20988" spans="7:7" x14ac:dyDescent="0.2">
      <c r="G20988" s="7"/>
    </row>
    <row r="20989" spans="7:7" x14ac:dyDescent="0.2">
      <c r="G20989" s="7"/>
    </row>
    <row r="20990" spans="7:7" x14ac:dyDescent="0.2">
      <c r="G20990" s="7"/>
    </row>
    <row r="20991" spans="7:7" x14ac:dyDescent="0.2">
      <c r="G20991" s="7"/>
    </row>
    <row r="20992" spans="7:7" x14ac:dyDescent="0.2">
      <c r="G20992" s="7"/>
    </row>
    <row r="20993" spans="7:7" x14ac:dyDescent="0.2">
      <c r="G20993" s="7"/>
    </row>
    <row r="20994" spans="7:7" x14ac:dyDescent="0.2">
      <c r="G20994" s="7"/>
    </row>
    <row r="20995" spans="7:7" x14ac:dyDescent="0.2">
      <c r="G20995" s="7"/>
    </row>
    <row r="20996" spans="7:7" x14ac:dyDescent="0.2">
      <c r="G20996" s="7"/>
    </row>
    <row r="20997" spans="7:7" x14ac:dyDescent="0.2">
      <c r="G20997" s="7"/>
    </row>
    <row r="20998" spans="7:7" x14ac:dyDescent="0.2">
      <c r="G20998" s="7"/>
    </row>
    <row r="20999" spans="7:7" x14ac:dyDescent="0.2">
      <c r="G20999" s="7"/>
    </row>
    <row r="21000" spans="7:7" x14ac:dyDescent="0.2">
      <c r="G21000" s="7"/>
    </row>
    <row r="21001" spans="7:7" x14ac:dyDescent="0.2">
      <c r="G21001" s="7"/>
    </row>
    <row r="21002" spans="7:7" x14ac:dyDescent="0.2">
      <c r="G21002" s="7"/>
    </row>
    <row r="21003" spans="7:7" x14ac:dyDescent="0.2">
      <c r="G21003" s="7"/>
    </row>
    <row r="21004" spans="7:7" x14ac:dyDescent="0.2">
      <c r="G21004" s="7"/>
    </row>
    <row r="21005" spans="7:7" x14ac:dyDescent="0.2">
      <c r="G21005" s="7"/>
    </row>
    <row r="21006" spans="7:7" x14ac:dyDescent="0.2">
      <c r="G21006" s="7"/>
    </row>
    <row r="21007" spans="7:7" x14ac:dyDescent="0.2">
      <c r="G21007" s="7"/>
    </row>
    <row r="21008" spans="7:7" x14ac:dyDescent="0.2">
      <c r="G21008" s="7"/>
    </row>
    <row r="21009" spans="7:7" x14ac:dyDescent="0.2">
      <c r="G21009" s="7"/>
    </row>
    <row r="21010" spans="7:7" x14ac:dyDescent="0.2">
      <c r="G21010" s="7"/>
    </row>
    <row r="21011" spans="7:7" x14ac:dyDescent="0.2">
      <c r="G21011" s="7"/>
    </row>
    <row r="21012" spans="7:7" x14ac:dyDescent="0.2">
      <c r="G21012" s="7"/>
    </row>
    <row r="21013" spans="7:7" x14ac:dyDescent="0.2">
      <c r="G21013" s="7"/>
    </row>
    <row r="21014" spans="7:7" x14ac:dyDescent="0.2">
      <c r="G21014" s="7"/>
    </row>
    <row r="21015" spans="7:7" x14ac:dyDescent="0.2">
      <c r="G21015" s="7"/>
    </row>
    <row r="21016" spans="7:7" x14ac:dyDescent="0.2">
      <c r="G21016" s="7"/>
    </row>
    <row r="21017" spans="7:7" x14ac:dyDescent="0.2">
      <c r="G21017" s="7"/>
    </row>
    <row r="21018" spans="7:7" x14ac:dyDescent="0.2">
      <c r="G21018" s="7"/>
    </row>
    <row r="21019" spans="7:7" x14ac:dyDescent="0.2">
      <c r="G21019" s="7"/>
    </row>
    <row r="21020" spans="7:7" x14ac:dyDescent="0.2">
      <c r="G21020" s="7"/>
    </row>
    <row r="21021" spans="7:7" x14ac:dyDescent="0.2">
      <c r="G21021" s="7"/>
    </row>
    <row r="21022" spans="7:7" x14ac:dyDescent="0.2">
      <c r="G21022" s="7"/>
    </row>
    <row r="21023" spans="7:7" x14ac:dyDescent="0.2">
      <c r="G21023" s="7"/>
    </row>
    <row r="21024" spans="7:7" x14ac:dyDescent="0.2">
      <c r="G21024" s="7"/>
    </row>
    <row r="21025" spans="7:7" x14ac:dyDescent="0.2">
      <c r="G21025" s="7"/>
    </row>
    <row r="21026" spans="7:7" x14ac:dyDescent="0.2">
      <c r="G21026" s="7"/>
    </row>
    <row r="21027" spans="7:7" x14ac:dyDescent="0.2">
      <c r="G21027" s="7"/>
    </row>
    <row r="21028" spans="7:7" x14ac:dyDescent="0.2">
      <c r="G21028" s="7"/>
    </row>
    <row r="21029" spans="7:7" x14ac:dyDescent="0.2">
      <c r="G21029" s="7"/>
    </row>
    <row r="21030" spans="7:7" x14ac:dyDescent="0.2">
      <c r="G21030" s="7"/>
    </row>
    <row r="21031" spans="7:7" x14ac:dyDescent="0.2">
      <c r="G21031" s="7"/>
    </row>
    <row r="21032" spans="7:7" x14ac:dyDescent="0.2">
      <c r="G21032" s="7"/>
    </row>
    <row r="21033" spans="7:7" x14ac:dyDescent="0.2">
      <c r="G21033" s="7"/>
    </row>
    <row r="21034" spans="7:7" x14ac:dyDescent="0.2">
      <c r="G21034" s="7"/>
    </row>
    <row r="21035" spans="7:7" x14ac:dyDescent="0.2">
      <c r="G21035" s="7"/>
    </row>
    <row r="21036" spans="7:7" x14ac:dyDescent="0.2">
      <c r="G21036" s="7"/>
    </row>
    <row r="21037" spans="7:7" x14ac:dyDescent="0.2">
      <c r="G21037" s="7"/>
    </row>
    <row r="21038" spans="7:7" x14ac:dyDescent="0.2">
      <c r="G21038" s="7"/>
    </row>
    <row r="21039" spans="7:7" x14ac:dyDescent="0.2">
      <c r="G21039" s="7"/>
    </row>
    <row r="21040" spans="7:7" x14ac:dyDescent="0.2">
      <c r="G21040" s="7"/>
    </row>
    <row r="21041" spans="7:7" x14ac:dyDescent="0.2">
      <c r="G21041" s="7"/>
    </row>
    <row r="21042" spans="7:7" x14ac:dyDescent="0.2">
      <c r="G21042" s="7"/>
    </row>
    <row r="21043" spans="7:7" x14ac:dyDescent="0.2">
      <c r="G21043" s="7"/>
    </row>
    <row r="21044" spans="7:7" x14ac:dyDescent="0.2">
      <c r="G21044" s="7"/>
    </row>
    <row r="21045" spans="7:7" x14ac:dyDescent="0.2">
      <c r="G21045" s="7"/>
    </row>
    <row r="21046" spans="7:7" x14ac:dyDescent="0.2">
      <c r="G21046" s="7"/>
    </row>
    <row r="21047" spans="7:7" x14ac:dyDescent="0.2">
      <c r="G21047" s="7"/>
    </row>
    <row r="21048" spans="7:7" x14ac:dyDescent="0.2">
      <c r="G21048" s="7"/>
    </row>
    <row r="21049" spans="7:7" x14ac:dyDescent="0.2">
      <c r="G21049" s="7"/>
    </row>
    <row r="21050" spans="7:7" x14ac:dyDescent="0.2">
      <c r="G21050" s="7"/>
    </row>
    <row r="21051" spans="7:7" x14ac:dyDescent="0.2">
      <c r="G21051" s="7"/>
    </row>
    <row r="21052" spans="7:7" x14ac:dyDescent="0.2">
      <c r="G21052" s="7"/>
    </row>
    <row r="21053" spans="7:7" x14ac:dyDescent="0.2">
      <c r="G21053" s="7"/>
    </row>
    <row r="21054" spans="7:7" x14ac:dyDescent="0.2">
      <c r="G21054" s="7"/>
    </row>
    <row r="21055" spans="7:7" x14ac:dyDescent="0.2">
      <c r="G21055" s="7"/>
    </row>
    <row r="21056" spans="7:7" x14ac:dyDescent="0.2">
      <c r="G21056" s="7"/>
    </row>
    <row r="21057" spans="7:7" x14ac:dyDescent="0.2">
      <c r="G21057" s="7"/>
    </row>
    <row r="21058" spans="7:7" x14ac:dyDescent="0.2">
      <c r="G21058" s="7"/>
    </row>
    <row r="21059" spans="7:7" x14ac:dyDescent="0.2">
      <c r="G21059" s="7"/>
    </row>
    <row r="21060" spans="7:7" x14ac:dyDescent="0.2">
      <c r="G21060" s="7"/>
    </row>
    <row r="21061" spans="7:7" x14ac:dyDescent="0.2">
      <c r="G21061" s="7"/>
    </row>
    <row r="21062" spans="7:7" x14ac:dyDescent="0.2">
      <c r="G21062" s="7"/>
    </row>
    <row r="21063" spans="7:7" x14ac:dyDescent="0.2">
      <c r="G21063" s="7"/>
    </row>
    <row r="21064" spans="7:7" x14ac:dyDescent="0.2">
      <c r="G21064" s="7"/>
    </row>
    <row r="21065" spans="7:7" x14ac:dyDescent="0.2">
      <c r="G21065" s="7"/>
    </row>
    <row r="21066" spans="7:7" x14ac:dyDescent="0.2">
      <c r="G21066" s="7"/>
    </row>
    <row r="21067" spans="7:7" x14ac:dyDescent="0.2">
      <c r="G21067" s="7"/>
    </row>
    <row r="21068" spans="7:7" x14ac:dyDescent="0.2">
      <c r="G21068" s="7"/>
    </row>
    <row r="21069" spans="7:7" x14ac:dyDescent="0.2">
      <c r="G21069" s="7"/>
    </row>
    <row r="21070" spans="7:7" x14ac:dyDescent="0.2">
      <c r="G21070" s="7"/>
    </row>
    <row r="21071" spans="7:7" x14ac:dyDescent="0.2">
      <c r="G21071" s="7"/>
    </row>
    <row r="21072" spans="7:7" x14ac:dyDescent="0.2">
      <c r="G21072" s="7"/>
    </row>
    <row r="21073" spans="7:7" x14ac:dyDescent="0.2">
      <c r="G21073" s="7"/>
    </row>
    <row r="21074" spans="7:7" x14ac:dyDescent="0.2">
      <c r="G21074" s="7"/>
    </row>
    <row r="21075" spans="7:7" x14ac:dyDescent="0.2">
      <c r="G21075" s="7"/>
    </row>
    <row r="21076" spans="7:7" x14ac:dyDescent="0.2">
      <c r="G21076" s="7"/>
    </row>
    <row r="21077" spans="7:7" x14ac:dyDescent="0.2">
      <c r="G21077" s="7"/>
    </row>
    <row r="21078" spans="7:7" x14ac:dyDescent="0.2">
      <c r="G21078" s="7"/>
    </row>
    <row r="21079" spans="7:7" x14ac:dyDescent="0.2">
      <c r="G21079" s="7"/>
    </row>
    <row r="21080" spans="7:7" x14ac:dyDescent="0.2">
      <c r="G21080" s="7"/>
    </row>
    <row r="21081" spans="7:7" x14ac:dyDescent="0.2">
      <c r="G21081" s="7"/>
    </row>
    <row r="21082" spans="7:7" x14ac:dyDescent="0.2">
      <c r="G21082" s="7"/>
    </row>
    <row r="21083" spans="7:7" x14ac:dyDescent="0.2">
      <c r="G21083" s="7"/>
    </row>
    <row r="21084" spans="7:7" x14ac:dyDescent="0.2">
      <c r="G21084" s="7"/>
    </row>
    <row r="21085" spans="7:7" x14ac:dyDescent="0.2">
      <c r="G21085" s="7"/>
    </row>
    <row r="21086" spans="7:7" x14ac:dyDescent="0.2">
      <c r="G21086" s="7"/>
    </row>
    <row r="21087" spans="7:7" x14ac:dyDescent="0.2">
      <c r="G21087" s="7"/>
    </row>
    <row r="21088" spans="7:7" x14ac:dyDescent="0.2">
      <c r="G21088" s="7"/>
    </row>
    <row r="21089" spans="7:7" x14ac:dyDescent="0.2">
      <c r="G21089" s="7"/>
    </row>
    <row r="21090" spans="7:7" x14ac:dyDescent="0.2">
      <c r="G21090" s="7"/>
    </row>
    <row r="21091" spans="7:7" x14ac:dyDescent="0.2">
      <c r="G21091" s="7"/>
    </row>
    <row r="21092" spans="7:7" x14ac:dyDescent="0.2">
      <c r="G21092" s="7"/>
    </row>
    <row r="21093" spans="7:7" x14ac:dyDescent="0.2">
      <c r="G21093" s="7"/>
    </row>
    <row r="21094" spans="7:7" x14ac:dyDescent="0.2">
      <c r="G21094" s="7"/>
    </row>
    <row r="21095" spans="7:7" x14ac:dyDescent="0.2">
      <c r="G21095" s="7"/>
    </row>
    <row r="21096" spans="7:7" x14ac:dyDescent="0.2">
      <c r="G21096" s="7"/>
    </row>
    <row r="21097" spans="7:7" x14ac:dyDescent="0.2">
      <c r="G21097" s="7"/>
    </row>
    <row r="21098" spans="7:7" x14ac:dyDescent="0.2">
      <c r="G21098" s="7"/>
    </row>
    <row r="21099" spans="7:7" x14ac:dyDescent="0.2">
      <c r="G21099" s="7"/>
    </row>
    <row r="21100" spans="7:7" x14ac:dyDescent="0.2">
      <c r="G21100" s="7"/>
    </row>
    <row r="21101" spans="7:7" x14ac:dyDescent="0.2">
      <c r="G21101" s="7"/>
    </row>
    <row r="21102" spans="7:7" x14ac:dyDescent="0.2">
      <c r="G21102" s="7"/>
    </row>
    <row r="21103" spans="7:7" x14ac:dyDescent="0.2">
      <c r="G21103" s="7"/>
    </row>
    <row r="21104" spans="7:7" x14ac:dyDescent="0.2">
      <c r="G21104" s="7"/>
    </row>
    <row r="21105" spans="7:7" x14ac:dyDescent="0.2">
      <c r="G21105" s="7"/>
    </row>
    <row r="21106" spans="7:7" x14ac:dyDescent="0.2">
      <c r="G21106" s="7"/>
    </row>
    <row r="21107" spans="7:7" x14ac:dyDescent="0.2">
      <c r="G21107" s="7"/>
    </row>
    <row r="21108" spans="7:7" x14ac:dyDescent="0.2">
      <c r="G21108" s="7"/>
    </row>
    <row r="21109" spans="7:7" x14ac:dyDescent="0.2">
      <c r="G21109" s="7"/>
    </row>
    <row r="21110" spans="7:7" x14ac:dyDescent="0.2">
      <c r="G21110" s="7"/>
    </row>
    <row r="21111" spans="7:7" x14ac:dyDescent="0.2">
      <c r="G21111" s="7"/>
    </row>
    <row r="21112" spans="7:7" x14ac:dyDescent="0.2">
      <c r="G21112" s="7"/>
    </row>
    <row r="21113" spans="7:7" x14ac:dyDescent="0.2">
      <c r="G21113" s="7"/>
    </row>
    <row r="21114" spans="7:7" x14ac:dyDescent="0.2">
      <c r="G21114" s="7"/>
    </row>
    <row r="21115" spans="7:7" x14ac:dyDescent="0.2">
      <c r="G21115" s="7"/>
    </row>
    <row r="21116" spans="7:7" x14ac:dyDescent="0.2">
      <c r="G21116" s="7"/>
    </row>
    <row r="21117" spans="7:7" x14ac:dyDescent="0.2">
      <c r="G21117" s="7"/>
    </row>
    <row r="21118" spans="7:7" x14ac:dyDescent="0.2">
      <c r="G21118" s="7"/>
    </row>
    <row r="21119" spans="7:7" x14ac:dyDescent="0.2">
      <c r="G21119" s="7"/>
    </row>
    <row r="21120" spans="7:7" x14ac:dyDescent="0.2">
      <c r="G21120" s="7"/>
    </row>
    <row r="21121" spans="7:7" x14ac:dyDescent="0.2">
      <c r="G21121" s="7"/>
    </row>
    <row r="21122" spans="7:7" x14ac:dyDescent="0.2">
      <c r="G21122" s="7"/>
    </row>
    <row r="21123" spans="7:7" x14ac:dyDescent="0.2">
      <c r="G21123" s="7"/>
    </row>
    <row r="21124" spans="7:7" x14ac:dyDescent="0.2">
      <c r="G21124" s="7"/>
    </row>
    <row r="21125" spans="7:7" x14ac:dyDescent="0.2">
      <c r="G21125" s="7"/>
    </row>
    <row r="21126" spans="7:7" x14ac:dyDescent="0.2">
      <c r="G21126" s="7"/>
    </row>
    <row r="21127" spans="7:7" x14ac:dyDescent="0.2">
      <c r="G21127" s="7"/>
    </row>
    <row r="21128" spans="7:7" x14ac:dyDescent="0.2">
      <c r="G21128" s="7"/>
    </row>
    <row r="21129" spans="7:7" x14ac:dyDescent="0.2">
      <c r="G21129" s="7"/>
    </row>
    <row r="21130" spans="7:7" x14ac:dyDescent="0.2">
      <c r="G21130" s="7"/>
    </row>
    <row r="21131" spans="7:7" x14ac:dyDescent="0.2">
      <c r="G21131" s="7"/>
    </row>
    <row r="21132" spans="7:7" x14ac:dyDescent="0.2">
      <c r="G21132" s="7"/>
    </row>
    <row r="21133" spans="7:7" x14ac:dyDescent="0.2">
      <c r="G21133" s="7"/>
    </row>
    <row r="21134" spans="7:7" x14ac:dyDescent="0.2">
      <c r="G21134" s="7"/>
    </row>
    <row r="21135" spans="7:7" x14ac:dyDescent="0.2">
      <c r="G21135" s="7"/>
    </row>
    <row r="21136" spans="7:7" x14ac:dyDescent="0.2">
      <c r="G21136" s="7"/>
    </row>
    <row r="21137" spans="7:7" x14ac:dyDescent="0.2">
      <c r="G21137" s="7"/>
    </row>
    <row r="21138" spans="7:7" x14ac:dyDescent="0.2">
      <c r="G21138" s="7"/>
    </row>
    <row r="21139" spans="7:7" x14ac:dyDescent="0.2">
      <c r="G21139" s="7"/>
    </row>
    <row r="21140" spans="7:7" x14ac:dyDescent="0.2">
      <c r="G21140" s="7"/>
    </row>
    <row r="21141" spans="7:7" x14ac:dyDescent="0.2">
      <c r="G21141" s="7"/>
    </row>
    <row r="21142" spans="7:7" x14ac:dyDescent="0.2">
      <c r="G21142" s="7"/>
    </row>
    <row r="21143" spans="7:7" x14ac:dyDescent="0.2">
      <c r="G21143" s="7"/>
    </row>
    <row r="21144" spans="7:7" x14ac:dyDescent="0.2">
      <c r="G21144" s="7"/>
    </row>
    <row r="21145" spans="7:7" x14ac:dyDescent="0.2">
      <c r="G21145" s="7"/>
    </row>
    <row r="21146" spans="7:7" x14ac:dyDescent="0.2">
      <c r="G21146" s="7"/>
    </row>
    <row r="21147" spans="7:7" x14ac:dyDescent="0.2">
      <c r="G21147" s="7"/>
    </row>
    <row r="21148" spans="7:7" x14ac:dyDescent="0.2">
      <c r="G21148" s="7"/>
    </row>
    <row r="21149" spans="7:7" x14ac:dyDescent="0.2">
      <c r="G21149" s="7"/>
    </row>
    <row r="21150" spans="7:7" x14ac:dyDescent="0.2">
      <c r="G21150" s="7"/>
    </row>
    <row r="21151" spans="7:7" x14ac:dyDescent="0.2">
      <c r="G21151" s="7"/>
    </row>
    <row r="21152" spans="7:7" x14ac:dyDescent="0.2">
      <c r="G21152" s="7"/>
    </row>
    <row r="21153" spans="7:7" x14ac:dyDescent="0.2">
      <c r="G21153" s="7"/>
    </row>
    <row r="21154" spans="7:7" x14ac:dyDescent="0.2">
      <c r="G21154" s="7"/>
    </row>
    <row r="21155" spans="7:7" x14ac:dyDescent="0.2">
      <c r="G21155" s="7"/>
    </row>
    <row r="21156" spans="7:7" x14ac:dyDescent="0.2">
      <c r="G21156" s="7"/>
    </row>
    <row r="21157" spans="7:7" x14ac:dyDescent="0.2">
      <c r="G21157" s="7"/>
    </row>
    <row r="21158" spans="7:7" x14ac:dyDescent="0.2">
      <c r="G21158" s="7"/>
    </row>
    <row r="21159" spans="7:7" x14ac:dyDescent="0.2">
      <c r="G21159" s="7"/>
    </row>
    <row r="21160" spans="7:7" x14ac:dyDescent="0.2">
      <c r="G21160" s="7"/>
    </row>
    <row r="21161" spans="7:7" x14ac:dyDescent="0.2">
      <c r="G21161" s="7"/>
    </row>
    <row r="21162" spans="7:7" x14ac:dyDescent="0.2">
      <c r="G21162" s="7"/>
    </row>
    <row r="21163" spans="7:7" x14ac:dyDescent="0.2">
      <c r="G21163" s="7"/>
    </row>
    <row r="21164" spans="7:7" x14ac:dyDescent="0.2">
      <c r="G21164" s="7"/>
    </row>
    <row r="21165" spans="7:7" x14ac:dyDescent="0.2">
      <c r="G21165" s="7"/>
    </row>
    <row r="21166" spans="7:7" x14ac:dyDescent="0.2">
      <c r="G21166" s="7"/>
    </row>
    <row r="21167" spans="7:7" x14ac:dyDescent="0.2">
      <c r="G21167" s="7"/>
    </row>
    <row r="21168" spans="7:7" x14ac:dyDescent="0.2">
      <c r="G21168" s="7"/>
    </row>
    <row r="21169" spans="7:7" x14ac:dyDescent="0.2">
      <c r="G21169" s="7"/>
    </row>
    <row r="21170" spans="7:7" x14ac:dyDescent="0.2">
      <c r="G21170" s="7"/>
    </row>
    <row r="21171" spans="7:7" x14ac:dyDescent="0.2">
      <c r="G21171" s="7"/>
    </row>
    <row r="21172" spans="7:7" x14ac:dyDescent="0.2">
      <c r="G21172" s="7"/>
    </row>
    <row r="21173" spans="7:7" x14ac:dyDescent="0.2">
      <c r="G21173" s="7"/>
    </row>
    <row r="21174" spans="7:7" x14ac:dyDescent="0.2">
      <c r="G21174" s="7"/>
    </row>
    <row r="21175" spans="7:7" x14ac:dyDescent="0.2">
      <c r="G21175" s="7"/>
    </row>
    <row r="21176" spans="7:7" x14ac:dyDescent="0.2">
      <c r="G21176" s="7"/>
    </row>
    <row r="21177" spans="7:7" x14ac:dyDescent="0.2">
      <c r="G21177" s="7"/>
    </row>
    <row r="21178" spans="7:7" x14ac:dyDescent="0.2">
      <c r="G21178" s="7"/>
    </row>
    <row r="21179" spans="7:7" x14ac:dyDescent="0.2">
      <c r="G21179" s="7"/>
    </row>
    <row r="21180" spans="7:7" x14ac:dyDescent="0.2">
      <c r="G21180" s="7"/>
    </row>
    <row r="21181" spans="7:7" x14ac:dyDescent="0.2">
      <c r="G21181" s="7"/>
    </row>
    <row r="21182" spans="7:7" x14ac:dyDescent="0.2">
      <c r="G21182" s="7"/>
    </row>
    <row r="21183" spans="7:7" x14ac:dyDescent="0.2">
      <c r="G21183" s="7"/>
    </row>
    <row r="21184" spans="7:7" x14ac:dyDescent="0.2">
      <c r="G21184" s="7"/>
    </row>
    <row r="21185" spans="7:7" x14ac:dyDescent="0.2">
      <c r="G21185" s="7"/>
    </row>
    <row r="21186" spans="7:7" x14ac:dyDescent="0.2">
      <c r="G21186" s="7"/>
    </row>
    <row r="21187" spans="7:7" x14ac:dyDescent="0.2">
      <c r="G21187" s="7"/>
    </row>
    <row r="21188" spans="7:7" x14ac:dyDescent="0.2">
      <c r="G21188" s="7"/>
    </row>
    <row r="21189" spans="7:7" x14ac:dyDescent="0.2">
      <c r="G21189" s="7"/>
    </row>
    <row r="21190" spans="7:7" x14ac:dyDescent="0.2">
      <c r="G21190" s="7"/>
    </row>
    <row r="21191" spans="7:7" x14ac:dyDescent="0.2">
      <c r="G21191" s="7"/>
    </row>
    <row r="21192" spans="7:7" x14ac:dyDescent="0.2">
      <c r="G21192" s="7"/>
    </row>
    <row r="21193" spans="7:7" x14ac:dyDescent="0.2">
      <c r="G21193" s="7"/>
    </row>
    <row r="21194" spans="7:7" x14ac:dyDescent="0.2">
      <c r="G21194" s="7"/>
    </row>
    <row r="21195" spans="7:7" x14ac:dyDescent="0.2">
      <c r="G21195" s="7"/>
    </row>
    <row r="21196" spans="7:7" x14ac:dyDescent="0.2">
      <c r="G21196" s="7"/>
    </row>
    <row r="21197" spans="7:7" x14ac:dyDescent="0.2">
      <c r="G21197" s="7"/>
    </row>
    <row r="21198" spans="7:7" x14ac:dyDescent="0.2">
      <c r="G21198" s="7"/>
    </row>
    <row r="21199" spans="7:7" x14ac:dyDescent="0.2">
      <c r="G21199" s="7"/>
    </row>
    <row r="21200" spans="7:7" x14ac:dyDescent="0.2">
      <c r="G21200" s="7"/>
    </row>
    <row r="21201" spans="7:7" x14ac:dyDescent="0.2">
      <c r="G21201" s="7"/>
    </row>
    <row r="21202" spans="7:7" x14ac:dyDescent="0.2">
      <c r="G21202" s="7"/>
    </row>
    <row r="21203" spans="7:7" x14ac:dyDescent="0.2">
      <c r="G21203" s="7"/>
    </row>
    <row r="21204" spans="7:7" x14ac:dyDescent="0.2">
      <c r="G21204" s="7"/>
    </row>
    <row r="21205" spans="7:7" x14ac:dyDescent="0.2">
      <c r="G21205" s="7"/>
    </row>
    <row r="21206" spans="7:7" x14ac:dyDescent="0.2">
      <c r="G21206" s="7"/>
    </row>
    <row r="21207" spans="7:7" x14ac:dyDescent="0.2">
      <c r="G21207" s="7"/>
    </row>
    <row r="21208" spans="7:7" x14ac:dyDescent="0.2">
      <c r="G21208" s="7"/>
    </row>
    <row r="21209" spans="7:7" x14ac:dyDescent="0.2">
      <c r="G21209" s="7"/>
    </row>
    <row r="21210" spans="7:7" x14ac:dyDescent="0.2">
      <c r="G21210" s="7"/>
    </row>
    <row r="21211" spans="7:7" x14ac:dyDescent="0.2">
      <c r="G21211" s="7"/>
    </row>
    <row r="21212" spans="7:7" x14ac:dyDescent="0.2">
      <c r="G21212" s="7"/>
    </row>
    <row r="21213" spans="7:7" x14ac:dyDescent="0.2">
      <c r="G21213" s="7"/>
    </row>
    <row r="21214" spans="7:7" x14ac:dyDescent="0.2">
      <c r="G21214" s="7"/>
    </row>
    <row r="21215" spans="7:7" x14ac:dyDescent="0.2">
      <c r="G21215" s="7"/>
    </row>
    <row r="21216" spans="7:7" x14ac:dyDescent="0.2">
      <c r="G21216" s="7"/>
    </row>
    <row r="21217" spans="7:7" x14ac:dyDescent="0.2">
      <c r="G21217" s="7"/>
    </row>
    <row r="21218" spans="7:7" x14ac:dyDescent="0.2">
      <c r="G21218" s="7"/>
    </row>
    <row r="21219" spans="7:7" x14ac:dyDescent="0.2">
      <c r="G21219" s="7"/>
    </row>
    <row r="21220" spans="7:7" x14ac:dyDescent="0.2">
      <c r="G21220" s="7"/>
    </row>
    <row r="21221" spans="7:7" x14ac:dyDescent="0.2">
      <c r="G21221" s="7"/>
    </row>
    <row r="21222" spans="7:7" x14ac:dyDescent="0.2">
      <c r="G21222" s="7"/>
    </row>
    <row r="21223" spans="7:7" x14ac:dyDescent="0.2">
      <c r="G21223" s="7"/>
    </row>
    <row r="21224" spans="7:7" x14ac:dyDescent="0.2">
      <c r="G21224" s="7"/>
    </row>
    <row r="21225" spans="7:7" x14ac:dyDescent="0.2">
      <c r="G21225" s="7"/>
    </row>
    <row r="21226" spans="7:7" x14ac:dyDescent="0.2">
      <c r="G21226" s="7"/>
    </row>
    <row r="21227" spans="7:7" x14ac:dyDescent="0.2">
      <c r="G21227" s="7"/>
    </row>
    <row r="21228" spans="7:7" x14ac:dyDescent="0.2">
      <c r="G21228" s="7"/>
    </row>
    <row r="21229" spans="7:7" x14ac:dyDescent="0.2">
      <c r="G21229" s="7"/>
    </row>
    <row r="21230" spans="7:7" x14ac:dyDescent="0.2">
      <c r="G21230" s="7"/>
    </row>
    <row r="21231" spans="7:7" x14ac:dyDescent="0.2">
      <c r="G21231" s="7"/>
    </row>
    <row r="21232" spans="7:7" x14ac:dyDescent="0.2">
      <c r="G21232" s="7"/>
    </row>
    <row r="21233" spans="7:7" x14ac:dyDescent="0.2">
      <c r="G21233" s="7"/>
    </row>
    <row r="21234" spans="7:7" x14ac:dyDescent="0.2">
      <c r="G21234" s="7"/>
    </row>
    <row r="21235" spans="7:7" x14ac:dyDescent="0.2">
      <c r="G21235" s="7"/>
    </row>
    <row r="21236" spans="7:7" x14ac:dyDescent="0.2">
      <c r="G21236" s="7"/>
    </row>
    <row r="21237" spans="7:7" x14ac:dyDescent="0.2">
      <c r="G21237" s="7"/>
    </row>
    <row r="21238" spans="7:7" x14ac:dyDescent="0.2">
      <c r="G21238" s="7"/>
    </row>
    <row r="21239" spans="7:7" x14ac:dyDescent="0.2">
      <c r="G21239" s="7"/>
    </row>
    <row r="21240" spans="7:7" x14ac:dyDescent="0.2">
      <c r="G21240" s="7"/>
    </row>
    <row r="21241" spans="7:7" x14ac:dyDescent="0.2">
      <c r="G21241" s="7"/>
    </row>
    <row r="21242" spans="7:7" x14ac:dyDescent="0.2">
      <c r="G21242" s="7"/>
    </row>
    <row r="21243" spans="7:7" x14ac:dyDescent="0.2">
      <c r="G21243" s="7"/>
    </row>
    <row r="21244" spans="7:7" x14ac:dyDescent="0.2">
      <c r="G21244" s="7"/>
    </row>
    <row r="21245" spans="7:7" x14ac:dyDescent="0.2">
      <c r="G21245" s="7"/>
    </row>
    <row r="21246" spans="7:7" x14ac:dyDescent="0.2">
      <c r="G21246" s="7"/>
    </row>
    <row r="21247" spans="7:7" x14ac:dyDescent="0.2">
      <c r="G21247" s="7"/>
    </row>
    <row r="21248" spans="7:7" x14ac:dyDescent="0.2">
      <c r="G21248" s="7"/>
    </row>
    <row r="21249" spans="7:7" x14ac:dyDescent="0.2">
      <c r="G21249" s="7"/>
    </row>
    <row r="21250" spans="7:7" x14ac:dyDescent="0.2">
      <c r="G21250" s="7"/>
    </row>
    <row r="21251" spans="7:7" x14ac:dyDescent="0.2">
      <c r="G21251" s="7"/>
    </row>
    <row r="21252" spans="7:7" x14ac:dyDescent="0.2">
      <c r="G21252" s="7"/>
    </row>
    <row r="21253" spans="7:7" x14ac:dyDescent="0.2">
      <c r="G21253" s="7"/>
    </row>
    <row r="21254" spans="7:7" x14ac:dyDescent="0.2">
      <c r="G21254" s="7"/>
    </row>
    <row r="21255" spans="7:7" x14ac:dyDescent="0.2">
      <c r="G21255" s="7"/>
    </row>
    <row r="21256" spans="7:7" x14ac:dyDescent="0.2">
      <c r="G21256" s="7"/>
    </row>
    <row r="21257" spans="7:7" x14ac:dyDescent="0.2">
      <c r="G21257" s="7"/>
    </row>
    <row r="21258" spans="7:7" x14ac:dyDescent="0.2">
      <c r="G21258" s="7"/>
    </row>
    <row r="21259" spans="7:7" x14ac:dyDescent="0.2">
      <c r="G21259" s="7"/>
    </row>
    <row r="21260" spans="7:7" x14ac:dyDescent="0.2">
      <c r="G21260" s="7"/>
    </row>
    <row r="21261" spans="7:7" x14ac:dyDescent="0.2">
      <c r="G21261" s="7"/>
    </row>
    <row r="21262" spans="7:7" x14ac:dyDescent="0.2">
      <c r="G21262" s="7"/>
    </row>
    <row r="21263" spans="7:7" x14ac:dyDescent="0.2">
      <c r="G21263" s="7"/>
    </row>
    <row r="21264" spans="7:7" x14ac:dyDescent="0.2">
      <c r="G21264" s="7"/>
    </row>
    <row r="21265" spans="7:7" x14ac:dyDescent="0.2">
      <c r="G21265" s="7"/>
    </row>
    <row r="21266" spans="7:7" x14ac:dyDescent="0.2">
      <c r="G21266" s="7"/>
    </row>
    <row r="21267" spans="7:7" x14ac:dyDescent="0.2">
      <c r="G21267" s="7"/>
    </row>
    <row r="21268" spans="7:7" x14ac:dyDescent="0.2">
      <c r="G21268" s="7"/>
    </row>
    <row r="21269" spans="7:7" x14ac:dyDescent="0.2">
      <c r="G21269" s="7"/>
    </row>
    <row r="21270" spans="7:7" x14ac:dyDescent="0.2">
      <c r="G21270" s="7"/>
    </row>
    <row r="21271" spans="7:7" x14ac:dyDescent="0.2">
      <c r="G21271" s="7"/>
    </row>
    <row r="21272" spans="7:7" x14ac:dyDescent="0.2">
      <c r="G21272" s="7"/>
    </row>
    <row r="21273" spans="7:7" x14ac:dyDescent="0.2">
      <c r="G21273" s="7"/>
    </row>
    <row r="21274" spans="7:7" x14ac:dyDescent="0.2">
      <c r="G21274" s="7"/>
    </row>
    <row r="21275" spans="7:7" x14ac:dyDescent="0.2">
      <c r="G21275" s="7"/>
    </row>
    <row r="21276" spans="7:7" x14ac:dyDescent="0.2">
      <c r="G21276" s="7"/>
    </row>
    <row r="21277" spans="7:7" x14ac:dyDescent="0.2">
      <c r="G21277" s="7"/>
    </row>
    <row r="21278" spans="7:7" x14ac:dyDescent="0.2">
      <c r="G21278" s="7"/>
    </row>
    <row r="21279" spans="7:7" x14ac:dyDescent="0.2">
      <c r="G21279" s="7"/>
    </row>
    <row r="21280" spans="7:7" x14ac:dyDescent="0.2">
      <c r="G21280" s="7"/>
    </row>
    <row r="21281" spans="7:7" x14ac:dyDescent="0.2">
      <c r="G21281" s="7"/>
    </row>
    <row r="21282" spans="7:7" x14ac:dyDescent="0.2">
      <c r="G21282" s="7"/>
    </row>
    <row r="21283" spans="7:7" x14ac:dyDescent="0.2">
      <c r="G21283" s="7"/>
    </row>
    <row r="21284" spans="7:7" x14ac:dyDescent="0.2">
      <c r="G21284" s="7"/>
    </row>
    <row r="21285" spans="7:7" x14ac:dyDescent="0.2">
      <c r="G21285" s="7"/>
    </row>
    <row r="21286" spans="7:7" x14ac:dyDescent="0.2">
      <c r="G21286" s="7"/>
    </row>
    <row r="21287" spans="7:7" x14ac:dyDescent="0.2">
      <c r="G21287" s="7"/>
    </row>
    <row r="21288" spans="7:7" x14ac:dyDescent="0.2">
      <c r="G21288" s="7"/>
    </row>
    <row r="21289" spans="7:7" x14ac:dyDescent="0.2">
      <c r="G21289" s="7"/>
    </row>
    <row r="21290" spans="7:7" x14ac:dyDescent="0.2">
      <c r="G21290" s="7"/>
    </row>
    <row r="21291" spans="7:7" x14ac:dyDescent="0.2">
      <c r="G21291" s="7"/>
    </row>
    <row r="21292" spans="7:7" x14ac:dyDescent="0.2">
      <c r="G21292" s="7"/>
    </row>
    <row r="21293" spans="7:7" x14ac:dyDescent="0.2">
      <c r="G21293" s="7"/>
    </row>
    <row r="21294" spans="7:7" x14ac:dyDescent="0.2">
      <c r="G21294" s="7"/>
    </row>
    <row r="21295" spans="7:7" x14ac:dyDescent="0.2">
      <c r="G21295" s="7"/>
    </row>
    <row r="21296" spans="7:7" x14ac:dyDescent="0.2">
      <c r="G21296" s="7"/>
    </row>
    <row r="21297" spans="7:7" x14ac:dyDescent="0.2">
      <c r="G21297" s="7"/>
    </row>
    <row r="21298" spans="7:7" x14ac:dyDescent="0.2">
      <c r="G21298" s="7"/>
    </row>
    <row r="21299" spans="7:7" x14ac:dyDescent="0.2">
      <c r="G21299" s="7"/>
    </row>
    <row r="21300" spans="7:7" x14ac:dyDescent="0.2">
      <c r="G21300" s="7"/>
    </row>
    <row r="21301" spans="7:7" x14ac:dyDescent="0.2">
      <c r="G21301" s="7"/>
    </row>
    <row r="21302" spans="7:7" x14ac:dyDescent="0.2">
      <c r="G21302" s="7"/>
    </row>
    <row r="21303" spans="7:7" x14ac:dyDescent="0.2">
      <c r="G21303" s="7"/>
    </row>
    <row r="21304" spans="7:7" x14ac:dyDescent="0.2">
      <c r="G21304" s="7"/>
    </row>
    <row r="21305" spans="7:7" x14ac:dyDescent="0.2">
      <c r="G21305" s="7"/>
    </row>
    <row r="21306" spans="7:7" x14ac:dyDescent="0.2">
      <c r="G21306" s="7"/>
    </row>
    <row r="21307" spans="7:7" x14ac:dyDescent="0.2">
      <c r="G21307" s="7"/>
    </row>
    <row r="21308" spans="7:7" x14ac:dyDescent="0.2">
      <c r="G21308" s="7"/>
    </row>
    <row r="21309" spans="7:7" x14ac:dyDescent="0.2">
      <c r="G21309" s="7"/>
    </row>
    <row r="21310" spans="7:7" x14ac:dyDescent="0.2">
      <c r="G21310" s="7"/>
    </row>
    <row r="21311" spans="7:7" x14ac:dyDescent="0.2">
      <c r="G21311" s="7"/>
    </row>
    <row r="21312" spans="7:7" x14ac:dyDescent="0.2">
      <c r="G21312" s="7"/>
    </row>
    <row r="21313" spans="7:7" x14ac:dyDescent="0.2">
      <c r="G21313" s="7"/>
    </row>
    <row r="21314" spans="7:7" x14ac:dyDescent="0.2">
      <c r="G21314" s="7"/>
    </row>
    <row r="21315" spans="7:7" x14ac:dyDescent="0.2">
      <c r="G21315" s="7"/>
    </row>
    <row r="21316" spans="7:7" x14ac:dyDescent="0.2">
      <c r="G21316" s="7"/>
    </row>
    <row r="21317" spans="7:7" x14ac:dyDescent="0.2">
      <c r="G21317" s="7"/>
    </row>
    <row r="21318" spans="7:7" x14ac:dyDescent="0.2">
      <c r="G21318" s="7"/>
    </row>
    <row r="21319" spans="7:7" x14ac:dyDescent="0.2">
      <c r="G21319" s="7"/>
    </row>
    <row r="21320" spans="7:7" x14ac:dyDescent="0.2">
      <c r="G21320" s="7"/>
    </row>
    <row r="21321" spans="7:7" x14ac:dyDescent="0.2">
      <c r="G21321" s="7"/>
    </row>
    <row r="21322" spans="7:7" x14ac:dyDescent="0.2">
      <c r="G21322" s="7"/>
    </row>
    <row r="21323" spans="7:7" x14ac:dyDescent="0.2">
      <c r="G21323" s="7"/>
    </row>
    <row r="21324" spans="7:7" x14ac:dyDescent="0.2">
      <c r="G21324" s="7"/>
    </row>
    <row r="21325" spans="7:7" x14ac:dyDescent="0.2">
      <c r="G21325" s="7"/>
    </row>
    <row r="21326" spans="7:7" x14ac:dyDescent="0.2">
      <c r="G21326" s="7"/>
    </row>
    <row r="21327" spans="7:7" x14ac:dyDescent="0.2">
      <c r="G21327" s="7"/>
    </row>
    <row r="21328" spans="7:7" x14ac:dyDescent="0.2">
      <c r="G21328" s="7"/>
    </row>
    <row r="21329" spans="7:7" x14ac:dyDescent="0.2">
      <c r="G21329" s="7"/>
    </row>
    <row r="21330" spans="7:7" x14ac:dyDescent="0.2">
      <c r="G21330" s="7"/>
    </row>
    <row r="21331" spans="7:7" x14ac:dyDescent="0.2">
      <c r="G21331" s="7"/>
    </row>
    <row r="21332" spans="7:7" x14ac:dyDescent="0.2">
      <c r="G21332" s="7"/>
    </row>
    <row r="21333" spans="7:7" x14ac:dyDescent="0.2">
      <c r="G21333" s="7"/>
    </row>
    <row r="21334" spans="7:7" x14ac:dyDescent="0.2">
      <c r="G21334" s="7"/>
    </row>
    <row r="21335" spans="7:7" x14ac:dyDescent="0.2">
      <c r="G21335" s="7"/>
    </row>
    <row r="21336" spans="7:7" x14ac:dyDescent="0.2">
      <c r="G21336" s="7"/>
    </row>
    <row r="21337" spans="7:7" x14ac:dyDescent="0.2">
      <c r="G21337" s="7"/>
    </row>
    <row r="21338" spans="7:7" x14ac:dyDescent="0.2">
      <c r="G21338" s="7"/>
    </row>
    <row r="21339" spans="7:7" x14ac:dyDescent="0.2">
      <c r="G21339" s="7"/>
    </row>
    <row r="21340" spans="7:7" x14ac:dyDescent="0.2">
      <c r="G21340" s="7"/>
    </row>
    <row r="21341" spans="7:7" x14ac:dyDescent="0.2">
      <c r="G21341" s="7"/>
    </row>
    <row r="21342" spans="7:7" x14ac:dyDescent="0.2">
      <c r="G21342" s="7"/>
    </row>
    <row r="21343" spans="7:7" x14ac:dyDescent="0.2">
      <c r="G21343" s="7"/>
    </row>
    <row r="21344" spans="7:7" x14ac:dyDescent="0.2">
      <c r="G21344" s="7"/>
    </row>
    <row r="21345" spans="7:7" x14ac:dyDescent="0.2">
      <c r="G21345" s="7"/>
    </row>
    <row r="21346" spans="7:7" x14ac:dyDescent="0.2">
      <c r="G21346" s="7"/>
    </row>
    <row r="21347" spans="7:7" x14ac:dyDescent="0.2">
      <c r="G21347" s="7"/>
    </row>
    <row r="21348" spans="7:7" x14ac:dyDescent="0.2">
      <c r="G21348" s="7"/>
    </row>
    <row r="21349" spans="7:7" x14ac:dyDescent="0.2">
      <c r="G21349" s="7"/>
    </row>
    <row r="21350" spans="7:7" x14ac:dyDescent="0.2">
      <c r="G21350" s="7"/>
    </row>
    <row r="21351" spans="7:7" x14ac:dyDescent="0.2">
      <c r="G21351" s="7"/>
    </row>
    <row r="21352" spans="7:7" x14ac:dyDescent="0.2">
      <c r="G21352" s="7"/>
    </row>
    <row r="21353" spans="7:7" x14ac:dyDescent="0.2">
      <c r="G21353" s="7"/>
    </row>
    <row r="21354" spans="7:7" x14ac:dyDescent="0.2">
      <c r="G21354" s="7"/>
    </row>
    <row r="21355" spans="7:7" x14ac:dyDescent="0.2">
      <c r="G21355" s="7"/>
    </row>
    <row r="21356" spans="7:7" x14ac:dyDescent="0.2">
      <c r="G21356" s="7"/>
    </row>
    <row r="21357" spans="7:7" x14ac:dyDescent="0.2">
      <c r="G21357" s="7"/>
    </row>
    <row r="21358" spans="7:7" x14ac:dyDescent="0.2">
      <c r="G21358" s="7"/>
    </row>
    <row r="21359" spans="7:7" x14ac:dyDescent="0.2">
      <c r="G21359" s="7"/>
    </row>
    <row r="21360" spans="7:7" x14ac:dyDescent="0.2">
      <c r="G21360" s="7"/>
    </row>
    <row r="21361" spans="7:7" x14ac:dyDescent="0.2">
      <c r="G21361" s="7"/>
    </row>
    <row r="21362" spans="7:7" x14ac:dyDescent="0.2">
      <c r="G21362" s="7"/>
    </row>
    <row r="21363" spans="7:7" x14ac:dyDescent="0.2">
      <c r="G21363" s="7"/>
    </row>
    <row r="21364" spans="7:7" x14ac:dyDescent="0.2">
      <c r="G21364" s="7"/>
    </row>
    <row r="21365" spans="7:7" x14ac:dyDescent="0.2">
      <c r="G21365" s="7"/>
    </row>
    <row r="21366" spans="7:7" x14ac:dyDescent="0.2">
      <c r="G21366" s="7"/>
    </row>
    <row r="21367" spans="7:7" x14ac:dyDescent="0.2">
      <c r="G21367" s="7"/>
    </row>
    <row r="21368" spans="7:7" x14ac:dyDescent="0.2">
      <c r="G21368" s="7"/>
    </row>
    <row r="21369" spans="7:7" x14ac:dyDescent="0.2">
      <c r="G21369" s="7"/>
    </row>
    <row r="21370" spans="7:7" x14ac:dyDescent="0.2">
      <c r="G21370" s="7"/>
    </row>
    <row r="21371" spans="7:7" x14ac:dyDescent="0.2">
      <c r="G21371" s="7"/>
    </row>
    <row r="21372" spans="7:7" x14ac:dyDescent="0.2">
      <c r="G21372" s="7"/>
    </row>
    <row r="21373" spans="7:7" x14ac:dyDescent="0.2">
      <c r="G21373" s="7"/>
    </row>
    <row r="21374" spans="7:7" x14ac:dyDescent="0.2">
      <c r="G21374" s="7"/>
    </row>
    <row r="21375" spans="7:7" x14ac:dyDescent="0.2">
      <c r="G21375" s="7"/>
    </row>
    <row r="21376" spans="7:7" x14ac:dyDescent="0.2">
      <c r="G21376" s="7"/>
    </row>
    <row r="21377" spans="7:7" x14ac:dyDescent="0.2">
      <c r="G21377" s="7"/>
    </row>
    <row r="21378" spans="7:7" x14ac:dyDescent="0.2">
      <c r="G21378" s="7"/>
    </row>
    <row r="21379" spans="7:7" x14ac:dyDescent="0.2">
      <c r="G21379" s="7"/>
    </row>
    <row r="21380" spans="7:7" x14ac:dyDescent="0.2">
      <c r="G21380" s="7"/>
    </row>
    <row r="21381" spans="7:7" x14ac:dyDescent="0.2">
      <c r="G21381" s="7"/>
    </row>
    <row r="21382" spans="7:7" x14ac:dyDescent="0.2">
      <c r="G21382" s="7"/>
    </row>
    <row r="21383" spans="7:7" x14ac:dyDescent="0.2">
      <c r="G21383" s="7"/>
    </row>
    <row r="21384" spans="7:7" x14ac:dyDescent="0.2">
      <c r="G21384" s="7"/>
    </row>
    <row r="21385" spans="7:7" x14ac:dyDescent="0.2">
      <c r="G21385" s="7"/>
    </row>
    <row r="21386" spans="7:7" x14ac:dyDescent="0.2">
      <c r="G21386" s="7"/>
    </row>
    <row r="21387" spans="7:7" x14ac:dyDescent="0.2">
      <c r="G21387" s="7"/>
    </row>
    <row r="21388" spans="7:7" x14ac:dyDescent="0.2">
      <c r="G21388" s="7"/>
    </row>
    <row r="21389" spans="7:7" x14ac:dyDescent="0.2">
      <c r="G21389" s="7"/>
    </row>
    <row r="21390" spans="7:7" x14ac:dyDescent="0.2">
      <c r="G21390" s="7"/>
    </row>
    <row r="21391" spans="7:7" x14ac:dyDescent="0.2">
      <c r="G21391" s="7"/>
    </row>
    <row r="21392" spans="7:7" x14ac:dyDescent="0.2">
      <c r="G21392" s="7"/>
    </row>
    <row r="21393" spans="7:7" x14ac:dyDescent="0.2">
      <c r="G21393" s="7"/>
    </row>
    <row r="21394" spans="7:7" x14ac:dyDescent="0.2">
      <c r="G21394" s="7"/>
    </row>
    <row r="21395" spans="7:7" x14ac:dyDescent="0.2">
      <c r="G21395" s="7"/>
    </row>
    <row r="21396" spans="7:7" x14ac:dyDescent="0.2">
      <c r="G21396" s="7"/>
    </row>
    <row r="21397" spans="7:7" x14ac:dyDescent="0.2">
      <c r="G21397" s="7"/>
    </row>
    <row r="21398" spans="7:7" x14ac:dyDescent="0.2">
      <c r="G21398" s="7"/>
    </row>
    <row r="21399" spans="7:7" x14ac:dyDescent="0.2">
      <c r="G21399" s="7"/>
    </row>
    <row r="21400" spans="7:7" x14ac:dyDescent="0.2">
      <c r="G21400" s="7"/>
    </row>
    <row r="21401" spans="7:7" x14ac:dyDescent="0.2">
      <c r="G21401" s="7"/>
    </row>
    <row r="21402" spans="7:7" x14ac:dyDescent="0.2">
      <c r="G21402" s="7"/>
    </row>
    <row r="21403" spans="7:7" x14ac:dyDescent="0.2">
      <c r="G21403" s="7"/>
    </row>
    <row r="21404" spans="7:7" x14ac:dyDescent="0.2">
      <c r="G21404" s="7"/>
    </row>
    <row r="21405" spans="7:7" x14ac:dyDescent="0.2">
      <c r="G21405" s="7"/>
    </row>
    <row r="21406" spans="7:7" x14ac:dyDescent="0.2">
      <c r="G21406" s="7"/>
    </row>
  </sheetData>
  <phoneticPr fontId="4" type="noConversion"/>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SichtenProfileEnde">
                <anchor moveWithCells="1" sizeWithCells="1">
                  <from>
                    <xdr:col>1</xdr:col>
                    <xdr:colOff>76200</xdr:colOff>
                    <xdr:row>0</xdr:row>
                    <xdr:rowOff>47625</xdr:rowOff>
                  </from>
                  <to>
                    <xdr:col>1</xdr:col>
                    <xdr:colOff>1533525</xdr:colOff>
                    <xdr:row>0</xdr:row>
                    <xdr:rowOff>276225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
  <dimension ref="A1:Q280"/>
  <sheetViews>
    <sheetView zoomScale="80" zoomScaleNormal="80" workbookViewId="0">
      <selection activeCell="B2" sqref="B2"/>
    </sheetView>
  </sheetViews>
  <sheetFormatPr baseColWidth="10" defaultRowHeight="12.75" x14ac:dyDescent="0.2"/>
  <cols>
    <col min="1" max="1" width="8.42578125" style="1" customWidth="1"/>
    <col min="2" max="2" width="27.42578125" style="5" customWidth="1"/>
    <col min="3" max="3" width="23.28515625" style="4" customWidth="1"/>
    <col min="4" max="4" width="15.5703125" style="4" customWidth="1"/>
    <col min="5" max="5" width="11.7109375" style="4" customWidth="1"/>
    <col min="6" max="6" width="23.28515625" style="71" customWidth="1"/>
    <col min="7" max="17" width="23.28515625" style="4" customWidth="1"/>
    <col min="18" max="16384" width="11.42578125" style="7"/>
  </cols>
  <sheetData>
    <row r="1" spans="1:5" ht="23.25" customHeight="1" x14ac:dyDescent="0.2">
      <c r="A1" s="1">
        <f t="shared" ref="A1:A32" ca="1" si="0">CELL("row",C2)-2</f>
        <v>0</v>
      </c>
      <c r="B1" s="5">
        <v>1</v>
      </c>
      <c r="C1" s="4">
        <f>+B1+1</f>
        <v>2</v>
      </c>
      <c r="D1" s="4">
        <v>3</v>
      </c>
      <c r="E1" s="4">
        <v>4</v>
      </c>
    </row>
    <row r="2" spans="1:5" ht="127.5" x14ac:dyDescent="0.2">
      <c r="A2" s="1">
        <f t="shared" ca="1" si="0"/>
        <v>1</v>
      </c>
      <c r="B2" s="5" t="s">
        <v>3946</v>
      </c>
      <c r="C2" s="4" t="s">
        <v>6380</v>
      </c>
      <c r="D2" s="4">
        <f t="shared" ref="D2:D65" si="1">+LEN(B2)</f>
        <v>234</v>
      </c>
      <c r="E2" s="4" t="b">
        <f t="shared" ref="E2:E11" si="2">+B2=B3</f>
        <v>0</v>
      </c>
    </row>
    <row r="3" spans="1:5" ht="102" x14ac:dyDescent="0.2">
      <c r="A3" s="1">
        <f t="shared" ca="1" si="0"/>
        <v>2</v>
      </c>
      <c r="B3" s="5" t="s">
        <v>3947</v>
      </c>
      <c r="C3" s="4" t="s">
        <v>7664</v>
      </c>
      <c r="D3" s="4">
        <f t="shared" si="1"/>
        <v>197</v>
      </c>
      <c r="E3" s="4" t="b">
        <f t="shared" si="2"/>
        <v>0</v>
      </c>
    </row>
    <row r="4" spans="1:5" ht="89.25" x14ac:dyDescent="0.2">
      <c r="A4" s="1">
        <f t="shared" ca="1" si="0"/>
        <v>3</v>
      </c>
      <c r="B4" s="5" t="s">
        <v>5258</v>
      </c>
      <c r="C4" s="4" t="s">
        <v>7665</v>
      </c>
      <c r="D4" s="4">
        <f t="shared" si="1"/>
        <v>153</v>
      </c>
      <c r="E4" s="4" t="b">
        <f t="shared" si="2"/>
        <v>0</v>
      </c>
    </row>
    <row r="5" spans="1:5" ht="102" x14ac:dyDescent="0.2">
      <c r="A5" s="1">
        <f t="shared" ca="1" si="0"/>
        <v>4</v>
      </c>
      <c r="B5" s="5" t="s">
        <v>1791</v>
      </c>
      <c r="C5" s="4" t="s">
        <v>7666</v>
      </c>
      <c r="D5" s="4">
        <f t="shared" si="1"/>
        <v>152</v>
      </c>
      <c r="E5" s="4" t="b">
        <f t="shared" si="2"/>
        <v>0</v>
      </c>
    </row>
    <row r="6" spans="1:5" ht="76.5" x14ac:dyDescent="0.2">
      <c r="A6" s="1">
        <f t="shared" ca="1" si="0"/>
        <v>5</v>
      </c>
      <c r="B6" s="5" t="s">
        <v>8258</v>
      </c>
      <c r="C6" s="4" t="s">
        <v>6746</v>
      </c>
      <c r="D6" s="4">
        <f t="shared" si="1"/>
        <v>149</v>
      </c>
      <c r="E6" s="4" t="b">
        <f t="shared" si="2"/>
        <v>0</v>
      </c>
    </row>
    <row r="7" spans="1:5" ht="89.25" x14ac:dyDescent="0.2">
      <c r="A7" s="1">
        <f t="shared" ca="1" si="0"/>
        <v>6</v>
      </c>
      <c r="B7" s="5" t="s">
        <v>8259</v>
      </c>
      <c r="C7" s="4" t="s">
        <v>6744</v>
      </c>
      <c r="D7" s="4">
        <f t="shared" si="1"/>
        <v>145</v>
      </c>
      <c r="E7" s="4" t="b">
        <f t="shared" si="2"/>
        <v>0</v>
      </c>
    </row>
    <row r="8" spans="1:5" ht="76.5" x14ac:dyDescent="0.2">
      <c r="A8" s="1">
        <f t="shared" ca="1" si="0"/>
        <v>7</v>
      </c>
      <c r="B8" s="5" t="s">
        <v>6937</v>
      </c>
      <c r="C8" s="4" t="s">
        <v>6745</v>
      </c>
      <c r="D8" s="4">
        <f t="shared" si="1"/>
        <v>137</v>
      </c>
      <c r="E8" s="4" t="b">
        <f t="shared" si="2"/>
        <v>0</v>
      </c>
    </row>
    <row r="9" spans="1:5" ht="63.75" x14ac:dyDescent="0.2">
      <c r="A9" s="1">
        <f t="shared" ca="1" si="0"/>
        <v>8</v>
      </c>
      <c r="B9" s="5" t="s">
        <v>7019</v>
      </c>
      <c r="C9" s="4" t="s">
        <v>6746</v>
      </c>
      <c r="D9" s="4">
        <f t="shared" si="1"/>
        <v>133</v>
      </c>
      <c r="E9" s="4" t="b">
        <f t="shared" si="2"/>
        <v>0</v>
      </c>
    </row>
    <row r="10" spans="1:5" ht="76.5" x14ac:dyDescent="0.2">
      <c r="A10" s="1">
        <f t="shared" ca="1" si="0"/>
        <v>9</v>
      </c>
      <c r="B10" s="5" t="s">
        <v>1689</v>
      </c>
      <c r="C10" s="4" t="s">
        <v>2972</v>
      </c>
      <c r="D10" s="4">
        <f t="shared" si="1"/>
        <v>124</v>
      </c>
      <c r="E10" s="4" t="b">
        <f t="shared" si="2"/>
        <v>0</v>
      </c>
    </row>
    <row r="11" spans="1:5" ht="63.75" x14ac:dyDescent="0.2">
      <c r="A11" s="1">
        <f t="shared" ca="1" si="0"/>
        <v>10</v>
      </c>
      <c r="B11" s="5" t="s">
        <v>4844</v>
      </c>
      <c r="C11" s="4" t="s">
        <v>7743</v>
      </c>
      <c r="D11" s="4">
        <f t="shared" si="1"/>
        <v>123</v>
      </c>
      <c r="E11" s="4" t="b">
        <f t="shared" si="2"/>
        <v>0</v>
      </c>
    </row>
    <row r="12" spans="1:5" ht="63.75" x14ac:dyDescent="0.2">
      <c r="A12" s="1">
        <f t="shared" ca="1" si="0"/>
        <v>11</v>
      </c>
      <c r="B12" s="5" t="s">
        <v>361</v>
      </c>
      <c r="C12" s="4" t="s">
        <v>6747</v>
      </c>
      <c r="D12" s="4">
        <f t="shared" si="1"/>
        <v>115</v>
      </c>
      <c r="E12" s="4" t="b">
        <f>+B12=B14</f>
        <v>0</v>
      </c>
    </row>
    <row r="13" spans="1:5" ht="63.75" x14ac:dyDescent="0.2">
      <c r="A13" s="1">
        <f t="shared" ca="1" si="0"/>
        <v>12</v>
      </c>
      <c r="B13" s="5" t="s">
        <v>7020</v>
      </c>
      <c r="C13" s="4" t="s">
        <v>82</v>
      </c>
      <c r="D13" s="4">
        <f t="shared" si="1"/>
        <v>114</v>
      </c>
      <c r="E13" s="4" t="b">
        <f t="shared" ref="E13:E26" si="3">+B13=B14</f>
        <v>0</v>
      </c>
    </row>
    <row r="14" spans="1:5" ht="76.5" x14ac:dyDescent="0.2">
      <c r="A14" s="1">
        <f t="shared" ca="1" si="0"/>
        <v>13</v>
      </c>
      <c r="B14" s="5" t="s">
        <v>7013</v>
      </c>
      <c r="C14" s="4" t="s">
        <v>6748</v>
      </c>
      <c r="D14" s="4">
        <f t="shared" si="1"/>
        <v>113</v>
      </c>
      <c r="E14" s="4" t="b">
        <f t="shared" si="3"/>
        <v>0</v>
      </c>
    </row>
    <row r="15" spans="1:5" ht="63.75" x14ac:dyDescent="0.2">
      <c r="A15" s="1">
        <f t="shared" ca="1" si="0"/>
        <v>14</v>
      </c>
      <c r="B15" s="5" t="s">
        <v>7021</v>
      </c>
      <c r="C15" s="4" t="s">
        <v>6749</v>
      </c>
      <c r="D15" s="4">
        <f t="shared" si="1"/>
        <v>110</v>
      </c>
      <c r="E15" s="4" t="b">
        <f t="shared" si="3"/>
        <v>0</v>
      </c>
    </row>
    <row r="16" spans="1:5" ht="76.5" x14ac:dyDescent="0.2">
      <c r="A16" s="1">
        <f t="shared" ca="1" si="0"/>
        <v>15</v>
      </c>
      <c r="B16" s="5" t="s">
        <v>7044</v>
      </c>
      <c r="C16" s="4" t="s">
        <v>2621</v>
      </c>
      <c r="D16" s="4">
        <f t="shared" si="1"/>
        <v>108</v>
      </c>
      <c r="E16" s="4" t="b">
        <f t="shared" si="3"/>
        <v>0</v>
      </c>
    </row>
    <row r="17" spans="1:5" ht="38.25" x14ac:dyDescent="0.2">
      <c r="A17" s="1">
        <f t="shared" ca="1" si="0"/>
        <v>16</v>
      </c>
      <c r="B17" s="5" t="s">
        <v>1941</v>
      </c>
      <c r="C17" s="4" t="s">
        <v>6750</v>
      </c>
      <c r="D17" s="4">
        <f t="shared" si="1"/>
        <v>107</v>
      </c>
      <c r="E17" s="4" t="b">
        <f t="shared" si="3"/>
        <v>1</v>
      </c>
    </row>
    <row r="18" spans="1:5" ht="38.25" x14ac:dyDescent="0.2">
      <c r="A18" s="1">
        <f t="shared" ca="1" si="0"/>
        <v>17</v>
      </c>
      <c r="B18" s="5" t="s">
        <v>1941</v>
      </c>
      <c r="C18" s="4" t="s">
        <v>6750</v>
      </c>
      <c r="D18" s="4">
        <f t="shared" si="1"/>
        <v>107</v>
      </c>
      <c r="E18" s="4" t="b">
        <f t="shared" si="3"/>
        <v>0</v>
      </c>
    </row>
    <row r="19" spans="1:5" ht="63.75" x14ac:dyDescent="0.2">
      <c r="A19" s="1">
        <f t="shared" ca="1" si="0"/>
        <v>18</v>
      </c>
      <c r="B19" s="5" t="s">
        <v>7045</v>
      </c>
      <c r="C19" s="4" t="s">
        <v>6751</v>
      </c>
      <c r="D19" s="4">
        <f t="shared" si="1"/>
        <v>104</v>
      </c>
      <c r="E19" s="4" t="b">
        <f t="shared" si="3"/>
        <v>0</v>
      </c>
    </row>
    <row r="20" spans="1:5" ht="51" x14ac:dyDescent="0.2">
      <c r="A20" s="1">
        <f t="shared" ca="1" si="0"/>
        <v>19</v>
      </c>
      <c r="B20" s="5" t="s">
        <v>6791</v>
      </c>
      <c r="C20" s="4" t="s">
        <v>2622</v>
      </c>
      <c r="D20" s="4">
        <f t="shared" si="1"/>
        <v>102</v>
      </c>
      <c r="E20" s="4" t="b">
        <f t="shared" si="3"/>
        <v>0</v>
      </c>
    </row>
    <row r="21" spans="1:5" ht="51" x14ac:dyDescent="0.2">
      <c r="A21" s="1">
        <f t="shared" ca="1" si="0"/>
        <v>20</v>
      </c>
      <c r="B21" s="5" t="s">
        <v>5878</v>
      </c>
      <c r="C21" s="4" t="s">
        <v>2623</v>
      </c>
      <c r="D21" s="4">
        <f t="shared" si="1"/>
        <v>101</v>
      </c>
      <c r="E21" s="4" t="b">
        <f t="shared" si="3"/>
        <v>0</v>
      </c>
    </row>
    <row r="22" spans="1:5" ht="51" x14ac:dyDescent="0.2">
      <c r="A22" s="1">
        <f t="shared" ca="1" si="0"/>
        <v>21</v>
      </c>
      <c r="B22" s="5" t="s">
        <v>8244</v>
      </c>
      <c r="C22" s="4" t="s">
        <v>2624</v>
      </c>
      <c r="D22" s="4">
        <f t="shared" si="1"/>
        <v>93</v>
      </c>
      <c r="E22" s="4" t="b">
        <f t="shared" si="3"/>
        <v>0</v>
      </c>
    </row>
    <row r="23" spans="1:5" ht="51" x14ac:dyDescent="0.2">
      <c r="A23" s="1">
        <f t="shared" ca="1" si="0"/>
        <v>22</v>
      </c>
      <c r="B23" s="5" t="s">
        <v>6229</v>
      </c>
      <c r="C23" s="4" t="s">
        <v>6525</v>
      </c>
      <c r="D23" s="4">
        <f t="shared" si="1"/>
        <v>92</v>
      </c>
      <c r="E23" s="4" t="b">
        <f t="shared" si="3"/>
        <v>0</v>
      </c>
    </row>
    <row r="24" spans="1:5" ht="63.75" x14ac:dyDescent="0.2">
      <c r="A24" s="1">
        <f t="shared" ca="1" si="0"/>
        <v>23</v>
      </c>
      <c r="B24" s="5" t="s">
        <v>2976</v>
      </c>
      <c r="C24" s="4" t="s">
        <v>6526</v>
      </c>
      <c r="D24" s="4">
        <f t="shared" si="1"/>
        <v>90</v>
      </c>
      <c r="E24" s="4" t="b">
        <f t="shared" si="3"/>
        <v>0</v>
      </c>
    </row>
    <row r="25" spans="1:5" ht="51" x14ac:dyDescent="0.2">
      <c r="A25" s="1">
        <f t="shared" ca="1" si="0"/>
        <v>24</v>
      </c>
      <c r="B25" s="5" t="s">
        <v>6230</v>
      </c>
      <c r="C25" s="4" t="s">
        <v>4213</v>
      </c>
      <c r="D25" s="4">
        <f t="shared" si="1"/>
        <v>88</v>
      </c>
      <c r="E25" s="4" t="b">
        <f t="shared" si="3"/>
        <v>0</v>
      </c>
    </row>
    <row r="26" spans="1:5" ht="51" x14ac:dyDescent="0.2">
      <c r="A26" s="1">
        <f t="shared" ca="1" si="0"/>
        <v>25</v>
      </c>
      <c r="B26" s="5" t="s">
        <v>5801</v>
      </c>
      <c r="C26" s="4" t="s">
        <v>6690</v>
      </c>
      <c r="D26" s="4">
        <f t="shared" si="1"/>
        <v>87</v>
      </c>
      <c r="E26" s="4" t="b">
        <f t="shared" si="3"/>
        <v>0</v>
      </c>
    </row>
    <row r="27" spans="1:5" ht="51" x14ac:dyDescent="0.2">
      <c r="A27" s="1">
        <f t="shared" ca="1" si="0"/>
        <v>26</v>
      </c>
      <c r="B27" s="5" t="s">
        <v>1595</v>
      </c>
      <c r="C27" s="4" t="s">
        <v>6691</v>
      </c>
      <c r="D27" s="4">
        <f t="shared" si="1"/>
        <v>87</v>
      </c>
      <c r="E27" s="4" t="b">
        <f>+B27=B29</f>
        <v>0</v>
      </c>
    </row>
    <row r="28" spans="1:5" ht="51" x14ac:dyDescent="0.2">
      <c r="A28" s="1">
        <f t="shared" ca="1" si="0"/>
        <v>27</v>
      </c>
      <c r="B28" s="5" t="s">
        <v>7046</v>
      </c>
      <c r="C28" s="4" t="s">
        <v>6692</v>
      </c>
      <c r="D28" s="4">
        <f t="shared" si="1"/>
        <v>86</v>
      </c>
      <c r="E28" s="4" t="b">
        <f t="shared" ref="E28:E59" si="4">+B28=B29</f>
        <v>0</v>
      </c>
    </row>
    <row r="29" spans="1:5" ht="51" x14ac:dyDescent="0.2">
      <c r="A29" s="1">
        <f t="shared" ca="1" si="0"/>
        <v>28</v>
      </c>
      <c r="B29" s="5" t="s">
        <v>182</v>
      </c>
      <c r="C29" s="4" t="s">
        <v>6693</v>
      </c>
      <c r="D29" s="4">
        <f t="shared" si="1"/>
        <v>85</v>
      </c>
      <c r="E29" s="4" t="b">
        <f t="shared" si="4"/>
        <v>0</v>
      </c>
    </row>
    <row r="30" spans="1:5" ht="51" x14ac:dyDescent="0.2">
      <c r="A30" s="1">
        <f t="shared" ca="1" si="0"/>
        <v>29</v>
      </c>
      <c r="B30" s="5" t="s">
        <v>3855</v>
      </c>
      <c r="C30" s="4" t="s">
        <v>259</v>
      </c>
      <c r="D30" s="4">
        <f t="shared" si="1"/>
        <v>85</v>
      </c>
      <c r="E30" s="4" t="b">
        <f t="shared" si="4"/>
        <v>0</v>
      </c>
    </row>
    <row r="31" spans="1:5" ht="51" x14ac:dyDescent="0.2">
      <c r="A31" s="1">
        <f t="shared" ca="1" si="0"/>
        <v>30</v>
      </c>
      <c r="B31" s="5" t="s">
        <v>7022</v>
      </c>
      <c r="C31" s="4" t="s">
        <v>260</v>
      </c>
      <c r="D31" s="4">
        <f t="shared" si="1"/>
        <v>84</v>
      </c>
      <c r="E31" s="4" t="b">
        <f t="shared" si="4"/>
        <v>0</v>
      </c>
    </row>
    <row r="32" spans="1:5" ht="51" x14ac:dyDescent="0.2">
      <c r="A32" s="1">
        <f t="shared" ca="1" si="0"/>
        <v>31</v>
      </c>
      <c r="B32" s="5" t="s">
        <v>7368</v>
      </c>
      <c r="C32" s="4" t="s">
        <v>261</v>
      </c>
      <c r="D32" s="4">
        <f t="shared" si="1"/>
        <v>84</v>
      </c>
      <c r="E32" s="4" t="b">
        <f t="shared" si="4"/>
        <v>0</v>
      </c>
    </row>
    <row r="33" spans="1:5" ht="38.25" x14ac:dyDescent="0.2">
      <c r="A33" s="1">
        <f t="shared" ref="A33:A61" ca="1" si="5">CELL("row",C34)-2</f>
        <v>32</v>
      </c>
      <c r="B33" s="5" t="s">
        <v>2854</v>
      </c>
      <c r="C33" s="4" t="s">
        <v>262</v>
      </c>
      <c r="D33" s="4">
        <f t="shared" si="1"/>
        <v>83</v>
      </c>
      <c r="E33" s="4" t="b">
        <f t="shared" si="4"/>
        <v>0</v>
      </c>
    </row>
    <row r="34" spans="1:5" ht="38.25" x14ac:dyDescent="0.2">
      <c r="A34" s="1">
        <f t="shared" ca="1" si="5"/>
        <v>33</v>
      </c>
      <c r="B34" s="5" t="s">
        <v>7023</v>
      </c>
      <c r="C34" s="4" t="s">
        <v>5320</v>
      </c>
      <c r="D34" s="4">
        <f t="shared" si="1"/>
        <v>82</v>
      </c>
      <c r="E34" s="4" t="b">
        <f t="shared" si="4"/>
        <v>0</v>
      </c>
    </row>
    <row r="35" spans="1:5" ht="51" x14ac:dyDescent="0.2">
      <c r="A35" s="1">
        <f t="shared" ca="1" si="5"/>
        <v>34</v>
      </c>
      <c r="B35" s="5" t="s">
        <v>2684</v>
      </c>
      <c r="C35" s="4" t="s">
        <v>2685</v>
      </c>
      <c r="D35" s="4">
        <f t="shared" si="1"/>
        <v>81</v>
      </c>
      <c r="E35" s="4" t="b">
        <f t="shared" si="4"/>
        <v>0</v>
      </c>
    </row>
    <row r="36" spans="1:5" ht="38.25" x14ac:dyDescent="0.2">
      <c r="A36" s="1">
        <f t="shared" ca="1" si="5"/>
        <v>35</v>
      </c>
      <c r="B36" s="5" t="s">
        <v>7024</v>
      </c>
      <c r="C36" s="4" t="s">
        <v>5417</v>
      </c>
      <c r="D36" s="4">
        <f t="shared" si="1"/>
        <v>81</v>
      </c>
      <c r="E36" s="4" t="b">
        <f t="shared" si="4"/>
        <v>0</v>
      </c>
    </row>
    <row r="37" spans="1:5" ht="51" x14ac:dyDescent="0.2">
      <c r="A37" s="1">
        <f t="shared" ca="1" si="5"/>
        <v>36</v>
      </c>
      <c r="B37" s="5" t="s">
        <v>4609</v>
      </c>
      <c r="C37" s="4" t="s">
        <v>2977</v>
      </c>
      <c r="D37" s="4">
        <f t="shared" si="1"/>
        <v>80</v>
      </c>
      <c r="E37" s="4" t="b">
        <f t="shared" si="4"/>
        <v>0</v>
      </c>
    </row>
    <row r="38" spans="1:5" ht="51" x14ac:dyDescent="0.2">
      <c r="A38" s="1">
        <f t="shared" ca="1" si="5"/>
        <v>37</v>
      </c>
      <c r="B38" s="5" t="s">
        <v>1669</v>
      </c>
      <c r="C38" s="4" t="s">
        <v>2978</v>
      </c>
      <c r="D38" s="4">
        <f t="shared" si="1"/>
        <v>79</v>
      </c>
      <c r="E38" s="4" t="b">
        <f t="shared" si="4"/>
        <v>0</v>
      </c>
    </row>
    <row r="39" spans="1:5" ht="51" x14ac:dyDescent="0.2">
      <c r="A39" s="1">
        <f t="shared" ca="1" si="5"/>
        <v>38</v>
      </c>
      <c r="B39" s="5" t="s">
        <v>3471</v>
      </c>
      <c r="C39" s="4" t="s">
        <v>2979</v>
      </c>
      <c r="D39" s="4">
        <f t="shared" si="1"/>
        <v>79</v>
      </c>
      <c r="E39" s="4" t="b">
        <f t="shared" si="4"/>
        <v>0</v>
      </c>
    </row>
    <row r="40" spans="1:5" ht="51" x14ac:dyDescent="0.2">
      <c r="A40" s="1">
        <f t="shared" ca="1" si="5"/>
        <v>39</v>
      </c>
      <c r="B40" s="5" t="s">
        <v>7025</v>
      </c>
      <c r="C40" s="4" t="s">
        <v>5270</v>
      </c>
      <c r="D40" s="4">
        <f t="shared" si="1"/>
        <v>79</v>
      </c>
      <c r="E40" s="4" t="b">
        <f t="shared" si="4"/>
        <v>0</v>
      </c>
    </row>
    <row r="41" spans="1:5" ht="51" x14ac:dyDescent="0.2">
      <c r="A41" s="1">
        <f t="shared" ca="1" si="5"/>
        <v>40</v>
      </c>
      <c r="B41" s="5" t="s">
        <v>6792</v>
      </c>
      <c r="C41" s="4" t="s">
        <v>381</v>
      </c>
      <c r="D41" s="4">
        <f t="shared" si="1"/>
        <v>78</v>
      </c>
      <c r="E41" s="4" t="b">
        <f t="shared" si="4"/>
        <v>0</v>
      </c>
    </row>
    <row r="42" spans="1:5" ht="38.25" x14ac:dyDescent="0.2">
      <c r="A42" s="1">
        <f t="shared" ca="1" si="5"/>
        <v>41</v>
      </c>
      <c r="B42" s="5" t="s">
        <v>1071</v>
      </c>
      <c r="C42" s="4" t="s">
        <v>8437</v>
      </c>
      <c r="D42" s="4">
        <f t="shared" si="1"/>
        <v>75</v>
      </c>
      <c r="E42" s="4" t="b">
        <f t="shared" si="4"/>
        <v>0</v>
      </c>
    </row>
    <row r="43" spans="1:5" ht="38.25" x14ac:dyDescent="0.2">
      <c r="A43" s="1">
        <f t="shared" ca="1" si="5"/>
        <v>42</v>
      </c>
      <c r="B43" s="5" t="s">
        <v>4216</v>
      </c>
      <c r="C43" s="4" t="s">
        <v>8438</v>
      </c>
      <c r="D43" s="4">
        <f t="shared" si="1"/>
        <v>74</v>
      </c>
      <c r="E43" s="4" t="b">
        <f t="shared" si="4"/>
        <v>0</v>
      </c>
    </row>
    <row r="44" spans="1:5" ht="38.25" x14ac:dyDescent="0.2">
      <c r="A44" s="1">
        <f t="shared" ca="1" si="5"/>
        <v>43</v>
      </c>
      <c r="B44" s="5" t="s">
        <v>1072</v>
      </c>
      <c r="C44" s="4" t="s">
        <v>1893</v>
      </c>
      <c r="D44" s="4">
        <f t="shared" si="1"/>
        <v>73</v>
      </c>
      <c r="E44" s="4" t="b">
        <f t="shared" si="4"/>
        <v>0</v>
      </c>
    </row>
    <row r="45" spans="1:5" ht="38.25" x14ac:dyDescent="0.2">
      <c r="A45" s="1">
        <f t="shared" ca="1" si="5"/>
        <v>44</v>
      </c>
      <c r="B45" s="5" t="s">
        <v>4217</v>
      </c>
      <c r="C45" s="4" t="s">
        <v>1894</v>
      </c>
      <c r="D45" s="4">
        <f t="shared" si="1"/>
        <v>73</v>
      </c>
      <c r="E45" s="4" t="b">
        <f t="shared" si="4"/>
        <v>0</v>
      </c>
    </row>
    <row r="46" spans="1:5" ht="51" x14ac:dyDescent="0.2">
      <c r="A46" s="1">
        <f t="shared" ca="1" si="5"/>
        <v>45</v>
      </c>
      <c r="B46" s="5" t="s">
        <v>5881</v>
      </c>
      <c r="C46" s="4" t="s">
        <v>6069</v>
      </c>
      <c r="D46" s="4">
        <f t="shared" si="1"/>
        <v>71</v>
      </c>
      <c r="E46" s="4" t="b">
        <f t="shared" si="4"/>
        <v>0</v>
      </c>
    </row>
    <row r="47" spans="1:5" ht="38.25" x14ac:dyDescent="0.2">
      <c r="A47" s="1">
        <f t="shared" ca="1" si="5"/>
        <v>46</v>
      </c>
      <c r="B47" s="5" t="s">
        <v>1097</v>
      </c>
      <c r="C47" s="4" t="s">
        <v>5800</v>
      </c>
      <c r="D47" s="4">
        <f t="shared" si="1"/>
        <v>71</v>
      </c>
      <c r="E47" s="4" t="b">
        <f t="shared" si="4"/>
        <v>0</v>
      </c>
    </row>
    <row r="48" spans="1:5" ht="51" x14ac:dyDescent="0.2">
      <c r="A48" s="1">
        <f t="shared" ca="1" si="5"/>
        <v>47</v>
      </c>
      <c r="B48" s="5" t="s">
        <v>1364</v>
      </c>
      <c r="C48" s="4" t="s">
        <v>1207</v>
      </c>
      <c r="D48" s="4">
        <f t="shared" si="1"/>
        <v>70</v>
      </c>
      <c r="E48" s="4" t="b">
        <f t="shared" si="4"/>
        <v>0</v>
      </c>
    </row>
    <row r="49" spans="1:5" ht="38.25" x14ac:dyDescent="0.2">
      <c r="A49" s="1">
        <f t="shared" ca="1" si="5"/>
        <v>48</v>
      </c>
      <c r="B49" s="5" t="s">
        <v>6793</v>
      </c>
      <c r="C49" s="4" t="s">
        <v>8439</v>
      </c>
      <c r="D49" s="4">
        <f t="shared" si="1"/>
        <v>69</v>
      </c>
      <c r="E49" s="4" t="b">
        <f t="shared" si="4"/>
        <v>0</v>
      </c>
    </row>
    <row r="50" spans="1:5" ht="38.25" x14ac:dyDescent="0.2">
      <c r="A50" s="1">
        <f t="shared" ca="1" si="5"/>
        <v>49</v>
      </c>
      <c r="B50" s="5" t="s">
        <v>1365</v>
      </c>
      <c r="C50" s="4" t="s">
        <v>1202</v>
      </c>
      <c r="D50" s="4">
        <f t="shared" si="1"/>
        <v>67</v>
      </c>
      <c r="E50" s="4" t="b">
        <f t="shared" si="4"/>
        <v>0</v>
      </c>
    </row>
    <row r="51" spans="1:5" ht="38.25" x14ac:dyDescent="0.2">
      <c r="A51" s="1">
        <f t="shared" ca="1" si="5"/>
        <v>50</v>
      </c>
      <c r="B51" s="5" t="s">
        <v>6794</v>
      </c>
      <c r="C51" s="4" t="s">
        <v>7112</v>
      </c>
      <c r="D51" s="4">
        <f t="shared" si="1"/>
        <v>65</v>
      </c>
      <c r="E51" s="4" t="b">
        <f t="shared" si="4"/>
        <v>0</v>
      </c>
    </row>
    <row r="52" spans="1:5" ht="38.25" x14ac:dyDescent="0.2">
      <c r="A52" s="1">
        <f t="shared" ca="1" si="5"/>
        <v>51</v>
      </c>
      <c r="B52" s="5" t="s">
        <v>5168</v>
      </c>
      <c r="C52" s="4" t="s">
        <v>8440</v>
      </c>
      <c r="D52" s="4">
        <f t="shared" si="1"/>
        <v>64</v>
      </c>
      <c r="E52" s="4" t="b">
        <f t="shared" si="4"/>
        <v>0</v>
      </c>
    </row>
    <row r="53" spans="1:5" ht="38.25" x14ac:dyDescent="0.2">
      <c r="A53" s="1">
        <f t="shared" ca="1" si="5"/>
        <v>52</v>
      </c>
      <c r="B53" s="5" t="s">
        <v>5268</v>
      </c>
      <c r="C53" s="4" t="s">
        <v>5166</v>
      </c>
      <c r="D53" s="4">
        <f t="shared" si="1"/>
        <v>63</v>
      </c>
      <c r="E53" s="4" t="b">
        <f t="shared" si="4"/>
        <v>0</v>
      </c>
    </row>
    <row r="54" spans="1:5" ht="38.25" x14ac:dyDescent="0.2">
      <c r="A54" s="1">
        <f t="shared" ca="1" si="5"/>
        <v>53</v>
      </c>
      <c r="B54" s="5" t="s">
        <v>1366</v>
      </c>
      <c r="C54" s="4" t="s">
        <v>6459</v>
      </c>
      <c r="D54" s="4">
        <f t="shared" si="1"/>
        <v>63</v>
      </c>
      <c r="E54" s="4" t="b">
        <f t="shared" si="4"/>
        <v>0</v>
      </c>
    </row>
    <row r="55" spans="1:5" ht="38.25" x14ac:dyDescent="0.2">
      <c r="A55" s="1">
        <f t="shared" ca="1" si="5"/>
        <v>54</v>
      </c>
      <c r="B55" s="5" t="s">
        <v>1073</v>
      </c>
      <c r="C55" s="4" t="s">
        <v>194</v>
      </c>
      <c r="D55" s="4">
        <f t="shared" si="1"/>
        <v>63</v>
      </c>
      <c r="E55" s="4" t="b">
        <f t="shared" si="4"/>
        <v>0</v>
      </c>
    </row>
    <row r="56" spans="1:5" ht="38.25" x14ac:dyDescent="0.2">
      <c r="A56" s="1">
        <f t="shared" ca="1" si="5"/>
        <v>55</v>
      </c>
      <c r="B56" s="5" t="s">
        <v>1074</v>
      </c>
      <c r="C56" s="4" t="s">
        <v>2683</v>
      </c>
      <c r="D56" s="4">
        <f t="shared" si="1"/>
        <v>63</v>
      </c>
      <c r="E56" s="4" t="b">
        <f t="shared" si="4"/>
        <v>0</v>
      </c>
    </row>
    <row r="57" spans="1:5" ht="38.25" x14ac:dyDescent="0.2">
      <c r="A57" s="1">
        <f t="shared" ca="1" si="5"/>
        <v>56</v>
      </c>
      <c r="B57" s="5" t="s">
        <v>1367</v>
      </c>
      <c r="C57" s="4" t="s">
        <v>4140</v>
      </c>
      <c r="D57" s="4">
        <f t="shared" si="1"/>
        <v>62</v>
      </c>
      <c r="E57" s="4" t="b">
        <f t="shared" si="4"/>
        <v>0</v>
      </c>
    </row>
    <row r="58" spans="1:5" ht="38.25" x14ac:dyDescent="0.2">
      <c r="A58" s="1">
        <f t="shared" ca="1" si="5"/>
        <v>57</v>
      </c>
      <c r="B58" s="5" t="s">
        <v>1075</v>
      </c>
      <c r="C58" s="4" t="s">
        <v>6363</v>
      </c>
      <c r="D58" s="4">
        <f t="shared" si="1"/>
        <v>62</v>
      </c>
      <c r="E58" s="4" t="b">
        <f t="shared" si="4"/>
        <v>0</v>
      </c>
    </row>
    <row r="59" spans="1:5" ht="38.25" x14ac:dyDescent="0.2">
      <c r="A59" s="1">
        <f t="shared" ca="1" si="5"/>
        <v>58</v>
      </c>
      <c r="B59" s="5" t="s">
        <v>1368</v>
      </c>
      <c r="C59" s="4" t="s">
        <v>7896</v>
      </c>
      <c r="D59" s="4">
        <f t="shared" si="1"/>
        <v>62</v>
      </c>
      <c r="E59" s="4" t="b">
        <f t="shared" si="4"/>
        <v>0</v>
      </c>
    </row>
    <row r="60" spans="1:5" ht="38.25" x14ac:dyDescent="0.2">
      <c r="A60" s="1">
        <f t="shared" ca="1" si="5"/>
        <v>59</v>
      </c>
      <c r="B60" s="5" t="s">
        <v>1160</v>
      </c>
      <c r="C60" s="4" t="s">
        <v>4141</v>
      </c>
      <c r="D60" s="4">
        <f t="shared" si="1"/>
        <v>62</v>
      </c>
      <c r="E60" s="4" t="b">
        <f t="shared" ref="E60:E81" si="6">+B60=B61</f>
        <v>0</v>
      </c>
    </row>
    <row r="61" spans="1:5" ht="38.25" x14ac:dyDescent="0.2">
      <c r="A61" s="1">
        <f t="shared" ca="1" si="5"/>
        <v>60</v>
      </c>
      <c r="B61" s="5" t="s">
        <v>6795</v>
      </c>
      <c r="C61" s="4" t="s">
        <v>7746</v>
      </c>
      <c r="D61" s="4">
        <f t="shared" si="1"/>
        <v>62</v>
      </c>
      <c r="E61" s="4" t="b">
        <f t="shared" si="6"/>
        <v>0</v>
      </c>
    </row>
    <row r="62" spans="1:5" ht="38.25" x14ac:dyDescent="0.2">
      <c r="A62" s="1">
        <f ca="1">CELL("row",C64)-2</f>
        <v>62</v>
      </c>
      <c r="B62" s="5" t="s">
        <v>1161</v>
      </c>
      <c r="C62" s="4" t="s">
        <v>4142</v>
      </c>
      <c r="D62" s="4">
        <f t="shared" si="1"/>
        <v>61</v>
      </c>
      <c r="E62" s="4" t="b">
        <f t="shared" si="6"/>
        <v>0</v>
      </c>
    </row>
    <row r="63" spans="1:5" ht="38.25" x14ac:dyDescent="0.2">
      <c r="A63" s="1">
        <f ca="1">CELL("row",C65)-2</f>
        <v>63</v>
      </c>
      <c r="B63" s="5" t="s">
        <v>1971</v>
      </c>
      <c r="C63" s="4" t="s">
        <v>4143</v>
      </c>
      <c r="D63" s="4">
        <f t="shared" si="1"/>
        <v>60</v>
      </c>
      <c r="E63" s="4" t="b">
        <f t="shared" si="6"/>
        <v>0</v>
      </c>
    </row>
    <row r="64" spans="1:5" ht="38.25" x14ac:dyDescent="0.2">
      <c r="A64" s="1">
        <f t="shared" ref="A64:A81" ca="1" si="7">CELL("row",C65)-2</f>
        <v>63</v>
      </c>
      <c r="B64" s="5" t="s">
        <v>7810</v>
      </c>
      <c r="C64" s="4" t="s">
        <v>2975</v>
      </c>
      <c r="D64" s="4">
        <f t="shared" si="1"/>
        <v>60</v>
      </c>
      <c r="E64" s="4" t="b">
        <f t="shared" si="6"/>
        <v>0</v>
      </c>
    </row>
    <row r="65" spans="1:5" ht="25.5" x14ac:dyDescent="0.2">
      <c r="A65" s="1">
        <f t="shared" ca="1" si="7"/>
        <v>64</v>
      </c>
      <c r="B65" s="5" t="s">
        <v>1162</v>
      </c>
      <c r="C65" s="4" t="s">
        <v>5785</v>
      </c>
      <c r="D65" s="4">
        <f t="shared" si="1"/>
        <v>59</v>
      </c>
      <c r="E65" s="4" t="b">
        <f t="shared" si="6"/>
        <v>0</v>
      </c>
    </row>
    <row r="66" spans="1:5" ht="38.25" x14ac:dyDescent="0.2">
      <c r="A66" s="1">
        <f t="shared" ca="1" si="7"/>
        <v>65</v>
      </c>
      <c r="B66" s="5" t="s">
        <v>4219</v>
      </c>
      <c r="C66" s="4" t="s">
        <v>5928</v>
      </c>
      <c r="D66" s="4">
        <f t="shared" ref="D66:D129" si="8">+LEN(B66)</f>
        <v>58</v>
      </c>
      <c r="E66" s="4" t="b">
        <f t="shared" si="6"/>
        <v>0</v>
      </c>
    </row>
    <row r="67" spans="1:5" ht="38.25" x14ac:dyDescent="0.2">
      <c r="A67" s="1">
        <f t="shared" ca="1" si="7"/>
        <v>66</v>
      </c>
      <c r="B67" s="5" t="s">
        <v>235</v>
      </c>
      <c r="C67" s="4" t="s">
        <v>5266</v>
      </c>
      <c r="D67" s="4">
        <f t="shared" si="8"/>
        <v>58</v>
      </c>
      <c r="E67" s="4" t="b">
        <f t="shared" si="6"/>
        <v>0</v>
      </c>
    </row>
    <row r="68" spans="1:5" ht="38.25" x14ac:dyDescent="0.2">
      <c r="A68" s="1">
        <f t="shared" ca="1" si="7"/>
        <v>67</v>
      </c>
      <c r="B68" s="5" t="s">
        <v>2878</v>
      </c>
      <c r="C68" s="4" t="s">
        <v>4144</v>
      </c>
      <c r="D68" s="4">
        <f t="shared" si="8"/>
        <v>58</v>
      </c>
      <c r="E68" s="4" t="b">
        <f t="shared" si="6"/>
        <v>0</v>
      </c>
    </row>
    <row r="69" spans="1:5" ht="38.25" x14ac:dyDescent="0.2">
      <c r="A69" s="1">
        <f t="shared" ca="1" si="7"/>
        <v>68</v>
      </c>
      <c r="B69" s="5" t="s">
        <v>3945</v>
      </c>
      <c r="C69" s="4" t="s">
        <v>4145</v>
      </c>
      <c r="D69" s="4">
        <f t="shared" si="8"/>
        <v>57</v>
      </c>
      <c r="E69" s="4" t="b">
        <f t="shared" si="6"/>
        <v>0</v>
      </c>
    </row>
    <row r="70" spans="1:5" ht="38.25" x14ac:dyDescent="0.2">
      <c r="A70" s="1">
        <f t="shared" ca="1" si="7"/>
        <v>69</v>
      </c>
      <c r="B70" s="5" t="s">
        <v>2879</v>
      </c>
      <c r="C70" s="4" t="s">
        <v>6345</v>
      </c>
      <c r="D70" s="4">
        <f t="shared" si="8"/>
        <v>57</v>
      </c>
      <c r="E70" s="4" t="b">
        <f t="shared" si="6"/>
        <v>0</v>
      </c>
    </row>
    <row r="71" spans="1:5" ht="38.25" x14ac:dyDescent="0.2">
      <c r="A71" s="1">
        <f t="shared" ca="1" si="7"/>
        <v>70</v>
      </c>
      <c r="B71" s="5" t="s">
        <v>7953</v>
      </c>
      <c r="C71" s="4" t="s">
        <v>6217</v>
      </c>
      <c r="D71" s="4">
        <f t="shared" si="8"/>
        <v>56</v>
      </c>
      <c r="E71" s="4" t="b">
        <f t="shared" si="6"/>
        <v>0</v>
      </c>
    </row>
    <row r="72" spans="1:5" ht="38.25" x14ac:dyDescent="0.2">
      <c r="A72" s="1">
        <f t="shared" ca="1" si="7"/>
        <v>71</v>
      </c>
      <c r="B72" s="5" t="s">
        <v>1163</v>
      </c>
      <c r="C72" s="4" t="s">
        <v>2919</v>
      </c>
      <c r="D72" s="4">
        <f t="shared" si="8"/>
        <v>55</v>
      </c>
      <c r="E72" s="4" t="b">
        <f t="shared" si="6"/>
        <v>0</v>
      </c>
    </row>
    <row r="73" spans="1:5" ht="38.25" x14ac:dyDescent="0.2">
      <c r="A73" s="1">
        <f t="shared" ca="1" si="7"/>
        <v>72</v>
      </c>
      <c r="B73" s="5" t="s">
        <v>7014</v>
      </c>
      <c r="C73" s="4" t="s">
        <v>4146</v>
      </c>
      <c r="D73" s="4">
        <f t="shared" si="8"/>
        <v>55</v>
      </c>
      <c r="E73" s="4" t="b">
        <f t="shared" si="6"/>
        <v>0</v>
      </c>
    </row>
    <row r="74" spans="1:5" ht="25.5" x14ac:dyDescent="0.2">
      <c r="A74" s="1">
        <f t="shared" ca="1" si="7"/>
        <v>73</v>
      </c>
      <c r="B74" s="5" t="s">
        <v>7015</v>
      </c>
      <c r="C74" s="4" t="s">
        <v>5269</v>
      </c>
      <c r="D74" s="4">
        <f t="shared" si="8"/>
        <v>54</v>
      </c>
      <c r="E74" s="4" t="b">
        <f t="shared" si="6"/>
        <v>0</v>
      </c>
    </row>
    <row r="75" spans="1:5" ht="38.25" x14ac:dyDescent="0.2">
      <c r="A75" s="1">
        <f t="shared" ca="1" si="7"/>
        <v>74</v>
      </c>
      <c r="B75" s="5" t="s">
        <v>3550</v>
      </c>
      <c r="C75" s="4" t="s">
        <v>4198</v>
      </c>
      <c r="D75" s="4">
        <f t="shared" si="8"/>
        <v>54</v>
      </c>
      <c r="E75" s="4" t="b">
        <f t="shared" si="6"/>
        <v>0</v>
      </c>
    </row>
    <row r="76" spans="1:5" ht="25.5" x14ac:dyDescent="0.2">
      <c r="A76" s="1">
        <f t="shared" ca="1" si="7"/>
        <v>75</v>
      </c>
      <c r="B76" s="5" t="s">
        <v>1940</v>
      </c>
      <c r="C76" s="4" t="s">
        <v>4147</v>
      </c>
      <c r="D76" s="4">
        <f t="shared" si="8"/>
        <v>52</v>
      </c>
      <c r="E76" s="4" t="b">
        <f t="shared" si="6"/>
        <v>0</v>
      </c>
    </row>
    <row r="77" spans="1:5" ht="38.25" x14ac:dyDescent="0.2">
      <c r="A77" s="1">
        <f t="shared" ca="1" si="7"/>
        <v>76</v>
      </c>
      <c r="B77" s="5" t="s">
        <v>7331</v>
      </c>
      <c r="C77" s="4" t="s">
        <v>7667</v>
      </c>
      <c r="D77" s="4">
        <f t="shared" si="8"/>
        <v>52</v>
      </c>
      <c r="E77" s="4" t="b">
        <f t="shared" si="6"/>
        <v>0</v>
      </c>
    </row>
    <row r="78" spans="1:5" ht="38.25" x14ac:dyDescent="0.2">
      <c r="A78" s="1">
        <f t="shared" ca="1" si="7"/>
        <v>77</v>
      </c>
      <c r="B78" s="5" t="s">
        <v>7016</v>
      </c>
      <c r="C78" s="4" t="s">
        <v>4033</v>
      </c>
      <c r="D78" s="4">
        <f t="shared" si="8"/>
        <v>52</v>
      </c>
      <c r="E78" s="4" t="b">
        <f t="shared" si="6"/>
        <v>0</v>
      </c>
    </row>
    <row r="79" spans="1:5" ht="25.5" x14ac:dyDescent="0.2">
      <c r="A79" s="1">
        <f t="shared" ca="1" si="7"/>
        <v>78</v>
      </c>
      <c r="B79" s="5" t="s">
        <v>7701</v>
      </c>
      <c r="C79" s="4" t="s">
        <v>7668</v>
      </c>
      <c r="D79" s="4">
        <f t="shared" si="8"/>
        <v>52</v>
      </c>
      <c r="E79" s="4" t="b">
        <f t="shared" si="6"/>
        <v>0</v>
      </c>
    </row>
    <row r="80" spans="1:5" ht="25.5" x14ac:dyDescent="0.2">
      <c r="A80" s="1">
        <f t="shared" ca="1" si="7"/>
        <v>79</v>
      </c>
      <c r="B80" s="5" t="s">
        <v>7702</v>
      </c>
      <c r="C80" s="4" t="s">
        <v>8172</v>
      </c>
      <c r="D80" s="4">
        <f t="shared" si="8"/>
        <v>52</v>
      </c>
      <c r="E80" s="4" t="b">
        <f t="shared" si="6"/>
        <v>0</v>
      </c>
    </row>
    <row r="81" spans="1:5" ht="25.5" x14ac:dyDescent="0.2">
      <c r="A81" s="1">
        <f t="shared" ca="1" si="7"/>
        <v>80</v>
      </c>
      <c r="B81" s="5" t="s">
        <v>175</v>
      </c>
      <c r="C81" s="4" t="s">
        <v>7113</v>
      </c>
      <c r="D81" s="4">
        <f t="shared" si="8"/>
        <v>51</v>
      </c>
      <c r="E81" s="4" t="b">
        <f t="shared" si="6"/>
        <v>0</v>
      </c>
    </row>
    <row r="82" spans="1:5" ht="25.5" x14ac:dyDescent="0.2">
      <c r="A82" s="1">
        <f ca="1">CELL("row",C85)-2</f>
        <v>83</v>
      </c>
      <c r="B82" s="5" t="s">
        <v>3878</v>
      </c>
      <c r="C82" s="4" t="s">
        <v>3879</v>
      </c>
      <c r="D82" s="4">
        <f t="shared" si="8"/>
        <v>51</v>
      </c>
      <c r="E82" s="4" t="b">
        <f>+B82=B85</f>
        <v>0</v>
      </c>
    </row>
    <row r="83" spans="1:5" ht="25.5" x14ac:dyDescent="0.2">
      <c r="A83" s="1">
        <f t="shared" ref="A83:A118" ca="1" si="9">CELL("row",C84)-2</f>
        <v>82</v>
      </c>
      <c r="B83" s="5" t="s">
        <v>7703</v>
      </c>
      <c r="C83" s="4" t="s">
        <v>1205</v>
      </c>
      <c r="D83" s="4">
        <f t="shared" si="8"/>
        <v>51</v>
      </c>
      <c r="E83" s="4" t="b">
        <f t="shared" ref="E83:E118" si="10">+B83=B84</f>
        <v>0</v>
      </c>
    </row>
    <row r="84" spans="1:5" ht="25.5" x14ac:dyDescent="0.2">
      <c r="A84" s="1">
        <f t="shared" ca="1" si="9"/>
        <v>83</v>
      </c>
      <c r="B84" s="5" t="s">
        <v>7004</v>
      </c>
      <c r="C84" s="4" t="s">
        <v>8240</v>
      </c>
      <c r="D84" s="4">
        <f t="shared" si="8"/>
        <v>50</v>
      </c>
      <c r="E84" s="4" t="b">
        <f t="shared" si="10"/>
        <v>0</v>
      </c>
    </row>
    <row r="85" spans="1:5" ht="25.5" x14ac:dyDescent="0.2">
      <c r="A85" s="1">
        <f t="shared" ca="1" si="9"/>
        <v>84</v>
      </c>
      <c r="B85" s="5" t="s">
        <v>4218</v>
      </c>
      <c r="C85" s="4" t="s">
        <v>7669</v>
      </c>
      <c r="D85" s="4">
        <f t="shared" si="8"/>
        <v>49</v>
      </c>
      <c r="E85" s="4" t="b">
        <f t="shared" si="10"/>
        <v>0</v>
      </c>
    </row>
    <row r="86" spans="1:5" ht="25.5" x14ac:dyDescent="0.2">
      <c r="A86" s="1">
        <f t="shared" ca="1" si="9"/>
        <v>85</v>
      </c>
      <c r="B86" s="5" t="s">
        <v>7704</v>
      </c>
      <c r="C86" s="4" t="s">
        <v>7899</v>
      </c>
      <c r="D86" s="4">
        <f t="shared" si="8"/>
        <v>49</v>
      </c>
      <c r="E86" s="4" t="b">
        <f t="shared" si="10"/>
        <v>0</v>
      </c>
    </row>
    <row r="87" spans="1:5" ht="25.5" x14ac:dyDescent="0.2">
      <c r="A87" s="1">
        <f t="shared" ca="1" si="9"/>
        <v>86</v>
      </c>
      <c r="B87" s="5" t="s">
        <v>7811</v>
      </c>
      <c r="C87" s="4" t="s">
        <v>1201</v>
      </c>
      <c r="D87" s="4">
        <f t="shared" si="8"/>
        <v>49</v>
      </c>
      <c r="E87" s="4" t="b">
        <f t="shared" si="10"/>
        <v>0</v>
      </c>
    </row>
    <row r="88" spans="1:5" ht="38.25" x14ac:dyDescent="0.2">
      <c r="A88" s="1">
        <f t="shared" ca="1" si="9"/>
        <v>87</v>
      </c>
      <c r="B88" s="5" t="s">
        <v>7859</v>
      </c>
      <c r="C88" s="4" t="s">
        <v>5503</v>
      </c>
      <c r="D88" s="4">
        <f t="shared" si="8"/>
        <v>48</v>
      </c>
      <c r="E88" s="4" t="b">
        <f t="shared" si="10"/>
        <v>0</v>
      </c>
    </row>
    <row r="89" spans="1:5" ht="25.5" x14ac:dyDescent="0.2">
      <c r="A89" s="1">
        <f t="shared" ca="1" si="9"/>
        <v>88</v>
      </c>
      <c r="B89" s="5" t="s">
        <v>3943</v>
      </c>
      <c r="C89" s="4" t="s">
        <v>2922</v>
      </c>
      <c r="D89" s="4">
        <f t="shared" si="8"/>
        <v>48</v>
      </c>
      <c r="E89" s="4" t="b">
        <f t="shared" si="10"/>
        <v>0</v>
      </c>
    </row>
    <row r="90" spans="1:5" ht="25.5" x14ac:dyDescent="0.2">
      <c r="A90" s="1">
        <f t="shared" ca="1" si="9"/>
        <v>89</v>
      </c>
      <c r="B90" s="5" t="s">
        <v>7860</v>
      </c>
      <c r="C90" s="4" t="s">
        <v>7670</v>
      </c>
      <c r="D90" s="4">
        <f t="shared" si="8"/>
        <v>48</v>
      </c>
      <c r="E90" s="4" t="b">
        <f t="shared" si="10"/>
        <v>0</v>
      </c>
    </row>
    <row r="91" spans="1:5" ht="25.5" x14ac:dyDescent="0.2">
      <c r="A91" s="1">
        <f t="shared" ca="1" si="9"/>
        <v>90</v>
      </c>
      <c r="B91" s="5" t="s">
        <v>3944</v>
      </c>
      <c r="C91" s="4" t="s">
        <v>4819</v>
      </c>
      <c r="D91" s="4">
        <f t="shared" si="8"/>
        <v>47</v>
      </c>
      <c r="E91" s="4" t="b">
        <f t="shared" si="10"/>
        <v>0</v>
      </c>
    </row>
    <row r="92" spans="1:5" ht="38.25" x14ac:dyDescent="0.2">
      <c r="A92" s="1">
        <f t="shared" ca="1" si="9"/>
        <v>91</v>
      </c>
      <c r="B92" s="5" t="s">
        <v>7705</v>
      </c>
      <c r="C92" s="4" t="s">
        <v>7671</v>
      </c>
      <c r="D92" s="4">
        <f t="shared" si="8"/>
        <v>47</v>
      </c>
      <c r="E92" s="4" t="b">
        <f t="shared" si="10"/>
        <v>0</v>
      </c>
    </row>
    <row r="93" spans="1:5" ht="25.5" x14ac:dyDescent="0.2">
      <c r="A93" s="1">
        <f t="shared" ca="1" si="9"/>
        <v>92</v>
      </c>
      <c r="B93" s="5" t="s">
        <v>5252</v>
      </c>
      <c r="C93" s="4" t="s">
        <v>3067</v>
      </c>
      <c r="D93" s="4">
        <f t="shared" si="8"/>
        <v>47</v>
      </c>
      <c r="E93" s="4" t="b">
        <f t="shared" si="10"/>
        <v>0</v>
      </c>
    </row>
    <row r="94" spans="1:5" ht="25.5" x14ac:dyDescent="0.2">
      <c r="A94" s="1">
        <f t="shared" ca="1" si="9"/>
        <v>93</v>
      </c>
      <c r="B94" s="5" t="s">
        <v>7005</v>
      </c>
      <c r="C94" s="4" t="s">
        <v>5787</v>
      </c>
      <c r="D94" s="4">
        <f t="shared" si="8"/>
        <v>47</v>
      </c>
      <c r="E94" s="4" t="b">
        <f t="shared" si="10"/>
        <v>0</v>
      </c>
    </row>
    <row r="95" spans="1:5" ht="38.25" x14ac:dyDescent="0.2">
      <c r="A95" s="1">
        <f t="shared" ca="1" si="9"/>
        <v>94</v>
      </c>
      <c r="B95" s="5" t="s">
        <v>7861</v>
      </c>
      <c r="C95" s="4" t="s">
        <v>5786</v>
      </c>
      <c r="D95" s="4">
        <f t="shared" si="8"/>
        <v>46</v>
      </c>
      <c r="E95" s="4" t="b">
        <f t="shared" si="10"/>
        <v>0</v>
      </c>
    </row>
    <row r="96" spans="1:5" ht="38.25" x14ac:dyDescent="0.2">
      <c r="A96" s="1">
        <f t="shared" ca="1" si="9"/>
        <v>95</v>
      </c>
      <c r="B96" s="5" t="s">
        <v>3155</v>
      </c>
      <c r="C96" s="4" t="s">
        <v>1204</v>
      </c>
      <c r="D96" s="4">
        <f t="shared" si="8"/>
        <v>45</v>
      </c>
      <c r="E96" s="4" t="b">
        <f t="shared" si="10"/>
        <v>0</v>
      </c>
    </row>
    <row r="97" spans="1:5" ht="25.5" x14ac:dyDescent="0.2">
      <c r="A97" s="1">
        <f t="shared" ca="1" si="9"/>
        <v>96</v>
      </c>
      <c r="B97" s="5" t="s">
        <v>3072</v>
      </c>
      <c r="C97" s="4" t="s">
        <v>7672</v>
      </c>
      <c r="D97" s="4">
        <f t="shared" si="8"/>
        <v>45</v>
      </c>
      <c r="E97" s="4" t="b">
        <f t="shared" si="10"/>
        <v>0</v>
      </c>
    </row>
    <row r="98" spans="1:5" ht="25.5" x14ac:dyDescent="0.2">
      <c r="A98" s="1">
        <f t="shared" ca="1" si="9"/>
        <v>97</v>
      </c>
      <c r="B98" s="5" t="s">
        <v>7812</v>
      </c>
      <c r="C98" s="4" t="s">
        <v>7748</v>
      </c>
      <c r="D98" s="4">
        <f t="shared" si="8"/>
        <v>45</v>
      </c>
      <c r="E98" s="4" t="b">
        <f t="shared" si="10"/>
        <v>0</v>
      </c>
    </row>
    <row r="99" spans="1:5" ht="25.5" x14ac:dyDescent="0.2">
      <c r="A99" s="1">
        <f t="shared" ca="1" si="9"/>
        <v>98</v>
      </c>
      <c r="B99" s="5" t="s">
        <v>5253</v>
      </c>
      <c r="D99" s="4">
        <f t="shared" si="8"/>
        <v>44</v>
      </c>
      <c r="E99" s="4" t="b">
        <f t="shared" si="10"/>
        <v>0</v>
      </c>
    </row>
    <row r="100" spans="1:5" ht="25.5" x14ac:dyDescent="0.2">
      <c r="A100" s="1">
        <f t="shared" ca="1" si="9"/>
        <v>99</v>
      </c>
      <c r="B100" s="5" t="s">
        <v>1208</v>
      </c>
      <c r="C100" s="4" t="s">
        <v>1209</v>
      </c>
      <c r="D100" s="4">
        <f t="shared" si="8"/>
        <v>43</v>
      </c>
      <c r="E100" s="4" t="b">
        <f t="shared" si="10"/>
        <v>0</v>
      </c>
    </row>
    <row r="101" spans="1:5" ht="25.5" x14ac:dyDescent="0.2">
      <c r="A101" s="1">
        <f t="shared" ca="1" si="9"/>
        <v>100</v>
      </c>
      <c r="B101" s="5" t="s">
        <v>5254</v>
      </c>
      <c r="C101" s="4" t="s">
        <v>2637</v>
      </c>
      <c r="D101" s="4">
        <f t="shared" si="8"/>
        <v>42</v>
      </c>
      <c r="E101" s="4" t="b">
        <f t="shared" si="10"/>
        <v>1</v>
      </c>
    </row>
    <row r="102" spans="1:5" ht="25.5" x14ac:dyDescent="0.2">
      <c r="A102" s="1">
        <f t="shared" ca="1" si="9"/>
        <v>101</v>
      </c>
      <c r="B102" s="5" t="s">
        <v>5254</v>
      </c>
      <c r="C102" s="4" t="s">
        <v>3068</v>
      </c>
      <c r="D102" s="4">
        <f t="shared" si="8"/>
        <v>42</v>
      </c>
      <c r="E102" s="4" t="b">
        <f t="shared" si="10"/>
        <v>1</v>
      </c>
    </row>
    <row r="103" spans="1:5" ht="25.5" x14ac:dyDescent="0.2">
      <c r="A103" s="1">
        <f t="shared" ca="1" si="9"/>
        <v>102</v>
      </c>
      <c r="B103" s="5" t="s">
        <v>5254</v>
      </c>
      <c r="D103" s="4">
        <f t="shared" si="8"/>
        <v>42</v>
      </c>
      <c r="E103" s="4" t="b">
        <f t="shared" si="10"/>
        <v>0</v>
      </c>
    </row>
    <row r="104" spans="1:5" ht="25.5" x14ac:dyDescent="0.2">
      <c r="A104" s="1">
        <f t="shared" ca="1" si="9"/>
        <v>103</v>
      </c>
      <c r="B104" s="5" t="s">
        <v>3711</v>
      </c>
      <c r="C104" s="4" t="s">
        <v>7673</v>
      </c>
      <c r="D104" s="4">
        <f t="shared" si="8"/>
        <v>41</v>
      </c>
      <c r="E104" s="4" t="b">
        <f t="shared" si="10"/>
        <v>0</v>
      </c>
    </row>
    <row r="105" spans="1:5" ht="25.5" x14ac:dyDescent="0.2">
      <c r="A105" s="1">
        <f t="shared" ca="1" si="9"/>
        <v>104</v>
      </c>
      <c r="B105" s="5" t="s">
        <v>5882</v>
      </c>
      <c r="C105" s="4" t="s">
        <v>7674</v>
      </c>
      <c r="D105" s="4">
        <f t="shared" si="8"/>
        <v>41</v>
      </c>
      <c r="E105" s="4" t="b">
        <f t="shared" si="10"/>
        <v>0</v>
      </c>
    </row>
    <row r="106" spans="1:5" ht="25.5" x14ac:dyDescent="0.2">
      <c r="A106" s="1">
        <f t="shared" ca="1" si="9"/>
        <v>105</v>
      </c>
      <c r="B106" s="5" t="s">
        <v>7006</v>
      </c>
      <c r="C106" s="4" t="s">
        <v>6292</v>
      </c>
      <c r="D106" s="4">
        <f t="shared" si="8"/>
        <v>41</v>
      </c>
      <c r="E106" s="4" t="b">
        <f t="shared" si="10"/>
        <v>0</v>
      </c>
    </row>
    <row r="107" spans="1:5" ht="25.5" x14ac:dyDescent="0.2">
      <c r="A107" s="1">
        <f t="shared" ca="1" si="9"/>
        <v>106</v>
      </c>
      <c r="B107" s="5" t="s">
        <v>5880</v>
      </c>
      <c r="C107" s="4" t="s">
        <v>7675</v>
      </c>
      <c r="D107" s="4">
        <f t="shared" si="8"/>
        <v>40</v>
      </c>
      <c r="E107" s="4" t="b">
        <f t="shared" si="10"/>
        <v>0</v>
      </c>
    </row>
    <row r="108" spans="1:5" ht="38.25" x14ac:dyDescent="0.2">
      <c r="A108" s="1">
        <f t="shared" ca="1" si="9"/>
        <v>107</v>
      </c>
      <c r="B108" s="5" t="s">
        <v>5883</v>
      </c>
      <c r="C108" s="4" t="s">
        <v>7749</v>
      </c>
      <c r="D108" s="4">
        <f t="shared" si="8"/>
        <v>39</v>
      </c>
      <c r="E108" s="4" t="b">
        <f t="shared" si="10"/>
        <v>0</v>
      </c>
    </row>
    <row r="109" spans="1:5" ht="25.5" x14ac:dyDescent="0.2">
      <c r="A109" s="1">
        <f t="shared" ca="1" si="9"/>
        <v>108</v>
      </c>
      <c r="B109" s="5" t="s">
        <v>3175</v>
      </c>
      <c r="C109" s="4" t="s">
        <v>3176</v>
      </c>
      <c r="D109" s="4">
        <f t="shared" si="8"/>
        <v>39</v>
      </c>
      <c r="E109" s="4" t="b">
        <f t="shared" si="10"/>
        <v>0</v>
      </c>
    </row>
    <row r="110" spans="1:5" ht="25.5" x14ac:dyDescent="0.2">
      <c r="A110" s="1">
        <f t="shared" ca="1" si="9"/>
        <v>109</v>
      </c>
      <c r="B110" s="5" t="s">
        <v>3712</v>
      </c>
      <c r="C110" s="4" t="s">
        <v>7676</v>
      </c>
      <c r="D110" s="4">
        <f t="shared" si="8"/>
        <v>38</v>
      </c>
      <c r="E110" s="4" t="b">
        <f t="shared" si="10"/>
        <v>0</v>
      </c>
    </row>
    <row r="111" spans="1:5" ht="25.5" x14ac:dyDescent="0.2">
      <c r="A111" s="1">
        <f t="shared" ca="1" si="9"/>
        <v>110</v>
      </c>
      <c r="B111" s="5" t="s">
        <v>7895</v>
      </c>
      <c r="C111" s="4" t="s">
        <v>7677</v>
      </c>
      <c r="D111" s="4">
        <f t="shared" si="8"/>
        <v>38</v>
      </c>
      <c r="E111" s="4" t="b">
        <f t="shared" si="10"/>
        <v>0</v>
      </c>
    </row>
    <row r="112" spans="1:5" ht="25.5" x14ac:dyDescent="0.2">
      <c r="A112" s="1">
        <f t="shared" ca="1" si="9"/>
        <v>111</v>
      </c>
      <c r="B112" s="5" t="s">
        <v>6359</v>
      </c>
      <c r="C112" s="4" t="s">
        <v>7678</v>
      </c>
      <c r="D112" s="4">
        <f t="shared" si="8"/>
        <v>37</v>
      </c>
      <c r="E112" s="4" t="b">
        <f t="shared" si="10"/>
        <v>0</v>
      </c>
    </row>
    <row r="113" spans="1:5" ht="25.5" x14ac:dyDescent="0.2">
      <c r="A113" s="1">
        <f t="shared" ca="1" si="9"/>
        <v>112</v>
      </c>
      <c r="B113" s="5" t="s">
        <v>6014</v>
      </c>
      <c r="C113" s="4" t="s">
        <v>7744</v>
      </c>
      <c r="D113" s="4">
        <f t="shared" si="8"/>
        <v>37</v>
      </c>
      <c r="E113" s="4" t="b">
        <f t="shared" si="10"/>
        <v>0</v>
      </c>
    </row>
    <row r="114" spans="1:5" ht="25.5" x14ac:dyDescent="0.2">
      <c r="A114" s="1">
        <f t="shared" ca="1" si="9"/>
        <v>113</v>
      </c>
      <c r="B114" s="5" t="s">
        <v>5255</v>
      </c>
      <c r="C114" s="4" t="s">
        <v>7679</v>
      </c>
      <c r="D114" s="4">
        <f t="shared" si="8"/>
        <v>37</v>
      </c>
      <c r="E114" s="4" t="b">
        <f t="shared" si="10"/>
        <v>0</v>
      </c>
    </row>
    <row r="115" spans="1:5" ht="38.25" x14ac:dyDescent="0.2">
      <c r="A115" s="1">
        <f t="shared" ca="1" si="9"/>
        <v>114</v>
      </c>
      <c r="B115" s="5" t="s">
        <v>3174</v>
      </c>
      <c r="C115" s="4" t="s">
        <v>7680</v>
      </c>
      <c r="D115" s="4">
        <f t="shared" si="8"/>
        <v>36</v>
      </c>
      <c r="E115" s="4" t="b">
        <f t="shared" si="10"/>
        <v>0</v>
      </c>
    </row>
    <row r="116" spans="1:5" ht="25.5" x14ac:dyDescent="0.2">
      <c r="A116" s="1">
        <f t="shared" ca="1" si="9"/>
        <v>115</v>
      </c>
      <c r="B116" s="5" t="s">
        <v>3071</v>
      </c>
      <c r="C116" s="4" t="s">
        <v>4048</v>
      </c>
      <c r="D116" s="4">
        <f t="shared" si="8"/>
        <v>33</v>
      </c>
      <c r="E116" s="4" t="b">
        <f t="shared" si="10"/>
        <v>0</v>
      </c>
    </row>
    <row r="117" spans="1:5" ht="25.5" x14ac:dyDescent="0.2">
      <c r="A117" s="1">
        <f t="shared" ca="1" si="9"/>
        <v>116</v>
      </c>
      <c r="B117" s="5" t="s">
        <v>4049</v>
      </c>
      <c r="C117" s="4" t="s">
        <v>4050</v>
      </c>
      <c r="D117" s="4">
        <f t="shared" si="8"/>
        <v>32</v>
      </c>
      <c r="E117" s="4" t="b">
        <f t="shared" si="10"/>
        <v>0</v>
      </c>
    </row>
    <row r="118" spans="1:5" ht="25.5" x14ac:dyDescent="0.2">
      <c r="A118" s="1">
        <f t="shared" ca="1" si="9"/>
        <v>117</v>
      </c>
      <c r="B118" s="5" t="s">
        <v>6752</v>
      </c>
      <c r="C118" s="4" t="s">
        <v>7681</v>
      </c>
      <c r="D118" s="4">
        <f t="shared" si="8"/>
        <v>32</v>
      </c>
      <c r="E118" s="4" t="b">
        <f t="shared" si="10"/>
        <v>0</v>
      </c>
    </row>
    <row r="119" spans="1:5" x14ac:dyDescent="0.2">
      <c r="B119" s="5" t="s">
        <v>6381</v>
      </c>
      <c r="C119" s="4" t="s">
        <v>6383</v>
      </c>
      <c r="D119" s="4">
        <f t="shared" si="8"/>
        <v>31</v>
      </c>
      <c r="E119" s="4" t="b">
        <f>+B119=B122</f>
        <v>0</v>
      </c>
    </row>
    <row r="120" spans="1:5" ht="25.5" x14ac:dyDescent="0.2">
      <c r="A120" s="1">
        <f t="shared" ref="A120:A126" ca="1" si="11">CELL("row",C121)-2</f>
        <v>119</v>
      </c>
      <c r="B120" s="5" t="s">
        <v>4868</v>
      </c>
      <c r="C120" s="4" t="s">
        <v>8424</v>
      </c>
      <c r="D120" s="4">
        <f t="shared" si="8"/>
        <v>31</v>
      </c>
      <c r="E120" s="4" t="b">
        <f t="shared" ref="E120:E126" si="12">+B120=B121</f>
        <v>0</v>
      </c>
    </row>
    <row r="121" spans="1:5" x14ac:dyDescent="0.2">
      <c r="A121" s="1">
        <f t="shared" ca="1" si="11"/>
        <v>120</v>
      </c>
      <c r="B121" s="5" t="s">
        <v>8380</v>
      </c>
      <c r="C121" s="4" t="s">
        <v>4770</v>
      </c>
      <c r="D121" s="4">
        <f t="shared" si="8"/>
        <v>31</v>
      </c>
      <c r="E121" s="4" t="b">
        <f t="shared" si="12"/>
        <v>0</v>
      </c>
    </row>
    <row r="122" spans="1:5" ht="25.5" x14ac:dyDescent="0.2">
      <c r="A122" s="1">
        <f t="shared" ca="1" si="11"/>
        <v>121</v>
      </c>
      <c r="B122" s="5" t="s">
        <v>5959</v>
      </c>
      <c r="C122" s="4" t="s">
        <v>4771</v>
      </c>
      <c r="D122" s="4">
        <f t="shared" si="8"/>
        <v>31</v>
      </c>
      <c r="E122" s="4" t="b">
        <f t="shared" si="12"/>
        <v>0</v>
      </c>
    </row>
    <row r="123" spans="1:5" ht="38.25" x14ac:dyDescent="0.2">
      <c r="A123" s="1">
        <f t="shared" ca="1" si="11"/>
        <v>122</v>
      </c>
      <c r="B123" s="5" t="s">
        <v>7007</v>
      </c>
      <c r="C123" s="4" t="s">
        <v>4772</v>
      </c>
      <c r="D123" s="4">
        <f t="shared" si="8"/>
        <v>31</v>
      </c>
      <c r="E123" s="4" t="b">
        <f t="shared" si="12"/>
        <v>0</v>
      </c>
    </row>
    <row r="124" spans="1:5" ht="25.5" x14ac:dyDescent="0.2">
      <c r="A124" s="1">
        <f t="shared" ca="1" si="11"/>
        <v>123</v>
      </c>
      <c r="B124" s="5" t="s">
        <v>5256</v>
      </c>
      <c r="C124" s="4" t="s">
        <v>1670</v>
      </c>
      <c r="D124" s="4">
        <f t="shared" si="8"/>
        <v>31</v>
      </c>
      <c r="E124" s="4" t="b">
        <f t="shared" si="12"/>
        <v>0</v>
      </c>
    </row>
    <row r="125" spans="1:5" ht="25.5" x14ac:dyDescent="0.2">
      <c r="A125" s="1">
        <f t="shared" ca="1" si="11"/>
        <v>124</v>
      </c>
      <c r="B125" s="5" t="s">
        <v>7008</v>
      </c>
      <c r="C125" s="4" t="s">
        <v>1722</v>
      </c>
      <c r="D125" s="4">
        <f t="shared" si="8"/>
        <v>31</v>
      </c>
      <c r="E125" s="4" t="b">
        <f t="shared" si="12"/>
        <v>0</v>
      </c>
    </row>
    <row r="126" spans="1:5" ht="25.5" x14ac:dyDescent="0.2">
      <c r="A126" s="1">
        <f t="shared" ca="1" si="11"/>
        <v>125</v>
      </c>
      <c r="B126" s="5" t="s">
        <v>6753</v>
      </c>
      <c r="C126" s="4" t="s">
        <v>7197</v>
      </c>
      <c r="D126" s="4">
        <f t="shared" si="8"/>
        <v>31</v>
      </c>
      <c r="E126" s="4" t="b">
        <f t="shared" si="12"/>
        <v>0</v>
      </c>
    </row>
    <row r="127" spans="1:5" ht="25.5" x14ac:dyDescent="0.2">
      <c r="B127" s="5" t="s">
        <v>6382</v>
      </c>
      <c r="C127" s="4" t="s">
        <v>6460</v>
      </c>
      <c r="D127" s="4">
        <f t="shared" si="8"/>
        <v>30</v>
      </c>
      <c r="E127" s="4" t="b">
        <f>+B127=B130</f>
        <v>0</v>
      </c>
    </row>
    <row r="128" spans="1:5" ht="25.5" x14ac:dyDescent="0.2">
      <c r="A128" s="1">
        <f t="shared" ref="A128:A159" ca="1" si="13">CELL("row",C129)-2</f>
        <v>127</v>
      </c>
      <c r="B128" s="5" t="s">
        <v>3905</v>
      </c>
      <c r="C128" s="4" t="s">
        <v>1950</v>
      </c>
      <c r="D128" s="4">
        <f t="shared" si="8"/>
        <v>30</v>
      </c>
      <c r="E128" s="4" t="b">
        <f t="shared" ref="E128:E159" si="14">+B128=B129</f>
        <v>0</v>
      </c>
    </row>
    <row r="129" spans="1:5" ht="25.5" x14ac:dyDescent="0.2">
      <c r="A129" s="1">
        <f t="shared" ca="1" si="13"/>
        <v>128</v>
      </c>
      <c r="B129" s="5" t="s">
        <v>5879</v>
      </c>
      <c r="C129" s="4" t="s">
        <v>4773</v>
      </c>
      <c r="D129" s="4">
        <f t="shared" si="8"/>
        <v>30</v>
      </c>
      <c r="E129" s="4" t="b">
        <f t="shared" si="14"/>
        <v>0</v>
      </c>
    </row>
    <row r="130" spans="1:5" ht="25.5" x14ac:dyDescent="0.2">
      <c r="A130" s="1">
        <f t="shared" ca="1" si="13"/>
        <v>129</v>
      </c>
      <c r="B130" s="5" t="s">
        <v>6754</v>
      </c>
      <c r="C130" s="4" t="s">
        <v>6346</v>
      </c>
      <c r="D130" s="4">
        <f t="shared" ref="D130:D193" si="15">+LEN(B130)</f>
        <v>30</v>
      </c>
      <c r="E130" s="4" t="b">
        <f t="shared" si="14"/>
        <v>0</v>
      </c>
    </row>
    <row r="131" spans="1:5" ht="25.5" x14ac:dyDescent="0.2">
      <c r="A131" s="1">
        <f t="shared" ca="1" si="13"/>
        <v>130</v>
      </c>
      <c r="B131" s="5" t="s">
        <v>5257</v>
      </c>
      <c r="C131" s="4" t="s">
        <v>8245</v>
      </c>
      <c r="D131" s="4">
        <f t="shared" si="15"/>
        <v>29</v>
      </c>
      <c r="E131" s="4" t="b">
        <f t="shared" si="14"/>
        <v>0</v>
      </c>
    </row>
    <row r="132" spans="1:5" ht="25.5" x14ac:dyDescent="0.2">
      <c r="A132" s="1">
        <f t="shared" ca="1" si="13"/>
        <v>131</v>
      </c>
      <c r="B132" s="5" t="s">
        <v>7009</v>
      </c>
      <c r="C132" s="4" t="s">
        <v>4774</v>
      </c>
      <c r="D132" s="4">
        <f t="shared" si="15"/>
        <v>29</v>
      </c>
      <c r="E132" s="4" t="b">
        <f t="shared" si="14"/>
        <v>0</v>
      </c>
    </row>
    <row r="133" spans="1:5" ht="25.5" x14ac:dyDescent="0.2">
      <c r="A133" s="1">
        <f t="shared" ca="1" si="13"/>
        <v>132</v>
      </c>
      <c r="B133" s="5" t="s">
        <v>6755</v>
      </c>
      <c r="C133" s="4" t="s">
        <v>3877</v>
      </c>
      <c r="D133" s="4">
        <f t="shared" si="15"/>
        <v>29</v>
      </c>
      <c r="E133" s="4" t="b">
        <f t="shared" si="14"/>
        <v>0</v>
      </c>
    </row>
    <row r="134" spans="1:5" x14ac:dyDescent="0.2">
      <c r="A134" s="1">
        <f t="shared" ca="1" si="13"/>
        <v>133</v>
      </c>
      <c r="B134" s="5" t="s">
        <v>5201</v>
      </c>
      <c r="C134" s="4" t="s">
        <v>5293</v>
      </c>
      <c r="D134" s="4">
        <f t="shared" si="15"/>
        <v>28</v>
      </c>
      <c r="E134" s="4" t="b">
        <f t="shared" si="14"/>
        <v>0</v>
      </c>
    </row>
    <row r="135" spans="1:5" x14ac:dyDescent="0.2">
      <c r="A135" s="1">
        <f t="shared" ca="1" si="13"/>
        <v>134</v>
      </c>
      <c r="B135" s="5" t="s">
        <v>2465</v>
      </c>
      <c r="C135" s="4" t="s">
        <v>5319</v>
      </c>
      <c r="D135" s="4">
        <f t="shared" si="15"/>
        <v>27</v>
      </c>
      <c r="E135" s="4" t="b">
        <f t="shared" si="14"/>
        <v>0</v>
      </c>
    </row>
    <row r="136" spans="1:5" x14ac:dyDescent="0.2">
      <c r="A136" s="1">
        <f t="shared" ca="1" si="13"/>
        <v>135</v>
      </c>
      <c r="B136" s="5" t="s">
        <v>3898</v>
      </c>
      <c r="C136" s="4" t="s">
        <v>3899</v>
      </c>
      <c r="D136" s="4">
        <f t="shared" si="15"/>
        <v>26</v>
      </c>
      <c r="E136" s="4" t="b">
        <f t="shared" si="14"/>
        <v>0</v>
      </c>
    </row>
    <row r="137" spans="1:5" ht="25.5" x14ac:dyDescent="0.2">
      <c r="A137" s="1">
        <f t="shared" ca="1" si="13"/>
        <v>136</v>
      </c>
      <c r="B137" s="5" t="s">
        <v>6756</v>
      </c>
      <c r="C137" s="4" t="s">
        <v>6409</v>
      </c>
      <c r="D137" s="4">
        <f t="shared" si="15"/>
        <v>26</v>
      </c>
      <c r="E137" s="4" t="b">
        <f t="shared" si="14"/>
        <v>0</v>
      </c>
    </row>
    <row r="138" spans="1:5" x14ac:dyDescent="0.2">
      <c r="A138" s="1">
        <f t="shared" ca="1" si="13"/>
        <v>137</v>
      </c>
      <c r="B138" s="5" t="s">
        <v>3157</v>
      </c>
      <c r="C138" s="4" t="s">
        <v>4065</v>
      </c>
      <c r="D138" s="4">
        <f t="shared" si="15"/>
        <v>25</v>
      </c>
      <c r="E138" s="4" t="b">
        <f t="shared" si="14"/>
        <v>0</v>
      </c>
    </row>
    <row r="139" spans="1:5" x14ac:dyDescent="0.2">
      <c r="A139" s="1">
        <f t="shared" ca="1" si="13"/>
        <v>138</v>
      </c>
      <c r="B139" s="5" t="s">
        <v>3156</v>
      </c>
      <c r="C139" s="4" t="s">
        <v>4065</v>
      </c>
      <c r="D139" s="4">
        <f t="shared" si="15"/>
        <v>25</v>
      </c>
      <c r="E139" s="4" t="b">
        <f t="shared" si="14"/>
        <v>0</v>
      </c>
    </row>
    <row r="140" spans="1:5" x14ac:dyDescent="0.2">
      <c r="A140" s="1">
        <f t="shared" ca="1" si="13"/>
        <v>139</v>
      </c>
      <c r="B140" s="5" t="s">
        <v>2885</v>
      </c>
      <c r="C140" s="4" t="s">
        <v>2886</v>
      </c>
      <c r="D140" s="4">
        <f t="shared" si="15"/>
        <v>25</v>
      </c>
      <c r="E140" s="4" t="b">
        <f t="shared" si="14"/>
        <v>0</v>
      </c>
    </row>
    <row r="141" spans="1:5" x14ac:dyDescent="0.2">
      <c r="A141" s="1">
        <f t="shared" ca="1" si="13"/>
        <v>140</v>
      </c>
      <c r="B141" s="5" t="s">
        <v>7897</v>
      </c>
      <c r="C141" s="4" t="s">
        <v>7898</v>
      </c>
      <c r="D141" s="4">
        <f t="shared" si="15"/>
        <v>25</v>
      </c>
      <c r="E141" s="4" t="b">
        <f t="shared" si="14"/>
        <v>0</v>
      </c>
    </row>
    <row r="142" spans="1:5" x14ac:dyDescent="0.2">
      <c r="A142" s="1">
        <f t="shared" ca="1" si="13"/>
        <v>141</v>
      </c>
      <c r="B142" s="5" t="s">
        <v>1671</v>
      </c>
      <c r="C142" s="4" t="s">
        <v>1672</v>
      </c>
      <c r="D142" s="4">
        <f t="shared" si="15"/>
        <v>25</v>
      </c>
      <c r="E142" s="4" t="b">
        <f t="shared" si="14"/>
        <v>0</v>
      </c>
    </row>
    <row r="143" spans="1:5" x14ac:dyDescent="0.2">
      <c r="A143" s="1">
        <f t="shared" ca="1" si="13"/>
        <v>142</v>
      </c>
      <c r="B143" s="5" t="s">
        <v>5315</v>
      </c>
      <c r="C143" s="4" t="s">
        <v>5317</v>
      </c>
      <c r="D143" s="4">
        <f t="shared" si="15"/>
        <v>25</v>
      </c>
      <c r="E143" s="4" t="b">
        <f t="shared" si="14"/>
        <v>0</v>
      </c>
    </row>
    <row r="144" spans="1:5" x14ac:dyDescent="0.2">
      <c r="A144" s="1">
        <f t="shared" ca="1" si="13"/>
        <v>143</v>
      </c>
      <c r="B144" s="5" t="s">
        <v>7332</v>
      </c>
      <c r="C144" s="4" t="s">
        <v>8511</v>
      </c>
      <c r="D144" s="4">
        <f t="shared" si="15"/>
        <v>25</v>
      </c>
      <c r="E144" s="4" t="b">
        <f t="shared" si="14"/>
        <v>0</v>
      </c>
    </row>
    <row r="145" spans="1:5" x14ac:dyDescent="0.2">
      <c r="A145" s="1">
        <f t="shared" ca="1" si="13"/>
        <v>144</v>
      </c>
      <c r="B145" s="5" t="s">
        <v>7952</v>
      </c>
      <c r="C145" s="4" t="s">
        <v>7954</v>
      </c>
      <c r="D145" s="4">
        <f t="shared" si="15"/>
        <v>25</v>
      </c>
      <c r="E145" s="4" t="b">
        <f t="shared" si="14"/>
        <v>0</v>
      </c>
    </row>
    <row r="146" spans="1:5" ht="25.5" x14ac:dyDescent="0.2">
      <c r="A146" s="1">
        <f t="shared" ca="1" si="13"/>
        <v>145</v>
      </c>
      <c r="B146" s="5" t="s">
        <v>6757</v>
      </c>
      <c r="C146" s="4" t="s">
        <v>4199</v>
      </c>
      <c r="D146" s="4">
        <f t="shared" si="15"/>
        <v>25</v>
      </c>
      <c r="E146" s="4" t="b">
        <f t="shared" si="14"/>
        <v>0</v>
      </c>
    </row>
    <row r="147" spans="1:5" x14ac:dyDescent="0.2">
      <c r="A147" s="1">
        <f t="shared" ca="1" si="13"/>
        <v>146</v>
      </c>
      <c r="B147" s="5" t="s">
        <v>6680</v>
      </c>
      <c r="C147" s="4" t="s">
        <v>2647</v>
      </c>
      <c r="D147" s="4">
        <f t="shared" si="15"/>
        <v>25</v>
      </c>
      <c r="E147" s="4" t="b">
        <f t="shared" si="14"/>
        <v>0</v>
      </c>
    </row>
    <row r="148" spans="1:5" x14ac:dyDescent="0.2">
      <c r="A148" s="1">
        <f t="shared" ca="1" si="13"/>
        <v>147</v>
      </c>
      <c r="B148" s="5" t="s">
        <v>6681</v>
      </c>
      <c r="C148" s="4" t="s">
        <v>8243</v>
      </c>
      <c r="D148" s="4">
        <f t="shared" si="15"/>
        <v>25</v>
      </c>
      <c r="E148" s="4" t="b">
        <f t="shared" si="14"/>
        <v>0</v>
      </c>
    </row>
    <row r="149" spans="1:5" x14ac:dyDescent="0.2">
      <c r="A149" s="1">
        <f t="shared" ca="1" si="13"/>
        <v>148</v>
      </c>
      <c r="B149" s="5" t="s">
        <v>5415</v>
      </c>
      <c r="C149" s="4" t="s">
        <v>4065</v>
      </c>
      <c r="D149" s="4">
        <f t="shared" si="15"/>
        <v>24</v>
      </c>
      <c r="E149" s="4" t="b">
        <f t="shared" si="14"/>
        <v>0</v>
      </c>
    </row>
    <row r="150" spans="1:5" x14ac:dyDescent="0.2">
      <c r="A150" s="1">
        <f t="shared" ca="1" si="13"/>
        <v>149</v>
      </c>
      <c r="B150" s="5" t="s">
        <v>3076</v>
      </c>
      <c r="C150" s="4" t="s">
        <v>812</v>
      </c>
      <c r="D150" s="4">
        <f t="shared" si="15"/>
        <v>24</v>
      </c>
      <c r="E150" s="4" t="b">
        <f t="shared" si="14"/>
        <v>0</v>
      </c>
    </row>
    <row r="151" spans="1:5" ht="25.5" x14ac:dyDescent="0.2">
      <c r="A151" s="1">
        <f t="shared" ca="1" si="13"/>
        <v>150</v>
      </c>
      <c r="B151" s="5" t="s">
        <v>3074</v>
      </c>
      <c r="C151" s="4" t="s">
        <v>8509</v>
      </c>
      <c r="D151" s="4">
        <f t="shared" si="15"/>
        <v>24</v>
      </c>
      <c r="E151" s="4" t="b">
        <f t="shared" si="14"/>
        <v>0</v>
      </c>
    </row>
    <row r="152" spans="1:5" x14ac:dyDescent="0.2">
      <c r="A152" s="1">
        <f t="shared" ca="1" si="13"/>
        <v>151</v>
      </c>
      <c r="B152" s="5" t="s">
        <v>4032</v>
      </c>
      <c r="C152" s="4" t="s">
        <v>8510</v>
      </c>
      <c r="D152" s="4">
        <f t="shared" si="15"/>
        <v>24</v>
      </c>
      <c r="E152" s="4" t="b">
        <f t="shared" si="14"/>
        <v>0</v>
      </c>
    </row>
    <row r="153" spans="1:5" ht="25.5" x14ac:dyDescent="0.2">
      <c r="A153" s="1">
        <f t="shared" ca="1" si="13"/>
        <v>152</v>
      </c>
      <c r="B153" s="5" t="s">
        <v>6682</v>
      </c>
      <c r="C153" s="4" t="s">
        <v>3075</v>
      </c>
      <c r="D153" s="4">
        <f t="shared" si="15"/>
        <v>24</v>
      </c>
      <c r="E153" s="4" t="b">
        <f t="shared" si="14"/>
        <v>0</v>
      </c>
    </row>
    <row r="154" spans="1:5" x14ac:dyDescent="0.2">
      <c r="A154" s="1">
        <f t="shared" ca="1" si="13"/>
        <v>153</v>
      </c>
      <c r="B154" s="5" t="s">
        <v>7813</v>
      </c>
      <c r="C154" s="4" t="s">
        <v>5318</v>
      </c>
      <c r="D154" s="4">
        <f t="shared" si="15"/>
        <v>24</v>
      </c>
      <c r="E154" s="4" t="b">
        <f t="shared" si="14"/>
        <v>0</v>
      </c>
    </row>
    <row r="155" spans="1:5" x14ac:dyDescent="0.2">
      <c r="A155" s="1">
        <f t="shared" ca="1" si="13"/>
        <v>154</v>
      </c>
      <c r="B155" s="5" t="s">
        <v>5416</v>
      </c>
      <c r="C155" s="4" t="s">
        <v>4066</v>
      </c>
      <c r="D155" s="4">
        <f t="shared" si="15"/>
        <v>23</v>
      </c>
      <c r="E155" s="4" t="b">
        <f t="shared" si="14"/>
        <v>0</v>
      </c>
    </row>
    <row r="156" spans="1:5" x14ac:dyDescent="0.2">
      <c r="A156" s="1">
        <f t="shared" ca="1" si="13"/>
        <v>155</v>
      </c>
      <c r="B156" s="5" t="s">
        <v>3741</v>
      </c>
      <c r="C156" s="4" t="s">
        <v>3743</v>
      </c>
      <c r="D156" s="4">
        <f t="shared" si="15"/>
        <v>22</v>
      </c>
      <c r="E156" s="4" t="b">
        <f t="shared" si="14"/>
        <v>0</v>
      </c>
    </row>
    <row r="157" spans="1:5" x14ac:dyDescent="0.2">
      <c r="A157" s="1">
        <f t="shared" ca="1" si="13"/>
        <v>156</v>
      </c>
      <c r="B157" s="5" t="s">
        <v>1723</v>
      </c>
      <c r="C157" s="4" t="s">
        <v>7330</v>
      </c>
      <c r="D157" s="4">
        <f t="shared" si="15"/>
        <v>22</v>
      </c>
      <c r="E157" s="4" t="b">
        <f t="shared" si="14"/>
        <v>0</v>
      </c>
    </row>
    <row r="158" spans="1:5" x14ac:dyDescent="0.2">
      <c r="A158" s="1">
        <f t="shared" ca="1" si="13"/>
        <v>157</v>
      </c>
      <c r="B158" s="5" t="s">
        <v>6683</v>
      </c>
      <c r="C158" s="4" t="s">
        <v>3195</v>
      </c>
      <c r="D158" s="4">
        <f t="shared" si="15"/>
        <v>22</v>
      </c>
      <c r="E158" s="4" t="b">
        <f t="shared" si="14"/>
        <v>0</v>
      </c>
    </row>
    <row r="159" spans="1:5" x14ac:dyDescent="0.2">
      <c r="A159" s="1">
        <f t="shared" ca="1" si="13"/>
        <v>158</v>
      </c>
      <c r="B159" s="5" t="s">
        <v>3958</v>
      </c>
      <c r="C159" s="4" t="s">
        <v>3959</v>
      </c>
      <c r="D159" s="4">
        <f t="shared" si="15"/>
        <v>21</v>
      </c>
      <c r="E159" s="4" t="b">
        <f t="shared" si="14"/>
        <v>0</v>
      </c>
    </row>
    <row r="160" spans="1:5" x14ac:dyDescent="0.2">
      <c r="A160" s="1">
        <f t="shared" ref="A160:A191" ca="1" si="16">CELL("row",C161)-2</f>
        <v>159</v>
      </c>
      <c r="B160" s="5" t="s">
        <v>2855</v>
      </c>
      <c r="C160" s="4" t="s">
        <v>2856</v>
      </c>
      <c r="D160" s="4">
        <f t="shared" si="15"/>
        <v>21</v>
      </c>
      <c r="E160" s="4" t="b">
        <f t="shared" ref="E160:E191" si="17">+B160=B161</f>
        <v>0</v>
      </c>
    </row>
    <row r="161" spans="1:5" x14ac:dyDescent="0.2">
      <c r="A161" s="1">
        <f t="shared" ca="1" si="16"/>
        <v>160</v>
      </c>
      <c r="B161" s="5" t="s">
        <v>5491</v>
      </c>
      <c r="C161" s="4" t="s">
        <v>7747</v>
      </c>
      <c r="D161" s="4">
        <f t="shared" si="15"/>
        <v>20</v>
      </c>
      <c r="E161" s="4" t="b">
        <f t="shared" si="17"/>
        <v>0</v>
      </c>
    </row>
    <row r="162" spans="1:5" x14ac:dyDescent="0.2">
      <c r="A162" s="1">
        <f t="shared" ca="1" si="16"/>
        <v>161</v>
      </c>
      <c r="B162" s="5" t="s">
        <v>4051</v>
      </c>
      <c r="C162" s="4" t="s">
        <v>3069</v>
      </c>
      <c r="D162" s="4">
        <f t="shared" si="15"/>
        <v>20</v>
      </c>
      <c r="E162" s="4" t="b">
        <f t="shared" si="17"/>
        <v>0</v>
      </c>
    </row>
    <row r="163" spans="1:5" x14ac:dyDescent="0.2">
      <c r="A163" s="1">
        <f t="shared" ca="1" si="16"/>
        <v>162</v>
      </c>
      <c r="B163" s="5" t="s">
        <v>3063</v>
      </c>
      <c r="C163" s="4" t="s">
        <v>3065</v>
      </c>
      <c r="D163" s="4">
        <f t="shared" si="15"/>
        <v>19</v>
      </c>
      <c r="E163" s="4" t="b">
        <f t="shared" si="17"/>
        <v>0</v>
      </c>
    </row>
    <row r="164" spans="1:5" x14ac:dyDescent="0.2">
      <c r="A164" s="1">
        <f t="shared" ca="1" si="16"/>
        <v>163</v>
      </c>
      <c r="B164" s="5" t="s">
        <v>7826</v>
      </c>
      <c r="C164" s="4" t="s">
        <v>4064</v>
      </c>
      <c r="D164" s="4">
        <f t="shared" si="15"/>
        <v>19</v>
      </c>
      <c r="E164" s="4" t="b">
        <f t="shared" si="17"/>
        <v>0</v>
      </c>
    </row>
    <row r="165" spans="1:5" x14ac:dyDescent="0.2">
      <c r="A165" s="1">
        <f t="shared" ca="1" si="16"/>
        <v>164</v>
      </c>
      <c r="B165" s="5" t="s">
        <v>6360</v>
      </c>
      <c r="C165" s="4" t="s">
        <v>1206</v>
      </c>
      <c r="D165" s="4">
        <f t="shared" si="15"/>
        <v>19</v>
      </c>
      <c r="E165" s="4" t="b">
        <f t="shared" si="17"/>
        <v>0</v>
      </c>
    </row>
    <row r="166" spans="1:5" x14ac:dyDescent="0.2">
      <c r="A166" s="1">
        <f t="shared" ca="1" si="16"/>
        <v>165</v>
      </c>
      <c r="B166" s="5" t="s">
        <v>5167</v>
      </c>
      <c r="C166" s="4" t="s">
        <v>3070</v>
      </c>
      <c r="D166" s="4">
        <f t="shared" si="15"/>
        <v>19</v>
      </c>
      <c r="E166" s="4" t="b">
        <f t="shared" si="17"/>
        <v>0</v>
      </c>
    </row>
    <row r="167" spans="1:5" x14ac:dyDescent="0.2">
      <c r="A167" s="1">
        <f t="shared" ca="1" si="16"/>
        <v>166</v>
      </c>
      <c r="B167" s="5" t="s">
        <v>2638</v>
      </c>
      <c r="C167" s="4" t="s">
        <v>2639</v>
      </c>
      <c r="D167" s="4">
        <f t="shared" si="15"/>
        <v>19</v>
      </c>
      <c r="E167" s="4" t="b">
        <f t="shared" si="17"/>
        <v>0</v>
      </c>
    </row>
    <row r="168" spans="1:5" ht="25.5" x14ac:dyDescent="0.2">
      <c r="A168" s="1">
        <f t="shared" ca="1" si="16"/>
        <v>167</v>
      </c>
      <c r="B168" s="5" t="s">
        <v>8163</v>
      </c>
      <c r="C168" s="4" t="s">
        <v>8162</v>
      </c>
      <c r="D168" s="4">
        <f t="shared" si="15"/>
        <v>19</v>
      </c>
      <c r="E168" s="4" t="b">
        <f t="shared" si="17"/>
        <v>0</v>
      </c>
    </row>
    <row r="169" spans="1:5" x14ac:dyDescent="0.2">
      <c r="A169" s="1">
        <f t="shared" ca="1" si="16"/>
        <v>168</v>
      </c>
      <c r="B169" s="5" t="s">
        <v>5526</v>
      </c>
      <c r="C169" s="4" t="s">
        <v>4064</v>
      </c>
      <c r="D169" s="4">
        <f t="shared" si="15"/>
        <v>18</v>
      </c>
      <c r="E169" s="4" t="b">
        <f t="shared" si="17"/>
        <v>0</v>
      </c>
    </row>
    <row r="170" spans="1:5" x14ac:dyDescent="0.2">
      <c r="A170" s="1">
        <f t="shared" ca="1" si="16"/>
        <v>169</v>
      </c>
      <c r="B170" s="5" t="s">
        <v>2466</v>
      </c>
      <c r="C170" s="4" t="s">
        <v>5321</v>
      </c>
      <c r="D170" s="4">
        <f t="shared" si="15"/>
        <v>18</v>
      </c>
      <c r="E170" s="4" t="b">
        <f t="shared" si="17"/>
        <v>0</v>
      </c>
    </row>
    <row r="171" spans="1:5" x14ac:dyDescent="0.2">
      <c r="A171" s="1">
        <f t="shared" ca="1" si="16"/>
        <v>170</v>
      </c>
      <c r="B171" s="5" t="s">
        <v>8379</v>
      </c>
      <c r="C171" s="4" t="s">
        <v>5294</v>
      </c>
      <c r="D171" s="4">
        <f t="shared" si="15"/>
        <v>17</v>
      </c>
      <c r="E171" s="4" t="b">
        <f t="shared" si="17"/>
        <v>0</v>
      </c>
    </row>
    <row r="172" spans="1:5" x14ac:dyDescent="0.2">
      <c r="A172" s="1">
        <f t="shared" ca="1" si="16"/>
        <v>171</v>
      </c>
      <c r="B172" s="5" t="s">
        <v>60</v>
      </c>
      <c r="C172" s="4" t="s">
        <v>5927</v>
      </c>
      <c r="D172" s="4">
        <f t="shared" si="15"/>
        <v>17</v>
      </c>
      <c r="E172" s="4" t="b">
        <f t="shared" si="17"/>
        <v>0</v>
      </c>
    </row>
    <row r="173" spans="1:5" x14ac:dyDescent="0.2">
      <c r="A173" s="1">
        <f t="shared" ca="1" si="16"/>
        <v>172</v>
      </c>
      <c r="B173" s="5" t="s">
        <v>3710</v>
      </c>
      <c r="C173" s="4" t="s">
        <v>8508</v>
      </c>
      <c r="D173" s="4">
        <f t="shared" si="15"/>
        <v>16</v>
      </c>
      <c r="E173" s="4" t="b">
        <f t="shared" si="17"/>
        <v>0</v>
      </c>
    </row>
    <row r="174" spans="1:5" x14ac:dyDescent="0.2">
      <c r="A174" s="1">
        <f t="shared" ca="1" si="16"/>
        <v>173</v>
      </c>
      <c r="B174" s="5" t="s">
        <v>8241</v>
      </c>
      <c r="C174" s="4" t="s">
        <v>8242</v>
      </c>
      <c r="D174" s="4">
        <f t="shared" si="15"/>
        <v>16</v>
      </c>
      <c r="E174" s="4" t="b">
        <f t="shared" si="17"/>
        <v>0</v>
      </c>
    </row>
    <row r="175" spans="1:5" ht="25.5" x14ac:dyDescent="0.2">
      <c r="A175" s="1">
        <f t="shared" ca="1" si="16"/>
        <v>174</v>
      </c>
      <c r="B175" s="5" t="s">
        <v>2920</v>
      </c>
      <c r="C175" s="4" t="s">
        <v>2921</v>
      </c>
      <c r="D175" s="4">
        <f t="shared" si="15"/>
        <v>15</v>
      </c>
      <c r="E175" s="4" t="b">
        <f t="shared" si="17"/>
        <v>0</v>
      </c>
    </row>
    <row r="176" spans="1:5" x14ac:dyDescent="0.2">
      <c r="A176" s="1">
        <f t="shared" ca="1" si="16"/>
        <v>175</v>
      </c>
      <c r="B176" s="5" t="s">
        <v>7745</v>
      </c>
      <c r="C176" s="4" t="s">
        <v>3897</v>
      </c>
      <c r="D176" s="4">
        <f t="shared" si="15"/>
        <v>15</v>
      </c>
      <c r="E176" s="4" t="b">
        <f t="shared" si="17"/>
        <v>0</v>
      </c>
    </row>
    <row r="177" spans="1:5" x14ac:dyDescent="0.2">
      <c r="A177" s="1">
        <f t="shared" ca="1" si="16"/>
        <v>176</v>
      </c>
      <c r="B177" s="5" t="s">
        <v>8167</v>
      </c>
      <c r="C177" s="4" t="s">
        <v>8166</v>
      </c>
      <c r="D177" s="4">
        <f t="shared" si="15"/>
        <v>15</v>
      </c>
      <c r="E177" s="4" t="b">
        <f t="shared" si="17"/>
        <v>0</v>
      </c>
    </row>
    <row r="178" spans="1:5" x14ac:dyDescent="0.2">
      <c r="A178" s="1">
        <f t="shared" ca="1" si="16"/>
        <v>177</v>
      </c>
      <c r="B178" s="5" t="s">
        <v>2469</v>
      </c>
      <c r="C178" s="4" t="s">
        <v>8507</v>
      </c>
      <c r="D178" s="4">
        <f t="shared" si="15"/>
        <v>14</v>
      </c>
      <c r="E178" s="4" t="b">
        <f t="shared" si="17"/>
        <v>0</v>
      </c>
    </row>
    <row r="179" spans="1:5" x14ac:dyDescent="0.2">
      <c r="A179" s="1">
        <f t="shared" ca="1" si="16"/>
        <v>178</v>
      </c>
      <c r="B179" s="5" t="s">
        <v>5314</v>
      </c>
      <c r="C179" s="4" t="s">
        <v>5316</v>
      </c>
      <c r="D179" s="4">
        <f t="shared" si="15"/>
        <v>14</v>
      </c>
      <c r="E179" s="4" t="b">
        <f t="shared" si="17"/>
        <v>0</v>
      </c>
    </row>
    <row r="180" spans="1:5" x14ac:dyDescent="0.2">
      <c r="A180" s="1">
        <f t="shared" ca="1" si="16"/>
        <v>179</v>
      </c>
      <c r="B180" s="5" t="s">
        <v>3064</v>
      </c>
      <c r="C180" s="4" t="s">
        <v>1203</v>
      </c>
      <c r="D180" s="4">
        <f t="shared" si="15"/>
        <v>14</v>
      </c>
      <c r="E180" s="4" t="b">
        <f t="shared" si="17"/>
        <v>0</v>
      </c>
    </row>
    <row r="181" spans="1:5" x14ac:dyDescent="0.2">
      <c r="A181" s="1">
        <f t="shared" ca="1" si="16"/>
        <v>180</v>
      </c>
      <c r="B181" s="5" t="s">
        <v>6361</v>
      </c>
      <c r="C181" s="4" t="s">
        <v>1719</v>
      </c>
      <c r="D181" s="4">
        <f t="shared" si="15"/>
        <v>13</v>
      </c>
      <c r="E181" s="4" t="b">
        <f t="shared" si="17"/>
        <v>0</v>
      </c>
    </row>
    <row r="182" spans="1:5" x14ac:dyDescent="0.2">
      <c r="A182" s="1">
        <f t="shared" ca="1" si="16"/>
        <v>181</v>
      </c>
      <c r="B182" s="5" t="s">
        <v>1720</v>
      </c>
      <c r="C182" s="4" t="s">
        <v>1721</v>
      </c>
      <c r="D182" s="4">
        <f t="shared" si="15"/>
        <v>13</v>
      </c>
      <c r="E182" s="4" t="b">
        <f t="shared" si="17"/>
        <v>0</v>
      </c>
    </row>
    <row r="183" spans="1:5" x14ac:dyDescent="0.2">
      <c r="A183" s="1">
        <f t="shared" ca="1" si="16"/>
        <v>182</v>
      </c>
      <c r="B183" s="5" t="s">
        <v>2973</v>
      </c>
      <c r="C183" s="4" t="s">
        <v>2974</v>
      </c>
      <c r="D183" s="4">
        <f t="shared" si="15"/>
        <v>13</v>
      </c>
      <c r="E183" s="4" t="b">
        <f t="shared" si="17"/>
        <v>0</v>
      </c>
    </row>
    <row r="184" spans="1:5" x14ac:dyDescent="0.2">
      <c r="A184" s="1">
        <f t="shared" ca="1" si="16"/>
        <v>183</v>
      </c>
      <c r="B184" s="5" t="s">
        <v>6758</v>
      </c>
      <c r="C184" s="4" t="s">
        <v>8506</v>
      </c>
      <c r="D184" s="4">
        <f t="shared" si="15"/>
        <v>12</v>
      </c>
      <c r="E184" s="4" t="b">
        <f t="shared" si="17"/>
        <v>0</v>
      </c>
    </row>
    <row r="185" spans="1:5" x14ac:dyDescent="0.2">
      <c r="A185" s="1">
        <f t="shared" ca="1" si="16"/>
        <v>184</v>
      </c>
      <c r="B185" s="5" t="s">
        <v>6759</v>
      </c>
      <c r="C185" s="4" t="s">
        <v>8505</v>
      </c>
      <c r="D185" s="4">
        <f t="shared" si="15"/>
        <v>11</v>
      </c>
      <c r="E185" s="4" t="b">
        <f t="shared" si="17"/>
        <v>0</v>
      </c>
    </row>
    <row r="186" spans="1:5" x14ac:dyDescent="0.2">
      <c r="A186" s="1">
        <f t="shared" ca="1" si="16"/>
        <v>185</v>
      </c>
      <c r="B186" s="5" t="s">
        <v>8164</v>
      </c>
      <c r="C186" s="4" t="s">
        <v>8165</v>
      </c>
      <c r="D186" s="4">
        <f t="shared" si="15"/>
        <v>10</v>
      </c>
      <c r="E186" s="4" t="b">
        <f t="shared" si="17"/>
        <v>0</v>
      </c>
    </row>
    <row r="187" spans="1:5" x14ac:dyDescent="0.2">
      <c r="A187" s="1">
        <f t="shared" ca="1" si="16"/>
        <v>186</v>
      </c>
      <c r="B187" s="5" t="s">
        <v>1718</v>
      </c>
      <c r="C187" s="4" t="s">
        <v>918</v>
      </c>
      <c r="D187" s="4">
        <f t="shared" si="15"/>
        <v>10</v>
      </c>
      <c r="E187" s="4" t="b">
        <f t="shared" si="17"/>
        <v>0</v>
      </c>
    </row>
    <row r="188" spans="1:5" x14ac:dyDescent="0.2">
      <c r="A188" s="1">
        <f t="shared" ca="1" si="16"/>
        <v>187</v>
      </c>
      <c r="B188" s="5" t="s">
        <v>6218</v>
      </c>
      <c r="C188" s="4" t="s">
        <v>6219</v>
      </c>
      <c r="D188" s="4">
        <f t="shared" si="15"/>
        <v>9</v>
      </c>
      <c r="E188" s="4" t="b">
        <f t="shared" si="17"/>
        <v>0</v>
      </c>
    </row>
    <row r="189" spans="1:5" x14ac:dyDescent="0.2">
      <c r="A189" s="1">
        <f t="shared" ca="1" si="16"/>
        <v>188</v>
      </c>
      <c r="B189" s="5" t="s">
        <v>3903</v>
      </c>
      <c r="C189" s="4" t="s">
        <v>3904</v>
      </c>
      <c r="D189" s="4">
        <f t="shared" si="15"/>
        <v>9</v>
      </c>
      <c r="E189" s="4" t="b">
        <f t="shared" si="17"/>
        <v>0</v>
      </c>
    </row>
    <row r="190" spans="1:5" x14ac:dyDescent="0.2">
      <c r="A190" s="1">
        <f t="shared" ca="1" si="16"/>
        <v>189</v>
      </c>
      <c r="B190" s="5" t="s">
        <v>3900</v>
      </c>
      <c r="C190" s="4" t="s">
        <v>3901</v>
      </c>
      <c r="D190" s="4">
        <f t="shared" si="15"/>
        <v>9</v>
      </c>
      <c r="E190" s="4" t="b">
        <f t="shared" si="17"/>
        <v>0</v>
      </c>
    </row>
    <row r="191" spans="1:5" x14ac:dyDescent="0.2">
      <c r="A191" s="1">
        <f t="shared" ca="1" si="16"/>
        <v>190</v>
      </c>
      <c r="B191" s="5" t="s">
        <v>6362</v>
      </c>
      <c r="C191" s="4" t="s">
        <v>3902</v>
      </c>
      <c r="D191" s="4">
        <f t="shared" si="15"/>
        <v>9</v>
      </c>
      <c r="E191" s="4" t="b">
        <f t="shared" si="17"/>
        <v>0</v>
      </c>
    </row>
    <row r="192" spans="1:5" x14ac:dyDescent="0.2">
      <c r="A192" s="1">
        <f t="shared" ref="A192:A223" ca="1" si="18">CELL("row",C193)-2</f>
        <v>191</v>
      </c>
      <c r="B192" s="5" t="s">
        <v>6015</v>
      </c>
      <c r="C192" s="4" t="s">
        <v>3073</v>
      </c>
      <c r="D192" s="4">
        <f t="shared" si="15"/>
        <v>9</v>
      </c>
      <c r="E192" s="4" t="b">
        <f t="shared" ref="E192:E205" si="19">+B192=B193</f>
        <v>0</v>
      </c>
    </row>
    <row r="193" spans="1:5" x14ac:dyDescent="0.2">
      <c r="A193" s="1">
        <f t="shared" ca="1" si="18"/>
        <v>192</v>
      </c>
      <c r="B193" s="5" t="s">
        <v>2468</v>
      </c>
      <c r="C193" s="4" t="s">
        <v>8414</v>
      </c>
      <c r="D193" s="4">
        <f t="shared" si="15"/>
        <v>9</v>
      </c>
      <c r="E193" s="4" t="b">
        <f t="shared" si="19"/>
        <v>0</v>
      </c>
    </row>
    <row r="194" spans="1:5" x14ac:dyDescent="0.2">
      <c r="A194" s="1">
        <f t="shared" ca="1" si="18"/>
        <v>193</v>
      </c>
      <c r="B194" s="5" t="s">
        <v>8168</v>
      </c>
      <c r="C194" s="4" t="s">
        <v>8169</v>
      </c>
      <c r="D194" s="4">
        <f t="shared" ref="D194:D205" si="20">+LEN(B194)</f>
        <v>9</v>
      </c>
      <c r="E194" s="4" t="b">
        <f t="shared" si="19"/>
        <v>0</v>
      </c>
    </row>
    <row r="195" spans="1:5" x14ac:dyDescent="0.2">
      <c r="A195" s="1">
        <f t="shared" ca="1" si="18"/>
        <v>194</v>
      </c>
      <c r="B195" s="5" t="s">
        <v>3882</v>
      </c>
      <c r="C195" s="4" t="s">
        <v>3883</v>
      </c>
      <c r="D195" s="4">
        <f t="shared" si="20"/>
        <v>8</v>
      </c>
      <c r="E195" s="4" t="b">
        <f t="shared" si="19"/>
        <v>0</v>
      </c>
    </row>
    <row r="196" spans="1:5" x14ac:dyDescent="0.2">
      <c r="A196" s="1">
        <f t="shared" ca="1" si="18"/>
        <v>195</v>
      </c>
      <c r="B196" s="5" t="s">
        <v>3163</v>
      </c>
      <c r="C196" s="4" t="s">
        <v>3164</v>
      </c>
      <c r="D196" s="4">
        <f t="shared" si="20"/>
        <v>7</v>
      </c>
      <c r="E196" s="4" t="b">
        <f t="shared" si="19"/>
        <v>0</v>
      </c>
    </row>
    <row r="197" spans="1:5" x14ac:dyDescent="0.2">
      <c r="A197" s="1">
        <f t="shared" ca="1" si="18"/>
        <v>196</v>
      </c>
      <c r="B197" s="5" t="s">
        <v>172</v>
      </c>
      <c r="C197" s="4" t="s">
        <v>3572</v>
      </c>
      <c r="D197" s="4">
        <f t="shared" si="20"/>
        <v>7</v>
      </c>
      <c r="E197" s="4" t="b">
        <f t="shared" si="19"/>
        <v>0</v>
      </c>
    </row>
    <row r="198" spans="1:5" x14ac:dyDescent="0.2">
      <c r="A198" s="1">
        <f t="shared" ca="1" si="18"/>
        <v>197</v>
      </c>
      <c r="B198" s="5" t="s">
        <v>8170</v>
      </c>
      <c r="C198" s="4" t="s">
        <v>8171</v>
      </c>
      <c r="D198" s="4">
        <f t="shared" si="20"/>
        <v>7</v>
      </c>
      <c r="E198" s="4" t="b">
        <f t="shared" si="19"/>
        <v>0</v>
      </c>
    </row>
    <row r="199" spans="1:5" x14ac:dyDescent="0.2">
      <c r="A199" s="1">
        <f t="shared" ca="1" si="18"/>
        <v>198</v>
      </c>
      <c r="B199" s="5" t="s">
        <v>6684</v>
      </c>
      <c r="C199" s="4" t="s">
        <v>8504</v>
      </c>
      <c r="D199" s="4">
        <f t="shared" si="20"/>
        <v>7</v>
      </c>
      <c r="E199" s="4" t="b">
        <f t="shared" si="19"/>
        <v>0</v>
      </c>
    </row>
    <row r="200" spans="1:5" x14ac:dyDescent="0.2">
      <c r="A200" s="1">
        <f t="shared" ca="1" si="18"/>
        <v>199</v>
      </c>
      <c r="B200" s="5" t="s">
        <v>814</v>
      </c>
      <c r="C200" s="4" t="s">
        <v>8503</v>
      </c>
      <c r="D200" s="4">
        <f t="shared" si="20"/>
        <v>6</v>
      </c>
      <c r="E200" s="4" t="b">
        <f t="shared" si="19"/>
        <v>0</v>
      </c>
    </row>
    <row r="201" spans="1:5" x14ac:dyDescent="0.2">
      <c r="A201" s="1">
        <f t="shared" ca="1" si="18"/>
        <v>200</v>
      </c>
      <c r="B201" s="5" t="s">
        <v>3713</v>
      </c>
      <c r="C201" s="4" t="s">
        <v>1098</v>
      </c>
      <c r="D201" s="4">
        <f t="shared" si="20"/>
        <v>6</v>
      </c>
      <c r="E201" s="4" t="b">
        <f t="shared" si="19"/>
        <v>0</v>
      </c>
    </row>
    <row r="202" spans="1:5" x14ac:dyDescent="0.2">
      <c r="A202" s="1">
        <f t="shared" ca="1" si="18"/>
        <v>201</v>
      </c>
      <c r="B202" s="5" t="s">
        <v>3742</v>
      </c>
      <c r="C202" s="4" t="s">
        <v>3744</v>
      </c>
      <c r="D202" s="4">
        <f t="shared" si="20"/>
        <v>6</v>
      </c>
      <c r="E202" s="4" t="b">
        <f t="shared" si="19"/>
        <v>0</v>
      </c>
    </row>
    <row r="203" spans="1:5" x14ac:dyDescent="0.2">
      <c r="A203" s="1">
        <f t="shared" ca="1" si="18"/>
        <v>202</v>
      </c>
      <c r="B203" s="5" t="s">
        <v>813</v>
      </c>
      <c r="C203" s="4" t="s">
        <v>8502</v>
      </c>
      <c r="D203" s="4">
        <f t="shared" si="20"/>
        <v>5</v>
      </c>
      <c r="E203" s="4" t="b">
        <f t="shared" si="19"/>
        <v>0</v>
      </c>
    </row>
    <row r="204" spans="1:5" x14ac:dyDescent="0.2">
      <c r="A204" s="1">
        <f t="shared" ca="1" si="18"/>
        <v>203</v>
      </c>
      <c r="B204" s="5" t="s">
        <v>3066</v>
      </c>
      <c r="C204" s="4" t="s">
        <v>6410</v>
      </c>
      <c r="D204" s="4">
        <f t="shared" si="20"/>
        <v>5</v>
      </c>
      <c r="E204" s="4" t="b">
        <f t="shared" si="19"/>
        <v>0</v>
      </c>
    </row>
    <row r="205" spans="1:5" x14ac:dyDescent="0.2">
      <c r="A205" s="1">
        <f t="shared" ca="1" si="18"/>
        <v>204</v>
      </c>
      <c r="B205" s="5" t="s">
        <v>2467</v>
      </c>
      <c r="C205" s="4" t="s">
        <v>4197</v>
      </c>
      <c r="D205" s="4">
        <f t="shared" si="20"/>
        <v>4</v>
      </c>
      <c r="E205" s="4" t="b">
        <f t="shared" si="19"/>
        <v>0</v>
      </c>
    </row>
    <row r="206" spans="1:5" x14ac:dyDescent="0.2">
      <c r="A206" s="1">
        <f t="shared" ca="1" si="18"/>
        <v>205</v>
      </c>
    </row>
    <row r="207" spans="1:5" x14ac:dyDescent="0.2">
      <c r="A207" s="1">
        <f t="shared" ca="1" si="18"/>
        <v>206</v>
      </c>
    </row>
    <row r="208" spans="1:5" x14ac:dyDescent="0.2">
      <c r="A208" s="1">
        <f t="shared" ca="1" si="18"/>
        <v>207</v>
      </c>
    </row>
    <row r="209" spans="1:1" x14ac:dyDescent="0.2">
      <c r="A209" s="1">
        <f t="shared" ca="1" si="18"/>
        <v>208</v>
      </c>
    </row>
    <row r="210" spans="1:1" x14ac:dyDescent="0.2">
      <c r="A210" s="1">
        <f t="shared" ca="1" si="18"/>
        <v>209</v>
      </c>
    </row>
    <row r="211" spans="1:1" x14ac:dyDescent="0.2">
      <c r="A211" s="1">
        <f t="shared" ca="1" si="18"/>
        <v>210</v>
      </c>
    </row>
    <row r="212" spans="1:1" x14ac:dyDescent="0.2">
      <c r="A212" s="1">
        <f t="shared" ca="1" si="18"/>
        <v>211</v>
      </c>
    </row>
    <row r="213" spans="1:1" x14ac:dyDescent="0.2">
      <c r="A213" s="1">
        <f t="shared" ca="1" si="18"/>
        <v>212</v>
      </c>
    </row>
    <row r="214" spans="1:1" x14ac:dyDescent="0.2">
      <c r="A214" s="1">
        <f t="shared" ca="1" si="18"/>
        <v>213</v>
      </c>
    </row>
    <row r="215" spans="1:1" x14ac:dyDescent="0.2">
      <c r="A215" s="1">
        <f t="shared" ca="1" si="18"/>
        <v>214</v>
      </c>
    </row>
    <row r="216" spans="1:1" x14ac:dyDescent="0.2">
      <c r="A216" s="1">
        <f t="shared" ca="1" si="18"/>
        <v>215</v>
      </c>
    </row>
    <row r="217" spans="1:1" x14ac:dyDescent="0.2">
      <c r="A217" s="1">
        <f t="shared" ca="1" si="18"/>
        <v>216</v>
      </c>
    </row>
    <row r="218" spans="1:1" x14ac:dyDescent="0.2">
      <c r="A218" s="1">
        <f t="shared" ca="1" si="18"/>
        <v>217</v>
      </c>
    </row>
    <row r="219" spans="1:1" x14ac:dyDescent="0.2">
      <c r="A219" s="1">
        <f t="shared" ca="1" si="18"/>
        <v>218</v>
      </c>
    </row>
    <row r="220" spans="1:1" x14ac:dyDescent="0.2">
      <c r="A220" s="1">
        <f t="shared" ca="1" si="18"/>
        <v>219</v>
      </c>
    </row>
    <row r="221" spans="1:1" x14ac:dyDescent="0.2">
      <c r="A221" s="1">
        <f t="shared" ca="1" si="18"/>
        <v>220</v>
      </c>
    </row>
    <row r="222" spans="1:1" x14ac:dyDescent="0.2">
      <c r="A222" s="1">
        <f t="shared" ca="1" si="18"/>
        <v>221</v>
      </c>
    </row>
    <row r="223" spans="1:1" x14ac:dyDescent="0.2">
      <c r="A223" s="1">
        <f t="shared" ca="1" si="18"/>
        <v>222</v>
      </c>
    </row>
    <row r="224" spans="1:1" x14ac:dyDescent="0.2">
      <c r="A224" s="1">
        <f t="shared" ref="A224:A255" ca="1" si="21">CELL("row",C225)-2</f>
        <v>223</v>
      </c>
    </row>
    <row r="225" spans="1:1" x14ac:dyDescent="0.2">
      <c r="A225" s="1">
        <f t="shared" ca="1" si="21"/>
        <v>224</v>
      </c>
    </row>
    <row r="226" spans="1:1" x14ac:dyDescent="0.2">
      <c r="A226" s="1">
        <f t="shared" ca="1" si="21"/>
        <v>225</v>
      </c>
    </row>
    <row r="227" spans="1:1" x14ac:dyDescent="0.2">
      <c r="A227" s="1">
        <f t="shared" ca="1" si="21"/>
        <v>226</v>
      </c>
    </row>
    <row r="228" spans="1:1" x14ac:dyDescent="0.2">
      <c r="A228" s="1">
        <f t="shared" ca="1" si="21"/>
        <v>227</v>
      </c>
    </row>
    <row r="229" spans="1:1" x14ac:dyDescent="0.2">
      <c r="A229" s="1">
        <f t="shared" ca="1" si="21"/>
        <v>228</v>
      </c>
    </row>
    <row r="230" spans="1:1" x14ac:dyDescent="0.2">
      <c r="A230" s="1">
        <f t="shared" ca="1" si="21"/>
        <v>229</v>
      </c>
    </row>
    <row r="231" spans="1:1" x14ac:dyDescent="0.2">
      <c r="A231" s="1">
        <f t="shared" ca="1" si="21"/>
        <v>230</v>
      </c>
    </row>
    <row r="232" spans="1:1" x14ac:dyDescent="0.2">
      <c r="A232" s="1">
        <f t="shared" ca="1" si="21"/>
        <v>231</v>
      </c>
    </row>
    <row r="233" spans="1:1" x14ac:dyDescent="0.2">
      <c r="A233" s="1">
        <f t="shared" ca="1" si="21"/>
        <v>232</v>
      </c>
    </row>
    <row r="234" spans="1:1" x14ac:dyDescent="0.2">
      <c r="A234" s="1">
        <f t="shared" ca="1" si="21"/>
        <v>233</v>
      </c>
    </row>
    <row r="235" spans="1:1" x14ac:dyDescent="0.2">
      <c r="A235" s="1">
        <f t="shared" ca="1" si="21"/>
        <v>234</v>
      </c>
    </row>
    <row r="236" spans="1:1" x14ac:dyDescent="0.2">
      <c r="A236" s="1">
        <f t="shared" ca="1" si="21"/>
        <v>235</v>
      </c>
    </row>
    <row r="237" spans="1:1" x14ac:dyDescent="0.2">
      <c r="A237" s="1">
        <f t="shared" ca="1" si="21"/>
        <v>236</v>
      </c>
    </row>
    <row r="238" spans="1:1" x14ac:dyDescent="0.2">
      <c r="A238" s="1">
        <f t="shared" ca="1" si="21"/>
        <v>237</v>
      </c>
    </row>
    <row r="239" spans="1:1" x14ac:dyDescent="0.2">
      <c r="A239" s="1">
        <f t="shared" ca="1" si="21"/>
        <v>238</v>
      </c>
    </row>
    <row r="240" spans="1:1" x14ac:dyDescent="0.2">
      <c r="A240" s="1">
        <f t="shared" ca="1" si="21"/>
        <v>239</v>
      </c>
    </row>
    <row r="241" spans="1:1" x14ac:dyDescent="0.2">
      <c r="A241" s="1">
        <f t="shared" ca="1" si="21"/>
        <v>240</v>
      </c>
    </row>
    <row r="242" spans="1:1" x14ac:dyDescent="0.2">
      <c r="A242" s="1">
        <f t="shared" ca="1" si="21"/>
        <v>241</v>
      </c>
    </row>
    <row r="243" spans="1:1" x14ac:dyDescent="0.2">
      <c r="A243" s="1">
        <f t="shared" ca="1" si="21"/>
        <v>242</v>
      </c>
    </row>
    <row r="244" spans="1:1" x14ac:dyDescent="0.2">
      <c r="A244" s="1">
        <f t="shared" ca="1" si="21"/>
        <v>243</v>
      </c>
    </row>
    <row r="245" spans="1:1" x14ac:dyDescent="0.2">
      <c r="A245" s="1">
        <f t="shared" ca="1" si="21"/>
        <v>244</v>
      </c>
    </row>
    <row r="246" spans="1:1" x14ac:dyDescent="0.2">
      <c r="A246" s="1">
        <f t="shared" ca="1" si="21"/>
        <v>245</v>
      </c>
    </row>
    <row r="247" spans="1:1" x14ac:dyDescent="0.2">
      <c r="A247" s="1">
        <f t="shared" ca="1" si="21"/>
        <v>246</v>
      </c>
    </row>
    <row r="248" spans="1:1" x14ac:dyDescent="0.2">
      <c r="A248" s="1">
        <f t="shared" ca="1" si="21"/>
        <v>247</v>
      </c>
    </row>
    <row r="249" spans="1:1" x14ac:dyDescent="0.2">
      <c r="A249" s="1">
        <f t="shared" ca="1" si="21"/>
        <v>248</v>
      </c>
    </row>
    <row r="250" spans="1:1" x14ac:dyDescent="0.2">
      <c r="A250" s="1">
        <f t="shared" ca="1" si="21"/>
        <v>249</v>
      </c>
    </row>
    <row r="251" spans="1:1" x14ac:dyDescent="0.2">
      <c r="A251" s="1">
        <f t="shared" ca="1" si="21"/>
        <v>250</v>
      </c>
    </row>
    <row r="252" spans="1:1" x14ac:dyDescent="0.2">
      <c r="A252" s="1">
        <f t="shared" ca="1" si="21"/>
        <v>251</v>
      </c>
    </row>
    <row r="253" spans="1:1" x14ac:dyDescent="0.2">
      <c r="A253" s="1">
        <f t="shared" ca="1" si="21"/>
        <v>252</v>
      </c>
    </row>
    <row r="254" spans="1:1" x14ac:dyDescent="0.2">
      <c r="A254" s="1">
        <f t="shared" ca="1" si="21"/>
        <v>253</v>
      </c>
    </row>
    <row r="255" spans="1:1" x14ac:dyDescent="0.2">
      <c r="A255" s="1">
        <f t="shared" ca="1" si="21"/>
        <v>254</v>
      </c>
    </row>
    <row r="256" spans="1:1" x14ac:dyDescent="0.2">
      <c r="A256" s="1">
        <f t="shared" ref="A256:A280" ca="1" si="22">CELL("row",C257)-2</f>
        <v>255</v>
      </c>
    </row>
    <row r="257" spans="1:1" x14ac:dyDescent="0.2">
      <c r="A257" s="1">
        <f t="shared" ca="1" si="22"/>
        <v>256</v>
      </c>
    </row>
    <row r="258" spans="1:1" x14ac:dyDescent="0.2">
      <c r="A258" s="1">
        <f t="shared" ca="1" si="22"/>
        <v>257</v>
      </c>
    </row>
    <row r="259" spans="1:1" x14ac:dyDescent="0.2">
      <c r="A259" s="1">
        <f t="shared" ca="1" si="22"/>
        <v>258</v>
      </c>
    </row>
    <row r="260" spans="1:1" x14ac:dyDescent="0.2">
      <c r="A260" s="1">
        <f t="shared" ca="1" si="22"/>
        <v>259</v>
      </c>
    </row>
    <row r="261" spans="1:1" x14ac:dyDescent="0.2">
      <c r="A261" s="1">
        <f t="shared" ca="1" si="22"/>
        <v>260</v>
      </c>
    </row>
    <row r="262" spans="1:1" x14ac:dyDescent="0.2">
      <c r="A262" s="1">
        <f t="shared" ca="1" si="22"/>
        <v>261</v>
      </c>
    </row>
    <row r="263" spans="1:1" x14ac:dyDescent="0.2">
      <c r="A263" s="1">
        <f t="shared" ca="1" si="22"/>
        <v>262</v>
      </c>
    </row>
    <row r="264" spans="1:1" x14ac:dyDescent="0.2">
      <c r="A264" s="1">
        <f t="shared" ca="1" si="22"/>
        <v>263</v>
      </c>
    </row>
    <row r="265" spans="1:1" x14ac:dyDescent="0.2">
      <c r="A265" s="1">
        <f t="shared" ca="1" si="22"/>
        <v>264</v>
      </c>
    </row>
    <row r="266" spans="1:1" x14ac:dyDescent="0.2">
      <c r="A266" s="1">
        <f t="shared" ca="1" si="22"/>
        <v>265</v>
      </c>
    </row>
    <row r="267" spans="1:1" x14ac:dyDescent="0.2">
      <c r="A267" s="1">
        <f t="shared" ca="1" si="22"/>
        <v>266</v>
      </c>
    </row>
    <row r="268" spans="1:1" x14ac:dyDescent="0.2">
      <c r="A268" s="1">
        <f t="shared" ca="1" si="22"/>
        <v>267</v>
      </c>
    </row>
    <row r="269" spans="1:1" x14ac:dyDescent="0.2">
      <c r="A269" s="1">
        <f t="shared" ca="1" si="22"/>
        <v>268</v>
      </c>
    </row>
    <row r="270" spans="1:1" x14ac:dyDescent="0.2">
      <c r="A270" s="1">
        <f t="shared" ca="1" si="22"/>
        <v>269</v>
      </c>
    </row>
    <row r="271" spans="1:1" x14ac:dyDescent="0.2">
      <c r="A271" s="1">
        <f t="shared" ca="1" si="22"/>
        <v>270</v>
      </c>
    </row>
    <row r="272" spans="1:1" x14ac:dyDescent="0.2">
      <c r="A272" s="1">
        <f t="shared" ca="1" si="22"/>
        <v>271</v>
      </c>
    </row>
    <row r="273" spans="1:1" x14ac:dyDescent="0.2">
      <c r="A273" s="1">
        <f t="shared" ca="1" si="22"/>
        <v>272</v>
      </c>
    </row>
    <row r="274" spans="1:1" x14ac:dyDescent="0.2">
      <c r="A274" s="1">
        <f t="shared" ca="1" si="22"/>
        <v>273</v>
      </c>
    </row>
    <row r="275" spans="1:1" x14ac:dyDescent="0.2">
      <c r="A275" s="1">
        <f t="shared" ca="1" si="22"/>
        <v>274</v>
      </c>
    </row>
    <row r="276" spans="1:1" x14ac:dyDescent="0.2">
      <c r="A276" s="1">
        <f t="shared" ca="1" si="22"/>
        <v>275</v>
      </c>
    </row>
    <row r="277" spans="1:1" x14ac:dyDescent="0.2">
      <c r="A277" s="1">
        <f t="shared" ca="1" si="22"/>
        <v>276</v>
      </c>
    </row>
    <row r="278" spans="1:1" x14ac:dyDescent="0.2">
      <c r="A278" s="1">
        <f t="shared" ca="1" si="22"/>
        <v>277</v>
      </c>
    </row>
    <row r="279" spans="1:1" x14ac:dyDescent="0.2">
      <c r="A279" s="1">
        <f t="shared" ca="1" si="22"/>
        <v>278</v>
      </c>
    </row>
    <row r="280" spans="1:1" x14ac:dyDescent="0.2">
      <c r="A280" s="1">
        <f t="shared" ca="1" si="22"/>
        <v>279</v>
      </c>
    </row>
  </sheetData>
  <phoneticPr fontId="4" type="noConversion"/>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SichtenProfileEnde">
                <anchor moveWithCells="1" sizeWithCells="1">
                  <from>
                    <xdr:col>1</xdr:col>
                    <xdr:colOff>457200</xdr:colOff>
                    <xdr:row>0</xdr:row>
                    <xdr:rowOff>76200</xdr:rowOff>
                  </from>
                  <to>
                    <xdr:col>1</xdr:col>
                    <xdr:colOff>1514475</xdr:colOff>
                    <xdr:row>0</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9"/>
  <dimension ref="A1:F47"/>
  <sheetViews>
    <sheetView showGridLines="0" topLeftCell="A10" zoomScale="80" zoomScaleNormal="80" workbookViewId="0">
      <selection activeCell="F4" sqref="F4"/>
    </sheetView>
  </sheetViews>
  <sheetFormatPr baseColWidth="10" defaultRowHeight="12.75" x14ac:dyDescent="0.2"/>
  <cols>
    <col min="1" max="1" width="19.85546875" customWidth="1"/>
    <col min="3" max="3" width="19.85546875" customWidth="1"/>
    <col min="4" max="4" width="23.5703125" customWidth="1"/>
    <col min="5" max="6" width="25" customWidth="1"/>
  </cols>
  <sheetData>
    <row r="1" spans="1:6" x14ac:dyDescent="0.2">
      <c r="A1" s="11"/>
      <c r="B1" s="12">
        <v>1</v>
      </c>
      <c r="C1" s="13">
        <f>+B1+1</f>
        <v>2</v>
      </c>
      <c r="D1" s="13">
        <f>+C1+1</f>
        <v>3</v>
      </c>
      <c r="E1" s="13">
        <f>+D1+1</f>
        <v>4</v>
      </c>
      <c r="F1" s="13">
        <f>+E1+1</f>
        <v>5</v>
      </c>
    </row>
    <row r="2" spans="1:6" x14ac:dyDescent="0.2">
      <c r="A2" s="16"/>
      <c r="B2" s="100" t="s">
        <v>1346</v>
      </c>
      <c r="C2" s="100" t="s">
        <v>1347</v>
      </c>
      <c r="D2" s="110" t="s">
        <v>1348</v>
      </c>
      <c r="E2" s="110" t="s">
        <v>1349</v>
      </c>
      <c r="F2" s="110" t="s">
        <v>7294</v>
      </c>
    </row>
    <row r="3" spans="1:6" ht="16.5" customHeight="1" x14ac:dyDescent="0.2">
      <c r="A3" s="19">
        <v>1</v>
      </c>
      <c r="B3" s="120" t="s">
        <v>6379</v>
      </c>
      <c r="C3" s="105" t="s">
        <v>236</v>
      </c>
      <c r="D3" s="105" t="s">
        <v>236</v>
      </c>
      <c r="E3" s="105" t="s">
        <v>236</v>
      </c>
      <c r="F3" s="105" t="s">
        <v>7295</v>
      </c>
    </row>
    <row r="4" spans="1:6" ht="63.75" x14ac:dyDescent="0.2">
      <c r="A4" s="19">
        <f>+A3+1</f>
        <v>2</v>
      </c>
      <c r="B4" s="120" t="s">
        <v>6702</v>
      </c>
      <c r="C4" s="105" t="s">
        <v>1345</v>
      </c>
      <c r="D4" s="105" t="s">
        <v>6385</v>
      </c>
      <c r="E4" s="105" t="s">
        <v>1967</v>
      </c>
      <c r="F4" s="105" t="s">
        <v>7295</v>
      </c>
    </row>
    <row r="5" spans="1:6" ht="63.75" x14ac:dyDescent="0.2">
      <c r="A5" s="19">
        <f t="shared" ref="A5:A15" si="0">+A4+1</f>
        <v>3</v>
      </c>
      <c r="B5" s="120" t="s">
        <v>1351</v>
      </c>
      <c r="C5" s="105" t="s">
        <v>1345</v>
      </c>
      <c r="D5" s="105" t="s">
        <v>1350</v>
      </c>
      <c r="E5" s="105" t="s">
        <v>1967</v>
      </c>
      <c r="F5" s="105" t="s">
        <v>7296</v>
      </c>
    </row>
    <row r="6" spans="1:6" ht="51" x14ac:dyDescent="0.2">
      <c r="A6" s="19">
        <f t="shared" si="0"/>
        <v>4</v>
      </c>
      <c r="B6" s="120" t="s">
        <v>1352</v>
      </c>
      <c r="C6" s="105" t="s">
        <v>1356</v>
      </c>
      <c r="D6" s="105" t="s">
        <v>1353</v>
      </c>
      <c r="E6" s="105" t="s">
        <v>543</v>
      </c>
      <c r="F6" s="105" t="s">
        <v>7297</v>
      </c>
    </row>
    <row r="7" spans="1:6" ht="51" x14ac:dyDescent="0.2">
      <c r="A7" s="19">
        <f t="shared" si="0"/>
        <v>5</v>
      </c>
      <c r="B7" s="120" t="s">
        <v>1354</v>
      </c>
      <c r="C7" s="105" t="s">
        <v>1355</v>
      </c>
      <c r="D7" s="105" t="s">
        <v>1353</v>
      </c>
      <c r="E7" s="105" t="s">
        <v>544</v>
      </c>
      <c r="F7" s="105" t="s">
        <v>7297</v>
      </c>
    </row>
    <row r="8" spans="1:6" ht="63.75" x14ac:dyDescent="0.2">
      <c r="A8" s="19">
        <f t="shared" si="0"/>
        <v>6</v>
      </c>
      <c r="B8" s="120" t="s">
        <v>3731</v>
      </c>
      <c r="C8" s="105" t="s">
        <v>3732</v>
      </c>
      <c r="D8" s="105" t="s">
        <v>3733</v>
      </c>
      <c r="E8" s="105" t="s">
        <v>3734</v>
      </c>
      <c r="F8" s="105" t="s">
        <v>7295</v>
      </c>
    </row>
    <row r="9" spans="1:6" ht="63.75" x14ac:dyDescent="0.2">
      <c r="A9" s="19">
        <f t="shared" si="0"/>
        <v>7</v>
      </c>
      <c r="B9" s="120" t="s">
        <v>1685</v>
      </c>
      <c r="C9" s="105" t="s">
        <v>1686</v>
      </c>
      <c r="D9" s="105" t="s">
        <v>1687</v>
      </c>
      <c r="E9" s="105" t="s">
        <v>1688</v>
      </c>
      <c r="F9" s="105" t="s">
        <v>7296</v>
      </c>
    </row>
    <row r="10" spans="1:6" ht="76.5" x14ac:dyDescent="0.2">
      <c r="A10" s="19">
        <f t="shared" si="0"/>
        <v>8</v>
      </c>
      <c r="B10" s="120" t="s">
        <v>7957</v>
      </c>
      <c r="C10" s="105" t="s">
        <v>6770</v>
      </c>
      <c r="D10" s="105" t="s">
        <v>7958</v>
      </c>
      <c r="E10" s="105" t="s">
        <v>7959</v>
      </c>
      <c r="F10" s="105" t="s">
        <v>7296</v>
      </c>
    </row>
    <row r="11" spans="1:6" ht="89.25" x14ac:dyDescent="0.2">
      <c r="A11" s="19">
        <f t="shared" si="0"/>
        <v>9</v>
      </c>
      <c r="B11" s="120" t="s">
        <v>5868</v>
      </c>
      <c r="C11" s="105" t="s">
        <v>6769</v>
      </c>
      <c r="D11" s="105" t="s">
        <v>5884</v>
      </c>
      <c r="E11" s="105" t="s">
        <v>5869</v>
      </c>
      <c r="F11" s="105" t="s">
        <v>7298</v>
      </c>
    </row>
    <row r="12" spans="1:6" ht="89.25" x14ac:dyDescent="0.2">
      <c r="A12" s="19">
        <f t="shared" si="0"/>
        <v>10</v>
      </c>
      <c r="B12" s="120" t="s">
        <v>4342</v>
      </c>
      <c r="C12" s="105" t="s">
        <v>3701</v>
      </c>
      <c r="D12" s="105" t="s">
        <v>4343</v>
      </c>
      <c r="E12" s="105" t="s">
        <v>4344</v>
      </c>
      <c r="F12" s="105" t="s">
        <v>7295</v>
      </c>
    </row>
    <row r="13" spans="1:6" ht="76.5" x14ac:dyDescent="0.2">
      <c r="A13" s="19">
        <f t="shared" si="0"/>
        <v>11</v>
      </c>
      <c r="B13" s="124" t="s">
        <v>255</v>
      </c>
      <c r="C13" s="125" t="s">
        <v>256</v>
      </c>
      <c r="D13" s="125" t="s">
        <v>257</v>
      </c>
      <c r="E13" s="125" t="s">
        <v>258</v>
      </c>
      <c r="F13" s="126" t="s">
        <v>7299</v>
      </c>
    </row>
    <row r="14" spans="1:6" ht="76.5" x14ac:dyDescent="0.2">
      <c r="A14" s="19">
        <f t="shared" si="0"/>
        <v>12</v>
      </c>
      <c r="B14" s="120" t="s">
        <v>5924</v>
      </c>
      <c r="C14" s="105" t="s">
        <v>3440</v>
      </c>
      <c r="D14" s="105" t="s">
        <v>3441</v>
      </c>
      <c r="E14" s="105" t="s">
        <v>5925</v>
      </c>
      <c r="F14" s="105" t="s">
        <v>7295</v>
      </c>
    </row>
    <row r="15" spans="1:6" x14ac:dyDescent="0.2">
      <c r="A15" s="19">
        <f t="shared" si="0"/>
        <v>13</v>
      </c>
      <c r="B15" s="120" t="s">
        <v>5802</v>
      </c>
      <c r="C15" s="105" t="s">
        <v>236</v>
      </c>
      <c r="D15" s="105" t="s">
        <v>236</v>
      </c>
      <c r="E15" s="105" t="s">
        <v>236</v>
      </c>
      <c r="F15" s="105" t="s">
        <v>236</v>
      </c>
    </row>
    <row r="16" spans="1:6" ht="63.75" x14ac:dyDescent="0.2">
      <c r="A16" s="19">
        <f t="shared" ref="A16:A26" si="1">+A15+1</f>
        <v>14</v>
      </c>
      <c r="B16" s="120" t="s">
        <v>6863</v>
      </c>
      <c r="C16" s="105" t="s">
        <v>6865</v>
      </c>
      <c r="D16" s="105" t="s">
        <v>6864</v>
      </c>
      <c r="E16" s="105" t="s">
        <v>1967</v>
      </c>
      <c r="F16" s="105" t="s">
        <v>7295</v>
      </c>
    </row>
    <row r="17" spans="1:6" ht="89.25" x14ac:dyDescent="0.2">
      <c r="A17" s="19">
        <f t="shared" si="1"/>
        <v>15</v>
      </c>
      <c r="B17" s="120" t="s">
        <v>3700</v>
      </c>
      <c r="C17" s="105" t="s">
        <v>3702</v>
      </c>
      <c r="D17" s="105" t="s">
        <v>3703</v>
      </c>
      <c r="E17" s="105" t="s">
        <v>3704</v>
      </c>
      <c r="F17" s="105" t="s">
        <v>7300</v>
      </c>
    </row>
    <row r="18" spans="1:6" ht="89.25" x14ac:dyDescent="0.2">
      <c r="A18" s="19">
        <f t="shared" si="1"/>
        <v>16</v>
      </c>
      <c r="B18" s="120" t="s">
        <v>8062</v>
      </c>
      <c r="C18" s="105" t="s">
        <v>8064</v>
      </c>
      <c r="D18" s="105" t="s">
        <v>8063</v>
      </c>
      <c r="E18" s="105" t="s">
        <v>8065</v>
      </c>
      <c r="F18" s="105" t="s">
        <v>7296</v>
      </c>
    </row>
    <row r="19" spans="1:6" ht="76.5" x14ac:dyDescent="0.2">
      <c r="A19" s="19">
        <f t="shared" si="1"/>
        <v>17</v>
      </c>
      <c r="B19" s="120" t="s">
        <v>8067</v>
      </c>
      <c r="C19" s="105" t="s">
        <v>8069</v>
      </c>
      <c r="D19" s="105" t="s">
        <v>8066</v>
      </c>
      <c r="E19" s="105" t="s">
        <v>8068</v>
      </c>
      <c r="F19" s="105" t="s">
        <v>7296</v>
      </c>
    </row>
    <row r="20" spans="1:6" ht="76.5" x14ac:dyDescent="0.2">
      <c r="A20" s="19">
        <f t="shared" si="1"/>
        <v>18</v>
      </c>
      <c r="B20" s="120" t="s">
        <v>1889</v>
      </c>
      <c r="C20" s="105" t="s">
        <v>1891</v>
      </c>
      <c r="D20" s="105" t="s">
        <v>1890</v>
      </c>
      <c r="E20" s="105" t="s">
        <v>1892</v>
      </c>
      <c r="F20" s="105" t="s">
        <v>7296</v>
      </c>
    </row>
    <row r="21" spans="1:6" ht="89.25" x14ac:dyDescent="0.2">
      <c r="A21" s="19">
        <f t="shared" si="1"/>
        <v>19</v>
      </c>
      <c r="B21" s="120" t="s">
        <v>3369</v>
      </c>
      <c r="C21" s="105" t="s">
        <v>6050</v>
      </c>
      <c r="D21" s="105" t="s">
        <v>3370</v>
      </c>
      <c r="E21" s="105" t="s">
        <v>6051</v>
      </c>
      <c r="F21" s="105" t="s">
        <v>7296</v>
      </c>
    </row>
    <row r="22" spans="1:6" ht="76.5" x14ac:dyDescent="0.2">
      <c r="A22" s="19">
        <f t="shared" si="1"/>
        <v>20</v>
      </c>
      <c r="B22" s="120" t="s">
        <v>5162</v>
      </c>
      <c r="C22" s="105" t="s">
        <v>5164</v>
      </c>
      <c r="D22" s="105" t="s">
        <v>5163</v>
      </c>
      <c r="E22" s="105" t="s">
        <v>5165</v>
      </c>
      <c r="F22" s="105" t="s">
        <v>7301</v>
      </c>
    </row>
    <row r="23" spans="1:6" x14ac:dyDescent="0.2">
      <c r="A23" s="19">
        <f t="shared" si="1"/>
        <v>21</v>
      </c>
      <c r="B23" s="120"/>
      <c r="C23" s="105"/>
      <c r="D23" s="105"/>
      <c r="E23" s="105"/>
      <c r="F23" s="105"/>
    </row>
    <row r="24" spans="1:6" x14ac:dyDescent="0.2">
      <c r="A24" s="19">
        <f t="shared" si="1"/>
        <v>22</v>
      </c>
      <c r="B24" s="120"/>
      <c r="C24" s="105"/>
      <c r="D24" s="105"/>
      <c r="E24" s="105"/>
      <c r="F24" s="105"/>
    </row>
    <row r="25" spans="1:6" x14ac:dyDescent="0.2">
      <c r="A25" s="19">
        <f t="shared" si="1"/>
        <v>23</v>
      </c>
      <c r="B25" s="120"/>
      <c r="C25" s="105"/>
      <c r="D25" s="105"/>
      <c r="E25" s="105"/>
      <c r="F25" s="105"/>
    </row>
    <row r="26" spans="1:6" x14ac:dyDescent="0.2">
      <c r="A26" s="19">
        <f t="shared" si="1"/>
        <v>24</v>
      </c>
      <c r="B26" s="120"/>
      <c r="C26" s="105"/>
      <c r="D26" s="105"/>
      <c r="E26" s="105"/>
      <c r="F26" s="105"/>
    </row>
    <row r="27" spans="1:6" x14ac:dyDescent="0.2">
      <c r="A27" s="19">
        <f t="shared" ref="A27:A41" si="2">+A26+1</f>
        <v>25</v>
      </c>
      <c r="B27" s="120"/>
      <c r="C27" s="105"/>
      <c r="D27" s="105"/>
      <c r="E27" s="105"/>
      <c r="F27" s="105"/>
    </row>
    <row r="28" spans="1:6" x14ac:dyDescent="0.2">
      <c r="A28" s="19">
        <f t="shared" si="2"/>
        <v>26</v>
      </c>
      <c r="B28" s="120"/>
      <c r="C28" s="105"/>
      <c r="D28" s="105"/>
      <c r="E28" s="105"/>
      <c r="F28" s="105"/>
    </row>
    <row r="29" spans="1:6" x14ac:dyDescent="0.2">
      <c r="A29" s="19">
        <f t="shared" si="2"/>
        <v>27</v>
      </c>
      <c r="B29" s="120"/>
      <c r="C29" s="105"/>
      <c r="D29" s="105"/>
      <c r="E29" s="105"/>
      <c r="F29" s="105"/>
    </row>
    <row r="30" spans="1:6" x14ac:dyDescent="0.2">
      <c r="A30" s="19">
        <f t="shared" si="2"/>
        <v>28</v>
      </c>
      <c r="B30" s="120"/>
      <c r="C30" s="105"/>
      <c r="D30" s="105"/>
      <c r="E30" s="105"/>
      <c r="F30" s="105"/>
    </row>
    <row r="31" spans="1:6" x14ac:dyDescent="0.2">
      <c r="A31" s="19">
        <f t="shared" si="2"/>
        <v>29</v>
      </c>
      <c r="B31" s="120"/>
      <c r="C31" s="105"/>
      <c r="D31" s="105"/>
      <c r="E31" s="105"/>
      <c r="F31" s="105"/>
    </row>
    <row r="32" spans="1:6" x14ac:dyDescent="0.2">
      <c r="A32" s="19">
        <f t="shared" si="2"/>
        <v>30</v>
      </c>
      <c r="B32" s="120"/>
      <c r="C32" s="105"/>
      <c r="D32" s="105"/>
      <c r="E32" s="105"/>
      <c r="F32" s="105"/>
    </row>
    <row r="33" spans="1:6" x14ac:dyDescent="0.2">
      <c r="A33" s="19">
        <f t="shared" si="2"/>
        <v>31</v>
      </c>
      <c r="B33" s="120"/>
      <c r="C33" s="105"/>
      <c r="D33" s="105"/>
      <c r="E33" s="105"/>
      <c r="F33" s="105"/>
    </row>
    <row r="34" spans="1:6" x14ac:dyDescent="0.2">
      <c r="A34" s="19">
        <f t="shared" si="2"/>
        <v>32</v>
      </c>
      <c r="B34" s="120"/>
      <c r="C34" s="105"/>
      <c r="D34" s="105"/>
      <c r="E34" s="105"/>
      <c r="F34" s="105"/>
    </row>
    <row r="35" spans="1:6" x14ac:dyDescent="0.2">
      <c r="A35" s="19">
        <f t="shared" si="2"/>
        <v>33</v>
      </c>
      <c r="B35" s="120"/>
      <c r="C35" s="105"/>
      <c r="D35" s="105"/>
      <c r="E35" s="105"/>
      <c r="F35" s="105"/>
    </row>
    <row r="36" spans="1:6" x14ac:dyDescent="0.2">
      <c r="A36" s="19">
        <f t="shared" si="2"/>
        <v>34</v>
      </c>
      <c r="B36" s="120"/>
      <c r="C36" s="105"/>
      <c r="D36" s="105"/>
      <c r="E36" s="105"/>
      <c r="F36" s="105"/>
    </row>
    <row r="37" spans="1:6" x14ac:dyDescent="0.2">
      <c r="A37" s="19">
        <f t="shared" si="2"/>
        <v>35</v>
      </c>
      <c r="B37" s="120"/>
      <c r="C37" s="105"/>
      <c r="D37" s="105"/>
      <c r="E37" s="105"/>
      <c r="F37" s="105"/>
    </row>
    <row r="38" spans="1:6" x14ac:dyDescent="0.2">
      <c r="A38" s="19">
        <f t="shared" si="2"/>
        <v>36</v>
      </c>
      <c r="B38" s="120"/>
      <c r="C38" s="105"/>
      <c r="D38" s="105"/>
      <c r="E38" s="105"/>
      <c r="F38" s="105"/>
    </row>
    <row r="39" spans="1:6" x14ac:dyDescent="0.2">
      <c r="A39" s="19">
        <f t="shared" si="2"/>
        <v>37</v>
      </c>
      <c r="B39" s="120"/>
      <c r="C39" s="105"/>
      <c r="D39" s="105"/>
      <c r="E39" s="105"/>
      <c r="F39" s="105"/>
    </row>
    <row r="40" spans="1:6" x14ac:dyDescent="0.2">
      <c r="A40" s="19">
        <f t="shared" si="2"/>
        <v>38</v>
      </c>
      <c r="B40" s="120"/>
      <c r="C40" s="105"/>
      <c r="D40" s="105"/>
      <c r="E40" s="105"/>
      <c r="F40" s="105"/>
    </row>
    <row r="41" spans="1:6" x14ac:dyDescent="0.2">
      <c r="A41" s="19">
        <f t="shared" si="2"/>
        <v>39</v>
      </c>
      <c r="B41" s="120"/>
      <c r="C41" s="105"/>
      <c r="D41" s="105"/>
      <c r="E41" s="105"/>
      <c r="F41" s="105"/>
    </row>
    <row r="42" spans="1:6" x14ac:dyDescent="0.2">
      <c r="A42" s="19">
        <f t="shared" ref="A42:A47" si="3">+A41+1</f>
        <v>40</v>
      </c>
      <c r="B42" s="120"/>
      <c r="C42" s="105"/>
      <c r="D42" s="105"/>
      <c r="E42" s="105"/>
      <c r="F42" s="105"/>
    </row>
    <row r="43" spans="1:6" x14ac:dyDescent="0.2">
      <c r="A43" s="19">
        <f t="shared" si="3"/>
        <v>41</v>
      </c>
      <c r="B43" s="120"/>
      <c r="C43" s="105"/>
      <c r="D43" s="105"/>
      <c r="E43" s="105"/>
      <c r="F43" s="105"/>
    </row>
    <row r="44" spans="1:6" x14ac:dyDescent="0.2">
      <c r="A44" s="19">
        <f t="shared" si="3"/>
        <v>42</v>
      </c>
      <c r="B44" s="120"/>
      <c r="C44" s="105"/>
      <c r="D44" s="105"/>
      <c r="E44" s="105"/>
      <c r="F44" s="105"/>
    </row>
    <row r="45" spans="1:6" x14ac:dyDescent="0.2">
      <c r="A45" s="19">
        <f t="shared" si="3"/>
        <v>43</v>
      </c>
      <c r="B45" s="120"/>
      <c r="C45" s="105"/>
      <c r="D45" s="105"/>
      <c r="E45" s="105"/>
      <c r="F45" s="105"/>
    </row>
    <row r="46" spans="1:6" x14ac:dyDescent="0.2">
      <c r="A46" s="19">
        <f t="shared" si="3"/>
        <v>44</v>
      </c>
      <c r="B46" s="120"/>
      <c r="C46" s="105"/>
      <c r="D46" s="105"/>
      <c r="E46" s="105"/>
      <c r="F46" s="105"/>
    </row>
    <row r="47" spans="1:6" x14ac:dyDescent="0.2">
      <c r="A47" s="19">
        <f t="shared" si="3"/>
        <v>45</v>
      </c>
      <c r="B47" s="120"/>
      <c r="C47" s="105"/>
      <c r="D47" s="105"/>
      <c r="E47" s="105"/>
      <c r="F47" s="105"/>
    </row>
  </sheetData>
  <phoneticPr fontId="4" type="noConversion"/>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2]!SichtenProfileEnde">
                <anchor moveWithCells="1" sizeWithCells="1">
                  <from>
                    <xdr:col>0</xdr:col>
                    <xdr:colOff>133350</xdr:colOff>
                    <xdr:row>0</xdr:row>
                    <xdr:rowOff>76200</xdr:rowOff>
                  </from>
                  <to>
                    <xdr:col>0</xdr:col>
                    <xdr:colOff>1190625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5</vt:i4>
      </vt:variant>
    </vt:vector>
  </HeadingPairs>
  <TitlesOfParts>
    <vt:vector size="16" baseType="lpstr">
      <vt:lpstr>Adressen_Statiker</vt:lpstr>
      <vt:lpstr>Adressen</vt:lpstr>
      <vt:lpstr>Bst</vt:lpstr>
      <vt:lpstr>Ro</vt:lpstr>
      <vt:lpstr>L&amp;PU</vt:lpstr>
      <vt:lpstr>U&amp;I</vt:lpstr>
      <vt:lpstr>Strand</vt:lpstr>
      <vt:lpstr>UnitPrice</vt:lpstr>
      <vt:lpstr>Sprache</vt:lpstr>
      <vt:lpstr>PopUp</vt:lpstr>
      <vt:lpstr>Company</vt:lpstr>
      <vt:lpstr>'L&amp;PU'!Druckbereich</vt:lpstr>
      <vt:lpstr>Ro!Druckbereich</vt:lpstr>
      <vt:lpstr>Strand!Druckbereich</vt:lpstr>
      <vt:lpstr>Strand!Drucktitel</vt:lpstr>
      <vt:lpstr>Sprache!OLE_LINK1</vt:lpstr>
    </vt:vector>
  </TitlesOfParts>
  <Company>Bauer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gol</dc:creator>
  <cp:lastModifiedBy>Nguyen Luan</cp:lastModifiedBy>
  <cp:revision>1</cp:revision>
  <cp:lastPrinted>2007-01-24T09:20:43Z</cp:lastPrinted>
  <dcterms:created xsi:type="dcterms:W3CDTF">2004-10-15T10:19:13Z</dcterms:created>
  <dcterms:modified xsi:type="dcterms:W3CDTF">2022-10-05T08:45:21Z</dcterms:modified>
  <cp:version>1.00.62</cp:version>
</cp:coreProperties>
</file>